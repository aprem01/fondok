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6.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8.xml" ContentType="application/vnd.openxmlformats-officedocument.spreadsheetml.worksheet+xml"/>
  <Override PartName="/xl/printerSettings/printerSettings19.bin" ContentType="application/vnd.openxmlformats-officedocument.spreadsheetml.printerSettings"/>
  <Override PartName="/xl/drawings/drawing20.xml" ContentType="application/vnd.openxmlformats-officedocument.drawing+xml"/>
  <Override PartName="/xl/worksheets/sheet21.xml" ContentType="application/vnd.openxmlformats-officedocument.spreadsheetml.worksheet+xml"/>
  <Override PartName="/xl/printerSettings/printerSettings22.bin" ContentType="application/vnd.openxmlformats-officedocument.spreadsheetml.printerSettings"/>
  <Override PartName="/xl/drawings/drawing23.xml" ContentType="application/vnd.openxmlformats-officedocument.drawing+xml"/>
  <Override PartName="/xl/worksheets/sheet25.xml" ContentType="application/vnd.openxmlformats-officedocument.spreadsheetml.worksheet+xml"/>
  <Override PartName="/xl/printerSettings/printerSettings26.bin" ContentType="application/vnd.openxmlformats-officedocument.spreadsheetml.printerSettings"/>
  <Override PartName="/xl/drawings/drawing27.xml" ContentType="application/vnd.openxmlformats-officedocument.drawing+xml"/>
  <Override PartName="/xl/worksheets/sheet29.xml" ContentType="application/vnd.openxmlformats-officedocument.spreadsheetml.worksheet+xml"/>
  <Override PartName="/xl/printerSettings/printerSettings30.bin" ContentType="application/vnd.openxmlformats-officedocument.spreadsheetml.printerSettings"/>
  <Override PartName="/xl/drawings/drawing31.xml" ContentType="application/vnd.openxmlformats-officedocument.drawing+xml"/>
  <Override PartName="/xl/worksheets/sheet33.xml" ContentType="application/vnd.openxmlformats-officedocument.spreadsheetml.worksheet+xml"/>
  <Override PartName="/xl/printerSettings/printerSettings34.bin" ContentType="application/vnd.openxmlformats-officedocument.spreadsheetml.printerSettings"/>
  <Override PartName="/xl/drawings/drawing35.xml" ContentType="application/vnd.openxmlformats-officedocument.drawing+xml"/>
  <Override PartName="/xl/worksheets/sheet37.xml" ContentType="application/vnd.openxmlformats-officedocument.spreadsheetml.worksheet+xml"/>
  <Override PartName="/xl/printerSettings/printerSettings38.bin" ContentType="application/vnd.openxmlformats-officedocument.spreadsheetml.printerSettings"/>
  <Override PartName="/xl/drawings/drawing39.xml" ContentType="application/vnd.openxmlformats-officedocument.drawing+xml"/>
  <Override PartName="/xl/worksheets/sheet41.xml" ContentType="application/vnd.openxmlformats-officedocument.spreadsheetml.worksheet+xml"/>
  <Override PartName="/xl/printerSettings/printerSettings42.bin" ContentType="application/vnd.openxmlformats-officedocument.spreadsheetml.printerSettings"/>
  <Override PartName="/xl/drawings/drawing43.xml" ContentType="application/vnd.openxmlformats-officedocument.drawing+xml"/>
  <Override PartName="/xl/worksheets/sheet45.xml" ContentType="application/vnd.openxmlformats-officedocument.spreadsheetml.worksheet+xml"/>
  <Override PartName="/xl/printerSettings/printerSettings46.bin" ContentType="application/vnd.openxmlformats-officedocument.spreadsheetml.printerSettings"/>
  <Override PartName="/xl/drawings/drawing47.xml" ContentType="application/vnd.openxmlformats-officedocument.drawing+xml"/>
  <Override PartName="/xl/worksheets/sheet49.xml" ContentType="application/vnd.openxmlformats-officedocument.spreadsheetml.worksheet+xml"/>
  <Override PartName="/xl/printerSettings/printerSettings50.bin" ContentType="application/vnd.openxmlformats-officedocument.spreadsheetml.printerSettings"/>
  <Override PartName="/xl/drawings/drawing51.xml" ContentType="application/vnd.openxmlformats-officedocument.drawing+xml"/>
  <Override PartName="/xl/worksheets/sheet53.xml" ContentType="application/vnd.openxmlformats-officedocument.spreadsheetml.worksheet+xml"/>
  <Override PartName="/xl/printerSettings/printerSettings54.bin" ContentType="application/vnd.openxmlformats-officedocument.spreadsheetml.printerSettings"/>
  <Override PartName="/xl/drawings/drawing55.xml" ContentType="application/vnd.openxmlformats-officedocument.drawing+xml"/>
  <Override PartName="/xl/worksheets/sheet56.xml" ContentType="application/vnd.openxmlformats-officedocument.spreadsheetml.worksheet+xml"/>
  <Override PartName="/xl/printerSettings/printerSettings57.bin" ContentType="application/vnd.openxmlformats-officedocument.spreadsheetml.printerSettings"/>
  <Override PartName="/xl/drawings/drawing58.xml" ContentType="application/vnd.openxmlformats-officedocument.drawing+xml"/>
  <Override PartName="/xl/worksheets/sheet59.xml" ContentType="application/vnd.openxmlformats-officedocument.spreadsheetml.worksheet+xml"/>
  <Override PartName="/xl/printerSettings/printerSettings60.bin" ContentType="application/vnd.openxmlformats-officedocument.spreadsheetml.printerSettings"/>
  <Override PartName="/xl/drawings/drawing61.xml" ContentType="application/vnd.openxmlformats-officedocument.drawing+xml"/>
  <Override PartName="/xl/worksheets/sheet62.xml" ContentType="application/vnd.openxmlformats-officedocument.spreadsheetml.worksheet+xml"/>
  <Override PartName="/xl/printerSettings/printerSettings63.bin" ContentType="application/vnd.openxmlformats-officedocument.spreadsheetml.printerSettings"/>
  <Override PartName="/xl/drawings/drawing64.xml" ContentType="application/vnd.openxmlformats-officedocument.drawing+xml"/>
  <Override PartName="/xl/drawings/drawing65.xml" ContentType="application/vnd.openxmlformats-officedocument.drawing+xml"/>
  <Override PartName="/xl/worksheets/sheet66.xml" ContentType="application/vnd.openxmlformats-officedocument.spreadsheetml.worksheet+xml"/>
  <Override PartName="/xl/printerSettings/printerSettings67.bin" ContentType="application/vnd.openxmlformats-officedocument.spreadsheetml.printerSettings"/>
  <Override PartName="/xl/drawings/drawing68.xml" ContentType="application/vnd.openxmlformats-officedocument.drawing+xml"/>
  <Override PartName="/xl/worksheets/sheet69.xml" ContentType="application/vnd.openxmlformats-officedocument.spreadsheetml.worksheet+xml"/>
  <Override PartName="/xl/printerSettings/printerSettings70.bin" ContentType="application/vnd.openxmlformats-officedocument.spreadsheetml.printerSettings"/>
  <Override PartName="/xl/drawings/drawing71.xml" ContentType="application/vnd.openxmlformats-officedocument.drawing+xml"/>
  <Override PartName="/xl/drawings/drawing72.xml" ContentType="application/vnd.openxmlformats-officedocument.drawing+xml"/>
  <Override PartName="/xl/worksheets/sheet73.xml" ContentType="application/vnd.openxmlformats-officedocument.spreadsheetml.worksheet+xml"/>
  <Override PartName="/xl/printerSettings/printerSettings74.bin" ContentType="application/vnd.openxmlformats-officedocument.spreadsheetml.printerSettings"/>
  <Override PartName="/xl/drawings/drawing75.xml" ContentType="application/vnd.openxmlformats-officedocument.drawing+xml"/>
  <Override PartName="/xl/worksheets/sheet76.xml" ContentType="application/vnd.openxmlformats-officedocument.spreadsheetml.worksheet+xml"/>
  <Override PartName="/xl/printerSettings/printerSettings77.bin" ContentType="application/vnd.openxmlformats-officedocument.spreadsheetml.printerSettings"/>
  <Override PartName="/xl/drawings/drawing78.xml" ContentType="application/vnd.openxmlformats-officedocument.drawing+xml"/>
  <Override PartName="/xl/drawings/drawing79.xml" ContentType="application/vnd.openxmlformats-officedocument.drawing+xml"/>
  <Override PartName="/xl/worksheets/sheet80.xml" ContentType="application/vnd.openxmlformats-officedocument.spreadsheetml.worksheet+xml"/>
  <Override PartName="/xl/printerSettings/printerSettings81.bin" ContentType="application/vnd.openxmlformats-officedocument.spreadsheetml.printerSettings"/>
  <Override PartName="/xl/drawings/drawing82.xml" ContentType="application/vnd.openxmlformats-officedocument.drawing+xml"/>
  <Override PartName="/xl/worksheets/sheet83.xml" ContentType="application/vnd.openxmlformats-officedocument.spreadsheetml.worksheet+xml"/>
  <Override PartName="/xl/printerSettings/printerSettings84.bin" ContentType="application/vnd.openxmlformats-officedocument.spreadsheetml.printerSettings"/>
  <Override PartName="/xl/drawings/drawing85.xml" ContentType="application/vnd.openxmlformats-officedocument.drawing+xml"/>
  <Override PartName="/xl/worksheets/sheet86.xml" ContentType="application/vnd.openxmlformats-officedocument.spreadsheetml.worksheet+xml"/>
  <Override PartName="/xl/printerSettings/printerSettings87.bin" ContentType="application/vnd.openxmlformats-officedocument.spreadsheetml.printerSettings"/>
  <Override PartName="/xl/drawings/drawing88.xml" ContentType="application/vnd.openxmlformats-officedocument.drawing+xml"/>
  <Override PartName="/xl/worksheets/sheet89.xml" ContentType="application/vnd.openxmlformats-officedocument.spreadsheetml.worksheet+xml"/>
  <Override PartName="/xl/printerSettings/printerSettings90.bin" ContentType="application/vnd.openxmlformats-officedocument.spreadsheetml.printerSettings"/>
  <Override PartName="/xl/drawings/drawing91.xml" ContentType="application/vnd.openxmlformats-officedocument.drawing+xml"/>
  <Override PartName="/xl/charts/chart92.xml" ContentType="application/vnd.openxmlformats-officedocument.drawingml.chart+xml"/>
  <Override PartName="/xl/charts/chart93.xml" ContentType="application/vnd.openxmlformats-officedocument.drawingml.chart+xml"/>
  <Override PartName="/xl/charts/chart94.xml" ContentType="application/vnd.openxmlformats-officedocument.drawingml.chart+xml"/>
  <Override PartName="/xl/charts/chart95.xml" ContentType="application/vnd.openxmlformats-officedocument.drawingml.chart+xml"/>
  <Override PartName="/xl/charts/chart96.xml" ContentType="application/vnd.openxmlformats-officedocument.drawingml.chart+xml"/>
  <Override PartName="/xl/charts/chart97.xml" ContentType="application/vnd.openxmlformats-officedocument.drawingml.chart+xml"/>
  <Override PartName="/xl/charts/chart98.xml" ContentType="application/vnd.openxmlformats-officedocument.drawingml.chart+xml"/>
  <Override PartName="/xl/charts/chart99.xml" ContentType="application/vnd.openxmlformats-officedocument.drawingml.chart+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21"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7" lowestEdited="6" rupBuild="26026"/>
  <workbookPr codeName="ThisWorkbook"/>
  <bookViews>
    <workbookView xWindow="4080" yWindow="1170" windowWidth="21420" windowHeight="11400" tabRatio="898"/>
  </bookViews>
  <sheets>
    <sheet name="Table of Contents" sheetId="1" r:id="rId22"/>
    <sheet name="SummaryComb" sheetId="19" r:id="rId21"/>
    <sheet name="SummaryComb 28Day" sheetId="20" r:id="rId20"/>
    <sheet name="Glance" sheetId="21" r:id="rId19"/>
    <sheet name="Segmentation Glance" sheetId="22" r:id="rId18"/>
    <sheet name="Daily by Month" sheetId="23" r:id="rId17"/>
    <sheet name="Occ" sheetId="4" r:id="rId23"/>
    <sheet name="Segmentation Occ" sheetId="24" r:id="rId16"/>
    <sheet name="ADR" sheetId="6" r:id="rId24"/>
    <sheet name="Segmentation ADR" sheetId="25" r:id="rId15"/>
    <sheet name="RevPAR" sheetId="8" r:id="rId25"/>
    <sheet name="Segmentation RevPAR" sheetId="26" r:id="rId14"/>
    <sheet name="Additional Revenue" sheetId="27" r:id="rId13"/>
    <sheet name="Response" sheetId="28" r:id="rId12"/>
    <sheet name="Glance_2" sheetId="29" r:id="rId11"/>
    <sheet name="Segmentation Glance_2" sheetId="30" r:id="rId10"/>
    <sheet name="Daily by Month_2" sheetId="31" r:id="rId9"/>
    <sheet name="Occ_2" sheetId="32" r:id="rId8"/>
    <sheet name="Segmentation Occ_2" sheetId="33" r:id="rId7"/>
    <sheet name="ADR_2" sheetId="34" r:id="rId6"/>
    <sheet name="Segmentation ADR_2" sheetId="35" r:id="rId5"/>
    <sheet name="RevPAR_2" sheetId="36" r:id="rId4"/>
    <sheet name="Segmentation RevPAR_2" sheetId="37" r:id="rId3"/>
    <sheet name="Additional Revenue_2" sheetId="38" r:id="rId2"/>
    <sheet name="Response_2" sheetId="39" r:id="rId1"/>
    <sheet name="Help" sheetId="18" r:id="rId26"/>
  </sheets>
  <definedNames>
    <definedName name="_xlnm.Print_Area" localSheetId="8">ADR!$A$1:$AI$61</definedName>
    <definedName name="_xlnm.Print_Area" localSheetId="25">Help!$A$1:$J$16</definedName>
    <definedName name="_xlnm.Print_Area" localSheetId="6">Occ!$A$1:$AI$58</definedName>
    <definedName name="_xlnm.Print_Area" localSheetId="10">RevPAR!$A$1:$AI$61</definedName>
    <definedName name="_xlnm.Print_Area" localSheetId="0">'Table of Contents'!$A$1:$H$48</definedName>
    <definedName name="_xlnm.Print_Area" localSheetId="1">SummaryComb!$A$1:$AB$72</definedName>
    <definedName name="_xlnm.Print_Area" localSheetId="2">'SummaryComb 28Day'!$A$1:$AB$72</definedName>
    <definedName name="_xlnm.Print_Area" localSheetId="3">Glance!$A$1:$AC$42</definedName>
    <definedName name="_xlnm.Print_Area" localSheetId="4">'Segmentation Glance'!$A$1:$T$42</definedName>
    <definedName name="_xlnm.Print_Area" localSheetId="5">'Daily by Month'!$A$1:$AL$63</definedName>
    <definedName name="_xlnm.Print_Area" localSheetId="7">'Segmentation Occ'!$A$1:$AB$54</definedName>
    <definedName name="_xlnm.Print_Area" localSheetId="9">'Segmentation ADR'!$A$1:$AC$54</definedName>
    <definedName name="_xlnm.Print_Area" localSheetId="11">'Segmentation RevPAR'!$A$1:$AC$54</definedName>
    <definedName name="_xlnm.Print_Area" localSheetId="12">'Additional Revenue'!$A$1:$AC$54</definedName>
    <definedName name="_xlnm.Print_Area" localSheetId="13">Response!$A$1:$AR$104</definedName>
    <definedName name="_xlnm.Print_Area" localSheetId="14">Glance_2!$A$1:$AC$42</definedName>
    <definedName name="_xlnm.Print_Area" localSheetId="15">'Segmentation Glance_2'!$A$1:$T$42</definedName>
    <definedName name="_xlnm.Print_Area" localSheetId="16">'Daily by Month_2'!$A$1:$AL$63</definedName>
    <definedName name="_xlnm.Print_Area" localSheetId="17">Occ_2!$A$1:$AI$58</definedName>
    <definedName name="_xlnm.Print_Area" localSheetId="18">'Segmentation Occ_2'!$A$1:$AB$54</definedName>
    <definedName name="_xlnm.Print_Area" localSheetId="19">ADR_2!$A$1:$AI$61</definedName>
    <definedName name="_xlnm.Print_Area" localSheetId="20">'Segmentation ADR_2'!$A$1:$AC$54</definedName>
    <definedName name="_xlnm.Print_Area" localSheetId="21">'RevPAR_2'!$A$1:$AI$61</definedName>
    <definedName name="_xlnm.Print_Area" localSheetId="22">'Segmentation RevPAR_2'!$A$1:$AC$54</definedName>
    <definedName name="_xlnm.Print_Area" localSheetId="23">'Additional Revenue_2'!$A$1:$AC$54</definedName>
    <definedName name="_xlnm.Print_Area" localSheetId="24">'Response_2'!$A$1:$AR$104</definedName>
  </definedNames>
  <calcPr calcId="191029"/>
  <extLst>
    <ext uri="{B58B0392-4F1F-4190-BB64-5DF3571DCE5F}">
      <xcalcf:calcFeatures xmlns:xcalcf="http://schemas.microsoft.com/office/spreadsheetml/2018/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<sst xmlns="http://schemas.openxmlformats.org/spreadsheetml/2006/main" xmlns:r="http://schemas.openxmlformats.org/officeDocument/2006/relationships" xmlns:xdr="http://schemas.openxmlformats.org/drawingml/2006/spreadsheetDrawing" xmlns:s="http://schemas.openxmlformats.org/officeDocument/2006/sharedTypes" xmlns:vt="http://schemas.openxmlformats.org/officeDocument/2006/docPropsVTypes" xmlns:a="http://schemas.openxmlformats.org/drawingml/2006/main" xmlns:cdr="http://schemas.openxmlformats.org/drawingml/2006/chartDrawing" count="969" uniqueCount="114">
  <si>
    <t>Sun</t>
  </si>
  <si>
    <t>Mon</t>
  </si>
  <si>
    <t>Tue</t>
  </si>
  <si>
    <t>Wed</t>
  </si>
  <si>
    <t>Thu</t>
  </si>
  <si>
    <t>Fri</t>
  </si>
  <si>
    <t>Sat</t>
  </si>
  <si>
    <t>This Year</t>
  </si>
  <si>
    <t>Last Year</t>
  </si>
  <si>
    <t>Last Week</t>
  </si>
  <si>
    <t>ADR ($)</t>
  </si>
  <si>
    <t>RevPAR ($)</t>
  </si>
  <si>
    <t>ADR</t>
  </si>
  <si>
    <t>RevPAR</t>
  </si>
  <si>
    <t>Last 4 Sundays</t>
  </si>
  <si>
    <t>Last 4 Mondays</t>
  </si>
  <si>
    <t>Last 4 Tuesdays</t>
  </si>
  <si>
    <t>Last 4 Wednesdays</t>
  </si>
  <si>
    <t>Last 4 Thursdays</t>
  </si>
  <si>
    <t>Last 4 Fridays</t>
  </si>
  <si>
    <t>Last 4 Saturdays</t>
  </si>
  <si>
    <t>Transient</t>
  </si>
  <si>
    <t>Index</t>
  </si>
  <si>
    <t>Total</t>
  </si>
  <si>
    <t>Group</t>
  </si>
  <si>
    <t>Contract</t>
  </si>
  <si>
    <t>Comp Set</t>
  </si>
  <si>
    <t>Comp set</t>
  </si>
  <si>
    <t>Occupancy</t>
  </si>
  <si>
    <t>Other</t>
  </si>
  <si>
    <t>F&amp;B</t>
  </si>
  <si>
    <t>MTD</t>
  </si>
  <si>
    <t>My Property</t>
  </si>
  <si>
    <t>Room</t>
  </si>
  <si>
    <t>STR ID</t>
  </si>
  <si>
    <t>Name</t>
  </si>
  <si>
    <t>City, State</t>
  </si>
  <si>
    <t>PLUS Default</t>
  </si>
  <si>
    <t>Plus Default</t>
  </si>
  <si>
    <t>Monday</t>
  </si>
  <si>
    <t>Sunday</t>
  </si>
  <si>
    <t>Tuesday</t>
  </si>
  <si>
    <t>Wednesday</t>
  </si>
  <si>
    <t>Thursday</t>
  </si>
  <si>
    <t>Friday</t>
  </si>
  <si>
    <t>Saturday</t>
  </si>
  <si>
    <t xml:space="preserve"> </t>
  </si>
  <si>
    <t>Mo</t>
  </si>
  <si>
    <t>Tu</t>
  </si>
  <si>
    <t>Su</t>
  </si>
  <si>
    <t>We</t>
  </si>
  <si>
    <t>Th</t>
  </si>
  <si>
    <t>Fr</t>
  </si>
  <si>
    <t>Sa</t>
  </si>
  <si>
    <t>Occupancy (%)</t>
  </si>
  <si>
    <t>Rank</t>
  </si>
  <si>
    <t>Your rank</t>
  </si>
  <si>
    <t>% Chg</t>
  </si>
  <si>
    <t>Current</t>
  </si>
  <si>
    <t>Run</t>
  </si>
  <si>
    <t>Week</t>
  </si>
  <si>
    <t>Running 28 Days</t>
  </si>
  <si>
    <t>% of Total Revenue</t>
  </si>
  <si>
    <t>My Prop</t>
  </si>
  <si>
    <t>This Week</t>
  </si>
  <si>
    <t>TY</t>
  </si>
  <si>
    <t>LY</t>
  </si>
  <si>
    <t>Property</t>
  </si>
  <si>
    <t>Compset</t>
  </si>
  <si>
    <t>Running 28 Days (by Day of Week)</t>
  </si>
  <si>
    <t>Rooms</t>
  </si>
  <si>
    <t>Open Date</t>
  </si>
  <si>
    <t>Current Week</t>
  </si>
  <si>
    <t>Phone</t>
  </si>
  <si>
    <t>Zip</t>
  </si>
  <si>
    <t>Occ (%)</t>
  </si>
  <si>
    <t>Occ % Chg</t>
  </si>
  <si>
    <t>Index % Chg</t>
  </si>
  <si>
    <t>ADR % Chg</t>
  </si>
  <si>
    <t>RevPAR % Chg</t>
  </si>
  <si>
    <t>Start Date - EndDate</t>
  </si>
  <si>
    <t>Combined Summary - My Hotel vs. Comp Set 2</t>
  </si>
  <si>
    <t>Exchange Rate*</t>
  </si>
  <si>
    <t>Revenue Per Room Sold</t>
  </si>
  <si>
    <t xml:space="preserve">Segmentation </t>
  </si>
  <si>
    <t>Additional Revenue</t>
  </si>
  <si>
    <t>Percent Change (%)</t>
  </si>
  <si>
    <t xml:space="preserve">     % Chg</t>
  </si>
  <si>
    <t>WD</t>
  </si>
  <si>
    <t>WE</t>
  </si>
  <si>
    <t>Weekly STAR</t>
  </si>
  <si>
    <t>Index (MPI)</t>
  </si>
  <si>
    <t>Index (ARI)</t>
  </si>
  <si>
    <t>Index (RGI)</t>
  </si>
  <si>
    <t>Total (TrevPOR**)</t>
  </si>
  <si>
    <t xml:space="preserve">** TrevPOR = Total revenue per occupied room (sum of Room, F&amp;B, and Other revenue divided by total occupied rooms).  </t>
  </si>
  <si>
    <t>Job #</t>
  </si>
  <si>
    <t>Title</t>
  </si>
  <si>
    <t>Options</t>
  </si>
  <si>
    <t>Table Of Contents</t>
  </si>
  <si>
    <t>support@str.com     www.str.com</t>
  </si>
  <si>
    <t>Period</t>
  </si>
  <si>
    <t>Glossary:</t>
  </si>
  <si>
    <t>Frequently Asked Questions (FAQ):</t>
  </si>
  <si>
    <r>
      <t xml:space="preserve">For the latest in industry news, visit </t>
    </r>
    <r>
      <rPr>
        <u/>
        <sz val="11"/>
        <rFont val="Arial"/>
        <family val="2"/>
      </rPr>
      <t xml:space="preserve">HotelNewsNow.com</t>
    </r>
    <r>
      <rPr>
        <sz val="11"/>
        <rFont val="Arial"/>
        <family val="2"/>
      </rPr>
      <t xml:space="preserve">.</t>
    </r>
  </si>
  <si>
    <r>
      <t xml:space="preserve">To learn more about the Hotel Data Conference, visit </t>
    </r>
    <r>
      <rPr>
        <u/>
        <sz val="11"/>
        <rFont val="Arial"/>
        <family val="2"/>
      </rPr>
      <t xml:space="preserve">HotelDataConference.com</t>
    </r>
    <r>
      <rPr>
        <sz val="11"/>
        <rFont val="Arial"/>
        <family val="2"/>
      </rPr>
      <t xml:space="preserve">.</t>
    </r>
  </si>
  <si>
    <t>Corporate North American Headquarters</t>
  </si>
  <si>
    <t>International Headquarters</t>
  </si>
  <si>
    <t>T: +44 (0) 207 922 1930</t>
  </si>
  <si>
    <r>
      <t xml:space="preserve">For all STR definitions, please click here or visit </t>
    </r>
    <r>
      <rPr>
        <u/>
        <sz val="11"/>
        <rFont val="Arial"/>
        <family val="2"/>
      </rPr>
      <t xml:space="preserve">www.str.com/data-insights/resources/glossary</t>
    </r>
  </si>
  <si>
    <r>
      <t xml:space="preserve">For all STR FAQs, please click here or visit </t>
    </r>
    <r>
      <rPr>
        <u/>
        <sz val="11"/>
        <rFont val="Arial"/>
        <family val="2"/>
      </rPr>
      <t xml:space="preserve">www.str.com/data-insights/resources/FAQ</t>
    </r>
  </si>
  <si>
    <r>
      <t xml:space="preserve">For additional support, please </t>
    </r>
    <r>
      <rPr>
        <u/>
        <sz val="11"/>
        <rFont val="Arial"/>
        <family val="2"/>
      </rPr>
      <t xml:space="preserve">contact</t>
    </r>
    <r>
      <rPr>
        <sz val="11"/>
        <rFont val="Arial"/>
        <family val="2"/>
      </rPr>
      <t xml:space="preserve"> your regional office.</t>
    </r>
  </si>
  <si>
    <t>T: +1 (615) 824 8664</t>
  </si>
  <si>
    <t>hotelinfo@str.com     www.str.com</t>
  </si>
  <si>
    <t>2025 © CoStar Group. This STR Report is a publication of STR, LLC and STR Global, Ltd., CoStar Group companies, and is intended solely for use by paid subscribers. The information in the STR Report is provided on an “as is” and “as available” basis and should not be construed as investment, tax, accounting or legal advice. Reproduction or distribution of this STR Report, in whole or part, without written permission is prohibited and subject to legal action. If you have received this report and are NOT a subscriber to this STR Report, please contact us immediately. Source: 2025 STR, LLC / STR Global, Ltd. trading as “STR”.</t>
  </si>
  <si>
    <t>Tab 2 - Combined Summary - My Hotel vs. Comp Set</t>
  </si>
  <si>
    <t>Combined Summary</t>
  </si>
  <si>
    <t>Tab 3 - 28 Day Combined Summary - My Hotel vs. Comp Set</t>
  </si>
  <si>
    <t>28 Day Combined Summary</t>
  </si>
  <si>
    <t>Tab 4 - Weekly Performance at a Glance - My Property vs. Competitive Set</t>
  </si>
  <si>
    <t>Weekly Performance at a Glance</t>
  </si>
  <si>
    <t>Tab 5 - Segmentation at a Glance - My Property vs. Competitive Set</t>
  </si>
  <si>
    <t>Segmentation at a Glance</t>
  </si>
  <si>
    <t>Tab 6 - Daily Data for the Month</t>
  </si>
  <si>
    <t>Daily Data for the Month</t>
  </si>
  <si>
    <t>Tab 7 - Occupancy Perspectives</t>
  </si>
  <si>
    <t>Occupancy Perspectives</t>
  </si>
  <si>
    <t>Tab 8 - Segmentation Occupancy Analysis</t>
  </si>
  <si>
    <t>Segmentation Occupancy Analysis</t>
  </si>
  <si>
    <t>Tab 9 - ADR Perspectives</t>
  </si>
  <si>
    <t>ADR Perspectives</t>
  </si>
  <si>
    <t>Tab 10 - Segmentation ADR Analysis</t>
  </si>
  <si>
    <t>Segmentation ADR Analysis</t>
  </si>
  <si>
    <t>Tab 11 - RevPAR Perspectives</t>
  </si>
  <si>
    <t>RevPAR Perspectives</t>
  </si>
  <si>
    <t>Tab 12 - Segmentation RevPAR Analysis</t>
  </si>
  <si>
    <t>Segmentation RevPAR Analysis</t>
  </si>
  <si>
    <t>Tab 13 - Additional Revenue</t>
  </si>
  <si>
    <t>Tab 14 - Response Report</t>
  </si>
  <si>
    <t>Response Report</t>
  </si>
  <si>
    <t>Tab 15 - Weekly Performance at a Glance - My Property vs. Competitive Set - Comp Set 2</t>
  </si>
  <si>
    <t>Weekly Performance at a Glance - 2nd Comp</t>
  </si>
  <si>
    <t>Tab 16 - Segmentation at a Glance - My Property vs. Competitive Set - Comp Set 2</t>
  </si>
  <si>
    <t>Segmentation at a Glance - 2nd Comp</t>
  </si>
  <si>
    <t>Tab 17 - Daily Data for the Month - Comp Set 2</t>
  </si>
  <si>
    <t>Daily Data for the Month - 2nd Comp</t>
  </si>
  <si>
    <t>Tab 18 - Occupancy Perspectives - Comp Set 2</t>
  </si>
  <si>
    <t>Occupancy Perspectives - 2nd Comp</t>
  </si>
  <si>
    <t>Tab 19 - Segmentation Occupancy Analysis - Comp Set 2</t>
  </si>
  <si>
    <t>Segmentation Occupancy Analysis - 2nd Comp</t>
  </si>
  <si>
    <t>Tab 20 - ADR Perspectives - Comp Set 2</t>
  </si>
  <si>
    <t>ADR Perspectives - 2nd Comp</t>
  </si>
  <si>
    <t>Tab 21 - Segmentation ADR Analysis - Comp Set 2</t>
  </si>
  <si>
    <t>Segmentation ADR Analysis - 2nd Comp</t>
  </si>
  <si>
    <t>Tab 22 - RevPAR Perspectives - Comp Set 2</t>
  </si>
  <si>
    <t>RevPAR Perspectives - 2nd Comp</t>
  </si>
  <si>
    <t>Tab 23 - Segmentation RevPAR Analysis - Comp Set 2</t>
  </si>
  <si>
    <t>Segmentation RevPAR Analysis - 2nd Comp</t>
  </si>
  <si>
    <t>Tab 24 - Additional Revenue - Comp Set 2</t>
  </si>
  <si>
    <t>Additional Revenue - 2nd Comp</t>
  </si>
  <si>
    <t>Tab 25 - Response Report - Comp Set 2</t>
  </si>
  <si>
    <t>Response Report - 2nd Comp</t>
  </si>
  <si>
    <t>Help</t>
  </si>
  <si>
    <t>Weekly STAR Report : Kimpton Angler's Hotel</t>
  </si>
  <si>
    <t>STR # 56387 / Created May 28, 2025</t>
  </si>
  <si>
    <t>For the Week of: May 18, 2025 - May 24, 2025</t>
  </si>
  <si>
    <t>Currency: US Dollar  /  Competitive Set Data Excludes Subject Property</t>
  </si>
  <si>
    <t>May 18, 2025 - May 24, 2025</t>
  </si>
  <si>
    <t>Kimpton Angler's Hotel        600 Washington Ave        Miami Beach, FL 33139-6207        Phone: (305) 534-9600</t>
  </si>
  <si>
    <t>Created: May 28, 2025</t>
  </si>
  <si>
    <t>2 of 5</t>
  </si>
  <si>
    <t>3 of 5</t>
  </si>
  <si>
    <t>2 of 4</t>
  </si>
  <si>
    <t>3 of 4</t>
  </si>
  <si>
    <t>1 of 4</t>
  </si>
  <si>
    <t>4 of 4</t>
  </si>
  <si>
    <t>1 of 5</t>
  </si>
  <si>
    <t/>
  </si>
  <si>
    <t>April 27, 2025 - May 24, 2025</t>
  </si>
  <si>
    <t>5 of 5</t>
  </si>
  <si>
    <t>4 of 5</t>
  </si>
  <si>
    <t>STR # 56387        Chain ID: 18033        Mgt Co: Kimpton Hotels/IHG        Owner: KHP Capital Partners</t>
  </si>
  <si>
    <t>For the Week of: May 18, 2025 - May 24, 2025        Date Created: May 28, 2025        Competitive Set Data Excludes Subject Property</t>
  </si>
  <si>
    <t>May</t>
  </si>
  <si>
    <t>Market Scale: Miami, FL Upper Upscale Chains</t>
  </si>
  <si>
    <t>Market Scale</t>
  </si>
  <si>
    <t>Apr</t>
  </si>
  <si>
    <t>Market Scale*: Miami, FL Upper Upscale Chains</t>
  </si>
  <si>
    <t>For the Week of: May 18, 2025 - May 24, 2025        Date Created: May 28, 2025</t>
  </si>
  <si>
    <t>Kimpton Angler's Hotel</t>
  </si>
  <si>
    <t>Miami Beach, FL</t>
  </si>
  <si>
    <t>33139-6207</t>
  </si>
  <si>
    <t>(305) 534-9600</t>
  </si>
  <si>
    <t>200706</t>
  </si>
  <si>
    <t>X</t>
  </si>
  <si>
    <t>Dream South Beach</t>
  </si>
  <si>
    <t>33139</t>
  </si>
  <si>
    <t>(305) 673-4747</t>
  </si>
  <si>
    <t>194906</t>
  </si>
  <si>
    <t>Closed - Blue Moon Hotel</t>
  </si>
  <si>
    <t>193406</t>
  </si>
  <si>
    <t>The Tony Hotel of South Beach</t>
  </si>
  <si>
    <t>(305) 531-2222</t>
  </si>
  <si>
    <t>193906</t>
  </si>
  <si>
    <t>L</t>
  </si>
  <si>
    <t>The Betsy South Beach</t>
  </si>
  <si>
    <t>(305) 531-6100</t>
  </si>
  <si>
    <t>194506</t>
  </si>
  <si>
    <t>Z Ocean Hotel, Classico A Sonesta Collection</t>
  </si>
  <si>
    <t>33139-4103</t>
  </si>
  <si>
    <t>(305) 672-4554</t>
  </si>
  <si>
    <t>200612</t>
  </si>
  <si>
    <t>Data received: X = Both years, T = This year only, L = Last year only, blank = No data</t>
  </si>
  <si>
    <t>2025 (This Year)</t>
  </si>
  <si>
    <t>Apr/May</t>
  </si>
  <si>
    <t>2024 (Last Year)</t>
  </si>
  <si>
    <t>Apr 13th</t>
  </si>
  <si>
    <t>- First Day of Passover</t>
  </si>
  <si>
    <t>Apr 18th</t>
  </si>
  <si>
    <t>- Good Friday</t>
  </si>
  <si>
    <t>Apr 20th</t>
  </si>
  <si>
    <t>- Easter Sunday</t>
  </si>
  <si>
    <t>May 11th</t>
  </si>
  <si>
    <t>- Mother's Day</t>
  </si>
  <si>
    <t>Apr 23rd</t>
  </si>
  <si>
    <t>May 12th</t>
  </si>
  <si>
    <t>May 27th</t>
  </si>
  <si>
    <t>- Memorial Day</t>
  </si>
  <si>
    <t>June 16th</t>
  </si>
  <si>
    <t>- Father's Day</t>
  </si>
  <si>
    <t>June 19th</t>
  </si>
  <si>
    <t>- Juneteenth</t>
  </si>
  <si>
    <t>July 4th</t>
  </si>
  <si>
    <t>- Independence Day</t>
  </si>
  <si>
    <t>8 of 9</t>
  </si>
  <si>
    <t>9 of 9</t>
  </si>
  <si>
    <t>7 of 9</t>
  </si>
  <si>
    <t>2 of 9</t>
  </si>
  <si>
    <t>4 of 9</t>
  </si>
  <si>
    <t>5 of 9</t>
  </si>
  <si>
    <t>3 of 9</t>
  </si>
  <si>
    <t>6 of 9</t>
  </si>
  <si>
    <t>1 of 9</t>
  </si>
  <si>
    <t>8 of 8</t>
  </si>
  <si>
    <t>7 of 8</t>
  </si>
  <si>
    <t>4 of 8</t>
  </si>
  <si>
    <t>1 of 8</t>
  </si>
  <si>
    <t>5 of 8</t>
  </si>
  <si>
    <t>The Gabriel South Beach, Curio Collection by Hilton</t>
  </si>
  <si>
    <t>33139-6219</t>
  </si>
  <si>
    <t>(305) 685-2000</t>
  </si>
  <si>
    <t>193706</t>
  </si>
  <si>
    <t>Kimpton Surfcomber Hotel</t>
  </si>
  <si>
    <t>33139-2006</t>
  </si>
  <si>
    <t>(305) 532-7715</t>
  </si>
  <si>
    <t>194106</t>
  </si>
  <si>
    <t>Gale South Beach, Curio Collection by Hilton</t>
  </si>
  <si>
    <t>(305) 673-0199</t>
  </si>
  <si>
    <t>201212</t>
  </si>
  <si>
    <t>Hyatt Centric South Beach Miami</t>
  </si>
  <si>
    <t>(305) 428-1234</t>
  </si>
  <si>
    <t>201506</t>
  </si>
  <si>
    <t>Lennox Miami Beach</t>
  </si>
  <si>
    <t>(305) 531-6800</t>
  </si>
  <si>
    <t>201908</t>
  </si>
  <si>
    <t>T</t>
  </si>
  <si>
    <t>Kimpton Hotel Palomar South Beach</t>
  </si>
  <si>
    <t>33139-2412</t>
  </si>
  <si>
    <t>(786) 628-2000</t>
  </si>
  <si>
    <t>202002</t>
  </si>
  <si>
    <t>MOXY Miami South Beach</t>
  </si>
  <si>
    <t>33139-5015</t>
  </si>
  <si>
    <t>(305) 600-4292</t>
  </si>
  <si>
    <t>202102</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</si>
</sst>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1">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mmmm\ d\,\ yyyy"/>
    <numFmt numFmtId="165" formatCode="0.0%"/>
    <numFmt numFmtId="166" formatCode="0.0"/>
    <numFmt numFmtId="167" formatCode="&quot;$&quot;#,##0.00"/>
    <numFmt numFmtId="168" formatCode="#,##0.0_);\(#,##0.0\);_(* &quot;&quot;??_);"/>
    <numFmt numFmtId="169" formatCode="mmm\ dd"/>
    <numFmt numFmtId="170" formatCode="[$-409]d\-mmm;@"/>
  </numFmts>
  <fonts count="84">
    <font>
      <sz val="10"/>
      <name val="Arial"/>
    </font>
    <font>
      <sz val="10"/>
      <name val="Arial"/>
    </font>
    <font>
      <u/>
      <sz val="10"/>
      <color indexed="36"/>
      <name val="Arial"/>
      <family val="2"/>
    </font>
    <font>
      <b/>
      <sz val="11"/>
      <color indexed="9"/>
      <name val="Arial"/>
      <family val="2"/>
    </font>
    <font>
      <sz val="10"/>
      <name val="Arial"/>
      <family val="2"/>
    </font>
    <font>
      <sz val="11"/>
      <name val="Arial"/>
      <family val="2"/>
    </font>
    <font>
      <b/>
      <sz val="12"/>
      <name val="Arial"/>
      <family val="2"/>
    </font>
    <font>
      <sz val="16"/>
      <name val="Arial"/>
      <family val="2"/>
    </font>
    <font>
      <sz val="14"/>
      <name val="Arial"/>
      <family val="2"/>
    </font>
    <font>
      <sz val="9"/>
      <name val="Arial"/>
      <family val="2"/>
    </font>
    <font>
      <b/>
      <sz val="9"/>
      <name val="Arial"/>
      <family val="2"/>
    </font>
    <font>
      <b/>
      <sz val="10"/>
      <name val="Arial"/>
      <family val="2"/>
    </font>
    <font>
      <sz val="8"/>
      <name val="Arial"/>
      <family val="2"/>
    </font>
    <font>
      <sz val="18"/>
      <name val="Arial"/>
      <family val="2"/>
    </font>
    <font>
      <sz val="12"/>
      <name val="Arial"/>
      <family val="2"/>
    </font>
    <font>
      <sz val="25"/>
      <name val="Arial"/>
      <family val="2"/>
    </font>
    <font>
      <b/>
      <sz val="13"/>
      <name val="Arial"/>
      <family val="2"/>
    </font>
    <font>
      <sz val="7.5"/>
      <name val="Arial"/>
      <family val="2"/>
    </font>
    <font>
      <sz val="10"/>
      <color indexed="8"/>
      <name val="Arial"/>
      <family val="2"/>
    </font>
    <font>
      <b/>
      <sz val="12"/>
      <color indexed="9"/>
      <name val="Arial"/>
      <family val="2"/>
    </font>
    <font>
      <b/>
      <sz val="14"/>
      <name val="Arial"/>
      <family val="2"/>
    </font>
    <font>
      <b/>
      <sz val="12"/>
      <color indexed="8"/>
      <name val="Arial"/>
      <family val="2"/>
    </font>
    <font>
      <b/>
      <i/>
      <sz val="14"/>
      <color indexed="10"/>
      <name val="Arial"/>
      <family val="2"/>
    </font>
    <font>
      <b/>
      <sz val="14"/>
      <color indexed="8"/>
      <name val="Arial"/>
      <family val="2"/>
    </font>
    <font>
      <b/>
      <sz val="9"/>
      <color indexed="8"/>
      <name val="Arial"/>
      <family val="2"/>
    </font>
    <font>
      <sz val="13"/>
      <name val="Arial"/>
      <family val="2"/>
    </font>
    <font>
      <sz val="8"/>
      <name val="Wingdings"/>
      <charset val="2"/>
    </font>
    <font>
      <b/>
      <sz val="18"/>
      <name val="Arial"/>
      <family val="2"/>
    </font>
    <font>
      <b/>
      <sz val="14"/>
      <color indexed="9"/>
      <name val="Arial"/>
      <family val="2"/>
    </font>
    <font>
      <sz val="10"/>
      <color indexed="9"/>
      <name val="Arial"/>
      <family val="2"/>
    </font>
    <font>
      <sz val="10"/>
      <color indexed="55"/>
      <name val="Arial"/>
      <family val="2"/>
    </font>
    <font>
      <b/>
      <sz val="8"/>
      <name val="Arial"/>
      <family val="2"/>
    </font>
    <font>
      <sz val="14"/>
      <name val="Arial"/>
      <family val="2"/>
    </font>
    <font>
      <b/>
      <sz val="9"/>
      <name val="Arial"/>
      <family val="2"/>
    </font>
    <font>
      <sz val="9"/>
      <name val="Arial"/>
      <family val="2"/>
    </font>
    <font>
      <sz val="18"/>
      <name val="Arial"/>
      <family val="2"/>
    </font>
    <font>
      <b/>
      <sz val="10"/>
      <name val="Arial"/>
      <family val="2"/>
    </font>
    <font>
      <sz val="12"/>
      <name val="Arial"/>
      <family val="2"/>
    </font>
    <font>
      <sz val="7"/>
      <name val="Webdings"/>
      <family val="1"/>
      <charset val="2"/>
    </font>
    <font>
      <sz val="8"/>
      <name val="Arial"/>
      <family val="2"/>
    </font>
    <font>
      <b/>
      <sz val="12"/>
      <name val="Arial"/>
      <family val="2"/>
    </font>
    <font>
      <sz val="10"/>
      <name val="Webdings"/>
      <family val="1"/>
      <charset val="2"/>
    </font>
    <font>
      <sz val="11"/>
      <name val="Arial"/>
      <family val="2"/>
    </font>
    <font>
      <b/>
      <sz val="11"/>
      <name val="Arial"/>
      <family val="2"/>
    </font>
    <font>
      <b/>
      <sz val="11"/>
      <name val="Arial"/>
      <family val="2"/>
    </font>
    <font>
      <sz val="13"/>
      <name val="Arial"/>
      <family val="2"/>
    </font>
    <font>
      <b/>
      <sz val="13"/>
      <name val="Arial"/>
      <family val="2"/>
    </font>
    <font>
      <sz val="10"/>
      <name val="Webdings"/>
      <family val="1"/>
      <charset val="2"/>
    </font>
    <font>
      <u/>
      <sz val="10"/>
      <color indexed="39"/>
      <name val="Arial"/>
      <family val="2"/>
    </font>
    <font>
      <sz val="24"/>
      <color indexed="9"/>
      <name val="Arial"/>
      <family val="2"/>
    </font>
    <font>
      <b/>
      <sz val="14"/>
      <name val="Arial"/>
      <family val="2"/>
    </font>
    <font>
      <b/>
      <sz val="14"/>
      <color indexed="8"/>
      <name val="Arial"/>
      <family val="2"/>
    </font>
    <font>
      <sz val="10"/>
      <color indexed="8"/>
      <name val="Arial"/>
      <family val="2"/>
    </font>
    <font>
      <b/>
      <sz val="9"/>
      <color indexed="8"/>
      <name val="Arial"/>
      <family val="2"/>
    </font>
    <font>
      <sz val="10"/>
      <color indexed="9"/>
      <name val="Arial"/>
      <family val="2"/>
    </font>
    <font>
      <b/>
      <sz val="14"/>
      <color indexed="9"/>
      <name val="Arial"/>
      <family val="2"/>
    </font>
    <font>
      <b/>
      <sz val="13"/>
      <color indexed="9"/>
      <name val="Arial"/>
      <family val="2"/>
    </font>
    <font>
      <b/>
      <sz val="16"/>
      <color indexed="9"/>
      <name val="Arial"/>
      <family val="2"/>
    </font>
    <font>
      <sz val="11"/>
      <color indexed="55"/>
      <name val="Arial"/>
      <family val="2"/>
    </font>
    <font>
      <sz val="10"/>
      <name val="Arial"/>
      <family val="2"/>
    </font>
    <font>
      <b/>
      <sz val="16"/>
      <name val="Arial"/>
      <family val="2"/>
    </font>
    <font>
      <sz val="13"/>
      <color indexed="9"/>
      <name val="Arial"/>
      <family val="2"/>
    </font>
    <font>
      <b/>
      <sz val="12"/>
      <color indexed="38"/>
      <name val="Arial"/>
      <family val="2"/>
    </font>
    <font>
      <sz val="9"/>
      <color indexed="9"/>
      <name val="Arial"/>
      <family val="2"/>
    </font>
    <font>
      <sz val="12"/>
      <color indexed="38"/>
      <name val="Arial"/>
      <family val="2"/>
    </font>
    <font>
      <sz val="24"/>
      <color indexed="9"/>
      <name val="Arial"/>
      <family val="2"/>
    </font>
    <font>
      <b/>
      <sz val="10"/>
      <color indexed="9"/>
      <name val="Arial"/>
      <family val="2"/>
    </font>
    <font>
      <sz val="8"/>
      <color indexed="9"/>
      <name val="Arial"/>
      <family val="2"/>
    </font>
    <font>
      <sz val="19"/>
      <color indexed="9"/>
      <name val="Arial"/>
      <family val="2"/>
    </font>
    <font>
      <sz val="10"/>
      <name val="Arial"/>
      <family val="2"/>
    </font>
    <font>
      <u/>
      <sz val="11"/>
      <name val="Arial"/>
      <family val="2"/>
    </font>
    <font>
      <b/>
      <i/>
      <sz val="10"/>
      <color indexed="10"/>
      <name val="Arial"/>
      <family val="2"/>
    </font>
    <font>
      <b/>
      <i/>
      <sz val="9"/>
      <color indexed="10"/>
      <name val="Arial"/>
      <family val="2"/>
    </font>
    <font>
      <sz val="11"/>
      <color theme="1"/>
      <name val="Calibri"/>
      <family val="2"/>
      <scheme val="minor"/>
    </font>
    <font>
      <u/>
      <sz val="11"/>
      <color theme="10"/>
      <name val="Calibri"/>
      <family val="2"/>
      <scheme val="minor"/>
    </font>
    <font>
      <sz val="11"/>
      <color rgb="FFFF0000"/>
      <name val="Calibri"/>
      <family val="2"/>
      <scheme val="minor"/>
    </font>
    <font>
      <b/>
      <sz val="18"/>
      <color theme="1"/>
      <name val="Arial"/>
      <family val="2"/>
    </font>
    <font>
      <sz val="18"/>
      <color theme="1"/>
      <name val="Arial"/>
      <family val="2"/>
    </font>
    <font>
      <b/>
      <sz val="11"/>
      <color theme="1"/>
      <name val="Arial"/>
      <family val="2"/>
    </font>
    <font>
      <sz val="11"/>
      <color theme="1"/>
      <name val="Arial"/>
      <family val="2"/>
    </font>
    <font>
      <u/>
      <color rgb="FF0000FF"/>
    </font>
    <font>
      <color rgb="FFFFFFFF"/>
    </font>
    <font>
      <color rgb="FFA0A0A0"/>
    </font>
    <font/>
  </fonts>
  <fills count="18">
    <fill>
      <patternFill patternType="none"/>
    </fill>
    <fill>
      <patternFill patternType="gray125"/>
    </fill>
    <fill>
      <patternFill patternType="solid">
        <fgColor indexed="59"/>
      </patternFill>
    </fill>
    <fill>
      <patternFill patternType="solid">
        <fgColor indexed="9"/>
      </patternFill>
    </fill>
    <fill>
      <patternFill patternType="solid">
        <fgColor indexed="63"/>
      </patternFill>
    </fill>
    <fill>
      <patternFill patternType="solid">
        <fgColor indexed="55"/>
      </patternFill>
    </fill>
    <fill>
      <patternFill patternType="solid">
        <fgColor indexed="22"/>
      </patternFill>
    </fill>
    <fill>
      <patternFill patternType="solid">
        <fgColor indexed="61"/>
      </patternFill>
    </fill>
    <fill>
      <patternFill patternType="solid">
        <fgColor indexed="60"/>
      </patternFill>
    </fill>
    <fill>
      <patternFill patternType="solid">
        <fgColor indexed="57"/>
      </patternFill>
    </fill>
    <fill>
      <patternFill patternType="solid">
        <fgColor indexed="31"/>
      </patternFill>
    </fill>
    <fill>
      <patternFill patternType="solid">
        <fgColor indexed="39"/>
      </patternFill>
    </fill>
    <fill>
      <patternFill patternType="solid">
        <fgColor indexed="45"/>
      </patternFill>
    </fill>
    <fill>
      <patternFill patternType="solid">
        <fgColor theme="0"/>
      </patternFill>
    </fill>
    <fill>
      <patternFill patternType="solid">
        <fgColor rgb="FFFFFFFF"/>
      </patternFill>
    </fill>
    <fill>
      <patternFill patternType="solid">
        <fgColor rgb="FFFFFFFF"/>
      </patternFill>
    </fill>
    <fill>
      <patternFill patternType="solid">
        <fgColor rgb="FFA0A0A0"/>
      </patternFill>
    </fill>
    <fill>
      <patternFill patternType="solid">
        <fgColor rgb="FFEAEAEA"/>
      </patternFill>
    </fill>
  </fills>
  <borders count="73">
    <border>
      <left>
        <color/>
      </left>
      <right>
        <color/>
      </right>
      <top>
        <color/>
      </top>
      <bottom>
        <color/>
      </bottom>
      <diagonal>
        <color/>
      </diagonal>
    </border>
    <border>
      <left style="thin">
        <color indexed="39"/>
      </left>
      <right style="thin">
        <color indexed="39"/>
      </right>
      <top style="thin">
        <color indexed="39"/>
      </top>
      <bottom style="thin">
        <color indexed="39"/>
      </bottom>
      <diagonal>
        <color/>
      </diagonal>
    </border>
    <border>
      <left style="thin">
        <color indexed="55"/>
      </left>
      <right style="thin">
        <color indexed="55"/>
      </right>
      <top style="thin">
        <color indexed="55"/>
      </top>
      <bottom style="thin">
        <color indexed="55"/>
      </bottom>
      <diagonal>
        <color/>
      </diagonal>
    </border>
    <border>
      <left>
        <color/>
      </left>
      <right>
        <color/>
      </right>
      <top style="thin">
        <color indexed="55"/>
      </top>
      <bottom style="thin">
        <color indexed="55"/>
      </bottom>
      <diagonal>
        <color/>
      </diagonal>
    </border>
    <border>
      <left style="thin">
        <color indexed="55"/>
      </left>
      <right>
        <color/>
      </right>
      <top style="thin">
        <color indexed="55"/>
      </top>
      <bottom style="thin">
        <color indexed="55"/>
      </bottom>
      <diagonal>
        <color/>
      </diagonal>
    </border>
    <border>
      <left>
        <color/>
      </left>
      <right style="thin">
        <color indexed="55"/>
      </right>
      <top style="thin">
        <color indexed="55"/>
      </top>
      <bottom style="thin">
        <color indexed="55"/>
      </bottom>
      <diagonal>
        <color/>
      </diagonal>
    </border>
    <border>
      <left style="medium">
        <color indexed="64"/>
      </left>
      <right>
        <color/>
      </right>
      <top>
        <color/>
      </top>
      <bottom>
        <color/>
      </bottom>
      <diagonal>
        <color/>
      </diagonal>
    </border>
    <border>
      <left>
        <color/>
      </left>
      <right style="medium">
        <color indexed="64"/>
      </right>
      <top>
        <color/>
      </top>
      <bottom>
        <color/>
      </bottom>
      <diagonal>
        <color/>
      </diagonal>
    </border>
    <border>
      <left>
        <color/>
      </left>
      <right style="thin">
        <color indexed="55"/>
      </right>
      <top>
        <color/>
      </top>
      <bottom>
        <color/>
      </bottom>
      <diagonal>
        <color/>
      </diagonal>
    </border>
    <border>
      <left>
        <color/>
      </left>
      <right style="thin">
        <color indexed="55"/>
      </right>
      <top>
        <color/>
      </top>
      <bottom style="thin">
        <color indexed="55"/>
      </bottom>
      <diagonal>
        <color/>
      </diagonal>
    </border>
    <border>
      <left>
        <color/>
      </left>
      <right style="thin">
        <color indexed="55"/>
      </right>
      <top style="thin">
        <color indexed="55"/>
      </top>
      <bottom>
        <color/>
      </bottom>
      <diagonal>
        <color/>
      </diagonal>
    </border>
    <border>
      <left>
        <color/>
      </left>
      <right>
        <color/>
      </right>
      <top>
        <color/>
      </top>
      <bottom style="thin">
        <color indexed="55"/>
      </bottom>
      <diagonal>
        <color/>
      </diagonal>
    </border>
    <border>
      <left>
        <color/>
      </left>
      <right>
        <color/>
      </right>
      <top style="thin">
        <color indexed="55"/>
      </top>
      <bottom>
        <color/>
      </bottom>
      <diagonal>
        <color/>
      </diagonal>
    </border>
    <border>
      <left style="thin">
        <color indexed="22"/>
      </left>
      <right>
        <color/>
      </right>
      <top style="thin">
        <color indexed="22"/>
      </top>
      <bottom>
        <color/>
      </bottom>
      <diagonal>
        <color/>
      </diagonal>
    </border>
    <border>
      <left style="thin">
        <color indexed="22"/>
      </left>
      <right>
        <color/>
      </right>
      <top>
        <color/>
      </top>
      <bottom>
        <color/>
      </bottom>
      <diagonal>
        <color/>
      </diagonal>
    </border>
    <border>
      <left style="thin">
        <color indexed="22"/>
      </left>
      <right>
        <color/>
      </right>
      <top>
        <color/>
      </top>
      <bottom style="thin">
        <color indexed="22"/>
      </bottom>
      <diagonal>
        <color/>
      </diagonal>
    </border>
    <border>
      <left style="medium">
        <color indexed="64"/>
      </left>
      <right>
        <color/>
      </right>
      <top>
        <color/>
      </top>
      <bottom style="medium">
        <color indexed="64"/>
      </bottom>
      <diagonal>
        <color/>
      </diagonal>
    </border>
    <border>
      <left>
        <color/>
      </left>
      <right>
        <color/>
      </right>
      <top>
        <color/>
      </top>
      <bottom style="medium">
        <color indexed="64"/>
      </bottom>
      <diagonal>
        <color/>
      </diagonal>
    </border>
    <border>
      <left>
        <color/>
      </left>
      <right style="medium">
        <color indexed="64"/>
      </right>
      <top>
        <color/>
      </top>
      <bottom style="medium">
        <color indexed="64"/>
      </bottom>
      <diagonal>
        <color/>
      </diagonal>
    </border>
    <border>
      <left>
        <color/>
      </left>
      <right>
        <color/>
      </right>
      <top>
        <color/>
      </top>
      <bottom style="thin">
        <color indexed="64"/>
      </bottom>
      <diagonal>
        <color/>
      </diagonal>
    </border>
    <border>
      <left style="thin">
        <color indexed="64"/>
      </left>
      <right>
        <color/>
      </right>
      <top>
        <color/>
      </top>
      <bottom>
        <color/>
      </bottom>
      <diagonal>
        <color/>
      </diagonal>
    </border>
    <border>
      <left style="thin">
        <color indexed="64"/>
      </left>
      <right>
        <color/>
      </right>
      <top>
        <color/>
      </top>
      <bottom style="thin">
        <color indexed="64"/>
      </bottom>
      <diagonal>
        <color/>
      </diagonal>
    </border>
    <border>
      <left style="thin">
        <color indexed="39"/>
      </left>
      <right>
        <color/>
      </right>
      <top>
        <color/>
      </top>
      <bottom>
        <color/>
      </bottom>
      <diagonal>
        <color/>
      </diagonal>
    </border>
    <border>
      <left>
        <color/>
      </left>
      <right style="thin">
        <color indexed="39"/>
      </right>
      <top>
        <color/>
      </top>
      <bottom>
        <color/>
      </bottom>
      <diagonal>
        <color/>
      </diagonal>
    </border>
    <border>
      <left style="thin">
        <color indexed="39"/>
      </left>
      <right>
        <color/>
      </right>
      <top style="thin">
        <color indexed="39"/>
      </top>
      <bottom>
        <color/>
      </bottom>
      <diagonal>
        <color/>
      </diagonal>
    </border>
    <border>
      <left>
        <color/>
      </left>
      <right>
        <color/>
      </right>
      <top style="thin">
        <color indexed="39"/>
      </top>
      <bottom>
        <color/>
      </bottom>
      <diagonal>
        <color/>
      </diagonal>
    </border>
    <border>
      <left>
        <color/>
      </left>
      <right style="thin">
        <color indexed="39"/>
      </right>
      <top style="thin">
        <color indexed="39"/>
      </top>
      <bottom>
        <color/>
      </bottom>
      <diagonal>
        <color/>
      </diagonal>
    </border>
    <border>
      <left style="thin">
        <color indexed="39"/>
      </left>
      <right>
        <color/>
      </right>
      <top>
        <color/>
      </top>
      <bottom style="thin">
        <color indexed="39"/>
      </bottom>
      <diagonal>
        <color/>
      </diagonal>
    </border>
    <border>
      <left>
        <color/>
      </left>
      <right>
        <color/>
      </right>
      <top>
        <color/>
      </top>
      <bottom style="thin">
        <color indexed="39"/>
      </bottom>
      <diagonal>
        <color/>
      </diagonal>
    </border>
    <border>
      <left>
        <color/>
      </left>
      <right style="thin">
        <color indexed="39"/>
      </right>
      <top>
        <color/>
      </top>
      <bottom style="thin">
        <color indexed="39"/>
      </bottom>
      <diagonal>
        <color/>
      </diagonal>
    </border>
    <border>
      <left style="thin">
        <color indexed="39"/>
      </left>
      <right>
        <color/>
      </right>
      <top style="thin">
        <color indexed="39"/>
      </top>
      <bottom style="thin">
        <color indexed="39"/>
      </bottom>
      <diagonal>
        <color/>
      </diagonal>
    </border>
    <border>
      <left>
        <color/>
      </left>
      <right>
        <color/>
      </right>
      <top style="thin">
        <color indexed="39"/>
      </top>
      <bottom style="thin">
        <color indexed="39"/>
      </bottom>
      <diagonal>
        <color/>
      </diagonal>
    </border>
    <border>
      <left>
        <color/>
      </left>
      <right style="thin">
        <color indexed="39"/>
      </right>
      <top style="thin">
        <color indexed="39"/>
      </top>
      <bottom style="thin">
        <color indexed="39"/>
      </bottom>
      <diagonal>
        <color/>
      </diagonal>
    </border>
    <border>
      <left style="thin">
        <color indexed="39"/>
      </left>
      <right style="thin">
        <color indexed="39"/>
      </right>
      <top style="thin">
        <color indexed="39"/>
      </top>
      <bottom>
        <color/>
      </bottom>
      <diagonal>
        <color/>
      </diagonal>
    </border>
    <border>
      <left style="thin">
        <color indexed="39"/>
      </left>
      <right style="thin">
        <color indexed="39"/>
      </right>
      <top>
        <color/>
      </top>
      <bottom>
        <color/>
      </bottom>
      <diagonal>
        <color/>
      </diagonal>
    </border>
    <border>
      <left style="thin">
        <color indexed="39"/>
      </left>
      <right style="thin">
        <color indexed="39"/>
      </right>
      <top>
        <color/>
      </top>
      <bottom style="thin">
        <color indexed="39"/>
      </bottom>
      <diagonal>
        <color/>
      </diagonal>
    </border>
    <border>
      <left style="medium">
        <color indexed="64"/>
      </left>
      <right>
        <color/>
      </right>
      <top style="thin">
        <color indexed="39"/>
      </top>
      <bottom>
        <color/>
      </bottom>
      <diagonal>
        <color/>
      </diagonal>
    </border>
    <border>
      <left style="medium">
        <color indexed="64"/>
      </left>
      <right>
        <color/>
      </right>
      <top>
        <color/>
      </top>
      <bottom style="thin">
        <color indexed="39"/>
      </bottom>
      <diagonal>
        <color/>
      </diagonal>
    </border>
    <border>
      <left>
        <color/>
      </left>
      <right style="medium">
        <color indexed="64"/>
      </right>
      <top style="thin">
        <color indexed="39"/>
      </top>
      <bottom>
        <color/>
      </bottom>
      <diagonal>
        <color/>
      </diagonal>
    </border>
    <border>
      <left>
        <color/>
      </left>
      <right style="medium">
        <color indexed="64"/>
      </right>
      <top>
        <color/>
      </top>
      <bottom style="thin">
        <color indexed="39"/>
      </bottom>
      <diagonal>
        <color/>
      </diagonal>
    </border>
    <border>
      <left style="medium">
        <color indexed="64"/>
      </left>
      <right>
        <color/>
      </right>
      <top style="thin">
        <color indexed="39"/>
      </top>
      <bottom style="thin">
        <color indexed="39"/>
      </bottom>
      <diagonal>
        <color/>
      </diagonal>
    </border>
    <border>
      <left>
        <color/>
      </left>
      <right style="medium">
        <color indexed="64"/>
      </right>
      <top style="thin">
        <color indexed="39"/>
      </top>
      <bottom style="thin">
        <color indexed="39"/>
      </bottom>
      <diagonal>
        <color/>
      </diagonal>
    </border>
    <border>
      <left style="medium">
        <color indexed="64"/>
      </left>
      <right>
        <color/>
      </right>
      <top style="medium">
        <color indexed="64"/>
      </top>
      <bottom>
        <color/>
      </bottom>
      <diagonal>
        <color/>
      </diagonal>
    </border>
    <border>
      <left>
        <color/>
      </left>
      <right>
        <color/>
      </right>
      <top style="medium">
        <color indexed="64"/>
      </top>
      <bottom>
        <color/>
      </bottom>
      <diagonal>
        <color/>
      </diagonal>
    </border>
    <border>
      <left>
        <color/>
      </left>
      <right style="medium">
        <color indexed="64"/>
      </right>
      <top style="medium">
        <color indexed="64"/>
      </top>
      <bottom>
        <color/>
      </bottom>
      <diagonal>
        <color/>
      </diagonal>
    </border>
    <border>
      <left style="medium">
        <color indexed="64"/>
      </left>
      <right style="medium">
        <color indexed="64"/>
      </right>
      <top style="medium">
        <color indexed="64"/>
      </top>
      <bottom>
        <color/>
      </bottom>
      <diagonal>
        <color/>
      </diagonal>
    </border>
    <border>
      <left style="medium">
        <color indexed="64"/>
      </left>
      <right style="medium">
        <color indexed="64"/>
      </right>
      <top>
        <color/>
      </top>
      <bottom>
        <color/>
      </bottom>
      <diagonal>
        <color/>
      </diagonal>
    </border>
    <border diagonalUp="0" diagonalDown="0">
      <left>
        <color auto="1" indexed="64"/>
      </left>
      <right>
        <color auto="1" indexed="64"/>
      </right>
      <top>
        <color auto="1" indexed="64"/>
      </top>
      <bottom>
        <color auto="1" indexed="64"/>
      </bottom>
      <diagonal>
        <color/>
      </diagonal>
    </border>
    <border diagonalUp="0" diagonalDown="0">
      <left style="thin">
        <color auto="1" indexed="64"/>
      </left>
      <right>
        <color auto="1" indexed="64"/>
      </right>
      <top>
        <color auto="1" indexed="64"/>
      </top>
      <bottom>
        <color auto="1" indexed="64"/>
      </bottom>
      <diagonal>
        <color/>
      </diagonal>
    </border>
    <border diagonalUp="1" diagonalDown="1">
      <left>
        <color rgb="FFFFFFFF"/>
      </left>
      <right>
        <color rgb="FFFFFFFF"/>
      </right>
      <top>
        <color rgb="FFFFFFFF"/>
      </top>
      <bottom>
        <color rgb="FFFFFFFF"/>
      </bottom>
      <diagonal>
        <color rgb="FFFFFFFF"/>
      </diagonal>
    </border>
    <border>
      <left style="thin">
        <color rgb="FFA0A0A0"/>
      </left>
      <right>
        <color/>
      </right>
      <top style="thin">
        <color indexed="39"/>
      </top>
      <bottom>
        <color/>
      </bottom>
      <diagonal>
        <color/>
      </diagonal>
    </border>
    <border>
      <left style="thin">
        <color rgb="FFA0A0A0"/>
      </left>
      <right>
        <color/>
      </right>
      <top>
        <color/>
      </top>
      <bottom>
        <color/>
      </bottom>
      <diagonal>
        <color/>
      </diagonal>
    </border>
    <border>
      <left style="thin">
        <color rgb="FFA0A0A0"/>
      </left>
      <right>
        <color/>
      </right>
      <top>
        <color/>
      </top>
      <bottom style="thin">
        <color indexed="39"/>
      </bottom>
      <diagonal>
        <color/>
      </diagonal>
    </border>
    <border>
      <left style="thin">
        <color indexed="39"/>
      </left>
      <right>
        <color/>
      </right>
      <top style="thin">
        <color rgb="FFA0A0A0"/>
      </top>
      <bottom>
        <color/>
      </bottom>
      <diagonal>
        <color/>
      </diagonal>
    </border>
    <border>
      <left>
        <color/>
      </left>
      <right>
        <color/>
      </right>
      <top style="thin">
        <color rgb="FFA0A0A0"/>
      </top>
      <bottom>
        <color/>
      </bottom>
      <diagonal>
        <color/>
      </diagonal>
    </border>
    <border>
      <left>
        <color/>
      </left>
      <right style="thin">
        <color indexed="39"/>
      </right>
      <top style="thin">
        <color rgb="FFA0A0A0"/>
      </top>
      <bottom>
        <color/>
      </bottom>
      <diagonal>
        <color/>
      </diagonal>
    </border>
    <border diagonalUp="0" diagonalDown="0">
      <left style="thin">
        <color indexed="39"/>
      </left>
      <right style="thin">
        <color indexed="39"/>
      </right>
      <top style="thin">
        <color indexed="39"/>
      </top>
      <bottom>
        <color auto="1" indexed="64"/>
      </bottom>
      <diagonal>
        <color/>
      </diagonal>
    </border>
    <border diagonalUp="0" diagonalDown="0">
      <left style="thin">
        <color indexed="39"/>
      </left>
      <right style="thin">
        <color indexed="39"/>
      </right>
      <top>
        <color auto="1" indexed="64"/>
      </top>
      <bottom style="thin">
        <color indexed="39"/>
      </bottom>
      <diagonal>
        <color/>
      </diagonal>
    </border>
    <border diagonalUp="0" diagonalDown="0">
      <left>
        <color auto="1" indexed="64"/>
      </left>
      <right style="thin">
        <color indexed="55"/>
      </right>
      <top>
        <color auto="1" indexed="64"/>
      </top>
      <bottom style="thin">
        <color indexed="55"/>
      </bottom>
      <diagonal>
        <color/>
      </diagonal>
    </border>
    <border>
      <left>
        <color/>
      </left>
      <right style="thin">
        <color indexed="55"/>
      </right>
      <top style="thin">
        <color rgb="FFA0A0A0"/>
      </top>
      <bottom>
        <color/>
      </bottom>
      <diagonal>
        <color/>
      </diagonal>
    </border>
    <border diagonalUp="0" diagonalDown="0">
      <left style="thin">
        <color indexed="39"/>
      </left>
      <right>
        <color auto="1" indexed="64"/>
      </right>
      <top style="thin">
        <color indexed="39"/>
      </top>
      <bottom>
        <color auto="1" indexed="64"/>
      </bottom>
      <diagonal>
        <color/>
      </diagonal>
    </border>
    <border diagonalUp="0" diagonalDown="0">
      <left>
        <color auto="1" indexed="64"/>
      </left>
      <right>
        <color auto="1" indexed="64"/>
      </right>
      <top style="thin">
        <color indexed="39"/>
      </top>
      <bottom>
        <color auto="1" indexed="64"/>
      </bottom>
      <diagonal>
        <color/>
      </diagonal>
    </border>
    <border diagonalUp="0" diagonalDown="0">
      <left>
        <color auto="1" indexed="64"/>
      </left>
      <right style="thin">
        <color indexed="39"/>
      </right>
      <top style="thin">
        <color indexed="39"/>
      </top>
      <bottom>
        <color auto="1" indexed="64"/>
      </bottom>
      <diagonal>
        <color/>
      </diagonal>
    </border>
    <border diagonalUp="0" diagonalDown="0">
      <left style="thin">
        <color indexed="39"/>
      </left>
      <right>
        <color auto="1" indexed="64"/>
      </right>
      <top>
        <color auto="1" indexed="64"/>
      </top>
      <bottom>
        <color auto="1" indexed="64"/>
      </bottom>
      <diagonal>
        <color/>
      </diagonal>
    </border>
    <border diagonalUp="0" diagonalDown="0">
      <left>
        <color auto="1" indexed="64"/>
      </left>
      <right style="thin">
        <color indexed="39"/>
      </right>
      <top>
        <color auto="1" indexed="64"/>
      </top>
      <bottom>
        <color auto="1" indexed="64"/>
      </bottom>
      <diagonal>
        <color/>
      </diagonal>
    </border>
    <border diagonalUp="0" diagonalDown="0">
      <left style="thin">
        <color indexed="39"/>
      </left>
      <right>
        <color auto="1" indexed="64"/>
      </right>
      <top>
        <color auto="1" indexed="64"/>
      </top>
      <bottom style="thin">
        <color indexed="39"/>
      </bottom>
      <diagonal>
        <color/>
      </diagonal>
    </border>
    <border diagonalUp="0" diagonalDown="0">
      <left>
        <color auto="1" indexed="64"/>
      </left>
      <right>
        <color auto="1" indexed="64"/>
      </right>
      <top>
        <color auto="1" indexed="64"/>
      </top>
      <bottom style="thin">
        <color indexed="39"/>
      </bottom>
      <diagonal>
        <color/>
      </diagonal>
    </border>
    <border diagonalUp="0" diagonalDown="0">
      <left>
        <color auto="1" indexed="64"/>
      </left>
      <right style="thin">
        <color indexed="39"/>
      </right>
      <top>
        <color auto="1" indexed="64"/>
      </top>
      <bottom style="thin">
        <color indexed="39"/>
      </bottom>
      <diagonal>
        <color/>
      </diagonal>
    </border>
    <border diagonalUp="1" diagonalDown="1">
      <left style="thin">
        <color rgb="FFA0A0A0"/>
      </left>
      <right style="thin">
        <color rgb="FFA0A0A0"/>
      </right>
      <top style="thin">
        <color rgb="FFA0A0A0"/>
      </top>
      <bottom style="thin">
        <color rgb="FFA0A0A0"/>
      </bottom>
      <diagonal>
        <color rgb="FFA0A0A0"/>
      </diagonal>
    </border>
    <border diagonalUp="1" diagonalDown="1">
      <left style="thin">
        <color rgb="FFA0A0A0"/>
      </left>
      <right>
        <color rgb="FFA0A0A0"/>
      </right>
      <top style="thin">
        <color rgb="FFA0A0A0"/>
      </top>
      <bottom style="thin">
        <color rgb="FFA0A0A0"/>
      </bottom>
      <diagonal>
        <color rgb="FFA0A0A0"/>
      </diagonal>
    </border>
    <border diagonalUp="1" diagonalDown="1">
      <left>
        <color rgb="FFA0A0A0"/>
      </left>
      <right>
        <color rgb="FFA0A0A0"/>
      </right>
      <top style="thin">
        <color rgb="FFA0A0A0"/>
      </top>
      <bottom style="thin">
        <color rgb="FFA0A0A0"/>
      </bottom>
      <diagonal>
        <color rgb="FFA0A0A0"/>
      </diagonal>
    </border>
    <border diagonalUp="1" diagonalDown="1">
      <left>
        <color rgb="FFA0A0A0"/>
      </left>
      <right style="thin">
        <color rgb="FFA0A0A0"/>
      </right>
      <top style="thin">
        <color rgb="FFA0A0A0"/>
      </top>
      <bottom style="thin">
        <color rgb="FFA0A0A0"/>
      </bottom>
      <diagonal>
        <color rgb="FFA0A0A0"/>
      </diagonal>
    </border>
    <border diagonalUp="0" diagonalDown="0">
      <left style="medium">
        <color auto="1" indexed="64"/>
      </left>
      <right style="medium">
        <color auto="1" indexed="64"/>
      </right>
      <top style="medium">
        <color auto="1" indexed="64"/>
      </top>
      <bottom>
        <color auto="1" indexed="64"/>
      </bottom>
      <diagonal>
        <color/>
      </diagonal>
    </border>
  </borders>
  <cellStyleXfs count="176">
    <xf numFmtId="0" fontId="1" fillId="0" borderId="0" applyFont="1" applyFill="1"/>
    <xf numFmtId="43" fontId="1" fillId="0" borderId="0" applyNumberFormat="1" applyFont="1" applyFill="1" applyBorder="0"/>
    <xf numFmtId="43" fontId="1" fillId="0" borderId="0" applyNumberFormat="1" applyFont="1" applyFill="1" applyBorder="0"/>
    <xf numFmtId="44" fontId="1" fillId="0" borderId="0" applyNumberFormat="1" applyFont="1" applyFill="1" applyBorder="0"/>
    <xf numFmtId="0" fontId="1" fillId="0" borderId="0" applyFont="1" applyFill="1"/>
    <xf numFmtId="43" fontId="1" fillId="0" borderId="0" applyNumberFormat="1" applyFont="1" applyFill="1" applyBorder="0"/>
    <xf numFmtId="41" fontId="1" fillId="0" borderId="0" applyNumberFormat="1" applyFont="1" applyFill="1" applyBorder="0"/>
    <xf numFmtId="44" fontId="1" fillId="0" borderId="0" applyNumberFormat="1" applyFont="1" applyFill="1" applyBorder="0"/>
    <xf numFmtId="42"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74" fillId="0" borderId="0" applyNumberFormat="0" applyFont="1" applyFill="1" applyBorder="0"/>
    <xf numFmtId="0" fontId="73" fillId="0" borderId="0" applyFont="1" applyFill="1"/>
    <xf numFmtId="9" fontId="1" fillId="0" borderId="0" applyNumberFormat="1" applyFont="1" applyFill="1" applyBorder="0"/>
    <xf numFmtId="0" fontId="65" fillId="2" borderId="0" applyNumberFormat="0" applyFont="1" applyFill="1" applyBorder="0" applyAlignment="1">
      <alignment horizontal="center" wrapText="1"/>
    </xf>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0" fillId="3" borderId="5" applyNumberFormat="0" applyFont="1" applyFill="1" applyBorder="1" applyAlignment="1">
      <alignment horizontal="center" vertical="center"/>
    </xf>
    <xf numFmtId="0" fontId="60" fillId="4"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0" fillId="3" borderId="5" applyNumberFormat="0" applyFont="1" applyFill="1" applyBorder="1" applyAlignment="1">
      <alignment horizontal="center" vertical="center"/>
    </xf>
    <xf numFmtId="0" fontId="60" fillId="4"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9" fillId="3" borderId="3" applyNumberFormat="0" applyFont="1" applyFill="1" applyBorder="1"/>
    <xf numFmtId="0" fontId="69" fillId="6" borderId="3" applyNumberFormat="0" applyFont="1" applyFill="1" applyBorder="1"/>
    <xf numFmtId="0" fontId="65" fillId="2" borderId="0" applyNumberFormat="0" applyFont="1" applyFill="1" applyBorder="0" applyAlignment="1">
      <alignment horizontal="center" wrapText="1"/>
    </xf>
    <xf numFmtId="0" fontId="65" fillId="2" borderId="0" applyNumberFormat="0" applyFont="1" applyFill="1" applyBorder="0" applyAlignment="1">
      <alignment horizontal="center" wrapText="1"/>
    </xf>
    <xf numFmtId="0" fontId="1" fillId="3" borderId="2" applyNumberFormat="0" applyFont="1" applyFill="1" applyBorder="1"/>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6" borderId="2" applyNumberFormat="0" applyFont="1" applyFill="1" applyBorder="1"/>
    <xf numFmtId="0" fontId="1" fillId="6" borderId="3" applyNumberFormat="0" applyFont="1" applyFill="1" applyBorder="1"/>
    <xf numFmtId="0" fontId="1" fillId="6" borderId="4" applyNumberFormat="0" applyFont="1" applyFill="1" applyBorder="1"/>
    <xf numFmtId="0" fontId="1" fillId="6" borderId="5" applyNumberFormat="0" applyFont="1" applyFill="1" applyBorder="1"/>
    <xf numFmtId="0" fontId="1" fillId="3" borderId="2" applyNumberFormat="0" applyFont="1" applyFill="1" applyBorder="1"/>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4" borderId="2" applyNumberFormat="0" applyFont="1" applyFill="1" applyBorder="1"/>
    <xf numFmtId="0" fontId="1" fillId="4" borderId="3" applyNumberFormat="0" applyFont="1" applyFill="1" applyBorder="1"/>
    <xf numFmtId="0" fontId="1" fillId="4" borderId="4" applyNumberFormat="0" applyFont="1" applyFill="1" applyBorder="1"/>
    <xf numFmtId="0" fontId="1" fillId="4" borderId="5" applyNumberFormat="0" applyFont="1" applyFill="1" applyBorder="1"/>
    <xf numFmtId="0" fontId="65" fillId="2" borderId="0" applyNumberFormat="0" applyFont="1" applyFill="1" applyBorder="0" applyAlignment="1">
      <alignment horizontal="center" wrapText="1"/>
    </xf>
    <xf numFmtId="0" fontId="1" fillId="3" borderId="2" applyNumberFormat="0" applyFont="1" applyFill="1" applyBorder="1" applyAlignment="1">
      <alignment horizontal="left"/>
    </xf>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4" borderId="2" applyNumberFormat="0" applyFont="1" applyFill="1" applyBorder="1" applyAlignment="1">
      <alignment horizontal="left"/>
    </xf>
    <xf numFmtId="0" fontId="1" fillId="4" borderId="3" applyNumberFormat="0" applyFont="1" applyFill="1" applyBorder="1"/>
    <xf numFmtId="0" fontId="1" fillId="4" borderId="4" applyNumberFormat="0" applyFont="1" applyFill="1" applyBorder="1"/>
    <xf numFmtId="0" fontId="1" fillId="4" borderId="5" applyNumberFormat="0" applyFont="1" applyFill="1" applyBorder="1"/>
    <xf numFmtId="0" fontId="56" fillId="7" borderId="0" applyNumberFormat="0" applyFont="1" applyFill="1" applyBorder="0" applyAlignment="1">
      <alignment horizontal="left"/>
    </xf>
    <xf numFmtId="0" fontId="61" fillId="8" borderId="0" applyNumberFormat="0" applyFont="1" applyFill="1" applyBorder="0" applyAlignment="1">
      <alignment horizontal="center"/>
    </xf>
    <xf numFmtId="0" fontId="65" fillId="2" borderId="0" applyNumberFormat="0" applyFont="1" applyFill="1" applyBorder="0" applyAlignment="1">
      <alignment horizontal="center" wrapText="1"/>
    </xf>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80" borderId="0" applyFont="1" applyAlignment="1">
      <alignment vertical="top"/>
    </xf>
  </cellStyleXfs>
  <cellXfs count="718">
    <xf numFmtId="0" fontId="1" fillId="0" borderId="0" applyFont="1" applyFill="1"/>
    <xf numFmtId="0" fontId="1" fillId="3" borderId="0" applyFont="1" applyFill="1"/>
    <xf numFmtId="0" fontId="1" fillId="3" borderId="0" applyFont="1" applyFill="1" applyAlignment="1">
      <alignment horizontal="centerContinuous"/>
    </xf>
    <xf numFmtId="0" fontId="1" fillId="3" borderId="0" applyFont="1" applyFill="1" applyAlignment="1">
      <alignment horizontal="center"/>
    </xf>
    <xf numFmtId="0" fontId="69" fillId="0" borderId="0" applyFont="1" applyFill="1"/>
    <xf numFmtId="0" fontId="35" fillId="0" borderId="0" applyFont="1" applyFill="1"/>
    <xf numFmtId="0" fontId="37" fillId="0" borderId="0" applyFont="1" applyFill="1"/>
    <xf numFmtId="164" fontId="37" fillId="3" borderId="0" applyNumberFormat="1" applyFont="1" applyFill="1" applyAlignment="1">
      <alignment horizontal="left"/>
    </xf>
    <xf numFmtId="0" fontId="40" fillId="0" borderId="0" applyFont="1" applyFill="1"/>
    <xf numFmtId="0" fontId="36" fillId="0" borderId="0" applyFont="1" applyFill="1"/>
    <xf numFmtId="164" fontId="69" fillId="3" borderId="0" applyNumberFormat="1" applyFont="1" applyFill="1" applyAlignment="1">
      <alignment horizontal="left"/>
    </xf>
    <xf numFmtId="0" fontId="46" fillId="3" borderId="0" applyFont="1" applyFill="1" applyAlignment="1">
      <alignment horizontal="left"/>
    </xf>
    <xf numFmtId="0" fontId="1" fillId="3" borderId="0" applyFont="1" applyFill="1" applyAlignment="1">
      <alignment horizontal="right"/>
    </xf>
    <xf numFmtId="0" fontId="17" fillId="3" borderId="0" applyFont="1" applyFill="1"/>
    <xf numFmtId="0" fontId="32" fillId="3" borderId="0" applyFont="1" applyFill="1" applyAlignment="1">
      <alignment horizontal="centerContinuous"/>
    </xf>
    <xf numFmtId="0" fontId="32" fillId="3" borderId="0" applyFont="1" applyFill="1" applyAlignment="1">
      <alignment horizontal="right"/>
    </xf>
    <xf numFmtId="0" fontId="7" fillId="3" borderId="0" applyFont="1" applyFill="1" applyAlignment="1">
      <alignment horizontal="right"/>
    </xf>
    <xf numFmtId="0" fontId="42" fillId="3" borderId="0" applyFont="1" applyFill="1" applyAlignment="1">
      <alignment horizontal="left"/>
    </xf>
    <xf numFmtId="44" fontId="69" fillId="3" borderId="0" applyNumberFormat="1" applyFont="1" applyFill="1" applyAlignment="1">
      <alignment horizontal="right"/>
    </xf>
    <xf numFmtId="165" fontId="69" fillId="3" borderId="0" applyNumberFormat="1" applyFont="1" applyFill="1" applyAlignment="1">
      <alignment horizontal="right"/>
    </xf>
    <xf numFmtId="0" fontId="35" fillId="3" borderId="0" applyFont="1" applyFill="1" applyAlignment="1">
      <alignment horizontal="left"/>
    </xf>
    <xf numFmtId="0" fontId="1" fillId="0" borderId="0" applyFont="1" applyFill="1" applyAlignment="1">
      <alignment horizontal="center"/>
    </xf>
    <xf numFmtId="0" fontId="42" fillId="0" borderId="0" applyFont="1" applyFill="1"/>
    <xf numFmtId="0" fontId="69" fillId="0" borderId="0" applyFont="1" applyFill="1" applyAlignment="1">
      <alignment horizontal="center"/>
    </xf>
    <xf numFmtId="0" fontId="33" fillId="3" borderId="0" applyFont="1" applyFill="1" applyAlignment="1">
      <alignment horizontal="right"/>
    </xf>
    <xf numFmtId="0" fontId="52" fillId="0" borderId="0" applyFont="1" applyFill="1"/>
    <xf numFmtId="0" fontId="1" fillId="0" borderId="0" applyFont="1" applyFill="1" applyAlignment="1">
      <alignment horizontal="centerContinuous"/>
    </xf>
    <xf numFmtId="0" fontId="1" fillId="0" borderId="6" applyFont="1" applyFill="1" applyBorder="1"/>
    <xf numFmtId="0" fontId="1" fillId="0" borderId="7" applyFont="1" applyFill="1" applyBorder="1"/>
    <xf numFmtId="0" fontId="50" fillId="0" borderId="0" applyFont="1" applyFill="1"/>
    <xf numFmtId="0" fontId="1" fillId="0" borderId="0" applyFont="1" applyFill="1" applyAlignment="1">
      <alignment horizontal="left"/>
    </xf>
    <xf numFmtId="166" fontId="42" fillId="0" borderId="8" applyNumberFormat="1" applyFont="1" applyFill="1" applyBorder="1" applyAlignment="1">
      <alignment horizontal="center"/>
    </xf>
    <xf numFmtId="166" fontId="42" fillId="10" borderId="8" applyNumberFormat="1" applyFont="1" applyFill="1" applyBorder="1" applyAlignment="1">
      <alignment horizontal="center"/>
    </xf>
    <xf numFmtId="166" fontId="42" fillId="10" borderId="9" applyNumberFormat="1" applyFont="1" applyFill="1" applyBorder="1" applyAlignment="1">
      <alignment horizontal="center"/>
    </xf>
    <xf numFmtId="166" fontId="42" fillId="0" borderId="10" applyNumberFormat="1" applyFont="1" applyFill="1" applyBorder="1" applyAlignment="1">
      <alignment horizontal="center"/>
    </xf>
    <xf numFmtId="166" fontId="42" fillId="0" borderId="0" applyNumberFormat="1" applyFont="1" applyFill="1" applyAlignment="1">
      <alignment horizontal="center"/>
    </xf>
    <xf numFmtId="166" fontId="42" fillId="10" borderId="0" applyNumberFormat="1" applyFont="1" applyFill="1" applyAlignment="1">
      <alignment horizontal="center"/>
    </xf>
    <xf numFmtId="166" fontId="42" fillId="10" borderId="11" applyNumberFormat="1" applyFont="1" applyFill="1" applyBorder="1" applyAlignment="1">
      <alignment horizontal="center"/>
    </xf>
    <xf numFmtId="166" fontId="42" fillId="0" borderId="12" applyNumberFormat="1" applyFont="1" applyFill="1" applyBorder="1" applyAlignment="1">
      <alignment horizontal="center"/>
    </xf>
    <xf numFmtId="0" fontId="35" fillId="0" borderId="0" applyFont="1" applyFill="1" applyAlignment="1">
      <alignment vertical="center"/>
    </xf>
    <xf numFmtId="0" fontId="69" fillId="0" borderId="0" applyFont="1" applyFill="1" applyAlignment="1">
      <alignment horizontal="right"/>
    </xf>
    <xf numFmtId="0" fontId="51" fillId="0" borderId="0" applyFont="1" applyFill="1"/>
    <xf numFmtId="0" fontId="53" fillId="0" borderId="0" applyFont="1" applyFill="1" applyAlignment="1">
      <alignment horizontal="center"/>
    </xf>
    <xf numFmtId="166" fontId="42" fillId="0" borderId="0" applyNumberFormat="1" applyFont="1" applyFill="1"/>
    <xf numFmtId="0" fontId="69" fillId="0" borderId="6" applyFont="1" applyFill="1" applyBorder="1" applyAlignment="1">
      <alignment horizontal="center"/>
    </xf>
    <xf numFmtId="0" fontId="69" fillId="0" borderId="7" applyFont="1" applyFill="1" applyBorder="1" applyAlignment="1">
      <alignment horizontal="center"/>
    </xf>
    <xf numFmtId="0" fontId="42" fillId="0" borderId="13" applyFont="1" applyFill="1" applyBorder="1" applyAlignment="1">
      <alignment horizontal="right"/>
    </xf>
    <xf numFmtId="0" fontId="42" fillId="10" borderId="14" applyFont="1" applyFill="1" applyBorder="1" applyAlignment="1">
      <alignment horizontal="right"/>
    </xf>
    <xf numFmtId="0" fontId="42" fillId="10" borderId="15" applyFont="1" applyFill="1" applyBorder="1" applyAlignment="1">
      <alignment horizontal="right"/>
    </xf>
    <xf numFmtId="0" fontId="42" fillId="0" borderId="15" applyFont="1" applyFill="1" applyBorder="1" applyAlignment="1">
      <alignment horizontal="right"/>
    </xf>
    <xf numFmtId="0" fontId="45" fillId="0" borderId="0" applyFont="1" applyFill="1" applyAlignment="1">
      <alignment horizontal="center"/>
    </xf>
    <xf numFmtId="0" fontId="45" fillId="0" borderId="6" applyFont="1" applyFill="1" applyBorder="1" applyAlignment="1">
      <alignment horizontal="center"/>
    </xf>
    <xf numFmtId="0" fontId="45" fillId="0" borderId="7" applyFont="1" applyFill="1" applyBorder="1" applyAlignment="1">
      <alignment horizontal="center"/>
    </xf>
    <xf numFmtId="0" fontId="42" fillId="0" borderId="0" applyFont="1" applyFill="1" applyAlignment="1">
      <alignment horizontal="right"/>
    </xf>
    <xf numFmtId="1" fontId="42" fillId="0" borderId="0" applyNumberFormat="1" applyFont="1" applyFill="1" applyAlignment="1">
      <alignment horizontal="left"/>
    </xf>
    <xf numFmtId="166" fontId="42" fillId="0" borderId="9" applyNumberFormat="1" applyFont="1" applyFill="1" applyBorder="1" applyAlignment="1">
      <alignment horizontal="center"/>
    </xf>
    <xf numFmtId="166" fontId="42" fillId="0" borderId="11" applyNumberFormat="1" applyFont="1" applyFill="1" applyBorder="1" applyAlignment="1">
      <alignment horizontal="center"/>
    </xf>
    <xf numFmtId="0" fontId="32" fillId="3" borderId="0" applyFont="1" applyFill="1" applyAlignment="1">
      <alignment horizontal="right" vertical="center"/>
    </xf>
    <xf numFmtId="0" fontId="1" fillId="3" borderId="0" applyFont="1" applyFill="1" applyAlignment="1">
      <alignment horizontal="center" vertical="center"/>
    </xf>
    <xf numFmtId="1" fontId="69" fillId="0" borderId="0" applyNumberFormat="1" applyFont="1" applyFill="1"/>
    <xf numFmtId="1" fontId="69" fillId="10" borderId="16" applyNumberFormat="1" applyFont="1" applyFill="1" applyBorder="1" applyAlignment="1">
      <alignment horizontal="center"/>
    </xf>
    <xf numFmtId="1" fontId="69" fillId="10" borderId="17" applyNumberFormat="1" applyFont="1" applyFill="1" applyBorder="1" applyAlignment="1">
      <alignment horizontal="center"/>
    </xf>
    <xf numFmtId="1" fontId="69" fillId="10" borderId="18" applyNumberFormat="1" applyFont="1" applyFill="1" applyBorder="1" applyAlignment="1">
      <alignment horizontal="center"/>
    </xf>
    <xf numFmtId="166" fontId="26" fillId="0" borderId="0" applyNumberFormat="1" applyFont="1" applyFill="1" applyAlignment="1">
      <alignment horizontal="right"/>
    </xf>
    <xf numFmtId="0" fontId="32" fillId="3" borderId="0" applyFont="1" applyFill="1"/>
    <xf numFmtId="0" fontId="32" fillId="3" borderId="0" applyFont="1" applyFill="1" applyAlignment="1">
      <alignment horizontal="center"/>
    </xf>
    <xf numFmtId="0" fontId="69" fillId="3" borderId="0" applyFont="1" applyFill="1" applyAlignment="1">
      <alignment horizontal="center"/>
    </xf>
    <xf numFmtId="165" fontId="69" fillId="3" borderId="0" applyNumberFormat="1" applyFont="1" applyFill="1" applyAlignment="1">
      <alignment horizontal="center"/>
    </xf>
    <xf numFmtId="166" fontId="69" fillId="3" borderId="0" applyNumberFormat="1" applyFont="1" applyFill="1" applyAlignment="1">
      <alignment horizontal="center"/>
    </xf>
    <xf numFmtId="166" fontId="69" fillId="3" borderId="0" applyNumberFormat="1" applyFont="1" applyFill="1" applyAlignment="1">
      <alignment horizontal="center"/>
    </xf>
    <xf numFmtId="167" fontId="69" fillId="3" borderId="0" applyNumberFormat="1" applyFont="1" applyFill="1" applyAlignment="1">
      <alignment horizontal="center"/>
    </xf>
    <xf numFmtId="167" fontId="69" fillId="3" borderId="0" applyNumberFormat="1" applyFont="1" applyFill="1" applyAlignment="1">
      <alignment horizontal="center"/>
    </xf>
    <xf numFmtId="0" fontId="27" fillId="3" borderId="0" applyFont="1" applyFill="1" applyAlignment="1">
      <alignment horizontal="left"/>
    </xf>
    <xf numFmtId="166" fontId="69" fillId="3" borderId="0" applyNumberFormat="1" applyFont="1" applyFill="1" applyBorder="1" applyAlignment="1">
      <alignment horizontal="center"/>
    </xf>
    <xf numFmtId="166" fontId="69" fillId="3" borderId="0" applyNumberFormat="1" applyFont="1" applyFill="1" applyAlignment="1">
      <alignment horizontal="right"/>
    </xf>
    <xf numFmtId="166" fontId="1" fillId="3" borderId="0" applyNumberFormat="1" applyFont="1" applyFill="1"/>
    <xf numFmtId="167" fontId="42" fillId="3" borderId="0" applyNumberFormat="1" applyFont="1" applyFill="1" applyAlignment="1">
      <alignment horizontal="left"/>
    </xf>
    <xf numFmtId="167" fontId="1" fillId="3" borderId="0" applyNumberFormat="1" applyFont="1" applyFill="1"/>
    <xf numFmtId="0" fontId="37" fillId="3" borderId="0" applyFont="1" applyFill="1"/>
    <xf numFmtId="0" fontId="69" fillId="3" borderId="0" applyFont="1" applyFill="1" applyAlignment="1">
      <alignment horizontal="right"/>
    </xf>
    <xf numFmtId="0" fontId="40" fillId="3" borderId="0" applyFont="1" applyFill="1" applyAlignment="1">
      <alignment horizontal="centerContinuous"/>
    </xf>
    <xf numFmtId="166" fontId="69" fillId="10" borderId="0" applyNumberFormat="1" applyFont="1" applyFill="1" applyBorder="1" applyAlignment="1">
      <alignment horizontal="center"/>
    </xf>
    <xf numFmtId="166" fontId="69" fillId="10" borderId="6" applyNumberFormat="1" applyFont="1" applyFill="1" applyBorder="1" applyAlignment="1">
      <alignment horizontal="center"/>
    </xf>
    <xf numFmtId="166" fontId="69" fillId="10" borderId="7" applyNumberFormat="1" applyFont="1" applyFill="1" applyBorder="1" applyAlignment="1">
      <alignment horizontal="center"/>
    </xf>
    <xf numFmtId="0" fontId="54" fillId="0" borderId="0" applyFont="1" applyFill="1"/>
    <xf numFmtId="2" fontId="69" fillId="10" borderId="0" applyNumberFormat="1" applyFont="1" applyFill="1" applyBorder="1" applyAlignment="1">
      <alignment horizontal="center"/>
    </xf>
    <xf numFmtId="2" fontId="69" fillId="10" borderId="6" applyNumberFormat="1" applyFont="1" applyFill="1" applyBorder="1" applyAlignment="1">
      <alignment horizontal="center"/>
    </xf>
    <xf numFmtId="2" fontId="69" fillId="10" borderId="7" applyNumberFormat="1" applyFont="1" applyFill="1" applyBorder="1" applyAlignment="1">
      <alignment horizontal="center"/>
    </xf>
    <xf numFmtId="166" fontId="69" fillId="0" borderId="0" applyNumberFormat="1" applyFont="1" applyFill="1"/>
    <xf numFmtId="166" fontId="69" fillId="10" borderId="16" applyNumberFormat="1" applyFont="1" applyFill="1" applyBorder="1" applyAlignment="1">
      <alignment horizontal="center"/>
    </xf>
    <xf numFmtId="166" fontId="69" fillId="10" borderId="17" applyNumberFormat="1" applyFont="1" applyFill="1" applyBorder="1" applyAlignment="1">
      <alignment horizontal="center"/>
    </xf>
    <xf numFmtId="166" fontId="69" fillId="10" borderId="18" applyNumberFormat="1" applyFont="1" applyFill="1" applyBorder="1" applyAlignment="1">
      <alignment horizontal="center"/>
    </xf>
    <xf numFmtId="0" fontId="50" fillId="0" borderId="0" applyFont="1" applyFill="1" applyAlignment="1">
      <alignment horizontal="right"/>
    </xf>
    <xf numFmtId="0" fontId="50" fillId="0" borderId="0" applyFont="1" applyFill="1" applyAlignment="1">
      <alignment horizontal="right" vertical="top"/>
    </xf>
    <xf numFmtId="0" fontId="31" fillId="0" borderId="3" applyFont="1" applyFill="1" applyBorder="1" applyAlignment="1">
      <alignment horizontal="center" wrapText="1"/>
    </xf>
    <xf numFmtId="0" fontId="31" fillId="0" borderId="5" applyFont="1" applyFill="1" applyBorder="1" applyAlignment="1">
      <alignment horizontal="center" wrapText="1"/>
    </xf>
    <xf numFmtId="0" fontId="39" fillId="0" borderId="0" applyFont="1" applyFill="1"/>
    <xf numFmtId="0" fontId="34" fillId="0" borderId="0" applyFont="1" applyFill="1" applyAlignment="1">
      <alignment horizontal="right"/>
    </xf>
    <xf numFmtId="0" fontId="35" fillId="0" borderId="0" applyFont="1" applyFill="1"/>
    <xf numFmtId="164" fontId="1" fillId="3" borderId="0" applyNumberFormat="1" applyFont="1" applyFill="1" applyAlignment="1">
      <alignment horizontal="left"/>
    </xf>
    <xf numFmtId="0" fontId="34" fillId="0" borderId="0" applyFont="1" applyFill="1"/>
    <xf numFmtId="0" fontId="36" fillId="0" borderId="0" applyFont="1" applyFill="1" applyAlignment="1">
      <alignment horizontal="left"/>
    </xf>
    <xf numFmtId="0" fontId="36" fillId="0" borderId="0" applyFont="1" applyFill="1" applyAlignment="1">
      <alignment horizontal="center"/>
    </xf>
    <xf numFmtId="0" fontId="1" fillId="0" borderId="0" applyFont="1" applyFill="1" applyAlignment="1">
      <alignment horizontal="left"/>
    </xf>
    <xf numFmtId="49" fontId="1" fillId="0" borderId="0" applyNumberFormat="1" applyFont="1" applyFill="1" applyAlignment="1">
      <alignment horizontal="left"/>
    </xf>
    <xf numFmtId="16" fontId="1" fillId="0" borderId="0" applyNumberFormat="1" applyFont="1" applyFill="1" applyAlignment="1">
      <alignment horizontal="left"/>
    </xf>
    <xf numFmtId="49" fontId="1" fillId="0" borderId="0" applyNumberFormat="1" applyFont="1" applyFill="1"/>
    <xf numFmtId="0" fontId="37" fillId="0" borderId="0" applyFont="1" applyFill="1" applyAlignment="1">
      <alignment horizontal="center"/>
    </xf>
    <xf numFmtId="0" fontId="37" fillId="0" borderId="0" applyFont="1" applyFill="1"/>
    <xf numFmtId="0" fontId="1" fillId="0" borderId="0" applyFont="1" applyFill="1"/>
    <xf numFmtId="0" fontId="1" fillId="0" borderId="0" applyFont="1" applyFill="1" applyAlignment="1">
      <alignment horizontal="left" textRotation="90"/>
    </xf>
    <xf numFmtId="16" fontId="33" fillId="0" borderId="0" applyNumberFormat="1" applyFont="1" applyFill="1" applyAlignment="1">
      <alignment horizontal="left"/>
    </xf>
    <xf numFmtId="16" fontId="34" fillId="3" borderId="0" applyNumberFormat="1" applyFont="1" applyFill="1" applyAlignment="1">
      <alignment horizontal="left" textRotation="90" wrapText="1"/>
    </xf>
    <xf numFmtId="166" fontId="1" fillId="0" borderId="0" applyNumberFormat="1" applyFont="1" applyFill="1" applyAlignment="1">
      <alignment horizontal="left"/>
    </xf>
    <xf numFmtId="1" fontId="1" fillId="0" borderId="0" applyNumberFormat="1" applyFont="1" applyFill="1" applyAlignment="1">
      <alignment horizontal="center"/>
    </xf>
    <xf numFmtId="166" fontId="38" fillId="0" borderId="0" applyNumberFormat="1" applyFont="1" applyFill="1" applyAlignment="1">
      <alignment horizontal="right"/>
    </xf>
    <xf numFmtId="0" fontId="1" fillId="0" borderId="0" applyFont="1" applyFill="1" applyAlignment="1">
      <alignment horizontal="center"/>
    </xf>
    <xf numFmtId="0" fontId="47" fillId="0" borderId="0" applyFont="1" applyFill="1"/>
    <xf numFmtId="0" fontId="1" fillId="3" borderId="0" applyFont="1" applyFill="1" applyBorder="1"/>
    <xf numFmtId="169" fontId="34" fillId="3" borderId="0" applyNumberFormat="1" applyFont="1" applyFill="1" applyAlignment="1">
      <alignment textRotation="90" wrapText="1"/>
    </xf>
    <xf numFmtId="16" fontId="34" fillId="3" borderId="0" applyNumberFormat="1" applyFont="1" applyFill="1" applyAlignment="1">
      <alignment textRotation="90" wrapText="1"/>
    </xf>
    <xf numFmtId="166" fontId="38" fillId="0" borderId="0" applyNumberFormat="1" applyFont="1" applyFill="1"/>
    <xf numFmtId="0" fontId="15" fillId="3" borderId="0" applyFont="1" applyFill="1" applyAlignment="1">
      <alignment vertical="center"/>
    </xf>
    <xf numFmtId="0" fontId="37" fillId="3" borderId="0" applyFont="1" applyFill="1"/>
    <xf numFmtId="0" fontId="40" fillId="3" borderId="0" applyFont="1" applyFill="1" applyAlignment="1">
      <alignment horizontal="center"/>
    </xf>
    <xf numFmtId="170" fontId="42" fillId="3" borderId="0" applyNumberFormat="1" applyFont="1" applyFill="1" applyAlignment="1">
      <alignment wrapText="1"/>
    </xf>
    <xf numFmtId="0" fontId="50" fillId="3" borderId="0" applyFont="1" applyFill="1" applyAlignment="1">
      <alignment horizontal="center"/>
    </xf>
    <xf numFmtId="0" fontId="44" fillId="3" borderId="0" applyFont="1" applyFill="1" applyAlignment="1">
      <alignment horizontal="center" vertical="top"/>
    </xf>
    <xf numFmtId="0" fontId="44" fillId="3" borderId="6" applyFont="1" applyFill="1" applyBorder="1" applyAlignment="1">
      <alignment horizontal="center" vertical="top"/>
    </xf>
    <xf numFmtId="0" fontId="44" fillId="3" borderId="7" applyFont="1" applyFill="1" applyBorder="1" applyAlignment="1">
      <alignment horizontal="center" vertical="top"/>
    </xf>
    <xf numFmtId="170" fontId="44" fillId="3" borderId="0" applyNumberFormat="1" applyFont="1" applyFill="1" applyAlignment="1">
      <alignment horizontal="center" vertical="top" wrapText="1"/>
    </xf>
    <xf numFmtId="170" fontId="44" fillId="3" borderId="6" applyNumberFormat="1" applyFont="1" applyFill="1" applyBorder="1" applyAlignment="1">
      <alignment horizontal="center" vertical="top" wrapText="1"/>
    </xf>
    <xf numFmtId="170" fontId="44" fillId="3" borderId="7" applyNumberFormat="1" applyFont="1" applyFill="1" applyBorder="1" applyAlignment="1">
      <alignment horizontal="center" vertical="top" wrapText="1"/>
    </xf>
    <xf numFmtId="0" fontId="1" fillId="3" borderId="0" applyFont="1" applyFill="1" applyAlignment="1">
      <alignment wrapText="1"/>
    </xf>
    <xf numFmtId="0" fontId="44" fillId="3" borderId="0" applyFont="1" applyFill="1" applyAlignment="1">
      <alignment horizontal="center" vertical="top" wrapText="1"/>
    </xf>
    <xf numFmtId="0" fontId="44" fillId="3" borderId="6" applyFont="1" applyFill="1" applyBorder="1" applyAlignment="1">
      <alignment horizontal="center" vertical="top" wrapText="1"/>
    </xf>
    <xf numFmtId="0" fontId="44" fillId="3" borderId="7" applyFont="1" applyFill="1" applyBorder="1" applyAlignment="1">
      <alignment horizontal="center" vertical="top" wrapText="1"/>
    </xf>
    <xf numFmtId="1" fontId="45" fillId="6" borderId="0" applyNumberFormat="1" applyFont="1" applyFill="1" applyAlignment="1">
      <alignment horizontal="center"/>
    </xf>
    <xf numFmtId="1" fontId="45" fillId="6" borderId="6" applyNumberFormat="1" applyFont="1" applyFill="1" applyBorder="1" applyAlignment="1">
      <alignment horizontal="center"/>
    </xf>
    <xf numFmtId="1" fontId="45" fillId="6" borderId="7" applyNumberFormat="1" applyFont="1" applyFill="1" applyBorder="1" applyAlignment="1">
      <alignment horizontal="center"/>
    </xf>
    <xf numFmtId="1" fontId="45" fillId="3" borderId="0" applyNumberFormat="1" applyFont="1" applyFill="1" applyAlignment="1">
      <alignment horizontal="center"/>
    </xf>
    <xf numFmtId="1" fontId="45" fillId="3" borderId="6" applyNumberFormat="1" applyFont="1" applyFill="1" applyBorder="1" applyAlignment="1">
      <alignment horizontal="center"/>
    </xf>
    <xf numFmtId="1" fontId="45" fillId="3" borderId="7" applyNumberFormat="1" applyFont="1" applyFill="1" applyBorder="1" applyAlignment="1">
      <alignment horizontal="center"/>
    </xf>
    <xf numFmtId="0" fontId="46" fillId="3" borderId="0" applyFont="1" applyFill="1" applyAlignment="1">
      <alignment horizontal="center"/>
    </xf>
    <xf numFmtId="0" fontId="46" fillId="3" borderId="0" applyFont="1" applyFill="1" applyAlignment="1">
      <alignment horizontal="center" vertical="top"/>
    </xf>
    <xf numFmtId="0" fontId="46" fillId="3" borderId="6" applyFont="1" applyFill="1" applyBorder="1" applyAlignment="1">
      <alignment horizontal="center" vertical="top"/>
    </xf>
    <xf numFmtId="0" fontId="46" fillId="3" borderId="7" applyFont="1" applyFill="1" applyBorder="1" applyAlignment="1">
      <alignment horizontal="center" vertical="top"/>
    </xf>
    <xf numFmtId="0" fontId="45" fillId="3" borderId="0" applyFont="1" applyFill="1" applyAlignment="1">
      <alignment horizontal="center"/>
    </xf>
    <xf numFmtId="0" fontId="46" fillId="0" borderId="0" applyFont="1" applyFill="1" applyAlignment="1">
      <alignment horizontal="center"/>
    </xf>
    <xf numFmtId="1" fontId="45" fillId="6" borderId="16" applyNumberFormat="1" applyFont="1" applyFill="1" applyBorder="1" applyAlignment="1">
      <alignment horizontal="center"/>
    </xf>
    <xf numFmtId="1" fontId="45" fillId="6" borderId="17" applyNumberFormat="1" applyFont="1" applyFill="1" applyBorder="1" applyAlignment="1">
      <alignment horizontal="center"/>
    </xf>
    <xf numFmtId="1" fontId="45" fillId="6" borderId="18" applyNumberFormat="1" applyFont="1" applyFill="1" applyBorder="1" applyAlignment="1">
      <alignment horizontal="center"/>
    </xf>
    <xf numFmtId="1" fontId="1" fillId="3" borderId="0" applyNumberFormat="1" applyFont="1" applyFill="1" applyAlignment="1">
      <alignment horizontal="center"/>
    </xf>
    <xf numFmtId="170" fontId="42" fillId="0" borderId="0" applyNumberFormat="1" applyFont="1" applyFill="1" applyAlignment="1">
      <alignment wrapText="1"/>
    </xf>
    <xf numFmtId="0" fontId="1" fillId="0" borderId="0" applyFont="1" applyFill="1" applyAlignment="1">
      <alignment wrapText="1"/>
    </xf>
    <xf numFmtId="0" fontId="34" fillId="0" borderId="0" applyFont="1" applyFill="1"/>
    <xf numFmtId="0" fontId="36" fillId="0" borderId="0" applyFont="1" applyFill="1" applyAlignment="1">
      <alignment horizontal="left"/>
    </xf>
    <xf numFmtId="0" fontId="36" fillId="0" borderId="0" applyFont="1" applyFill="1" applyAlignment="1">
      <alignment horizontal="center"/>
    </xf>
    <xf numFmtId="0" fontId="69" fillId="0" borderId="0" applyFont="1" applyFill="1" applyAlignment="1">
      <alignment horizontal="left"/>
    </xf>
    <xf numFmtId="49" fontId="69" fillId="0" borderId="0" applyNumberFormat="1" applyFont="1" applyFill="1" applyAlignment="1">
      <alignment horizontal="left"/>
    </xf>
    <xf numFmtId="16" fontId="69" fillId="0" borderId="0" applyNumberFormat="1" applyFont="1" applyFill="1" applyAlignment="1">
      <alignment horizontal="left"/>
    </xf>
    <xf numFmtId="0" fontId="34" fillId="0" borderId="0" applyFont="1" applyFill="1" applyAlignment="1">
      <alignment horizontal="right"/>
    </xf>
    <xf numFmtId="49" fontId="69" fillId="0" borderId="0" applyNumberFormat="1" applyFont="1" applyFill="1"/>
    <xf numFmtId="0" fontId="34" fillId="3" borderId="0" applyFont="1" applyFill="1" applyAlignment="1">
      <alignment horizontal="center"/>
    </xf>
    <xf numFmtId="0" fontId="34" fillId="3" borderId="0" applyFont="1" applyFill="1" applyAlignment="1">
      <alignment horizontal="right"/>
    </xf>
    <xf numFmtId="16" fontId="33" fillId="0" borderId="0" applyNumberFormat="1" applyFont="1" applyFill="1" applyAlignment="1">
      <alignment horizontal="left"/>
    </xf>
    <xf numFmtId="169" fontId="34" fillId="3" borderId="0" applyNumberFormat="1" applyFont="1" applyFill="1" applyAlignment="1">
      <alignment textRotation="90" wrapText="1"/>
    </xf>
    <xf numFmtId="0" fontId="47" fillId="0" borderId="0" applyFont="1" applyFill="1"/>
    <xf numFmtId="166" fontId="39" fillId="0" borderId="0" applyNumberFormat="1" applyFont="1" applyFill="1" applyAlignment="1">
      <alignment horizontal="right"/>
    </xf>
    <xf numFmtId="2" fontId="69" fillId="0" borderId="0" applyNumberFormat="1" applyFont="1" applyFill="1"/>
    <xf numFmtId="166" fontId="69" fillId="0" borderId="0" applyNumberFormat="1" applyFont="1" applyFill="1" applyAlignment="1">
      <alignment horizontal="center"/>
    </xf>
    <xf numFmtId="166" fontId="69" fillId="10" borderId="0" applyNumberFormat="1" applyFont="1" applyFill="1" applyAlignment="1">
      <alignment horizontal="center"/>
    </xf>
    <xf numFmtId="2" fontId="69" fillId="10" borderId="0" applyNumberFormat="1" applyFont="1" applyFill="1" applyAlignment="1">
      <alignment horizontal="center"/>
    </xf>
    <xf numFmtId="2" fontId="69" fillId="0" borderId="0" applyNumberFormat="1" applyFont="1" applyFill="1" applyAlignment="1">
      <alignment horizontal="center"/>
    </xf>
    <xf numFmtId="166" fontId="69" fillId="3" borderId="0" applyNumberFormat="1" applyFont="1" applyFill="1" applyAlignment="1">
      <alignment horizontal="center" vertical="center"/>
    </xf>
    <xf numFmtId="0" fontId="69" fillId="3" borderId="0" applyFont="1" applyFill="1"/>
    <xf numFmtId="0" fontId="1" fillId="0" borderId="0" applyFont="1" applyFill="1" applyAlignment="1">
      <alignment horizontal="right"/>
    </xf>
    <xf numFmtId="0" fontId="69" fillId="3" borderId="0" applyFont="1" applyFill="1" applyAlignment="1">
      <alignment horizontal="center" vertical="center"/>
    </xf>
    <xf numFmtId="167" fontId="69" fillId="3" borderId="0" applyNumberFormat="1" applyFont="1" applyFill="1" applyAlignment="1">
      <alignment horizontal="center" vertical="center"/>
    </xf>
    <xf numFmtId="0" fontId="36" fillId="0" borderId="0" applyFont="1" applyFill="1"/>
    <xf numFmtId="165" fontId="69" fillId="10" borderId="0" applyNumberFormat="1" applyFont="1" applyFill="1" applyAlignment="1">
      <alignment horizontal="center"/>
    </xf>
    <xf numFmtId="0" fontId="69" fillId="10" borderId="0" applyFont="1" applyFill="1" applyAlignment="1">
      <alignment horizontal="center"/>
    </xf>
    <xf numFmtId="17" fontId="69" fillId="10" borderId="0" applyNumberFormat="1" applyFont="1" applyFill="1" applyAlignment="1">
      <alignment horizontal="center"/>
    </xf>
    <xf numFmtId="0" fontId="69" fillId="10" borderId="0" applyFont="1" applyFill="1" applyAlignment="1">
      <alignment horizontal="center" vertical="center"/>
    </xf>
    <xf numFmtId="167" fontId="69" fillId="10" borderId="0" applyNumberFormat="1" applyFont="1" applyFill="1" applyAlignment="1">
      <alignment horizontal="center"/>
    </xf>
    <xf numFmtId="167" fontId="69" fillId="10" borderId="0" applyNumberFormat="1" applyFont="1" applyFill="1" applyAlignment="1">
      <alignment horizontal="center"/>
    </xf>
    <xf numFmtId="167" fontId="69" fillId="10" borderId="0" applyNumberFormat="1" applyFont="1" applyFill="1" applyAlignment="1">
      <alignment horizontal="center" vertical="center"/>
    </xf>
    <xf numFmtId="17" fontId="42" fillId="10" borderId="0" applyNumberFormat="1" applyFont="1" applyFill="1" applyAlignment="1">
      <alignment horizontal="left"/>
    </xf>
    <xf numFmtId="167" fontId="1" fillId="10" borderId="0" applyNumberFormat="1" applyFont="1" applyFill="1"/>
    <xf numFmtId="167" fontId="42" fillId="10" borderId="0" applyNumberFormat="1" applyFont="1" applyFill="1" applyAlignment="1">
      <alignment horizontal="left"/>
    </xf>
    <xf numFmtId="165" fontId="69" fillId="10" borderId="0" applyNumberFormat="1" applyFont="1" applyFill="1" applyAlignment="1">
      <alignment horizontal="right"/>
    </xf>
    <xf numFmtId="0" fontId="1" fillId="10" borderId="0" applyFont="1" applyFill="1"/>
    <xf numFmtId="0" fontId="1" fillId="3" borderId="0" applyFont="1" applyFill="1" applyBorder="1"/>
    <xf numFmtId="0" fontId="1" fillId="0" borderId="0" applyFont="1" applyFill="1" applyAlignment="1">
      <alignment horizontal="right"/>
    </xf>
    <xf numFmtId="0" fontId="40" fillId="0" borderId="0" applyFont="1" applyFill="1"/>
    <xf numFmtId="0" fontId="50" fillId="0" borderId="0" applyFont="1" applyFill="1"/>
    <xf numFmtId="0" fontId="45" fillId="0" borderId="0" applyFont="1" applyFill="1" applyAlignment="1">
      <alignment horizontal="center"/>
    </xf>
    <xf numFmtId="0" fontId="51" fillId="0" borderId="0" applyFont="1" applyFill="1"/>
    <xf numFmtId="0" fontId="52" fillId="0" borderId="0" applyFont="1" applyFill="1"/>
    <xf numFmtId="0" fontId="53" fillId="0" borderId="0" applyFont="1" applyFill="1" applyAlignment="1">
      <alignment horizontal="center"/>
    </xf>
    <xf numFmtId="0" fontId="42" fillId="0" borderId="13" applyFont="1" applyFill="1" applyBorder="1" applyAlignment="1">
      <alignment horizontal="right"/>
    </xf>
    <xf numFmtId="0" fontId="42" fillId="6" borderId="14" applyFont="1" applyFill="1" applyBorder="1" applyAlignment="1">
      <alignment horizontal="right"/>
    </xf>
    <xf numFmtId="166" fontId="1" fillId="6" borderId="0" applyNumberFormat="1" applyFont="1" applyFill="1" applyBorder="1" applyAlignment="1">
      <alignment horizontal="center"/>
    </xf>
    <xf numFmtId="0" fontId="33" fillId="3" borderId="0" applyFont="1" applyFill="1" applyAlignment="1">
      <alignment horizontal="right"/>
    </xf>
    <xf numFmtId="0" fontId="42" fillId="0" borderId="15" applyFont="1" applyFill="1" applyBorder="1" applyAlignment="1">
      <alignment horizontal="right"/>
    </xf>
    <xf numFmtId="0" fontId="42" fillId="0" borderId="0" applyFont="1" applyFill="1"/>
    <xf numFmtId="166" fontId="42" fillId="0" borderId="0" applyNumberFormat="1" applyFont="1" applyFill="1"/>
    <xf numFmtId="2" fontId="1" fillId="6" borderId="0" applyNumberFormat="1" applyFont="1" applyFill="1" applyBorder="1" applyAlignment="1">
      <alignment horizontal="center"/>
    </xf>
    <xf numFmtId="0" fontId="54" fillId="0" borderId="0" applyFont="1" applyFill="1"/>
    <xf numFmtId="1" fontId="69" fillId="0" borderId="0" applyNumberFormat="1" applyFont="1" applyFill="1" applyAlignment="1">
      <alignment horizontal="left"/>
    </xf>
    <xf numFmtId="0" fontId="50" fillId="3" borderId="0" applyFont="1" applyFill="1"/>
    <xf numFmtId="0" fontId="22" fillId="0" borderId="0" applyFont="1" applyFill="1" applyAlignment="1">
      <alignment vertical="top"/>
    </xf>
    <xf numFmtId="0" fontId="34" fillId="0" borderId="0" applyFont="1" applyFill="1" applyAlignment="1">
      <alignment vertical="top" wrapText="1"/>
    </xf>
    <xf numFmtId="166" fontId="38" fillId="3" borderId="0" applyNumberFormat="1" applyFont="1" applyFill="1" applyAlignment="1">
      <alignment horizontal="center"/>
    </xf>
    <xf numFmtId="0" fontId="1" fillId="0" borderId="19" applyFont="1" applyFill="1" applyBorder="1"/>
    <xf numFmtId="0" fontId="1" fillId="0" borderId="20" applyFont="1" applyFill="1" applyBorder="1"/>
    <xf numFmtId="0" fontId="36" fillId="0" borderId="0" applyFont="1" applyFill="1" applyAlignment="1">
      <alignment horizontal="right"/>
    </xf>
    <xf numFmtId="0" fontId="1" fillId="6" borderId="0" applyFont="1" applyFill="1"/>
    <xf numFmtId="166" fontId="1" fillId="0" borderId="0" applyNumberFormat="1" applyFont="1" applyFill="1"/>
    <xf numFmtId="166" fontId="1" fillId="6" borderId="0" applyNumberFormat="1" applyFont="1" applyFill="1"/>
    <xf numFmtId="0" fontId="50" fillId="3" borderId="0" applyFont="1" applyFill="1" applyAlignment="1">
      <alignment horizontal="right" vertical="center"/>
    </xf>
    <xf numFmtId="165" fontId="1" fillId="6" borderId="0" applyNumberFormat="1" applyFont="1" applyFill="1"/>
    <xf numFmtId="165" fontId="1" fillId="6" borderId="20" applyNumberFormat="1" applyFont="1" applyFill="1" applyBorder="1"/>
    <xf numFmtId="166" fontId="36" fillId="0" borderId="0" applyNumberFormat="1" applyFont="1" applyFill="1"/>
    <xf numFmtId="166" fontId="36" fillId="0" borderId="20" applyNumberFormat="1" applyFont="1" applyFill="1" applyBorder="1"/>
    <xf numFmtId="167" fontId="1" fillId="6" borderId="0" applyNumberFormat="1" applyFont="1" applyFill="1"/>
    <xf numFmtId="0" fontId="1" fillId="0" borderId="20" applyFont="1" applyFill="1" applyBorder="1" applyAlignment="1">
      <alignment horizontal="right"/>
    </xf>
    <xf numFmtId="0" fontId="36" fillId="0" borderId="19" applyFont="1" applyFill="1" applyBorder="1" applyAlignment="1">
      <alignment horizontal="right"/>
    </xf>
    <xf numFmtId="166" fontId="1" fillId="0" borderId="19" applyNumberFormat="1" applyFont="1" applyFill="1" applyBorder="1" applyAlignment="1">
      <alignment horizontal="right"/>
    </xf>
    <xf numFmtId="0" fontId="1" fillId="0" borderId="19" applyFont="1" applyFill="1" applyBorder="1" applyAlignment="1">
      <alignment horizontal="right"/>
    </xf>
    <xf numFmtId="0" fontId="36" fillId="0" borderId="21" applyFont="1" applyFill="1" applyBorder="1" applyAlignment="1">
      <alignment horizontal="right"/>
    </xf>
    <xf numFmtId="166" fontId="36" fillId="0" borderId="0" applyNumberFormat="1" applyFont="1" applyFill="1" applyAlignment="1">
      <alignment horizontal="right"/>
    </xf>
    <xf numFmtId="166" fontId="1" fillId="0" borderId="0" applyNumberFormat="1" applyFont="1" applyFill="1" applyAlignment="1">
      <alignment horizontal="right"/>
    </xf>
    <xf numFmtId="166" fontId="36" fillId="0" borderId="20" applyNumberFormat="1" applyFont="1" applyFill="1" applyBorder="1" applyAlignment="1">
      <alignment horizontal="right"/>
    </xf>
    <xf numFmtId="0" fontId="36" fillId="3" borderId="0" applyFont="1" applyFill="1" applyAlignment="1">
      <alignment horizontal="right"/>
    </xf>
    <xf numFmtId="0" fontId="42" fillId="0" borderId="0" applyFont="1" applyFill="1" applyAlignment="1">
      <alignment horizontal="right"/>
    </xf>
    <xf numFmtId="0" fontId="44" fillId="10" borderId="14" applyFont="1" applyFill="1" applyBorder="1" applyAlignment="1">
      <alignment horizontal="right"/>
    </xf>
    <xf numFmtId="4" fontId="69" fillId="3" borderId="0" applyNumberFormat="1" applyFont="1" applyFill="1" applyAlignment="1">
      <alignment horizontal="center"/>
    </xf>
    <xf numFmtId="4" fontId="69" fillId="10" borderId="0" applyNumberFormat="1" applyFont="1" applyFill="1" applyAlignment="1">
      <alignment horizontal="center"/>
    </xf>
    <xf numFmtId="4" fontId="69" fillId="3" borderId="0" applyNumberFormat="1" applyFont="1" applyFill="1" applyAlignment="1">
      <alignment horizontal="right"/>
    </xf>
    <xf numFmtId="4" fontId="69" fillId="10" borderId="0" applyNumberFormat="1" applyFont="1" applyFill="1" applyAlignment="1">
      <alignment horizontal="right"/>
    </xf>
    <xf numFmtId="0" fontId="40" fillId="3" borderId="0" applyFont="1" applyFill="1" applyAlignment="1">
      <alignment horizontal="right"/>
    </xf>
    <xf numFmtId="0" fontId="40" fillId="0" borderId="0" applyFont="1" applyFill="1" applyAlignment="1">
      <alignment horizontal="right"/>
    </xf>
    <xf numFmtId="0" fontId="69" fillId="0" borderId="0" applyFont="1" applyFill="1"/>
    <xf numFmtId="0" fontId="1" fillId="11" borderId="0" applyFont="1" applyFill="1"/>
    <xf numFmtId="0" fontId="37" fillId="11" borderId="0" applyFont="1" applyFill="1"/>
    <xf numFmtId="0" fontId="1" fillId="11" borderId="0" applyFont="1" applyFill="1" applyAlignment="1">
      <alignment horizontal="center"/>
    </xf>
    <xf numFmtId="0" fontId="47" fillId="11" borderId="0" applyFont="1" applyFill="1"/>
    <xf numFmtId="0" fontId="52" fillId="11" borderId="0" applyFont="1" applyFill="1"/>
    <xf numFmtId="0" fontId="54" fillId="11" borderId="0" applyFont="1" applyFill="1"/>
    <xf numFmtId="168" fontId="54" fillId="11" borderId="0" applyNumberFormat="1" applyFont="1" applyFill="1"/>
    <xf numFmtId="0" fontId="1" fillId="11" borderId="0" applyFont="1" applyFill="1"/>
    <xf numFmtId="0" fontId="1" fillId="11" borderId="0" applyFont="1" applyFill="1" applyAlignment="1">
      <alignment horizontal="center"/>
    </xf>
    <xf numFmtId="0" fontId="51" fillId="11" borderId="0" applyFont="1" applyFill="1"/>
    <xf numFmtId="0" fontId="53" fillId="11" borderId="0" applyFont="1" applyFill="1" applyAlignment="1">
      <alignment horizontal="center"/>
    </xf>
    <xf numFmtId="0" fontId="52" fillId="11" borderId="0" applyFont="1" applyFill="1"/>
    <xf numFmtId="0" fontId="30" fillId="11" borderId="0" applyFont="1" applyFill="1"/>
    <xf numFmtId="0" fontId="54" fillId="11" borderId="0" applyFont="1" applyFill="1"/>
    <xf numFmtId="16" fontId="30" fillId="11" borderId="0" applyNumberFormat="1" applyFont="1" applyFill="1"/>
    <xf numFmtId="168" fontId="30" fillId="11" borderId="0" applyNumberFormat="1" applyFont="1" applyFill="1"/>
    <xf numFmtId="0" fontId="58" fillId="11" borderId="0" applyFont="1" applyFill="1" applyAlignment="1">
      <alignment horizontal="right"/>
    </xf>
    <xf numFmtId="0" fontId="69" fillId="11" borderId="0" applyFont="1" applyFill="1"/>
    <xf numFmtId="0" fontId="69" fillId="11" borderId="0" applyFont="1" applyFill="1" applyAlignment="1">
      <alignment horizontal="center"/>
    </xf>
    <xf numFmtId="0" fontId="51" fillId="11" borderId="0" applyFont="1" applyFill="1"/>
    <xf numFmtId="0" fontId="53" fillId="11" borderId="0" applyFont="1" applyFill="1" applyAlignment="1">
      <alignment horizontal="center"/>
    </xf>
    <xf numFmtId="0" fontId="1" fillId="11" borderId="0" applyFont="1" applyFill="1" applyAlignment="1">
      <alignment horizontal="left"/>
    </xf>
    <xf numFmtId="0" fontId="19" fillId="11" borderId="0" applyFont="1" applyFill="1" applyAlignment="1">
      <alignment horizontal="center"/>
    </xf>
    <xf numFmtId="0" fontId="37" fillId="11" borderId="0" applyFont="1" applyFill="1"/>
    <xf numFmtId="170" fontId="42" fillId="11" borderId="0" applyNumberFormat="1" applyFont="1" applyFill="1" applyAlignment="1">
      <alignment wrapText="1"/>
    </xf>
    <xf numFmtId="0" fontId="1" fillId="11" borderId="0" applyFont="1" applyFill="1" applyAlignment="1">
      <alignment wrapText="1"/>
    </xf>
    <xf numFmtId="16" fontId="34" fillId="11" borderId="0" applyNumberFormat="1" applyFont="1" applyFill="1" applyAlignment="1">
      <alignment horizontal="left" textRotation="90" wrapText="1"/>
    </xf>
    <xf numFmtId="166" fontId="38" fillId="11" borderId="0" applyNumberFormat="1" applyFont="1" applyFill="1" applyAlignment="1">
      <alignment horizontal="center"/>
    </xf>
    <xf numFmtId="0" fontId="47" fillId="11" borderId="0" applyFont="1" applyFill="1"/>
    <xf numFmtId="1" fontId="45" fillId="3" borderId="22" applyNumberFormat="1" applyFont="1" applyFill="1" applyBorder="1" applyAlignment="1">
      <alignment horizontal="center"/>
    </xf>
    <xf numFmtId="1" fontId="45" fillId="3" borderId="23" applyNumberFormat="1" applyFont="1" applyFill="1" applyBorder="1" applyAlignment="1">
      <alignment horizontal="center"/>
    </xf>
    <xf numFmtId="0" fontId="51" fillId="0" borderId="24" applyFont="1" applyFill="1" applyBorder="1" applyAlignment="1">
      <alignment horizontal="left"/>
    </xf>
    <xf numFmtId="0" fontId="51" fillId="0" borderId="25" applyFont="1" applyFill="1" applyBorder="1" applyAlignment="1">
      <alignment horizontal="left"/>
    </xf>
    <xf numFmtId="0" fontId="51" fillId="0" borderId="25" applyFont="1" applyFill="1" applyBorder="1"/>
    <xf numFmtId="0" fontId="51" fillId="0" borderId="26" applyFont="1" applyFill="1" applyBorder="1"/>
    <xf numFmtId="0" fontId="53" fillId="0" borderId="27" applyFont="1" applyFill="1" applyBorder="1" applyAlignment="1">
      <alignment horizontal="center"/>
    </xf>
    <xf numFmtId="0" fontId="53" fillId="0" borderId="28" applyFont="1" applyFill="1" applyBorder="1" applyAlignment="1">
      <alignment horizontal="center"/>
    </xf>
    <xf numFmtId="0" fontId="53" fillId="0" borderId="29" applyFont="1" applyFill="1" applyBorder="1" applyAlignment="1">
      <alignment horizontal="center"/>
    </xf>
    <xf numFmtId="0" fontId="44" fillId="6" borderId="0" applyFont="1" applyFill="1" applyAlignment="1">
      <alignment horizontal="right"/>
    </xf>
    <xf numFmtId="166" fontId="1" fillId="0" borderId="0" applyNumberFormat="1" applyFont="1" applyFill="1"/>
    <xf numFmtId="0" fontId="53" fillId="0" borderId="22" applyFont="1" applyFill="1" applyBorder="1" applyAlignment="1">
      <alignment horizontal="center"/>
    </xf>
    <xf numFmtId="0" fontId="53" fillId="0" borderId="23" applyFont="1" applyFill="1" applyBorder="1" applyAlignment="1">
      <alignment horizontal="center"/>
    </xf>
    <xf numFmtId="166" fontId="1" fillId="0" borderId="24" applyNumberFormat="1" applyFont="1" applyFill="1" applyBorder="1" applyAlignment="1">
      <alignment horizontal="center"/>
    </xf>
    <xf numFmtId="166" fontId="1" fillId="0" borderId="25" applyNumberFormat="1" applyFont="1" applyFill="1" applyBorder="1" applyAlignment="1">
      <alignment horizontal="center"/>
    </xf>
    <xf numFmtId="166" fontId="1" fillId="0" borderId="26" applyNumberFormat="1" applyFont="1" applyFill="1" applyBorder="1" applyAlignment="1">
      <alignment horizontal="center"/>
    </xf>
    <xf numFmtId="166" fontId="1" fillId="6" borderId="22" applyNumberFormat="1" applyFont="1" applyFill="1" applyBorder="1" applyAlignment="1">
      <alignment horizontal="center"/>
    </xf>
    <xf numFmtId="166" fontId="1" fillId="6" borderId="23" applyNumberFormat="1" applyFont="1" applyFill="1" applyBorder="1" applyAlignment="1">
      <alignment horizontal="center"/>
    </xf>
    <xf numFmtId="166" fontId="1" fillId="0" borderId="27" applyNumberFormat="1" applyFont="1" applyFill="1" applyBorder="1" applyAlignment="1">
      <alignment horizontal="center"/>
    </xf>
    <xf numFmtId="166" fontId="1" fillId="0" borderId="28" applyNumberFormat="1" applyFont="1" applyFill="1" applyBorder="1" applyAlignment="1">
      <alignment horizontal="center"/>
    </xf>
    <xf numFmtId="166" fontId="1" fillId="0" borderId="29" applyNumberFormat="1" applyFont="1" applyFill="1" applyBorder="1" applyAlignment="1">
      <alignment horizontal="center"/>
    </xf>
    <xf numFmtId="2" fontId="1" fillId="0" borderId="24" applyNumberFormat="1" applyFont="1" applyFill="1" applyBorder="1" applyAlignment="1">
      <alignment horizontal="center"/>
    </xf>
    <xf numFmtId="2" fontId="1" fillId="0" borderId="25" applyNumberFormat="1" applyFont="1" applyFill="1" applyBorder="1" applyAlignment="1">
      <alignment horizontal="center"/>
    </xf>
    <xf numFmtId="2" fontId="1" fillId="0" borderId="26" applyNumberFormat="1" applyFont="1" applyFill="1" applyBorder="1" applyAlignment="1">
      <alignment horizontal="center"/>
    </xf>
    <xf numFmtId="2" fontId="1" fillId="6" borderId="22" applyNumberFormat="1" applyFont="1" applyFill="1" applyBorder="1" applyAlignment="1">
      <alignment horizontal="center"/>
    </xf>
    <xf numFmtId="2" fontId="1" fillId="6" borderId="23" applyNumberFormat="1" applyFont="1" applyFill="1" applyBorder="1" applyAlignment="1">
      <alignment horizontal="center"/>
    </xf>
    <xf numFmtId="0" fontId="36" fillId="6" borderId="30" applyFont="1" applyFill="1" applyBorder="1"/>
    <xf numFmtId="0" fontId="36" fillId="6" borderId="31" applyFont="1" applyFill="1" applyBorder="1"/>
    <xf numFmtId="0" fontId="36" fillId="6" borderId="32" applyFont="1" applyFill="1" applyBorder="1"/>
    <xf numFmtId="166" fontId="1" fillId="0" borderId="33" applyNumberFormat="1" applyFont="1" applyFill="1" applyBorder="1" applyAlignment="1">
      <alignment horizontal="center"/>
    </xf>
    <xf numFmtId="166" fontId="1" fillId="6" borderId="34" applyNumberFormat="1" applyFont="1" applyFill="1" applyBorder="1" applyAlignment="1">
      <alignment horizontal="center"/>
    </xf>
    <xf numFmtId="166" fontId="1" fillId="0" borderId="35" applyNumberFormat="1" applyFont="1" applyFill="1" applyBorder="1" applyAlignment="1">
      <alignment horizontal="center"/>
    </xf>
    <xf numFmtId="2" fontId="1" fillId="0" borderId="33" applyNumberFormat="1" applyFont="1" applyFill="1" applyBorder="1" applyAlignment="1">
      <alignment horizontal="center"/>
    </xf>
    <xf numFmtId="2" fontId="1" fillId="6" borderId="34" applyNumberFormat="1" applyFont="1" applyFill="1" applyBorder="1" applyAlignment="1">
      <alignment horizontal="center"/>
    </xf>
    <xf numFmtId="0" fontId="52" fillId="0" borderId="33" applyFont="1" applyFill="1" applyBorder="1" applyAlignment="1">
      <alignment horizontal="center"/>
    </xf>
    <xf numFmtId="0" fontId="52" fillId="0" borderId="35" applyFont="1" applyFill="1" applyBorder="1" applyAlignment="1">
      <alignment horizontal="center"/>
    </xf>
    <xf numFmtId="0" fontId="51" fillId="0" borderId="24" applyFont="1" applyFill="1" applyBorder="1" applyAlignment="1">
      <alignment horizontal="left"/>
    </xf>
    <xf numFmtId="0" fontId="51" fillId="0" borderId="25" applyFont="1" applyFill="1" applyBorder="1" applyAlignment="1">
      <alignment horizontal="left"/>
    </xf>
    <xf numFmtId="0" fontId="51" fillId="0" borderId="25" applyFont="1" applyFill="1" applyBorder="1"/>
    <xf numFmtId="0" fontId="51" fillId="0" borderId="36" applyFont="1" applyFill="1" applyBorder="1"/>
    <xf numFmtId="0" fontId="53" fillId="0" borderId="27" applyFont="1" applyFill="1" applyBorder="1" applyAlignment="1">
      <alignment horizontal="center"/>
    </xf>
    <xf numFmtId="0" fontId="53" fillId="0" borderId="28" applyFont="1" applyFill="1" applyBorder="1" applyAlignment="1">
      <alignment horizontal="center"/>
    </xf>
    <xf numFmtId="0" fontId="53" fillId="0" borderId="37" applyFont="1" applyFill="1" applyBorder="1" applyAlignment="1">
      <alignment horizontal="center"/>
    </xf>
    <xf numFmtId="0" fontId="52" fillId="0" borderId="24" applyFont="1" applyFill="1" applyBorder="1" applyAlignment="1">
      <alignment horizontal="center"/>
    </xf>
    <xf numFmtId="0" fontId="52" fillId="0" borderId="25" applyFont="1" applyFill="1" applyBorder="1" applyAlignment="1">
      <alignment horizontal="center"/>
    </xf>
    <xf numFmtId="0" fontId="52" fillId="0" borderId="26" applyFont="1" applyFill="1" applyBorder="1" applyAlignment="1">
      <alignment horizontal="center"/>
    </xf>
    <xf numFmtId="0" fontId="52" fillId="0" borderId="27" applyFont="1" applyFill="1" applyBorder="1" applyAlignment="1">
      <alignment horizontal="center"/>
    </xf>
    <xf numFmtId="0" fontId="52" fillId="0" borderId="28" applyFont="1" applyFill="1" applyBorder="1" applyAlignment="1">
      <alignment horizontal="center"/>
    </xf>
    <xf numFmtId="0" fontId="52" fillId="0" borderId="29" applyFont="1" applyFill="1" applyBorder="1" applyAlignment="1">
      <alignment horizontal="center"/>
    </xf>
    <xf numFmtId="0" fontId="53" fillId="0" borderId="22" applyFont="1" applyFill="1" applyBorder="1" applyAlignment="1">
      <alignment horizontal="center"/>
    </xf>
    <xf numFmtId="0" fontId="53" fillId="0" borderId="6" applyFont="1" applyFill="1" applyBorder="1" applyAlignment="1">
      <alignment horizontal="center"/>
    </xf>
    <xf numFmtId="0" fontId="52" fillId="0" borderId="22" applyFont="1" applyFill="1" applyBorder="1" applyAlignment="1">
      <alignment horizontal="center"/>
    </xf>
    <xf numFmtId="0" fontId="52" fillId="0" borderId="0" applyFont="1" applyFill="1" applyAlignment="1">
      <alignment horizontal="center"/>
    </xf>
    <xf numFmtId="0" fontId="52" fillId="0" borderId="23" applyFont="1" applyFill="1" applyBorder="1" applyAlignment="1">
      <alignment horizontal="center"/>
    </xf>
    <xf numFmtId="166" fontId="69" fillId="10" borderId="22" applyNumberFormat="1" applyFont="1" applyFill="1" applyBorder="1" applyAlignment="1">
      <alignment horizontal="center"/>
    </xf>
    <xf numFmtId="166" fontId="69" fillId="10" borderId="23" applyNumberFormat="1" applyFont="1" applyFill="1" applyBorder="1" applyAlignment="1">
      <alignment horizontal="center"/>
    </xf>
    <xf numFmtId="166" fontId="69" fillId="10" borderId="27" applyNumberFormat="1" applyFont="1" applyFill="1" applyBorder="1" applyAlignment="1">
      <alignment horizontal="center"/>
    </xf>
    <xf numFmtId="166" fontId="69" fillId="10" borderId="28" applyNumberFormat="1" applyFont="1" applyFill="1" applyBorder="1" applyAlignment="1">
      <alignment horizontal="center"/>
    </xf>
    <xf numFmtId="166" fontId="69" fillId="10" borderId="37" applyNumberFormat="1" applyFont="1" applyFill="1" applyBorder="1" applyAlignment="1">
      <alignment horizontal="center"/>
    </xf>
    <xf numFmtId="166" fontId="69" fillId="10" borderId="29" applyNumberFormat="1" applyFont="1" applyFill="1" applyBorder="1" applyAlignment="1">
      <alignment horizontal="center"/>
    </xf>
    <xf numFmtId="1" fontId="69" fillId="10" borderId="27" applyNumberFormat="1" applyFont="1" applyFill="1" applyBorder="1" applyAlignment="1">
      <alignment horizontal="center"/>
    </xf>
    <xf numFmtId="1" fontId="69" fillId="10" borderId="28" applyNumberFormat="1" applyFont="1" applyFill="1" applyBorder="1" applyAlignment="1">
      <alignment horizontal="center"/>
    </xf>
    <xf numFmtId="1" fontId="69" fillId="10" borderId="29" applyNumberFormat="1" applyFont="1" applyFill="1" applyBorder="1" applyAlignment="1">
      <alignment horizontal="center"/>
    </xf>
    <xf numFmtId="0" fontId="51" fillId="0" borderId="38" applyFont="1" applyFill="1" applyBorder="1"/>
    <xf numFmtId="0" fontId="53" fillId="0" borderId="7" applyFont="1" applyFill="1" applyBorder="1" applyAlignment="1">
      <alignment horizontal="center"/>
    </xf>
    <xf numFmtId="166" fontId="69" fillId="10" borderId="39" applyNumberFormat="1" applyFont="1" applyFill="1" applyBorder="1" applyAlignment="1">
      <alignment horizontal="center"/>
    </xf>
    <xf numFmtId="0" fontId="31" fillId="0" borderId="30" applyFont="1" applyFill="1" applyBorder="1" applyAlignment="1">
      <alignment horizontal="center" wrapText="1"/>
    </xf>
    <xf numFmtId="0" fontId="31" fillId="0" borderId="31" applyFont="1" applyFill="1" applyBorder="1" applyAlignment="1">
      <alignment horizontal="center" wrapText="1"/>
    </xf>
    <xf numFmtId="0" fontId="31" fillId="0" borderId="32" applyFont="1" applyFill="1" applyBorder="1" applyAlignment="1">
      <alignment horizontal="center" wrapText="1"/>
    </xf>
    <xf numFmtId="0" fontId="42" fillId="0" borderId="24" applyFont="1" applyFill="1" applyBorder="1" applyAlignment="1">
      <alignment horizontal="center"/>
    </xf>
    <xf numFmtId="0" fontId="42" fillId="0" borderId="26" applyFont="1" applyFill="1" applyBorder="1" applyAlignment="1">
      <alignment horizontal="center"/>
    </xf>
    <xf numFmtId="0" fontId="42" fillId="10" borderId="22" applyFont="1" applyFill="1" applyBorder="1" applyAlignment="1">
      <alignment horizontal="center"/>
    </xf>
    <xf numFmtId="0" fontId="42" fillId="10" borderId="23" applyFont="1" applyFill="1" applyBorder="1" applyAlignment="1">
      <alignment horizontal="center"/>
    </xf>
    <xf numFmtId="0" fontId="42" fillId="0" borderId="22" applyFont="1" applyFill="1" applyBorder="1" applyAlignment="1">
      <alignment horizontal="center"/>
    </xf>
    <xf numFmtId="0" fontId="42" fillId="0" borderId="23" applyFont="1" applyFill="1" applyBorder="1" applyAlignment="1">
      <alignment horizontal="center"/>
    </xf>
    <xf numFmtId="0" fontId="42" fillId="10" borderId="27" applyFont="1" applyFill="1" applyBorder="1" applyAlignment="1">
      <alignment horizontal="center"/>
    </xf>
    <xf numFmtId="0" fontId="42" fillId="10" borderId="29" applyFont="1" applyFill="1" applyBorder="1" applyAlignment="1">
      <alignment horizontal="center"/>
    </xf>
    <xf numFmtId="0" fontId="42" fillId="0" borderId="25" applyFont="1" applyFill="1" applyBorder="1" applyAlignment="1">
      <alignment horizontal="center"/>
    </xf>
    <xf numFmtId="0" fontId="42" fillId="10" borderId="0" applyFont="1" applyFill="1" applyAlignment="1">
      <alignment horizontal="center"/>
    </xf>
    <xf numFmtId="0" fontId="42" fillId="0" borderId="0" applyFont="1" applyFill="1" applyAlignment="1">
      <alignment horizontal="center"/>
    </xf>
    <xf numFmtId="0" fontId="42" fillId="10" borderId="28" applyFont="1" applyFill="1" applyBorder="1" applyAlignment="1">
      <alignment horizontal="center"/>
    </xf>
    <xf numFmtId="166" fontId="69" fillId="0" borderId="24" applyNumberFormat="1" applyFont="1" applyFill="1" applyBorder="1" applyAlignment="1">
      <alignment horizontal="center"/>
    </xf>
    <xf numFmtId="166" fontId="69" fillId="0" borderId="25" applyNumberFormat="1" applyFont="1" applyFill="1" applyBorder="1" applyAlignment="1">
      <alignment horizontal="center"/>
    </xf>
    <xf numFmtId="166" fontId="69" fillId="0" borderId="26" applyNumberFormat="1" applyFont="1" applyFill="1" applyBorder="1" applyAlignment="1">
      <alignment horizontal="center"/>
    </xf>
    <xf numFmtId="166" fontId="69" fillId="10" borderId="22" applyNumberFormat="1" applyFont="1" applyFill="1" applyBorder="1" applyAlignment="1">
      <alignment horizontal="center"/>
    </xf>
    <xf numFmtId="166" fontId="69" fillId="10" borderId="23" applyNumberFormat="1" applyFont="1" applyFill="1" applyBorder="1" applyAlignment="1">
      <alignment horizontal="center"/>
    </xf>
    <xf numFmtId="166" fontId="69" fillId="0" borderId="22" applyNumberFormat="1" applyFont="1" applyFill="1" applyBorder="1" applyAlignment="1">
      <alignment horizontal="center"/>
    </xf>
    <xf numFmtId="166" fontId="69" fillId="0" borderId="23" applyNumberFormat="1" applyFont="1" applyFill="1" applyBorder="1" applyAlignment="1">
      <alignment horizontal="center"/>
    </xf>
    <xf numFmtId="166" fontId="69" fillId="10" borderId="27" applyNumberFormat="1" applyFont="1" applyFill="1" applyBorder="1" applyAlignment="1">
      <alignment horizontal="center"/>
    </xf>
    <xf numFmtId="166" fontId="69" fillId="10" borderId="28" applyNumberFormat="1" applyFont="1" applyFill="1" applyBorder="1" applyAlignment="1">
      <alignment horizontal="center"/>
    </xf>
    <xf numFmtId="166" fontId="69" fillId="10" borderId="29" applyNumberFormat="1" applyFont="1" applyFill="1" applyBorder="1" applyAlignment="1">
      <alignment horizontal="center"/>
    </xf>
    <xf numFmtId="166" fontId="69" fillId="0" borderId="27" applyNumberFormat="1" applyFont="1" applyFill="1" applyBorder="1" applyAlignment="1">
      <alignment horizontal="center"/>
    </xf>
    <xf numFmtId="166" fontId="69" fillId="0" borderId="28" applyNumberFormat="1" applyFont="1" applyFill="1" applyBorder="1" applyAlignment="1">
      <alignment horizontal="center"/>
    </xf>
    <xf numFmtId="166" fontId="69" fillId="0" borderId="29" applyNumberFormat="1" applyFont="1" applyFill="1" applyBorder="1" applyAlignment="1">
      <alignment horizontal="center"/>
    </xf>
    <xf numFmtId="2" fontId="69" fillId="10" borderId="30" applyNumberFormat="1" applyFont="1" applyFill="1" applyBorder="1" applyAlignment="1">
      <alignment horizontal="center"/>
    </xf>
    <xf numFmtId="2" fontId="69" fillId="10" borderId="31" applyNumberFormat="1" applyFont="1" applyFill="1" applyBorder="1" applyAlignment="1">
      <alignment horizontal="center"/>
    </xf>
    <xf numFmtId="2" fontId="69" fillId="10" borderId="40" applyNumberFormat="1" applyFont="1" applyFill="1" applyBorder="1" applyAlignment="1">
      <alignment horizontal="center"/>
    </xf>
    <xf numFmtId="2" fontId="69" fillId="10" borderId="22" applyNumberFormat="1" applyFont="1" applyFill="1" applyBorder="1" applyAlignment="1">
      <alignment horizontal="center"/>
    </xf>
    <xf numFmtId="2" fontId="69" fillId="10" borderId="23" applyNumberFormat="1" applyFont="1" applyFill="1" applyBorder="1" applyAlignment="1">
      <alignment horizontal="center"/>
    </xf>
    <xf numFmtId="2" fontId="69" fillId="10" borderId="41" applyNumberFormat="1" applyFont="1" applyFill="1" applyBorder="1" applyAlignment="1">
      <alignment horizontal="center"/>
    </xf>
    <xf numFmtId="0" fontId="53" fillId="0" borderId="39" applyFont="1" applyFill="1" applyBorder="1" applyAlignment="1">
      <alignment horizontal="center"/>
    </xf>
    <xf numFmtId="2" fontId="69" fillId="0" borderId="24" applyNumberFormat="1" applyFont="1" applyFill="1" applyBorder="1" applyAlignment="1">
      <alignment horizontal="center"/>
    </xf>
    <xf numFmtId="2" fontId="69" fillId="0" borderId="26" applyNumberFormat="1" applyFont="1" applyFill="1" applyBorder="1" applyAlignment="1">
      <alignment horizontal="center"/>
    </xf>
    <xf numFmtId="2" fontId="69" fillId="10" borderId="22" applyNumberFormat="1" applyFont="1" applyFill="1" applyBorder="1" applyAlignment="1">
      <alignment horizontal="center"/>
    </xf>
    <xf numFmtId="2" fontId="69" fillId="10" borderId="23" applyNumberFormat="1" applyFont="1" applyFill="1" applyBorder="1" applyAlignment="1">
      <alignment horizontal="center"/>
    </xf>
    <xf numFmtId="2" fontId="69" fillId="0" borderId="22" applyNumberFormat="1" applyFont="1" applyFill="1" applyBorder="1" applyAlignment="1">
      <alignment horizontal="center"/>
    </xf>
    <xf numFmtId="2" fontId="69" fillId="0" borderId="23" applyNumberFormat="1" applyFont="1" applyFill="1" applyBorder="1" applyAlignment="1">
      <alignment horizontal="center"/>
    </xf>
    <xf numFmtId="2" fontId="69" fillId="10" borderId="27" applyNumberFormat="1" applyFont="1" applyFill="1" applyBorder="1" applyAlignment="1">
      <alignment horizontal="center"/>
    </xf>
    <xf numFmtId="2" fontId="69" fillId="10" borderId="29" applyNumberFormat="1" applyFont="1" applyFill="1" applyBorder="1" applyAlignment="1">
      <alignment horizontal="center"/>
    </xf>
    <xf numFmtId="2" fontId="69" fillId="0" borderId="25" applyNumberFormat="1" applyFont="1" applyFill="1" applyBorder="1" applyAlignment="1">
      <alignment horizontal="center"/>
    </xf>
    <xf numFmtId="2" fontId="69" fillId="10" borderId="28" applyNumberFormat="1" applyFont="1" applyFill="1" applyBorder="1" applyAlignment="1">
      <alignment horizontal="center"/>
    </xf>
    <xf numFmtId="2" fontId="69" fillId="0" borderId="27" applyNumberFormat="1" applyFont="1" applyFill="1" applyBorder="1" applyAlignment="1">
      <alignment horizontal="center"/>
    </xf>
    <xf numFmtId="2" fontId="69" fillId="0" borderId="28" applyNumberFormat="1" applyFont="1" applyFill="1" applyBorder="1" applyAlignment="1">
      <alignment horizontal="center"/>
    </xf>
    <xf numFmtId="2" fontId="69" fillId="0" borderId="29" applyNumberFormat="1" applyFont="1" applyFill="1" applyBorder="1" applyAlignment="1">
      <alignment horizontal="center"/>
    </xf>
    <xf numFmtId="0" fontId="46" fillId="3" borderId="0" applyFont="1" applyFill="1"/>
    <xf numFmtId="0" fontId="45" fillId="3" borderId="33" applyFont="1" applyFill="1" applyBorder="1" applyAlignment="1">
      <alignment horizontal="center"/>
    </xf>
    <xf numFmtId="0" fontId="45" fillId="6" borderId="34" applyFont="1" applyFill="1" applyBorder="1" applyAlignment="1">
      <alignment horizontal="center"/>
    </xf>
    <xf numFmtId="0" fontId="45" fillId="3" borderId="34" applyFont="1" applyFill="1" applyBorder="1" applyAlignment="1">
      <alignment horizontal="center"/>
    </xf>
    <xf numFmtId="0" fontId="45" fillId="6" borderId="35" applyFont="1" applyFill="1" applyBorder="1" applyAlignment="1">
      <alignment horizontal="center"/>
    </xf>
    <xf numFmtId="1" fontId="45" fillId="3" borderId="24" applyNumberFormat="1" applyFont="1" applyFill="1" applyBorder="1" applyAlignment="1">
      <alignment horizontal="center"/>
    </xf>
    <xf numFmtId="1" fontId="45" fillId="3" borderId="25" applyNumberFormat="1" applyFont="1" applyFill="1" applyBorder="1" applyAlignment="1">
      <alignment horizontal="center"/>
    </xf>
    <xf numFmtId="1" fontId="45" fillId="3" borderId="26" applyNumberFormat="1" applyFont="1" applyFill="1" applyBorder="1" applyAlignment="1">
      <alignment horizontal="center"/>
    </xf>
    <xf numFmtId="1" fontId="45" fillId="6" borderId="22" applyNumberFormat="1" applyFont="1" applyFill="1" applyBorder="1" applyAlignment="1">
      <alignment horizontal="center"/>
    </xf>
    <xf numFmtId="1" fontId="45" fillId="6" borderId="23" applyNumberFormat="1" applyFont="1" applyFill="1" applyBorder="1" applyAlignment="1">
      <alignment horizontal="center"/>
    </xf>
    <xf numFmtId="1" fontId="45" fillId="6" borderId="27" applyNumberFormat="1" applyFont="1" applyFill="1" applyBorder="1" applyAlignment="1">
      <alignment horizontal="center"/>
    </xf>
    <xf numFmtId="1" fontId="45" fillId="6" borderId="28" applyNumberFormat="1" applyFont="1" applyFill="1" applyBorder="1" applyAlignment="1">
      <alignment horizontal="center"/>
    </xf>
    <xf numFmtId="1" fontId="45" fillId="6" borderId="29" applyNumberFormat="1" applyFont="1" applyFill="1" applyBorder="1" applyAlignment="1">
      <alignment horizontal="center"/>
    </xf>
    <xf numFmtId="1" fontId="45" fillId="3" borderId="36" applyNumberFormat="1" applyFont="1" applyFill="1" applyBorder="1" applyAlignment="1">
      <alignment horizontal="center"/>
    </xf>
    <xf numFmtId="1" fontId="45" fillId="3" borderId="38" applyNumberFormat="1" applyFont="1" applyFill="1" applyBorder="1" applyAlignment="1">
      <alignment horizontal="center"/>
    </xf>
    <xf numFmtId="1" fontId="45" fillId="6" borderId="37" applyNumberFormat="1" applyFont="1" applyFill="1" applyBorder="1" applyAlignment="1">
      <alignment horizontal="center"/>
    </xf>
    <xf numFmtId="1" fontId="45" fillId="6" borderId="39" applyNumberFormat="1" applyFont="1" applyFill="1" applyBorder="1" applyAlignment="1">
      <alignment horizontal="center"/>
    </xf>
    <xf numFmtId="0" fontId="42" fillId="0" borderId="14" applyFont="1" applyFill="1" applyBorder="1" applyAlignment="1">
      <alignment horizontal="right"/>
    </xf>
    <xf numFmtId="0" fontId="32" fillId="0" borderId="0" applyFont="1" applyFill="1"/>
    <xf numFmtId="17" fontId="42" fillId="0" borderId="0" applyNumberFormat="1" applyFont="1" applyFill="1" applyAlignment="1">
      <alignment horizontal="left"/>
    </xf>
    <xf numFmtId="0" fontId="1" fillId="12" borderId="0" applyFont="1" applyFill="1"/>
    <xf numFmtId="0" fontId="62" fillId="12" borderId="0" applyFont="1" applyFill="1" applyAlignment="1">
      <alignment horizontal="right"/>
    </xf>
    <xf numFmtId="0" fontId="63" fillId="12" borderId="0" applyFont="1" applyFill="1" applyAlignment="1">
      <alignment horizontal="left" vertical="top"/>
    </xf>
    <xf numFmtId="0" fontId="64" fillId="12" borderId="0" applyFont="1" applyFill="1" applyAlignment="1">
      <alignment horizontal="right"/>
    </xf>
    <xf numFmtId="0" fontId="65" fillId="12" borderId="0" applyFont="1" applyFill="1"/>
    <xf numFmtId="0" fontId="63" fillId="12" borderId="0" applyFont="1" applyFill="1"/>
    <xf numFmtId="0" fontId="65" fillId="12" borderId="0" applyFont="1" applyFill="1" applyAlignment="1">
      <alignment wrapText="1"/>
    </xf>
    <xf numFmtId="0" fontId="66" fillId="12" borderId="0" applyFont="1" applyFill="1"/>
    <xf numFmtId="0" fontId="69" fillId="12" borderId="0" applyFont="1" applyFill="1"/>
    <xf numFmtId="0" fontId="36" fillId="12" borderId="0" applyFont="1" applyFill="1"/>
    <xf numFmtId="0" fontId="55" fillId="12" borderId="1" applyFont="1" applyFill="1" applyBorder="1"/>
    <xf numFmtId="0" fontId="55" fillId="12" borderId="30" applyFont="1" applyFill="1" applyBorder="1"/>
    <xf numFmtId="0" fontId="56" fillId="12" borderId="1" applyFont="1" applyFill="1" applyBorder="1" applyAlignment="1">
      <alignment horizontal="center"/>
    </xf>
    <xf numFmtId="0" fontId="1" fillId="12" borderId="0" applyFont="1" applyFill="1" applyAlignment="1">
      <alignment horizontal="right"/>
    </xf>
    <xf numFmtId="0" fontId="63" fillId="12" borderId="0" applyFont="1" applyFill="1" applyAlignment="1">
      <alignment horizontal="right" vertical="top"/>
    </xf>
    <xf numFmtId="0" fontId="65" fillId="12" borderId="0" applyFont="1" applyFill="1" applyAlignment="1">
      <alignment horizontal="right"/>
    </xf>
    <xf numFmtId="0" fontId="54" fillId="12" borderId="0" applyFont="1" applyFill="1" applyAlignment="1">
      <alignment horizontal="right"/>
    </xf>
    <xf numFmtId="0" fontId="63" fillId="12" borderId="0" applyFont="1" applyFill="1" applyAlignment="1">
      <alignment horizontal="right"/>
    </xf>
    <xf numFmtId="0" fontId="1" fillId="11" borderId="0" applyFont="1" applyFill="1" applyAlignment="1">
      <alignment horizontal="right"/>
    </xf>
    <xf numFmtId="0" fontId="33" fillId="3" borderId="0" applyFont="1" applyFill="1" applyAlignment="1">
      <alignment horizontal="centerContinuous"/>
    </xf>
    <xf numFmtId="0" fontId="34" fillId="11" borderId="0" applyFont="1" applyFill="1"/>
    <xf numFmtId="0" fontId="54" fillId="12" borderId="0" applyFont="1" applyFill="1" applyAlignment="1">
      <alignment horizontal="left" vertical="top"/>
    </xf>
    <xf numFmtId="0" fontId="68" fillId="12" borderId="0" applyFont="1" applyFill="1"/>
    <xf numFmtId="0" fontId="63" fillId="12" borderId="0" applyFont="1" applyFill="1" applyAlignment="1">
      <alignment vertical="top"/>
    </xf>
    <xf numFmtId="0" fontId="34" fillId="12" borderId="0" applyFont="1" applyFill="1" applyAlignment="1">
      <alignment horizontal="right" vertical="top"/>
    </xf>
    <xf numFmtId="0" fontId="69" fillId="3" borderId="0" applyFont="1" applyFill="1" applyAlignment="1">
      <alignment horizontal="left"/>
    </xf>
    <xf numFmtId="0" fontId="73" fillId="0" borderId="0" applyFont="1" applyFill="1"/>
    <xf numFmtId="0" fontId="76" fillId="0" borderId="0" applyFont="1" applyFill="1"/>
    <xf numFmtId="0" fontId="77" fillId="0" borderId="0" applyFont="1" applyFill="1"/>
    <xf numFmtId="0" fontId="75" fillId="0" borderId="0" applyFont="1" applyFill="1" applyAlignment="1">
      <alignment vertical="top"/>
    </xf>
    <xf numFmtId="0" fontId="78" fillId="0" borderId="0" applyFont="1" applyFill="1"/>
    <xf numFmtId="0" fontId="79" fillId="0" borderId="0" applyFont="1" applyFill="1"/>
    <xf numFmtId="0" fontId="79" fillId="0" borderId="0" applyFont="1" applyFill="1" applyAlignment="1">
      <alignment vertical="top" wrapText="1"/>
    </xf>
    <xf numFmtId="0" fontId="73" fillId="0" borderId="0" applyFont="1" applyFill="1" applyAlignment="1">
      <alignment vertical="top" wrapText="1"/>
    </xf>
    <xf numFmtId="0" fontId="35" fillId="3" borderId="0" applyFont="1" applyFill="1" applyAlignment="1">
      <alignment vertical="center"/>
    </xf>
    <xf numFmtId="0" fontId="71" fillId="0" borderId="0" applyFont="1" applyFill="1" applyAlignment="1">
      <alignment vertical="top"/>
    </xf>
    <xf numFmtId="0" fontId="72" fillId="0" borderId="0" applyFont="1" applyFill="1" applyAlignment="1">
      <alignment vertical="top"/>
    </xf>
    <xf numFmtId="166" fontId="69" fillId="13" borderId="24" applyNumberFormat="1" applyFont="1" applyFill="1" applyBorder="1" applyAlignment="1">
      <alignment horizontal="center"/>
    </xf>
    <xf numFmtId="166" fontId="69" fillId="13" borderId="25" applyNumberFormat="1" applyFont="1" applyFill="1" applyBorder="1" applyAlignment="1">
      <alignment horizontal="center"/>
    </xf>
    <xf numFmtId="166" fontId="69" fillId="13" borderId="36" applyNumberFormat="1" applyFont="1" applyFill="1" applyBorder="1" applyAlignment="1">
      <alignment horizontal="center"/>
    </xf>
    <xf numFmtId="166" fontId="69" fillId="13" borderId="38" applyNumberFormat="1" applyFont="1" applyFill="1" applyBorder="1" applyAlignment="1">
      <alignment horizontal="center"/>
    </xf>
    <xf numFmtId="166" fontId="69" fillId="13" borderId="0" applyNumberFormat="1" applyFont="1" applyFill="1"/>
    <xf numFmtId="166" fontId="69" fillId="13" borderId="26" applyNumberFormat="1" applyFont="1" applyFill="1" applyBorder="1" applyAlignment="1">
      <alignment horizontal="center"/>
    </xf>
    <xf numFmtId="166" fontId="69" fillId="13" borderId="27" applyNumberFormat="1" applyFont="1" applyFill="1" applyBorder="1" applyAlignment="1">
      <alignment horizontal="center"/>
    </xf>
    <xf numFmtId="166" fontId="69" fillId="13" borderId="28" applyNumberFormat="1" applyFont="1" applyFill="1" applyBorder="1" applyAlignment="1">
      <alignment horizontal="center"/>
    </xf>
    <xf numFmtId="166" fontId="69" fillId="13" borderId="37" applyNumberFormat="1" applyFont="1" applyFill="1" applyBorder="1" applyAlignment="1">
      <alignment horizontal="center"/>
    </xf>
    <xf numFmtId="166" fontId="69" fillId="13" borderId="39" applyNumberFormat="1" applyFont="1" applyFill="1" applyBorder="1" applyAlignment="1">
      <alignment horizontal="center"/>
    </xf>
    <xf numFmtId="166" fontId="69" fillId="13" borderId="29" applyNumberFormat="1" applyFont="1" applyFill="1" applyBorder="1" applyAlignment="1">
      <alignment horizontal="center"/>
    </xf>
    <xf numFmtId="1" fontId="69" fillId="13" borderId="24" applyNumberFormat="1" applyFont="1" applyFill="1" applyBorder="1" applyAlignment="1">
      <alignment horizontal="center"/>
    </xf>
    <xf numFmtId="1" fontId="69" fillId="13" borderId="25" applyNumberFormat="1" applyFont="1" applyFill="1" applyBorder="1" applyAlignment="1">
      <alignment horizontal="center"/>
    </xf>
    <xf numFmtId="1" fontId="69" fillId="13" borderId="36" applyNumberFormat="1" applyFont="1" applyFill="1" applyBorder="1" applyAlignment="1">
      <alignment horizontal="center"/>
    </xf>
    <xf numFmtId="1" fontId="69" fillId="13" borderId="38" applyNumberFormat="1" applyFont="1" applyFill="1" applyBorder="1" applyAlignment="1">
      <alignment horizontal="center"/>
    </xf>
    <xf numFmtId="1" fontId="69" fillId="13" borderId="0" applyNumberFormat="1" applyFont="1" applyFill="1"/>
    <xf numFmtId="1" fontId="69" fillId="13" borderId="26" applyNumberFormat="1" applyFont="1" applyFill="1" applyBorder="1" applyAlignment="1">
      <alignment horizontal="center"/>
    </xf>
    <xf numFmtId="2" fontId="69" fillId="13" borderId="24" applyNumberFormat="1" applyFont="1" applyFill="1" applyBorder="1" applyAlignment="1">
      <alignment horizontal="center"/>
    </xf>
    <xf numFmtId="2" fontId="69" fillId="13" borderId="25" applyNumberFormat="1" applyFont="1" applyFill="1" applyBorder="1" applyAlignment="1">
      <alignment horizontal="center"/>
    </xf>
    <xf numFmtId="2" fontId="69" fillId="13" borderId="36" applyNumberFormat="1" applyFont="1" applyFill="1" applyBorder="1" applyAlignment="1">
      <alignment horizontal="center"/>
    </xf>
    <xf numFmtId="2" fontId="69" fillId="13" borderId="38" applyNumberFormat="1" applyFont="1" applyFill="1" applyBorder="1" applyAlignment="1">
      <alignment horizontal="center"/>
    </xf>
    <xf numFmtId="2" fontId="69" fillId="13" borderId="0" applyNumberFormat="1" applyFont="1" applyFill="1"/>
    <xf numFmtId="2" fontId="69" fillId="13" borderId="26" applyNumberFormat="1" applyFont="1" applyFill="1" applyBorder="1" applyAlignment="1">
      <alignment horizontal="center"/>
    </xf>
    <xf numFmtId="2" fontId="69" fillId="13" borderId="27" applyNumberFormat="1" applyFont="1" applyFill="1" applyBorder="1" applyAlignment="1">
      <alignment horizontal="center"/>
    </xf>
    <xf numFmtId="2" fontId="69" fillId="13" borderId="28" applyNumberFormat="1" applyFont="1" applyFill="1" applyBorder="1" applyAlignment="1">
      <alignment horizontal="center"/>
    </xf>
    <xf numFmtId="2" fontId="69" fillId="13" borderId="37" applyNumberFormat="1" applyFont="1" applyFill="1" applyBorder="1" applyAlignment="1">
      <alignment horizontal="center"/>
    </xf>
    <xf numFmtId="2" fontId="69" fillId="13" borderId="39" applyNumberFormat="1" applyFont="1" applyFill="1" applyBorder="1" applyAlignment="1">
      <alignment horizontal="center"/>
    </xf>
    <xf numFmtId="2" fontId="69" fillId="13" borderId="29" applyNumberFormat="1" applyFont="1" applyFill="1" applyBorder="1" applyAlignment="1">
      <alignment horizontal="center"/>
    </xf>
    <xf numFmtId="166" fontId="42" fillId="13" borderId="0" applyNumberFormat="1" applyFont="1" applyFill="1" applyBorder="1" applyAlignment="1">
      <alignment horizontal="center"/>
    </xf>
    <xf numFmtId="166" fontId="42" fillId="13" borderId="6" applyNumberFormat="1" applyFont="1" applyFill="1" applyBorder="1" applyAlignment="1">
      <alignment horizontal="center"/>
    </xf>
    <xf numFmtId="166" fontId="42" fillId="13" borderId="7" applyNumberFormat="1" applyFont="1" applyFill="1" applyBorder="1" applyAlignment="1">
      <alignment horizontal="center"/>
    </xf>
    <xf numFmtId="0" fontId="42" fillId="13" borderId="0" applyFont="1" applyFill="1"/>
    <xf numFmtId="0" fontId="1" fillId="12" borderId="0" applyFont="1" applyFill="1" applyAlignment="1">
      <alignment vertical="top"/>
    </xf>
    <xf numFmtId="0" fontId="69" fillId="12" borderId="0" applyFont="1" applyFill="1" applyAlignment="1">
      <alignment vertical="top"/>
    </xf>
    <xf numFmtId="0" fontId="1" fillId="11" borderId="0" applyFont="1" applyFill="1" applyAlignment="1">
      <alignment vertical="top"/>
    </xf>
    <xf numFmtId="0" fontId="1" fillId="0" borderId="0" applyFont="1" applyFill="1" applyAlignment="1">
      <alignment vertical="top"/>
    </xf>
    <xf numFmtId="0" fontId="34" fillId="12" borderId="0" applyFont="1" applyFill="1"/>
    <xf numFmtId="0" fontId="63" fillId="12" borderId="0" applyFont="1" applyFill="1" applyAlignment="1">
      <alignment horizontal="center"/>
    </xf>
    <xf numFmtId="0" fontId="34" fillId="12" borderId="0" applyFont="1" applyFill="1" applyAlignment="1">
      <alignment horizontal="right"/>
    </xf>
    <xf numFmtId="0" fontId="34" fillId="11" borderId="0" applyFont="1" applyFill="1"/>
    <xf numFmtId="0" fontId="39" fillId="12" borderId="0" applyFont="1" applyFill="1"/>
    <xf numFmtId="0" fontId="39" fillId="12" borderId="0" applyFont="1" applyFill="1" applyAlignment="1">
      <alignment horizontal="right"/>
    </xf>
    <xf numFmtId="0" fontId="39" fillId="11" borderId="0" applyFont="1" applyFill="1"/>
    <xf numFmtId="0" fontId="67" fillId="12" borderId="0" applyFont="1" applyFill="1" applyAlignment="1">
      <alignment horizontal="left"/>
    </xf>
    <xf numFmtId="0" fontId="67" fillId="12" borderId="0" applyFont="1" applyFill="1"/>
    <xf numFmtId="2" fontId="69" fillId="14" borderId="0" applyNumberFormat="1" applyFont="1" applyFill="1" applyBorder="1" applyAlignment="1">
      <alignment horizontal="center"/>
    </xf>
    <xf numFmtId="2" fontId="69" fillId="14" borderId="6" applyNumberFormat="1" applyFont="1" applyFill="1" applyBorder="1" applyAlignment="1">
      <alignment horizontal="center"/>
    </xf>
    <xf numFmtId="2" fontId="69" fillId="14" borderId="7" applyNumberFormat="1" applyFont="1" applyFill="1" applyBorder="1" applyAlignment="1">
      <alignment horizontal="center"/>
    </xf>
    <xf numFmtId="2" fontId="69" fillId="13" borderId="0" applyNumberFormat="1" applyFont="1" applyFill="1" applyBorder="1" applyAlignment="1">
      <alignment horizontal="center"/>
    </xf>
    <xf numFmtId="2" fontId="69" fillId="13" borderId="6" applyNumberFormat="1" applyFont="1" applyFill="1" applyBorder="1" applyAlignment="1">
      <alignment horizontal="center"/>
    </xf>
    <xf numFmtId="2" fontId="69" fillId="13" borderId="7" applyNumberFormat="1" applyFont="1" applyFill="1" applyBorder="1" applyAlignment="1">
      <alignment horizontal="center"/>
    </xf>
    <xf numFmtId="0" fontId="54" fillId="12" borderId="0" applyFont="1" applyFill="1" applyAlignment="1">
      <alignment horizontal="left" wrapText="1"/>
    </xf>
    <xf numFmtId="0" fontId="67" fillId="12" borderId="0" applyFont="1" applyFill="1" applyAlignment="1">
      <alignment horizontal="left" wrapText="1"/>
    </xf>
    <xf numFmtId="0" fontId="39" fillId="3" borderId="0" applyFont="1" applyFill="1" applyAlignment="1">
      <alignment horizontal="left" wrapText="1"/>
    </xf>
    <xf numFmtId="0" fontId="32" fillId="3" borderId="0" applyFont="1" applyFill="1" applyAlignment="1">
      <alignment horizontal="right" vertical="center"/>
    </xf>
    <xf numFmtId="0" fontId="55" fillId="12" borderId="30" applyFont="1" applyFill="1" applyBorder="1" applyAlignment="1">
      <alignment horizontal="center"/>
    </xf>
    <xf numFmtId="0" fontId="55" fillId="12" borderId="31" applyFont="1" applyFill="1" applyBorder="1" applyAlignment="1">
      <alignment horizontal="center"/>
    </xf>
    <xf numFmtId="0" fontId="55" fillId="12" borderId="32" applyFont="1" applyFill="1" applyBorder="1" applyAlignment="1">
      <alignment horizontal="center"/>
    </xf>
    <xf numFmtId="0" fontId="32" fillId="3" borderId="0" applyFont="1" applyFill="1" applyAlignment="1">
      <alignment horizontal="center"/>
    </xf>
    <xf numFmtId="0" fontId="69" fillId="3" borderId="0" applyFont="1" applyFill="1" applyAlignment="1">
      <alignment horizontal="right"/>
    </xf>
    <xf numFmtId="0" fontId="1" fillId="0" borderId="0" applyFont="1" applyFill="1" applyAlignment="1">
      <alignment horizontal="center"/>
    </xf>
    <xf numFmtId="0" fontId="3" fillId="12" borderId="30" applyFont="1" applyFill="1" applyBorder="1" applyAlignment="1">
      <alignment horizontal="center"/>
    </xf>
    <xf numFmtId="0" fontId="1" fillId="12" borderId="31" applyFont="1" applyFill="1" applyBorder="1" applyAlignment="1">
      <alignment horizontal="center"/>
    </xf>
    <xf numFmtId="0" fontId="1" fillId="12" borderId="32" applyFont="1" applyFill="1" applyBorder="1" applyAlignment="1">
      <alignment horizontal="center"/>
    </xf>
    <xf numFmtId="0" fontId="1" fillId="0" borderId="0" applyFont="1" applyFill="1"/>
    <xf numFmtId="0" fontId="1" fillId="0" borderId="20" applyFont="1" applyFill="1" applyBorder="1" applyAlignment="1">
      <alignment horizontal="center"/>
    </xf>
    <xf numFmtId="0" fontId="39" fillId="0" borderId="0" applyFont="1" applyFill="1" applyAlignment="1">
      <alignment horizontal="left" wrapText="1"/>
    </xf>
    <xf numFmtId="0" fontId="3" fillId="12" borderId="31" applyFont="1" applyFill="1" applyBorder="1" applyAlignment="1">
      <alignment horizontal="center"/>
    </xf>
    <xf numFmtId="0" fontId="3" fillId="12" borderId="32" applyFont="1" applyFill="1" applyBorder="1" applyAlignment="1">
      <alignment horizontal="center"/>
    </xf>
    <xf numFmtId="0" fontId="36" fillId="0" borderId="0" applyFont="1" applyFill="1" applyAlignment="1">
      <alignment horizontal="right"/>
    </xf>
    <xf numFmtId="0" fontId="55" fillId="12" borderId="33" applyFont="1" applyFill="1" applyBorder="1" applyAlignment="1">
      <alignment horizontal="center" vertical="center"/>
    </xf>
    <xf numFmtId="0" fontId="55" fillId="12" borderId="35" applyFont="1" applyFill="1" applyBorder="1" applyAlignment="1">
      <alignment horizontal="center" vertical="center"/>
    </xf>
    <xf numFmtId="0" fontId="37" fillId="0" borderId="0" applyFont="1" applyFill="1" applyAlignment="1">
      <alignment horizontal="center"/>
    </xf>
    <xf numFmtId="0" fontId="37" fillId="0" borderId="42" applyFont="1" applyFill="1" applyBorder="1" applyAlignment="1">
      <alignment horizontal="center"/>
    </xf>
    <xf numFmtId="0" fontId="37" fillId="0" borderId="43" applyFont="1" applyFill="1" applyBorder="1" applyAlignment="1">
      <alignment horizontal="center"/>
    </xf>
    <xf numFmtId="0" fontId="37" fillId="0" borderId="44" applyFont="1" applyFill="1" applyBorder="1" applyAlignment="1">
      <alignment horizontal="center"/>
    </xf>
    <xf numFmtId="0" fontId="69" fillId="0" borderId="0" applyFont="1" applyFill="1" applyAlignment="1">
      <alignment horizontal="right"/>
    </xf>
    <xf numFmtId="0" fontId="21" fillId="0" borderId="30" applyFont="1" applyFill="1" applyBorder="1" applyAlignment="1">
      <alignment horizontal="center"/>
    </xf>
    <xf numFmtId="0" fontId="21" fillId="0" borderId="31" applyFont="1" applyFill="1" applyBorder="1" applyAlignment="1">
      <alignment horizontal="center"/>
    </xf>
    <xf numFmtId="0" fontId="21" fillId="0" borderId="32" applyFont="1" applyFill="1" applyBorder="1" applyAlignment="1">
      <alignment horizontal="center"/>
    </xf>
    <xf numFmtId="0" fontId="69" fillId="0" borderId="0" applyFont="1" applyFill="1" applyAlignment="1">
      <alignment horizontal="right" shrinkToFit="1"/>
    </xf>
    <xf numFmtId="0" fontId="19" fillId="12" borderId="30" applyFont="1" applyFill="1" applyBorder="1" applyAlignment="1">
      <alignment horizontal="center"/>
    </xf>
    <xf numFmtId="0" fontId="19" fillId="12" borderId="31" applyFont="1" applyFill="1" applyBorder="1" applyAlignment="1">
      <alignment horizontal="center"/>
    </xf>
    <xf numFmtId="0" fontId="19" fillId="12" borderId="32" applyFont="1" applyFill="1" applyBorder="1" applyAlignment="1">
      <alignment horizontal="center"/>
    </xf>
    <xf numFmtId="0" fontId="21" fillId="0" borderId="24" applyFont="1" applyFill="1" applyBorder="1" applyAlignment="1">
      <alignment horizontal="center"/>
    </xf>
    <xf numFmtId="0" fontId="21" fillId="0" borderId="25" applyFont="1" applyFill="1" applyBorder="1" applyAlignment="1">
      <alignment horizontal="center"/>
    </xf>
    <xf numFmtId="0" fontId="21" fillId="0" borderId="26" applyFont="1" applyFill="1" applyBorder="1" applyAlignment="1">
      <alignment horizontal="center"/>
    </xf>
    <xf numFmtId="0" fontId="69" fillId="0" borderId="0" applyFont="1" applyFill="1" applyAlignment="1">
      <alignment horizontal="right" wrapText="1"/>
    </xf>
    <xf numFmtId="0" fontId="21" fillId="0" borderId="11" applyFont="1" applyFill="1" applyBorder="1" applyAlignment="1">
      <alignment horizontal="center"/>
    </xf>
    <xf numFmtId="0" fontId="21" fillId="0" borderId="9" applyFont="1" applyFill="1" applyBorder="1" applyAlignment="1">
      <alignment horizontal="center"/>
    </xf>
    <xf numFmtId="0" fontId="21" fillId="0" borderId="27" applyFont="1" applyFill="1" applyBorder="1" applyAlignment="1">
      <alignment horizontal="center"/>
    </xf>
    <xf numFmtId="0" fontId="21" fillId="0" borderId="28" applyFont="1" applyFill="1" applyBorder="1" applyAlignment="1">
      <alignment horizontal="center"/>
    </xf>
    <xf numFmtId="0" fontId="21" fillId="0" borderId="29" applyFont="1" applyFill="1" applyBorder="1" applyAlignment="1">
      <alignment horizontal="center"/>
    </xf>
    <xf numFmtId="1" fontId="45" fillId="3" borderId="22" applyNumberFormat="1" applyFont="1" applyFill="1" applyBorder="1" applyAlignment="1">
      <alignment horizontal="center"/>
    </xf>
    <xf numFmtId="1" fontId="45" fillId="3" borderId="0" applyNumberFormat="1" applyFont="1" applyFill="1" applyAlignment="1">
      <alignment horizontal="center"/>
    </xf>
    <xf numFmtId="1" fontId="45" fillId="3" borderId="23" applyNumberFormat="1" applyFont="1" applyFill="1" applyBorder="1" applyAlignment="1">
      <alignment horizontal="center"/>
    </xf>
    <xf numFmtId="1" fontId="45" fillId="3" borderId="6" applyNumberFormat="1" applyFont="1" applyFill="1" applyBorder="1" applyAlignment="1">
      <alignment horizontal="center"/>
    </xf>
    <xf numFmtId="1" fontId="45" fillId="3" borderId="7" applyNumberFormat="1" applyFont="1" applyFill="1" applyBorder="1" applyAlignment="1">
      <alignment horizontal="center"/>
    </xf>
    <xf numFmtId="0" fontId="55" fillId="12" borderId="33" applyFont="1" applyFill="1" applyBorder="1" applyAlignment="1">
      <alignment horizontal="center"/>
    </xf>
    <xf numFmtId="0" fontId="55" fillId="12" borderId="35" applyFont="1" applyFill="1" applyBorder="1" applyAlignment="1">
      <alignment horizontal="center"/>
    </xf>
    <xf numFmtId="0" fontId="40" fillId="3" borderId="42" applyFont="1" applyFill="1" applyBorder="1" applyAlignment="1">
      <alignment horizontal="center"/>
    </xf>
    <xf numFmtId="0" fontId="40" fillId="3" borderId="43" applyFont="1" applyFill="1" applyBorder="1" applyAlignment="1">
      <alignment horizontal="center"/>
    </xf>
    <xf numFmtId="0" fontId="40" fillId="3" borderId="44" applyFont="1" applyFill="1" applyBorder="1" applyAlignment="1">
      <alignment horizontal="center"/>
    </xf>
    <xf numFmtId="0" fontId="40" fillId="3" borderId="0" applyFont="1" applyFill="1" applyAlignment="1">
      <alignment horizontal="center"/>
    </xf>
    <xf numFmtId="0" fontId="34" fillId="0" borderId="0" applyFont="1" applyFill="1" applyAlignment="1">
      <alignment horizontal="center"/>
    </xf>
    <xf numFmtId="0" fontId="34" fillId="0" borderId="23" applyFont="1" applyFill="1" applyBorder="1" applyAlignment="1">
      <alignment horizontal="center"/>
    </xf>
    <xf numFmtId="0" fontId="34" fillId="10" borderId="28" applyFont="1" applyFill="1" applyBorder="1" applyAlignment="1">
      <alignment horizontal="center"/>
    </xf>
    <xf numFmtId="0" fontId="34" fillId="10" borderId="29" applyFont="1" applyFill="1" applyBorder="1" applyAlignment="1">
      <alignment horizontal="center"/>
    </xf>
    <xf numFmtId="0" fontId="34" fillId="10" borderId="0" applyFont="1" applyFill="1" applyAlignment="1">
      <alignment horizontal="center"/>
    </xf>
    <xf numFmtId="0" fontId="34" fillId="10" borderId="23" applyFont="1" applyFill="1" applyBorder="1" applyAlignment="1">
      <alignment horizontal="center"/>
    </xf>
    <xf numFmtId="1" fontId="69" fillId="0" borderId="0" applyNumberFormat="1" applyFont="1" applyFill="1" applyAlignment="1">
      <alignment horizontal="left"/>
    </xf>
    <xf numFmtId="0" fontId="1" fillId="0" borderId="0" applyFont="1" applyFill="1" applyAlignment="1">
      <alignment horizontal="right"/>
    </xf>
    <xf numFmtId="0" fontId="1" fillId="0" borderId="23" applyFont="1" applyFill="1" applyBorder="1" applyAlignment="1">
      <alignment horizontal="right"/>
    </xf>
    <xf numFmtId="0" fontId="34" fillId="0" borderId="22" applyFont="1" applyFill="1" applyBorder="1" applyAlignment="1">
      <alignment horizontal="center"/>
    </xf>
    <xf numFmtId="0" fontId="33" fillId="0" borderId="0" applyFont="1" applyFill="1" applyAlignment="1">
      <alignment horizontal="center"/>
    </xf>
    <xf numFmtId="166" fontId="69" fillId="0" borderId="0" applyNumberFormat="1" applyFont="1" applyFill="1"/>
    <xf numFmtId="0" fontId="34" fillId="10" borderId="27" applyFont="1" applyFill="1" applyBorder="1" applyAlignment="1">
      <alignment horizontal="center"/>
    </xf>
    <xf numFmtId="0" fontId="33" fillId="0" borderId="28" applyFont="1" applyFill="1" applyBorder="1" applyAlignment="1">
      <alignment horizontal="center"/>
    </xf>
    <xf numFmtId="0" fontId="34" fillId="0" borderId="25" applyFont="1" applyFill="1" applyBorder="1" applyAlignment="1">
      <alignment horizontal="center"/>
    </xf>
    <xf numFmtId="0" fontId="34" fillId="0" borderId="26" applyFont="1" applyFill="1" applyBorder="1" applyAlignment="1">
      <alignment horizontal="center"/>
    </xf>
    <xf numFmtId="0" fontId="34" fillId="10" borderId="22" applyFont="1" applyFill="1" applyBorder="1" applyAlignment="1">
      <alignment horizontal="center"/>
    </xf>
    <xf numFmtId="0" fontId="32" fillId="0" borderId="0" applyFont="1" applyFill="1" applyAlignment="1">
      <alignment horizontal="center"/>
    </xf>
    <xf numFmtId="0" fontId="34" fillId="0" borderId="24" applyFont="1" applyFill="1" applyBorder="1" applyAlignment="1">
      <alignment horizontal="center"/>
    </xf>
    <xf numFmtId="0" fontId="57" fillId="12" borderId="24" applyFont="1" applyFill="1" applyBorder="1" applyAlignment="1">
      <alignment horizontal="center" vertical="center"/>
    </xf>
    <xf numFmtId="0" fontId="57" fillId="12" borderId="25" applyFont="1" applyFill="1" applyBorder="1" applyAlignment="1">
      <alignment horizontal="center" vertical="center"/>
    </xf>
    <xf numFmtId="0" fontId="57" fillId="12" borderId="26" applyFont="1" applyFill="1" applyBorder="1" applyAlignment="1">
      <alignment horizontal="center" vertical="center"/>
    </xf>
    <xf numFmtId="0" fontId="57" fillId="12" borderId="27" applyFont="1" applyFill="1" applyBorder="1" applyAlignment="1">
      <alignment horizontal="center" vertical="center"/>
    </xf>
    <xf numFmtId="0" fontId="57" fillId="12" borderId="28" applyFont="1" applyFill="1" applyBorder="1" applyAlignment="1">
      <alignment horizontal="center" vertical="center"/>
    </xf>
    <xf numFmtId="0" fontId="57" fillId="12" borderId="29" applyFont="1" applyFill="1" applyBorder="1" applyAlignment="1">
      <alignment horizontal="center" vertical="center"/>
    </xf>
    <xf numFmtId="1" fontId="34" fillId="0" borderId="0" applyNumberFormat="1" applyFont="1" applyFill="1" applyAlignment="1">
      <alignment horizontal="left" wrapText="1"/>
    </xf>
    <xf numFmtId="0" fontId="34" fillId="6" borderId="28" applyFont="1" applyFill="1" applyBorder="1" applyAlignment="1">
      <alignment horizontal="center"/>
    </xf>
    <xf numFmtId="0" fontId="34" fillId="6" borderId="29" applyFont="1" applyFill="1" applyBorder="1" applyAlignment="1">
      <alignment horizontal="center"/>
    </xf>
    <xf numFmtId="0" fontId="34" fillId="6" borderId="27" applyFont="1" applyFill="1" applyBorder="1" applyAlignment="1">
      <alignment horizontal="center"/>
    </xf>
    <xf numFmtId="0" fontId="34" fillId="6" borderId="0" applyFont="1" applyFill="1" applyAlignment="1">
      <alignment horizontal="center"/>
    </xf>
    <xf numFmtId="0" fontId="34" fillId="6" borderId="23" applyFont="1" applyFill="1" applyBorder="1" applyAlignment="1">
      <alignment horizontal="center"/>
    </xf>
    <xf numFmtId="0" fontId="34" fillId="0" borderId="22" applyFont="1" applyFill="1" applyBorder="1" applyAlignment="1">
      <alignment horizontal="center"/>
    </xf>
    <xf numFmtId="0" fontId="34" fillId="0" borderId="0" applyFont="1" applyFill="1" applyAlignment="1">
      <alignment horizontal="center"/>
    </xf>
    <xf numFmtId="0" fontId="34" fillId="0" borderId="23" applyFont="1" applyFill="1" applyBorder="1" applyAlignment="1">
      <alignment horizontal="center"/>
    </xf>
    <xf numFmtId="0" fontId="34" fillId="6" borderId="22" applyFont="1" applyFill="1" applyBorder="1" applyAlignment="1">
      <alignment horizontal="center"/>
    </xf>
    <xf numFmtId="0" fontId="32" fillId="0" borderId="0" applyFont="1" applyFill="1" applyAlignment="1">
      <alignment horizontal="center"/>
    </xf>
    <xf numFmtId="0" fontId="33" fillId="0" borderId="0" applyFont="1" applyFill="1" applyAlignment="1">
      <alignment horizontal="center"/>
    </xf>
    <xf numFmtId="0" fontId="34" fillId="0" borderId="24" applyFont="1" applyFill="1" applyBorder="1" applyAlignment="1">
      <alignment horizontal="center"/>
    </xf>
    <xf numFmtId="0" fontId="34" fillId="0" borderId="25" applyFont="1" applyFill="1" applyBorder="1" applyAlignment="1">
      <alignment horizontal="center"/>
    </xf>
    <xf numFmtId="0" fontId="34" fillId="0" borderId="26" applyFont="1" applyFill="1" applyBorder="1" applyAlignment="1">
      <alignment horizontal="center"/>
    </xf>
    <xf numFmtId="0" fontId="1" fillId="3" borderId="0" applyFont="1" applyFill="1" applyBorder="1"/>
    <xf numFmtId="0" fontId="37" fillId="11" borderId="0" applyFont="1" applyFill="1" applyAlignment="1">
      <alignment horizontal="center"/>
    </xf>
    <xf numFmtId="0" fontId="19" fillId="12" borderId="24" applyFont="1" applyFill="1" applyBorder="1" applyAlignment="1">
      <alignment horizontal="center" vertical="center" wrapText="1"/>
    </xf>
    <xf numFmtId="0" fontId="19" fillId="12" borderId="25" applyFont="1" applyFill="1" applyBorder="1" applyAlignment="1">
      <alignment horizontal="center" vertical="center" wrapText="1"/>
    </xf>
    <xf numFmtId="0" fontId="19" fillId="12" borderId="26" applyFont="1" applyFill="1" applyBorder="1" applyAlignment="1">
      <alignment horizontal="center" vertical="center" wrapText="1"/>
    </xf>
    <xf numFmtId="0" fontId="19" fillId="12" borderId="27" applyFont="1" applyFill="1" applyBorder="1" applyAlignment="1">
      <alignment horizontal="center" vertical="center" wrapText="1"/>
    </xf>
    <xf numFmtId="0" fontId="19" fillId="12" borderId="28" applyFont="1" applyFill="1" applyBorder="1" applyAlignment="1">
      <alignment horizontal="center" vertical="center" wrapText="1"/>
    </xf>
    <xf numFmtId="0" fontId="19" fillId="12" borderId="29" applyFont="1" applyFill="1" applyBorder="1" applyAlignment="1">
      <alignment horizontal="center" vertical="center" wrapText="1"/>
    </xf>
    <xf numFmtId="0" fontId="1" fillId="0" borderId="0" applyFont="1" applyFill="1" applyAlignment="1">
      <alignment horizontal="left" wrapText="1"/>
    </xf>
    <xf numFmtId="0" fontId="42" fillId="0" borderId="0" applyFont="1" applyFill="1" applyAlignment="1">
      <alignment horizontal="left" vertical="top" wrapText="1"/>
    </xf>
    <xf numFmtId="2" fontId="1" fillId="6" borderId="0" applyNumberFormat="1" applyFont="1" applyFill="1"/>
    <xf numFmtId="2" fontId="1" fillId="6" borderId="20" applyNumberFormat="1" applyFont="1" applyFill="1" applyBorder="1"/>
    <xf numFmtId="0" fontId="54" fillId="12" borderId="0" applyFont="1" applyFill="1" applyBorder="1" applyAlignment="1">
      <alignment horizontal="left" wrapText="1"/>
    </xf>
    <xf numFmtId="0" fontId="67" fillId="12" borderId="0" applyFont="1" applyFill="1" applyBorder="1" applyAlignment="1">
      <alignment horizontal="left" wrapText="1"/>
    </xf>
    <xf numFmtId="0" borderId="0"/>
    <xf numFmtId="0" fontId="69" fillId="3" borderId="0" applyFont="1" applyFill="1" applyBorder="1" applyAlignment="1">
      <alignment horizontal="right"/>
    </xf>
    <xf numFmtId="0" fontId="32" fillId="3" borderId="0" applyFont="1" applyFill="1" applyBorder="1" applyAlignment="1">
      <alignment horizontal="center"/>
    </xf>
    <xf numFmtId="0" fontId="69" fillId="3" borderId="0" applyFont="1" applyFill="1" applyBorder="1" applyAlignment="1">
      <alignment horizontal="center"/>
    </xf>
    <xf numFmtId="0" fontId="32" fillId="3" borderId="0" applyFont="1" applyFill="1" applyBorder="1" applyAlignment="1">
      <alignment horizontal="right" vertical="center"/>
    </xf>
    <xf numFmtId="0" fontId="55" fillId="12" borderId="1" applyFont="1" applyFill="1" applyBorder="1" applyAlignment="1">
      <alignment horizontal="center"/>
    </xf>
    <xf numFmtId="0" fontId="39" fillId="3" borderId="0" applyFont="1" applyFill="1" applyBorder="1" applyAlignment="1">
      <alignment horizontal="left" wrapText="1"/>
    </xf>
    <xf numFmtId="0" fontId="66" fillId="12" borderId="30" applyFont="1" applyFill="1" applyBorder="1" applyAlignment="1">
      <alignment horizontal="center"/>
    </xf>
    <xf numFmtId="0" fontId="66" fillId="12" borderId="1" applyFont="1" applyFill="1" applyBorder="1" applyAlignment="1">
      <alignment horizontal="center"/>
    </xf>
    <xf numFmtId="0" fontId="39" fillId="0" borderId="0" applyFont="1" applyFill="1" applyBorder="1" applyAlignment="1">
      <alignment horizontal="left" wrapText="1"/>
    </xf>
    <xf numFmtId="0" fontId="3" fillId="12" borderId="1" applyFont="1" applyFill="1" applyBorder="1" applyAlignment="1">
      <alignment horizontal="center"/>
    </xf>
    <xf numFmtId="0" fontId="1" fillId="0" borderId="0" applyFont="1" applyFill="1" applyBorder="1" applyAlignment="1">
      <alignment horizontal="center"/>
    </xf>
    <xf numFmtId="0" fontId="36" fillId="0" borderId="0" applyFont="1" applyFill="1" applyBorder="1" applyAlignment="1">
      <alignment horizontal="right"/>
    </xf>
    <xf numFmtId="0" fontId="55" fillId="12" borderId="1" applyFont="1" applyFill="1" applyBorder="1" applyAlignment="1">
      <alignment horizontal="center" vertical="center"/>
    </xf>
    <xf numFmtId="0" fontId="37" fillId="0" borderId="0" applyFont="1" applyFill="1" applyBorder="1" applyAlignment="1">
      <alignment horizontal="center"/>
    </xf>
    <xf numFmtId="0" fontId="37" fillId="0" borderId="45" applyFont="1" applyFill="1" applyBorder="1" applyAlignment="1">
      <alignment horizontal="center"/>
    </xf>
    <xf numFmtId="0" fontId="69" fillId="0" borderId="0" applyFont="1" applyFill="1" applyBorder="1" applyAlignment="1">
      <alignment horizontal="right"/>
    </xf>
    <xf numFmtId="0" fontId="21" fillId="0" borderId="1" applyFont="1" applyFill="1" applyBorder="1" applyAlignment="1">
      <alignment horizontal="center"/>
    </xf>
    <xf numFmtId="0" fontId="69" fillId="0" borderId="0" applyFont="1" applyFill="1" applyBorder="1" applyAlignment="1">
      <alignment horizontal="right" shrinkToFit="1"/>
    </xf>
    <xf numFmtId="0" fontId="19" fillId="12" borderId="1" applyFont="1" applyFill="1" applyBorder="1" applyAlignment="1">
      <alignment horizontal="center"/>
    </xf>
    <xf numFmtId="0" fontId="21" fillId="0" borderId="33" applyFont="1" applyFill="1" applyBorder="1" applyAlignment="1">
      <alignment horizontal="center"/>
    </xf>
    <xf numFmtId="0" fontId="69" fillId="0" borderId="0" applyFont="1" applyFill="1" applyBorder="1" applyAlignment="1">
      <alignment horizontal="right" wrapText="1"/>
    </xf>
    <xf numFmtId="0" fontId="21" fillId="0" borderId="35" applyFont="1" applyFill="1" applyBorder="1" applyAlignment="1">
      <alignment horizontal="center"/>
    </xf>
    <xf numFmtId="0" fontId="40" fillId="3" borderId="45" applyFont="1" applyFill="1" applyBorder="1" applyAlignment="1">
      <alignment horizontal="center"/>
    </xf>
    <xf numFmtId="0" fontId="40" fillId="3" borderId="0" applyFont="1" applyFill="1" applyBorder="1" applyAlignment="1">
      <alignment horizontal="center"/>
    </xf>
    <xf numFmtId="1" fontId="45" fillId="3" borderId="34" applyNumberFormat="1" applyFont="1" applyFill="1" applyBorder="1" applyAlignment="1">
      <alignment horizontal="center"/>
    </xf>
    <xf numFmtId="1" fontId="45" fillId="3" borderId="46" applyNumberFormat="1" applyFont="1" applyFill="1" applyBorder="1" applyAlignment="1">
      <alignment horizontal="center"/>
    </xf>
    <xf numFmtId="1" fontId="45" fillId="3" borderId="0" applyNumberFormat="1" applyFont="1" applyFill="1" applyBorder="1" applyAlignment="1">
      <alignment horizontal="center"/>
    </xf>
    <xf numFmtId="0" fontId="34" fillId="10" borderId="0" applyFont="1" applyFill="1" applyBorder="1" applyAlignment="1">
      <alignment horizontal="center"/>
    </xf>
    <xf numFmtId="0" fontId="34" fillId="0" borderId="0" applyFont="1" applyFill="1" applyBorder="1" applyAlignment="1">
      <alignment horizontal="center"/>
    </xf>
    <xf numFmtId="1" fontId="69" fillId="0" borderId="0" applyNumberFormat="1" applyFont="1" applyFill="1" applyBorder="1" applyAlignment="1">
      <alignment horizontal="left"/>
    </xf>
    <xf numFmtId="166" fontId="69" fillId="0" borderId="0" applyNumberFormat="1" applyFont="1" applyFill="1" applyBorder="1"/>
    <xf numFmtId="1" fontId="34" fillId="0" borderId="0" applyNumberFormat="1" applyFont="1" applyFill="1" applyBorder="1" applyAlignment="1">
      <alignment horizontal="left" wrapText="1"/>
    </xf>
    <xf numFmtId="0" fontId="57" fillId="12" borderId="30" applyFont="1" applyFill="1" applyBorder="1" applyAlignment="1">
      <alignment horizontal="center" vertical="center"/>
    </xf>
    <xf numFmtId="0" fontId="57" fillId="12" borderId="33" applyFont="1" applyFill="1" applyBorder="1" applyAlignment="1">
      <alignment horizontal="center" vertical="center"/>
    </xf>
    <xf numFmtId="0" fontId="57" fillId="12" borderId="1" applyFont="1" applyFill="1" applyBorder="1" applyAlignment="1">
      <alignment horizontal="center" vertical="center"/>
    </xf>
    <xf numFmtId="0" fontId="33" fillId="0" borderId="0" applyFont="1" applyFill="1" applyBorder="1" applyAlignment="1">
      <alignment horizontal="center"/>
    </xf>
    <xf numFmtId="0" fontId="32" fillId="0" borderId="0" applyFont="1" applyFill="1" applyBorder="1" applyAlignment="1">
      <alignment horizontal="center"/>
    </xf>
    <xf numFmtId="0" fontId="1" fillId="0" borderId="0" applyFont="1" applyFill="1" applyBorder="1" applyAlignment="1">
      <alignment horizontal="right"/>
    </xf>
    <xf numFmtId="0" fontId="1" fillId="0" borderId="0" applyFont="1" applyFill="1" applyBorder="1" applyAlignment="1">
      <alignment horizontal="left" wrapText="1"/>
    </xf>
    <xf numFmtId="0" fontId="37" fillId="11" borderId="0" applyFont="1" applyFill="1" applyBorder="1" applyAlignment="1">
      <alignment horizontal="center"/>
    </xf>
    <xf numFmtId="0" fontId="19" fillId="12" borderId="30" applyFont="1" applyFill="1" applyBorder="1" applyAlignment="1">
      <alignment horizontal="center" vertical="center" wrapText="1"/>
    </xf>
    <xf numFmtId="0" fontId="19" fillId="12" borderId="33" applyFont="1" applyFill="1" applyBorder="1" applyAlignment="1">
      <alignment horizontal="center" vertical="center" wrapText="1"/>
    </xf>
    <xf numFmtId="0" fontId="19" fillId="12" borderId="1" applyFont="1" applyFill="1" applyBorder="1" applyAlignment="1">
      <alignment horizontal="center" vertical="center" wrapText="1"/>
    </xf>
    <xf numFmtId="0" fontId="34" fillId="6" borderId="0" applyFont="1" applyFill="1" applyBorder="1" applyAlignment="1">
      <alignment horizontal="center"/>
    </xf>
    <xf numFmtId="0" fontId="42" fillId="0" borderId="0" applyFont="1" applyFill="1" applyBorder="1" applyAlignment="1">
      <alignment horizontal="left" vertical="top" wrapText="1"/>
    </xf>
    <xf numFmtId="0" fontId="1" fillId="0" borderId="47" applyFont="1" applyFill="1" applyBorder="1" applyAlignment="1">
      <alignment horizontal="center"/>
    </xf>
    <xf numFmtId="0" fontId="1" fillId="0" borderId="48" applyFont="1" applyFill="1" applyBorder="1" applyAlignment="1">
      <alignment horizontal="center"/>
    </xf>
    <xf numFmtId="0" fontId="39" fillId="0" borderId="47" applyFont="1" applyFill="1" applyBorder="1" applyAlignment="1">
      <alignment horizontal="left" wrapText="1"/>
    </xf>
    <xf numFmtId="0" fontId="32" fillId="3" borderId="47" applyFont="1" applyFill="1" applyBorder="1" applyAlignment="1">
      <alignment horizontal="center"/>
    </xf>
    <xf numFmtId="0" fontId="69" fillId="3" borderId="47" applyFont="1" applyFill="1" applyBorder="1" applyAlignment="1">
      <alignment horizontal="right"/>
    </xf>
    <xf numFmtId="0" fontId="32" fillId="3" borderId="47" applyFont="1" applyFill="1" applyBorder="1" applyAlignment="1">
      <alignment horizontal="right" vertical="center"/>
    </xf>
    <xf numFmtId="0" fontId="39" fillId="3" borderId="47" applyFont="1" applyFill="1" applyBorder="1" applyAlignment="1">
      <alignment horizontal="left" wrapText="1"/>
    </xf>
    <xf numFmtId="0" fontId="36" fillId="0" borderId="47" applyFont="1" applyFill="1" applyBorder="1" applyAlignment="1">
      <alignment horizontal="right"/>
    </xf>
    <xf numFmtId="0" fontId="37" fillId="0" borderId="47" applyFont="1" applyFill="1" applyBorder="1" applyAlignment="1">
      <alignment horizontal="center"/>
    </xf>
    <xf numFmtId="0" fontId="81" fillId="15" borderId="49" applyFont="1" applyFill="1" applyBorder="1"/>
    <xf numFmtId="0" fontId="51" fillId="0" borderId="50" applyFont="1" applyFill="1" applyBorder="1" applyAlignment="1">
      <alignment horizontal="left"/>
    </xf>
    <xf numFmtId="0" fontId="53" fillId="0" borderId="51" applyFont="1" applyFill="1" applyBorder="1" applyAlignment="1">
      <alignment horizontal="center"/>
    </xf>
    <xf numFmtId="166" fontId="69" fillId="13" borderId="50" applyNumberFormat="1" applyFont="1" applyFill="1" applyBorder="1" applyAlignment="1">
      <alignment horizontal="center"/>
    </xf>
    <xf numFmtId="166" fontId="69" fillId="10" borderId="51" applyNumberFormat="1" applyFont="1" applyFill="1" applyBorder="1" applyAlignment="1">
      <alignment horizontal="center"/>
    </xf>
    <xf numFmtId="166" fontId="69" fillId="13" borderId="52" applyNumberFormat="1" applyFont="1" applyFill="1" applyBorder="1" applyAlignment="1">
      <alignment horizontal="center"/>
    </xf>
    <xf numFmtId="166" fontId="69" fillId="10" borderId="52" applyNumberFormat="1" applyFont="1" applyFill="1" applyBorder="1" applyAlignment="1">
      <alignment horizontal="center"/>
    </xf>
    <xf numFmtId="1" fontId="69" fillId="13" borderId="50" applyNumberFormat="1" applyFont="1" applyFill="1" applyBorder="1" applyAlignment="1">
      <alignment horizontal="center"/>
    </xf>
    <xf numFmtId="1" fontId="69" fillId="10" borderId="52" applyNumberFormat="1" applyFont="1" applyFill="1" applyBorder="1" applyAlignment="1">
      <alignment horizontal="center"/>
    </xf>
    <xf numFmtId="0" fontId="82" fillId="16" borderId="0" applyFont="1" applyFill="1"/>
    <xf numFmtId="0" fontId="69" fillId="0" borderId="47" applyFont="1" applyFill="1" applyBorder="1" applyAlignment="1">
      <alignment horizontal="right" shrinkToFit="1"/>
    </xf>
    <xf numFmtId="0" fontId="42" fillId="0" borderId="53" applyFont="1" applyFill="1" applyBorder="1" applyAlignment="1">
      <alignment horizontal="center"/>
    </xf>
    <xf numFmtId="0" fontId="42" fillId="0" borderId="54" applyFont="1" applyFill="1" applyBorder="1" applyAlignment="1">
      <alignment horizontal="center"/>
    </xf>
    <xf numFmtId="166" fontId="69" fillId="0" borderId="53" applyNumberFormat="1" applyFont="1" applyFill="1" applyBorder="1" applyAlignment="1">
      <alignment horizontal="center"/>
    </xf>
    <xf numFmtId="166" fontId="69" fillId="0" borderId="54" applyNumberFormat="1" applyFont="1" applyFill="1" applyBorder="1" applyAlignment="1">
      <alignment horizontal="center"/>
    </xf>
    <xf numFmtId="166" fontId="69" fillId="0" borderId="55" applyNumberFormat="1" applyFont="1" applyFill="1" applyBorder="1" applyAlignment="1">
      <alignment horizontal="center"/>
    </xf>
    <xf numFmtId="2" fontId="69" fillId="13" borderId="50" applyNumberFormat="1" applyFont="1" applyFill="1" applyBorder="1" applyAlignment="1">
      <alignment horizontal="center"/>
    </xf>
    <xf numFmtId="2" fontId="69" fillId="10" borderId="51" applyNumberFormat="1" applyFont="1" applyFill="1" applyBorder="1" applyAlignment="1">
      <alignment horizontal="center"/>
    </xf>
    <xf numFmtId="2" fontId="69" fillId="13" borderId="52" applyNumberFormat="1" applyFont="1" applyFill="1" applyBorder="1" applyAlignment="1">
      <alignment horizontal="center"/>
    </xf>
    <xf numFmtId="0" fontId="53" fillId="0" borderId="52" applyFont="1" applyFill="1" applyBorder="1" applyAlignment="1">
      <alignment horizontal="center"/>
    </xf>
    <xf numFmtId="0" fontId="69" fillId="0" borderId="47" applyFont="1" applyFill="1" applyBorder="1" applyAlignment="1">
      <alignment horizontal="right" wrapText="1"/>
    </xf>
    <xf numFmtId="0" fontId="21" fillId="0" borderId="56" applyFont="1" applyFill="1" applyBorder="1" applyAlignment="1">
      <alignment horizontal="center"/>
    </xf>
    <xf numFmtId="0" fontId="42" fillId="0" borderId="55" applyFont="1" applyFill="1" applyBorder="1" applyAlignment="1">
      <alignment horizontal="center"/>
    </xf>
    <xf numFmtId="2" fontId="69" fillId="0" borderId="53" applyNumberFormat="1" applyFont="1" applyFill="1" applyBorder="1" applyAlignment="1">
      <alignment horizontal="center"/>
    </xf>
    <xf numFmtId="2" fontId="69" fillId="0" borderId="54" applyNumberFormat="1" applyFont="1" applyFill="1" applyBorder="1" applyAlignment="1">
      <alignment horizontal="center"/>
    </xf>
    <xf numFmtId="2" fontId="69" fillId="0" borderId="55" applyNumberFormat="1" applyFont="1" applyFill="1" applyBorder="1" applyAlignment="1">
      <alignment horizontal="center"/>
    </xf>
    <xf numFmtId="0" fontId="21" fillId="0" borderId="57" applyFont="1" applyFill="1" applyBorder="1" applyAlignment="1">
      <alignment horizontal="center"/>
    </xf>
    <xf numFmtId="0" fontId="21" fillId="0" borderId="58" applyFont="1" applyFill="1" applyBorder="1" applyAlignment="1">
      <alignment horizontal="center"/>
    </xf>
    <xf numFmtId="166" fontId="42" fillId="0" borderId="54" applyNumberFormat="1" applyFont="1" applyFill="1" applyBorder="1" applyAlignment="1">
      <alignment horizontal="center"/>
    </xf>
    <xf numFmtId="166" fontId="42" fillId="0" borderId="59" applyNumberFormat="1" applyFont="1" applyFill="1" applyBorder="1" applyAlignment="1">
      <alignment horizontal="center"/>
    </xf>
    <xf numFmtId="0" fontId="32" fillId="0" borderId="47" applyFont="1" applyFill="1" applyBorder="1" applyAlignment="1">
      <alignment horizontal="center"/>
    </xf>
    <xf numFmtId="0" fontId="33" fillId="0" borderId="47" applyFont="1" applyFill="1" applyBorder="1" applyAlignment="1">
      <alignment horizontal="center"/>
    </xf>
    <xf numFmtId="0" fontId="34" fillId="0" borderId="60" applyFont="1" applyFill="1" applyBorder="1" applyAlignment="1">
      <alignment horizontal="center"/>
    </xf>
    <xf numFmtId="0" fontId="34" fillId="0" borderId="61" applyFont="1" applyFill="1" applyBorder="1" applyAlignment="1">
      <alignment horizontal="center"/>
    </xf>
    <xf numFmtId="0" fontId="34" fillId="0" borderId="62" applyFont="1" applyFill="1" applyBorder="1" applyAlignment="1">
      <alignment horizontal="center"/>
    </xf>
    <xf numFmtId="0" fontId="34" fillId="6" borderId="63" applyFont="1" applyFill="1" applyBorder="1" applyAlignment="1">
      <alignment horizontal="center"/>
    </xf>
    <xf numFmtId="0" fontId="34" fillId="6" borderId="47" applyFont="1" applyFill="1" applyBorder="1" applyAlignment="1">
      <alignment horizontal="center"/>
    </xf>
    <xf numFmtId="0" fontId="34" fillId="6" borderId="64" applyFont="1" applyFill="1" applyBorder="1" applyAlignment="1">
      <alignment horizontal="center"/>
    </xf>
    <xf numFmtId="0" fontId="34" fillId="0" borderId="63" applyFont="1" applyFill="1" applyBorder="1" applyAlignment="1">
      <alignment horizontal="center"/>
    </xf>
    <xf numFmtId="0" fontId="34" fillId="0" borderId="47" applyFont="1" applyFill="1" applyBorder="1" applyAlignment="1">
      <alignment horizontal="center"/>
    </xf>
    <xf numFmtId="0" fontId="34" fillId="0" borderId="64" applyFont="1" applyFill="1" applyBorder="1" applyAlignment="1">
      <alignment horizontal="center"/>
    </xf>
    <xf numFmtId="0" fontId="34" fillId="6" borderId="65" applyFont="1" applyFill="1" applyBorder="1" applyAlignment="1">
      <alignment horizontal="center"/>
    </xf>
    <xf numFmtId="0" fontId="34" fillId="6" borderId="66" applyFont="1" applyFill="1" applyBorder="1" applyAlignment="1">
      <alignment horizontal="center"/>
    </xf>
    <xf numFmtId="0" fontId="34" fillId="6" borderId="67" applyFont="1" applyFill="1" applyBorder="1" applyAlignment="1">
      <alignment horizontal="center"/>
    </xf>
    <xf numFmtId="0" fontId="37" fillId="11" borderId="47" applyFont="1" applyFill="1" applyBorder="1" applyAlignment="1">
      <alignment horizontal="center"/>
    </xf>
    <xf numFmtId="0" fontId="83" fillId="15" borderId="68" applyFont="1" applyFill="1" applyBorder="1" applyAlignment="1">
      <alignment horizontal="left"/>
    </xf>
    <xf numFmtId="0" fontId="83" fillId="15" borderId="68" applyFont="1" applyFill="1" applyBorder="1" applyAlignment="1">
      <alignment horizontal="right"/>
    </xf>
    <xf numFmtId="0" fontId="83" fillId="15" borderId="69" applyFont="1" applyFill="1" applyBorder="1"/>
    <xf numFmtId="0" fontId="83" fillId="15" borderId="70" applyFont="1" applyFill="1" applyBorder="1"/>
    <xf numFmtId="0" fontId="83" fillId="15" borderId="71" applyFont="1" applyFill="1" applyBorder="1"/>
    <xf numFmtId="0" fontId="83" fillId="17" borderId="68" applyFont="1" applyFill="1" applyBorder="1" applyAlignment="1">
      <alignment horizontal="left"/>
    </xf>
    <xf numFmtId="0" fontId="83" fillId="17" borderId="68" applyFont="1" applyFill="1" applyBorder="1" applyAlignment="1">
      <alignment horizontal="right"/>
    </xf>
    <xf numFmtId="0" fontId="83" fillId="17" borderId="69" applyFont="1" applyFill="1" applyBorder="1"/>
    <xf numFmtId="0" fontId="83" fillId="17" borderId="70" applyFont="1" applyFill="1" applyBorder="1"/>
    <xf numFmtId="0" fontId="83" fillId="17" borderId="71" applyFont="1" applyFill="1" applyBorder="1"/>
    <xf numFmtId="0" fontId="1" fillId="3" borderId="47" applyFont="1" applyFill="1" applyBorder="1"/>
    <xf numFmtId="0" fontId="1" fillId="0" borderId="47" applyFont="1" applyFill="1" applyBorder="1" applyAlignment="1">
      <alignment horizontal="left" wrapText="1"/>
    </xf>
    <xf numFmtId="0" fontId="83" fillId="16" borderId="71" applyFont="1" applyFill="1" applyBorder="1" applyAlignment="1">
      <alignment horizontal="center" vertical="center"/>
    </xf>
    <xf numFmtId="0" fontId="69" fillId="0" borderId="47" applyFont="1" applyFill="1" applyBorder="1" applyAlignment="1">
      <alignment horizontal="right"/>
    </xf>
    <xf numFmtId="0" fontId="37" fillId="0" borderId="72" applyFont="1" applyFill="1" applyBorder="1" applyAlignment="1">
      <alignment horizontal="center"/>
    </xf>
    <xf numFmtId="0" fontId="1" fillId="0" borderId="51" applyFont="1" applyFill="1" applyBorder="1"/>
  </cellXfs>
  <cellStyles count="176">
    <cellStyle name="Comma" xfId="1" builtinId="3"/>
    <cellStyle name="Comma_MTD Classic Sample" xfId="2"/>
    <cellStyle name="Currency" xfId="3" builtinId="4"/>
    <cellStyle name="ExtStyle 0" xfId="4"/>
    <cellStyle name="ExtStyle 16" xfId="5"/>
    <cellStyle name="ExtStyle 17" xfId="6"/>
    <cellStyle name="ExtStyle 18" xfId="7"/>
    <cellStyle name="ExtStyle 19" xfId="8"/>
    <cellStyle name="ExtStyle 20" xfId="9"/>
    <cellStyle name="ExtStyle 21" xfId="10"/>
    <cellStyle name="ExtStyle 22" xfId="11"/>
    <cellStyle name="ExtStyle 28" xfId="12"/>
    <cellStyle name="ExtStyle 29" xfId="13"/>
    <cellStyle name="ExtStyle 30" xfId="14"/>
    <cellStyle name="ExtStyle 31" xfId="15"/>
    <cellStyle name="ExtStyle 32" xfId="16"/>
    <cellStyle name="ExtStyle 33" xfId="17"/>
    <cellStyle name="ExtStyle 34" xfId="18"/>
    <cellStyle name="ExtStyle 35" xfId="19"/>
    <cellStyle name="ExtStyle 36" xfId="20"/>
    <cellStyle name="ExtStyle 37" xfId="21"/>
    <cellStyle name="ExtStyle 38" xfId="22"/>
    <cellStyle name="ExtStyle 39" xfId="23"/>
    <cellStyle name="Hyperlink 2" xfId="24"/>
    <cellStyle name="Normal" xfId="0" builtinId="0"/>
    <cellStyle name="Normal 2" xfId="25"/>
    <cellStyle name="Percent" xfId="26" builtinId="5"/>
    <cellStyle name="Style 1025" xfId="27"/>
    <cellStyle name="Style 1101" xfId="28"/>
    <cellStyle name="Style 1103" xfId="29"/>
    <cellStyle name="Style 1104" xfId="30"/>
    <cellStyle name="Style 1105" xfId="31"/>
    <cellStyle name="Style 1106" xfId="32"/>
    <cellStyle name="Style 1107" xfId="33"/>
    <cellStyle name="Style 1108" xfId="34"/>
    <cellStyle name="Style 1109" xfId="35"/>
    <cellStyle name="Style 1110" xfId="36"/>
    <cellStyle name="Style 1111" xfId="37"/>
    <cellStyle name="Style 1112" xfId="38"/>
    <cellStyle name="Style 1113" xfId="39"/>
    <cellStyle name="Style 1114" xfId="40"/>
    <cellStyle name="Style 1115" xfId="41"/>
    <cellStyle name="Style 1177" xfId="42"/>
    <cellStyle name="Style 1178" xfId="43"/>
    <cellStyle name="Style 1179" xfId="44"/>
    <cellStyle name="Style 1180" xfId="45"/>
    <cellStyle name="Style 1181" xfId="46"/>
    <cellStyle name="Style 1182" xfId="47"/>
    <cellStyle name="Style 1183" xfId="48"/>
    <cellStyle name="Style 1184" xfId="49"/>
    <cellStyle name="Style 1185" xfId="50"/>
    <cellStyle name="Style 1299" xfId="51"/>
    <cellStyle name="Style 1331" xfId="52"/>
    <cellStyle name="Style 1332" xfId="53"/>
    <cellStyle name="Style 1333" xfId="54"/>
    <cellStyle name="Style 1334" xfId="55"/>
    <cellStyle name="Style 1335" xfId="56"/>
    <cellStyle name="Style 1336" xfId="57"/>
    <cellStyle name="Style 1337" xfId="58"/>
    <cellStyle name="Style 1338" xfId="59"/>
    <cellStyle name="Style 1339" xfId="60"/>
    <cellStyle name="Style 1376" xfId="61"/>
    <cellStyle name="Style 1377" xfId="62"/>
    <cellStyle name="Style 1378" xfId="63"/>
    <cellStyle name="Style 1379" xfId="64"/>
    <cellStyle name="Style 1380" xfId="65"/>
    <cellStyle name="Style 1381" xfId="66"/>
    <cellStyle name="Style 1382" xfId="67"/>
    <cellStyle name="Style 1383" xfId="68"/>
    <cellStyle name="Style 1384" xfId="69"/>
    <cellStyle name="Style 1385" xfId="70"/>
    <cellStyle name="Style 1386" xfId="71"/>
    <cellStyle name="Style 1556" xfId="72"/>
    <cellStyle name="Style 1663" xfId="73"/>
    <cellStyle name="Style 1665" xfId="74"/>
    <cellStyle name="Style 1666" xfId="75"/>
    <cellStyle name="Style 1667" xfId="76"/>
    <cellStyle name="Style 1668" xfId="77"/>
    <cellStyle name="Style 1669" xfId="78"/>
    <cellStyle name="Style 1670" xfId="79"/>
    <cellStyle name="Style 1671" xfId="80"/>
    <cellStyle name="Style 1672" xfId="81"/>
    <cellStyle name="Style 1673" xfId="82"/>
    <cellStyle name="Style 1887" xfId="83"/>
    <cellStyle name="Style 1888" xfId="84"/>
    <cellStyle name="Style 1889" xfId="85"/>
    <cellStyle name="Style 1890" xfId="86"/>
    <cellStyle name="Style 1891" xfId="87"/>
    <cellStyle name="Style 1892" xfId="88"/>
    <cellStyle name="Style 1893" xfId="89"/>
    <cellStyle name="Style 1894" xfId="90"/>
    <cellStyle name="Style 1895" xfId="91"/>
    <cellStyle name="Style 297" xfId="92"/>
    <cellStyle name="Style 300" xfId="93"/>
    <cellStyle name="Style 528" xfId="94"/>
    <cellStyle name="Style 561" xfId="95"/>
    <cellStyle name="Style 669" xfId="96"/>
    <cellStyle name="Style 670" xfId="97"/>
    <cellStyle name="Style 671" xfId="98"/>
    <cellStyle name="Style 672" xfId="99"/>
    <cellStyle name="Style 673" xfId="100"/>
    <cellStyle name="Style 674" xfId="101"/>
    <cellStyle name="Style 675" xfId="102"/>
    <cellStyle name="Style 676" xfId="103"/>
    <cellStyle name="Style 707" xfId="104"/>
    <cellStyle name="Style 708" xfId="105"/>
    <cellStyle name="Style 709" xfId="106"/>
    <cellStyle name="Style 710" xfId="107"/>
    <cellStyle name="Style 711" xfId="108"/>
    <cellStyle name="Style 712" xfId="109"/>
    <cellStyle name="Style 713" xfId="110"/>
    <cellStyle name="Style 714" xfId="111"/>
    <cellStyle name="Style 723" xfId="112"/>
    <cellStyle name="Style 740" xfId="113"/>
    <cellStyle name="Style 741" xfId="114"/>
    <cellStyle name="Style 742" xfId="115"/>
    <cellStyle name="Style 743" xfId="116"/>
    <cellStyle name="Style 744" xfId="117"/>
    <cellStyle name="Style 745" xfId="118"/>
    <cellStyle name="Style 746" xfId="119"/>
    <cellStyle name="Style 747" xfId="120"/>
    <cellStyle name="Style 835" xfId="121"/>
    <cellStyle name="Style 843" xfId="122"/>
    <cellStyle name="Style 868" xfId="123"/>
    <cellStyle name="Style 902" xfId="124"/>
    <cellStyle name="Style 903" xfId="125"/>
    <cellStyle name="Style 904" xfId="126"/>
    <cellStyle name="Style 905" xfId="127"/>
    <cellStyle name="Style 910" xfId="128"/>
    <cellStyle name="Style 911" xfId="129"/>
    <cellStyle name="Style 912" xfId="130"/>
    <cellStyle name="Style 913" xfId="131"/>
    <cellStyle name="Style 918" xfId="132"/>
    <cellStyle name="Style 919" xfId="133"/>
    <cellStyle name="Style 920" xfId="134"/>
    <cellStyle name="Style 921" xfId="135"/>
    <cellStyle name="Style 926" xfId="136"/>
    <cellStyle name="Style 927" xfId="137"/>
    <cellStyle name="Style 928" xfId="138"/>
    <cellStyle name="Style 929" xfId="139"/>
    <cellStyle name="Style 934" xfId="140"/>
    <cellStyle name="Style 935" xfId="141"/>
    <cellStyle name="Style 936" xfId="142"/>
    <cellStyle name="Style 937" xfId="143"/>
    <cellStyle name="Style 942" xfId="144"/>
    <cellStyle name="Style 943" xfId="145"/>
    <cellStyle name="Style 944" xfId="146"/>
    <cellStyle name="Style 945" xfId="147"/>
    <cellStyle name="Style 950" xfId="148"/>
    <cellStyle name="Style 951" xfId="149"/>
    <cellStyle name="Style 952" xfId="150"/>
    <cellStyle name="Style 953" xfId="151"/>
    <cellStyle name="Style 958" xfId="152"/>
    <cellStyle name="Style 959" xfId="153"/>
    <cellStyle name="Style 960" xfId="154"/>
    <cellStyle name="Style 961" xfId="155"/>
    <cellStyle name="Style 966" xfId="156"/>
    <cellStyle name="Style 967" xfId="157"/>
    <cellStyle name="Style 968" xfId="158"/>
    <cellStyle name="Style 969" xfId="159"/>
    <cellStyle name="Style 974" xfId="160"/>
    <cellStyle name="Style 975" xfId="161"/>
    <cellStyle name="Style 976" xfId="162"/>
    <cellStyle name="Style 977" xfId="163"/>
    <cellStyle name="Style 979" xfId="164"/>
    <cellStyle name="Style 981" xfId="165"/>
    <cellStyle name="Style 982" xfId="166"/>
    <cellStyle name="Style 983" xfId="167"/>
    <cellStyle name="Style 984" xfId="168"/>
    <cellStyle name="Style 985" xfId="169"/>
    <cellStyle name="Style 986" xfId="170"/>
    <cellStyle name="Style 987" xfId="171"/>
    <cellStyle name="Style 988" xfId="172"/>
    <cellStyle name="Style 989" xfId="173"/>
    <cellStyle name="Style 991" xfId="174"/>
    <cellStyle name="Hyperlink" xfId="175" builtinId="8"/>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AA6520"/>
      <rgbColor rgb="00008000"/>
      <rgbColor rgb="00000080"/>
      <rgbColor rgb="00808000"/>
      <rgbColor rgb="00800080"/>
      <rgbColor rgb="00008080"/>
      <rgbColor rgb="00EAEAEA"/>
      <rgbColor rgb="00808080"/>
      <rgbColor rgb="009999FF"/>
      <rgbColor rgb="00BB793C"/>
      <rgbColor rgb="00620C0B"/>
      <rgbColor rgb="00590001"/>
      <rgbColor rgb="00404549"/>
      <rgbColor rgb="00CD9B7A"/>
      <rgbColor rgb="00990033"/>
      <rgbColor rgb="00EAEAEA"/>
      <rgbColor rgb="00000080"/>
      <rgbColor rgb="00FF00FF"/>
      <rgbColor rgb="00FFFF00"/>
      <rgbColor rgb="0000FFFF"/>
      <rgbColor rgb="00800080"/>
      <rgbColor rgb="00CC6633"/>
      <rgbColor rgb="00666666"/>
      <rgbColor rgb="00A0A0A0"/>
      <rgbColor rgb="00FFFFFF"/>
      <rgbColor rgb="00CCFFFF"/>
      <rgbColor rgb="00CCFFCC"/>
      <rgbColor rgb="00FFFF99"/>
      <rgbColor rgb="0099CCFF"/>
      <rgbColor rgb="00FE5000"/>
      <rgbColor rgb="00CC99FF"/>
      <rgbColor rgb="00FFCC99"/>
      <rgbColor rgb="003366FF"/>
      <rgbColor rgb="0033CCCC"/>
      <rgbColor rgb="0099CC00"/>
      <rgbColor rgb="00FFCC00"/>
      <rgbColor rgb="00FF9900"/>
      <rgbColor rgb="00FF6600"/>
      <rgbColor rgb="00666699"/>
      <rgbColor rgb="00B57792"/>
      <rgbColor rgb="00003366"/>
      <rgbColor rgb="00339966"/>
      <rgbColor rgb="00003300"/>
      <rgbColor rgb="00333300"/>
      <rgbColor rgb="00993300"/>
      <rgbColor rgb="00993366"/>
      <rgbColor rgb="00333399"/>
      <rgbColor rgb="00800000"/>
    </indexedColors>
  </colors>
  <extLst>
    <ext uri="{EB79DEF2-80B8-43e5-95BD-54CBDDF9020C}">
      <x14:slicerStyles xmlns:x14="http://schemas.microsoft.com/office/spreadsheetml/2009/9/main" defaultSlicerStyle="SlicerStyleLight1"/>
    </ext>
    <ext uri="{9260A510-F301-46a8-8635-F512D64BE5F5}">
      <x15:timelineStyles xmlns:x15="http://schemas.microsoft.com/office/spreadsheetml/2010/11/main" defaultTimelineStyle="TimeSlicerStyleLight1"/>
    </ext>
  </extLst>
</styleSheet>
</file>

<file path=xl/_rels/workbook.xml.rels><?xml version="1.0" encoding="utf-8" standalone="yes" ?>
<Relationships xmlns="http://schemas.openxmlformats.org/package/2006/relationships">
<Relationship Id="rId24" Type="http://schemas.openxmlformats.org/officeDocument/2006/relationships/worksheet" Target="worksheets/sheet8.xml" />
<Relationship Id="rId27" Type="http://schemas.openxmlformats.org/officeDocument/2006/relationships/styles" Target="/xl/styles.xml" />
<Relationship Id="rId28" Type="http://schemas.openxmlformats.org/officeDocument/2006/relationships/theme" Target="/xl/theme/theme1.xml" />
<Relationship Id="rId26" Type="http://schemas.openxmlformats.org/officeDocument/2006/relationships/worksheet" Target="worksheets/sheet16.xml" />
<Relationship Id="rId22" Type="http://schemas.openxmlformats.org/officeDocument/2006/relationships/worksheet" Target="worksheets/sheet1.xml" />
<Relationship Id="rId23" Type="http://schemas.openxmlformats.org/officeDocument/2006/relationships/worksheet" Target="worksheets/sheet6.xml" />
<Relationship Id="rId25" Type="http://schemas.openxmlformats.org/officeDocument/2006/relationships/worksheet" Target="worksheets/sheet10.xml" />
<Relationship Id="rId29" Type="http://schemas.openxmlformats.org/officeDocument/2006/relationships/sharedStrings" Target="/xl/sharedStrings.xml" />
<Relationship Id="rId21" Type="http://schemas.openxmlformats.org/officeDocument/2006/relationships/worksheet" Target="worksheets/sheet18.xml" />
<Relationship Id="rId20" Type="http://schemas.openxmlformats.org/officeDocument/2006/relationships/worksheet" Target="worksheets/sheet21.xml" />
<Relationship Id="rId19" Type="http://schemas.openxmlformats.org/officeDocument/2006/relationships/worksheet" Target="worksheets/sheet25.xml" />
<Relationship Id="rId18" Type="http://schemas.openxmlformats.org/officeDocument/2006/relationships/worksheet" Target="worksheets/sheet29.xml" />
<Relationship Id="rId17" Type="http://schemas.openxmlformats.org/officeDocument/2006/relationships/worksheet" Target="worksheets/sheet33.xml" />
<Relationship Id="rId16" Type="http://schemas.openxmlformats.org/officeDocument/2006/relationships/worksheet" Target="worksheets/sheet37.xml" />
<Relationship Id="rId15" Type="http://schemas.openxmlformats.org/officeDocument/2006/relationships/worksheet" Target="worksheets/sheet41.xml" />
<Relationship Id="rId14" Type="http://schemas.openxmlformats.org/officeDocument/2006/relationships/worksheet" Target="worksheets/sheet45.xml" />
<Relationship Id="rId13" Type="http://schemas.openxmlformats.org/officeDocument/2006/relationships/worksheet" Target="worksheets/sheet49.xml" />
<Relationship Id="rId12" Type="http://schemas.openxmlformats.org/officeDocument/2006/relationships/worksheet" Target="worksheets/sheet53.xml" />
<Relationship Id="rId11" Type="http://schemas.openxmlformats.org/officeDocument/2006/relationships/worksheet" Target="worksheets/sheet56.xml" />
<Relationship Id="rId10" Type="http://schemas.openxmlformats.org/officeDocument/2006/relationships/worksheet" Target="worksheets/sheet59.xml" />
<Relationship Id="rId9" Type="http://schemas.openxmlformats.org/officeDocument/2006/relationships/worksheet" Target="worksheets/sheet62.xml" />
<Relationship Id="rId8" Type="http://schemas.openxmlformats.org/officeDocument/2006/relationships/worksheet" Target="worksheets/sheet66.xml" />
<Relationship Id="rId7" Type="http://schemas.openxmlformats.org/officeDocument/2006/relationships/worksheet" Target="worksheets/sheet69.xml" />
<Relationship Id="rId6" Type="http://schemas.openxmlformats.org/officeDocument/2006/relationships/worksheet" Target="worksheets/sheet73.xml" />
<Relationship Id="rId5" Type="http://schemas.openxmlformats.org/officeDocument/2006/relationships/worksheet" Target="worksheets/sheet76.xml" />
<Relationship Id="rId4" Type="http://schemas.openxmlformats.org/officeDocument/2006/relationships/worksheet" Target="worksheets/sheet80.xml" />
<Relationship Id="rId3" Type="http://schemas.openxmlformats.org/officeDocument/2006/relationships/worksheet" Target="worksheets/sheet83.xml" />
<Relationship Id="rId2" Type="http://schemas.openxmlformats.org/officeDocument/2006/relationships/worksheet" Target="worksheets/sheet86.xml" />
<Relationship Id="rId1" Type="http://schemas.openxmlformats.org/officeDocument/2006/relationships/worksheet" Target="worksheets/sheet89.xml" />
</Relationships>
</file>

<file path=xl/charts/chart92.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Daily Indexes for the Month of May</a:t>
            </a:r>
          </a:p>
        </rich>
      </tx>
      <overlay val="0"/>
    </title>
    <plotArea>
      <lineChart>
        <grouping/>
        <ser>
          <idx val="0"/>
          <order val="0"/>
          <tx>
            <v>Occupancy Index</v>
          </tx>
          <spPr>
            <a:ln w="38100">
              <a:solidFill>
                <a:srgbClr val="009CDE"/>
              </a:solidFill>
              <a:prstDash val="solid"/>
            </a:ln>
          </spPr>
          <marker>
            <symbol val="circle"/>
            <size val="8"/>
            <spPr>
              <a:solidFill>
                <a:srgbClr val="009CDE"/>
              </a:solidFill>
              <a:ln w="9525">
                <a:solidFill>
                  <a:srgbClr val="009CDE"/>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Month'!$C$28:$AG$28</f>
              <numCache>
                <formatCode>General</formatCode>
                <ptCount val="31"/>
                <pt idx="0">
                  <v>106.299840510314</v>
                </pt>
                <pt idx="0">
                  <v>99.8729813101214</v>
                </pt>
                <pt idx="0">
                  <v>100.115524749</v>
                </pt>
                <pt idx="0">
                  <v>143.056092843268</v>
                </pt>
                <pt idx="0">
                  <v>98.0155537677731</v>
                </pt>
                <pt idx="0">
                  <v>72.3314780457212</v>
                </pt>
                <pt idx="0">
                  <v>100.021340162166</v>
                </pt>
                <pt idx="0">
                  <v>107.085399449058</v>
                </pt>
                <pt idx="0">
                  <v>106.889204545401</v>
                </pt>
                <pt idx="0">
                  <v>118.743890518107</v>
                </pt>
                <pt idx="0">
                  <v>101.861252114997</v>
                </pt>
                <pt idx="0">
                  <v>123.677452490995</v>
                </pt>
                <pt idx="0">
                  <v>126.188197767225</v>
                </pt>
                <pt idx="0">
                  <v>113.939393939394</v>
                </pt>
                <pt idx="0">
                  <v>112.894123420432</v>
                </pt>
                <pt idx="0">
                  <v>108.42733908427</v>
                </pt>
                <pt idx="0">
                  <v>106.764418377283</v>
                </pt>
                <pt idx="0">
                  <v>113.057040998161</v>
                </pt>
                <pt idx="0">
                  <v>111.557354365548</v>
                </pt>
                <pt idx="0">
                  <v>127.503987240849</v>
                </pt>
                <pt idx="0">
                  <v>169.073083779103</v>
                </pt>
                <pt idx="0">
                  <v>149.527062532805</v>
                </pt>
                <pt idx="0">
                  <v>90.5199724518108</v>
                </pt>
                <pt idx="0">
                  <v>103.081019399033</v>
                </pt>
                <pt idx="0">
                  <v>0</v>
                </pt>
                <pt idx="0">
                  <v>0</v>
                </pt>
                <pt idx="0">
                  <v>0</v>
                </pt>
                <pt idx="0">
                  <v>0</v>
                </pt>
                <pt idx="0">
                  <v>0</v>
                </pt>
                <pt idx="0">
                  <v>0</v>
                </pt>
                <pt idx="0">
                  <v>0</v>
                </pt>
              </numCache>
            </numRef>
          </val>
          <smooth val="0"/>
        </ser>
        <ser>
          <idx val="1"/>
          <order val="1"/>
          <tx>
            <v>ADR Index</v>
          </tx>
          <spPr>
            <a:ln w="38100">
              <a:solidFill>
                <a:srgbClr val="D22630"/>
              </a:solidFill>
              <a:prstDash val="solid"/>
            </a:ln>
          </spPr>
          <marker>
            <symbol val="diamond"/>
            <size val="8"/>
            <spPr>
              <a:solidFill>
                <a:srgbClr val="D22630"/>
              </a:solidFill>
              <a:ln w="9525">
                <a:solidFill>
                  <a:srgbClr val="D2263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Month'!$C$40:$AG$40</f>
              <numCache>
                <formatCode>General</formatCode>
                <ptCount val="31"/>
                <pt idx="0">
                  <v>76.4428555395394</v>
                </pt>
                <pt idx="0">
                  <v>84.9647359920262</v>
                </pt>
                <pt idx="0">
                  <v>82.9107425693534</v>
                </pt>
                <pt idx="0">
                  <v>79.0422216628637</v>
                </pt>
                <pt idx="0">
                  <v>79.6424273903913</v>
                </pt>
                <pt idx="0">
                  <v>65.4660562937811</v>
                </pt>
                <pt idx="0">
                  <v>67.1895980073339</v>
                </pt>
                <pt idx="0">
                  <v>74.9579666843405</v>
                </pt>
                <pt idx="0">
                  <v>103.721077107773</v>
                </pt>
                <pt idx="0">
                  <v>96.8062606003114</v>
                </pt>
                <pt idx="0">
                  <v>73.1777938524465</v>
                </pt>
                <pt idx="0">
                  <v>69.9351513768475</v>
                </pt>
                <pt idx="0">
                  <v>77.595944660579</v>
                </pt>
                <pt idx="0">
                  <v>78.9590578968998</v>
                </pt>
                <pt idx="0">
                  <v>82.1369901122098</v>
                </pt>
                <pt idx="0">
                  <v>89.9647865499887</v>
                </pt>
                <pt idx="0">
                  <v>98.72982246516</v>
                </pt>
                <pt idx="0">
                  <v>77.2696945655251</v>
                </pt>
                <pt idx="0">
                  <v>69.610239040521</v>
                </pt>
                <pt idx="0">
                  <v>76.4704871529516</v>
                </pt>
                <pt idx="0">
                  <v>74.2819749654351</v>
                </pt>
                <pt idx="0">
                  <v>69.2500447769795</v>
                </pt>
                <pt idx="0">
                  <v>75.3325218870441</v>
                </pt>
                <pt idx="0">
                  <v>66.6244226396233</v>
                </pt>
                <pt idx="0">
                  <v>0</v>
                </pt>
                <pt idx="0">
                  <v>0</v>
                </pt>
                <pt idx="0">
                  <v>0</v>
                </pt>
                <pt idx="0">
                  <v>0</v>
                </pt>
                <pt idx="0">
                  <v>0</v>
                </pt>
                <pt idx="0">
                  <v>0</v>
                </pt>
                <pt idx="0">
                  <v>0</v>
                </pt>
              </numCache>
            </numRef>
          </val>
          <smooth val="0"/>
        </ser>
        <ser>
          <idx val="2"/>
          <order val="2"/>
          <tx>
            <v>RevPAR Index</v>
          </tx>
          <spPr>
            <a:ln w="38100">
              <a:solidFill>
                <a:srgbClr val="84BD00"/>
              </a:solidFill>
              <a:prstDash val="lgDash"/>
            </a:ln>
          </spPr>
          <marker>
            <symbol val="square"/>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Month'!$C$52:$AG$52</f>
              <numCache>
                <formatCode>General</formatCode>
                <ptCount val="31"/>
                <pt idx="0">
                  <v>81.2586335201159</v>
                </pt>
                <pt idx="0">
                  <v>84.8568148975021</v>
                </pt>
                <pt idx="0">
                  <v>83.0065249965657</v>
                </pt>
                <pt idx="0">
                  <v>113.074714007436</v>
                </pt>
                <pt idx="0">
                  <v>78.0619662407512</v>
                </pt>
                <pt idx="0">
                  <v>47.3525661355515</v>
                </pt>
                <pt idx="0">
                  <v>67.2039363765261</v>
                </pt>
                <pt idx="0">
                  <v>80.2690380428073</v>
                </pt>
                <pt idx="0">
                  <v>110.866634266457</v>
                </pt>
                <pt idx="0">
                  <v>114.951520101869</v>
                </pt>
                <pt idx="0">
                  <v>74.5398170882646</v>
                </pt>
                <pt idx="0">
                  <v>86.4940136186364</v>
                </pt>
                <pt idx="0">
                  <v>97.9169241075473</v>
                </pt>
                <pt idx="0">
                  <v>89.9654720280014</v>
                </pt>
                <pt idx="0">
                  <v>92.7278349911203</v>
                </pt>
                <pt idx="0">
                  <v>97.5464241690182</v>
                </pt>
                <pt idx="0">
                  <v>105.408320719903</v>
                </pt>
                <pt idx="0">
                  <v>87.3588302641226</v>
                </pt>
                <pt idx="0">
                  <v>77.6553410411821</v>
                </pt>
                <pt idx="0">
                  <v>97.5029201824621</v>
                </pt>
                <pt idx="0">
                  <v>125.590825765949</v>
                </pt>
                <pt idx="0">
                  <v>103.547557757711</v>
                </pt>
                <pt idx="0">
                  <v>68.1909780593887</v>
                </pt>
                <pt idx="0">
                  <v>68.6771340256289</v>
                </pt>
                <pt idx="0">
                  <v>0</v>
                </pt>
                <pt idx="0">
                  <v>0</v>
                </pt>
                <pt idx="0">
                  <v>0</v>
                </pt>
                <pt idx="0">
                  <v>0</v>
                </pt>
                <pt idx="0">
                  <v>0</v>
                </pt>
                <pt idx="0">
                  <v>0</v>
                </pt>
                <pt idx="0">
                  <v>0</v>
                </pt>
              </numCache>
            </numRef>
          </val>
          <smooth val="0"/>
        </ser>
        <ser>
          <idx val="3"/>
          <order val="3"/>
          <tx>
            <v>100 %</v>
          </tx>
          <spPr>
            <a:ln w="25400">
              <a:solidFill>
                <a:srgbClr val="000000"/>
              </a:solidFill>
              <a:prstDash val="lgDash"/>
            </a:ln>
          </spPr>
          <marker>
            <symbol val="none"/>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Month'!$C$61:$AG$61</f>
              <numCache>
                <formatCode>General</formatCode>
                <ptCount val="31"/>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numCache>
            </numRef>
          </val>
          <smooth val="0"/>
        </ser>
        <smooth val="0"/>
        <axId val="1"/>
        <axId val="4"/>
      </lineChart>
      <catAx>
        <axId val="1"/>
        <scaling>
          <orientation/>
        </scaling>
        <delete val="0"/>
        <axPos val="b"/>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74"/>
          <min val="42"/>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legendEntry>
        <idx val="3"/>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93.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Occupancy (%) - Mar 02, 2025 to May 24,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Occ!$B$73:$M$73</f>
              <numCache>
                <formatCode>General</formatCode>
                <ptCount val="12"/>
                <pt idx="0">
                  <v>91.3419913419913</v>
                </pt>
                <pt idx="0">
                  <v>90.9090909090909</v>
                </pt>
                <pt idx="0">
                  <v>90.9090909090909</v>
                </pt>
                <pt idx="0">
                  <v>90.2597402597403</v>
                </pt>
                <pt idx="0">
                  <v>95.1298701298701</v>
                </pt>
                <pt idx="0">
                  <v>93.8311688311688</v>
                </pt>
                <pt idx="0">
                  <v>96.2121212121212</v>
                </pt>
                <pt idx="0">
                  <v>88.0952380952381</v>
                </pt>
                <pt idx="0">
                  <v>94.0476190476191</v>
                </pt>
                <pt idx="0">
                  <v>78.1385281385281</v>
                </pt>
                <pt idx="0">
                  <v>75.2164502164502</v>
                </pt>
                <pt idx="0">
                  <v>89.1774891774892</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Occ!$B$74:$M$74</f>
              <numCache>
                <formatCode>General</formatCode>
                <ptCount val="12"/>
                <pt idx="0">
                  <v>89.3687707641196</v>
                </pt>
                <pt idx="0">
                  <v>83.1395348837209</v>
                </pt>
                <pt idx="0">
                  <v>88.8704318936877</v>
                </pt>
                <pt idx="0">
                  <v>88.4136212624585</v>
                </pt>
                <pt idx="0">
                  <v>87.7491694352159</v>
                </pt>
                <pt idx="0">
                  <v>89.2857142857143</v>
                </pt>
                <pt idx="0">
                  <v>90.1993355481728</v>
                </pt>
                <pt idx="0">
                  <v>83.3887043189369</v>
                </pt>
                <pt idx="0">
                  <v>94.7259136212625</v>
                </pt>
                <pt idx="0">
                  <v>73.4634551495017</v>
                </pt>
                <pt idx="0">
                  <v>66.8604651162791</v>
                </pt>
                <pt idx="0">
                  <v>74.2371676208456</v>
                </pt>
              </numCache>
            </numRef>
          </val>
          <smooth val="0"/>
        </ser>
        <ser>
          <idx val="2"/>
          <order val="2"/>
          <tx>
            <v>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Occ!$B$75:$M$75</f>
              <numCache>
                <formatCode>General</formatCode>
                <ptCount val="12"/>
                <pt idx="0">
                  <v>85.5640350485711</v>
                </pt>
                <pt idx="0">
                  <v>80.4019577215453</v>
                </pt>
                <pt idx="0">
                  <v>88.8978146710106</v>
                </pt>
                <pt idx="0">
                  <v>84.5807113848351</v>
                </pt>
                <pt idx="0">
                  <v>85.2325010050476</v>
                </pt>
                <pt idx="0">
                  <v>88.2032262388847</v>
                </pt>
                <pt idx="0">
                  <v>81.2726216542294</v>
                </pt>
                <pt idx="0">
                  <v>76.0132266857322</v>
                </pt>
                <pt idx="0">
                  <v>89.6271802433829</v>
                </pt>
                <pt idx="0">
                  <v>74.1602990899206</v>
                </pt>
                <pt idx="0">
                  <v>72.803372209065</v>
                </pt>
                <pt idx="0">
                  <v>74.4328760594009</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01"/>
          <min val="62"/>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94.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ADR - Mar 02, 2025 to May 24,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ADR!$B$73:$M$73</f>
              <numCache>
                <formatCode>General</formatCode>
                <ptCount val="12"/>
                <pt idx="0">
                  <v>294.281990521327</v>
                </pt>
                <pt idx="0">
                  <v>272.447619047619</v>
                </pt>
                <pt idx="0">
                  <v>292.027380952381</v>
                </pt>
                <pt idx="0">
                  <v>328.038369304556</v>
                </pt>
                <pt idx="0">
                  <v>264.938566552901</v>
                </pt>
                <pt idx="0">
                  <v>297.681660899654</v>
                </pt>
                <pt idx="0">
                  <v>261.608548931384</v>
                </pt>
                <pt idx="0">
                  <v>236.044226044226</v>
                </pt>
                <pt idx="0">
                  <v>322.135788262371</v>
                </pt>
                <pt idx="0">
                  <v>232.814404432133</v>
                </pt>
                <pt idx="0">
                  <v>199.372661870504</v>
                </pt>
                <pt idx="0">
                  <v>210.575242718447</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ADR!$B$74:$M$74</f>
              <numCache>
                <formatCode>General</formatCode>
                <ptCount val="12"/>
                <pt idx="0">
                  <v>380.438197026022</v>
                </pt>
                <pt idx="0">
                  <v>360.125874125874</v>
                </pt>
                <pt idx="0">
                  <v>398.994392523364</v>
                </pt>
                <pt idx="0">
                  <v>380.245655237201</v>
                </pt>
                <pt idx="0">
                  <v>341.342640795078</v>
                </pt>
                <pt idx="0">
                  <v>323.787906976744</v>
                </pt>
                <pt idx="0">
                  <v>374.430939226519</v>
                </pt>
                <pt idx="0">
                  <v>342.51593625498</v>
                </pt>
                <pt idx="0">
                  <v>383.201227531784</v>
                </pt>
                <pt idx="0">
                  <v>280.474844544941</v>
                </pt>
                <pt idx="0">
                  <v>238.046583850932</v>
                </pt>
                <pt idx="0">
                  <v>298.445897186076</v>
                </pt>
              </numCache>
            </numRef>
          </val>
          <smooth val="0"/>
        </ser>
        <ser>
          <idx val="2"/>
          <order val="2"/>
          <tx>
            <v>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ADR!$B$75:$M$75</f>
              <numCache>
                <formatCode>General</formatCode>
                <ptCount val="12"/>
                <pt idx="0">
                  <v>289.626736443139</v>
                </pt>
                <pt idx="0">
                  <v>265.910522323163</v>
                </pt>
                <pt idx="0">
                  <v>286.605910505706</v>
                </pt>
                <pt idx="0">
                  <v>303.538184184607</v>
                </pt>
                <pt idx="0">
                  <v>260.398197159478</v>
                </pt>
                <pt idx="0">
                  <v>261.89942077444</v>
                </pt>
                <pt idx="0">
                  <v>255.103529799868</v>
                </pt>
                <pt idx="0">
                  <v>229.518644798464</v>
                </pt>
                <pt idx="0">
                  <v>288.928389809383</v>
                </pt>
                <pt idx="0">
                  <v>226.776356223262</v>
                </pt>
                <pt idx="0">
                  <v>209.302590122345</v>
                </pt>
                <pt idx="0">
                  <v>204.75204114304</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404"/>
          <min val="194"/>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95.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RevPAR - Mar 02, 2025 to May 24,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RevPAR!$B$73:$M$73</f>
              <numCache>
                <formatCode>General</formatCode>
                <ptCount val="12"/>
                <pt idx="0">
                  <v>268.80303030303</v>
                </pt>
                <pt idx="0">
                  <v>247.679653679654</v>
                </pt>
                <pt idx="0">
                  <v>265.479437229437</v>
                </pt>
                <pt idx="0">
                  <v>296.08658008658</v>
                </pt>
                <pt idx="0">
                  <v>252.035714285714</v>
                </pt>
                <pt idx="0">
                  <v>279.318181818182</v>
                </pt>
                <pt idx="0">
                  <v>251.699134199134</v>
                </pt>
                <pt idx="0">
                  <v>207.943722943723</v>
                </pt>
                <pt idx="0">
                  <v>302.961038961039</v>
                </pt>
                <pt idx="0">
                  <v>181.917748917749</v>
                </pt>
                <pt idx="0">
                  <v>149.961038961039</v>
                </pt>
                <pt idx="0">
                  <v>187.785714285714</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RevPAR!$B$74:$M$74</f>
              <numCache>
                <formatCode>General</formatCode>
                <ptCount val="12"/>
                <pt idx="0">
                  <v>339.992940199336</v>
                </pt>
                <pt idx="0">
                  <v>299.406976744186</v>
                </pt>
                <pt idx="0">
                  <v>354.58803986711</v>
                </pt>
                <pt idx="0">
                  <v>336.188953488372</v>
                </pt>
                <pt idx="0">
                  <v>299.525332225914</v>
                </pt>
                <pt idx="0">
                  <v>289.09634551495</v>
                </pt>
                <pt idx="0">
                  <v>337.734219269103</v>
                </pt>
                <pt idx="0">
                  <v>285.619601328904</v>
                </pt>
                <pt idx="0">
                  <v>362.990863787375</v>
                </pt>
                <pt idx="0">
                  <v>206.046511627907</v>
                </pt>
                <pt idx="0">
                  <v>159.159053156146</v>
                </pt>
                <pt idx="0">
                  <v>221.557780951564</v>
                </pt>
              </numCache>
            </numRef>
          </val>
          <smooth val="0"/>
        </ser>
        <ser>
          <idx val="2"/>
          <order val="2"/>
          <tx>
            <v>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RevPAR!$B$75:$M$75</f>
              <numCache>
                <formatCode>General</formatCode>
                <ptCount val="12"/>
                <pt idx="0">
                  <v>247.81632228024</v>
                </pt>
                <pt idx="0">
                  <v>213.79726573541</v>
                </pt>
                <pt idx="0">
                  <v>254.786391157525</v>
                </pt>
                <pt idx="0">
                  <v>256.734755507951</v>
                </pt>
                <pt idx="0">
                  <v>221.943896011078</v>
                </pt>
                <pt idx="0">
                  <v>231.003738624008</v>
                </pt>
                <pt idx="0">
                  <v>207.329326600831</v>
                </pt>
                <pt idx="0">
                  <v>174.464527756677</v>
                </pt>
                <pt idx="0">
                  <v>258.95836870876</v>
                </pt>
                <pt idx="0">
                  <v>168.178024040395</v>
                </pt>
                <pt idx="0">
                  <v>152.379343729985</v>
                </pt>
                <pt idx="0">
                  <v>152.402833013093</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368"/>
          <min val="145"/>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96.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Daily Indexes for the Month of May</a:t>
            </a:r>
          </a:p>
        </rich>
      </tx>
      <overlay val="0"/>
    </title>
    <plotArea>
      <lineChart>
        <grouping/>
        <ser>
          <idx val="0"/>
          <order val="0"/>
          <tx>
            <v>Occupancy Index</v>
          </tx>
          <spPr>
            <a:ln w="38100">
              <a:solidFill>
                <a:srgbClr val="009CDE"/>
              </a:solidFill>
              <a:prstDash val="solid"/>
            </a:ln>
          </spPr>
          <marker>
            <symbol val="circle"/>
            <size val="8"/>
            <spPr>
              <a:solidFill>
                <a:srgbClr val="009CDE"/>
              </a:solidFill>
              <a:ln w="9525">
                <a:solidFill>
                  <a:srgbClr val="009CDE"/>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Month_2'!$C$25:$AG$25</f>
            </multiLvlStrRef>
          </cat>
          <val>
            <numRef>
              <f>'Daily by Month_2'!$C$28:$AG$28</f>
              <numCache>
                <formatCode>General</formatCode>
                <ptCount val="31"/>
                <pt idx="0">
                  <v>102.795968156117</v>
                </pt>
                <pt idx="0">
                  <v>100.370437845361</v>
                </pt>
                <pt idx="0">
                  <v>100.408838631126</v>
                </pt>
                <pt idx="0">
                  <v>115.770954962501</v>
                </pt>
                <pt idx="0">
                  <v>86.1644292667207</v>
                </pt>
                <pt idx="0">
                  <v>65.8603360335984</v>
                </pt>
                <pt idx="0">
                  <v>103.77221116278</v>
                </pt>
                <pt idx="0">
                  <v>101.179703210632</v>
                </pt>
                <pt idx="0">
                  <v>93.0582724183678</v>
                </pt>
                <pt idx="0">
                  <v>103.428141059673</v>
                </pt>
                <pt idx="0">
                  <v>89.1395463511138</v>
                </pt>
                <pt idx="0">
                  <v>97.3872053872318</v>
                </pt>
                <pt idx="0">
                  <v>92.3038073037997</v>
                </pt>
                <pt idx="0">
                  <v>92.7643394856997</v>
                </pt>
                <pt idx="0">
                  <v>101.252244329585</v>
                </pt>
                <pt idx="0">
                  <v>95.7227857979337</v>
                </pt>
                <pt idx="0">
                  <v>100.087735359594</v>
                </pt>
                <pt idx="0">
                  <v>100.15611647933</v>
                </pt>
                <pt idx="0">
                  <v>102.675319902499</v>
                </pt>
                <pt idx="0">
                  <v>105.055676216146</v>
                </pt>
                <pt idx="0">
                  <v>120.83890374335</v>
                </pt>
                <pt idx="0">
                  <v>116.96861857007</v>
                </pt>
                <pt idx="0">
                  <v>85.7738400958439</v>
                </pt>
                <pt idx="0">
                  <v>93.2659932660178</v>
                </pt>
                <pt idx="0">
                  <v>0</v>
                </pt>
                <pt idx="0">
                  <v>0</v>
                </pt>
                <pt idx="0">
                  <v>0</v>
                </pt>
                <pt idx="0">
                  <v>0</v>
                </pt>
                <pt idx="0">
                  <v>0</v>
                </pt>
                <pt idx="0">
                  <v>0</v>
                </pt>
                <pt idx="0">
                  <v>0</v>
                </pt>
              </numCache>
            </numRef>
          </val>
          <smooth val="0"/>
        </ser>
        <ser>
          <idx val="1"/>
          <order val="1"/>
          <tx>
            <v>ADR Index</v>
          </tx>
          <spPr>
            <a:ln w="38100">
              <a:solidFill>
                <a:srgbClr val="D22630"/>
              </a:solidFill>
              <a:prstDash val="solid"/>
            </a:ln>
          </spPr>
          <marker>
            <symbol val="diamond"/>
            <size val="8"/>
            <spPr>
              <a:solidFill>
                <a:srgbClr val="D22630"/>
              </a:solidFill>
              <a:ln w="9525">
                <a:solidFill>
                  <a:srgbClr val="D2263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Month_2'!$C$25:$AG$25</f>
            </multiLvlStrRef>
          </cat>
          <val>
            <numRef>
              <f>'Daily by Month_2'!$C$40:$AG$40</f>
              <numCache>
                <formatCode>General</formatCode>
                <ptCount val="31"/>
                <pt idx="0">
                  <v>98.4590289335245</v>
                </pt>
                <pt idx="0">
                  <v>105.791125517226</v>
                </pt>
                <pt idx="0">
                  <v>103.801519908527</v>
                </pt>
                <pt idx="0">
                  <v>108.874438525544</v>
                </pt>
                <pt idx="0">
                  <v>106.783671541298</v>
                </pt>
                <pt idx="0">
                  <v>90.722375669548</v>
                </pt>
                <pt idx="0">
                  <v>99.6204319038062</v>
                </pt>
                <pt idx="0">
                  <v>105.623416150756</v>
                </pt>
                <pt idx="0">
                  <v>117.83399289535</v>
                </pt>
                <pt idx="0">
                  <v>116.788345169914</v>
                </pt>
                <pt idx="0">
                  <v>97.3602626139091</v>
                </pt>
                <pt idx="0">
                  <v>87.2144241827506</v>
                </pt>
                <pt idx="0">
                  <v>88.5834872925449</v>
                </pt>
                <pt idx="0">
                  <v>87.7878807650292</v>
                </pt>
                <pt idx="0">
                  <v>92.7001440567373</v>
                </pt>
                <pt idx="0">
                  <v>106.296119815571</v>
                </pt>
                <pt idx="0">
                  <v>108.264846789008</v>
                </pt>
                <pt idx="0">
                  <v>84.7190561446558</v>
                </pt>
                <pt idx="0">
                  <v>81.117957993144</v>
                </pt>
                <pt idx="0">
                  <v>84.2297821891238</v>
                </pt>
                <pt idx="0">
                  <v>84.1797598890987</v>
                </pt>
                <pt idx="0">
                  <v>86.593314608335</v>
                </pt>
                <pt idx="0">
                  <v>101.875552564819</v>
                </pt>
                <pt idx="0">
                  <v>101.744215257285</v>
                </pt>
                <pt idx="0">
                  <v>0</v>
                </pt>
                <pt idx="0">
                  <v>0</v>
                </pt>
                <pt idx="0">
                  <v>0</v>
                </pt>
                <pt idx="0">
                  <v>0</v>
                </pt>
                <pt idx="0">
                  <v>0</v>
                </pt>
                <pt idx="0">
                  <v>0</v>
                </pt>
                <pt idx="0">
                  <v>0</v>
                </pt>
              </numCache>
            </numRef>
          </val>
          <smooth val="0"/>
        </ser>
        <ser>
          <idx val="2"/>
          <order val="2"/>
          <tx>
            <v>RevPAR Index</v>
          </tx>
          <spPr>
            <a:ln w="38100">
              <a:solidFill>
                <a:srgbClr val="84BD00"/>
              </a:solidFill>
              <a:prstDash val="lgDash"/>
            </a:ln>
          </spPr>
          <marker>
            <symbol val="square"/>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Month_2'!$C$25:$AG$25</f>
            </multiLvlStrRef>
          </cat>
          <val>
            <numRef>
              <f>'Daily by Month_2'!$C$52:$AG$52</f>
              <numCache>
                <formatCode>General</formatCode>
                <ptCount val="31"/>
                <pt idx="0">
                  <v>101.211912029345</v>
                </pt>
                <pt idx="0">
                  <v>106.18301588322</v>
                </pt>
                <pt idx="0">
                  <v>104.225900621663</v>
                </pt>
                <pt idx="0">
                  <v>126.044977191032</v>
                </pt>
                <pt idx="0">
                  <v>92.0095411336302</v>
                </pt>
                <pt idx="0">
                  <v>59.7500614736262</v>
                </pt>
                <pt idx="0">
                  <v>103.378324956441</v>
                </pt>
                <pt idx="0">
                  <v>106.869458982232</v>
                </pt>
                <pt idx="0">
                  <v>109.654278110018</v>
                </pt>
                <pt idx="0">
                  <v>120.792014383612</v>
                </pt>
                <pt idx="0">
                  <v>86.7864964202411</v>
                </pt>
                <pt idx="0">
                  <v>84.9356904061437</v>
                </pt>
                <pt idx="0">
                  <v>81.7659314134925</v>
                </pt>
                <pt idx="0">
                  <v>81.4358477401492</v>
                </pt>
                <pt idx="0">
                  <v>93.8609763542489</v>
                </pt>
                <pt idx="0">
                  <v>101.74960708254</v>
                </pt>
                <pt idx="0">
                  <v>108.359833341691</v>
                </pt>
                <pt idx="0">
                  <v>84.8513165524516</v>
                </pt>
                <pt idx="0">
                  <v>83.2881228677809</v>
                </pt>
                <pt idx="0">
                  <v>88.4881672541185</v>
                </pt>
                <pt idx="0">
                  <v>101.721899023756</v>
                </pt>
                <pt idx="0">
                  <v>101.287003871357</v>
                </pt>
                <pt idx="0">
                  <v>87.3825735537433</v>
                </pt>
                <pt idx="0">
                  <v>94.8927529503815</v>
                </pt>
                <pt idx="0">
                  <v>0</v>
                </pt>
                <pt idx="0">
                  <v>0</v>
                </pt>
                <pt idx="0">
                  <v>0</v>
                </pt>
                <pt idx="0">
                  <v>0</v>
                </pt>
                <pt idx="0">
                  <v>0</v>
                </pt>
                <pt idx="0">
                  <v>0</v>
                </pt>
                <pt idx="0">
                  <v>0</v>
                </pt>
              </numCache>
            </numRef>
          </val>
          <smooth val="0"/>
        </ser>
        <ser>
          <idx val="3"/>
          <order val="3"/>
          <tx>
            <v>100 %</v>
          </tx>
          <spPr>
            <a:ln w="25400">
              <a:solidFill>
                <a:srgbClr val="000000"/>
              </a:solidFill>
              <a:prstDash val="lgDash"/>
            </a:ln>
          </spPr>
          <marker>
            <symbol val="none"/>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Month_2'!$C$25:$AG$25</f>
            </multiLvlStrRef>
          </cat>
          <val>
            <numRef>
              <f>'Daily by Month_2'!$C$61:$AG$61</f>
              <numCache>
                <formatCode>General</formatCode>
                <ptCount val="31"/>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numCache>
            </numRef>
          </val>
          <smooth val="0"/>
        </ser>
        <smooth val="0"/>
        <axId val="1"/>
        <axId val="4"/>
      </lineChart>
      <catAx>
        <axId val="1"/>
        <scaling>
          <orientation/>
        </scaling>
        <delete val="0"/>
        <axPos val="b"/>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31"/>
          <min val="55"/>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legendEntry>
        <idx val="3"/>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97.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Occupancy (%) - Mar 02, 2025 to May 24,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Occ_2!$B$72:$M$72</f>
            </multiLvlStrRef>
          </cat>
          <val>
            <numRef>
              <f>Occ_2!$B$73:$M$73</f>
              <numCache>
                <formatCode>General</formatCode>
                <ptCount val="12"/>
                <pt idx="0">
                  <v>91.3419913419913</v>
                </pt>
                <pt idx="0">
                  <v>90.9090909090909</v>
                </pt>
                <pt idx="0">
                  <v>90.9090909090909</v>
                </pt>
                <pt idx="0">
                  <v>90.2597402597403</v>
                </pt>
                <pt idx="0">
                  <v>95.1298701298701</v>
                </pt>
                <pt idx="0">
                  <v>93.8311688311688</v>
                </pt>
                <pt idx="0">
                  <v>96.2121212121212</v>
                </pt>
                <pt idx="0">
                  <v>88.0952380952381</v>
                </pt>
                <pt idx="0">
                  <v>94.0476190476191</v>
                </pt>
                <pt idx="0">
                  <v>78.1385281385281</v>
                </pt>
                <pt idx="0">
                  <v>75.2164502164502</v>
                </pt>
                <pt idx="0">
                  <v>89.1774891774892</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Occ_2!$B$72:$M$72</f>
            </multiLvlStrRef>
          </cat>
          <val>
            <numRef>
              <f>Occ_2!$B$74:$M$74</f>
              <numCache>
                <formatCode>General</formatCode>
                <ptCount val="12"/>
                <pt idx="0">
                  <v>90.7896556492878</v>
                </pt>
                <pt idx="0">
                  <v>86.8759507675287</v>
                </pt>
                <pt idx="0">
                  <v>89.6418199419168</v>
                </pt>
                <pt idx="0">
                  <v>86.6961692711935</v>
                </pt>
                <pt idx="0">
                  <v>84.5355426110759</v>
                </pt>
                <pt idx="0">
                  <v>93.043839026414</v>
                </pt>
                <pt idx="0">
                  <v>91.0662425667266</v>
                </pt>
                <pt idx="0">
                  <v>81.7452634490389</v>
                </pt>
                <pt idx="0">
                  <v>94.5512377264555</v>
                </pt>
                <pt idx="0">
                  <v>81.3995298022404</v>
                </pt>
                <pt idx="0">
                  <v>78.4953671691329</v>
                </pt>
                <pt idx="0">
                  <v>86.5564279748196</v>
                </pt>
              </numCache>
            </numRef>
          </val>
          <smooth val="0"/>
        </ser>
        <ser>
          <idx val="2"/>
          <order val="2"/>
          <tx>
            <v>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Occ_2!$B$72:$M$72</f>
            </multiLvlStrRef>
          </cat>
          <val>
            <numRef>
              <f>Occ_2!$B$75:$M$75</f>
              <numCache>
                <formatCode>General</formatCode>
                <ptCount val="12"/>
                <pt idx="0">
                  <v>85.5640350485711</v>
                </pt>
                <pt idx="0">
                  <v>80.4019577215453</v>
                </pt>
                <pt idx="0">
                  <v>88.8978146710106</v>
                </pt>
                <pt idx="0">
                  <v>84.5807113848351</v>
                </pt>
                <pt idx="0">
                  <v>85.2325010050476</v>
                </pt>
                <pt idx="0">
                  <v>88.2032262388847</v>
                </pt>
                <pt idx="0">
                  <v>81.2726216542294</v>
                </pt>
                <pt idx="0">
                  <v>76.0132266857322</v>
                </pt>
                <pt idx="0">
                  <v>89.6271802433829</v>
                </pt>
                <pt idx="0">
                  <v>74.1602990899206</v>
                </pt>
                <pt idx="0">
                  <v>72.803372209065</v>
                </pt>
                <pt idx="0">
                  <v>74.4328760594009</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01"/>
          <min val="68"/>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98.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ADR - Mar 02, 2025 to May 24,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ADR_2!$B$72:$M$72</f>
            </multiLvlStrRef>
          </cat>
          <val>
            <numRef>
              <f>ADR_2!$B$73:$M$73</f>
              <numCache>
                <formatCode>General</formatCode>
                <ptCount val="12"/>
                <pt idx="0">
                  <v>294.281990521327</v>
                </pt>
                <pt idx="0">
                  <v>272.447619047619</v>
                </pt>
                <pt idx="0">
                  <v>292.027380952381</v>
                </pt>
                <pt idx="0">
                  <v>328.038369304556</v>
                </pt>
                <pt idx="0">
                  <v>264.938566552901</v>
                </pt>
                <pt idx="0">
                  <v>297.681660899654</v>
                </pt>
                <pt idx="0">
                  <v>261.608548931384</v>
                </pt>
                <pt idx="0">
                  <v>236.044226044226</v>
                </pt>
                <pt idx="0">
                  <v>322.135788262371</v>
                </pt>
                <pt idx="0">
                  <v>232.814404432133</v>
                </pt>
                <pt idx="0">
                  <v>199.372661870504</v>
                </pt>
                <pt idx="0">
                  <v>210.575242718447</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ADR_2!$B$72:$M$72</f>
            </multiLvlStrRef>
          </cat>
          <val>
            <numRef>
              <f>ADR_2!$B$74:$M$74</f>
              <numCache>
                <formatCode>General</formatCode>
                <ptCount val="12"/>
                <pt idx="0">
                  <v>317.112769230769</v>
                </pt>
                <pt idx="0">
                  <v>285.672967207896</v>
                </pt>
                <pt idx="0">
                  <v>300.09978864548</v>
                </pt>
                <pt idx="0">
                  <v>306.305723400861</v>
                </pt>
                <pt idx="0">
                  <v>252.22283348723</v>
                </pt>
                <pt idx="0">
                  <v>283.712274078478</v>
                </pt>
                <pt idx="0">
                  <v>258.672071374336</v>
                </pt>
                <pt idx="0">
                  <v>234.592718660125</v>
                </pt>
                <pt idx="0">
                  <v>332.01755887085</v>
                </pt>
                <pt idx="0">
                  <v>212.535059463133</v>
                </pt>
                <pt idx="0">
                  <v>202.81512508809</v>
                </pt>
                <pt idx="0">
                  <v>237.395205254923</v>
                </pt>
              </numCache>
            </numRef>
          </val>
          <smooth val="0"/>
        </ser>
        <ser>
          <idx val="2"/>
          <order val="2"/>
          <tx>
            <v>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ADR_2!$B$72:$M$72</f>
            </multiLvlStrRef>
          </cat>
          <val>
            <numRef>
              <f>ADR_2!$B$75:$M$75</f>
              <numCache>
                <formatCode>General</formatCode>
                <ptCount val="12"/>
                <pt idx="0">
                  <v>289.626736443139</v>
                </pt>
                <pt idx="0">
                  <v>265.910522323163</v>
                </pt>
                <pt idx="0">
                  <v>286.605910505706</v>
                </pt>
                <pt idx="0">
                  <v>303.538184184607</v>
                </pt>
                <pt idx="0">
                  <v>260.398197159478</v>
                </pt>
                <pt idx="0">
                  <v>261.89942077444</v>
                </pt>
                <pt idx="0">
                  <v>255.103529799868</v>
                </pt>
                <pt idx="0">
                  <v>229.518644798464</v>
                </pt>
                <pt idx="0">
                  <v>288.928389809383</v>
                </pt>
                <pt idx="0">
                  <v>226.776356223262</v>
                </pt>
                <pt idx="0">
                  <v>209.302590122345</v>
                </pt>
                <pt idx="0">
                  <v>204.75204114304</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337"/>
          <min val="194"/>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99.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RevPAR - Mar 02, 2025 to May 24,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'RevPAR_2'!$B$72:$M$72</f>
            </multiLvlStrRef>
          </cat>
          <val>
            <numRef>
              <f>'RevPAR_2'!$B$73:$M$73</f>
              <numCache>
                <formatCode>General</formatCode>
                <ptCount val="12"/>
                <pt idx="0">
                  <v>268.80303030303</v>
                </pt>
                <pt idx="0">
                  <v>247.679653679654</v>
                </pt>
                <pt idx="0">
                  <v>265.479437229437</v>
                </pt>
                <pt idx="0">
                  <v>296.08658008658</v>
                </pt>
                <pt idx="0">
                  <v>252.035714285714</v>
                </pt>
                <pt idx="0">
                  <v>279.318181818182</v>
                </pt>
                <pt idx="0">
                  <v>251.699134199134</v>
                </pt>
                <pt idx="0">
                  <v>207.943722943723</v>
                </pt>
                <pt idx="0">
                  <v>302.961038961039</v>
                </pt>
                <pt idx="0">
                  <v>181.917748917749</v>
                </pt>
                <pt idx="0">
                  <v>149.961038961039</v>
                </pt>
                <pt idx="0">
                  <v>187.785714285714</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'RevPAR_2'!$B$72:$M$72</f>
            </multiLvlStrRef>
          </cat>
          <val>
            <numRef>
              <f>'RevPAR_2'!$B$74:$M$74</f>
              <numCache>
                <formatCode>General</formatCode>
                <ptCount val="12"/>
                <pt idx="0">
                  <v>287.905591204536</v>
                </pt>
                <pt idx="0">
                  <v>248.18110634767</v>
                </pt>
                <pt idx="0">
                  <v>269.014912183654</v>
                </pt>
                <pt idx="0">
                  <v>265.555328446964</v>
                </pt>
                <pt idx="0">
                  <v>213.21794087746</v>
                </pt>
                <pt idx="0">
                  <v>263.976791591758</v>
                </pt>
                <pt idx="0">
                  <v>235.562935970129</v>
                </pt>
                <pt idx="0">
                  <v>191.768435900982</v>
                </pt>
                <pt idx="0">
                  <v>313.926711381552</v>
                </pt>
                <pt idx="0">
                  <v>173.002539067902</v>
                </pt>
                <pt idx="0">
                  <v>159.200477112433</v>
                </pt>
                <pt idx="0">
                  <v>205.480809852152</v>
                </pt>
              </numCache>
            </numRef>
          </val>
          <smooth val="0"/>
        </ser>
        <ser>
          <idx val="2"/>
          <order val="2"/>
          <tx>
            <v>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'RevPAR_2'!$B$72:$M$72</f>
            </multiLvlStrRef>
          </cat>
          <val>
            <numRef>
              <f>'RevPAR_2'!$B$75:$M$75</f>
              <numCache>
                <formatCode>General</formatCode>
                <ptCount val="12"/>
                <pt idx="0">
                  <v>247.81632228024</v>
                </pt>
                <pt idx="0">
                  <v>213.79726573541</v>
                </pt>
                <pt idx="0">
                  <v>254.786391157525</v>
                </pt>
                <pt idx="0">
                  <v>256.734755507951</v>
                </pt>
                <pt idx="0">
                  <v>221.943896011078</v>
                </pt>
                <pt idx="0">
                  <v>231.003738624008</v>
                </pt>
                <pt idx="0">
                  <v>207.329326600831</v>
                </pt>
                <pt idx="0">
                  <v>174.464527756677</v>
                </pt>
                <pt idx="0">
                  <v>258.95836870876</v>
                </pt>
                <pt idx="0">
                  <v>168.178024040395</v>
                </pt>
                <pt idx="0">
                  <v>152.379343729985</v>
                </pt>
                <pt idx="0">
                  <v>152.402833013093</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319"/>
          <min val="145"/>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drawings/_rels/drawing1.xml.rels><?xml version="1.0" encoding="utf-8" standalone="yes" ?>
<Relationships xmlns="http://schemas.openxmlformats.org/package/2006/relationships">
<Relationship Id="rId1" Type="http://schemas.openxmlformats.org/officeDocument/2006/relationships/image" Target="/xl/media/image1.png" />
</Relationships>
</file>

<file path=xl/drawings/_rels/drawing2.xml.rels><?xml version="1.0" encoding="utf-8" standalone="yes" ?>
<Relationships xmlns="http://schemas.openxmlformats.org/package/2006/relationships">
<Relationship Id="rId1" Type="http://schemas.openxmlformats.org/officeDocument/2006/relationships/image" Target="/xl/media/image2.jpeg" />
</Relationships>
</file>

<file path=xl/drawings/_rels/drawing35.xml.rels><?xml version="1.0" encoding="utf-8" standalone="yes" ?>
<Relationships xmlns="http://schemas.openxmlformats.org/package/2006/relationships">
<Relationship Id="rId97" Type="http://schemas.openxmlformats.org/officeDocument/2006/relationships/chart" Target="/xl/charts/chart92.xml" />
</Relationships>
</file>

<file path=xl/drawings/_rels/drawing64.xml.rels><?xml version="1.0" encoding="utf-8" standalone="yes" ?>
<Relationships xmlns="http://schemas.openxmlformats.org/package/2006/relationships">
<Relationship Id="rId101" Type="http://schemas.openxmlformats.org/officeDocument/2006/relationships/chart" Target="/xl/charts/chart96.xml" />
</Relationships>
</file>

<file path=xl/drawings/_rels/drawing65.xml.rels><?xml version="1.0" encoding="utf-8" standalone="yes" ?>
<Relationships xmlns="http://schemas.openxmlformats.org/package/2006/relationships">
<Relationship Id="rId98" Type="http://schemas.openxmlformats.org/officeDocument/2006/relationships/chart" Target="/xl/charts/chart93.xml" />
</Relationships>
</file>

<file path=xl/drawings/_rels/drawing68.xml.rels><?xml version="1.0" encoding="utf-8" standalone="yes" ?>
<Relationships xmlns="http://schemas.openxmlformats.org/package/2006/relationships">
<Relationship Id="rId102" Type="http://schemas.openxmlformats.org/officeDocument/2006/relationships/chart" Target="/xl/charts/chart97.xml" />
</Relationships>
</file>

<file path=xl/drawings/_rels/drawing72.xml.rels><?xml version="1.0" encoding="utf-8" standalone="yes" ?>
<Relationships xmlns="http://schemas.openxmlformats.org/package/2006/relationships">
<Relationship Id="rId99" Type="http://schemas.openxmlformats.org/officeDocument/2006/relationships/chart" Target="/xl/charts/chart94.xml" />
</Relationships>
</file>

<file path=xl/drawings/_rels/drawing75.xml.rels><?xml version="1.0" encoding="utf-8" standalone="yes" ?>
<Relationships xmlns="http://schemas.openxmlformats.org/package/2006/relationships">
<Relationship Id="rId103" Type="http://schemas.openxmlformats.org/officeDocument/2006/relationships/chart" Target="/xl/charts/chart98.xml" />
</Relationships>
</file>

<file path=xl/drawings/_rels/drawing79.xml.rels><?xml version="1.0" encoding="utf-8" standalone="yes" ?>
<Relationships xmlns="http://schemas.openxmlformats.org/package/2006/relationships">
<Relationship Id="rId100" Type="http://schemas.openxmlformats.org/officeDocument/2006/relationships/chart" Target="/xl/charts/chart95.xml" />
</Relationships>
</file>

<file path=xl/drawings/_rels/drawing82.xml.rels><?xml version="1.0" encoding="utf-8" standalone="yes" ?>
<Relationships xmlns="http://schemas.openxmlformats.org/package/2006/relationships">
<Relationship Id="rId104" Type="http://schemas.openxmlformats.org/officeDocument/2006/relationships/chart" Target="/xl/charts/chart99.xml" />
</Relationships>
</file>

<file path=xl/drawings/drawing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6</xdr:col>
      <xdr:colOff>0</xdr:colOff>
      <xdr:row>1</xdr:row>
      <xdr:rowOff>0</xdr:rowOff>
    </xdr:from>
    <xdr:to>
      <xdr:col>7</xdr:col>
      <xdr:colOff>0</xdr:colOff>
      <xdr:row>5</xdr:row>
      <xdr:rowOff>38100</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9410700" y="581025"/>
          <a:ext cx="1038225" cy="1038225"/>
        </a:xfrm>
        <a:prstGeom prst="rect">
          <a:avLst/>
        </a:prstGeom>
        <a:noFill/>
        <a:ln>
          <a:noFill/>
        </a:ln>
        <a:extLst>
          <a:ext uri="{909E8E84-426E-40DD-AFC4-6F175D3DCCD1}">
            <a14:hiddenFill xmlns:a14="http://schemas.microsoft.com/office/drawing/2010/main">
              <a:solidFill xmlns:a="http://schemas.openxmlformats.org/drawingml/2006/main">
                <a:srgbClr val="FFFFFF"/>
              </a:solidFill>
            </a14:hiddenFill>
          </a:ext>
          <a:ext uri="{91240B29-F687-4F45-9708-019B960494DF}">
            <a14:hiddenLine xmlns:a14="http://schemas.microsoft.com/office/drawing/2010/main" w="9525">
              <a:solidFill xmlns:a="http://schemas.openxmlformats.org/drawingml/2006/main">
                <a:srgbClr val="000000"/>
              </a:solidFill>
              <a:miter xmlns:a="http://schemas.openxmlformats.org/drawingml/2006/main" lim="800000"/>
              <a:headEnd xmlns:a="http://schemas.openxmlformats.org/drawingml/2006/main"/>
              <a:tailEnd xmlns:a="http://schemas.openxmlformats.org/drawingml/2006/main"/>
            </a14:hiddenLine>
          </a:ext>
        </a:extLst>
      </xdr:spPr>
    </xdr:pic>
    <xdr:clientData/>
  </xdr:twoCellAnchor>
</xdr:wsDr>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0</xdr:col>
      <xdr:colOff>0</xdr:colOff>
      <xdr:row>0</xdr:row>
      <xdr:rowOff>19050</xdr:rowOff>
    </xdr:from>
    <xdr:to>
      <xdr:col>5</xdr:col>
      <xdr:colOff>1905000</xdr:colOff>
      <xdr:row>1</xdr:row>
      <xdr:rowOff>838200</xdr:rowOff>
    </xdr:to>
    <xdr:pic>
      <xdr:nvPicPr>
        <xdr:cNvPr id="1054" name="Picture 1">
          <a:extLst>
            <a:ext uri="{FF2B5EF4-FFF2-40B4-BE49-F238E27FC236}">
              <a16:creationId xmlns:a16="http://schemas.microsoft.com/office/drawing/2014/main" id="{00000000-0008-0000-0F00-00001E040000}"/>
            </a:ext>
          </a:extLst>
        </xdr:cNvPr>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bwMode="auto">
        <a:xfrm>
          <a:off x="0" y="19050"/>
          <a:ext cx="6086475" cy="1009650"/>
        </a:xfrm>
        <a:prstGeom prst="rect">
          <a:avLst/>
        </a:prstGeom>
        <a:noFill/>
        <a:ln>
          <a:noFill/>
        </a:ln>
        <a:extLst>
          <a:ext uri="{909E8E84-426E-40DD-AFC4-6F175D3DCCD1}">
            <a14:hiddenFill xmlns:a14="http://schemas.microsoft.com/office/drawing/2010/main">
              <a:solidFill xmlns:a="http://schemas.openxmlformats.org/drawingml/2006/main">
                <a:srgbClr val="FFFFFF"/>
              </a:solidFill>
            </a14:hiddenFill>
          </a:ext>
          <a:ext uri="{91240B29-F687-4F45-9708-019B960494DF}">
            <a14:hiddenLine xmlns:a14="http://schemas.microsoft.com/office/drawing/2010/main" w="9525">
              <a:solidFill xmlns:a="http://schemas.openxmlformats.org/drawingml/2006/main">
                <a:srgbClr val="000000"/>
              </a:solidFill>
              <a:miter xmlns:a="http://schemas.openxmlformats.org/drawingml/2006/main" lim="800000"/>
              <a:headEnd xmlns:a="http://schemas.openxmlformats.org/drawingml/2006/main"/>
              <a:tailEnd xmlns:a="http://schemas.openxmlformats.org/drawingml/2006/main"/>
            </a14:hiddenLine>
          </a:ext>
        </a:extLst>
      </xdr:spPr>
    </xdr:pic>
    <xdr:clientData/>
  </xdr:twoCellAnchor>
</xdr:wsDr>
</file>

<file path=xl/drawings/drawing2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23.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27.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3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35.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103632</xdr:rowOff>
    </xdr:from>
    <xdr:ext cx="18923000" cy="4670425"/>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97"/>
        </a:graphicData>
      </a:graphic>
    </xdr:graphicFrame>
    <xdr:clientData/>
  </xdr:oneCellAnchor>
</xdr:wsDr>
</file>

<file path=xl/drawings/drawing39.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43.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47.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5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55.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5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6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6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103632</xdr:rowOff>
    </xdr:from>
    <xdr:ext cx="18923000" cy="4670425"/>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101"/>
        </a:graphicData>
      </a:graphic>
    </xdr:graphicFrame>
    <xdr:clientData/>
  </xdr:oneCellAnchor>
</xdr:wsDr>
</file>

<file path=xl/drawings/drawing65.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35433</xdr:rowOff>
    </xdr:from>
    <xdr:ext cx="18923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98"/>
        </a:graphicData>
      </a:graphic>
    </xdr:graphicFrame>
    <xdr:clientData/>
  </xdr:oneCellAnchor>
</xdr:wsDr>
</file>

<file path=xl/drawings/drawing6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35433</xdr:rowOff>
    </xdr:from>
    <xdr:ext cx="18923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102"/>
        </a:graphicData>
      </a:graphic>
    </xdr:graphicFrame>
    <xdr:clientData/>
  </xdr:oneCellAnchor>
</xdr:wsDr>
</file>

<file path=xl/drawings/drawing7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7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35433</xdr:rowOff>
    </xdr:from>
    <xdr:ext cx="18542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99"/>
        </a:graphicData>
      </a:graphic>
    </xdr:graphicFrame>
    <xdr:clientData/>
  </xdr:oneCellAnchor>
</xdr:wsDr>
</file>

<file path=xl/drawings/drawing75.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35433</xdr:rowOff>
    </xdr:from>
    <xdr:ext cx="18542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103"/>
        </a:graphicData>
      </a:graphic>
    </xdr:graphicFrame>
    <xdr:clientData/>
  </xdr:oneCellAnchor>
</xdr:wsDr>
</file>

<file path=xl/drawings/drawing7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79.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118110</xdr:rowOff>
    </xdr:from>
    <xdr:ext cx="18415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100"/>
        </a:graphicData>
      </a:graphic>
    </xdr:graphicFrame>
    <xdr:clientData/>
  </xdr:oneCellAnchor>
</xdr:wsDr>
</file>

<file path=xl/drawings/drawing8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118110</xdr:rowOff>
    </xdr:from>
    <xdr:ext cx="18415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104"/>
        </a:graphicData>
      </a:graphic>
    </xdr:graphicFrame>
    <xdr:clientData/>
  </xdr:oneCellAnchor>
</xdr:wsDr>
</file>

<file path=xl/drawings/drawing85.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8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9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67000"/>
                <a:satMod val="105000"/>
                <a:lumMod val="110000"/>
              </a:schemeClr>
            </a:gs>
            <a:gs pos="50000">
              <a:schemeClr val="phClr">
                <a:tint val="73000"/>
                <a:satMod val="103000"/>
                <a:lumMod val="105000"/>
              </a:schemeClr>
            </a:gs>
            <a:gs pos="100000">
              <a:schemeClr val="phClr">
                <a:tint val="81000"/>
                <a:satMod val="109000"/>
                <a:lumMod val="105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
<Relationships xmlns="http://schemas.openxmlformats.org/package/2006/relationships">
<Relationship Id="rId3" Type="http://schemas.openxmlformats.org/officeDocument/2006/relationships/printerSettings" Target="../printerSettings/printerSettings1.bin" />
<Relationship Id="rId4" Type="http://schemas.openxmlformats.org/officeDocument/2006/relationships/drawing" Target="../drawings/drawing1.xml" />
<Relationship Id="rId105" Type="http://schemas.openxmlformats.org/officeDocument/2006/relationships/hyperlink" Target="http://www.strglobal.com/" TargetMode="External" />
<Relationship Id="rId106" Type="http://schemas.openxmlformats.org/officeDocument/2006/relationships/hyperlink" Target="http://www.str.com/" TargetMode="External" />
</Relationships>
</file>

<file path=xl/worksheets/_rels/sheet6.xml.rels><?xml version="1.0" encoding="utf-8" standalone="yes" ?>
<Relationships xmlns="http://schemas.openxmlformats.org/package/2006/relationships">
<Relationship Id="rId1" Type="http://schemas.openxmlformats.org/officeDocument/2006/relationships/printerSettings" Target="../printerSettings/printerSettings6.bin" />
<Relationship Id="rId70" Type="http://schemas.openxmlformats.org/officeDocument/2006/relationships/drawing" Target="../drawings/drawing65.xml" />
</Relationships>
</file>

<file path=xl/worksheets/_rels/sheet8.xml.rels><?xml version="1.0" encoding="utf-8" standalone="yes" ?>
<Relationships xmlns="http://schemas.openxmlformats.org/package/2006/relationships">
<Relationship Id="rId1" Type="http://schemas.openxmlformats.org/officeDocument/2006/relationships/printerSettings" Target="../printerSettings/printerSettings8.bin" />
<Relationship Id="rId77" Type="http://schemas.openxmlformats.org/officeDocument/2006/relationships/drawing" Target="../drawings/drawing72.xml" />
</Relationships>
</file>

<file path=xl/worksheets/_rels/sheet10.xml.rels><?xml version="1.0" encoding="utf-8" standalone="yes" ?>
<Relationships xmlns="http://schemas.openxmlformats.org/package/2006/relationships">
<Relationship Id="rId1" Type="http://schemas.openxmlformats.org/officeDocument/2006/relationships/printerSettings" Target="../printerSettings/printerSettings10.bin" />
<Relationship Id="rId84" Type="http://schemas.openxmlformats.org/officeDocument/2006/relationships/drawing" Target="../drawings/drawing79.xml" />
</Relationships>
</file>

<file path=xl/worksheets/_rels/sheet16.xml.rels><?xml version="1.0" encoding="utf-8" standalone="yes" ?>
<Relationships xmlns="http://schemas.openxmlformats.org/package/2006/relationships">
<Relationship Id="rId7" Type="http://schemas.openxmlformats.org/officeDocument/2006/relationships/drawing" Target="../drawings/drawing2.xml" />
<Relationship Id="rId6" Type="http://schemas.openxmlformats.org/officeDocument/2006/relationships/printerSettings" Target="../printerSettings/printerSettings16.bin" />
<Relationship Id="rId107" Type="http://schemas.openxmlformats.org/officeDocument/2006/relationships/hyperlink" Target="http://www.str.com/data-insights/resources/glossary" TargetMode="External" />
<Relationship Id="rId108" Type="http://schemas.openxmlformats.org/officeDocument/2006/relationships/hyperlink" Target="http://www.hotelnewsnow.com/" TargetMode="External" />
<Relationship Id="rId109" Type="http://schemas.openxmlformats.org/officeDocument/2006/relationships/hyperlink" Target="http://www.hoteldataconference.com/" TargetMode="External" />
<Relationship Id="rId110" Type="http://schemas.openxmlformats.org/officeDocument/2006/relationships/hyperlink" Target="http://www.str.com/data-insights/resources/FAQ" TargetMode="External" />
<Relationship Id="rId111" Type="http://schemas.openxmlformats.org/officeDocument/2006/relationships/hyperlink" Target="https://str.com/contact" TargetMode="External" />
</Relationships>
</file>

<file path=xl/worksheets/_rels/sheet18.xml.rels><?xml version="1.0" encoding="utf-8" standalone="yes" ?>
<Relationships xmlns="http://schemas.openxmlformats.org/package/2006/relationships">
<Relationship Id="rId1" Type="http://schemas.openxmlformats.org/officeDocument/2006/relationships/printerSettings" Target="../printerSettings/printerSettings19.bin" />
<Relationship Id="rId22" Type="http://schemas.openxmlformats.org/officeDocument/2006/relationships/drawing" Target="../drawings/drawing20.xml" />
</Relationships>
</file>

<file path=xl/worksheets/_rels/sheet21.xml.rels><?xml version="1.0" encoding="utf-8" standalone="yes" ?>
<Relationships xmlns="http://schemas.openxmlformats.org/package/2006/relationships">
<Relationship Id="rId1" Type="http://schemas.openxmlformats.org/officeDocument/2006/relationships/printerSettings" Target="../printerSettings/printerSettings22.bin" />
<Relationship Id="rId22" Type="http://schemas.openxmlformats.org/officeDocument/2006/relationships/drawing" Target="../drawings/drawing23.xml" />
</Relationships>
</file>

<file path=xl/worksheets/_rels/sheet25.xml.rels><?xml version="1.0" encoding="utf-8" standalone="yes" ?>
<Relationships xmlns="http://schemas.openxmlformats.org/package/2006/relationships">
<Relationship Id="rId1" Type="http://schemas.openxmlformats.org/officeDocument/2006/relationships/printerSettings" Target="../printerSettings/printerSettings26.bin" />
<Relationship Id="rId29" Type="http://schemas.openxmlformats.org/officeDocument/2006/relationships/drawing" Target="../drawings/drawing27.xml" />
</Relationships>
</file>

<file path=xl/worksheets/_rels/sheet29.xml.rels><?xml version="1.0" encoding="utf-8" standalone="yes" ?>
<Relationships xmlns="http://schemas.openxmlformats.org/package/2006/relationships">
<Relationship Id="rId1" Type="http://schemas.openxmlformats.org/officeDocument/2006/relationships/printerSettings" Target="../printerSettings/printerSettings30.bin" />
<Relationship Id="rId33" Type="http://schemas.openxmlformats.org/officeDocument/2006/relationships/drawing" Target="../drawings/drawing31.xml" />
</Relationships>
</file>

<file path=xl/worksheets/_rels/sheet33.xml.rels><?xml version="1.0" encoding="utf-8" standalone="yes" ?>
<Relationships xmlns="http://schemas.openxmlformats.org/package/2006/relationships">
<Relationship Id="rId1" Type="http://schemas.openxmlformats.org/officeDocument/2006/relationships/printerSettings" Target="../printerSettings/printerSettings34.bin" />
<Relationship Id="rId37" Type="http://schemas.openxmlformats.org/officeDocument/2006/relationships/drawing" Target="../drawings/drawing35.xml" />
</Relationships>
</file>

<file path=xl/worksheets/_rels/sheet37.xml.rels><?xml version="1.0" encoding="utf-8" standalone="yes" ?>
<Relationships xmlns="http://schemas.openxmlformats.org/package/2006/relationships">
<Relationship Id="rId1" Type="http://schemas.openxmlformats.org/officeDocument/2006/relationships/printerSettings" Target="../printerSettings/printerSettings38.bin" />
<Relationship Id="rId41" Type="http://schemas.openxmlformats.org/officeDocument/2006/relationships/drawing" Target="../drawings/drawing39.xml" />
</Relationships>
</file>

<file path=xl/worksheets/_rels/sheet41.xml.rels><?xml version="1.0" encoding="utf-8" standalone="yes" ?>
<Relationships xmlns="http://schemas.openxmlformats.org/package/2006/relationships">
<Relationship Id="rId1" Type="http://schemas.openxmlformats.org/officeDocument/2006/relationships/printerSettings" Target="../printerSettings/printerSettings42.bin" />
<Relationship Id="rId45" Type="http://schemas.openxmlformats.org/officeDocument/2006/relationships/drawing" Target="../drawings/drawing43.xml" />
</Relationships>
</file>

<file path=xl/worksheets/_rels/sheet45.xml.rels><?xml version="1.0" encoding="utf-8" standalone="yes" ?>
<Relationships xmlns="http://schemas.openxmlformats.org/package/2006/relationships">
<Relationship Id="rId1" Type="http://schemas.openxmlformats.org/officeDocument/2006/relationships/printerSettings" Target="../printerSettings/printerSettings46.bin" />
<Relationship Id="rId49" Type="http://schemas.openxmlformats.org/officeDocument/2006/relationships/drawing" Target="../drawings/drawing47.xml" />
</Relationships>
</file>

<file path=xl/worksheets/_rels/sheet49.xml.rels><?xml version="1.0" encoding="utf-8" standalone="yes" ?>
<Relationships xmlns="http://schemas.openxmlformats.org/package/2006/relationships">
<Relationship Id="rId1" Type="http://schemas.openxmlformats.org/officeDocument/2006/relationships/printerSettings" Target="../printerSettings/printerSettings50.bin" />
<Relationship Id="rId53" Type="http://schemas.openxmlformats.org/officeDocument/2006/relationships/drawing" Target="../drawings/drawing51.xml" />
</Relationships>
</file>

<file path=xl/worksheets/_rels/sheet53.xml.rels><?xml version="1.0" encoding="utf-8" standalone="yes" ?>
<Relationships xmlns="http://schemas.openxmlformats.org/package/2006/relationships">
<Relationship Id="rId1" Type="http://schemas.openxmlformats.org/officeDocument/2006/relationships/printerSettings" Target="../printerSettings/printerSettings54.bin" />
<Relationship Id="rId57" Type="http://schemas.openxmlformats.org/officeDocument/2006/relationships/drawing" Target="../drawings/drawing55.xml" />
</Relationships>
</file>

<file path=xl/worksheets/_rels/sheet56.xml.rels><?xml version="1.0" encoding="utf-8" standalone="yes" ?>
<Relationships xmlns="http://schemas.openxmlformats.org/package/2006/relationships">
<Relationship Id="rId1" Type="http://schemas.openxmlformats.org/officeDocument/2006/relationships/printerSettings" Target="../printerSettings/printerSettings57.bin" />
<Relationship Id="rId29" Type="http://schemas.openxmlformats.org/officeDocument/2006/relationships/drawing" Target="../drawings/drawing58.xml" />
</Relationships>
</file>

<file path=xl/worksheets/_rels/sheet59.xml.rels><?xml version="1.0" encoding="utf-8" standalone="yes" ?>
<Relationships xmlns="http://schemas.openxmlformats.org/package/2006/relationships">
<Relationship Id="rId1" Type="http://schemas.openxmlformats.org/officeDocument/2006/relationships/printerSettings" Target="../printerSettings/printerSettings60.bin" />
<Relationship Id="rId33" Type="http://schemas.openxmlformats.org/officeDocument/2006/relationships/drawing" Target="../drawings/drawing61.xml" />
</Relationships>
</file>

<file path=xl/worksheets/_rels/sheet62.xml.rels><?xml version="1.0" encoding="utf-8" standalone="yes" ?>
<Relationships xmlns="http://schemas.openxmlformats.org/package/2006/relationships">
<Relationship Id="rId1" Type="http://schemas.openxmlformats.org/officeDocument/2006/relationships/printerSettings" Target="../printerSettings/printerSettings63.bin" />
<Relationship Id="rId37" Type="http://schemas.openxmlformats.org/officeDocument/2006/relationships/drawing" Target="../drawings/drawing64.xml" />
</Relationships>
</file>

<file path=xl/worksheets/_rels/sheet66.xml.rels><?xml version="1.0" encoding="utf-8" standalone="yes" ?>
<Relationships xmlns="http://schemas.openxmlformats.org/package/2006/relationships">
<Relationship Id="rId1" Type="http://schemas.openxmlformats.org/officeDocument/2006/relationships/printerSettings" Target="../printerSettings/printerSettings67.bin" />
<Relationship Id="rId70" Type="http://schemas.openxmlformats.org/officeDocument/2006/relationships/drawing" Target="../drawings/drawing68.xml" />
</Relationships>
</file>

<file path=xl/worksheets/_rels/sheet69.xml.rels><?xml version="1.0" encoding="utf-8" standalone="yes" ?>
<Relationships xmlns="http://schemas.openxmlformats.org/package/2006/relationships">
<Relationship Id="rId1" Type="http://schemas.openxmlformats.org/officeDocument/2006/relationships/printerSettings" Target="../printerSettings/printerSettings70.bin" />
<Relationship Id="rId41" Type="http://schemas.openxmlformats.org/officeDocument/2006/relationships/drawing" Target="../drawings/drawing71.xml" />
</Relationships>
</file>

<file path=xl/worksheets/_rels/sheet73.xml.rels><?xml version="1.0" encoding="utf-8" standalone="yes" ?>
<Relationships xmlns="http://schemas.openxmlformats.org/package/2006/relationships">
<Relationship Id="rId1" Type="http://schemas.openxmlformats.org/officeDocument/2006/relationships/printerSettings" Target="../printerSettings/printerSettings74.bin" />
<Relationship Id="rId77" Type="http://schemas.openxmlformats.org/officeDocument/2006/relationships/drawing" Target="../drawings/drawing75.xml" />
</Relationships>
</file>

<file path=xl/worksheets/_rels/sheet76.xml.rels><?xml version="1.0" encoding="utf-8" standalone="yes" ?>
<Relationships xmlns="http://schemas.openxmlformats.org/package/2006/relationships">
<Relationship Id="rId1" Type="http://schemas.openxmlformats.org/officeDocument/2006/relationships/printerSettings" Target="../printerSettings/printerSettings77.bin" />
<Relationship Id="rId45" Type="http://schemas.openxmlformats.org/officeDocument/2006/relationships/drawing" Target="../drawings/drawing78.xml" />
</Relationships>
</file>

<file path=xl/worksheets/_rels/sheet80.xml.rels><?xml version="1.0" encoding="utf-8" standalone="yes" ?>
<Relationships xmlns="http://schemas.openxmlformats.org/package/2006/relationships">
<Relationship Id="rId1" Type="http://schemas.openxmlformats.org/officeDocument/2006/relationships/printerSettings" Target="../printerSettings/printerSettings81.bin" />
<Relationship Id="rId84" Type="http://schemas.openxmlformats.org/officeDocument/2006/relationships/drawing" Target="../drawings/drawing82.xml" />
</Relationships>
</file>

<file path=xl/worksheets/_rels/sheet83.xml.rels><?xml version="1.0" encoding="utf-8" standalone="yes" ?>
<Relationships xmlns="http://schemas.openxmlformats.org/package/2006/relationships">
<Relationship Id="rId1" Type="http://schemas.openxmlformats.org/officeDocument/2006/relationships/printerSettings" Target="../printerSettings/printerSettings84.bin" />
<Relationship Id="rId49" Type="http://schemas.openxmlformats.org/officeDocument/2006/relationships/drawing" Target="../drawings/drawing85.xml" />
</Relationships>
</file>

<file path=xl/worksheets/_rels/sheet86.xml.rels><?xml version="1.0" encoding="utf-8" standalone="yes" ?>
<Relationships xmlns="http://schemas.openxmlformats.org/package/2006/relationships">
<Relationship Id="rId1" Type="http://schemas.openxmlformats.org/officeDocument/2006/relationships/printerSettings" Target="../printerSettings/printerSettings87.bin" />
<Relationship Id="rId53" Type="http://schemas.openxmlformats.org/officeDocument/2006/relationships/drawing" Target="../drawings/drawing88.xml" />
</Relationships>
</file>

<file path=xl/worksheets/_rels/sheet89.xml.rels><?xml version="1.0" encoding="utf-8" standalone="yes" ?>
<Relationships xmlns="http://schemas.openxmlformats.org/package/2006/relationships">
<Relationship Id="rId1" Type="http://schemas.openxmlformats.org/officeDocument/2006/relationships/printerSettings" Target="../printerSettings/printerSettings90.bin" />
<Relationship Id="rId57" Type="http://schemas.openxmlformats.org/officeDocument/2006/relationships/drawing" Target="../drawings/drawing91.xml"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1">
    <pageSetUpPr fitToPage="1"/>
  </sheetPr>
  <dimension ref="A1:Z117"/>
  <sheetViews>
    <sheetView showGridLines="0" tabSelected="1" zoomScaleNormal="100" workbookViewId="0"/>
  </sheetViews>
  <sheetFormatPr defaultRowHeight="12.75"/>
  <cols>
    <col min="1" max="1" width="13.28515625" customWidth="1"/>
    <col min="2" max="2" width="57.5703125" customWidth="1"/>
    <col min="3" max="3" width="5.42578125" style="176" customWidth="1"/>
    <col min="4" max="4" width="1.85546875" customWidth="1"/>
    <col min="5" max="5" width="57.5703125" customWidth="1"/>
    <col min="6" max="6" width="5.42578125" style="176" customWidth="1"/>
    <col min="7" max="7" width="15.5703125" customWidth="1"/>
    <col min="8" max="8" width="4.140625" customWidth="1"/>
    <col min="9" max="13" width="7.140625" customWidth="1"/>
    <col min="14" max="14" width="1.42578125" customWidth="1"/>
    <col min="15" max="15" width="13.140625" customWidth="1"/>
  </cols>
  <sheetData>
    <row r="1" ht="45.75" customHeight="1">
      <c r="A1" s="407"/>
      <c r="B1" s="407"/>
      <c r="C1" s="420"/>
      <c r="D1" s="407"/>
      <c r="E1" s="407"/>
      <c r="F1" s="420"/>
      <c r="G1" s="407"/>
      <c r="H1" s="408"/>
      <c r="I1" s="244"/>
      <c r="J1" s="244"/>
      <c r="K1" s="244"/>
      <c r="L1" s="244"/>
      <c r="M1" s="244"/>
      <c r="N1" s="244"/>
      <c r="O1" s="244"/>
      <c r="P1" s="244"/>
      <c r="Q1" s="244"/>
      <c r="R1" s="244"/>
      <c r="S1" s="244"/>
      <c r="T1" s="244"/>
      <c r="U1" s="244"/>
      <c r="V1" s="244"/>
      <c r="W1" s="244"/>
      <c r="X1" s="244"/>
      <c r="Y1" s="244"/>
      <c r="Z1" s="244"/>
    </row>
    <row r="2" ht="24.75" customHeight="1">
      <c r="A2" s="407"/>
      <c r="B2" s="428" t="s">
        <v>164</v>
      </c>
      <c r="C2" s="421"/>
      <c r="D2" s="409"/>
      <c r="E2" s="409"/>
      <c r="F2" s="421"/>
      <c r="G2" s="407"/>
      <c r="H2" s="410"/>
      <c r="I2" s="244"/>
      <c r="J2" s="244"/>
      <c r="K2" s="244"/>
      <c r="L2" s="244"/>
      <c r="M2" s="244"/>
      <c r="N2" s="244"/>
      <c r="O2" s="244"/>
      <c r="P2" s="244"/>
      <c r="Q2" s="244"/>
      <c r="R2" s="244"/>
      <c r="S2" s="244"/>
      <c r="T2" s="244"/>
      <c r="U2" s="244"/>
      <c r="V2" s="244"/>
      <c r="W2" s="244"/>
      <c r="X2" s="244"/>
      <c r="Y2" s="244"/>
      <c r="Z2" s="244"/>
    </row>
    <row r="3" ht="25.5" customHeight="1">
      <c r="A3" s="407"/>
      <c r="B3" s="429" t="s">
        <v>163</v>
      </c>
      <c r="C3" s="422"/>
      <c r="D3" s="411"/>
      <c r="E3" s="411"/>
      <c r="F3" s="422"/>
      <c r="G3" s="407"/>
      <c r="H3" s="410"/>
      <c r="I3" s="244"/>
      <c r="J3" s="244"/>
      <c r="K3" s="244"/>
      <c r="L3" s="244"/>
      <c r="M3" s="244"/>
      <c r="N3" s="244"/>
      <c r="O3" s="244"/>
      <c r="P3" s="244"/>
      <c r="Q3" s="244"/>
      <c r="R3" s="244"/>
      <c r="S3" s="244"/>
      <c r="T3" s="244"/>
      <c r="U3" s="244"/>
      <c r="V3" s="244"/>
      <c r="W3" s="244"/>
      <c r="X3" s="244"/>
      <c r="Y3" s="244"/>
      <c r="Z3" s="244"/>
    </row>
    <row r="4" ht="14.25" customHeight="1">
      <c r="A4" s="407"/>
      <c r="B4" s="600" t="s">
        <v>165</v>
      </c>
      <c r="C4" s="600"/>
      <c r="D4" s="600"/>
      <c r="E4" s="600"/>
      <c r="F4" s="423"/>
      <c r="G4" s="407"/>
      <c r="H4" s="410"/>
      <c r="I4" s="244"/>
      <c r="J4" s="244"/>
      <c r="K4" s="244"/>
      <c r="L4" s="244"/>
      <c r="M4" s="244"/>
      <c r="N4" s="244"/>
      <c r="O4" s="244"/>
      <c r="P4" s="244"/>
      <c r="Q4" s="244"/>
      <c r="R4" s="244"/>
      <c r="S4" s="244"/>
      <c r="T4" s="244"/>
      <c r="U4" s="244"/>
      <c r="V4" s="244"/>
      <c r="W4" s="244"/>
      <c r="X4" s="244"/>
      <c r="Y4" s="244"/>
      <c r="Z4" s="244"/>
    </row>
    <row r="5" ht="14.25" customHeight="1">
      <c r="A5" s="407"/>
      <c r="B5" s="600" t="s">
        <v>166</v>
      </c>
      <c r="C5" s="600"/>
      <c r="D5" s="600"/>
      <c r="E5" s="600"/>
      <c r="F5" s="423"/>
      <c r="G5" s="407"/>
      <c r="H5" s="410"/>
      <c r="I5" s="244"/>
      <c r="J5" s="244"/>
      <c r="K5" s="244"/>
      <c r="L5" s="244"/>
      <c r="M5" s="244"/>
      <c r="N5" s="244"/>
      <c r="O5" s="244"/>
      <c r="P5" s="244"/>
      <c r="Q5" s="244"/>
      <c r="R5" s="244"/>
      <c r="S5" s="244"/>
      <c r="T5" s="244"/>
      <c r="U5" s="244"/>
      <c r="V5" s="244"/>
      <c r="W5" s="244"/>
      <c r="X5" s="244"/>
      <c r="Y5" s="244"/>
      <c r="Z5" s="244"/>
    </row>
    <row r="6" ht="14.25" customHeight="1">
      <c r="A6" s="407"/>
      <c r="B6" s="412"/>
      <c r="C6" s="424"/>
      <c r="D6" s="412"/>
      <c r="E6" s="412"/>
      <c r="F6" s="424"/>
      <c r="G6" s="407"/>
      <c r="H6" s="410"/>
      <c r="I6" s="244"/>
      <c r="J6" s="244"/>
      <c r="K6" s="244"/>
      <c r="L6" s="244"/>
      <c r="M6" s="244"/>
      <c r="N6" s="244"/>
      <c r="O6" s="244"/>
      <c r="P6" s="244"/>
      <c r="Q6" s="244"/>
      <c r="R6" s="244"/>
      <c r="S6" s="244"/>
      <c r="T6" s="244"/>
      <c r="U6" s="244"/>
      <c r="V6" s="244"/>
      <c r="W6" s="244"/>
      <c r="X6" s="244"/>
      <c r="Y6" s="244"/>
      <c r="Z6" s="244"/>
    </row>
    <row r="7" ht="15.75" customHeight="1">
      <c r="A7" s="407"/>
      <c r="B7" s="430" t="s">
        <v>99</v>
      </c>
      <c r="C7" s="421">
        <v>1</v>
      </c>
      <c r="D7" s="430"/>
      <c r="E7" s="430" t="str">
        <f>HYPERLINK("#'Response'!A1", "Response Report")</f>
      </c>
      <c r="F7" s="421" t="str">
        <f>HYPERLINK("#'Response'!A1", "14")</f>
      </c>
      <c r="G7" s="407"/>
      <c r="H7" s="410"/>
      <c r="I7" s="244"/>
      <c r="J7" s="244"/>
      <c r="K7" s="244"/>
      <c r="L7" s="244"/>
      <c r="M7" s="244"/>
      <c r="N7" s="244"/>
      <c r="O7" s="244"/>
      <c r="P7" s="244"/>
      <c r="Q7" s="244"/>
      <c r="R7" s="244"/>
      <c r="S7" s="244"/>
      <c r="T7" s="244"/>
      <c r="U7" s="244"/>
      <c r="V7" s="244"/>
      <c r="W7" s="244"/>
      <c r="X7" s="244"/>
      <c r="Y7" s="244"/>
      <c r="Z7" s="244"/>
    </row>
    <row r="8" ht="15.75" customHeight="1">
      <c r="A8" s="407"/>
      <c r="B8" s="430" t="str">
        <f>HYPERLINK("#'SummaryComb'!A1", "Combined Summary")</f>
      </c>
      <c r="C8" s="421" t="str">
        <f>HYPERLINK("#'SummaryComb'!A1", "2")</f>
      </c>
      <c r="D8" s="430"/>
      <c r="E8" s="430" t="str">
        <f>HYPERLINK("#'Glance_2'!A1", "Weekly Performance at a Glance - 2nd Comp")</f>
      </c>
      <c r="F8" s="421" t="str">
        <f>HYPERLINK("#'Glance_2'!A1", "15")</f>
      </c>
      <c r="G8" s="407"/>
      <c r="H8" s="410"/>
      <c r="I8" s="244"/>
      <c r="J8" s="244"/>
      <c r="K8" s="244"/>
      <c r="L8" s="244"/>
      <c r="M8" s="244"/>
      <c r="N8" s="244"/>
      <c r="O8" s="244"/>
      <c r="P8" s="244"/>
      <c r="Q8" s="244"/>
      <c r="R8" s="244"/>
      <c r="S8" s="244"/>
      <c r="T8" s="244"/>
      <c r="U8" s="244"/>
      <c r="V8" s="244"/>
      <c r="W8" s="244"/>
      <c r="X8" s="244"/>
      <c r="Y8" s="244"/>
      <c r="Z8" s="244"/>
    </row>
    <row r="9" ht="15.75" customHeight="1">
      <c r="A9" s="407"/>
      <c r="B9" s="430" t="str">
        <f>HYPERLINK("#'SummaryComb 28Day'!A1", "28 Day Combined Summary")</f>
      </c>
      <c r="C9" s="421" t="str">
        <f>HYPERLINK("#'SummaryComb 28Day'!A1", "3")</f>
      </c>
      <c r="D9" s="430"/>
      <c r="E9" s="430" t="str">
        <f>HYPERLINK("#'Segmentation Glance_2'!A1", "Segmentation at a Glance - 2nd Comp")</f>
      </c>
      <c r="F9" s="421" t="str">
        <f>HYPERLINK("#'Segmentation Glance_2'!A1", "16")</f>
      </c>
      <c r="G9" s="407"/>
      <c r="H9" s="407"/>
      <c r="I9" s="244"/>
      <c r="J9" s="244"/>
      <c r="K9" s="244"/>
      <c r="L9" s="244"/>
      <c r="M9" s="244"/>
      <c r="N9" s="244"/>
      <c r="O9" s="244"/>
      <c r="P9" s="244"/>
      <c r="Q9" s="244"/>
      <c r="R9" s="244"/>
      <c r="S9" s="244"/>
      <c r="T9" s="244"/>
      <c r="U9" s="244"/>
      <c r="V9" s="244"/>
      <c r="W9" s="244"/>
      <c r="X9" s="244"/>
      <c r="Y9" s="244"/>
      <c r="Z9" s="244"/>
    </row>
    <row r="10" ht="15.75" customHeight="1">
      <c r="A10" s="407"/>
      <c r="B10" s="430" t="str">
        <f>HYPERLINK("#'Glance'!A1", "Weekly Performance at a Glance")</f>
      </c>
      <c r="C10" s="421" t="str">
        <f>HYPERLINK("#'Glance'!A1", "4")</f>
      </c>
      <c r="D10" s="430"/>
      <c r="E10" s="430" t="str">
        <f>HYPERLINK("#'Daily by Month_2'!A1", "Daily Data for the Month - 2nd Comp")</f>
      </c>
      <c r="F10" s="421" t="str">
        <f>HYPERLINK("#'Daily by Month_2'!A1", "17")</f>
      </c>
      <c r="G10" s="407"/>
      <c r="H10" s="407"/>
      <c r="I10" s="244"/>
      <c r="J10" s="244"/>
      <c r="K10" s="244"/>
      <c r="L10" s="244"/>
      <c r="M10" s="244"/>
      <c r="N10" s="244"/>
      <c r="O10" s="244"/>
      <c r="P10" s="244"/>
      <c r="Q10" s="244"/>
      <c r="R10" s="244"/>
      <c r="S10" s="244"/>
      <c r="T10" s="244"/>
      <c r="U10" s="244"/>
      <c r="V10" s="244"/>
      <c r="W10" s="244"/>
      <c r="X10" s="244"/>
      <c r="Y10" s="244"/>
      <c r="Z10" s="244"/>
    </row>
    <row r="11" ht="15.75" customHeight="1">
      <c r="A11" s="407"/>
      <c r="B11" s="430" t="str">
        <f>HYPERLINK("#'Segmentation Glance'!A1", "Segmentation at a Glance")</f>
      </c>
      <c r="C11" s="421" t="str">
        <f>HYPERLINK("#'Segmentation Glance'!A1", "5")</f>
      </c>
      <c r="D11" s="430"/>
      <c r="E11" s="430" t="str">
        <f>HYPERLINK("#'Occ_2'!A1", "Occupancy Perspectives - 2nd Comp")</f>
      </c>
      <c r="F11" s="421" t="str">
        <f>HYPERLINK("#'Occ_2'!A1", "18")</f>
      </c>
      <c r="G11" s="413"/>
      <c r="H11" s="413"/>
      <c r="I11" s="244"/>
      <c r="J11" s="244"/>
      <c r="K11" s="244"/>
      <c r="L11" s="244"/>
      <c r="M11" s="244"/>
      <c r="N11" s="244"/>
      <c r="O11" s="244"/>
      <c r="P11" s="244"/>
      <c r="Q11" s="244"/>
      <c r="R11" s="244"/>
      <c r="S11" s="244"/>
      <c r="T11" s="244"/>
      <c r="U11" s="244"/>
      <c r="V11" s="244"/>
      <c r="W11" s="244"/>
      <c r="X11" s="244"/>
      <c r="Y11" s="244"/>
      <c r="Z11" s="244"/>
    </row>
    <row r="12" ht="15.75" customHeight="1">
      <c r="A12" s="407"/>
      <c r="B12" s="430" t="str">
        <f>HYPERLINK("#'Daily by Month'!A1", "Daily Data for the Month")</f>
      </c>
      <c r="C12" s="421" t="str">
        <f>HYPERLINK("#'Daily by Month'!A1", "6")</f>
      </c>
      <c r="D12" s="430"/>
      <c r="E12" s="430" t="str">
        <f>HYPERLINK("#'Segmentation Occ_2'!A1", "Segmentation Occupancy Analysis - 2nd Comp")</f>
      </c>
      <c r="F12" s="421" t="str">
        <f>HYPERLINK("#'Segmentation Occ_2'!A1", "19")</f>
      </c>
      <c r="G12" s="413"/>
      <c r="H12" s="413"/>
      <c r="I12" s="244"/>
      <c r="J12" s="244"/>
      <c r="K12" s="244"/>
      <c r="L12" s="244"/>
      <c r="M12" s="244"/>
      <c r="N12" s="244"/>
      <c r="O12" s="244"/>
      <c r="P12" s="244"/>
      <c r="Q12" s="244"/>
      <c r="R12" s="244"/>
      <c r="S12" s="244"/>
      <c r="T12" s="244"/>
      <c r="U12" s="244"/>
      <c r="V12" s="244"/>
      <c r="W12" s="244"/>
      <c r="X12" s="244"/>
      <c r="Y12" s="244"/>
      <c r="Z12" s="244"/>
    </row>
    <row r="13" ht="15.75" customHeight="1">
      <c r="A13" s="407"/>
      <c r="B13" s="430" t="str">
        <f>HYPERLINK("#'Occ'!A1", "Occupancy Perspectives")</f>
      </c>
      <c r="C13" s="421" t="str">
        <f>HYPERLINK("#'Occ'!A1", "7")</f>
      </c>
      <c r="D13" s="430"/>
      <c r="E13" s="430" t="str">
        <f>HYPERLINK("#'ADR_2'!A1", "ADR Perspectives - 2nd Comp")</f>
      </c>
      <c r="F13" s="421" t="str">
        <f>HYPERLINK("#'ADR_2'!A1", "20")</f>
      </c>
      <c r="G13" s="407"/>
      <c r="H13" s="407"/>
      <c r="I13" s="244"/>
      <c r="J13" s="244"/>
      <c r="K13" s="244"/>
      <c r="L13" s="244"/>
      <c r="M13" s="244"/>
      <c r="N13" s="244"/>
      <c r="O13" s="244"/>
      <c r="P13" s="244"/>
      <c r="Q13" s="244"/>
      <c r="R13" s="244"/>
      <c r="S13" s="244"/>
      <c r="T13" s="244"/>
      <c r="U13" s="244"/>
      <c r="V13" s="244"/>
      <c r="W13" s="244"/>
      <c r="X13" s="244"/>
      <c r="Y13" s="244"/>
      <c r="Z13" s="244"/>
    </row>
    <row r="14" ht="15.75" customHeight="1">
      <c r="A14" s="407"/>
      <c r="B14" s="430" t="str">
        <f>HYPERLINK("#'Segmentation Occ'!A1", "Segmentation Occupancy Analysis")</f>
      </c>
      <c r="C14" s="421" t="str">
        <f>HYPERLINK("#'Segmentation Occ'!A1", "8")</f>
      </c>
      <c r="D14" s="430"/>
      <c r="E14" s="430" t="str">
        <f>HYPERLINK("#'Segmentation ADR_2'!A1", "Segmentation ADR Analysis - 2nd Comp")</f>
      </c>
      <c r="F14" s="421" t="str">
        <f>HYPERLINK("#'Segmentation ADR_2'!A1", "21")</f>
      </c>
      <c r="G14" s="407"/>
      <c r="H14" s="414"/>
      <c r="I14" s="244"/>
      <c r="J14" s="244"/>
      <c r="K14" s="244"/>
      <c r="L14" s="244"/>
      <c r="M14" s="244"/>
      <c r="N14" s="244"/>
      <c r="O14" s="244"/>
      <c r="P14" s="244"/>
      <c r="Q14" s="244"/>
      <c r="R14" s="244"/>
      <c r="S14" s="244"/>
      <c r="T14" s="244"/>
      <c r="U14" s="244"/>
      <c r="V14" s="244"/>
      <c r="W14" s="244"/>
      <c r="X14" s="244"/>
      <c r="Y14" s="244"/>
      <c r="Z14" s="244"/>
    </row>
    <row r="15" ht="15.75" customHeight="1">
      <c r="A15" s="407"/>
      <c r="B15" s="430" t="str">
        <f>HYPERLINK("#'ADR'!A1", "ADR Perspectives")</f>
      </c>
      <c r="C15" s="421" t="str">
        <f>HYPERLINK("#'ADR'!A1", "9")</f>
      </c>
      <c r="D15" s="430"/>
      <c r="E15" s="430" t="str">
        <f>HYPERLINK("#'RevPAR_2'!A1", "RevPAR Perspectives - 2nd Comp")</f>
      </c>
      <c r="F15" s="421" t="str">
        <f>HYPERLINK("#'RevPAR_2'!A1", "22")</f>
      </c>
      <c r="G15" s="407"/>
      <c r="H15" s="415"/>
      <c r="I15" s="244"/>
      <c r="J15" s="244"/>
      <c r="K15" s="244"/>
      <c r="L15" s="244"/>
      <c r="M15" s="244"/>
      <c r="N15" s="244"/>
      <c r="O15" s="244"/>
      <c r="P15" s="244"/>
      <c r="Q15" s="244"/>
      <c r="R15" s="244"/>
      <c r="S15" s="244"/>
      <c r="T15" s="244"/>
      <c r="U15" s="244"/>
      <c r="V15" s="244"/>
      <c r="W15" s="244"/>
      <c r="X15" s="244"/>
      <c r="Y15" s="244"/>
      <c r="Z15" s="244"/>
    </row>
    <row r="16" ht="15.75" customHeight="1">
      <c r="A16" s="407"/>
      <c r="B16" s="430" t="str">
        <f>HYPERLINK("#'Segmentation ADR'!A1", "Segmentation ADR Analysis")</f>
      </c>
      <c r="C16" s="421" t="str">
        <f>HYPERLINK("#'Segmentation ADR'!A1", "10")</f>
      </c>
      <c r="D16" s="430"/>
      <c r="E16" s="430" t="str">
        <f>HYPERLINK("#'Segmentation RevPAR_2'!A1", "Segmentation RevPAR Analysis - 2nd Comp")</f>
      </c>
      <c r="F16" s="421" t="str">
        <f>HYPERLINK("#'Segmentation RevPAR_2'!A1", "23")</f>
      </c>
      <c r="G16" s="407"/>
      <c r="H16" s="415"/>
      <c r="I16" s="244"/>
      <c r="J16" s="244"/>
      <c r="K16" s="244"/>
      <c r="L16" s="244"/>
      <c r="M16" s="244"/>
      <c r="N16" s="244"/>
      <c r="O16" s="244"/>
      <c r="P16" s="244"/>
      <c r="Q16" s="244"/>
      <c r="R16" s="244"/>
      <c r="S16" s="244"/>
      <c r="T16" s="244"/>
      <c r="U16" s="244"/>
      <c r="V16" s="244"/>
      <c r="W16" s="244"/>
      <c r="X16" s="244"/>
      <c r="Y16" s="244"/>
      <c r="Z16" s="244"/>
    </row>
    <row r="17" ht="15.75" customHeight="1">
      <c r="A17" s="407"/>
      <c r="B17" s="430" t="str">
        <f>HYPERLINK("#'RevPAR'!A1", "RevPAR Perspectives")</f>
      </c>
      <c r="C17" s="421" t="str">
        <f>HYPERLINK("#'RevPAR'!A1", "11")</f>
      </c>
      <c r="D17" s="430"/>
      <c r="E17" s="430" t="str">
        <f>HYPERLINK("#'Additional Revenue_2'!A1", "Additional Revenue - 2nd Comp")</f>
      </c>
      <c r="F17" s="421" t="str">
        <f>HYPERLINK("#'Additional Revenue_2'!A1", "24")</f>
      </c>
      <c r="G17" s="407"/>
      <c r="H17" s="415"/>
      <c r="I17" s="244"/>
      <c r="J17" s="244"/>
      <c r="K17" s="244"/>
      <c r="L17" s="244"/>
      <c r="M17" s="244"/>
      <c r="N17" s="244"/>
      <c r="O17" s="244"/>
      <c r="P17" s="244"/>
      <c r="Q17" s="244"/>
      <c r="R17" s="244"/>
      <c r="S17" s="244"/>
      <c r="T17" s="244"/>
      <c r="U17" s="244"/>
      <c r="V17" s="244"/>
      <c r="W17" s="244"/>
      <c r="X17" s="244"/>
      <c r="Y17" s="244"/>
      <c r="Z17" s="244"/>
    </row>
    <row r="18" ht="15.75" customHeight="1">
      <c r="A18" s="407"/>
      <c r="B18" s="430" t="str">
        <f>HYPERLINK("#'Segmentation RevPAR'!A1", "Segmentation RevPAR Analysis")</f>
      </c>
      <c r="C18" s="421" t="str">
        <f>HYPERLINK("#'Segmentation RevPAR'!A1", "12")</f>
      </c>
      <c r="D18" s="430"/>
      <c r="E18" s="430" t="str">
        <f>HYPERLINK("#'Response_2'!A1", "Response Report - 2nd Comp")</f>
      </c>
      <c r="F18" s="421" t="str">
        <f>HYPERLINK("#'Response_2'!A1", "25")</f>
      </c>
      <c r="G18" s="407"/>
      <c r="H18" s="415"/>
      <c r="I18" s="244"/>
      <c r="J18" s="244"/>
      <c r="K18" s="244"/>
      <c r="L18" s="244"/>
      <c r="M18" s="244"/>
      <c r="N18" s="244"/>
      <c r="O18" s="244"/>
      <c r="P18" s="244"/>
      <c r="Q18" s="244"/>
      <c r="R18" s="244"/>
      <c r="S18" s="244"/>
      <c r="T18" s="244"/>
      <c r="U18" s="244"/>
      <c r="V18" s="244"/>
      <c r="W18" s="244"/>
      <c r="X18" s="244"/>
      <c r="Y18" s="244"/>
      <c r="Z18" s="244"/>
    </row>
    <row r="19" ht="15.75" customHeight="1">
      <c r="A19" s="407"/>
      <c r="B19" s="430" t="str">
        <f>HYPERLINK("#'Additional Revenue'!A1", "Additional Revenue")</f>
      </c>
      <c r="C19" s="421" t="str">
        <f>HYPERLINK("#'Additional Revenue'!A1", "13")</f>
      </c>
      <c r="D19" s="430"/>
      <c r="E19" s="430" t="str">
        <f>HYPERLINK("#'Help'!A1", "Help")</f>
      </c>
      <c r="F19" s="421" t="str">
        <f>HYPERLINK("#'Help'!A1", "26")</f>
      </c>
      <c r="G19" s="407"/>
      <c r="H19" s="415"/>
      <c r="I19" s="244"/>
      <c r="J19" s="244"/>
      <c r="K19" s="244"/>
      <c r="L19" s="244"/>
      <c r="M19" s="244"/>
      <c r="N19" s="244"/>
      <c r="O19" s="244"/>
      <c r="P19" s="244"/>
      <c r="Q19" s="244"/>
      <c r="R19" s="244"/>
      <c r="S19" s="244"/>
      <c r="T19" s="244"/>
      <c r="U19" s="244"/>
      <c r="V19" s="244"/>
      <c r="W19" s="244"/>
      <c r="X19" s="244"/>
      <c r="Y19" s="244"/>
      <c r="Z19" s="244"/>
    </row>
    <row r="20" ht="15.75" customHeight="1">
      <c r="A20" s="407"/>
      <c r="B20" s="430"/>
      <c r="C20" s="421"/>
      <c r="D20" s="430"/>
      <c r="E20" s="430"/>
      <c r="F20" s="421"/>
      <c r="G20" s="407"/>
      <c r="H20" s="415"/>
      <c r="I20" s="244"/>
      <c r="J20" s="244"/>
      <c r="K20" s="244"/>
      <c r="L20" s="244"/>
      <c r="M20" s="244"/>
      <c r="N20" s="244"/>
      <c r="O20" s="244"/>
      <c r="P20" s="244"/>
      <c r="Q20" s="244"/>
      <c r="R20" s="244"/>
      <c r="S20" s="244"/>
      <c r="T20" s="244"/>
      <c r="U20" s="244"/>
      <c r="V20" s="244"/>
      <c r="W20" s="244"/>
      <c r="X20" s="244"/>
      <c r="Y20" s="244"/>
      <c r="Z20" s="244"/>
    </row>
    <row r="21" ht="15.75" customHeight="1">
      <c r="A21" s="407"/>
      <c r="B21" s="430"/>
      <c r="C21" s="421"/>
      <c r="D21" s="430"/>
      <c r="E21" s="430"/>
      <c r="F21" s="421"/>
      <c r="G21" s="407"/>
      <c r="H21" s="415"/>
      <c r="I21" s="244"/>
      <c r="J21" s="244"/>
      <c r="K21" s="244"/>
      <c r="L21" s="244"/>
      <c r="M21" s="244"/>
      <c r="N21" s="244"/>
      <c r="O21" s="244"/>
      <c r="P21" s="244"/>
      <c r="Q21" s="244"/>
      <c r="R21" s="244"/>
      <c r="S21" s="244"/>
      <c r="T21" s="244"/>
      <c r="U21" s="244"/>
      <c r="V21" s="244"/>
      <c r="W21" s="244"/>
      <c r="X21" s="244"/>
      <c r="Y21" s="244"/>
      <c r="Z21" s="244"/>
    </row>
    <row r="22" ht="15.75" customHeight="1">
      <c r="A22" s="416"/>
      <c r="B22" s="430"/>
      <c r="C22" s="421"/>
      <c r="D22" s="430"/>
      <c r="E22" s="430"/>
      <c r="F22" s="421"/>
      <c r="G22" s="407"/>
      <c r="H22" s="415"/>
      <c r="I22" s="244"/>
      <c r="J22" s="244"/>
      <c r="K22" s="244"/>
      <c r="L22" s="244"/>
      <c r="M22" s="244"/>
      <c r="N22" s="244"/>
      <c r="O22" s="244"/>
      <c r="P22" s="244"/>
      <c r="Q22" s="244"/>
      <c r="R22" s="244"/>
      <c r="S22" s="244"/>
      <c r="T22" s="244"/>
      <c r="U22" s="244"/>
      <c r="V22" s="244"/>
      <c r="W22" s="244"/>
      <c r="X22" s="244"/>
      <c r="Y22" s="244"/>
      <c r="Z22" s="244"/>
    </row>
    <row r="23" ht="15.75" customHeight="1">
      <c r="A23" s="416"/>
      <c r="B23" s="430"/>
      <c r="C23" s="421"/>
      <c r="D23" s="430"/>
      <c r="E23" s="430"/>
      <c r="F23" s="421"/>
      <c r="G23" s="407"/>
      <c r="H23" s="415"/>
      <c r="I23" s="244"/>
      <c r="J23" s="244"/>
      <c r="K23" s="244"/>
      <c r="L23" s="244"/>
      <c r="M23" s="244"/>
      <c r="N23" s="244"/>
      <c r="O23" s="244"/>
      <c r="P23" s="244"/>
      <c r="Q23" s="244"/>
      <c r="R23" s="244"/>
      <c r="S23" s="244"/>
      <c r="T23" s="244"/>
      <c r="U23" s="244"/>
      <c r="V23" s="244"/>
      <c r="W23" s="244"/>
      <c r="X23" s="244"/>
      <c r="Y23" s="244"/>
      <c r="Z23" s="244"/>
    </row>
    <row r="24" ht="15.75" customHeight="1">
      <c r="A24" s="407"/>
      <c r="B24" s="430"/>
      <c r="C24" s="421"/>
      <c r="D24" s="430"/>
      <c r="E24" s="430"/>
      <c r="F24" s="421"/>
      <c r="G24" s="407"/>
      <c r="H24" s="415"/>
      <c r="I24" s="244"/>
      <c r="J24" s="244"/>
      <c r="K24" s="244"/>
      <c r="L24" s="244"/>
      <c r="M24" s="244"/>
      <c r="N24" s="244"/>
      <c r="O24" s="244"/>
      <c r="P24" s="244"/>
      <c r="Q24" s="244"/>
      <c r="R24" s="244"/>
      <c r="S24" s="244"/>
      <c r="T24" s="244"/>
      <c r="U24" s="244"/>
      <c r="V24" s="244"/>
      <c r="W24" s="244"/>
      <c r="X24" s="244"/>
      <c r="Y24" s="244"/>
      <c r="Z24" s="244"/>
    </row>
    <row r="25" ht="15.75" customHeight="1">
      <c r="A25" s="407"/>
      <c r="B25" s="430"/>
      <c r="C25" s="421"/>
      <c r="D25" s="430"/>
      <c r="E25" s="430"/>
      <c r="F25" s="421"/>
      <c r="G25" s="407"/>
      <c r="H25" s="415"/>
      <c r="I25" s="244"/>
      <c r="J25" s="244"/>
      <c r="K25" s="244"/>
      <c r="L25" s="244"/>
      <c r="M25" s="244"/>
      <c r="N25" s="244"/>
      <c r="O25" s="244"/>
      <c r="P25" s="244"/>
      <c r="Q25" s="244"/>
      <c r="R25" s="244"/>
      <c r="S25" s="244"/>
      <c r="T25" s="244"/>
      <c r="U25" s="244"/>
      <c r="V25" s="244"/>
      <c r="W25" s="244"/>
      <c r="X25" s="244"/>
      <c r="Y25" s="244"/>
      <c r="Z25" s="244"/>
    </row>
    <row r="26" ht="15.75" customHeight="1">
      <c r="A26" s="407"/>
      <c r="B26" s="430"/>
      <c r="C26" s="421"/>
      <c r="D26" s="430"/>
      <c r="E26" s="430"/>
      <c r="F26" s="421"/>
      <c r="G26" s="407"/>
      <c r="H26" s="415"/>
      <c r="I26" s="244"/>
      <c r="J26" s="244"/>
      <c r="K26" s="244"/>
      <c r="L26" s="244"/>
      <c r="M26" s="244"/>
      <c r="N26" s="244"/>
      <c r="O26" s="244"/>
      <c r="P26" s="244"/>
      <c r="Q26" s="244"/>
      <c r="R26" s="244"/>
      <c r="S26" s="244"/>
      <c r="T26" s="244"/>
      <c r="U26" s="244"/>
      <c r="V26" s="244"/>
      <c r="W26" s="244"/>
      <c r="X26" s="244"/>
      <c r="Y26" s="244"/>
      <c r="Z26" s="244"/>
    </row>
    <row r="27" ht="15.75" customHeight="1">
      <c r="A27" s="407"/>
      <c r="B27" s="430"/>
      <c r="C27" s="421"/>
      <c r="D27" s="430"/>
      <c r="E27" s="430"/>
      <c r="F27" s="421"/>
      <c r="G27" s="407"/>
      <c r="H27" s="415"/>
      <c r="I27" s="244"/>
      <c r="J27" s="244"/>
      <c r="K27" s="244"/>
      <c r="L27" s="244"/>
      <c r="M27" s="244"/>
      <c r="N27" s="244"/>
      <c r="O27" s="244"/>
      <c r="P27" s="244"/>
      <c r="Q27" s="244"/>
      <c r="R27" s="244"/>
      <c r="S27" s="244"/>
      <c r="T27" s="244"/>
      <c r="U27" s="244"/>
      <c r="V27" s="244"/>
      <c r="W27" s="244"/>
      <c r="X27" s="244"/>
      <c r="Y27" s="244"/>
      <c r="Z27" s="244"/>
    </row>
    <row r="28" ht="15.75" customHeight="1">
      <c r="A28" s="407"/>
      <c r="B28" s="430"/>
      <c r="C28" s="421"/>
      <c r="D28" s="430"/>
      <c r="E28" s="430"/>
      <c r="F28" s="421"/>
      <c r="G28" s="407"/>
      <c r="H28" s="415"/>
      <c r="I28" s="244"/>
      <c r="J28" s="244"/>
      <c r="K28" s="244"/>
      <c r="L28" s="244"/>
      <c r="M28" s="244"/>
      <c r="N28" s="244"/>
      <c r="O28" s="244"/>
      <c r="P28" s="244"/>
      <c r="Q28" s="244"/>
      <c r="R28" s="244"/>
      <c r="S28" s="244"/>
      <c r="T28" s="244"/>
      <c r="U28" s="244"/>
      <c r="V28" s="244"/>
      <c r="W28" s="244"/>
      <c r="X28" s="244"/>
      <c r="Y28" s="244"/>
      <c r="Z28" s="244"/>
    </row>
    <row r="29" ht="15.75" customHeight="1">
      <c r="A29" s="407"/>
      <c r="B29" s="430"/>
      <c r="C29" s="421"/>
      <c r="D29" s="430"/>
      <c r="E29" s="430"/>
      <c r="F29" s="421"/>
      <c r="G29" s="407"/>
      <c r="H29" s="415"/>
      <c r="I29" s="244"/>
      <c r="J29" s="244"/>
      <c r="K29" s="244"/>
      <c r="L29" s="244"/>
      <c r="M29" s="244"/>
      <c r="N29" s="244"/>
      <c r="O29" s="244"/>
      <c r="P29" s="244"/>
      <c r="Q29" s="244"/>
      <c r="R29" s="244"/>
      <c r="S29" s="244"/>
      <c r="T29" s="244"/>
      <c r="U29" s="244"/>
      <c r="V29" s="244"/>
      <c r="W29" s="244"/>
      <c r="X29" s="244"/>
      <c r="Y29" s="244"/>
      <c r="Z29" s="244"/>
    </row>
    <row r="30" ht="15.75" customHeight="1">
      <c r="A30" s="407"/>
      <c r="B30" s="430"/>
      <c r="C30" s="421"/>
      <c r="D30" s="430"/>
      <c r="E30" s="430"/>
      <c r="F30" s="421"/>
      <c r="G30" s="407"/>
      <c r="H30" s="415"/>
      <c r="I30" s="244"/>
      <c r="J30" s="244"/>
      <c r="K30" s="244"/>
      <c r="L30" s="244"/>
      <c r="M30" s="244"/>
      <c r="N30" s="244"/>
      <c r="O30" s="244"/>
      <c r="P30" s="244"/>
      <c r="Q30" s="244"/>
      <c r="R30" s="244"/>
      <c r="S30" s="244"/>
      <c r="T30" s="244"/>
      <c r="U30" s="244"/>
      <c r="V30" s="244"/>
      <c r="W30" s="244"/>
      <c r="X30" s="244"/>
      <c r="Y30" s="244"/>
      <c r="Z30" s="244"/>
    </row>
    <row r="31" ht="15.75" customHeight="1">
      <c r="A31" s="407"/>
      <c r="B31" s="430"/>
      <c r="C31" s="421"/>
      <c r="D31" s="430"/>
      <c r="E31" s="430"/>
      <c r="F31" s="421"/>
      <c r="G31" s="407"/>
      <c r="H31" s="415"/>
      <c r="I31" s="244"/>
      <c r="J31" s="244"/>
      <c r="K31" s="244"/>
      <c r="L31" s="244"/>
      <c r="M31" s="244"/>
      <c r="N31" s="244"/>
      <c r="O31" s="244"/>
      <c r="P31" s="244"/>
      <c r="Q31" s="244"/>
      <c r="R31" s="244"/>
      <c r="S31" s="244"/>
      <c r="T31" s="244"/>
      <c r="U31" s="244"/>
      <c r="V31" s="244"/>
      <c r="W31" s="244"/>
      <c r="X31" s="244"/>
      <c r="Y31" s="244"/>
      <c r="Z31" s="244"/>
    </row>
    <row r="32" ht="15.75" customHeight="1">
      <c r="A32" s="407"/>
      <c r="B32" s="430"/>
      <c r="C32" s="421"/>
      <c r="D32" s="430"/>
      <c r="E32" s="430"/>
      <c r="F32" s="421"/>
      <c r="G32" s="407"/>
      <c r="H32" s="415"/>
      <c r="I32" s="244"/>
      <c r="J32" s="244"/>
      <c r="K32" s="244"/>
      <c r="L32" s="244"/>
      <c r="M32" s="244"/>
      <c r="N32" s="244"/>
      <c r="O32" s="244"/>
      <c r="P32" s="244"/>
      <c r="Q32" s="244"/>
      <c r="R32" s="244"/>
      <c r="S32" s="244"/>
      <c r="T32" s="244"/>
      <c r="U32" s="244"/>
      <c r="V32" s="244"/>
      <c r="W32" s="244"/>
      <c r="X32" s="244"/>
      <c r="Y32" s="244"/>
      <c r="Z32" s="244"/>
    </row>
    <row r="33" ht="15.75" customHeight="1">
      <c r="A33" s="407"/>
      <c r="B33" s="430"/>
      <c r="C33" s="421"/>
      <c r="D33" s="430"/>
      <c r="E33" s="430"/>
      <c r="F33" s="421"/>
      <c r="G33" s="407"/>
      <c r="H33" s="415"/>
      <c r="I33" s="244"/>
      <c r="J33" s="244"/>
      <c r="K33" s="244"/>
      <c r="L33" s="244"/>
      <c r="M33" s="244"/>
      <c r="N33" s="244"/>
      <c r="O33" s="244"/>
      <c r="P33" s="244"/>
      <c r="Q33" s="244"/>
      <c r="R33" s="244"/>
      <c r="S33" s="244"/>
      <c r="T33" s="244"/>
      <c r="U33" s="244"/>
      <c r="V33" s="244"/>
      <c r="W33" s="244"/>
      <c r="X33" s="244"/>
      <c r="Y33" s="244"/>
      <c r="Z33" s="244"/>
    </row>
    <row r="34" ht="15.75" customHeight="1">
      <c r="A34" s="407"/>
      <c r="B34" s="430"/>
      <c r="C34" s="421"/>
      <c r="D34" s="430"/>
      <c r="E34" s="430"/>
      <c r="F34" s="421"/>
      <c r="G34" s="407"/>
      <c r="H34" s="415"/>
      <c r="I34" s="244"/>
      <c r="J34" s="244"/>
      <c r="K34" s="244"/>
      <c r="L34" s="244"/>
      <c r="M34" s="244"/>
      <c r="N34" s="244"/>
      <c r="O34" s="244"/>
      <c r="P34" s="244"/>
      <c r="Q34" s="244"/>
      <c r="R34" s="244"/>
      <c r="S34" s="244"/>
      <c r="T34" s="244"/>
      <c r="U34" s="244"/>
      <c r="V34" s="244"/>
      <c r="W34" s="244"/>
      <c r="X34" s="244"/>
      <c r="Y34" s="244"/>
      <c r="Z34" s="244"/>
    </row>
    <row r="35" ht="15.75" customHeight="1">
      <c r="A35" s="407"/>
      <c r="B35" s="430"/>
      <c r="C35" s="421"/>
      <c r="D35" s="430"/>
      <c r="E35" s="430"/>
      <c r="F35" s="421"/>
      <c r="G35" s="407"/>
      <c r="H35" s="415"/>
      <c r="I35" s="244"/>
      <c r="J35" s="244"/>
      <c r="K35" s="244"/>
      <c r="L35" s="244"/>
      <c r="M35" s="244"/>
      <c r="N35" s="244"/>
      <c r="O35" s="244"/>
      <c r="P35" s="244"/>
      <c r="Q35" s="244"/>
      <c r="R35" s="244"/>
      <c r="S35" s="244"/>
      <c r="T35" s="244"/>
      <c r="U35" s="244"/>
      <c r="V35" s="244"/>
      <c r="W35" s="244"/>
      <c r="X35" s="244"/>
      <c r="Y35" s="244"/>
      <c r="Z35" s="244"/>
    </row>
    <row r="36" ht="15.75" customHeight="1">
      <c r="A36" s="407"/>
      <c r="B36" s="430"/>
      <c r="C36" s="421"/>
      <c r="D36" s="430"/>
      <c r="E36" s="430"/>
      <c r="F36" s="421"/>
      <c r="G36" s="407"/>
      <c r="H36" s="415"/>
      <c r="I36" s="244"/>
      <c r="J36" s="244"/>
      <c r="K36" s="244"/>
      <c r="L36" s="244"/>
      <c r="M36" s="244"/>
      <c r="N36" s="244"/>
      <c r="O36" s="244"/>
      <c r="P36" s="244"/>
      <c r="Q36" s="244"/>
      <c r="R36" s="244"/>
      <c r="S36" s="244"/>
      <c r="T36" s="244"/>
      <c r="U36" s="244"/>
      <c r="V36" s="244"/>
      <c r="W36" s="244"/>
      <c r="X36" s="244"/>
      <c r="Y36" s="244"/>
      <c r="Z36" s="244"/>
    </row>
    <row r="37" ht="15.75" customHeight="1">
      <c r="A37" s="407"/>
      <c r="B37" s="430"/>
      <c r="C37" s="421"/>
      <c r="D37" s="430"/>
      <c r="E37" s="430"/>
      <c r="F37" s="421"/>
      <c r="G37" s="407"/>
      <c r="H37" s="415"/>
      <c r="I37" s="244"/>
      <c r="J37" s="244"/>
      <c r="K37" s="244"/>
      <c r="L37" s="244"/>
      <c r="M37" s="244"/>
      <c r="N37" s="244"/>
      <c r="O37" s="244"/>
      <c r="P37" s="244"/>
      <c r="Q37" s="244"/>
      <c r="R37" s="244"/>
      <c r="S37" s="244"/>
      <c r="T37" s="244"/>
      <c r="U37" s="244"/>
      <c r="V37" s="244"/>
      <c r="W37" s="244"/>
      <c r="X37" s="244"/>
      <c r="Y37" s="244"/>
      <c r="Z37" s="244"/>
    </row>
    <row r="38" ht="15.75" customHeight="1">
      <c r="A38" s="407"/>
      <c r="B38" s="430"/>
      <c r="C38" s="421"/>
      <c r="D38" s="430"/>
      <c r="E38" s="430"/>
      <c r="F38" s="421"/>
      <c r="G38" s="407"/>
      <c r="H38" s="415"/>
      <c r="I38" s="244"/>
      <c r="J38" s="244"/>
      <c r="K38" s="244"/>
      <c r="L38" s="244"/>
      <c r="M38" s="244"/>
      <c r="N38" s="244"/>
      <c r="O38" s="244"/>
      <c r="P38" s="244"/>
      <c r="Q38" s="244"/>
      <c r="R38" s="244"/>
      <c r="S38" s="244"/>
      <c r="T38" s="244"/>
      <c r="U38" s="244"/>
      <c r="V38" s="244"/>
      <c r="W38" s="244"/>
      <c r="X38" s="244"/>
      <c r="Y38" s="244"/>
      <c r="Z38" s="244"/>
    </row>
    <row r="39" ht="15.75" customHeight="1">
      <c r="A39" s="407"/>
      <c r="B39" s="430"/>
      <c r="C39" s="421"/>
      <c r="D39" s="430"/>
      <c r="E39" s="430"/>
      <c r="F39" s="421"/>
      <c r="G39" s="407"/>
      <c r="H39" s="415"/>
      <c r="I39" s="244"/>
      <c r="J39" s="244"/>
      <c r="K39" s="244"/>
      <c r="L39" s="244"/>
      <c r="M39" s="244"/>
      <c r="N39" s="244"/>
      <c r="O39" s="244"/>
      <c r="P39" s="244"/>
      <c r="Q39" s="244"/>
      <c r="R39" s="244"/>
      <c r="S39" s="244"/>
      <c r="T39" s="244"/>
      <c r="U39" s="244"/>
      <c r="V39" s="244"/>
      <c r="W39" s="244"/>
      <c r="X39" s="244"/>
      <c r="Y39" s="244"/>
      <c r="Z39" s="244"/>
    </row>
    <row r="40" ht="15.75" customHeight="1">
      <c r="A40" s="407"/>
      <c r="B40" s="430"/>
      <c r="C40" s="421"/>
      <c r="D40" s="430"/>
      <c r="E40" s="430"/>
      <c r="F40" s="421"/>
      <c r="G40" s="407"/>
      <c r="H40" s="415"/>
      <c r="I40" s="244"/>
      <c r="J40" s="244"/>
      <c r="K40" s="244"/>
      <c r="L40" s="244"/>
      <c r="M40" s="244"/>
      <c r="N40" s="244"/>
      <c r="O40" s="244"/>
      <c r="P40" s="244"/>
      <c r="Q40" s="244"/>
      <c r="R40" s="244"/>
      <c r="S40" s="244"/>
      <c r="T40" s="244"/>
      <c r="U40" s="244"/>
      <c r="V40" s="244"/>
      <c r="W40" s="244"/>
      <c r="X40" s="244"/>
      <c r="Y40" s="244"/>
      <c r="Z40" s="244"/>
    </row>
    <row r="41" s="479" customFormat="1" ht="15.75" customHeight="1">
      <c r="A41" s="476"/>
      <c r="B41" s="430"/>
      <c r="C41" s="430"/>
      <c r="D41" s="430"/>
      <c r="E41" s="430"/>
      <c r="F41" s="431"/>
      <c r="G41" s="476"/>
      <c r="H41" s="477"/>
      <c r="I41" s="478"/>
      <c r="J41" s="478"/>
      <c r="K41" s="478"/>
      <c r="L41" s="478"/>
      <c r="M41" s="478"/>
      <c r="N41" s="478"/>
      <c r="O41" s="478"/>
      <c r="P41" s="478"/>
      <c r="Q41" s="478"/>
      <c r="R41" s="478"/>
      <c r="S41" s="478"/>
      <c r="T41" s="478"/>
      <c r="U41" s="478"/>
      <c r="V41" s="478"/>
      <c r="W41" s="478"/>
      <c r="X41" s="478"/>
      <c r="Y41" s="478"/>
      <c r="Z41" s="478"/>
    </row>
    <row r="42" s="100" customFormat="1" ht="10.5" customHeight="1">
      <c r="A42" s="480"/>
      <c r="B42" s="412" t="s">
        <v>106</v>
      </c>
      <c r="C42" s="424"/>
      <c r="D42" s="481"/>
      <c r="E42" s="412" t="s">
        <v>107</v>
      </c>
      <c r="F42" s="482"/>
      <c r="G42" s="480"/>
      <c r="H42" s="480"/>
      <c r="I42" s="483"/>
      <c r="J42" s="483"/>
      <c r="K42" s="483"/>
      <c r="L42" s="483"/>
      <c r="M42" s="483"/>
      <c r="N42" s="483"/>
      <c r="O42" s="483"/>
      <c r="P42" s="483"/>
      <c r="Q42" s="483"/>
      <c r="R42" s="483"/>
      <c r="S42" s="483"/>
      <c r="T42" s="483"/>
      <c r="U42" s="483"/>
      <c r="V42" s="483"/>
      <c r="W42" s="483"/>
      <c r="X42" s="483"/>
      <c r="Y42" s="483"/>
      <c r="Z42" s="483"/>
    </row>
    <row r="43" s="100" customFormat="1" ht="10.5" customHeight="1">
      <c r="A43" s="480"/>
      <c r="B43" s="412" t="s">
        <v>112</v>
      </c>
      <c r="C43" s="424"/>
      <c r="D43" s="481"/>
      <c r="E43" s="412" t="s">
        <v>108</v>
      </c>
      <c r="F43" s="482"/>
      <c r="G43" s="480"/>
      <c r="H43" s="480"/>
      <c r="I43" s="483"/>
      <c r="J43" s="483"/>
      <c r="K43" s="483"/>
      <c r="L43" s="483"/>
      <c r="M43" s="483"/>
      <c r="N43" s="483"/>
      <c r="O43" s="483"/>
      <c r="P43" s="483"/>
      <c r="Q43" s="483"/>
      <c r="R43" s="483"/>
      <c r="S43" s="483"/>
      <c r="T43" s="483"/>
      <c r="U43" s="483"/>
      <c r="V43" s="483"/>
      <c r="W43" s="483"/>
      <c r="X43" s="483"/>
      <c r="Y43" s="483"/>
      <c r="Z43" s="483"/>
    </row>
    <row r="44" s="100" customFormat="1" ht="10.5" customHeight="1">
      <c r="A44" s="480"/>
      <c r="B44" s="412" t="s">
        <v>100</v>
      </c>
      <c r="C44" s="424"/>
      <c r="D44" s="481"/>
      <c r="E44" s="412" t="s">
        <v>113</v>
      </c>
      <c r="F44" s="482"/>
      <c r="G44" s="480"/>
      <c r="H44" s="480"/>
      <c r="I44" s="483"/>
      <c r="J44" s="483"/>
      <c r="K44" s="483"/>
      <c r="L44" s="483"/>
      <c r="M44" s="483"/>
      <c r="N44" s="483"/>
      <c r="O44" s="483"/>
      <c r="P44" s="483"/>
      <c r="Q44" s="483"/>
      <c r="R44" s="483"/>
      <c r="S44" s="483"/>
      <c r="T44" s="483"/>
      <c r="U44" s="483"/>
      <c r="V44" s="483"/>
      <c r="W44" s="483"/>
      <c r="X44" s="483"/>
      <c r="Y44" s="483"/>
      <c r="Z44" s="483"/>
    </row>
    <row r="45" s="100" customFormat="1" ht="15.75" customHeight="1">
      <c r="A45" s="480"/>
      <c r="B45" s="412"/>
      <c r="C45" s="424"/>
      <c r="D45" s="481"/>
      <c r="E45" s="412"/>
      <c r="F45" s="482"/>
      <c r="G45" s="480"/>
      <c r="H45" s="480"/>
      <c r="I45" s="483"/>
      <c r="J45" s="483"/>
      <c r="K45" s="483"/>
      <c r="L45" s="483"/>
      <c r="M45" s="483"/>
      <c r="N45" s="483"/>
      <c r="O45" s="483"/>
      <c r="P45" s="483"/>
      <c r="Q45" s="483"/>
      <c r="R45" s="483"/>
      <c r="S45" s="483"/>
      <c r="T45" s="483"/>
      <c r="U45" s="483"/>
      <c r="V45" s="483"/>
      <c r="W45" s="483"/>
      <c r="X45" s="483"/>
      <c r="Y45" s="483"/>
      <c r="Z45" s="483"/>
    </row>
    <row r="46" s="96" customFormat="1" ht="23.1" customHeight="1">
      <c r="A46" s="484"/>
      <c r="B46" s="601" t="s">
        <v>114</v>
      </c>
      <c r="C46" s="601"/>
      <c r="D46" s="601"/>
      <c r="E46" s="601"/>
      <c r="F46" s="601"/>
      <c r="G46" s="487"/>
      <c r="H46" s="487"/>
      <c r="I46" s="486"/>
      <c r="J46" s="486"/>
      <c r="K46" s="486"/>
      <c r="L46" s="486"/>
      <c r="M46" s="486"/>
      <c r="N46" s="486"/>
      <c r="O46" s="486"/>
      <c r="P46" s="486"/>
      <c r="Q46" s="486"/>
      <c r="R46" s="486"/>
      <c r="S46" s="486"/>
      <c r="T46" s="486"/>
      <c r="U46" s="486"/>
      <c r="V46" s="486"/>
      <c r="W46" s="486"/>
      <c r="X46" s="486"/>
      <c r="Y46" s="486"/>
      <c r="Z46" s="486"/>
    </row>
    <row r="47" s="96" customFormat="1" ht="23.1" customHeight="1">
      <c r="A47" s="484"/>
      <c r="B47" s="601"/>
      <c r="C47" s="601"/>
      <c r="D47" s="601"/>
      <c r="E47" s="601"/>
      <c r="F47" s="601"/>
      <c r="G47" s="487"/>
      <c r="H47" s="487"/>
      <c r="I47" s="486"/>
      <c r="J47" s="486"/>
      <c r="K47" s="486"/>
      <c r="L47" s="486"/>
      <c r="M47" s="486"/>
      <c r="N47" s="486"/>
      <c r="O47" s="486"/>
      <c r="P47" s="486"/>
      <c r="Q47" s="486"/>
      <c r="R47" s="486"/>
      <c r="S47" s="486"/>
      <c r="T47" s="486"/>
      <c r="U47" s="486"/>
      <c r="V47" s="486"/>
      <c r="W47" s="486"/>
      <c r="X47" s="486"/>
      <c r="Y47" s="486"/>
      <c r="Z47" s="486"/>
    </row>
    <row r="48" s="96" customFormat="1" ht="15.75" customHeight="1">
      <c r="A48" s="484"/>
      <c r="B48" s="488"/>
      <c r="C48" s="488"/>
      <c r="D48" s="488"/>
      <c r="E48" s="488"/>
      <c r="F48" s="485"/>
      <c r="G48" s="484"/>
      <c r="H48" s="484"/>
      <c r="I48" s="486"/>
      <c r="J48" s="486"/>
      <c r="K48" s="486"/>
      <c r="L48" s="486"/>
      <c r="M48" s="486"/>
      <c r="N48" s="486"/>
      <c r="O48" s="486"/>
      <c r="P48" s="486"/>
      <c r="Q48" s="486"/>
      <c r="R48" s="486"/>
      <c r="S48" s="486"/>
      <c r="T48" s="486"/>
      <c r="U48" s="486"/>
      <c r="V48" s="486"/>
      <c r="W48" s="486"/>
      <c r="X48" s="486"/>
      <c r="Y48" s="486"/>
      <c r="Z48" s="486"/>
    </row>
    <row r="49" ht="15.75" customHeight="1">
      <c r="A49" s="244"/>
      <c r="B49" s="244"/>
      <c r="C49" s="425"/>
      <c r="D49" s="244"/>
      <c r="E49" s="244"/>
      <c r="F49" s="425"/>
      <c r="G49" s="244"/>
      <c r="H49" s="244"/>
      <c r="I49" s="244"/>
      <c r="J49" s="244"/>
      <c r="K49" s="244"/>
      <c r="L49" s="244"/>
      <c r="M49" s="244"/>
      <c r="N49" s="244"/>
      <c r="O49" s="244"/>
      <c r="P49" s="244"/>
      <c r="Q49" s="244"/>
      <c r="R49" s="244"/>
      <c r="S49" s="244"/>
      <c r="T49" s="244"/>
      <c r="U49" s="244"/>
      <c r="V49" s="244"/>
      <c r="W49" s="244"/>
      <c r="X49" s="244"/>
      <c r="Y49" s="244"/>
      <c r="Z49" s="244"/>
    </row>
    <row r="50" ht="15.75" customHeight="1">
      <c r="A50" s="244"/>
      <c r="B50" s="244"/>
      <c r="C50" s="425"/>
      <c r="D50" s="244"/>
      <c r="E50" s="244"/>
      <c r="F50" s="425"/>
      <c r="G50" s="244"/>
      <c r="H50" s="244"/>
      <c r="I50" s="244"/>
      <c r="J50" s="244"/>
      <c r="K50" s="244"/>
      <c r="L50" s="244"/>
      <c r="M50" s="244"/>
      <c r="N50" s="244"/>
      <c r="O50" s="244"/>
      <c r="P50" s="244"/>
      <c r="Q50" s="244"/>
      <c r="R50" s="244"/>
      <c r="S50" s="244"/>
      <c r="T50" s="244"/>
      <c r="U50" s="244"/>
      <c r="V50" s="244"/>
      <c r="W50" s="244"/>
      <c r="X50" s="244"/>
      <c r="Y50" s="244"/>
      <c r="Z50" s="244"/>
    </row>
    <row r="51" ht="15.75" customHeight="1">
      <c r="A51" s="244"/>
      <c r="B51" s="244"/>
      <c r="C51" s="425"/>
      <c r="D51" s="244"/>
      <c r="E51" s="244"/>
      <c r="F51" s="425"/>
      <c r="G51" s="244"/>
      <c r="H51" s="244"/>
      <c r="I51" s="244"/>
      <c r="J51" s="244"/>
      <c r="K51" s="244"/>
      <c r="L51" s="244"/>
      <c r="M51" s="244"/>
      <c r="N51" s="244"/>
      <c r="O51" s="244"/>
      <c r="P51" s="244"/>
      <c r="Q51" s="244"/>
      <c r="R51" s="244"/>
      <c r="S51" s="244"/>
      <c r="T51" s="244"/>
      <c r="U51" s="244"/>
      <c r="V51" s="244"/>
      <c r="W51" s="244"/>
      <c r="X51" s="244"/>
      <c r="Y51" s="244"/>
      <c r="Z51" s="244"/>
    </row>
    <row r="52" ht="15.75" customHeight="1">
      <c r="A52" s="244"/>
      <c r="B52" s="244"/>
      <c r="C52" s="425"/>
      <c r="D52" s="244"/>
      <c r="E52" s="244"/>
      <c r="F52" s="425"/>
      <c r="G52" s="244"/>
      <c r="H52" s="244"/>
      <c r="I52" s="244"/>
      <c r="J52" s="244"/>
      <c r="K52" s="244"/>
      <c r="L52" s="244"/>
      <c r="M52" s="244"/>
      <c r="N52" s="244"/>
      <c r="O52" s="244"/>
      <c r="P52" s="244"/>
      <c r="Q52" s="244"/>
      <c r="R52" s="244"/>
      <c r="S52" s="244"/>
      <c r="T52" s="244"/>
      <c r="U52" s="244"/>
      <c r="V52" s="244"/>
      <c r="W52" s="244"/>
      <c r="X52" s="244"/>
      <c r="Y52" s="244"/>
      <c r="Z52" s="244"/>
    </row>
    <row r="53" ht="15.75" customHeight="1">
      <c r="A53" s="244"/>
      <c r="B53" s="244"/>
      <c r="C53" s="425"/>
      <c r="D53" s="244"/>
      <c r="E53" s="244"/>
      <c r="F53" s="425"/>
      <c r="G53" s="244"/>
      <c r="H53" s="244"/>
      <c r="I53" s="244"/>
      <c r="J53" s="244"/>
      <c r="K53" s="244"/>
      <c r="L53" s="244"/>
      <c r="M53" s="244"/>
      <c r="N53" s="244"/>
      <c r="O53" s="244"/>
      <c r="P53" s="244"/>
      <c r="Q53" s="244"/>
      <c r="R53" s="244"/>
      <c r="S53" s="244"/>
      <c r="T53" s="244"/>
      <c r="U53" s="244"/>
      <c r="V53" s="244"/>
      <c r="W53" s="244"/>
      <c r="X53" s="244"/>
      <c r="Y53" s="244"/>
      <c r="Z53" s="244"/>
    </row>
    <row r="54" ht="15.75" customHeight="1">
      <c r="A54" s="244"/>
      <c r="B54" s="244"/>
      <c r="C54" s="425"/>
      <c r="D54" s="244"/>
      <c r="E54" s="244"/>
      <c r="F54" s="425"/>
      <c r="G54" s="244"/>
      <c r="H54" s="244"/>
      <c r="I54" s="244"/>
      <c r="J54" s="244"/>
      <c r="K54" s="244"/>
      <c r="L54" s="244"/>
      <c r="M54" s="244"/>
      <c r="N54" s="244"/>
      <c r="O54" s="244"/>
      <c r="P54" s="244"/>
      <c r="Q54" s="244"/>
      <c r="R54" s="244"/>
      <c r="S54" s="244"/>
      <c r="T54" s="244"/>
      <c r="U54" s="244"/>
      <c r="V54" s="244"/>
      <c r="W54" s="244"/>
      <c r="X54" s="244"/>
      <c r="Y54" s="244"/>
      <c r="Z54" s="244"/>
    </row>
    <row r="55" ht="15.75" customHeight="1">
      <c r="A55" s="244"/>
      <c r="B55" s="244"/>
      <c r="C55" s="425"/>
      <c r="D55" s="244"/>
      <c r="E55" s="244"/>
      <c r="F55" s="425"/>
      <c r="G55" s="244"/>
      <c r="H55" s="244"/>
      <c r="I55" s="244"/>
      <c r="J55" s="244"/>
      <c r="K55" s="244"/>
      <c r="L55" s="244"/>
      <c r="M55" s="244"/>
      <c r="N55" s="244"/>
      <c r="O55" s="244"/>
      <c r="P55" s="244"/>
      <c r="Q55" s="244"/>
      <c r="R55" s="244"/>
      <c r="S55" s="244"/>
      <c r="T55" s="244"/>
      <c r="U55" s="244"/>
      <c r="V55" s="244"/>
      <c r="W55" s="244"/>
      <c r="X55" s="244"/>
      <c r="Y55" s="244"/>
      <c r="Z55" s="244"/>
    </row>
    <row r="56" ht="15.75" customHeight="1">
      <c r="A56" s="244"/>
      <c r="B56" s="244"/>
      <c r="C56" s="425"/>
      <c r="D56" s="244"/>
      <c r="E56" s="244"/>
      <c r="F56" s="425"/>
      <c r="G56" s="244"/>
      <c r="H56" s="244"/>
      <c r="I56" s="244"/>
      <c r="J56" s="244"/>
      <c r="K56" s="244"/>
      <c r="L56" s="244"/>
      <c r="M56" s="244"/>
      <c r="N56" s="244"/>
      <c r="O56" s="244"/>
      <c r="P56" s="244"/>
      <c r="Q56" s="244"/>
      <c r="R56" s="244"/>
      <c r="S56" s="244"/>
      <c r="T56" s="244"/>
      <c r="U56" s="244"/>
      <c r="V56" s="244"/>
      <c r="W56" s="244"/>
      <c r="X56" s="244"/>
      <c r="Y56" s="244"/>
      <c r="Z56" s="244"/>
    </row>
    <row r="57" ht="15.75" customHeight="1">
      <c r="A57" s="244"/>
      <c r="B57" s="244"/>
      <c r="C57" s="425"/>
      <c r="D57" s="244"/>
      <c r="E57" s="244"/>
      <c r="F57" s="425"/>
      <c r="G57" s="244"/>
      <c r="H57" s="244"/>
      <c r="I57" s="244"/>
      <c r="J57" s="244"/>
      <c r="K57" s="244"/>
      <c r="L57" s="244"/>
      <c r="M57" s="244"/>
      <c r="N57" s="244"/>
      <c r="O57" s="244"/>
      <c r="P57" s="244"/>
      <c r="Q57" s="244"/>
      <c r="R57" s="244"/>
      <c r="S57" s="244"/>
      <c r="T57" s="244"/>
      <c r="U57" s="244"/>
      <c r="V57" s="244"/>
      <c r="W57" s="244"/>
      <c r="X57" s="244"/>
      <c r="Y57" s="244"/>
      <c r="Z57" s="244"/>
    </row>
    <row r="58" ht="15.75" customHeight="1">
      <c r="A58" s="244"/>
      <c r="B58" s="244"/>
      <c r="C58" s="425"/>
      <c r="D58" s="244"/>
      <c r="E58" s="244"/>
      <c r="F58" s="425"/>
      <c r="G58" s="244"/>
      <c r="H58" s="244"/>
      <c r="I58" s="244"/>
      <c r="J58" s="244"/>
      <c r="K58" s="244"/>
      <c r="L58" s="244"/>
      <c r="M58" s="244"/>
      <c r="N58" s="244"/>
      <c r="O58" s="244"/>
      <c r="P58" s="244"/>
      <c r="Q58" s="244"/>
      <c r="R58" s="244"/>
      <c r="S58" s="244"/>
      <c r="T58" s="244"/>
      <c r="U58" s="244"/>
      <c r="V58" s="244"/>
      <c r="W58" s="244"/>
      <c r="X58" s="244"/>
      <c r="Y58" s="244"/>
      <c r="Z58" s="244"/>
    </row>
    <row r="59" ht="15.75" customHeight="1">
      <c r="A59" s="244"/>
      <c r="B59" s="244"/>
      <c r="C59" s="425"/>
      <c r="D59" s="244"/>
      <c r="E59" s="244"/>
      <c r="F59" s="425"/>
      <c r="G59" s="244"/>
      <c r="H59" s="244"/>
      <c r="I59" s="244"/>
      <c r="J59" s="244"/>
      <c r="K59" s="244"/>
      <c r="L59" s="244"/>
      <c r="M59" s="244"/>
      <c r="N59" s="244"/>
      <c r="O59" s="244"/>
      <c r="P59" s="244"/>
      <c r="Q59" s="244"/>
      <c r="R59" s="244"/>
      <c r="S59" s="244"/>
      <c r="T59" s="244"/>
      <c r="U59" s="244"/>
      <c r="V59" s="244"/>
      <c r="W59" s="244"/>
      <c r="X59" s="244"/>
      <c r="Y59" s="244"/>
      <c r="Z59" s="244"/>
    </row>
    <row r="60" ht="15.75" customHeight="1">
      <c r="A60" s="244"/>
      <c r="B60" s="244"/>
      <c r="C60" s="425"/>
      <c r="D60" s="244"/>
      <c r="E60" s="244"/>
      <c r="F60" s="425"/>
      <c r="G60" s="244"/>
      <c r="H60" s="244"/>
      <c r="I60" s="244"/>
      <c r="J60" s="244"/>
      <c r="K60" s="244"/>
      <c r="L60" s="244"/>
      <c r="M60" s="244"/>
      <c r="N60" s="244"/>
      <c r="O60" s="244"/>
      <c r="P60" s="244"/>
      <c r="Q60" s="244"/>
      <c r="R60" s="244"/>
      <c r="S60" s="244"/>
      <c r="T60" s="244"/>
      <c r="U60" s="244"/>
      <c r="V60" s="244"/>
      <c r="W60" s="244"/>
      <c r="X60" s="244"/>
      <c r="Y60" s="244"/>
      <c r="Z60" s="244"/>
    </row>
    <row r="61" ht="15.75" customHeight="1">
      <c r="A61" s="244"/>
      <c r="B61" s="244"/>
      <c r="C61" s="425"/>
      <c r="D61" s="244"/>
      <c r="E61" s="244"/>
      <c r="F61" s="425"/>
      <c r="G61" s="244"/>
      <c r="H61" s="244"/>
      <c r="I61" s="244"/>
      <c r="J61" s="244"/>
      <c r="K61" s="244"/>
      <c r="L61" s="244"/>
      <c r="M61" s="244"/>
      <c r="N61" s="244"/>
      <c r="O61" s="244"/>
      <c r="P61" s="244"/>
      <c r="Q61" s="244"/>
      <c r="R61" s="244"/>
      <c r="S61" s="244"/>
      <c r="T61" s="244"/>
      <c r="U61" s="244"/>
      <c r="V61" s="244"/>
      <c r="W61" s="244"/>
      <c r="X61" s="244"/>
      <c r="Y61" s="244"/>
      <c r="Z61" s="244"/>
    </row>
    <row r="62" ht="15.75" customHeight="1">
      <c r="A62" s="244"/>
      <c r="B62" s="244"/>
      <c r="C62" s="425"/>
      <c r="D62" s="244"/>
      <c r="E62" s="244"/>
      <c r="F62" s="425"/>
      <c r="G62" s="244"/>
      <c r="H62" s="244"/>
      <c r="I62" s="244"/>
      <c r="J62" s="244"/>
      <c r="K62" s="244"/>
      <c r="L62" s="244"/>
      <c r="M62" s="244"/>
      <c r="N62" s="244"/>
      <c r="O62" s="244"/>
      <c r="P62" s="244"/>
      <c r="Q62" s="244"/>
      <c r="R62" s="244"/>
      <c r="S62" s="244"/>
      <c r="T62" s="244"/>
      <c r="U62" s="244"/>
      <c r="V62" s="244"/>
      <c r="W62" s="244"/>
      <c r="X62" s="244"/>
      <c r="Y62" s="244"/>
      <c r="Z62" s="244"/>
    </row>
    <row r="63" ht="15.75" customHeight="1">
      <c r="A63" s="244"/>
      <c r="B63" s="244"/>
      <c r="C63" s="425"/>
      <c r="D63" s="244"/>
      <c r="E63" s="244"/>
      <c r="F63" s="425"/>
      <c r="G63" s="244"/>
      <c r="H63" s="244"/>
      <c r="I63" s="244"/>
      <c r="J63" s="244"/>
      <c r="K63" s="244"/>
      <c r="L63" s="244"/>
      <c r="M63" s="244"/>
      <c r="N63" s="244"/>
      <c r="O63" s="244"/>
      <c r="P63" s="244"/>
      <c r="Q63" s="244"/>
      <c r="R63" s="244"/>
      <c r="S63" s="244"/>
      <c r="T63" s="244"/>
      <c r="U63" s="244"/>
      <c r="V63" s="244"/>
      <c r="W63" s="244"/>
      <c r="X63" s="244"/>
      <c r="Y63" s="244"/>
      <c r="Z63" s="244"/>
    </row>
    <row r="64" ht="15.75" customHeight="1">
      <c r="A64" s="244"/>
      <c r="B64" s="244"/>
      <c r="C64" s="425"/>
      <c r="D64" s="244"/>
      <c r="E64" s="244"/>
      <c r="F64" s="425"/>
      <c r="G64" s="244"/>
      <c r="H64" s="244"/>
      <c r="I64" s="244"/>
      <c r="J64" s="244"/>
      <c r="K64" s="244"/>
      <c r="L64" s="244"/>
      <c r="M64" s="244"/>
      <c r="N64" s="244"/>
      <c r="O64" s="244"/>
      <c r="P64" s="244"/>
      <c r="Q64" s="244"/>
      <c r="R64" s="244"/>
      <c r="S64" s="244"/>
      <c r="T64" s="244"/>
      <c r="U64" s="244"/>
      <c r="V64" s="244"/>
      <c r="W64" s="244"/>
      <c r="X64" s="244"/>
      <c r="Y64" s="244"/>
      <c r="Z64" s="244"/>
    </row>
    <row r="65" ht="15.75" customHeight="1">
      <c r="A65" s="244"/>
      <c r="B65" s="244"/>
      <c r="C65" s="425"/>
      <c r="D65" s="244"/>
      <c r="E65" s="244"/>
      <c r="F65" s="425"/>
      <c r="G65" s="244"/>
      <c r="H65" s="244"/>
      <c r="I65" s="244"/>
      <c r="J65" s="244"/>
      <c r="K65" s="244"/>
      <c r="L65" s="244"/>
      <c r="M65" s="244"/>
      <c r="N65" s="244"/>
      <c r="O65" s="244"/>
      <c r="P65" s="244"/>
      <c r="Q65" s="244"/>
      <c r="R65" s="244"/>
      <c r="S65" s="244"/>
      <c r="T65" s="244"/>
      <c r="U65" s="244"/>
      <c r="V65" s="244"/>
      <c r="W65" s="244"/>
      <c r="X65" s="244"/>
      <c r="Y65" s="244"/>
      <c r="Z65" s="244"/>
    </row>
    <row r="66" ht="15.75" customHeight="1">
      <c r="A66" s="244"/>
      <c r="B66" s="244"/>
      <c r="C66" s="425"/>
      <c r="D66" s="244"/>
      <c r="E66" s="244"/>
      <c r="F66" s="425"/>
      <c r="G66" s="244"/>
      <c r="H66" s="244"/>
      <c r="I66" s="244"/>
      <c r="J66" s="244"/>
      <c r="K66" s="244"/>
      <c r="L66" s="244"/>
      <c r="M66" s="244"/>
      <c r="N66" s="244"/>
      <c r="O66" s="244"/>
      <c r="P66" s="244"/>
      <c r="Q66" s="244"/>
      <c r="R66" s="244"/>
      <c r="S66" s="244"/>
      <c r="T66" s="244"/>
      <c r="U66" s="244"/>
      <c r="V66" s="244"/>
      <c r="W66" s="244"/>
      <c r="X66" s="244"/>
      <c r="Y66" s="244"/>
      <c r="Z66" s="244"/>
    </row>
    <row r="67" ht="15.75" customHeight="1">
      <c r="A67" s="244"/>
      <c r="B67" s="244"/>
      <c r="C67" s="425"/>
      <c r="D67" s="244"/>
      <c r="E67" s="244"/>
      <c r="F67" s="425"/>
      <c r="G67" s="244"/>
      <c r="H67" s="244"/>
      <c r="I67" s="244"/>
      <c r="J67" s="244"/>
      <c r="K67" s="244"/>
      <c r="L67" s="244"/>
      <c r="M67" s="244"/>
      <c r="N67" s="244"/>
      <c r="O67" s="244"/>
      <c r="P67" s="244"/>
      <c r="Q67" s="244"/>
      <c r="R67" s="244"/>
      <c r="S67" s="244"/>
      <c r="T67" s="244"/>
      <c r="U67" s="244"/>
      <c r="V67" s="244"/>
      <c r="W67" s="244"/>
      <c r="X67" s="244"/>
      <c r="Y67" s="244"/>
      <c r="Z67" s="244"/>
    </row>
    <row r="68" ht="15.75" customHeight="1">
      <c r="A68" s="244"/>
      <c r="B68" s="244"/>
      <c r="C68" s="425"/>
      <c r="D68" s="244"/>
      <c r="E68" s="244"/>
      <c r="F68" s="425"/>
      <c r="G68" s="244"/>
      <c r="H68" s="244"/>
      <c r="I68" s="244"/>
      <c r="J68" s="244"/>
      <c r="K68" s="244"/>
      <c r="L68" s="244"/>
      <c r="M68" s="244"/>
      <c r="N68" s="244"/>
      <c r="O68" s="244"/>
      <c r="P68" s="244"/>
      <c r="Q68" s="244"/>
      <c r="R68" s="244"/>
      <c r="S68" s="244"/>
      <c r="T68" s="244"/>
      <c r="U68" s="244"/>
      <c r="V68" s="244"/>
      <c r="W68" s="244"/>
      <c r="X68" s="244"/>
      <c r="Y68" s="244"/>
      <c r="Z68" s="244"/>
    </row>
    <row r="69" ht="15.75" customHeight="1">
      <c r="A69" s="244"/>
      <c r="B69" s="244"/>
      <c r="C69" s="425"/>
      <c r="D69" s="244"/>
      <c r="E69" s="244"/>
      <c r="F69" s="425"/>
      <c r="G69" s="244"/>
      <c r="H69" s="244"/>
      <c r="I69" s="244"/>
      <c r="J69" s="244"/>
      <c r="K69" s="244"/>
      <c r="L69" s="244"/>
      <c r="M69" s="244"/>
      <c r="N69" s="244"/>
      <c r="O69" s="244"/>
      <c r="P69" s="244"/>
      <c r="Q69" s="244"/>
      <c r="R69" s="244"/>
      <c r="S69" s="244"/>
      <c r="T69" s="244"/>
      <c r="U69" s="244"/>
      <c r="V69" s="244"/>
      <c r="W69" s="244"/>
      <c r="X69" s="244"/>
      <c r="Y69" s="244"/>
      <c r="Z69" s="244"/>
    </row>
    <row r="70" ht="15.75" customHeight="1">
      <c r="A70" s="244"/>
      <c r="B70" s="244"/>
      <c r="C70" s="425"/>
      <c r="D70" s="244"/>
      <c r="E70" s="244"/>
      <c r="F70" s="425"/>
      <c r="G70" s="244"/>
      <c r="H70" s="244"/>
      <c r="I70" s="244"/>
      <c r="J70" s="244"/>
      <c r="K70" s="244"/>
      <c r="L70" s="244"/>
      <c r="M70" s="244"/>
      <c r="N70" s="244"/>
      <c r="O70" s="244"/>
      <c r="P70" s="244"/>
      <c r="Q70" s="244"/>
      <c r="R70" s="244"/>
      <c r="S70" s="244"/>
      <c r="T70" s="244"/>
      <c r="U70" s="244"/>
      <c r="V70" s="244"/>
      <c r="W70" s="244"/>
      <c r="X70" s="244"/>
      <c r="Y70" s="244"/>
      <c r="Z70" s="244"/>
    </row>
    <row r="71" ht="15.75" customHeight="1">
      <c r="A71" s="244"/>
      <c r="B71" s="244"/>
      <c r="C71" s="425"/>
      <c r="D71" s="244"/>
      <c r="E71" s="244"/>
      <c r="F71" s="425"/>
      <c r="G71" s="244"/>
      <c r="H71" s="244"/>
      <c r="I71" s="244"/>
      <c r="J71" s="244"/>
      <c r="K71" s="244"/>
      <c r="L71" s="244"/>
      <c r="M71" s="244"/>
      <c r="N71" s="244"/>
      <c r="O71" s="244"/>
      <c r="P71" s="244"/>
      <c r="Q71" s="244"/>
      <c r="R71" s="244"/>
      <c r="S71" s="244"/>
      <c r="T71" s="244"/>
      <c r="U71" s="244"/>
      <c r="V71" s="244"/>
      <c r="W71" s="244"/>
      <c r="X71" s="244"/>
      <c r="Y71" s="244"/>
      <c r="Z71" s="244"/>
    </row>
    <row r="72" ht="15.75" customHeight="1">
      <c r="A72" s="244"/>
      <c r="B72" s="244"/>
      <c r="C72" s="425"/>
      <c r="D72" s="244"/>
      <c r="E72" s="244"/>
      <c r="F72" s="425"/>
      <c r="G72" s="244"/>
      <c r="H72" s="244"/>
      <c r="I72" s="244"/>
      <c r="J72" s="244"/>
      <c r="K72" s="244"/>
      <c r="L72" s="244"/>
      <c r="M72" s="244"/>
      <c r="N72" s="244"/>
      <c r="O72" s="244"/>
      <c r="P72" s="244"/>
      <c r="Q72" s="244"/>
      <c r="R72" s="244"/>
      <c r="S72" s="244"/>
      <c r="T72" s="244"/>
      <c r="U72" s="244"/>
      <c r="V72" s="244"/>
      <c r="W72" s="244"/>
      <c r="X72" s="244"/>
      <c r="Y72" s="244"/>
      <c r="Z72" s="244"/>
    </row>
    <row r="73">
      <c r="A73" s="244"/>
      <c r="B73" s="244"/>
      <c r="C73" s="425"/>
      <c r="D73" s="244"/>
      <c r="E73" s="244"/>
      <c r="F73" s="425"/>
      <c r="G73" s="244"/>
      <c r="H73" s="244"/>
      <c r="I73" s="244"/>
      <c r="J73" s="244"/>
      <c r="K73" s="244"/>
      <c r="L73" s="244"/>
      <c r="M73" s="244"/>
      <c r="N73" s="244"/>
      <c r="O73" s="244"/>
      <c r="P73" s="244"/>
      <c r="Q73" s="244"/>
      <c r="R73" s="244"/>
      <c r="S73" s="244"/>
      <c r="T73" s="244"/>
      <c r="U73" s="244"/>
      <c r="V73" s="244"/>
      <c r="W73" s="244"/>
      <c r="X73" s="244"/>
      <c r="Y73" s="244"/>
      <c r="Z73" s="244"/>
    </row>
    <row r="74">
      <c r="A74" s="244"/>
      <c r="B74" s="244"/>
      <c r="C74" s="425"/>
      <c r="D74" s="244"/>
      <c r="E74" s="244"/>
      <c r="F74" s="425"/>
      <c r="G74" s="244"/>
      <c r="H74" s="244"/>
      <c r="I74" s="244"/>
      <c r="J74" s="244"/>
      <c r="K74" s="244"/>
      <c r="L74" s="244"/>
      <c r="M74" s="244"/>
      <c r="N74" s="244"/>
      <c r="O74" s="244"/>
      <c r="P74" s="244"/>
      <c r="Q74" s="244"/>
      <c r="R74" s="244"/>
      <c r="S74" s="244"/>
      <c r="T74" s="244"/>
      <c r="U74" s="244"/>
      <c r="V74" s="244"/>
      <c r="W74" s="244"/>
      <c r="X74" s="244"/>
      <c r="Y74" s="244"/>
      <c r="Z74" s="244"/>
    </row>
    <row r="75">
      <c r="A75" s="244"/>
      <c r="B75" s="244"/>
      <c r="C75" s="425"/>
      <c r="D75" s="244"/>
      <c r="E75" s="244"/>
      <c r="F75" s="425"/>
      <c r="G75" s="244"/>
      <c r="H75" s="244"/>
      <c r="I75" s="244"/>
      <c r="J75" s="244"/>
      <c r="K75" s="244"/>
      <c r="L75" s="244"/>
      <c r="M75" s="244"/>
      <c r="N75" s="244"/>
      <c r="O75" s="244"/>
      <c r="P75" s="244"/>
      <c r="Q75" s="244"/>
      <c r="R75" s="244"/>
      <c r="S75" s="244"/>
      <c r="T75" s="244"/>
      <c r="U75" s="244"/>
      <c r="V75" s="244"/>
      <c r="W75" s="244"/>
      <c r="X75" s="244"/>
      <c r="Y75" s="244"/>
      <c r="Z75" s="244"/>
    </row>
    <row r="76">
      <c r="A76" s="244"/>
      <c r="B76" s="244"/>
      <c r="C76" s="425"/>
      <c r="D76" s="244"/>
      <c r="E76" s="244"/>
      <c r="F76" s="425"/>
      <c r="G76" s="244"/>
      <c r="H76" s="244"/>
      <c r="I76" s="244"/>
      <c r="J76" s="244"/>
      <c r="K76" s="244"/>
      <c r="L76" s="244"/>
      <c r="M76" s="244"/>
      <c r="N76" s="244"/>
      <c r="O76" s="244"/>
      <c r="P76" s="244"/>
      <c r="Q76" s="244"/>
      <c r="R76" s="244"/>
      <c r="S76" s="244"/>
      <c r="T76" s="244"/>
      <c r="U76" s="244"/>
      <c r="V76" s="244"/>
      <c r="W76" s="244"/>
      <c r="X76" s="244"/>
      <c r="Y76" s="244"/>
      <c r="Z76" s="244"/>
    </row>
    <row r="77">
      <c r="A77" s="244"/>
      <c r="B77" s="244"/>
      <c r="C77" s="425"/>
      <c r="D77" s="244"/>
      <c r="E77" s="244"/>
      <c r="F77" s="425"/>
      <c r="G77" s="244"/>
      <c r="H77" s="244"/>
      <c r="I77" s="244"/>
      <c r="J77" s="244"/>
      <c r="K77" s="244"/>
      <c r="L77" s="244"/>
      <c r="M77" s="244"/>
      <c r="N77" s="244"/>
      <c r="O77" s="244"/>
      <c r="P77" s="244"/>
      <c r="Q77" s="244"/>
      <c r="R77" s="244"/>
      <c r="S77" s="244"/>
      <c r="T77" s="244"/>
      <c r="U77" s="244"/>
      <c r="V77" s="244"/>
      <c r="W77" s="244"/>
      <c r="X77" s="244"/>
      <c r="Y77" s="244"/>
      <c r="Z77" s="244"/>
    </row>
    <row r="78">
      <c r="A78" s="244"/>
      <c r="B78" s="244"/>
      <c r="C78" s="425"/>
      <c r="D78" s="244"/>
      <c r="E78" s="244"/>
      <c r="F78" s="425"/>
      <c r="G78" s="244"/>
      <c r="H78" s="244"/>
      <c r="I78" s="244"/>
      <c r="J78" s="244"/>
      <c r="K78" s="244"/>
      <c r="L78" s="244"/>
      <c r="M78" s="244"/>
      <c r="N78" s="244"/>
      <c r="O78" s="244"/>
      <c r="P78" s="244"/>
      <c r="Q78" s="244"/>
      <c r="R78" s="244"/>
      <c r="S78" s="244"/>
      <c r="T78" s="244"/>
      <c r="U78" s="244"/>
      <c r="V78" s="244"/>
      <c r="W78" s="244"/>
      <c r="X78" s="244"/>
      <c r="Y78" s="244"/>
      <c r="Z78" s="244"/>
    </row>
    <row r="79">
      <c r="A79" s="244"/>
      <c r="B79" s="244"/>
      <c r="C79" s="425"/>
      <c r="D79" s="244"/>
      <c r="E79" s="244"/>
      <c r="F79" s="425"/>
      <c r="G79" s="244"/>
      <c r="H79" s="244"/>
      <c r="I79" s="244"/>
      <c r="J79" s="244"/>
      <c r="K79" s="244"/>
      <c r="L79" s="244"/>
      <c r="M79" s="244"/>
      <c r="N79" s="244"/>
      <c r="O79" s="244"/>
      <c r="P79" s="244"/>
      <c r="Q79" s="244"/>
      <c r="R79" s="244"/>
      <c r="S79" s="244"/>
      <c r="T79" s="244"/>
      <c r="U79" s="244"/>
      <c r="V79" s="244"/>
      <c r="W79" s="244"/>
      <c r="X79" s="244"/>
      <c r="Y79" s="244"/>
      <c r="Z79" s="244"/>
    </row>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sheetData>
  <sheetProtection sheet="1" objects="1" scenarios="1"/>
  <mergeCells count="3">
    <mergeCell ref="B5:E5"/>
    <mergeCell ref="B4:E4"/>
    <mergeCell ref="B46:F47"/>
  </mergeCells>
  <phoneticPr fontId="0" type="noConversion"/>
  <hyperlinks>
    <hyperlink ref="H8" r:id="rId105" display="www.strglobal.com"/>
    <hyperlink ref="M8" r:id="rId106" display="www.str.com"/>
  </hyperlinks>
  <printOptions horizontalCentered="1" verticalCentered="1"/>
  <pageMargins left="0.25" right="0.25" top="0.3" bottom="0.3" header="0" footer="0"/>
  <pageSetup scale="72" orientation="landscape" r:id="rId3"/>
  <headerFooter alignWithMargins="0">
    <oddHeader/>
    <oddFooter/>
  </headerFooter>
  <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4">
    <pageSetUpPr fitToPage="1"/>
  </sheetPr>
  <dimension ref="A1:BK113"/>
  <sheetViews>
    <sheetView showGridLines="0" zoomScale="65" zoomScaleNormal="75" workbookViewId="0"/>
  </sheetViews>
  <sheetFormatPr defaultRowHeight="12.75"/>
  <cols>
    <col min="1" max="1" width="1" customWidth="1"/>
    <col min="2" max="2" width="21.7109375" customWidth="1"/>
    <col min="3" max="30" width="8.28515625" customWidth="1"/>
    <col min="31" max="31" width="1.7109375" customWidth="1"/>
    <col min="32" max="34" width="8.28515625" customWidth="1"/>
    <col min="35" max="35" width="2" customWidth="1"/>
    <col min="36" max="39" width="9.28515625" bestFit="1" customWidth="1"/>
  </cols>
  <sheetData>
    <row r="1" ht="36" customHeight="1">
      <c r="A1" s="6"/>
      <c r="B1" s="39" t="s">
        <v>125</v>
      </c>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row>
    <row r="2" ht="17.1" customHeight="1">
      <c r="A2" s="5"/>
      <c r="B2" s="10" t="s">
        <v>168</v>
      </c>
      <c r="AG2" s="216"/>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row>
    <row r="3" ht="17.1" customHeight="1">
      <c r="A3" s="5"/>
      <c r="B3" s="10" t="s">
        <v>181</v>
      </c>
      <c r="AG3" s="40"/>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row>
    <row r="4" ht="17.1" customHeight="1">
      <c r="A4" s="5"/>
      <c r="B4" s="4" t="s">
        <v>182</v>
      </c>
      <c r="R4" s="618" t="s">
        <v>184</v>
      </c>
      <c r="S4" s="618"/>
      <c r="T4" s="618"/>
      <c r="U4" s="618"/>
      <c r="V4" s="618"/>
      <c r="W4" s="618"/>
      <c r="X4" s="618"/>
      <c r="Y4" s="618"/>
      <c r="Z4" s="618"/>
      <c r="AA4" s="618"/>
      <c r="AB4" s="618"/>
      <c r="AC4" s="618"/>
      <c r="AD4" s="618"/>
      <c r="AE4" s="618"/>
      <c r="AF4" s="618"/>
      <c r="AG4" s="618"/>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row>
    <row r="5" ht="23.25">
      <c r="A5" s="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row>
    <row r="6" ht="23.25">
      <c r="A6" s="5"/>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row>
    <row r="7" ht="23.25">
      <c r="A7" s="5"/>
      <c r="Y7" s="26"/>
      <c r="Z7" s="26"/>
      <c r="AA7" s="26"/>
      <c r="AB7" s="26"/>
      <c r="AC7" s="26"/>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row>
    <row r="8" ht="23.25">
      <c r="A8" s="5"/>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row>
    <row r="9" ht="23.25">
      <c r="A9" s="5"/>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row>
    <row r="10" ht="23.25">
      <c r="A10" s="5"/>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row>
    <row r="11" ht="23.25">
      <c r="A11" s="5"/>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row>
    <row r="12" ht="23.25">
      <c r="A12" s="5"/>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row>
    <row r="13" ht="23.25">
      <c r="A13" s="5"/>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row>
    <row r="14" ht="23.25">
      <c r="A14" s="5"/>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row>
    <row r="15" ht="23.25">
      <c r="A15" s="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row>
    <row r="16" ht="23.25">
      <c r="A16" s="5"/>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row>
    <row r="17" ht="23.25">
      <c r="A17" s="5"/>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row>
    <row r="18" ht="23.25">
      <c r="A18" s="5"/>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row>
    <row r="19" ht="23.25">
      <c r="A19" s="5"/>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row>
    <row r="20" ht="11.25" customHeight="1">
      <c r="A20" s="5"/>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row>
    <row r="21" ht="20.1" customHeight="1" thickBot="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row>
    <row r="22" ht="18" customHeight="1">
      <c r="A22" s="8"/>
      <c r="B22" s="29"/>
      <c r="X22" s="517" t="s">
        <v>72</v>
      </c>
      <c r="Y22" s="517"/>
      <c r="Z22" s="517"/>
      <c r="AA22" s="517"/>
      <c r="AB22" s="517"/>
      <c r="AC22" s="517"/>
      <c r="AD22" s="617"/>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c r="BK23" s="262"/>
    </row>
    <row r="24" s="41" customFormat="1" ht="18">
      <c r="B24" s="417" t="s">
        <v>75</v>
      </c>
      <c r="C24" s="275" t="s">
        <v>186</v>
      </c>
      <c r="D24" s="276"/>
      <c r="E24" s="276"/>
      <c r="F24" s="276"/>
      <c r="G24" s="658" t="s">
        <v>183</v>
      </c>
      <c r="H24" s="276"/>
      <c r="I24" s="276"/>
      <c r="J24" s="276"/>
      <c r="K24" s="276"/>
      <c r="L24" s="276"/>
      <c r="M24" s="276"/>
      <c r="N24" s="276"/>
      <c r="O24" s="276"/>
      <c r="P24" s="276"/>
      <c r="Q24" s="276"/>
      <c r="R24" s="276"/>
      <c r="S24" s="277"/>
      <c r="T24" s="277"/>
      <c r="U24" s="277"/>
      <c r="V24" s="277"/>
      <c r="W24" s="277"/>
      <c r="X24" s="312"/>
      <c r="Y24" s="277"/>
      <c r="Z24" s="277"/>
      <c r="AA24" s="277"/>
      <c r="AB24" s="277"/>
      <c r="AC24" s="277"/>
      <c r="AD24" s="336"/>
      <c r="AE24" s="25"/>
      <c r="AF24" s="316" t="s">
        <v>58</v>
      </c>
      <c r="AG24" s="317" t="s">
        <v>59</v>
      </c>
      <c r="AH24" s="318" t="s">
        <v>59</v>
      </c>
      <c r="AI24" s="25"/>
      <c r="AJ24" s="248"/>
      <c r="AK24" s="248"/>
      <c r="AL24" s="248"/>
      <c r="AM24" s="248"/>
      <c r="AN24" s="253"/>
      <c r="AO24" s="253"/>
      <c r="AP24" s="253"/>
      <c r="AQ24" s="253"/>
      <c r="AR24" s="253"/>
      <c r="AS24" s="253"/>
      <c r="AT24" s="253"/>
      <c r="AU24" s="253"/>
      <c r="AV24" s="253"/>
      <c r="AW24" s="253"/>
      <c r="AX24" s="253"/>
      <c r="AY24" s="253"/>
      <c r="AZ24" s="253"/>
      <c r="BA24" s="253"/>
      <c r="BB24" s="253"/>
      <c r="BC24" s="253"/>
      <c r="BD24" s="253"/>
      <c r="BE24" s="253"/>
      <c r="BF24" s="253"/>
      <c r="BG24" s="253"/>
      <c r="BH24" s="253"/>
      <c r="BI24" s="253"/>
      <c r="BJ24" s="253"/>
      <c r="BK24" s="253"/>
    </row>
    <row r="25" s="42" customFormat="1">
      <c r="C25" s="284">
        <v>27</v>
      </c>
      <c r="D25" s="42">
        <v>28</v>
      </c>
      <c r="E25" s="42">
        <v>29</v>
      </c>
      <c r="F25" s="42">
        <v>30</v>
      </c>
      <c r="G25" s="659">
        <v>1</v>
      </c>
      <c r="H25" s="42">
        <v>2</v>
      </c>
      <c r="I25" s="42">
        <v>3</v>
      </c>
      <c r="J25" s="42">
        <v>4</v>
      </c>
      <c r="K25" s="42">
        <v>5</v>
      </c>
      <c r="L25" s="42">
        <v>6</v>
      </c>
      <c r="M25" s="42">
        <v>7</v>
      </c>
      <c r="N25" s="42">
        <v>8</v>
      </c>
      <c r="O25" s="42">
        <v>9</v>
      </c>
      <c r="P25" s="42">
        <v>10</v>
      </c>
      <c r="Q25" s="42">
        <v>11</v>
      </c>
      <c r="R25" s="42">
        <v>12</v>
      </c>
      <c r="S25" s="42">
        <v>13</v>
      </c>
      <c r="T25" s="42">
        <v>14</v>
      </c>
      <c r="U25" s="42">
        <v>15</v>
      </c>
      <c r="V25" s="42">
        <v>16</v>
      </c>
      <c r="W25" s="42">
        <v>17</v>
      </c>
      <c r="X25" s="323">
        <v>18</v>
      </c>
      <c r="Y25" s="42">
        <v>19</v>
      </c>
      <c r="Z25" s="42">
        <v>20</v>
      </c>
      <c r="AA25" s="42">
        <v>21</v>
      </c>
      <c r="AB25" s="42">
        <v>22</v>
      </c>
      <c r="AC25" s="42">
        <v>23</v>
      </c>
      <c r="AD25" s="337">
        <v>24</v>
      </c>
      <c r="AE25" s="25"/>
      <c r="AF25" s="324" t="s">
        <v>60</v>
      </c>
      <c r="AG25" s="325">
        <v>28</v>
      </c>
      <c r="AH25" s="326" t="s">
        <v>31</v>
      </c>
      <c r="AI25" s="25"/>
      <c r="AJ25" s="248"/>
      <c r="AK25" s="248"/>
      <c r="AL25" s="248"/>
      <c r="AM25" s="248"/>
      <c r="AN25" s="254"/>
      <c r="AO25" s="254"/>
      <c r="AP25" s="254"/>
      <c r="AQ25" s="254"/>
      <c r="AR25" s="254"/>
      <c r="AS25" s="254"/>
      <c r="AT25" s="254"/>
      <c r="AU25" s="254"/>
      <c r="AV25" s="254"/>
      <c r="AW25" s="254"/>
      <c r="AX25" s="254"/>
      <c r="AY25" s="254"/>
      <c r="AZ25" s="254"/>
      <c r="BA25" s="254"/>
      <c r="BB25" s="254"/>
      <c r="BC25" s="254"/>
      <c r="BD25" s="254"/>
      <c r="BE25" s="254"/>
      <c r="BF25" s="254"/>
      <c r="BG25" s="254"/>
      <c r="BH25" s="254"/>
      <c r="BI25" s="254"/>
      <c r="BJ25" s="254"/>
      <c r="BK25" s="254"/>
    </row>
    <row r="26" ht="14.25" customHeight="1">
      <c r="B26" s="46" t="s">
        <v>32</v>
      </c>
      <c r="C26" s="444">
        <v>81.81818181818181818181818182</v>
      </c>
      <c r="D26" s="445">
        <v>93.93939393939393939393939394</v>
      </c>
      <c r="E26" s="445">
        <v>96.96969696969696969696969697</v>
      </c>
      <c r="F26" s="445">
        <v>95.45454545454545454545454545</v>
      </c>
      <c r="G26" s="660">
        <v>93.93939393939393939393939394</v>
      </c>
      <c r="H26" s="445">
        <v>96.96969696969696969696969697</v>
      </c>
      <c r="I26" s="445">
        <v>99.24242424242424242424242424</v>
      </c>
      <c r="J26" s="445">
        <v>97.72727272727272727272727273</v>
      </c>
      <c r="K26" s="445">
        <v>64.393939393939393939393939390</v>
      </c>
      <c r="L26" s="445">
        <v>51.515151515151515151515151520</v>
      </c>
      <c r="M26" s="445">
        <v>82.57575757575757575757575758</v>
      </c>
      <c r="N26" s="445">
        <v>85.60606060606060606060606061</v>
      </c>
      <c r="O26" s="445">
        <v>79.54545454545454545454545455</v>
      </c>
      <c r="P26" s="445">
        <v>85.60606060606060606060606061</v>
      </c>
      <c r="Q26" s="445">
        <v>58.333333333333333333333333330</v>
      </c>
      <c r="R26" s="445">
        <v>63.636363636363636363636363640</v>
      </c>
      <c r="S26" s="445">
        <v>69.696969696969696969696969700</v>
      </c>
      <c r="T26" s="445">
        <v>71.212121212121212121212121210</v>
      </c>
      <c r="U26" s="445">
        <v>81.06060606060606060606060606</v>
      </c>
      <c r="V26" s="445">
        <v>86.36363636363636363636363636</v>
      </c>
      <c r="W26" s="445">
        <v>96.21212121212121212121212121</v>
      </c>
      <c r="X26" s="446">
        <v>89.39393939393939393939393939</v>
      </c>
      <c r="Y26" s="445">
        <v>90.15151515151515151515151515</v>
      </c>
      <c r="Z26" s="445">
        <v>89.39393939393939393939393939</v>
      </c>
      <c r="AA26" s="445">
        <v>95.45454545454545454545454545</v>
      </c>
      <c r="AB26" s="445">
        <v>95.45454545454545454545454545</v>
      </c>
      <c r="AC26" s="445">
        <v>73.484848484848484848484848480</v>
      </c>
      <c r="AD26" s="447">
        <v>90.90909090909090909090909091</v>
      </c>
      <c r="AE26" s="448"/>
      <c r="AF26" s="444">
        <v>89.17748917748917748917748918</v>
      </c>
      <c r="AG26" s="445">
        <v>84.14502164502164502164502165</v>
      </c>
      <c r="AH26" s="449">
        <v>82.82828282828282828282828283</v>
      </c>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row>
    <row r="27" ht="14.25" customHeight="1">
      <c r="B27" s="47" t="s">
        <v>26</v>
      </c>
      <c r="C27" s="327">
        <v>90.40697674418604651162790698</v>
      </c>
      <c r="D27" s="81">
        <v>97.09302325581395348837209302</v>
      </c>
      <c r="E27" s="81">
        <v>97.09302325581395348837209302</v>
      </c>
      <c r="F27" s="81">
        <v>93.89534883720930232558139535</v>
      </c>
      <c r="G27" s="661">
        <v>88.37209302325581395348837209</v>
      </c>
      <c r="H27" s="81">
        <v>97.09302325581395348837209302</v>
      </c>
      <c r="I27" s="81">
        <v>99.12790697674418604651162791</v>
      </c>
      <c r="J27" s="81">
        <v>68.313953488372093023255813950</v>
      </c>
      <c r="K27" s="81">
        <v>65.697674418604651162790697670</v>
      </c>
      <c r="L27" s="81">
        <v>71.220930232558139534883720930</v>
      </c>
      <c r="M27" s="81">
        <v>82.55813953488372093023255814</v>
      </c>
      <c r="N27" s="81">
        <v>79.94186046511627906976744186</v>
      </c>
      <c r="O27" s="81">
        <v>74.418604651162790697674418600</v>
      </c>
      <c r="P27" s="81">
        <v>72.093023255813953488372093020</v>
      </c>
      <c r="Q27" s="81">
        <v>57.267441860465116279069767440</v>
      </c>
      <c r="R27" s="81">
        <v>51.453488372093023255813953490</v>
      </c>
      <c r="S27" s="81">
        <v>55.232558139534883720930232560</v>
      </c>
      <c r="T27" s="81">
        <v>62.500</v>
      </c>
      <c r="U27" s="81">
        <v>71.802325581395348837209302330</v>
      </c>
      <c r="V27" s="81">
        <v>79.65116279069767441860465116</v>
      </c>
      <c r="W27" s="81">
        <v>90.11627906976744186046511628</v>
      </c>
      <c r="X27" s="82">
        <v>79.069767441860465116279069770</v>
      </c>
      <c r="Y27" s="81">
        <v>80.81180811808118081180811808</v>
      </c>
      <c r="Z27" s="81">
        <v>70.110701107011070110701107010</v>
      </c>
      <c r="AA27" s="81">
        <v>56.457564575645756457564575650</v>
      </c>
      <c r="AB27" s="81">
        <v>63.837638376383763837638376380</v>
      </c>
      <c r="AC27" s="81">
        <v>81.18081180811808118081180812</v>
      </c>
      <c r="AD27" s="83">
        <v>88.19188191881918819188191882</v>
      </c>
      <c r="AE27" s="88"/>
      <c r="AF27" s="327">
        <v>74.237167620845643672383567690</v>
      </c>
      <c r="AG27" s="81">
        <v>77.321750376972208260288582950</v>
      </c>
      <c r="AH27" s="328">
        <v>74.438359935924940644755284760</v>
      </c>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row>
    <row r="28" ht="14.25" customHeight="1">
      <c r="A28" s="24"/>
      <c r="B28" s="49" t="s">
        <v>185</v>
      </c>
      <c r="C28" s="450">
        <v>82.72338650818475654259201335</v>
      </c>
      <c r="D28" s="451">
        <v>88.36409133562715045355020332</v>
      </c>
      <c r="E28" s="451">
        <v>91.24178917735376915858617454</v>
      </c>
      <c r="F28" s="451">
        <v>90.49108539255552080075070378</v>
      </c>
      <c r="G28" s="662">
        <v>85.91387759357731206339276405</v>
      </c>
      <c r="H28" s="451">
        <v>93.47304764883745177770826817</v>
      </c>
      <c r="I28" s="451">
        <v>95.18298404754457303722239600</v>
      </c>
      <c r="J28" s="451">
        <v>80.62767177562297987696799082</v>
      </c>
      <c r="K28" s="451">
        <v>68.720675633406318423522051920</v>
      </c>
      <c r="L28" s="451">
        <v>66.760504639766447711396100510</v>
      </c>
      <c r="M28" s="451">
        <v>70.743405275779376498800959230</v>
      </c>
      <c r="N28" s="451">
        <v>77.791679699718486080700656870</v>
      </c>
      <c r="O28" s="451">
        <v>77.885517672818267125430090710</v>
      </c>
      <c r="P28" s="451">
        <v>76.592638932332394953602335520</v>
      </c>
      <c r="Q28" s="451">
        <v>54.186216244395787717651965380</v>
      </c>
      <c r="R28" s="451">
        <v>61.724533416744864977583150870</v>
      </c>
      <c r="S28" s="451">
        <v>67.657178604942133249921801690</v>
      </c>
      <c r="T28" s="451">
        <v>74.997393389636117193201960170</v>
      </c>
      <c r="U28" s="451">
        <v>77.499739338963611719320196020</v>
      </c>
      <c r="V28" s="451">
        <v>86.65415493692002919403607549</v>
      </c>
      <c r="W28" s="451">
        <v>86.90438953185277864664789907</v>
      </c>
      <c r="X28" s="452">
        <v>69.429673652382441872588885410</v>
      </c>
      <c r="Y28" s="451">
        <v>68.824940047961630695443645080</v>
      </c>
      <c r="Z28" s="451">
        <v>70.149098112814096548847878220</v>
      </c>
      <c r="AA28" s="451">
        <v>69.586070274215410280471275150</v>
      </c>
      <c r="AB28" s="451">
        <v>74.340527577937649880095923260</v>
      </c>
      <c r="AC28" s="451">
        <v>79.58502763006985715775205922</v>
      </c>
      <c r="AD28" s="453">
        <v>89.11479512042539881138567407</v>
      </c>
      <c r="AE28" s="448"/>
      <c r="AF28" s="450">
        <v>74.432876059400926463797905770</v>
      </c>
      <c r="AG28" s="451">
        <v>77.755931900442379016041824930</v>
      </c>
      <c r="AH28" s="454">
        <v>76.014405866611058978903833450</v>
      </c>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row>
    <row r="29" ht="12" customHeight="1">
      <c r="B29" s="4"/>
      <c r="X29" s="27"/>
      <c r="AD29" s="28"/>
      <c r="AF29" s="22"/>
      <c r="AG29" s="22"/>
      <c r="AH29" s="22"/>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row>
    <row r="30" ht="18">
      <c r="B30" s="29"/>
      <c r="X30" s="27"/>
      <c r="AD30" s="28"/>
      <c r="AF30" s="22"/>
      <c r="AG30" s="22"/>
      <c r="AH30" s="22"/>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row>
    <row r="31" s="41" customFormat="1" ht="18">
      <c r="B31" s="417" t="s">
        <v>76</v>
      </c>
      <c r="C31" s="275" t="s">
        <v>186</v>
      </c>
      <c r="D31" s="276"/>
      <c r="E31" s="276"/>
      <c r="F31" s="276"/>
      <c r="G31" s="658" t="s">
        <v>183</v>
      </c>
      <c r="H31" s="276"/>
      <c r="I31" s="276"/>
      <c r="J31" s="276"/>
      <c r="K31" s="276"/>
      <c r="L31" s="276"/>
      <c r="M31" s="276"/>
      <c r="N31" s="276"/>
      <c r="O31" s="276"/>
      <c r="P31" s="276"/>
      <c r="Q31" s="276"/>
      <c r="R31" s="276"/>
      <c r="S31" s="277"/>
      <c r="T31" s="277"/>
      <c r="U31" s="277"/>
      <c r="V31" s="277"/>
      <c r="W31" s="277"/>
      <c r="X31" s="312"/>
      <c r="Y31" s="277"/>
      <c r="Z31" s="277"/>
      <c r="AA31" s="277"/>
      <c r="AB31" s="277"/>
      <c r="AC31" s="277"/>
      <c r="AD31" s="336"/>
      <c r="AE31" s="25"/>
      <c r="AF31" s="316" t="s">
        <v>58</v>
      </c>
      <c r="AG31" s="317" t="s">
        <v>59</v>
      </c>
      <c r="AH31" s="318" t="s">
        <v>59</v>
      </c>
      <c r="AI31" s="25"/>
      <c r="AJ31" s="248"/>
      <c r="AK31" s="248"/>
      <c r="AL31" s="248"/>
      <c r="AM31" s="248"/>
      <c r="AN31" s="253"/>
      <c r="AO31" s="253"/>
      <c r="AP31" s="253"/>
      <c r="AQ31" s="253"/>
      <c r="AR31" s="253"/>
      <c r="AS31" s="253"/>
      <c r="AT31" s="253"/>
      <c r="AU31" s="253"/>
      <c r="AV31" s="253"/>
      <c r="AW31" s="253"/>
      <c r="AX31" s="253"/>
      <c r="AY31" s="253"/>
      <c r="AZ31" s="253"/>
      <c r="BA31" s="253"/>
      <c r="BB31" s="253"/>
      <c r="BC31" s="253"/>
      <c r="BD31" s="253"/>
      <c r="BE31" s="253"/>
      <c r="BF31" s="253"/>
      <c r="BG31" s="253"/>
      <c r="BH31" s="253"/>
      <c r="BI31" s="253"/>
      <c r="BJ31" s="253"/>
      <c r="BK31" s="253"/>
    </row>
    <row r="32" s="42" customFormat="1">
      <c r="C32" s="284">
        <v>27</v>
      </c>
      <c r="D32" s="42">
        <v>28</v>
      </c>
      <c r="E32" s="42">
        <v>29</v>
      </c>
      <c r="F32" s="42">
        <v>30</v>
      </c>
      <c r="G32" s="659">
        <v>1</v>
      </c>
      <c r="H32" s="42">
        <v>2</v>
      </c>
      <c r="I32" s="42">
        <v>3</v>
      </c>
      <c r="J32" s="42">
        <v>4</v>
      </c>
      <c r="K32" s="42">
        <v>5</v>
      </c>
      <c r="L32" s="42">
        <v>6</v>
      </c>
      <c r="M32" s="42">
        <v>7</v>
      </c>
      <c r="N32" s="42">
        <v>8</v>
      </c>
      <c r="O32" s="42">
        <v>9</v>
      </c>
      <c r="P32" s="42">
        <v>10</v>
      </c>
      <c r="Q32" s="42">
        <v>11</v>
      </c>
      <c r="R32" s="42">
        <v>12</v>
      </c>
      <c r="S32" s="42">
        <v>13</v>
      </c>
      <c r="T32" s="42">
        <v>14</v>
      </c>
      <c r="U32" s="42">
        <v>15</v>
      </c>
      <c r="V32" s="42">
        <v>16</v>
      </c>
      <c r="W32" s="42">
        <v>17</v>
      </c>
      <c r="X32" s="323">
        <v>18</v>
      </c>
      <c r="Y32" s="42">
        <v>19</v>
      </c>
      <c r="Z32" s="42">
        <v>20</v>
      </c>
      <c r="AA32" s="42">
        <v>21</v>
      </c>
      <c r="AB32" s="42">
        <v>22</v>
      </c>
      <c r="AC32" s="42">
        <v>23</v>
      </c>
      <c r="AD32" s="337">
        <v>24</v>
      </c>
      <c r="AE32" s="25"/>
      <c r="AF32" s="324" t="s">
        <v>60</v>
      </c>
      <c r="AG32" s="325">
        <v>28</v>
      </c>
      <c r="AH32" s="326" t="s">
        <v>31</v>
      </c>
      <c r="AI32" s="25"/>
      <c r="AJ32" s="248"/>
      <c r="AK32" s="248"/>
      <c r="AL32" s="248"/>
      <c r="AM32" s="248"/>
      <c r="AN32" s="254"/>
      <c r="AO32" s="254"/>
      <c r="AP32" s="254"/>
      <c r="AQ32" s="254"/>
      <c r="AR32" s="254"/>
      <c r="AS32" s="254"/>
      <c r="AT32" s="254"/>
      <c r="AU32" s="254"/>
      <c r="AV32" s="254"/>
      <c r="AW32" s="254"/>
      <c r="AX32" s="254"/>
      <c r="AY32" s="254"/>
      <c r="AZ32" s="254"/>
      <c r="BA32" s="254"/>
      <c r="BB32" s="254"/>
      <c r="BC32" s="254"/>
      <c r="BD32" s="254"/>
      <c r="BE32" s="254"/>
      <c r="BF32" s="254"/>
      <c r="BG32" s="254"/>
      <c r="BH32" s="254"/>
      <c r="BI32" s="254"/>
      <c r="BJ32" s="254"/>
      <c r="BK32" s="254"/>
    </row>
    <row r="33" ht="14.25" customHeight="1">
      <c r="B33" s="46" t="s">
        <v>32</v>
      </c>
      <c r="C33" s="444">
        <v>-16.279069767465224445646288770</v>
      </c>
      <c r="D33" s="445">
        <v>1.6393442623417360924482880100</v>
      </c>
      <c r="E33" s="445">
        <v>0.7874015748253704507409063800</v>
      </c>
      <c r="F33" s="445">
        <v>1.6129032257998959417273677400</v>
      </c>
      <c r="G33" s="660">
        <v>5.0847457627581729388107069900</v>
      </c>
      <c r="H33" s="445">
        <v>1.5873015873499622071050872800</v>
      </c>
      <c r="I33" s="445">
        <v>3.9682539683034769463341127600</v>
      </c>
      <c r="J33" s="445">
        <v>8.403361344556034178377236310</v>
      </c>
      <c r="K33" s="445">
        <v>-16.666666666637254901960773940</v>
      </c>
      <c r="L33" s="445">
        <v>-39.285714285725127551020406220</v>
      </c>
      <c r="M33" s="445">
        <v>-6.0344827586336504161712229400</v>
      </c>
      <c r="N33" s="445">
        <v>-2.5862068965651605231866806600</v>
      </c>
      <c r="O33" s="445">
        <v>-17.968750000002563476562499920</v>
      </c>
      <c r="P33" s="445">
        <v>0.892857142839126275510207300</v>
      </c>
      <c r="Q33" s="445">
        <v>-16.304347826123345935727772460</v>
      </c>
      <c r="R33" s="445">
        <v>-20.000000000045714285714259590</v>
      </c>
      <c r="S33" s="445">
        <v>-15.596330275272721151418208510</v>
      </c>
      <c r="T33" s="445">
        <v>-13.761467889952562915579473920</v>
      </c>
      <c r="U33" s="445">
        <v>3.8834951456351022716561411700</v>
      </c>
      <c r="V33" s="445">
        <v>2.7027027027138056975894825700</v>
      </c>
      <c r="W33" s="445">
        <v>16.513761467830047975759646950</v>
      </c>
      <c r="X33" s="446">
        <v>8.256880733889335914485341250</v>
      </c>
      <c r="Y33" s="445">
        <v>1.7094017093599824676747924800</v>
      </c>
      <c r="Z33" s="445">
        <v>12.380952380888163265306159140</v>
      </c>
      <c r="AA33" s="445">
        <v>4.1322314049208114199849874700</v>
      </c>
      <c r="AB33" s="445">
        <v>5.8823529411942659416707889500</v>
      </c>
      <c r="AC33" s="445">
        <v>-17.09401709405110672802979100</v>
      </c>
      <c r="AD33" s="447">
        <v>-2.4390243902248661511005316800</v>
      </c>
      <c r="AE33" s="448"/>
      <c r="AF33" s="444">
        <v>1.6029593094513546017232413500</v>
      </c>
      <c r="AG33" s="445">
        <v>-3.5957842528898376450791436100</v>
      </c>
      <c r="AH33" s="449">
        <v>-3.7064220183327928356198947100</v>
      </c>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row>
    <row r="34" ht="14.25" customHeight="1">
      <c r="B34" s="47" t="s">
        <v>26</v>
      </c>
      <c r="C34" s="327">
        <v>7.3102641807332088983643332600</v>
      </c>
      <c r="D34" s="81">
        <v>40.282678428214202057351437850</v>
      </c>
      <c r="E34" s="81">
        <v>52.366954098063667312906163680</v>
      </c>
      <c r="F34" s="81">
        <v>41.011294490369094834939365480</v>
      </c>
      <c r="G34" s="661">
        <v>4.0109746538088182209199671400</v>
      </c>
      <c r="H34" s="81">
        <v>5.1213869359040741812158214900</v>
      </c>
      <c r="I34" s="81">
        <v>4.0967243690212299943920695800</v>
      </c>
      <c r="J34" s="81">
        <v>-16.792015954585760297147575230</v>
      </c>
      <c r="K34" s="81">
        <v>-2.0379872548040889187862216100</v>
      </c>
      <c r="L34" s="81">
        <v>11.349140923259362983384457530</v>
      </c>
      <c r="M34" s="81">
        <v>11.227847154741189486999655010</v>
      </c>
      <c r="N34" s="81">
        <v>3.3816035027903923028475550800</v>
      </c>
      <c r="O34" s="81">
        <v>-10.140071040766014902308712920</v>
      </c>
      <c r="P34" s="81">
        <v>-13.198342689087132374403536500</v>
      </c>
      <c r="Q34" s="81">
        <v>-20.546165100838404648459911270</v>
      </c>
      <c r="R34" s="81">
        <v>-13.763953488345532320930224370</v>
      </c>
      <c r="S34" s="81">
        <v>-7.4302325581110233953488284200</v>
      </c>
      <c r="T34" s="81">
        <v>-3.7224264705443440473615716900</v>
      </c>
      <c r="U34" s="81">
        <v>-7.4302325580990890161001612100</v>
      </c>
      <c r="V34" s="81">
        <v>-4.9178427085487805284350032800</v>
      </c>
      <c r="W34" s="81">
        <v>9.763723634376231097379794380</v>
      </c>
      <c r="X34" s="82">
        <v>-2.1582733813287510998395411500</v>
      </c>
      <c r="Y34" s="81">
        <v>-1.421056763703195637660283300</v>
      </c>
      <c r="Z34" s="81">
        <v>-1.5588523232749690089153779300</v>
      </c>
      <c r="AA34" s="81">
        <v>-18.738902870145849385175771180</v>
      </c>
      <c r="AB34" s="81">
        <v>-17.752256174281636656033254610</v>
      </c>
      <c r="AC34" s="81">
        <v>-7.5291415165611322478735030400</v>
      </c>
      <c r="AD34" s="83">
        <v>-5.7825857761776839107073982600</v>
      </c>
      <c r="AE34" s="88"/>
      <c r="AF34" s="327">
        <v>-7.6159691828983719468202171200</v>
      </c>
      <c r="AG34" s="81">
        <v>0.7386305109479998903631621300</v>
      </c>
      <c r="AH34" s="328">
        <v>-2.8191522401220588065587865600</v>
      </c>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c r="BH34" s="244"/>
      <c r="BI34" s="244"/>
      <c r="BJ34" s="244"/>
      <c r="BK34" s="244"/>
    </row>
    <row r="35" ht="14.25" customHeight="1">
      <c r="A35" s="24"/>
      <c r="B35" s="49" t="s">
        <v>185</v>
      </c>
      <c r="C35" s="450">
        <v>20.523289264886880503267437580</v>
      </c>
      <c r="D35" s="451">
        <v>26.042658004238101892864731910</v>
      </c>
      <c r="E35" s="451">
        <v>24.764875546201741580703805260</v>
      </c>
      <c r="F35" s="451">
        <v>28.161582479037623434323029550</v>
      </c>
      <c r="G35" s="662">
        <v>6.752853063922516898758833500</v>
      </c>
      <c r="H35" s="451">
        <v>1.5047898024949222668993360300</v>
      </c>
      <c r="I35" s="451">
        <v>4.4609888039548665566495622400</v>
      </c>
      <c r="J35" s="451">
        <v>-0.1590613249535624750779269100</v>
      </c>
      <c r="K35" s="451">
        <v>-4.796821452065012499889814300</v>
      </c>
      <c r="L35" s="451">
        <v>-14.114106238227832292526017410</v>
      </c>
      <c r="M35" s="451">
        <v>-10.786922436221479292556481790</v>
      </c>
      <c r="N35" s="451">
        <v>-0.3731761620423793254510065500</v>
      </c>
      <c r="O35" s="451">
        <v>-3.9220952512079818961073919700</v>
      </c>
      <c r="P35" s="451">
        <v>-2.3615422787729802208894120800</v>
      </c>
      <c r="Q35" s="451">
        <v>-10.891668908090164622788366540</v>
      </c>
      <c r="R35" s="451">
        <v>-5.6190573550045331098813545200</v>
      </c>
      <c r="S35" s="451">
        <v>-6.4633529004021841278192796800</v>
      </c>
      <c r="T35" s="451">
        <v>-1.945763864016141129097586500</v>
      </c>
      <c r="U35" s="451">
        <v>-0.9227294223823286335516883500</v>
      </c>
      <c r="V35" s="451">
        <v>2.3500018689074435389265039800</v>
      </c>
      <c r="W35" s="451">
        <v>6.3095645784903595592248529800</v>
      </c>
      <c r="X35" s="452">
        <v>6.474707757008819104527025700</v>
      </c>
      <c r="Y35" s="451">
        <v>2.4518368817836191343540000400</v>
      </c>
      <c r="Z35" s="451">
        <v>1.1206679888144447893617239400</v>
      </c>
      <c r="AA35" s="451">
        <v>0.8042579257221375614724627300</v>
      </c>
      <c r="AB35" s="451">
        <v>6.4112124933900511803525734300</v>
      </c>
      <c r="AC35" s="451">
        <v>2.3983844130494389513962570800</v>
      </c>
      <c r="AD35" s="453">
        <v>3.319906924419181574272817600</v>
      </c>
      <c r="AE35" s="448"/>
      <c r="AF35" s="450">
        <v>3.2515816179107657321427495300</v>
      </c>
      <c r="AG35" s="451">
        <v>2.7930753328382419133843599900</v>
      </c>
      <c r="AH35" s="454">
        <v>0.2452293392296680388279814700</v>
      </c>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row>
    <row r="36" ht="13.5" customHeight="1">
      <c r="B36" s="40"/>
      <c r="C36" s="23"/>
      <c r="D36" s="23"/>
      <c r="E36" s="23"/>
      <c r="F36" s="23"/>
      <c r="G36" s="23"/>
      <c r="H36" s="23"/>
      <c r="I36" s="23"/>
      <c r="J36" s="23"/>
      <c r="K36" s="23"/>
      <c r="L36" s="23"/>
      <c r="M36" s="23"/>
      <c r="N36" s="23"/>
      <c r="O36" s="23"/>
      <c r="P36" s="23"/>
      <c r="Q36" s="23"/>
      <c r="R36" s="23"/>
      <c r="S36" s="23"/>
      <c r="T36" s="23"/>
      <c r="U36" s="23"/>
      <c r="V36" s="23"/>
      <c r="W36" s="23"/>
      <c r="X36" s="44"/>
      <c r="Y36" s="23"/>
      <c r="Z36" s="23"/>
      <c r="AA36" s="23"/>
      <c r="AB36" s="23"/>
      <c r="AC36" s="23"/>
      <c r="AD36" s="45"/>
      <c r="AF36" s="43"/>
      <c r="AG36" s="43"/>
      <c r="AH36" s="43"/>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c r="BK36" s="244"/>
    </row>
    <row r="37" ht="18">
      <c r="B37" s="29"/>
      <c r="X37" s="27"/>
      <c r="AD37" s="28"/>
      <c r="AF37" s="43"/>
      <c r="AG37" s="43"/>
      <c r="AH37" s="43"/>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c r="BK37" s="244"/>
    </row>
    <row r="38" s="41" customFormat="1" ht="18">
      <c r="B38" s="417" t="s">
        <v>91</v>
      </c>
      <c r="C38" s="275" t="s">
        <v>186</v>
      </c>
      <c r="D38" s="276"/>
      <c r="E38" s="276"/>
      <c r="F38" s="276"/>
      <c r="G38" s="658" t="s">
        <v>183</v>
      </c>
      <c r="H38" s="276"/>
      <c r="I38" s="276"/>
      <c r="J38" s="276"/>
      <c r="K38" s="276"/>
      <c r="L38" s="276"/>
      <c r="M38" s="276"/>
      <c r="N38" s="276"/>
      <c r="O38" s="276"/>
      <c r="P38" s="276"/>
      <c r="Q38" s="276"/>
      <c r="R38" s="276"/>
      <c r="S38" s="277"/>
      <c r="T38" s="277"/>
      <c r="U38" s="277"/>
      <c r="V38" s="277"/>
      <c r="W38" s="277"/>
      <c r="X38" s="312"/>
      <c r="Y38" s="277"/>
      <c r="Z38" s="277"/>
      <c r="AA38" s="277"/>
      <c r="AB38" s="277"/>
      <c r="AC38" s="277"/>
      <c r="AD38" s="336"/>
      <c r="AE38" s="25"/>
      <c r="AF38" s="316" t="s">
        <v>58</v>
      </c>
      <c r="AG38" s="317" t="s">
        <v>59</v>
      </c>
      <c r="AH38" s="318" t="s">
        <v>59</v>
      </c>
      <c r="AI38" s="25"/>
      <c r="AJ38" s="248"/>
      <c r="AK38" s="248"/>
      <c r="AL38" s="248"/>
      <c r="AM38" s="248"/>
      <c r="AN38" s="253"/>
      <c r="AO38" s="253"/>
      <c r="AP38" s="253"/>
      <c r="AQ38" s="253"/>
      <c r="AR38" s="253"/>
      <c r="AS38" s="253"/>
      <c r="AT38" s="253"/>
      <c r="AU38" s="253"/>
      <c r="AV38" s="253"/>
      <c r="AW38" s="253"/>
      <c r="AX38" s="253"/>
      <c r="AY38" s="253"/>
      <c r="AZ38" s="253"/>
      <c r="BA38" s="253"/>
      <c r="BB38" s="253"/>
      <c r="BC38" s="253"/>
      <c r="BD38" s="253"/>
      <c r="BE38" s="253"/>
      <c r="BF38" s="253"/>
      <c r="BG38" s="253"/>
      <c r="BH38" s="253"/>
      <c r="BI38" s="253"/>
      <c r="BJ38" s="253"/>
      <c r="BK38" s="253"/>
    </row>
    <row r="39" s="42" customFormat="1">
      <c r="C39" s="279">
        <v>27</v>
      </c>
      <c r="D39" s="42">
        <v>28</v>
      </c>
      <c r="E39" s="42">
        <v>29</v>
      </c>
      <c r="F39" s="42">
        <v>30</v>
      </c>
      <c r="G39" s="659">
        <v>1</v>
      </c>
      <c r="H39" s="42">
        <v>2</v>
      </c>
      <c r="I39" s="42">
        <v>3</v>
      </c>
      <c r="J39" s="42">
        <v>4</v>
      </c>
      <c r="K39" s="42">
        <v>5</v>
      </c>
      <c r="L39" s="42">
        <v>6</v>
      </c>
      <c r="M39" s="42">
        <v>7</v>
      </c>
      <c r="N39" s="42">
        <v>8</v>
      </c>
      <c r="O39" s="42">
        <v>9</v>
      </c>
      <c r="P39" s="42">
        <v>10</v>
      </c>
      <c r="Q39" s="42">
        <v>11</v>
      </c>
      <c r="R39" s="42">
        <v>12</v>
      </c>
      <c r="S39" s="42">
        <v>13</v>
      </c>
      <c r="T39" s="42">
        <v>14</v>
      </c>
      <c r="U39" s="42">
        <v>15</v>
      </c>
      <c r="V39" s="42">
        <v>16</v>
      </c>
      <c r="W39" s="42">
        <v>17</v>
      </c>
      <c r="X39" s="323">
        <v>18</v>
      </c>
      <c r="Y39" s="42">
        <v>19</v>
      </c>
      <c r="Z39" s="42">
        <v>20</v>
      </c>
      <c r="AA39" s="42">
        <v>21</v>
      </c>
      <c r="AB39" s="42">
        <v>22</v>
      </c>
      <c r="AC39" s="42">
        <v>23</v>
      </c>
      <c r="AD39" s="337">
        <v>24</v>
      </c>
      <c r="AE39" s="25"/>
      <c r="AF39" s="324" t="s">
        <v>60</v>
      </c>
      <c r="AG39" s="325">
        <v>28</v>
      </c>
      <c r="AH39" s="326" t="s">
        <v>31</v>
      </c>
      <c r="AI39" s="25"/>
      <c r="AJ39" s="248"/>
      <c r="AK39" s="248"/>
      <c r="AL39" s="248"/>
      <c r="AM39" s="248"/>
      <c r="AN39" s="254"/>
      <c r="AO39" s="254"/>
      <c r="AP39" s="254"/>
      <c r="AQ39" s="254"/>
      <c r="AR39" s="254"/>
      <c r="AS39" s="254"/>
      <c r="AT39" s="254"/>
      <c r="AU39" s="254"/>
      <c r="AV39" s="254"/>
      <c r="AW39" s="254"/>
      <c r="AX39" s="254"/>
      <c r="AY39" s="254"/>
      <c r="AZ39" s="254"/>
      <c r="BA39" s="254"/>
      <c r="BB39" s="254"/>
      <c r="BC39" s="254"/>
      <c r="BD39" s="254"/>
      <c r="BE39" s="254"/>
      <c r="BF39" s="254"/>
      <c r="BG39" s="254"/>
      <c r="BH39" s="254"/>
      <c r="BI39" s="254"/>
      <c r="BJ39" s="254"/>
      <c r="BK39" s="254"/>
    </row>
    <row r="40" ht="14.25" customHeight="1">
      <c r="A40" s="1"/>
      <c r="B40" s="46" t="s">
        <v>26</v>
      </c>
      <c r="C40" s="444">
        <v>90.49985384389132302752716322</v>
      </c>
      <c r="D40" s="445">
        <v>96.75195064418011750043734180</v>
      </c>
      <c r="E40" s="445">
        <v>99.87298131012141161335467541</v>
      </c>
      <c r="F40" s="445">
        <v>101.66056853364362074869795737</v>
      </c>
      <c r="G40" s="660">
        <v>106.29984051031367623604468367</v>
      </c>
      <c r="H40" s="445">
        <v>99.87298131012141161335467541</v>
      </c>
      <c r="I40" s="445">
        <v>100.11552474900046027478370090</v>
      </c>
      <c r="J40" s="445">
        <v>143.05609284326844594427756616</v>
      </c>
      <c r="K40" s="445">
        <v>98.01555376777309630093716602</v>
      </c>
      <c r="L40" s="445">
        <v>72.331478045721246854214809240</v>
      </c>
      <c r="M40" s="445">
        <v>100.02134016216551008998936387</v>
      </c>
      <c r="N40" s="445">
        <v>107.08539944905761915351866210</v>
      </c>
      <c r="O40" s="445">
        <v>106.88920454540110085227275400</v>
      </c>
      <c r="P40" s="445">
        <v>118.74389051810704915965062092</v>
      </c>
      <c r="Q40" s="445">
        <v>101.86125211499717419498917261</v>
      </c>
      <c r="R40" s="445">
        <v>123.67745249099504322164477520</v>
      </c>
      <c r="S40" s="445">
        <v>126.18819776722483337530433977</v>
      </c>
      <c r="T40" s="445">
        <v>113.93939393939393939393939394</v>
      </c>
      <c r="U40" s="445">
        <v>112.89412342043189693323935860</v>
      </c>
      <c r="V40" s="445">
        <v>108.42733908427022508100882024</v>
      </c>
      <c r="W40" s="445">
        <v>106.76441837728303017689907741</v>
      </c>
      <c r="X40" s="446">
        <v>113.05704099816094028520501935</v>
      </c>
      <c r="Y40" s="445">
        <v>111.55735436554756454581469260</v>
      </c>
      <c r="Z40" s="445">
        <v>127.50398724084947830101570031</v>
      </c>
      <c r="AA40" s="445">
        <v>169.07308377910315845886791247</v>
      </c>
      <c r="AB40" s="445">
        <v>149.52706253280484965934530869</v>
      </c>
      <c r="AC40" s="445">
        <v>90.51997245181079487540696667</v>
      </c>
      <c r="AD40" s="447">
        <v>103.08101939903345847968666685</v>
      </c>
      <c r="AE40" s="448"/>
      <c r="AF40" s="444">
        <v>120.12512335196251726604031373</v>
      </c>
      <c r="AG40" s="445">
        <v>108.82451733794593973570027689</v>
      </c>
      <c r="AH40" s="449">
        <v>111.27096687730293635053145318</v>
      </c>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c r="BH40" s="244"/>
      <c r="BI40" s="244"/>
      <c r="BJ40" s="244"/>
      <c r="BK40" s="244"/>
    </row>
    <row r="41" ht="14.25" customHeight="1">
      <c r="A41" s="24"/>
      <c r="B41" s="48" t="s">
        <v>185</v>
      </c>
      <c r="C41" s="329">
        <v>98.90574512453204159093094479</v>
      </c>
      <c r="D41" s="330">
        <v>106.30946634489723924219880114</v>
      </c>
      <c r="E41" s="330">
        <v>106.27772410420436532224412313</v>
      </c>
      <c r="F41" s="330">
        <v>105.48502655307010662774272939</v>
      </c>
      <c r="G41" s="663">
        <v>109.34135039714676528504957960</v>
      </c>
      <c r="H41" s="330">
        <v>103.74081022161029262174594398</v>
      </c>
      <c r="I41" s="330">
        <v>104.26488015221126535804138395</v>
      </c>
      <c r="J41" s="330">
        <v>121.20810458134486873596593261</v>
      </c>
      <c r="K41" s="330">
        <v>93.70387994649211224760656151</v>
      </c>
      <c r="L41" s="330">
        <v>77.164113412708084913512372890</v>
      </c>
      <c r="M41" s="330">
        <v>116.72573189518939212869865974</v>
      </c>
      <c r="N41" s="330">
        <v>110.04526568461632260867598875</v>
      </c>
      <c r="O41" s="330">
        <v>102.13125228187864516847969290</v>
      </c>
      <c r="P41" s="330">
        <v>111.76799990104472310141100916</v>
      </c>
      <c r="Q41" s="330">
        <v>107.65345391571223936975525346</v>
      </c>
      <c r="R41" s="330">
        <v>103.09735872243365950983428982</v>
      </c>
      <c r="S41" s="330">
        <v>103.01489233534483692653579363</v>
      </c>
      <c r="T41" s="330">
        <v>94.95279501540156568003319971</v>
      </c>
      <c r="U41" s="330">
        <v>104.59468219116207343359075973</v>
      </c>
      <c r="V41" s="330">
        <v>99.66473786112715913822582861</v>
      </c>
      <c r="W41" s="330">
        <v>110.71031248289779705450634798</v>
      </c>
      <c r="X41" s="331">
        <v>128.75465876664002168904704173</v>
      </c>
      <c r="Y41" s="330">
        <v>130.98669623052564568091044500</v>
      </c>
      <c r="Z41" s="330">
        <v>127.43419630312797537249243486</v>
      </c>
      <c r="AA41" s="330">
        <v>137.17478954970755152598277093</v>
      </c>
      <c r="AB41" s="330">
        <v>128.40175953085681813451899991</v>
      </c>
      <c r="AC41" s="330">
        <v>92.33501661442615978629449440</v>
      </c>
      <c r="AD41" s="338">
        <v>102.01346564985836128386944494</v>
      </c>
      <c r="AE41" s="88"/>
      <c r="AF41" s="329">
        <v>119.80927501219013508484684770</v>
      </c>
      <c r="AG41" s="330">
        <v>108.21685187029284078860593051</v>
      </c>
      <c r="AH41" s="332">
        <v>108.96392846066666474951815529</v>
      </c>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c r="BH41" s="244"/>
      <c r="BI41" s="244"/>
      <c r="BJ41" s="244"/>
      <c r="BK41" s="244"/>
    </row>
    <row r="42" ht="12" customHeight="1">
      <c r="B42" s="4"/>
      <c r="X42" s="27"/>
      <c r="AD42" s="28"/>
      <c r="AF42" s="43"/>
      <c r="AG42" s="43"/>
      <c r="AH42" s="43"/>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row>
    <row r="43" ht="18">
      <c r="B43" s="29"/>
      <c r="X43" s="27"/>
      <c r="AD43" s="28"/>
      <c r="AF43" s="43"/>
      <c r="AG43" s="43"/>
      <c r="AH43" s="43"/>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row>
    <row r="44" s="41" customFormat="1" ht="18">
      <c r="B44" s="417" t="s">
        <v>77</v>
      </c>
      <c r="C44" s="275" t="s">
        <v>186</v>
      </c>
      <c r="D44" s="276"/>
      <c r="E44" s="276"/>
      <c r="F44" s="276"/>
      <c r="G44" s="658" t="s">
        <v>183</v>
      </c>
      <c r="H44" s="276"/>
      <c r="I44" s="276"/>
      <c r="J44" s="276"/>
      <c r="K44" s="276"/>
      <c r="L44" s="276"/>
      <c r="M44" s="276"/>
      <c r="N44" s="276"/>
      <c r="O44" s="276"/>
      <c r="P44" s="276"/>
      <c r="Q44" s="276"/>
      <c r="R44" s="276"/>
      <c r="S44" s="277"/>
      <c r="T44" s="277"/>
      <c r="U44" s="277"/>
      <c r="V44" s="277"/>
      <c r="W44" s="277"/>
      <c r="X44" s="312"/>
      <c r="Y44" s="277"/>
      <c r="Z44" s="277"/>
      <c r="AA44" s="277"/>
      <c r="AB44" s="277"/>
      <c r="AC44" s="277"/>
      <c r="AD44" s="336"/>
      <c r="AE44" s="25"/>
      <c r="AF44" s="316" t="s">
        <v>58</v>
      </c>
      <c r="AG44" s="317" t="s">
        <v>59</v>
      </c>
      <c r="AH44" s="318" t="s">
        <v>59</v>
      </c>
      <c r="AI44" s="25"/>
      <c r="AJ44" s="248"/>
      <c r="AK44" s="248"/>
      <c r="AL44" s="248"/>
      <c r="AM44" s="248"/>
      <c r="AN44" s="253"/>
      <c r="AO44" s="253"/>
      <c r="AP44" s="253"/>
      <c r="AQ44" s="253"/>
      <c r="AR44" s="253"/>
      <c r="AS44" s="253"/>
      <c r="AT44" s="253"/>
      <c r="AU44" s="253"/>
      <c r="AV44" s="253"/>
      <c r="AW44" s="253"/>
      <c r="AX44" s="253"/>
      <c r="AY44" s="253"/>
      <c r="AZ44" s="253"/>
      <c r="BA44" s="253"/>
      <c r="BB44" s="253"/>
      <c r="BC44" s="253"/>
      <c r="BD44" s="253"/>
      <c r="BE44" s="253"/>
      <c r="BF44" s="253"/>
      <c r="BG44" s="253"/>
      <c r="BH44" s="253"/>
      <c r="BI44" s="253"/>
      <c r="BJ44" s="253"/>
      <c r="BK44" s="253"/>
    </row>
    <row r="45" s="42" customFormat="1">
      <c r="C45" s="284">
        <v>27</v>
      </c>
      <c r="D45" s="42">
        <v>28</v>
      </c>
      <c r="E45" s="42">
        <v>29</v>
      </c>
      <c r="F45" s="42">
        <v>30</v>
      </c>
      <c r="G45" s="659">
        <v>1</v>
      </c>
      <c r="H45" s="42">
        <v>2</v>
      </c>
      <c r="I45" s="42">
        <v>3</v>
      </c>
      <c r="J45" s="42">
        <v>4</v>
      </c>
      <c r="K45" s="42">
        <v>5</v>
      </c>
      <c r="L45" s="42">
        <v>6</v>
      </c>
      <c r="M45" s="42">
        <v>7</v>
      </c>
      <c r="N45" s="42">
        <v>8</v>
      </c>
      <c r="O45" s="42">
        <v>9</v>
      </c>
      <c r="P45" s="42">
        <v>10</v>
      </c>
      <c r="Q45" s="42">
        <v>11</v>
      </c>
      <c r="R45" s="42">
        <v>12</v>
      </c>
      <c r="S45" s="42">
        <v>13</v>
      </c>
      <c r="T45" s="42">
        <v>14</v>
      </c>
      <c r="U45" s="42">
        <v>15</v>
      </c>
      <c r="V45" s="42">
        <v>16</v>
      </c>
      <c r="W45" s="42">
        <v>17</v>
      </c>
      <c r="X45" s="323">
        <v>18</v>
      </c>
      <c r="Y45" s="42">
        <v>19</v>
      </c>
      <c r="Z45" s="42">
        <v>20</v>
      </c>
      <c r="AA45" s="42">
        <v>21</v>
      </c>
      <c r="AB45" s="42">
        <v>22</v>
      </c>
      <c r="AC45" s="42">
        <v>23</v>
      </c>
      <c r="AD45" s="337">
        <v>24</v>
      </c>
      <c r="AE45" s="25"/>
      <c r="AF45" s="324" t="s">
        <v>60</v>
      </c>
      <c r="AG45" s="325">
        <v>28</v>
      </c>
      <c r="AH45" s="326" t="s">
        <v>31</v>
      </c>
      <c r="AI45" s="25"/>
      <c r="AJ45" s="248"/>
      <c r="AK45" s="248"/>
      <c r="AL45" s="248"/>
      <c r="AM45" s="248"/>
      <c r="AN45" s="254"/>
      <c r="AO45" s="254"/>
      <c r="AP45" s="254"/>
      <c r="AQ45" s="254"/>
      <c r="AR45" s="254"/>
      <c r="AS45" s="254"/>
      <c r="AT45" s="254"/>
      <c r="AU45" s="254"/>
      <c r="AV45" s="254"/>
      <c r="AW45" s="254"/>
      <c r="AX45" s="254"/>
      <c r="AY45" s="254"/>
      <c r="AZ45" s="254"/>
      <c r="BA45" s="254"/>
      <c r="BB45" s="254"/>
      <c r="BC45" s="254"/>
      <c r="BD45" s="254"/>
      <c r="BE45" s="254"/>
      <c r="BF45" s="254"/>
      <c r="BG45" s="254"/>
      <c r="BH45" s="254"/>
      <c r="BI45" s="254"/>
      <c r="BJ45" s="254"/>
      <c r="BK45" s="254"/>
    </row>
    <row r="46" ht="14.25" customHeight="1">
      <c r="A46" s="1"/>
      <c r="B46" s="46" t="s">
        <v>26</v>
      </c>
      <c r="C46" s="444">
        <v>-21.982364993924885281225492360</v>
      </c>
      <c r="D46" s="445">
        <v>-27.546761010607845499516738320</v>
      </c>
      <c r="E46" s="445">
        <v>-33.852191131976302936948389510</v>
      </c>
      <c r="F46" s="445">
        <v>-27.939883402196790353320578100</v>
      </c>
      <c r="G46" s="660">
        <v>1.0323632794217034156653774100</v>
      </c>
      <c r="H46" s="445">
        <v>-3.3619089812685938288010085300</v>
      </c>
      <c r="I46" s="445">
        <v>-0.1234144508172767360642496700</v>
      </c>
      <c r="J46" s="445">
        <v>30.279999675652157679877357470</v>
      </c>
      <c r="K46" s="445">
        <v>-14.933012299271171291558969650</v>
      </c>
      <c r="L46" s="445">
        <v>-45.473952281221402212874417620</v>
      </c>
      <c r="M46" s="445">
        <v>-15.519791450584906483388717260</v>
      </c>
      <c r="N46" s="445">
        <v>-5.7726038261658987997775389800</v>
      </c>
      <c r="O46" s="445">
        <v>-8.712091195625183201856841500</v>
      </c>
      <c r="P46" s="445">
        <v>16.233791229915769431674151330</v>
      </c>
      <c r="Q46" s="445">
        <v>5.3387193709165856403859320100</v>
      </c>
      <c r="R46" s="445">
        <v>-7.231368741850669064058900200</v>
      </c>
      <c r="S46" s="445">
        <v>-8.821560151573039412612840910</v>
      </c>
      <c r="T46" s="445">
        <v>-10.427185741534127670327159650</v>
      </c>
      <c r="U46" s="445">
        <v>12.221838745393991586009396100</v>
      </c>
      <c r="V46" s="445">
        <v>8.014695531051588322104234150</v>
      </c>
      <c r="W46" s="445">
        <v>6.1496071834865967218211188900</v>
      </c>
      <c r="X46" s="446">
        <v>10.644900161866136040299797300</v>
      </c>
      <c r="Y46" s="445">
        <v>3.1755853433675979632637345200</v>
      </c>
      <c r="Z46" s="445">
        <v>14.160546715758460885997257580</v>
      </c>
      <c r="AA46" s="445">
        <v>28.145244259504632426674396090</v>
      </c>
      <c r="AB46" s="445">
        <v>28.735875315348324225159536190</v>
      </c>
      <c r="AC46" s="445">
        <v>-10.343664733214665838729142970</v>
      </c>
      <c r="AD46" s="447">
        <v>3.548772181381243554954773600</v>
      </c>
      <c r="AE46" s="448"/>
      <c r="AF46" s="444">
        <v>9.978919961557793781057963400</v>
      </c>
      <c r="AG46" s="445">
        <v>-4.3026341949532748319867333800</v>
      </c>
      <c r="AH46" s="449">
        <v>-0.9130088887192192552285311300</v>
      </c>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c r="BH46" s="244"/>
      <c r="BI46" s="244"/>
      <c r="BJ46" s="244"/>
      <c r="BK46" s="244"/>
    </row>
    <row r="47" ht="14.25" customHeight="1">
      <c r="A47" s="24"/>
      <c r="B47" s="48" t="s">
        <v>185</v>
      </c>
      <c r="C47" s="329">
        <v>-30.535475140798621459647289260</v>
      </c>
      <c r="D47" s="330">
        <v>-19.361154491937975351889774650</v>
      </c>
      <c r="E47" s="330">
        <v>-19.218128392701594760544774330</v>
      </c>
      <c r="F47" s="330">
        <v>-20.715005807345851249919794040</v>
      </c>
      <c r="G47" s="663">
        <v>-1.5625880277265683182931155700</v>
      </c>
      <c r="H47" s="330">
        <v>0.0812885628330883442190274200</v>
      </c>
      <c r="I47" s="330">
        <v>-0.4716926781062410330536263200</v>
      </c>
      <c r="J47" s="330">
        <v>8.576063870296942909276342270</v>
      </c>
      <c r="K47" s="330">
        <v>-12.467908525401669598139821830</v>
      </c>
      <c r="L47" s="330">
        <v>-29.308198290805294364266707410</v>
      </c>
      <c r="M47" s="330">
        <v>5.3270661739031371261693618900</v>
      </c>
      <c r="N47" s="330">
        <v>-2.2213201718433125893766310600</v>
      </c>
      <c r="O47" s="330">
        <v>-14.620067730952732791852707080</v>
      </c>
      <c r="P47" s="330">
        <v>3.3331122773027729238299193600</v>
      </c>
      <c r="Q47" s="330">
        <v>-6.0742680865485167664543021400</v>
      </c>
      <c r="R47" s="330">
        <v>-15.237125464001548249248681390</v>
      </c>
      <c r="S47" s="330">
        <v>-9.764063239337341280142479200</v>
      </c>
      <c r="T47" s="330">
        <v>-12.050171916587348230940966440</v>
      </c>
      <c r="U47" s="330">
        <v>4.8509860434595407061076597700</v>
      </c>
      <c r="V47" s="330">
        <v>0.3446026647203660902643794600</v>
      </c>
      <c r="W47" s="330">
        <v>9.598568980891681601428512930</v>
      </c>
      <c r="X47" s="331">
        <v>1.6737993599114182206689797300</v>
      </c>
      <c r="Y47" s="330">
        <v>-0.7246675072317521998941474300</v>
      </c>
      <c r="Z47" s="330">
        <v>11.135492492424262710825106060</v>
      </c>
      <c r="AA47" s="330">
        <v>3.301421534928934902748627600</v>
      </c>
      <c r="AB47" s="330">
        <v>-0.4969960775548771544321902900</v>
      </c>
      <c r="AC47" s="330">
        <v>-19.035848679484321635222933310</v>
      </c>
      <c r="AD47" s="338">
        <v>-5.5738835681230222520074177200</v>
      </c>
      <c r="AE47" s="88"/>
      <c r="AF47" s="329">
        <v>-1.5967041691207086436335440100</v>
      </c>
      <c r="AG47" s="330">
        <v>-6.2152626186307190090268034700</v>
      </c>
      <c r="AH47" s="332">
        <v>-3.9419844551055314371194015300</v>
      </c>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c r="BH47" s="244"/>
      <c r="BI47" s="244"/>
      <c r="BJ47" s="244"/>
      <c r="BK47" s="244"/>
    </row>
    <row r="48" ht="14.25" customHeight="1">
      <c r="A48" s="24"/>
      <c r="B48" s="53"/>
      <c r="C48" s="472"/>
      <c r="D48" s="472"/>
      <c r="E48" s="472"/>
      <c r="F48" s="472"/>
      <c r="G48" s="472"/>
      <c r="H48" s="472"/>
      <c r="I48" s="472"/>
      <c r="J48" s="472"/>
      <c r="K48" s="472"/>
      <c r="L48" s="472"/>
      <c r="M48" s="472"/>
      <c r="N48" s="472"/>
      <c r="O48" s="472"/>
      <c r="P48" s="472"/>
      <c r="Q48" s="472"/>
      <c r="R48" s="472"/>
      <c r="S48" s="472"/>
      <c r="T48" s="472"/>
      <c r="U48" s="472"/>
      <c r="V48" s="472"/>
      <c r="W48" s="472"/>
      <c r="X48" s="473"/>
      <c r="Y48" s="472"/>
      <c r="Z48" s="472"/>
      <c r="AA48" s="472"/>
      <c r="AB48" s="472"/>
      <c r="AC48" s="472"/>
      <c r="AD48" s="474"/>
      <c r="AE48" s="475"/>
      <c r="AF48" s="472"/>
      <c r="AG48" s="472"/>
      <c r="AH48" s="472"/>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c r="BK48" s="244"/>
    </row>
    <row r="49" ht="18">
      <c r="B49" s="29"/>
      <c r="X49" s="27"/>
      <c r="AD49" s="28"/>
      <c r="AF49" s="43"/>
      <c r="AG49" s="43"/>
      <c r="AH49" s="43"/>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c r="BK49" s="244"/>
    </row>
    <row r="50" s="41" customFormat="1" ht="18">
      <c r="B50" s="417" t="s">
        <v>55</v>
      </c>
      <c r="C50" s="275" t="s">
        <v>186</v>
      </c>
      <c r="D50" s="276"/>
      <c r="E50" s="276"/>
      <c r="F50" s="276"/>
      <c r="G50" s="658" t="s">
        <v>183</v>
      </c>
      <c r="H50" s="276"/>
      <c r="I50" s="276"/>
      <c r="J50" s="276"/>
      <c r="K50" s="276"/>
      <c r="L50" s="276"/>
      <c r="M50" s="276"/>
      <c r="N50" s="276"/>
      <c r="O50" s="276"/>
      <c r="P50" s="276"/>
      <c r="Q50" s="276"/>
      <c r="R50" s="276"/>
      <c r="S50" s="277"/>
      <c r="T50" s="277"/>
      <c r="U50" s="277"/>
      <c r="V50" s="277"/>
      <c r="W50" s="277"/>
      <c r="X50" s="312"/>
      <c r="Y50" s="277"/>
      <c r="Z50" s="277"/>
      <c r="AA50" s="277"/>
      <c r="AB50" s="277"/>
      <c r="AC50" s="277"/>
      <c r="AD50" s="336"/>
      <c r="AE50" s="25"/>
      <c r="AF50" s="316" t="s">
        <v>58</v>
      </c>
      <c r="AG50" s="317" t="s">
        <v>59</v>
      </c>
      <c r="AH50" s="318" t="s">
        <v>59</v>
      </c>
      <c r="AI50" s="25"/>
      <c r="AJ50" s="248"/>
      <c r="AK50" s="248"/>
      <c r="AL50" s="248"/>
      <c r="AM50" s="248"/>
      <c r="AN50" s="253"/>
      <c r="AO50" s="253"/>
      <c r="AP50" s="253"/>
      <c r="AQ50" s="253"/>
      <c r="AR50" s="253"/>
      <c r="AS50" s="253"/>
      <c r="AT50" s="253"/>
      <c r="AU50" s="253"/>
      <c r="AV50" s="253"/>
      <c r="AW50" s="253"/>
      <c r="AX50" s="253"/>
      <c r="AY50" s="253"/>
      <c r="AZ50" s="253"/>
      <c r="BA50" s="253"/>
      <c r="BB50" s="253"/>
      <c r="BC50" s="253"/>
      <c r="BD50" s="253"/>
      <c r="BE50" s="253"/>
      <c r="BF50" s="253"/>
      <c r="BG50" s="253"/>
      <c r="BH50" s="253"/>
      <c r="BI50" s="253"/>
      <c r="BJ50" s="253"/>
      <c r="BK50" s="253"/>
    </row>
    <row r="51" s="42" customFormat="1">
      <c r="C51" s="284">
        <v>27</v>
      </c>
      <c r="D51" s="42">
        <v>28</v>
      </c>
      <c r="E51" s="42">
        <v>29</v>
      </c>
      <c r="F51" s="42">
        <v>30</v>
      </c>
      <c r="G51" s="659">
        <v>1</v>
      </c>
      <c r="H51" s="42">
        <v>2</v>
      </c>
      <c r="I51" s="42">
        <v>3</v>
      </c>
      <c r="J51" s="42">
        <v>4</v>
      </c>
      <c r="K51" s="42">
        <v>5</v>
      </c>
      <c r="L51" s="42">
        <v>6</v>
      </c>
      <c r="M51" s="42">
        <v>7</v>
      </c>
      <c r="N51" s="42">
        <v>8</v>
      </c>
      <c r="O51" s="42">
        <v>9</v>
      </c>
      <c r="P51" s="42">
        <v>10</v>
      </c>
      <c r="Q51" s="42">
        <v>11</v>
      </c>
      <c r="R51" s="42">
        <v>12</v>
      </c>
      <c r="S51" s="42">
        <v>13</v>
      </c>
      <c r="T51" s="42">
        <v>14</v>
      </c>
      <c r="U51" s="42">
        <v>15</v>
      </c>
      <c r="V51" s="42">
        <v>16</v>
      </c>
      <c r="W51" s="42">
        <v>17</v>
      </c>
      <c r="X51" s="323">
        <v>18</v>
      </c>
      <c r="Y51" s="42">
        <v>19</v>
      </c>
      <c r="Z51" s="42">
        <v>20</v>
      </c>
      <c r="AA51" s="42">
        <v>21</v>
      </c>
      <c r="AB51" s="42">
        <v>22</v>
      </c>
      <c r="AC51" s="42">
        <v>23</v>
      </c>
      <c r="AD51" s="337">
        <v>24</v>
      </c>
      <c r="AE51" s="25"/>
      <c r="AF51" s="324" t="s">
        <v>60</v>
      </c>
      <c r="AG51" s="325">
        <v>28</v>
      </c>
      <c r="AH51" s="326" t="s">
        <v>31</v>
      </c>
      <c r="AI51" s="25"/>
      <c r="AJ51" s="248"/>
      <c r="AK51" s="248"/>
      <c r="AL51" s="248"/>
      <c r="AM51" s="248"/>
      <c r="AN51" s="254"/>
      <c r="AO51" s="254"/>
      <c r="AP51" s="254"/>
      <c r="AQ51" s="254"/>
      <c r="AR51" s="254"/>
      <c r="AS51" s="254"/>
      <c r="AT51" s="254"/>
      <c r="AU51" s="254"/>
      <c r="AV51" s="254"/>
      <c r="AW51" s="254"/>
      <c r="AX51" s="254"/>
      <c r="AY51" s="254"/>
      <c r="AZ51" s="254"/>
      <c r="BA51" s="254"/>
      <c r="BB51" s="254"/>
      <c r="BC51" s="254"/>
      <c r="BD51" s="254"/>
      <c r="BE51" s="254"/>
      <c r="BF51" s="254"/>
      <c r="BG51" s="254"/>
      <c r="BH51" s="254"/>
      <c r="BI51" s="254"/>
      <c r="BJ51" s="254"/>
      <c r="BK51" s="254"/>
    </row>
    <row r="52" ht="14.25" customHeight="1">
      <c r="A52" s="1"/>
      <c r="B52" s="46" t="s">
        <v>56</v>
      </c>
      <c r="C52" s="455" t="s">
        <v>179</v>
      </c>
      <c r="D52" s="456" t="s">
        <v>180</v>
      </c>
      <c r="E52" s="456" t="s">
        <v>171</v>
      </c>
      <c r="F52" s="456" t="s">
        <v>171</v>
      </c>
      <c r="G52" s="664" t="s">
        <v>176</v>
      </c>
      <c r="H52" s="456" t="s">
        <v>171</v>
      </c>
      <c r="I52" s="456" t="s">
        <v>171</v>
      </c>
      <c r="J52" s="456" t="s">
        <v>176</v>
      </c>
      <c r="K52" s="456" t="s">
        <v>171</v>
      </c>
      <c r="L52" s="456" t="s">
        <v>180</v>
      </c>
      <c r="M52" s="456" t="s">
        <v>171</v>
      </c>
      <c r="N52" s="456" t="s">
        <v>171</v>
      </c>
      <c r="O52" s="456" t="s">
        <v>170</v>
      </c>
      <c r="P52" s="456" t="s">
        <v>170</v>
      </c>
      <c r="Q52" s="456" t="s">
        <v>170</v>
      </c>
      <c r="R52" s="456" t="s">
        <v>170</v>
      </c>
      <c r="S52" s="456" t="s">
        <v>170</v>
      </c>
      <c r="T52" s="456" t="s">
        <v>170</v>
      </c>
      <c r="U52" s="456" t="s">
        <v>171</v>
      </c>
      <c r="V52" s="456" t="s">
        <v>170</v>
      </c>
      <c r="W52" s="456" t="s">
        <v>170</v>
      </c>
      <c r="X52" s="457" t="s">
        <v>170</v>
      </c>
      <c r="Y52" s="456" t="s">
        <v>172</v>
      </c>
      <c r="Z52" s="456" t="s">
        <v>174</v>
      </c>
      <c r="AA52" s="456" t="s">
        <v>174</v>
      </c>
      <c r="AB52" s="456" t="s">
        <v>174</v>
      </c>
      <c r="AC52" s="456" t="s">
        <v>175</v>
      </c>
      <c r="AD52" s="458" t="s">
        <v>172</v>
      </c>
      <c r="AE52" s="459"/>
      <c r="AF52" s="455" t="s">
        <v>174</v>
      </c>
      <c r="AG52" s="456" t="s">
        <v>170</v>
      </c>
      <c r="AH52" s="460" t="s">
        <v>170</v>
      </c>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row>
    <row r="53" ht="14.25" customHeight="1" thickBot="1">
      <c r="B53" s="48" t="s">
        <v>76</v>
      </c>
      <c r="C53" s="333" t="s">
        <v>179</v>
      </c>
      <c r="D53" s="334" t="s">
        <v>179</v>
      </c>
      <c r="E53" s="334" t="s">
        <v>179</v>
      </c>
      <c r="F53" s="334" t="s">
        <v>179</v>
      </c>
      <c r="G53" s="665" t="s">
        <v>180</v>
      </c>
      <c r="H53" s="334" t="s">
        <v>180</v>
      </c>
      <c r="I53" s="334" t="s">
        <v>171</v>
      </c>
      <c r="J53" s="334" t="s">
        <v>176</v>
      </c>
      <c r="K53" s="334" t="s">
        <v>171</v>
      </c>
      <c r="L53" s="334" t="s">
        <v>179</v>
      </c>
      <c r="M53" s="334" t="s">
        <v>180</v>
      </c>
      <c r="N53" s="334" t="s">
        <v>171</v>
      </c>
      <c r="O53" s="334" t="s">
        <v>180</v>
      </c>
      <c r="P53" s="334" t="s">
        <v>170</v>
      </c>
      <c r="Q53" s="334" t="s">
        <v>171</v>
      </c>
      <c r="R53" s="334" t="s">
        <v>171</v>
      </c>
      <c r="S53" s="334" t="s">
        <v>170</v>
      </c>
      <c r="T53" s="334" t="s">
        <v>171</v>
      </c>
      <c r="U53" s="334" t="s">
        <v>170</v>
      </c>
      <c r="V53" s="334" t="s">
        <v>176</v>
      </c>
      <c r="W53" s="334" t="s">
        <v>176</v>
      </c>
      <c r="X53" s="60" t="s">
        <v>170</v>
      </c>
      <c r="Y53" s="61" t="s">
        <v>173</v>
      </c>
      <c r="Z53" s="61" t="s">
        <v>172</v>
      </c>
      <c r="AA53" s="61" t="s">
        <v>172</v>
      </c>
      <c r="AB53" s="61" t="s">
        <v>172</v>
      </c>
      <c r="AC53" s="61" t="s">
        <v>175</v>
      </c>
      <c r="AD53" s="62" t="s">
        <v>173</v>
      </c>
      <c r="AE53" s="59"/>
      <c r="AF53" s="333" t="s">
        <v>172</v>
      </c>
      <c r="AG53" s="334" t="s">
        <v>180</v>
      </c>
      <c r="AH53" s="335" t="s">
        <v>170</v>
      </c>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row>
    <row r="54" ht="9.95" customHeight="1">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row>
    <row r="55" ht="9.95" customHeight="1">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row>
    <row r="56" ht="24.95" customHeight="1">
      <c r="B56" s="611" t="s">
        <v>114</v>
      </c>
      <c r="C56" s="611"/>
      <c r="D56" s="611"/>
      <c r="E56" s="611"/>
      <c r="F56" s="611"/>
      <c r="G56" s="611"/>
      <c r="H56" s="611"/>
      <c r="I56" s="611"/>
      <c r="J56" s="611"/>
      <c r="K56" s="611"/>
      <c r="L56" s="611"/>
      <c r="M56" s="611"/>
      <c r="N56" s="611"/>
      <c r="O56" s="611"/>
      <c r="P56" s="611"/>
      <c r="Q56" s="611"/>
      <c r="R56" s="611"/>
      <c r="S56" s="611"/>
      <c r="T56" s="611"/>
      <c r="U56" s="611"/>
      <c r="V56" s="611"/>
      <c r="W56" s="611"/>
      <c r="X56" s="611"/>
      <c r="Y56" s="611"/>
      <c r="Z56" s="611"/>
      <c r="AA56" s="611"/>
      <c r="AB56" s="611"/>
      <c r="AC56" s="611"/>
      <c r="AD56" s="611"/>
      <c r="AE56" s="611"/>
      <c r="AF56" s="611"/>
      <c r="AG56" s="611"/>
      <c r="AH56" s="611"/>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row>
    <row r="57" ht="9.95" customHeight="1">
      <c r="B57" s="53"/>
      <c r="AF57" s="80"/>
      <c r="AG57" s="242"/>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row>
    <row r="58" ht="9.95" customHeight="1">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row>
    <row r="65" s="25" customFormat="1">
      <c r="A65" s="248"/>
      <c r="B65" s="248"/>
      <c r="C65" s="248"/>
      <c r="D65" s="248"/>
      <c r="E65" s="248"/>
      <c r="F65" s="248"/>
      <c r="G65" s="248"/>
      <c r="H65" s="248"/>
      <c r="I65" s="248"/>
      <c r="J65" s="248"/>
      <c r="K65" s="248"/>
      <c r="L65" s="248"/>
      <c r="M65" s="248"/>
      <c r="N65" s="248"/>
      <c r="O65" s="248"/>
      <c r="P65" s="248"/>
      <c r="Q65" s="248"/>
      <c r="R65" s="248"/>
      <c r="S65" s="248"/>
      <c r="T65" s="248"/>
      <c r="U65" s="248"/>
      <c r="V65" s="248"/>
      <c r="W65" s="248"/>
      <c r="X65" s="248"/>
      <c r="Y65" s="248"/>
      <c r="Z65" s="248"/>
      <c r="AA65" s="248"/>
      <c r="AB65" s="248"/>
      <c r="AC65" s="248"/>
      <c r="AD65" s="248"/>
      <c r="AE65" s="248"/>
      <c r="AF65" s="248"/>
      <c r="AG65" s="248"/>
      <c r="AH65" s="248"/>
      <c r="AI65" s="248"/>
      <c r="AJ65" s="248"/>
      <c r="AK65" s="248"/>
      <c r="AL65" s="248"/>
      <c r="AM65" s="248"/>
      <c r="AN65" s="248"/>
      <c r="AO65" s="248"/>
      <c r="AP65" s="248"/>
      <c r="AQ65" s="248"/>
      <c r="AR65" s="248"/>
      <c r="AS65" s="248"/>
      <c r="AT65" s="248"/>
      <c r="AU65" s="248"/>
      <c r="AV65" s="248"/>
      <c r="AW65" s="248"/>
      <c r="AX65" s="248"/>
      <c r="AY65" s="248"/>
      <c r="AZ65" s="248"/>
      <c r="BA65" s="248"/>
      <c r="BB65" s="248"/>
      <c r="BC65" s="248"/>
      <c r="BD65" s="248"/>
      <c r="BE65" s="248"/>
      <c r="BF65" s="248"/>
      <c r="BG65" s="248"/>
      <c r="BH65" s="248"/>
      <c r="BI65" s="248"/>
      <c r="BJ65" s="248"/>
      <c r="BK65" s="248"/>
    </row>
    <row r="66" s="25" customFormat="1" ht="10.5" customHeight="1">
      <c r="A66" s="248"/>
      <c r="B66" s="666"/>
      <c r="C66" s="666"/>
      <c r="D66" s="666"/>
      <c r="E66" s="666"/>
      <c r="F66" s="666"/>
      <c r="G66" s="666"/>
      <c r="H66" s="666"/>
      <c r="I66" s="666"/>
      <c r="J66" s="666"/>
      <c r="K66" s="666"/>
      <c r="L66" s="666"/>
      <c r="M66" s="666"/>
      <c r="N66" s="666"/>
      <c r="O66" s="666"/>
      <c r="P66" s="666"/>
      <c r="Q66" s="666"/>
      <c r="R66" s="666"/>
      <c r="S66" s="666"/>
      <c r="T66" s="666"/>
      <c r="U66" s="666"/>
      <c r="V66" s="666"/>
      <c r="W66" s="666"/>
      <c r="X66" s="666"/>
      <c r="Y66" s="666"/>
      <c r="Z66" s="666"/>
      <c r="AA66" s="666"/>
      <c r="AB66" s="666"/>
      <c r="AC66" s="666"/>
      <c r="AD66" s="666"/>
      <c r="AE66" s="666"/>
      <c r="AF66" s="666"/>
      <c r="AG66" s="666"/>
      <c r="AH66" s="666"/>
      <c r="AI66" s="248"/>
      <c r="AJ66" s="248"/>
      <c r="AK66" s="248"/>
      <c r="AL66" s="248"/>
      <c r="AM66" s="248"/>
      <c r="AN66" s="248"/>
      <c r="AO66" s="248"/>
      <c r="AP66" s="248"/>
      <c r="AQ66" s="248"/>
      <c r="AR66" s="248"/>
      <c r="AS66" s="248"/>
      <c r="AT66" s="248"/>
      <c r="AU66" s="248"/>
      <c r="AV66" s="248"/>
      <c r="AW66" s="248"/>
      <c r="AX66" s="248"/>
      <c r="AY66" s="248"/>
      <c r="AZ66" s="248"/>
      <c r="BA66" s="248"/>
      <c r="BB66" s="248"/>
      <c r="BC66" s="248"/>
      <c r="BD66" s="248"/>
      <c r="BE66" s="248"/>
      <c r="BF66" s="248"/>
      <c r="BG66" s="248"/>
      <c r="BH66" s="248"/>
      <c r="BI66" s="248"/>
      <c r="BJ66" s="248"/>
      <c r="BK66" s="248"/>
    </row>
    <row r="67" s="25" customFormat="1">
      <c r="A67" s="248"/>
      <c r="B67" s="666"/>
      <c r="C67" s="666"/>
      <c r="D67" s="666"/>
      <c r="E67" s="666"/>
      <c r="F67" s="666"/>
      <c r="G67" s="666"/>
      <c r="H67" s="666"/>
      <c r="I67" s="666"/>
      <c r="J67" s="666"/>
      <c r="K67" s="666"/>
      <c r="L67" s="666"/>
      <c r="M67" s="666"/>
      <c r="N67" s="666"/>
      <c r="O67" s="666"/>
      <c r="P67" s="666"/>
      <c r="Q67" s="666"/>
      <c r="R67" s="666"/>
      <c r="S67" s="666"/>
      <c r="T67" s="666"/>
      <c r="U67" s="666"/>
      <c r="V67" s="666"/>
      <c r="W67" s="666"/>
      <c r="X67" s="666"/>
      <c r="Y67" s="666"/>
      <c r="Z67" s="666"/>
      <c r="AA67" s="666"/>
      <c r="AB67" s="666"/>
      <c r="AC67" s="666"/>
      <c r="AD67" s="666"/>
      <c r="AE67" s="666"/>
      <c r="AF67" s="666"/>
      <c r="AG67" s="666"/>
      <c r="AH67" s="666"/>
      <c r="AI67" s="248"/>
      <c r="AJ67" s="248"/>
      <c r="AK67" s="248"/>
      <c r="AL67" s="248"/>
      <c r="AM67" s="248"/>
      <c r="AN67" s="248"/>
      <c r="AO67" s="248"/>
      <c r="AP67" s="248"/>
      <c r="AQ67" s="248"/>
      <c r="AR67" s="248"/>
      <c r="AS67" s="248"/>
      <c r="AT67" s="248"/>
      <c r="AU67" s="248"/>
      <c r="AV67" s="248"/>
      <c r="AW67" s="248"/>
      <c r="AX67" s="248"/>
      <c r="AY67" s="248"/>
      <c r="AZ67" s="248"/>
      <c r="BA67" s="248"/>
      <c r="BB67" s="248"/>
      <c r="BC67" s="248"/>
      <c r="BD67" s="248"/>
      <c r="BE67" s="248"/>
      <c r="BF67" s="248"/>
      <c r="BG67" s="248"/>
      <c r="BH67" s="248"/>
      <c r="BI67" s="248"/>
      <c r="BJ67" s="248"/>
      <c r="BK67" s="248"/>
    </row>
    <row r="68" s="84" customFormat="1">
      <c r="A68" s="249"/>
      <c r="B68" s="666"/>
      <c r="C68" s="666"/>
      <c r="D68" s="666"/>
      <c r="E68" s="666"/>
      <c r="F68" s="666"/>
      <c r="G68" s="666"/>
      <c r="H68" s="666"/>
      <c r="I68" s="666"/>
      <c r="J68" s="666"/>
      <c r="K68" s="666"/>
      <c r="L68" s="666"/>
      <c r="M68" s="666"/>
      <c r="N68" s="666"/>
      <c r="O68" s="666"/>
      <c r="P68" s="666"/>
      <c r="Q68" s="666"/>
      <c r="R68" s="666"/>
      <c r="S68" s="666"/>
      <c r="T68" s="666"/>
      <c r="U68" s="666"/>
      <c r="V68" s="666"/>
      <c r="W68" s="666"/>
      <c r="X68" s="666"/>
      <c r="Y68" s="666"/>
      <c r="Z68" s="666"/>
      <c r="AA68" s="666"/>
      <c r="AB68" s="666"/>
      <c r="AC68" s="666"/>
      <c r="AD68" s="666"/>
      <c r="AE68" s="666"/>
      <c r="AF68" s="666"/>
      <c r="AG68" s="666"/>
      <c r="AH68" s="666"/>
      <c r="AI68" s="249"/>
      <c r="AJ68" s="249"/>
      <c r="AK68" s="249"/>
      <c r="AL68" s="249"/>
      <c r="AM68" s="249"/>
      <c r="AN68" s="249"/>
      <c r="AO68" s="249"/>
      <c r="AP68" s="249"/>
      <c r="AQ68" s="249"/>
      <c r="AR68" s="249"/>
      <c r="AS68" s="249"/>
      <c r="AT68" s="249"/>
      <c r="AU68" s="249"/>
      <c r="AV68" s="249"/>
      <c r="AW68" s="249"/>
      <c r="AX68" s="249"/>
      <c r="AY68" s="249"/>
      <c r="AZ68" s="249"/>
      <c r="BA68" s="249"/>
      <c r="BB68" s="249"/>
      <c r="BC68" s="249"/>
      <c r="BD68" s="249"/>
      <c r="BE68" s="249"/>
      <c r="BF68" s="249"/>
      <c r="BG68" s="249"/>
      <c r="BH68" s="249"/>
      <c r="BI68" s="249"/>
      <c r="BJ68" s="249"/>
      <c r="BK68" s="249"/>
    </row>
    <row r="69" s="84" customFormat="1">
      <c r="A69" s="249"/>
      <c r="B69" s="666"/>
      <c r="C69" s="666"/>
      <c r="D69" s="666"/>
      <c r="E69" s="666"/>
      <c r="F69" s="666"/>
      <c r="G69" s="666"/>
      <c r="H69" s="666"/>
      <c r="I69" s="666"/>
      <c r="J69" s="666"/>
      <c r="K69" s="666"/>
      <c r="L69" s="666"/>
      <c r="M69" s="666"/>
      <c r="N69" s="666"/>
      <c r="O69" s="666"/>
      <c r="P69" s="666"/>
      <c r="Q69" s="666"/>
      <c r="R69" s="666"/>
      <c r="S69" s="666"/>
      <c r="T69" s="666"/>
      <c r="U69" s="666"/>
      <c r="V69" s="666"/>
      <c r="W69" s="666"/>
      <c r="X69" s="666"/>
      <c r="Y69" s="666"/>
      <c r="Z69" s="666"/>
      <c r="AA69" s="666"/>
      <c r="AB69" s="666"/>
      <c r="AC69" s="666"/>
      <c r="AD69" s="666"/>
      <c r="AE69" s="666"/>
      <c r="AF69" s="666"/>
      <c r="AG69" s="666"/>
      <c r="AH69" s="666"/>
      <c r="AI69" s="249"/>
      <c r="AJ69" s="249"/>
      <c r="AK69" s="249"/>
      <c r="AL69" s="249"/>
      <c r="AM69" s="249"/>
      <c r="AN69" s="249"/>
      <c r="AO69" s="249"/>
      <c r="AP69" s="249"/>
      <c r="AQ69" s="249"/>
      <c r="AR69" s="249"/>
      <c r="AS69" s="249"/>
      <c r="AT69" s="249"/>
      <c r="AU69" s="249"/>
      <c r="AV69" s="249"/>
      <c r="AW69" s="249"/>
      <c r="AX69" s="249"/>
      <c r="AY69" s="249"/>
      <c r="AZ69" s="249"/>
      <c r="BA69" s="249"/>
      <c r="BB69" s="249"/>
      <c r="BC69" s="249"/>
      <c r="BD69" s="249"/>
      <c r="BE69" s="249"/>
      <c r="BF69" s="249"/>
      <c r="BG69" s="249"/>
      <c r="BH69" s="249"/>
      <c r="BI69" s="249"/>
      <c r="BJ69" s="249"/>
      <c r="BK69" s="249"/>
    </row>
    <row r="70" s="84" customFormat="1">
      <c r="A70" s="249"/>
      <c r="B70" s="666"/>
      <c r="C70" s="666"/>
      <c r="D70" s="666"/>
      <c r="E70" s="666"/>
      <c r="F70" s="666"/>
      <c r="G70" s="666"/>
      <c r="H70" s="666"/>
      <c r="I70" s="666"/>
      <c r="J70" s="666"/>
      <c r="K70" s="666"/>
      <c r="L70" s="666"/>
      <c r="M70" s="666"/>
      <c r="N70" s="666"/>
      <c r="O70" s="666"/>
      <c r="P70" s="666"/>
      <c r="Q70" s="666"/>
      <c r="R70" s="666"/>
      <c r="S70" s="666"/>
      <c r="T70" s="666"/>
      <c r="U70" s="666"/>
      <c r="V70" s="666"/>
      <c r="W70" s="666"/>
      <c r="X70" s="666"/>
      <c r="Y70" s="666"/>
      <c r="Z70" s="666"/>
      <c r="AA70" s="666"/>
      <c r="AB70" s="666"/>
      <c r="AC70" s="666"/>
      <c r="AD70" s="666"/>
      <c r="AE70" s="666"/>
      <c r="AF70" s="666"/>
      <c r="AG70" s="666"/>
      <c r="AH70" s="666"/>
      <c r="AI70" s="249"/>
      <c r="AJ70" s="249"/>
      <c r="AK70" s="249"/>
      <c r="AL70" s="249"/>
      <c r="AM70" s="249"/>
      <c r="AN70" s="249"/>
      <c r="AO70" s="249"/>
      <c r="AP70" s="249"/>
      <c r="AQ70" s="249"/>
      <c r="AR70" s="249"/>
      <c r="AS70" s="249"/>
      <c r="AT70" s="249"/>
      <c r="AU70" s="249"/>
      <c r="AV70" s="249"/>
      <c r="AW70" s="249"/>
      <c r="AX70" s="249"/>
      <c r="AY70" s="249"/>
      <c r="AZ70" s="249"/>
      <c r="BA70" s="249"/>
      <c r="BB70" s="249"/>
      <c r="BC70" s="249"/>
      <c r="BD70" s="249"/>
      <c r="BE70" s="249"/>
      <c r="BF70" s="249"/>
      <c r="BG70" s="249"/>
      <c r="BH70" s="249"/>
      <c r="BI70" s="249"/>
      <c r="BJ70" s="249"/>
      <c r="BK70" s="249"/>
    </row>
    <row r="71" s="84" customFormat="1">
      <c r="A71" s="249"/>
      <c r="B71" s="666">
        <v>1</v>
      </c>
      <c r="C71" s="666">
        <v>2</v>
      </c>
      <c r="D71" s="666">
        <v>3</v>
      </c>
      <c r="E71" s="666">
        <v>4</v>
      </c>
      <c r="F71" s="666">
        <v>5</v>
      </c>
      <c r="G71" s="666">
        <v>6</v>
      </c>
      <c r="H71" s="666">
        <v>7</v>
      </c>
      <c r="I71" s="666">
        <v>8</v>
      </c>
      <c r="J71" s="666">
        <v>9</v>
      </c>
      <c r="K71" s="666">
        <v>10</v>
      </c>
      <c r="L71" s="666">
        <v>11</v>
      </c>
      <c r="M71" s="666">
        <v>12</v>
      </c>
      <c r="N71" s="666"/>
      <c r="O71" s="666"/>
      <c r="P71" s="666"/>
      <c r="Q71" s="666"/>
      <c r="R71" s="666"/>
      <c r="S71" s="666"/>
      <c r="T71" s="666"/>
      <c r="U71" s="666"/>
      <c r="V71" s="666"/>
      <c r="W71" s="666"/>
      <c r="X71" s="666"/>
      <c r="Y71" s="666"/>
      <c r="Z71" s="666"/>
      <c r="AA71" s="666"/>
      <c r="AB71" s="666"/>
      <c r="AC71" s="666"/>
      <c r="AD71" s="666"/>
      <c r="AE71" s="666"/>
      <c r="AF71" s="666"/>
      <c r="AG71" s="666"/>
      <c r="AH71" s="666"/>
      <c r="AI71" s="249"/>
      <c r="AJ71" s="249"/>
      <c r="AK71" s="249"/>
      <c r="AL71" s="249"/>
      <c r="AM71" s="249"/>
      <c r="AN71" s="249"/>
      <c r="AO71" s="249"/>
      <c r="AP71" s="249"/>
      <c r="AQ71" s="249"/>
      <c r="AR71" s="249"/>
      <c r="AS71" s="249"/>
      <c r="AT71" s="249"/>
      <c r="AU71" s="249"/>
      <c r="AV71" s="249"/>
      <c r="AW71" s="249"/>
      <c r="AX71" s="249"/>
      <c r="AY71" s="249"/>
      <c r="AZ71" s="249"/>
      <c r="BA71" s="249"/>
      <c r="BB71" s="249"/>
      <c r="BC71" s="249"/>
      <c r="BD71" s="249"/>
      <c r="BE71" s="249"/>
      <c r="BF71" s="249"/>
      <c r="BG71" s="249"/>
      <c r="BH71" s="249"/>
      <c r="BI71" s="249"/>
      <c r="BJ71" s="249"/>
      <c r="BK71" s="249"/>
    </row>
    <row r="72" s="84" customFormat="1">
      <c r="A72" s="256"/>
      <c r="B72" s="666" t="n">
        <v>45724</v>
      </c>
      <c r="C72" s="666">
        <v>45731</v>
      </c>
      <c r="D72" s="666">
        <v>45738</v>
      </c>
      <c r="E72" s="666">
        <v>45745</v>
      </c>
      <c r="F72" s="666">
        <v>45752</v>
      </c>
      <c r="G72" s="666">
        <v>45759</v>
      </c>
      <c r="H72" s="666">
        <v>45766</v>
      </c>
      <c r="I72" s="666">
        <v>45773</v>
      </c>
      <c r="J72" s="666">
        <v>45780</v>
      </c>
      <c r="K72" s="666">
        <v>45787</v>
      </c>
      <c r="L72" s="666">
        <v>45794</v>
      </c>
      <c r="M72" s="666">
        <v>45801</v>
      </c>
      <c r="N72" s="666"/>
      <c r="O72" s="666"/>
      <c r="P72" s="666"/>
      <c r="Q72" s="666"/>
      <c r="R72" s="666"/>
      <c r="S72" s="666"/>
      <c r="T72" s="666"/>
      <c r="U72" s="666"/>
      <c r="V72" s="666"/>
      <c r="W72" s="666"/>
      <c r="X72" s="666"/>
      <c r="Y72" s="666"/>
      <c r="Z72" s="666"/>
      <c r="AA72" s="666"/>
      <c r="AB72" s="666"/>
      <c r="AC72" s="666"/>
      <c r="AD72" s="666"/>
      <c r="AE72" s="666"/>
      <c r="AF72" s="666"/>
      <c r="AG72" s="666"/>
      <c r="AH72" s="666"/>
      <c r="AI72" s="249"/>
      <c r="AJ72" s="249"/>
      <c r="AK72" s="249"/>
      <c r="AL72" s="249"/>
      <c r="AM72" s="249"/>
      <c r="AN72" s="249"/>
      <c r="AO72" s="249"/>
      <c r="AP72" s="249"/>
      <c r="AQ72" s="249"/>
      <c r="AR72" s="249"/>
      <c r="AS72" s="249"/>
      <c r="AT72" s="249"/>
      <c r="AU72" s="249"/>
      <c r="AV72" s="249"/>
      <c r="AW72" s="249"/>
      <c r="AX72" s="249"/>
      <c r="AY72" s="249"/>
      <c r="AZ72" s="249"/>
      <c r="BA72" s="249"/>
      <c r="BB72" s="249"/>
      <c r="BC72" s="249"/>
      <c r="BD72" s="249"/>
      <c r="BE72" s="249"/>
      <c r="BF72" s="249"/>
      <c r="BG72" s="249"/>
      <c r="BH72" s="249"/>
      <c r="BI72" s="249"/>
      <c r="BJ72" s="249"/>
      <c r="BK72" s="249"/>
    </row>
    <row r="73" s="84" customFormat="1" ht="14.25">
      <c r="A73" s="260" t="s">
        <v>32</v>
      </c>
      <c r="B73" s="666">
        <v>91.34199134199134199134199134</v>
      </c>
      <c r="C73" s="666">
        <v>90.90909090909090909090909091</v>
      </c>
      <c r="D73" s="666">
        <v>90.90909090909090909090909091</v>
      </c>
      <c r="E73" s="666">
        <v>90.25974025974025974025974026</v>
      </c>
      <c r="F73" s="666">
        <v>95.12987012987012987012987013</v>
      </c>
      <c r="G73" s="666">
        <v>93.83116883116883116883116883</v>
      </c>
      <c r="H73" s="666">
        <v>96.21212121212121212121212121</v>
      </c>
      <c r="I73" s="666">
        <v>88.09523809523809523809523810</v>
      </c>
      <c r="J73" s="666">
        <v>94.04761904761904761904761905</v>
      </c>
      <c r="K73" s="666">
        <v>78.138528138528138528138528140</v>
      </c>
      <c r="L73" s="666">
        <v>75.216450216450216450216450220</v>
      </c>
      <c r="M73" s="666">
        <v>89.17748917748917748917748918</v>
      </c>
      <c r="N73" s="666"/>
      <c r="O73" s="666"/>
      <c r="P73" s="666"/>
      <c r="Q73" s="666"/>
      <c r="R73" s="666"/>
      <c r="S73" s="666"/>
      <c r="T73" s="666"/>
      <c r="U73" s="666"/>
      <c r="V73" s="666"/>
      <c r="W73" s="666"/>
      <c r="X73" s="666"/>
      <c r="Y73" s="666"/>
      <c r="Z73" s="666"/>
      <c r="AA73" s="666"/>
      <c r="AB73" s="666"/>
      <c r="AC73" s="666"/>
      <c r="AD73" s="666"/>
      <c r="AE73" s="666"/>
      <c r="AF73" s="666"/>
      <c r="AG73" s="666"/>
      <c r="AH73" s="666"/>
      <c r="AI73" s="249"/>
      <c r="AJ73" s="249"/>
      <c r="AK73" s="249"/>
      <c r="AL73" s="249"/>
      <c r="AM73" s="249"/>
      <c r="AN73" s="249"/>
      <c r="AO73" s="249"/>
      <c r="AP73" s="249"/>
      <c r="AQ73" s="249"/>
      <c r="AR73" s="249"/>
      <c r="AS73" s="249"/>
      <c r="AT73" s="249"/>
      <c r="AU73" s="249"/>
      <c r="AV73" s="249"/>
      <c r="AW73" s="249"/>
      <c r="AX73" s="249"/>
      <c r="AY73" s="249"/>
      <c r="AZ73" s="249"/>
      <c r="BA73" s="249"/>
      <c r="BB73" s="249"/>
      <c r="BC73" s="249"/>
      <c r="BD73" s="249"/>
      <c r="BE73" s="249"/>
      <c r="BF73" s="249"/>
      <c r="BG73" s="249"/>
      <c r="BH73" s="249"/>
      <c r="BI73" s="249"/>
      <c r="BJ73" s="249"/>
      <c r="BK73" s="249"/>
    </row>
    <row r="74" s="84" customFormat="1" ht="14.25">
      <c r="A74" s="260" t="s">
        <v>26</v>
      </c>
      <c r="B74" s="666">
        <v>89.36877076411960132890365449</v>
      </c>
      <c r="C74" s="666">
        <v>83.13953488372093023255813953</v>
      </c>
      <c r="D74" s="666">
        <v>88.87043189368770764119601329</v>
      </c>
      <c r="E74" s="666">
        <v>88.41362126245847176079734219</v>
      </c>
      <c r="F74" s="666">
        <v>87.74916943521594684385382060</v>
      </c>
      <c r="G74" s="666">
        <v>89.28571428571428571428571429</v>
      </c>
      <c r="H74" s="666">
        <v>90.19933554817275747508305648</v>
      </c>
      <c r="I74" s="666">
        <v>83.38870431893687707641196013</v>
      </c>
      <c r="J74" s="666">
        <v>94.72591362126245847176079734</v>
      </c>
      <c r="K74" s="666">
        <v>73.463455149501661129568106310</v>
      </c>
      <c r="L74" s="666">
        <v>66.860465116279069767441860470</v>
      </c>
      <c r="M74" s="666">
        <v>74.237167620845643672383567690</v>
      </c>
      <c r="N74" s="666"/>
      <c r="O74" s="666"/>
      <c r="P74" s="666"/>
      <c r="Q74" s="666"/>
      <c r="R74" s="666"/>
      <c r="S74" s="666"/>
      <c r="T74" s="666"/>
      <c r="U74" s="666"/>
      <c r="V74" s="666"/>
      <c r="W74" s="666"/>
      <c r="X74" s="666"/>
      <c r="Y74" s="666"/>
      <c r="Z74" s="666"/>
      <c r="AA74" s="666"/>
      <c r="AB74" s="666"/>
      <c r="AC74" s="666"/>
      <c r="AD74" s="666"/>
      <c r="AE74" s="666"/>
      <c r="AF74" s="666"/>
      <c r="AG74" s="666"/>
      <c r="AH74" s="666"/>
      <c r="AI74" s="249"/>
      <c r="AJ74" s="249"/>
      <c r="AK74" s="249"/>
      <c r="AL74" s="249"/>
      <c r="AM74" s="249"/>
      <c r="AN74" s="249"/>
      <c r="AO74" s="249"/>
      <c r="AP74" s="249"/>
      <c r="AQ74" s="249"/>
      <c r="AR74" s="249"/>
      <c r="AS74" s="249"/>
      <c r="AT74" s="249"/>
      <c r="AU74" s="249"/>
      <c r="AV74" s="249"/>
      <c r="AW74" s="249"/>
      <c r="AX74" s="249"/>
      <c r="AY74" s="249"/>
      <c r="AZ74" s="249"/>
      <c r="BA74" s="249"/>
      <c r="BB74" s="249"/>
      <c r="BC74" s="249"/>
      <c r="BD74" s="249"/>
      <c r="BE74" s="249"/>
      <c r="BF74" s="249"/>
      <c r="BG74" s="249"/>
      <c r="BH74" s="249"/>
      <c r="BI74" s="249"/>
      <c r="BJ74" s="249"/>
      <c r="BK74" s="249"/>
    </row>
    <row r="75" ht="14.25">
      <c r="A75" s="260" t="s">
        <v>185</v>
      </c>
      <c r="B75" s="666">
        <v>85.56403504857113104535784948</v>
      </c>
      <c r="C75" s="666">
        <v>80.40195772154535041132979277</v>
      </c>
      <c r="D75" s="666">
        <v>88.89781467101054729920709302</v>
      </c>
      <c r="E75" s="666">
        <v>84.58071138483509617530236087</v>
      </c>
      <c r="F75" s="666">
        <v>85.23250100504757225175324965</v>
      </c>
      <c r="G75" s="666">
        <v>88.20322623888466866258545958</v>
      </c>
      <c r="H75" s="666">
        <v>81.27262165422941150185441709</v>
      </c>
      <c r="I75" s="666">
        <v>76.013226685732159613923767820</v>
      </c>
      <c r="J75" s="666">
        <v>89.62718024338293340482893189</v>
      </c>
      <c r="K75" s="666">
        <v>74.160299089920610095774312230</v>
      </c>
      <c r="L75" s="666">
        <v>72.803372209065046099766149810</v>
      </c>
      <c r="M75" s="666">
        <v>74.432876059400926463797905770</v>
      </c>
      <c r="N75" s="666"/>
      <c r="O75" s="666"/>
      <c r="P75" s="666"/>
      <c r="Q75" s="666"/>
      <c r="R75" s="666"/>
      <c r="S75" s="666"/>
      <c r="T75" s="666"/>
      <c r="U75" s="666"/>
      <c r="V75" s="666"/>
      <c r="W75" s="666"/>
      <c r="X75" s="666"/>
      <c r="Y75" s="666"/>
      <c r="Z75" s="666"/>
      <c r="AA75" s="666"/>
      <c r="AB75" s="666"/>
      <c r="AC75" s="666"/>
      <c r="AD75" s="666"/>
      <c r="AE75" s="666"/>
      <c r="AF75" s="666"/>
      <c r="AG75" s="666"/>
      <c r="AH75" s="666"/>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c r="BH75" s="244"/>
      <c r="BI75" s="244"/>
      <c r="BJ75" s="244"/>
      <c r="BK75" s="244"/>
    </row>
    <row r="76">
      <c r="A76" s="256"/>
      <c r="B76" s="666"/>
      <c r="C76" s="666"/>
      <c r="D76" s="666"/>
      <c r="E76" s="666"/>
      <c r="F76" s="666"/>
      <c r="G76" s="666"/>
      <c r="H76" s="666"/>
      <c r="I76" s="666"/>
      <c r="J76" s="666"/>
      <c r="K76" s="666"/>
      <c r="L76" s="666"/>
      <c r="M76" s="666"/>
      <c r="N76" s="666"/>
      <c r="O76" s="666"/>
      <c r="P76" s="666"/>
      <c r="Q76" s="666"/>
      <c r="R76" s="666"/>
      <c r="S76" s="666"/>
      <c r="T76" s="666"/>
      <c r="U76" s="666"/>
      <c r="V76" s="666"/>
      <c r="W76" s="666"/>
      <c r="X76" s="666"/>
      <c r="Y76" s="666"/>
      <c r="Z76" s="666"/>
      <c r="AA76" s="666"/>
      <c r="AB76" s="666"/>
      <c r="AC76" s="666"/>
      <c r="AD76" s="666"/>
      <c r="AE76" s="666"/>
      <c r="AF76" s="666"/>
      <c r="AG76" s="666"/>
      <c r="AH76" s="666"/>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c r="BH76" s="244"/>
      <c r="BI76" s="244"/>
      <c r="BJ76" s="244"/>
      <c r="BK76" s="244"/>
    </row>
    <row r="77">
      <c r="A77" s="256"/>
      <c r="B77" s="666"/>
      <c r="C77" s="666"/>
      <c r="D77" s="666"/>
      <c r="E77" s="666"/>
      <c r="F77" s="666"/>
      <c r="G77" s="666"/>
      <c r="H77" s="666"/>
      <c r="I77" s="666"/>
      <c r="J77" s="666"/>
      <c r="K77" s="666"/>
      <c r="L77" s="666"/>
      <c r="M77" s="666"/>
      <c r="N77" s="666"/>
      <c r="O77" s="666"/>
      <c r="P77" s="666"/>
      <c r="Q77" s="666"/>
      <c r="R77" s="666"/>
      <c r="S77" s="666"/>
      <c r="T77" s="666"/>
      <c r="U77" s="666"/>
      <c r="V77" s="666"/>
      <c r="W77" s="666"/>
      <c r="X77" s="666"/>
      <c r="Y77" s="666"/>
      <c r="Z77" s="666"/>
      <c r="AA77" s="666"/>
      <c r="AB77" s="666"/>
      <c r="AC77" s="666"/>
      <c r="AD77" s="666"/>
      <c r="AE77" s="666"/>
      <c r="AF77" s="666"/>
      <c r="AG77" s="666"/>
      <c r="AH77" s="666"/>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c r="BH77" s="244"/>
      <c r="BI77" s="244"/>
      <c r="BJ77" s="244"/>
      <c r="BK77" s="244"/>
    </row>
    <row r="78">
      <c r="A78" s="244"/>
      <c r="B78" s="666"/>
      <c r="C78" s="666"/>
      <c r="D78" s="666"/>
      <c r="E78" s="666"/>
      <c r="F78" s="666"/>
      <c r="G78" s="666"/>
      <c r="H78" s="666"/>
      <c r="I78" s="666"/>
      <c r="J78" s="666"/>
      <c r="K78" s="666"/>
      <c r="L78" s="666"/>
      <c r="M78" s="666"/>
      <c r="N78" s="666"/>
      <c r="O78" s="666"/>
      <c r="P78" s="666"/>
      <c r="Q78" s="666"/>
      <c r="R78" s="666"/>
      <c r="S78" s="666"/>
      <c r="T78" s="666"/>
      <c r="U78" s="666"/>
      <c r="V78" s="666"/>
      <c r="W78" s="666"/>
      <c r="X78" s="666"/>
      <c r="Y78" s="666"/>
      <c r="Z78" s="666"/>
      <c r="AA78" s="666"/>
      <c r="AB78" s="666"/>
      <c r="AC78" s="666"/>
      <c r="AD78" s="666"/>
      <c r="AE78" s="666"/>
      <c r="AF78" s="666"/>
      <c r="AG78" s="666"/>
      <c r="AH78" s="666"/>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c r="BK78" s="244"/>
    </row>
    <row r="79">
      <c r="A79" s="244"/>
      <c r="B79" s="666"/>
      <c r="C79" s="666"/>
      <c r="D79" s="666"/>
      <c r="E79" s="666"/>
      <c r="F79" s="666"/>
      <c r="G79" s="666"/>
      <c r="H79" s="666"/>
      <c r="I79" s="666"/>
      <c r="J79" s="666"/>
      <c r="K79" s="666"/>
      <c r="L79" s="666"/>
      <c r="M79" s="666"/>
      <c r="N79" s="666"/>
      <c r="O79" s="666"/>
      <c r="P79" s="666"/>
      <c r="Q79" s="666"/>
      <c r="R79" s="666"/>
      <c r="S79" s="666"/>
      <c r="T79" s="666"/>
      <c r="U79" s="666"/>
      <c r="V79" s="666"/>
      <c r="W79" s="666"/>
      <c r="X79" s="666"/>
      <c r="Y79" s="666"/>
      <c r="Z79" s="666"/>
      <c r="AA79" s="666"/>
      <c r="AB79" s="666"/>
      <c r="AC79" s="666"/>
      <c r="AD79" s="666"/>
      <c r="AE79" s="666"/>
      <c r="AF79" s="666"/>
      <c r="AG79" s="666"/>
      <c r="AH79" s="666"/>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c r="BK79" s="244"/>
    </row>
    <row r="80">
      <c r="A80" s="244"/>
      <c r="B80" s="666"/>
      <c r="C80" s="666"/>
      <c r="D80" s="666"/>
      <c r="E80" s="666"/>
      <c r="F80" s="666"/>
      <c r="G80" s="666"/>
      <c r="H80" s="666"/>
      <c r="I80" s="666"/>
      <c r="J80" s="666"/>
      <c r="K80" s="666"/>
      <c r="L80" s="666"/>
      <c r="M80" s="666"/>
      <c r="N80" s="666"/>
      <c r="O80" s="666"/>
      <c r="P80" s="666"/>
      <c r="Q80" s="666"/>
      <c r="R80" s="666"/>
      <c r="S80" s="666"/>
      <c r="T80" s="666"/>
      <c r="U80" s="666"/>
      <c r="V80" s="666"/>
      <c r="W80" s="666"/>
      <c r="X80" s="666"/>
      <c r="Y80" s="666"/>
      <c r="Z80" s="666"/>
      <c r="AA80" s="666"/>
      <c r="AB80" s="666"/>
      <c r="AC80" s="666"/>
      <c r="AD80" s="666"/>
      <c r="AE80" s="666"/>
      <c r="AF80" s="666"/>
      <c r="AG80" s="666"/>
      <c r="AH80" s="666"/>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row>
    <row r="81">
      <c r="A81" s="244"/>
      <c r="B81" s="666"/>
      <c r="C81" s="666"/>
      <c r="D81" s="666"/>
      <c r="E81" s="666"/>
      <c r="F81" s="666"/>
      <c r="G81" s="666"/>
      <c r="H81" s="666"/>
      <c r="I81" s="666"/>
      <c r="J81" s="666"/>
      <c r="K81" s="666"/>
      <c r="L81" s="666"/>
      <c r="M81" s="666"/>
      <c r="N81" s="666"/>
      <c r="O81" s="666"/>
      <c r="P81" s="666"/>
      <c r="Q81" s="666"/>
      <c r="R81" s="666"/>
      <c r="S81" s="666"/>
      <c r="T81" s="666"/>
      <c r="U81" s="666"/>
      <c r="V81" s="666"/>
      <c r="W81" s="666"/>
      <c r="X81" s="666"/>
      <c r="Y81" s="666"/>
      <c r="Z81" s="666"/>
      <c r="AA81" s="666"/>
      <c r="AB81" s="666"/>
      <c r="AC81" s="666"/>
      <c r="AD81" s="666"/>
      <c r="AE81" s="666"/>
      <c r="AF81" s="666"/>
      <c r="AG81" s="666"/>
      <c r="AH81" s="666"/>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row>
    <row r="82">
      <c r="A82" s="244"/>
      <c r="B82" s="666"/>
      <c r="C82" s="666"/>
      <c r="D82" s="666"/>
      <c r="E82" s="666"/>
      <c r="F82" s="666"/>
      <c r="G82" s="666"/>
      <c r="H82" s="666"/>
      <c r="I82" s="666"/>
      <c r="J82" s="666"/>
      <c r="K82" s="666"/>
      <c r="L82" s="666"/>
      <c r="M82" s="666"/>
      <c r="N82" s="666"/>
      <c r="O82" s="666"/>
      <c r="P82" s="666"/>
      <c r="Q82" s="666"/>
      <c r="R82" s="666"/>
      <c r="S82" s="666"/>
      <c r="T82" s="666"/>
      <c r="U82" s="666"/>
      <c r="V82" s="666"/>
      <c r="W82" s="666"/>
      <c r="X82" s="666"/>
      <c r="Y82" s="666"/>
      <c r="Z82" s="666"/>
      <c r="AA82" s="666"/>
      <c r="AB82" s="666"/>
      <c r="AC82" s="666"/>
      <c r="AD82" s="666"/>
      <c r="AE82" s="666"/>
      <c r="AF82" s="666"/>
      <c r="AG82" s="666"/>
      <c r="AH82" s="666"/>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row>
    <row r="83">
      <c r="A83" s="244"/>
      <c r="B83" s="666"/>
      <c r="C83" s="666"/>
      <c r="D83" s="666"/>
      <c r="E83" s="666"/>
      <c r="F83" s="666"/>
      <c r="G83" s="666"/>
      <c r="H83" s="666"/>
      <c r="I83" s="666"/>
      <c r="J83" s="666"/>
      <c r="K83" s="666"/>
      <c r="L83" s="666"/>
      <c r="M83" s="666"/>
      <c r="N83" s="666"/>
      <c r="O83" s="666"/>
      <c r="P83" s="666"/>
      <c r="Q83" s="666"/>
      <c r="R83" s="666"/>
      <c r="S83" s="666"/>
      <c r="T83" s="666"/>
      <c r="U83" s="666"/>
      <c r="V83" s="666"/>
      <c r="W83" s="666"/>
      <c r="X83" s="666"/>
      <c r="Y83" s="666"/>
      <c r="Z83" s="666"/>
      <c r="AA83" s="666"/>
      <c r="AB83" s="666"/>
      <c r="AC83" s="666"/>
      <c r="AD83" s="666"/>
      <c r="AE83" s="666"/>
      <c r="AF83" s="666"/>
      <c r="AG83" s="666"/>
      <c r="AH83" s="666"/>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row>
    <row r="84">
      <c r="A84" s="244"/>
      <c r="B84" s="666"/>
      <c r="C84" s="666"/>
      <c r="D84" s="666"/>
      <c r="E84" s="666"/>
      <c r="F84" s="666"/>
      <c r="G84" s="666"/>
      <c r="H84" s="666"/>
      <c r="I84" s="666"/>
      <c r="J84" s="666"/>
      <c r="K84" s="666"/>
      <c r="L84" s="666"/>
      <c r="M84" s="666"/>
      <c r="N84" s="666"/>
      <c r="O84" s="666"/>
      <c r="P84" s="666"/>
      <c r="Q84" s="666"/>
      <c r="R84" s="666"/>
      <c r="S84" s="666"/>
      <c r="T84" s="666"/>
      <c r="U84" s="666"/>
      <c r="V84" s="666"/>
      <c r="W84" s="666"/>
      <c r="X84" s="666"/>
      <c r="Y84" s="666"/>
      <c r="Z84" s="666"/>
      <c r="AA84" s="666"/>
      <c r="AB84" s="666"/>
      <c r="AC84" s="666"/>
      <c r="AD84" s="666"/>
      <c r="AE84" s="666"/>
      <c r="AF84" s="666"/>
      <c r="AG84" s="666"/>
      <c r="AH84" s="666"/>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row>
    <row r="85">
      <c r="A85" s="244"/>
      <c r="B85" s="666"/>
      <c r="C85" s="666"/>
      <c r="D85" s="666"/>
      <c r="E85" s="666"/>
      <c r="F85" s="666"/>
      <c r="G85" s="666"/>
      <c r="H85" s="666"/>
      <c r="I85" s="666"/>
      <c r="J85" s="666"/>
      <c r="K85" s="666"/>
      <c r="L85" s="666"/>
      <c r="M85" s="666"/>
      <c r="N85" s="666"/>
      <c r="O85" s="666"/>
      <c r="P85" s="666"/>
      <c r="Q85" s="666"/>
      <c r="R85" s="666"/>
      <c r="S85" s="666"/>
      <c r="T85" s="666"/>
      <c r="U85" s="666"/>
      <c r="V85" s="666"/>
      <c r="W85" s="666"/>
      <c r="X85" s="666"/>
      <c r="Y85" s="666"/>
      <c r="Z85" s="666"/>
      <c r="AA85" s="666"/>
      <c r="AB85" s="666"/>
      <c r="AC85" s="666"/>
      <c r="AD85" s="666"/>
      <c r="AE85" s="666"/>
      <c r="AF85" s="666"/>
      <c r="AG85" s="666"/>
      <c r="AH85" s="666"/>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row>
    <row r="86">
      <c r="A86" s="244"/>
      <c r="B86" s="666"/>
      <c r="C86" s="666"/>
      <c r="D86" s="666"/>
      <c r="E86" s="666"/>
      <c r="F86" s="666"/>
      <c r="G86" s="666"/>
      <c r="H86" s="666"/>
      <c r="I86" s="666"/>
      <c r="J86" s="666"/>
      <c r="K86" s="666"/>
      <c r="L86" s="666"/>
      <c r="M86" s="666"/>
      <c r="N86" s="666"/>
      <c r="O86" s="666"/>
      <c r="P86" s="666"/>
      <c r="Q86" s="666"/>
      <c r="R86" s="666"/>
      <c r="S86" s="666"/>
      <c r="T86" s="666"/>
      <c r="U86" s="666"/>
      <c r="V86" s="666"/>
      <c r="W86" s="666"/>
      <c r="X86" s="666"/>
      <c r="Y86" s="666"/>
      <c r="Z86" s="666"/>
      <c r="AA86" s="666"/>
      <c r="AB86" s="666"/>
      <c r="AC86" s="666"/>
      <c r="AD86" s="666"/>
      <c r="AE86" s="666"/>
      <c r="AF86" s="666"/>
      <c r="AG86" s="666"/>
      <c r="AH86" s="666"/>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row>
    <row r="87">
      <c r="A87" s="244"/>
      <c r="B87" s="666"/>
      <c r="C87" s="666"/>
      <c r="D87" s="666"/>
      <c r="E87" s="666"/>
      <c r="F87" s="666"/>
      <c r="G87" s="666"/>
      <c r="H87" s="666"/>
      <c r="I87" s="666"/>
      <c r="J87" s="666"/>
      <c r="K87" s="666"/>
      <c r="L87" s="666"/>
      <c r="M87" s="666"/>
      <c r="N87" s="666"/>
      <c r="O87" s="666"/>
      <c r="P87" s="666"/>
      <c r="Q87" s="666"/>
      <c r="R87" s="666"/>
      <c r="S87" s="666"/>
      <c r="T87" s="666"/>
      <c r="U87" s="666"/>
      <c r="V87" s="666"/>
      <c r="W87" s="666"/>
      <c r="X87" s="666"/>
      <c r="Y87" s="666"/>
      <c r="Z87" s="666"/>
      <c r="AA87" s="666"/>
      <c r="AB87" s="666"/>
      <c r="AC87" s="666"/>
      <c r="AD87" s="666"/>
      <c r="AE87" s="666"/>
      <c r="AF87" s="666"/>
      <c r="AG87" s="666"/>
      <c r="AH87" s="666"/>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row>
    <row r="88">
      <c r="A88" s="244"/>
      <c r="B88" s="666"/>
      <c r="C88" s="666"/>
      <c r="D88" s="666"/>
      <c r="E88" s="666"/>
      <c r="F88" s="666"/>
      <c r="G88" s="666"/>
      <c r="H88" s="666"/>
      <c r="I88" s="666"/>
      <c r="J88" s="666"/>
      <c r="K88" s="666"/>
      <c r="L88" s="666"/>
      <c r="M88" s="666"/>
      <c r="N88" s="666"/>
      <c r="O88" s="666"/>
      <c r="P88" s="666"/>
      <c r="Q88" s="666"/>
      <c r="R88" s="666"/>
      <c r="S88" s="666"/>
      <c r="T88" s="666"/>
      <c r="U88" s="666"/>
      <c r="V88" s="666"/>
      <c r="W88" s="666"/>
      <c r="X88" s="666"/>
      <c r="Y88" s="666"/>
      <c r="Z88" s="666"/>
      <c r="AA88" s="666"/>
      <c r="AB88" s="666"/>
      <c r="AC88" s="666"/>
      <c r="AD88" s="666"/>
      <c r="AE88" s="666"/>
      <c r="AF88" s="666"/>
      <c r="AG88" s="666"/>
      <c r="AH88" s="666"/>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row>
    <row r="89">
      <c r="A89" s="244"/>
      <c r="B89" s="666"/>
      <c r="C89" s="666"/>
      <c r="D89" s="666"/>
      <c r="E89" s="666"/>
      <c r="F89" s="666"/>
      <c r="G89" s="666"/>
      <c r="H89" s="666"/>
      <c r="I89" s="666"/>
      <c r="J89" s="666"/>
      <c r="K89" s="666"/>
      <c r="L89" s="666"/>
      <c r="M89" s="666"/>
      <c r="N89" s="666"/>
      <c r="O89" s="666"/>
      <c r="P89" s="666"/>
      <c r="Q89" s="666"/>
      <c r="R89" s="666"/>
      <c r="S89" s="666"/>
      <c r="T89" s="666"/>
      <c r="U89" s="666"/>
      <c r="V89" s="666"/>
      <c r="W89" s="666"/>
      <c r="X89" s="666"/>
      <c r="Y89" s="666"/>
      <c r="Z89" s="666"/>
      <c r="AA89" s="666"/>
      <c r="AB89" s="666"/>
      <c r="AC89" s="666"/>
      <c r="AD89" s="666"/>
      <c r="AE89" s="666"/>
      <c r="AF89" s="666"/>
      <c r="AG89" s="666"/>
      <c r="AH89" s="666"/>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row>
    <row r="90">
      <c r="A90" s="244"/>
      <c r="B90" s="666"/>
      <c r="C90" s="666"/>
      <c r="D90" s="666"/>
      <c r="E90" s="666"/>
      <c r="F90" s="666"/>
      <c r="G90" s="666"/>
      <c r="H90" s="666"/>
      <c r="I90" s="666"/>
      <c r="J90" s="666"/>
      <c r="K90" s="666"/>
      <c r="L90" s="666"/>
      <c r="M90" s="666"/>
      <c r="N90" s="666"/>
      <c r="O90" s="666"/>
      <c r="P90" s="666"/>
      <c r="Q90" s="666"/>
      <c r="R90" s="666"/>
      <c r="S90" s="666"/>
      <c r="T90" s="666"/>
      <c r="U90" s="666"/>
      <c r="V90" s="666"/>
      <c r="W90" s="666"/>
      <c r="X90" s="666"/>
      <c r="Y90" s="666"/>
      <c r="Z90" s="666"/>
      <c r="AA90" s="666"/>
      <c r="AB90" s="666"/>
      <c r="AC90" s="666"/>
      <c r="AD90" s="666"/>
      <c r="AE90" s="666"/>
      <c r="AF90" s="666"/>
      <c r="AG90" s="666"/>
      <c r="AH90" s="666"/>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row>
    <row r="91">
      <c r="A91" s="244"/>
      <c r="B91" s="666"/>
      <c r="C91" s="666"/>
      <c r="D91" s="666"/>
      <c r="E91" s="666"/>
      <c r="F91" s="666"/>
      <c r="G91" s="666"/>
      <c r="H91" s="666"/>
      <c r="I91" s="666"/>
      <c r="J91" s="666"/>
      <c r="K91" s="666"/>
      <c r="L91" s="666"/>
      <c r="M91" s="666"/>
      <c r="N91" s="666"/>
      <c r="O91" s="666"/>
      <c r="P91" s="666"/>
      <c r="Q91" s="666"/>
      <c r="R91" s="666"/>
      <c r="S91" s="666"/>
      <c r="T91" s="666"/>
      <c r="U91" s="666"/>
      <c r="V91" s="666"/>
      <c r="W91" s="666"/>
      <c r="X91" s="666"/>
      <c r="Y91" s="666"/>
      <c r="Z91" s="666"/>
      <c r="AA91" s="666"/>
      <c r="AB91" s="666"/>
      <c r="AC91" s="666"/>
      <c r="AD91" s="666"/>
      <c r="AE91" s="666"/>
      <c r="AF91" s="666"/>
      <c r="AG91" s="666"/>
      <c r="AH91" s="666"/>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row>
    <row r="92">
      <c r="A92" s="244"/>
      <c r="B92" s="666"/>
      <c r="C92" s="666"/>
      <c r="D92" s="666"/>
      <c r="E92" s="666"/>
      <c r="F92" s="666"/>
      <c r="G92" s="666"/>
      <c r="H92" s="666"/>
      <c r="I92" s="666"/>
      <c r="J92" s="666"/>
      <c r="K92" s="666"/>
      <c r="L92" s="666"/>
      <c r="M92" s="666"/>
      <c r="N92" s="666"/>
      <c r="O92" s="666"/>
      <c r="P92" s="666"/>
      <c r="Q92" s="666"/>
      <c r="R92" s="666"/>
      <c r="S92" s="666"/>
      <c r="T92" s="666"/>
      <c r="U92" s="666"/>
      <c r="V92" s="666"/>
      <c r="W92" s="666"/>
      <c r="X92" s="666"/>
      <c r="Y92" s="666"/>
      <c r="Z92" s="666"/>
      <c r="AA92" s="666"/>
      <c r="AB92" s="666"/>
      <c r="AC92" s="666"/>
      <c r="AD92" s="666"/>
      <c r="AE92" s="666"/>
      <c r="AF92" s="666"/>
      <c r="AG92" s="666"/>
      <c r="AH92" s="666"/>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row>
    <row r="93">
      <c r="A93" s="244"/>
      <c r="B93" s="666"/>
      <c r="C93" s="666"/>
      <c r="D93" s="666"/>
      <c r="E93" s="666"/>
      <c r="F93" s="666"/>
      <c r="G93" s="666"/>
      <c r="H93" s="666"/>
      <c r="I93" s="666"/>
      <c r="J93" s="666"/>
      <c r="K93" s="666"/>
      <c r="L93" s="666"/>
      <c r="M93" s="666"/>
      <c r="N93" s="666"/>
      <c r="O93" s="666"/>
      <c r="P93" s="666"/>
      <c r="Q93" s="666"/>
      <c r="R93" s="666"/>
      <c r="S93" s="666"/>
      <c r="T93" s="666"/>
      <c r="U93" s="666"/>
      <c r="V93" s="666"/>
      <c r="W93" s="666"/>
      <c r="X93" s="666"/>
      <c r="Y93" s="666"/>
      <c r="Z93" s="666"/>
      <c r="AA93" s="666"/>
      <c r="AB93" s="666"/>
      <c r="AC93" s="666"/>
      <c r="AD93" s="666"/>
      <c r="AE93" s="666"/>
      <c r="AF93" s="666"/>
      <c r="AG93" s="666"/>
      <c r="AH93" s="666"/>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row>
    <row r="94">
      <c r="A94" s="244"/>
      <c r="B94" s="666"/>
      <c r="C94" s="666"/>
      <c r="D94" s="666"/>
      <c r="E94" s="666"/>
      <c r="F94" s="666"/>
      <c r="G94" s="666"/>
      <c r="H94" s="666"/>
      <c r="I94" s="666"/>
      <c r="J94" s="666"/>
      <c r="K94" s="666"/>
      <c r="L94" s="666"/>
      <c r="M94" s="666"/>
      <c r="N94" s="666"/>
      <c r="O94" s="666"/>
      <c r="P94" s="666"/>
      <c r="Q94" s="666"/>
      <c r="R94" s="666"/>
      <c r="S94" s="666"/>
      <c r="T94" s="666"/>
      <c r="U94" s="666"/>
      <c r="V94" s="666"/>
      <c r="W94" s="666"/>
      <c r="X94" s="666"/>
      <c r="Y94" s="666"/>
      <c r="Z94" s="666"/>
      <c r="AA94" s="666"/>
      <c r="AB94" s="666"/>
      <c r="AC94" s="666"/>
      <c r="AD94" s="666"/>
      <c r="AE94" s="666"/>
      <c r="AF94" s="666"/>
      <c r="AG94" s="666"/>
      <c r="AH94" s="666"/>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row>
    <row r="95">
      <c r="A95" s="244"/>
      <c r="B95" s="666"/>
      <c r="C95" s="666"/>
      <c r="D95" s="666"/>
      <c r="E95" s="666"/>
      <c r="F95" s="666"/>
      <c r="G95" s="666"/>
      <c r="H95" s="666"/>
      <c r="I95" s="666"/>
      <c r="J95" s="666"/>
      <c r="K95" s="666"/>
      <c r="L95" s="666"/>
      <c r="M95" s="666"/>
      <c r="N95" s="666"/>
      <c r="O95" s="666"/>
      <c r="P95" s="666"/>
      <c r="Q95" s="666"/>
      <c r="R95" s="666"/>
      <c r="S95" s="666"/>
      <c r="T95" s="666"/>
      <c r="U95" s="666"/>
      <c r="V95" s="666"/>
      <c r="W95" s="666"/>
      <c r="X95" s="666"/>
      <c r="Y95" s="666"/>
      <c r="Z95" s="666"/>
      <c r="AA95" s="666"/>
      <c r="AB95" s="666"/>
      <c r="AC95" s="666"/>
      <c r="AD95" s="666"/>
      <c r="AE95" s="666"/>
      <c r="AF95" s="666"/>
      <c r="AG95" s="666"/>
      <c r="AH95" s="666"/>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c r="BK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c r="BK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c r="BK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c r="BK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c r="BK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c r="BK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c r="BK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c r="BK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c r="BK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c r="BK113" s="244"/>
    </row>
  </sheetData>
  <mergeCells count="3">
    <mergeCell ref="X22:AD22"/>
    <mergeCell ref="R4:AG4"/>
    <mergeCell ref="B56:AH56"/>
  </mergeCells>
  <phoneticPr fontId="0" type="noConversion"/>
  <printOptions horizontalCentered="1" verticalCentered="1"/>
  <pageMargins left="0.25" right="0.25" top="0.25" bottom="0.25" header="0" footer="0"/>
  <pageSetup scale="55" orientation="landscape" r:id="rId1"/>
  <headerFooter alignWithMargins="0">
    <oddHeader/>
    <oddFooter/>
  </headerFooter>
  <drawing r:id="rId70"/>
</worksheet>
</file>

<file path=xl/worksheets/sheet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K113"/>
  <sheetViews>
    <sheetView showGridLines="0" zoomScale="65" workbookViewId="0"/>
  </sheetViews>
  <sheetFormatPr defaultRowHeight="12.75"/>
  <cols>
    <col min="1" max="1" width="1" customWidth="1"/>
    <col min="2" max="2" width="21.7109375" customWidth="1"/>
    <col min="3" max="30" width="8.28515625" customWidth="1"/>
    <col min="31" max="31" width="1.7109375" customWidth="1"/>
    <col min="32" max="34" width="8.28515625" style="1" customWidth="1"/>
    <col min="35" max="35" width="2" style="1" customWidth="1"/>
    <col min="36" max="39" width="9.28515625" style="1" bestFit="1" customWidth="1"/>
  </cols>
  <sheetData>
    <row r="1" ht="36" customHeight="1">
      <c r="A1" s="6"/>
      <c r="B1" s="39" t="s">
        <v>129</v>
      </c>
      <c r="AF1"/>
      <c r="AG1"/>
      <c r="AH1"/>
      <c r="AI1"/>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row>
    <row r="2" ht="17.1" customHeight="1">
      <c r="A2" s="5"/>
      <c r="B2" s="10" t="s">
        <v>168</v>
      </c>
      <c r="AF2"/>
      <c r="AG2" s="216"/>
      <c r="AH2"/>
      <c r="AI2"/>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row>
    <row r="3" ht="17.1" customHeight="1">
      <c r="A3" s="5"/>
      <c r="B3" s="10" t="s">
        <v>181</v>
      </c>
      <c r="AF3"/>
      <c r="AG3"/>
      <c r="AH3"/>
      <c r="AI3"/>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row>
    <row r="4" ht="17.1" customHeight="1">
      <c r="A4" s="5"/>
      <c r="B4" s="4" t="s">
        <v>182</v>
      </c>
      <c r="R4" s="618" t="s">
        <v>184</v>
      </c>
      <c r="S4" s="618"/>
      <c r="T4" s="618"/>
      <c r="U4" s="618"/>
      <c r="V4" s="618"/>
      <c r="W4" s="618"/>
      <c r="X4" s="618"/>
      <c r="Y4" s="618"/>
      <c r="Z4" s="618"/>
      <c r="AA4" s="618"/>
      <c r="AB4" s="618"/>
      <c r="AC4" s="618"/>
      <c r="AD4" s="618"/>
      <c r="AE4" s="618"/>
      <c r="AF4" s="618"/>
      <c r="AG4" s="618"/>
      <c r="AH4"/>
      <c r="AI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row>
    <row r="5" ht="23.25">
      <c r="A5" s="5"/>
      <c r="AF5"/>
      <c r="AG5"/>
      <c r="AH5"/>
      <c r="AI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row>
    <row r="6" ht="23.25">
      <c r="A6" s="5"/>
      <c r="AF6"/>
      <c r="AG6"/>
      <c r="AH6"/>
      <c r="AI6"/>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row>
    <row r="7" ht="23.25">
      <c r="A7" s="5"/>
      <c r="Y7" s="26"/>
      <c r="Z7" s="26"/>
      <c r="AA7" s="26"/>
      <c r="AB7" s="26"/>
      <c r="AC7" s="26"/>
      <c r="AF7"/>
      <c r="AG7"/>
      <c r="AH7"/>
      <c r="AI7"/>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row>
    <row r="8" ht="23.25">
      <c r="A8" s="5"/>
      <c r="AF8"/>
      <c r="AG8"/>
      <c r="AH8"/>
      <c r="AI8"/>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row>
    <row r="9" ht="23.25">
      <c r="A9" s="5"/>
      <c r="AF9"/>
      <c r="AG9"/>
      <c r="AH9"/>
      <c r="AI9"/>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row>
    <row r="10" ht="23.25">
      <c r="A10" s="5"/>
      <c r="AF10"/>
      <c r="AG10"/>
      <c r="AH10"/>
      <c r="AI10"/>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row>
    <row r="11" ht="23.25">
      <c r="A11" s="5"/>
      <c r="AF11"/>
      <c r="AG11"/>
      <c r="AH11"/>
      <c r="AI11"/>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row>
    <row r="12" ht="23.25">
      <c r="A12" s="5"/>
      <c r="AF12"/>
      <c r="AG12"/>
      <c r="AH12"/>
      <c r="AI12"/>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row>
    <row r="13" ht="23.25">
      <c r="A13" s="5"/>
      <c r="AF13"/>
      <c r="AG13"/>
      <c r="AH13"/>
      <c r="AI13"/>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row>
    <row r="14" ht="23.25">
      <c r="A14" s="5"/>
      <c r="AF14"/>
      <c r="AG14"/>
      <c r="AH14"/>
      <c r="AI1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row>
    <row r="15" ht="23.25">
      <c r="A15" s="5"/>
      <c r="AF15"/>
      <c r="AG15"/>
      <c r="AH15"/>
      <c r="AI1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row>
    <row r="16" ht="23.25">
      <c r="A16" s="5"/>
      <c r="AF16"/>
      <c r="AG16"/>
      <c r="AH16"/>
      <c r="AI16"/>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row>
    <row r="17" ht="23.25">
      <c r="A17" s="5"/>
      <c r="AF17"/>
      <c r="AG17"/>
      <c r="AH17"/>
      <c r="AI17"/>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row>
    <row r="18" ht="23.25">
      <c r="A18" s="5"/>
      <c r="AF18"/>
      <c r="AG18"/>
      <c r="AH18"/>
      <c r="AI18"/>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row>
    <row r="19" ht="23.25">
      <c r="A19" s="5"/>
      <c r="AF19"/>
      <c r="AG19"/>
      <c r="AH19"/>
      <c r="AI19"/>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row>
    <row r="20" ht="11.25" customHeight="1">
      <c r="A20" s="5"/>
      <c r="AF20"/>
      <c r="AG20"/>
      <c r="AH20"/>
      <c r="AI20"/>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row>
    <row r="21" ht="20.1" customHeight="1" thickBot="1">
      <c r="AF21"/>
      <c r="AG21"/>
      <c r="AH21"/>
      <c r="AI2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row>
    <row r="22" ht="18" customHeight="1">
      <c r="A22" s="8"/>
      <c r="B22" s="29"/>
      <c r="X22" s="517" t="s">
        <v>72</v>
      </c>
      <c r="Y22" s="517"/>
      <c r="Z22" s="517"/>
      <c r="AA22" s="517"/>
      <c r="AB22" s="517"/>
      <c r="AC22" s="517"/>
      <c r="AD22" s="617"/>
      <c r="AF22"/>
      <c r="AG22"/>
      <c r="AH22"/>
      <c r="AI22"/>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c r="BK23" s="262"/>
    </row>
    <row r="24" s="41" customFormat="1" ht="18">
      <c r="B24" s="418" t="s">
        <v>12</v>
      </c>
      <c r="C24" s="275" t="s">
        <v>186</v>
      </c>
      <c r="D24" s="276"/>
      <c r="E24" s="276"/>
      <c r="F24" s="276"/>
      <c r="G24" s="658" t="s">
        <v>183</v>
      </c>
      <c r="H24" s="276"/>
      <c r="I24" s="276"/>
      <c r="J24" s="276"/>
      <c r="K24" s="276"/>
      <c r="L24" s="276"/>
      <c r="M24" s="276"/>
      <c r="N24" s="276"/>
      <c r="O24" s="276"/>
      <c r="P24" s="276"/>
      <c r="Q24" s="276"/>
      <c r="R24" s="276"/>
      <c r="S24" s="277"/>
      <c r="T24" s="277"/>
      <c r="U24" s="277"/>
      <c r="V24" s="277"/>
      <c r="W24" s="277"/>
      <c r="X24" s="312"/>
      <c r="Y24" s="277"/>
      <c r="Z24" s="277"/>
      <c r="AA24" s="277"/>
      <c r="AB24" s="277"/>
      <c r="AC24" s="277"/>
      <c r="AD24" s="336"/>
      <c r="AE24" s="25"/>
      <c r="AF24" s="316" t="s">
        <v>58</v>
      </c>
      <c r="AG24" s="317" t="s">
        <v>59</v>
      </c>
      <c r="AH24" s="318" t="s">
        <v>59</v>
      </c>
      <c r="AI24" s="25"/>
      <c r="AJ24" s="248"/>
      <c r="AK24" s="248"/>
      <c r="AL24" s="248"/>
      <c r="AM24" s="248"/>
      <c r="AN24" s="253"/>
      <c r="AO24" s="253"/>
      <c r="AP24" s="253"/>
      <c r="AQ24" s="253"/>
      <c r="AR24" s="253"/>
      <c r="AS24" s="253"/>
      <c r="AT24" s="253"/>
      <c r="AU24" s="253"/>
      <c r="AV24" s="253"/>
      <c r="AW24" s="253"/>
      <c r="AX24" s="253"/>
      <c r="AY24" s="253"/>
      <c r="AZ24" s="253"/>
      <c r="BA24" s="253"/>
      <c r="BB24" s="253"/>
      <c r="BC24" s="253"/>
      <c r="BD24" s="253"/>
      <c r="BE24" s="253"/>
      <c r="BF24" s="253"/>
      <c r="BG24" s="253"/>
      <c r="BH24" s="253"/>
      <c r="BI24" s="253"/>
      <c r="BJ24" s="253"/>
      <c r="BK24" s="253"/>
    </row>
    <row r="25" s="42" customFormat="1">
      <c r="C25" s="284">
        <v>27</v>
      </c>
      <c r="D25" s="42">
        <v>28</v>
      </c>
      <c r="E25" s="42">
        <v>29</v>
      </c>
      <c r="F25" s="42">
        <v>30</v>
      </c>
      <c r="G25" s="659">
        <v>1</v>
      </c>
      <c r="H25" s="42">
        <v>2</v>
      </c>
      <c r="I25" s="42">
        <v>3</v>
      </c>
      <c r="J25" s="42">
        <v>4</v>
      </c>
      <c r="K25" s="42">
        <v>5</v>
      </c>
      <c r="L25" s="42">
        <v>6</v>
      </c>
      <c r="M25" s="42">
        <v>7</v>
      </c>
      <c r="N25" s="42">
        <v>8</v>
      </c>
      <c r="O25" s="42">
        <v>9</v>
      </c>
      <c r="P25" s="42">
        <v>10</v>
      </c>
      <c r="Q25" s="42">
        <v>11</v>
      </c>
      <c r="R25" s="42">
        <v>12</v>
      </c>
      <c r="S25" s="42">
        <v>13</v>
      </c>
      <c r="T25" s="42">
        <v>14</v>
      </c>
      <c r="U25" s="42">
        <v>15</v>
      </c>
      <c r="V25" s="42">
        <v>16</v>
      </c>
      <c r="W25" s="42">
        <v>17</v>
      </c>
      <c r="X25" s="323">
        <v>18</v>
      </c>
      <c r="Y25" s="42">
        <v>19</v>
      </c>
      <c r="Z25" s="42">
        <v>20</v>
      </c>
      <c r="AA25" s="42">
        <v>21</v>
      </c>
      <c r="AB25" s="42">
        <v>22</v>
      </c>
      <c r="AC25" s="42">
        <v>23</v>
      </c>
      <c r="AD25" s="337">
        <v>24</v>
      </c>
      <c r="AE25" s="25"/>
      <c r="AF25" s="324" t="s">
        <v>60</v>
      </c>
      <c r="AG25" s="325">
        <v>28</v>
      </c>
      <c r="AH25" s="326" t="s">
        <v>31</v>
      </c>
      <c r="AI25" s="25"/>
      <c r="AJ25" s="248"/>
      <c r="AK25" s="248"/>
      <c r="AL25" s="248"/>
      <c r="AM25" s="248"/>
      <c r="AN25" s="254"/>
      <c r="AO25" s="254"/>
      <c r="AP25" s="254"/>
      <c r="AQ25" s="254"/>
      <c r="AR25" s="254"/>
      <c r="AS25" s="254"/>
      <c r="AT25" s="254"/>
      <c r="AU25" s="254"/>
      <c r="AV25" s="254"/>
      <c r="AW25" s="254"/>
      <c r="AX25" s="254"/>
      <c r="AY25" s="254"/>
      <c r="AZ25" s="254"/>
      <c r="BA25" s="254"/>
      <c r="BB25" s="254"/>
      <c r="BC25" s="254"/>
      <c r="BD25" s="254"/>
      <c r="BE25" s="254"/>
      <c r="BF25" s="254"/>
      <c r="BG25" s="254"/>
      <c r="BH25" s="254"/>
      <c r="BI25" s="254"/>
      <c r="BJ25" s="254"/>
      <c r="BK25" s="254"/>
    </row>
    <row r="26" ht="14.25" customHeight="1">
      <c r="B26" s="46" t="s">
        <v>32</v>
      </c>
      <c r="C26" s="461">
        <v>248.25925925925925925925925926</v>
      </c>
      <c r="D26" s="462">
        <v>285.42741935483870967741935484</v>
      </c>
      <c r="E26" s="462">
        <v>311.484375000</v>
      </c>
      <c r="F26" s="462">
        <v>267.27777777777777777777777778</v>
      </c>
      <c r="G26" s="673">
        <v>297.04838709677419354838709677</v>
      </c>
      <c r="H26" s="462">
        <v>420.132812500</v>
      </c>
      <c r="I26" s="462">
        <v>408.95419847328244274809160305</v>
      </c>
      <c r="J26" s="462">
        <v>289.93023255813953488372093023</v>
      </c>
      <c r="K26" s="462">
        <v>191.56470588235294117647058824</v>
      </c>
      <c r="L26" s="462">
        <v>173.10294117647058823529411765</v>
      </c>
      <c r="M26" s="462">
        <v>185.79816513761467889908256881</v>
      </c>
      <c r="N26" s="462">
        <v>208.4867256637168141592920354</v>
      </c>
      <c r="O26" s="462">
        <v>277.38095238095238095238095238</v>
      </c>
      <c r="P26" s="462">
        <v>262.84070796460176991150442478</v>
      </c>
      <c r="Q26" s="462">
        <v>165.72727272727272727272727273</v>
      </c>
      <c r="R26" s="462">
        <v>148.4047619047619047619047619</v>
      </c>
      <c r="S26" s="462">
        <v>159.23913043478260869565217391</v>
      </c>
      <c r="T26" s="462">
        <v>152.77659574468085106382978723</v>
      </c>
      <c r="U26" s="462">
        <v>168.46728971962616822429906542</v>
      </c>
      <c r="V26" s="462">
        <v>260.22807017543859649122807018</v>
      </c>
      <c r="W26" s="462">
        <v>288.45669291338582677165354331</v>
      </c>
      <c r="X26" s="463">
        <v>193.83898305084745762711864407</v>
      </c>
      <c r="Y26" s="462">
        <v>194.1680672268907563025210084</v>
      </c>
      <c r="Z26" s="462">
        <v>202.45762711864406779661016949</v>
      </c>
      <c r="AA26" s="462">
        <v>183.62698412698412698412698413</v>
      </c>
      <c r="AB26" s="462">
        <v>188.01587301587301587301587302</v>
      </c>
      <c r="AC26" s="462">
        <v>245.53608247422680412371134021</v>
      </c>
      <c r="AD26" s="464">
        <v>275.00833333333333333333333333</v>
      </c>
      <c r="AE26" s="465"/>
      <c r="AF26" s="461">
        <v>210.57524271844660194174757282</v>
      </c>
      <c r="AG26" s="462">
        <v>244.40707395498392282958199357</v>
      </c>
      <c r="AH26" s="466">
        <v>237.93978658536585365853658537</v>
      </c>
      <c r="AI26"/>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row>
    <row r="27" ht="14.25" customHeight="1">
      <c r="B27" s="47" t="s">
        <v>26</v>
      </c>
      <c r="C27" s="370">
        <v>316.85530546623794212218649517</v>
      </c>
      <c r="D27" s="85">
        <v>357.93113772455089820359281438</v>
      </c>
      <c r="E27" s="85">
        <v>317.57485029940119760479041917</v>
      </c>
      <c r="F27" s="85">
        <v>304.75851393188854489164086687</v>
      </c>
      <c r="G27" s="674">
        <v>388.5888157894736842105263158</v>
      </c>
      <c r="H27" s="85">
        <v>494.47904191616766467065868265</v>
      </c>
      <c r="I27" s="85">
        <v>493.2463343108504398826979472</v>
      </c>
      <c r="J27" s="85">
        <v>366.80425531914893617021276597</v>
      </c>
      <c r="K27" s="85">
        <v>240.5309734513274336283185841</v>
      </c>
      <c r="L27" s="85">
        <v>264.41632653061224489795918368</v>
      </c>
      <c r="M27" s="85">
        <v>276.52816901408450704225352112</v>
      </c>
      <c r="N27" s="85">
        <v>278.13818181818181818181818182</v>
      </c>
      <c r="O27" s="85">
        <v>267.42968750000000000000000002</v>
      </c>
      <c r="P27" s="85">
        <v>271.5120967741935483870967742</v>
      </c>
      <c r="Q27" s="85">
        <v>226.47208121827411167512690357</v>
      </c>
      <c r="R27" s="85">
        <v>212.20338983050847457627118643</v>
      </c>
      <c r="S27" s="85">
        <v>205.21578947368421052631578946</v>
      </c>
      <c r="T27" s="85">
        <v>193.48837209302325581395348837</v>
      </c>
      <c r="U27" s="85">
        <v>205.10526315789473684210526314</v>
      </c>
      <c r="V27" s="85">
        <v>289.25547445255474452554744527</v>
      </c>
      <c r="W27" s="85">
        <v>292.16774193548387096774193548</v>
      </c>
      <c r="X27" s="86">
        <v>250.86029411764705882352941176</v>
      </c>
      <c r="Y27" s="85">
        <v>278.93607305936073059360730593</v>
      </c>
      <c r="Z27" s="85">
        <v>264.75263157894736842105263158</v>
      </c>
      <c r="AA27" s="85">
        <v>247.20261437908496732026143789</v>
      </c>
      <c r="AB27" s="85">
        <v>271.50289017341040462427745666</v>
      </c>
      <c r="AC27" s="85">
        <v>325.93636363636363636363636362</v>
      </c>
      <c r="AD27" s="87">
        <v>412.77405857740585774058577404</v>
      </c>
      <c r="AE27" s="169"/>
      <c r="AF27" s="370">
        <v>298.44589718607569852698328818</v>
      </c>
      <c r="AG27" s="85">
        <v>307.07860495028509028354443425</v>
      </c>
      <c r="AH27" s="371">
        <v>303.37163712738656928451256285</v>
      </c>
      <c r="AI27"/>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row>
    <row r="28" ht="14.25" customHeight="1">
      <c r="A28" s="24"/>
      <c r="B28" s="49" t="s">
        <v>185</v>
      </c>
      <c r="C28" s="467">
        <v>238.97769095034030753718174943</v>
      </c>
      <c r="D28" s="468">
        <v>269.46395280235988200589970501</v>
      </c>
      <c r="E28" s="468">
        <v>280.38212775682779110958747572</v>
      </c>
      <c r="F28" s="468">
        <v>265.43899066712754925682682337</v>
      </c>
      <c r="G28" s="675">
        <v>285.45558252427184466019417476</v>
      </c>
      <c r="H28" s="468">
        <v>327.43658672615727830451756832</v>
      </c>
      <c r="I28" s="468">
        <v>346.25260159929893745207580239</v>
      </c>
      <c r="J28" s="468">
        <v>268.1900944006207164101900944</v>
      </c>
      <c r="K28" s="468">
        <v>207.9854346836595357305416477</v>
      </c>
      <c r="L28" s="468">
        <v>206.61018272684679056692175543</v>
      </c>
      <c r="M28" s="468">
        <v>214.78983050847457627118644068</v>
      </c>
      <c r="N28" s="468">
        <v>228.08390296206942769065808873</v>
      </c>
      <c r="O28" s="468">
        <v>229.53949129852744310575635877</v>
      </c>
      <c r="P28" s="468">
        <v>224.55132044650149741355839913</v>
      </c>
      <c r="Q28" s="468">
        <v>186.62632287858379834519915336</v>
      </c>
      <c r="R28" s="468">
        <v>194.66908783783783783783783784</v>
      </c>
      <c r="S28" s="468">
        <v>201.01710587147480351363846509</v>
      </c>
      <c r="T28" s="468">
        <v>203.77492006117058251077436396</v>
      </c>
      <c r="U28" s="468">
        <v>206.79348849724202879052872326</v>
      </c>
      <c r="V28" s="468">
        <v>229.93394296715196727228973649</v>
      </c>
      <c r="W28" s="468">
        <v>226.72153569286142771445710858</v>
      </c>
      <c r="X28" s="469">
        <v>196.92536416879411323021474696</v>
      </c>
      <c r="Y28" s="468">
        <v>198.88032116346008180578700197</v>
      </c>
      <c r="Z28" s="468">
        <v>197.78567181926278240190249703</v>
      </c>
      <c r="AA28" s="468">
        <v>193.30356607731495355109379682</v>
      </c>
      <c r="AB28" s="468">
        <v>190.14291725105189340813464236</v>
      </c>
      <c r="AC28" s="468">
        <v>213.32176077557971963841215774</v>
      </c>
      <c r="AD28" s="470">
        <v>234.34187434187434187434187434</v>
      </c>
      <c r="AE28" s="465"/>
      <c r="AF28" s="467">
        <v>204.75204114304010245737613063</v>
      </c>
      <c r="AG28" s="468">
        <v>235.32563741547420646323008256</v>
      </c>
      <c r="AH28" s="471">
        <v>229.75940287930137792688014722</v>
      </c>
      <c r="AI28"/>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row>
    <row r="29" ht="14.25">
      <c r="A29" s="24"/>
      <c r="B29" s="53"/>
      <c r="C29" s="489"/>
      <c r="D29" s="489"/>
      <c r="E29" s="489"/>
      <c r="F29" s="489"/>
      <c r="G29" s="489"/>
      <c r="H29" s="489"/>
      <c r="I29" s="489"/>
      <c r="J29" s="489"/>
      <c r="K29" s="489"/>
      <c r="L29" s="489"/>
      <c r="M29" s="489"/>
      <c r="N29" s="489"/>
      <c r="O29" s="489"/>
      <c r="P29" s="489"/>
      <c r="Q29" s="489"/>
      <c r="R29" s="489"/>
      <c r="S29" s="489"/>
      <c r="T29" s="489"/>
      <c r="U29" s="489"/>
      <c r="V29" s="489"/>
      <c r="W29" s="489"/>
      <c r="X29" s="490"/>
      <c r="Y29" s="489"/>
      <c r="Z29" s="489"/>
      <c r="AA29" s="489"/>
      <c r="AB29" s="489"/>
      <c r="AC29" s="489"/>
      <c r="AD29" s="491"/>
      <c r="AE29" s="169"/>
      <c r="AF29" s="489"/>
      <c r="AG29" s="489"/>
      <c r="AH29" s="489"/>
      <c r="AI29"/>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row>
    <row r="30" ht="0" hidden="1" customHeight="1">
      <c r="A30" s="24"/>
      <c r="B30" s="236" t="s">
        <v>82</v>
      </c>
      <c r="C30" s="367"/>
      <c r="D30" s="368"/>
      <c r="E30" s="368"/>
      <c r="F30" s="368"/>
      <c r="G30" s="368"/>
      <c r="H30" s="368"/>
      <c r="I30" s="368"/>
      <c r="J30" s="368"/>
      <c r="K30" s="368"/>
      <c r="L30" s="368"/>
      <c r="M30" s="368"/>
      <c r="N30" s="368"/>
      <c r="O30" s="368"/>
      <c r="P30" s="368"/>
      <c r="Q30" s="368"/>
      <c r="R30" s="368"/>
      <c r="S30" s="368"/>
      <c r="T30" s="368"/>
      <c r="U30" s="368"/>
      <c r="V30" s="368"/>
      <c r="W30" s="368"/>
      <c r="X30" s="369"/>
      <c r="Y30" s="368"/>
      <c r="Z30" s="368"/>
      <c r="AA30" s="368"/>
      <c r="AB30" s="368"/>
      <c r="AC30" s="368"/>
      <c r="AD30" s="372"/>
      <c r="AE30" s="169"/>
      <c r="AF30" s="489"/>
      <c r="AG30" s="489"/>
      <c r="AH30" s="489"/>
      <c r="AI30"/>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row>
    <row r="31" ht="0" hidden="1" customHeight="1">
      <c r="B31" s="4"/>
      <c r="X31" s="27"/>
      <c r="AD31" s="28"/>
      <c r="AF31" s="22"/>
      <c r="AG31" s="22"/>
      <c r="AH31" s="22"/>
      <c r="AI31"/>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c r="BK31" s="244"/>
    </row>
    <row r="32" ht="18">
      <c r="B32" s="29"/>
      <c r="X32" s="27"/>
      <c r="AD32" s="28"/>
      <c r="AF32" s="22"/>
      <c r="AG32" s="22"/>
      <c r="AH32" s="22"/>
      <c r="AI32"/>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c r="BK32" s="244"/>
    </row>
    <row r="33" s="41" customFormat="1" ht="18">
      <c r="B33" s="418" t="s">
        <v>78</v>
      </c>
      <c r="C33" s="275" t="s">
        <v>186</v>
      </c>
      <c r="D33" s="276"/>
      <c r="E33" s="276"/>
      <c r="F33" s="276"/>
      <c r="G33" s="658" t="s">
        <v>183</v>
      </c>
      <c r="H33" s="276"/>
      <c r="I33" s="276"/>
      <c r="J33" s="276"/>
      <c r="K33" s="276"/>
      <c r="L33" s="276"/>
      <c r="M33" s="276"/>
      <c r="N33" s="276"/>
      <c r="O33" s="276"/>
      <c r="P33" s="276"/>
      <c r="Q33" s="276"/>
      <c r="R33" s="276"/>
      <c r="S33" s="277"/>
      <c r="T33" s="277"/>
      <c r="U33" s="277"/>
      <c r="V33" s="277"/>
      <c r="W33" s="277"/>
      <c r="X33" s="312"/>
      <c r="Y33" s="277"/>
      <c r="Z33" s="277"/>
      <c r="AA33" s="277"/>
      <c r="AB33" s="277"/>
      <c r="AC33" s="277"/>
      <c r="AD33" s="336"/>
      <c r="AE33" s="25"/>
      <c r="AF33" s="316" t="s">
        <v>58</v>
      </c>
      <c r="AG33" s="317" t="s">
        <v>59</v>
      </c>
      <c r="AH33" s="318" t="s">
        <v>59</v>
      </c>
      <c r="AI33" s="25"/>
      <c r="AJ33" s="248"/>
      <c r="AK33" s="248"/>
      <c r="AL33" s="248"/>
      <c r="AM33" s="248"/>
      <c r="AN33" s="253"/>
      <c r="AO33" s="253"/>
      <c r="AP33" s="253"/>
      <c r="AQ33" s="253"/>
      <c r="AR33" s="253"/>
      <c r="AS33" s="253"/>
      <c r="AT33" s="253"/>
      <c r="AU33" s="253"/>
      <c r="AV33" s="253"/>
      <c r="AW33" s="253"/>
      <c r="AX33" s="253"/>
      <c r="AY33" s="253"/>
      <c r="AZ33" s="253"/>
      <c r="BA33" s="253"/>
      <c r="BB33" s="253"/>
      <c r="BC33" s="253"/>
      <c r="BD33" s="253"/>
      <c r="BE33" s="253"/>
      <c r="BF33" s="253"/>
      <c r="BG33" s="253"/>
      <c r="BH33" s="253"/>
      <c r="BI33" s="253"/>
      <c r="BJ33" s="253"/>
      <c r="BK33" s="253"/>
    </row>
    <row r="34" s="42" customFormat="1">
      <c r="C34" s="284">
        <v>27</v>
      </c>
      <c r="D34" s="42">
        <v>28</v>
      </c>
      <c r="E34" s="42">
        <v>29</v>
      </c>
      <c r="F34" s="42">
        <v>30</v>
      </c>
      <c r="G34" s="659">
        <v>1</v>
      </c>
      <c r="H34" s="42">
        <v>2</v>
      </c>
      <c r="I34" s="42">
        <v>3</v>
      </c>
      <c r="J34" s="42">
        <v>4</v>
      </c>
      <c r="K34" s="42">
        <v>5</v>
      </c>
      <c r="L34" s="42">
        <v>6</v>
      </c>
      <c r="M34" s="42">
        <v>7</v>
      </c>
      <c r="N34" s="42">
        <v>8</v>
      </c>
      <c r="O34" s="42">
        <v>9</v>
      </c>
      <c r="P34" s="42">
        <v>10</v>
      </c>
      <c r="Q34" s="42">
        <v>11</v>
      </c>
      <c r="R34" s="42">
        <v>12</v>
      </c>
      <c r="S34" s="42">
        <v>13</v>
      </c>
      <c r="T34" s="42">
        <v>14</v>
      </c>
      <c r="U34" s="42">
        <v>15</v>
      </c>
      <c r="V34" s="42">
        <v>16</v>
      </c>
      <c r="W34" s="42">
        <v>17</v>
      </c>
      <c r="X34" s="323">
        <v>18</v>
      </c>
      <c r="Y34" s="42">
        <v>19</v>
      </c>
      <c r="Z34" s="42">
        <v>20</v>
      </c>
      <c r="AA34" s="42">
        <v>21</v>
      </c>
      <c r="AB34" s="42">
        <v>22</v>
      </c>
      <c r="AC34" s="42">
        <v>23</v>
      </c>
      <c r="AD34" s="337">
        <v>24</v>
      </c>
      <c r="AE34" s="25"/>
      <c r="AF34" s="324" t="s">
        <v>60</v>
      </c>
      <c r="AG34" s="325">
        <v>28</v>
      </c>
      <c r="AH34" s="326" t="s">
        <v>31</v>
      </c>
      <c r="AI34" s="25"/>
      <c r="AJ34" s="248"/>
      <c r="AK34" s="248"/>
      <c r="AL34" s="248"/>
      <c r="AM34" s="248"/>
      <c r="AN34" s="254"/>
      <c r="AO34" s="254"/>
      <c r="AP34" s="254"/>
      <c r="AQ34" s="254"/>
      <c r="AR34" s="254"/>
      <c r="AS34" s="254"/>
      <c r="AT34" s="254"/>
      <c r="AU34" s="254"/>
      <c r="AV34" s="254"/>
      <c r="AW34" s="254"/>
      <c r="AX34" s="254"/>
      <c r="AY34" s="254"/>
      <c r="AZ34" s="254"/>
      <c r="BA34" s="254"/>
      <c r="BB34" s="254"/>
      <c r="BC34" s="254"/>
      <c r="BD34" s="254"/>
      <c r="BE34" s="254"/>
      <c r="BF34" s="254"/>
      <c r="BG34" s="254"/>
      <c r="BH34" s="254"/>
      <c r="BI34" s="254"/>
      <c r="BJ34" s="254"/>
      <c r="BK34" s="254"/>
    </row>
    <row r="35" ht="14.25" customHeight="1">
      <c r="B35" s="46" t="s">
        <v>32</v>
      </c>
      <c r="C35" s="444">
        <v>18.044395298346388832166190340</v>
      </c>
      <c r="D35" s="445">
        <v>39.668478907793841615267961070</v>
      </c>
      <c r="E35" s="445">
        <v>53.888258091494352817341186950</v>
      </c>
      <c r="F35" s="445">
        <v>36.019225332202431439072660450</v>
      </c>
      <c r="G35" s="660">
        <v>-18.605541339827349489056864450</v>
      </c>
      <c r="H35" s="445">
        <v>-7.643786637713167064868609800</v>
      </c>
      <c r="I35" s="445">
        <v>-11.568365670199479265071261270</v>
      </c>
      <c r="J35" s="445">
        <v>-27.102415697730294398365331180</v>
      </c>
      <c r="K35" s="445">
        <v>7.2720285479295284184869419500</v>
      </c>
      <c r="L35" s="445">
        <v>-10.759358288763481092656750470</v>
      </c>
      <c r="M35" s="445">
        <v>-10.130151130147710847990950290</v>
      </c>
      <c r="N35" s="445">
        <v>5.3743199729271664520023846900</v>
      </c>
      <c r="O35" s="445">
        <v>-1.3866184180593690648129043900</v>
      </c>
      <c r="P35" s="445">
        <v>-1.3763968908889604831385067200</v>
      </c>
      <c r="Q35" s="445">
        <v>-11.632612200610776502651407250</v>
      </c>
      <c r="R35" s="445">
        <v>-3.5437944908428317595301016900</v>
      </c>
      <c r="S35" s="445">
        <v>4.4851024403320540846857472300</v>
      </c>
      <c r="T35" s="445">
        <v>-1.8758533016759899506322162300</v>
      </c>
      <c r="U35" s="445">
        <v>-13.524714237416830599227164150</v>
      </c>
      <c r="V35" s="445">
        <v>0.8741602565764204145926959900</v>
      </c>
      <c r="W35" s="445">
        <v>3.7990806759759846514002311900</v>
      </c>
      <c r="X35" s="446">
        <v>2.7348495212432164566381889200</v>
      </c>
      <c r="Y35" s="445">
        <v>30.149893242918501765251645500</v>
      </c>
      <c r="Z35" s="445">
        <v>52.093087554234426002223326040</v>
      </c>
      <c r="AA35" s="445">
        <v>28.084770158360033982627156980</v>
      </c>
      <c r="AB35" s="445">
        <v>18.839373712704043760919382560</v>
      </c>
      <c r="AC35" s="445">
        <v>5.1488658888293241654974514400</v>
      </c>
      <c r="AD35" s="447">
        <v>3.1910463697184421786804367700</v>
      </c>
      <c r="AE35" s="448"/>
      <c r="AF35" s="444">
        <v>15.177086755297531024134062630</v>
      </c>
      <c r="AG35" s="445">
        <v>4.4180046509130757163499552500</v>
      </c>
      <c r="AH35" s="449">
        <v>0.5952873164071157629201997900</v>
      </c>
      <c r="AI35"/>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row>
    <row r="36" ht="14.25" customHeight="1">
      <c r="B36" s="47" t="s">
        <v>26</v>
      </c>
      <c r="C36" s="327">
        <v>38.775059963771200125371660080</v>
      </c>
      <c r="D36" s="81">
        <v>61.058376569474690048677132970</v>
      </c>
      <c r="E36" s="81">
        <v>36.251306039425316441811454860</v>
      </c>
      <c r="F36" s="81">
        <v>14.762511881823077607020141140</v>
      </c>
      <c r="G36" s="661">
        <v>12.453426150085141885801436530</v>
      </c>
      <c r="H36" s="81">
        <v>18.021078392077350218754626480</v>
      </c>
      <c r="I36" s="81">
        <v>14.096371386480780907905046280</v>
      </c>
      <c r="J36" s="81">
        <v>6.9293224707851701097041461700</v>
      </c>
      <c r="K36" s="81">
        <v>-10.632334208318821090528630060</v>
      </c>
      <c r="L36" s="81">
        <v>13.791369747404807417920895540</v>
      </c>
      <c r="M36" s="81">
        <v>24.025731170403492495097790470</v>
      </c>
      <c r="N36" s="81">
        <v>13.647052106614023228617310140</v>
      </c>
      <c r="O36" s="81">
        <v>-11.407863283410108352217935280</v>
      </c>
      <c r="P36" s="81">
        <v>-6.9201065093784093299276318800</v>
      </c>
      <c r="Q36" s="81">
        <v>4.5345276810198486059934950600</v>
      </c>
      <c r="R36" s="81">
        <v>-2.0154980051983251399506694100</v>
      </c>
      <c r="S36" s="81">
        <v>-5.3654450554555433845225429400</v>
      </c>
      <c r="T36" s="81">
        <v>-3.1509534969113085612125012500</v>
      </c>
      <c r="U36" s="81">
        <v>-11.30436876222708946200350200</v>
      </c>
      <c r="V36" s="81">
        <v>-2.0873031108786410878297339800</v>
      </c>
      <c r="W36" s="81">
        <v>-4.4371331608523442113013897200</v>
      </c>
      <c r="X36" s="82">
        <v>16.790584570693831754439823930</v>
      </c>
      <c r="Y36" s="81">
        <v>23.788198103284908280906095070</v>
      </c>
      <c r="Z36" s="81">
        <v>14.987404248958528216606871820</v>
      </c>
      <c r="AA36" s="81">
        <v>17.218072012791471363242537190</v>
      </c>
      <c r="AB36" s="81">
        <v>14.415340882452836510420285240</v>
      </c>
      <c r="AC36" s="81">
        <v>-1.8635901396056014515054280800</v>
      </c>
      <c r="AD36" s="83">
        <v>5.3637794493175315815023591700</v>
      </c>
      <c r="AE36" s="88"/>
      <c r="AF36" s="327">
        <v>11.082585122079371342682848580</v>
      </c>
      <c r="AG36" s="81">
        <v>10.821368893772325814611272390</v>
      </c>
      <c r="AH36" s="328">
        <v>9.488551141208170563474108270</v>
      </c>
      <c r="AI36"/>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c r="BK36" s="244"/>
    </row>
    <row r="37" ht="14.25" customHeight="1">
      <c r="A37" s="24"/>
      <c r="B37" s="49" t="s">
        <v>185</v>
      </c>
      <c r="C37" s="450">
        <v>5.9658298927888029846474207600</v>
      </c>
      <c r="D37" s="451">
        <v>15.276168032289406711044783640</v>
      </c>
      <c r="E37" s="451">
        <v>17.443933770330888165260761730</v>
      </c>
      <c r="F37" s="451">
        <v>13.050716780563929720899643760</v>
      </c>
      <c r="G37" s="662">
        <v>3.0488647524396100333251346100</v>
      </c>
      <c r="H37" s="451">
        <v>-3.1787710833697164835347548700</v>
      </c>
      <c r="I37" s="451">
        <v>2.261116179705005799017409300</v>
      </c>
      <c r="J37" s="451">
        <v>-6.5789141707016189159927414400</v>
      </c>
      <c r="K37" s="451">
        <v>-6.2727531470473605343944598500</v>
      </c>
      <c r="L37" s="451">
        <v>-4.1148726145950780202884622800</v>
      </c>
      <c r="M37" s="451">
        <v>-0.4700370553185834951649993700</v>
      </c>
      <c r="N37" s="451">
        <v>7.2583577335922920890111126900</v>
      </c>
      <c r="O37" s="451">
        <v>-0.1533991890990098200190237400</v>
      </c>
      <c r="P37" s="451">
        <v>0.1931741114286224534999589500</v>
      </c>
      <c r="Q37" s="451">
        <v>0.2776270353172040724995801600</v>
      </c>
      <c r="R37" s="451">
        <v>2.2478870604357677078297341800</v>
      </c>
      <c r="S37" s="451">
        <v>1.3964436135615348876421496400</v>
      </c>
      <c r="T37" s="451">
        <v>3.9451602759710328399811822500</v>
      </c>
      <c r="U37" s="451">
        <v>1.827259691795307511809331100</v>
      </c>
      <c r="V37" s="451">
        <v>0.758501840965543143934138300</v>
      </c>
      <c r="W37" s="451">
        <v>-0.9869640478045057455973823200</v>
      </c>
      <c r="X37" s="452">
        <v>3.1905201662143469488623822600</v>
      </c>
      <c r="Y37" s="451">
        <v>3.4551998122261788970432630100</v>
      </c>
      <c r="Z37" s="451">
        <v>1.8683487617906800472776102300</v>
      </c>
      <c r="AA37" s="451">
        <v>2.9476800762358427595465209100</v>
      </c>
      <c r="AB37" s="451">
        <v>-1.7768664694577891547314400700</v>
      </c>
      <c r="AC37" s="451">
        <v>-4.8869259181652426601472199700</v>
      </c>
      <c r="AD37" s="453">
        <v>-3.7345559010669700345649277300</v>
      </c>
      <c r="AE37" s="448"/>
      <c r="AF37" s="450">
        <v>-0.4034512379666573696387947600</v>
      </c>
      <c r="AG37" s="451">
        <v>2.3777950193218862164787897300</v>
      </c>
      <c r="AH37" s="454">
        <v>0.3870473435776669043687190400</v>
      </c>
      <c r="AI37"/>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c r="BK37" s="244"/>
    </row>
    <row r="38" ht="13.5" customHeight="1">
      <c r="B38" s="40"/>
      <c r="C38" s="23"/>
      <c r="D38" s="23"/>
      <c r="E38" s="23"/>
      <c r="F38" s="23"/>
      <c r="G38" s="23"/>
      <c r="H38" s="23"/>
      <c r="I38" s="23"/>
      <c r="J38" s="23"/>
      <c r="K38" s="23"/>
      <c r="L38" s="23"/>
      <c r="M38" s="23"/>
      <c r="N38" s="23"/>
      <c r="O38" s="23"/>
      <c r="P38" s="23"/>
      <c r="Q38" s="23"/>
      <c r="R38" s="23"/>
      <c r="S38" s="23"/>
      <c r="T38" s="23"/>
      <c r="U38" s="23"/>
      <c r="V38" s="23"/>
      <c r="W38" s="23"/>
      <c r="X38" s="44"/>
      <c r="Y38" s="23"/>
      <c r="Z38" s="23"/>
      <c r="AA38" s="23"/>
      <c r="AB38" s="23"/>
      <c r="AC38" s="23"/>
      <c r="AD38" s="45"/>
      <c r="AF38" s="43"/>
      <c r="AG38" s="43"/>
      <c r="AH38" s="43"/>
      <c r="AI38"/>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c r="BK38" s="244"/>
    </row>
    <row r="39" ht="18">
      <c r="B39" s="29"/>
      <c r="X39" s="27"/>
      <c r="AD39" s="28"/>
      <c r="AF39" s="43"/>
      <c r="AG39" s="43"/>
      <c r="AH39" s="43"/>
      <c r="AI39"/>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row>
    <row r="40" s="41" customFormat="1" ht="18">
      <c r="B40" s="418" t="s">
        <v>92</v>
      </c>
      <c r="C40" s="275" t="s">
        <v>186</v>
      </c>
      <c r="D40" s="276"/>
      <c r="E40" s="276"/>
      <c r="F40" s="276"/>
      <c r="G40" s="658" t="s">
        <v>183</v>
      </c>
      <c r="H40" s="276"/>
      <c r="I40" s="276"/>
      <c r="J40" s="276"/>
      <c r="K40" s="276"/>
      <c r="L40" s="276"/>
      <c r="M40" s="276"/>
      <c r="N40" s="276"/>
      <c r="O40" s="276"/>
      <c r="P40" s="276"/>
      <c r="Q40" s="276"/>
      <c r="R40" s="276"/>
      <c r="S40" s="277"/>
      <c r="T40" s="277"/>
      <c r="U40" s="277"/>
      <c r="V40" s="277"/>
      <c r="W40" s="277"/>
      <c r="X40" s="312"/>
      <c r="Y40" s="277"/>
      <c r="Z40" s="277"/>
      <c r="AA40" s="277"/>
      <c r="AB40" s="277"/>
      <c r="AC40" s="277"/>
      <c r="AD40" s="336"/>
      <c r="AE40" s="25"/>
      <c r="AF40" s="316" t="s">
        <v>58</v>
      </c>
      <c r="AG40" s="317" t="s">
        <v>59</v>
      </c>
      <c r="AH40" s="318" t="s">
        <v>59</v>
      </c>
      <c r="AI40" s="25"/>
      <c r="AJ40" s="248"/>
      <c r="AK40" s="248"/>
      <c r="AL40" s="248"/>
      <c r="AM40" s="248"/>
      <c r="AN40" s="253"/>
      <c r="AO40" s="253"/>
      <c r="AP40" s="253"/>
      <c r="AQ40" s="253"/>
      <c r="AR40" s="253"/>
      <c r="AS40" s="253"/>
      <c r="AT40" s="253"/>
      <c r="AU40" s="253"/>
      <c r="AV40" s="253"/>
      <c r="AW40" s="253"/>
      <c r="AX40" s="253"/>
      <c r="AY40" s="253"/>
      <c r="AZ40" s="253"/>
      <c r="BA40" s="253"/>
      <c r="BB40" s="253"/>
      <c r="BC40" s="253"/>
      <c r="BD40" s="253"/>
      <c r="BE40" s="253"/>
      <c r="BF40" s="253"/>
      <c r="BG40" s="253"/>
      <c r="BH40" s="253"/>
      <c r="BI40" s="253"/>
      <c r="BJ40" s="253"/>
      <c r="BK40" s="253"/>
    </row>
    <row r="41" s="42" customFormat="1">
      <c r="C41" s="279">
        <v>27</v>
      </c>
      <c r="D41" s="280">
        <v>28</v>
      </c>
      <c r="E41" s="280">
        <v>29</v>
      </c>
      <c r="F41" s="280">
        <v>30</v>
      </c>
      <c r="G41" s="676">
        <v>1</v>
      </c>
      <c r="H41" s="280">
        <v>2</v>
      </c>
      <c r="I41" s="280">
        <v>3</v>
      </c>
      <c r="J41" s="280">
        <v>4</v>
      </c>
      <c r="K41" s="280">
        <v>5</v>
      </c>
      <c r="L41" s="280">
        <v>6</v>
      </c>
      <c r="M41" s="280">
        <v>7</v>
      </c>
      <c r="N41" s="280">
        <v>8</v>
      </c>
      <c r="O41" s="280">
        <v>9</v>
      </c>
      <c r="P41" s="280">
        <v>10</v>
      </c>
      <c r="Q41" s="280">
        <v>11</v>
      </c>
      <c r="R41" s="280">
        <v>12</v>
      </c>
      <c r="S41" s="280">
        <v>13</v>
      </c>
      <c r="T41" s="280">
        <v>14</v>
      </c>
      <c r="U41" s="280">
        <v>15</v>
      </c>
      <c r="V41" s="280">
        <v>16</v>
      </c>
      <c r="W41" s="280">
        <v>17</v>
      </c>
      <c r="X41" s="315">
        <v>18</v>
      </c>
      <c r="Y41" s="280">
        <v>19</v>
      </c>
      <c r="Z41" s="280">
        <v>20</v>
      </c>
      <c r="AA41" s="280">
        <v>21</v>
      </c>
      <c r="AB41" s="280">
        <v>22</v>
      </c>
      <c r="AC41" s="280">
        <v>23</v>
      </c>
      <c r="AD41" s="373">
        <v>24</v>
      </c>
      <c r="AE41" s="25"/>
      <c r="AF41" s="324" t="s">
        <v>60</v>
      </c>
      <c r="AG41" s="325">
        <v>28</v>
      </c>
      <c r="AH41" s="326" t="s">
        <v>31</v>
      </c>
      <c r="AI41" s="25"/>
      <c r="AJ41" s="248"/>
      <c r="AK41" s="248"/>
      <c r="AL41" s="248"/>
      <c r="AM41" s="248"/>
      <c r="AN41" s="254"/>
      <c r="AO41" s="254"/>
      <c r="AP41" s="254"/>
      <c r="AQ41" s="254"/>
      <c r="AR41" s="254"/>
      <c r="AS41" s="254"/>
      <c r="AT41" s="254"/>
      <c r="AU41" s="254"/>
      <c r="AV41" s="254"/>
      <c r="AW41" s="254"/>
      <c r="AX41" s="254"/>
      <c r="AY41" s="254"/>
      <c r="AZ41" s="254"/>
      <c r="BA41" s="254"/>
      <c r="BB41" s="254"/>
      <c r="BC41" s="254"/>
      <c r="BD41" s="254"/>
      <c r="BE41" s="254"/>
      <c r="BF41" s="254"/>
      <c r="BG41" s="254"/>
      <c r="BH41" s="254"/>
      <c r="BI41" s="254"/>
      <c r="BJ41" s="254"/>
      <c r="BK41" s="254"/>
    </row>
    <row r="42" ht="14.25" customHeight="1">
      <c r="A42" s="1"/>
      <c r="B42" s="46" t="s">
        <v>26</v>
      </c>
      <c r="C42" s="444">
        <v>78.350987020396252406180142870</v>
      </c>
      <c r="D42" s="445">
        <v>79.74366834059929490890781707</v>
      </c>
      <c r="E42" s="445">
        <v>98.08219218440689387081053797</v>
      </c>
      <c r="F42" s="445">
        <v>87.70149661430049398787802666</v>
      </c>
      <c r="G42" s="660">
        <v>76.442855539539358348161375310</v>
      </c>
      <c r="H42" s="445">
        <v>84.9647359920262199426680600</v>
      </c>
      <c r="I42" s="445">
        <v>82.91074256935337792089336666</v>
      </c>
      <c r="J42" s="445">
        <v>79.042221662863699756569853400</v>
      </c>
      <c r="K42" s="445">
        <v>79.64242739039128501909594776</v>
      </c>
      <c r="L42" s="445">
        <v>65.466056293781078230582372040</v>
      </c>
      <c r="M42" s="445">
        <v>67.189598007333909472364997140</v>
      </c>
      <c r="N42" s="445">
        <v>74.957966684340518768265731500</v>
      </c>
      <c r="O42" s="445">
        <v>103.72107710777337723672916919</v>
      </c>
      <c r="P42" s="445">
        <v>96.80626060031141314009577837</v>
      </c>
      <c r="Q42" s="445">
        <v>73.177793852446475860676449530</v>
      </c>
      <c r="R42" s="445">
        <v>69.935151376847460516847166050</v>
      </c>
      <c r="S42" s="445">
        <v>77.595944660579025349014120370</v>
      </c>
      <c r="T42" s="445">
        <v>78.959057896899833970236176070</v>
      </c>
      <c r="U42" s="445">
        <v>82.13699011220977827230100162</v>
      </c>
      <c r="V42" s="445">
        <v>89.96478654998866938157905097</v>
      </c>
      <c r="W42" s="445">
        <v>98.72982246515994988306467830</v>
      </c>
      <c r="X42" s="446">
        <v>77.269694565525103314301753380</v>
      </c>
      <c r="Y42" s="445">
        <v>69.610239040521042365306228870</v>
      </c>
      <c r="Z42" s="445">
        <v>76.470487152951623611314827840</v>
      </c>
      <c r="AA42" s="445">
        <v>74.281974965435098469534195880</v>
      </c>
      <c r="AB42" s="445">
        <v>69.250044776979515109298981610</v>
      </c>
      <c r="AC42" s="445">
        <v>75.332521887044138991807563270</v>
      </c>
      <c r="AD42" s="447">
        <v>66.624422639623325604475911930</v>
      </c>
      <c r="AE42" s="448"/>
      <c r="AF42" s="444">
        <v>70.557258351968411932543458020</v>
      </c>
      <c r="AG42" s="445">
        <v>79.59104607582175017672279819</v>
      </c>
      <c r="AH42" s="449">
        <v>78.431783814201378713344922510</v>
      </c>
      <c r="AI42"/>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row>
    <row r="43" ht="14.25" customHeight="1">
      <c r="A43" s="24"/>
      <c r="B43" s="48" t="s">
        <v>185</v>
      </c>
      <c r="C43" s="329">
        <v>103.88386391719281429750866911</v>
      </c>
      <c r="D43" s="330">
        <v>105.92415660292226289903560731</v>
      </c>
      <c r="E43" s="330">
        <v>111.09280662502772135036631804</v>
      </c>
      <c r="F43" s="330">
        <v>100.69273436658892757927651921</v>
      </c>
      <c r="G43" s="663">
        <v>104.06115882196395018992135383</v>
      </c>
      <c r="H43" s="330">
        <v>128.30967263023416612315872534</v>
      </c>
      <c r="I43" s="330">
        <v>118.10862837834897098047971630</v>
      </c>
      <c r="J43" s="330">
        <v>108.10624203184250694366058405</v>
      </c>
      <c r="K43" s="330">
        <v>92.10486598433233186973585624</v>
      </c>
      <c r="L43" s="330">
        <v>83.78238617859607978529238688</v>
      </c>
      <c r="M43" s="330">
        <v>86.50231004780367501850570920</v>
      </c>
      <c r="N43" s="330">
        <v>91.40790864945888423236818800</v>
      </c>
      <c r="O43" s="330">
        <v>120.84236608341957079332093385</v>
      </c>
      <c r="P43" s="330">
        <v>117.05150851126895375573323117</v>
      </c>
      <c r="Q43" s="330">
        <v>88.80166000756385395960986245</v>
      </c>
      <c r="R43" s="330">
        <v>76.234374729496888881068120930</v>
      </c>
      <c r="S43" s="330">
        <v>79.216706331736800713832763480</v>
      </c>
      <c r="T43" s="330">
        <v>74.973208527721295361011234590</v>
      </c>
      <c r="U43" s="330">
        <v>81.46643830224239797413246528</v>
      </c>
      <c r="V43" s="330">
        <v>113.17514361616459715011717867</v>
      </c>
      <c r="W43" s="330">
        <v>127.22950734777469213893717748</v>
      </c>
      <c r="X43" s="331">
        <v>98.43271529242573049833438977</v>
      </c>
      <c r="Y43" s="330">
        <v>97.63060824266505071950464645</v>
      </c>
      <c r="Z43" s="330">
        <v>102.36213030821182904672131386</v>
      </c>
      <c r="AA43" s="330">
        <v>94.99410065386672027493171510</v>
      </c>
      <c r="AB43" s="330">
        <v>98.88134448236215913201988557</v>
      </c>
      <c r="AC43" s="330">
        <v>115.10128248590357456409660969</v>
      </c>
      <c r="AD43" s="338">
        <v>117.35347517622983662996717432</v>
      </c>
      <c r="AE43" s="88"/>
      <c r="AF43" s="329">
        <v>102.84402614154143868062507641</v>
      </c>
      <c r="AG43" s="330">
        <v>103.85909356890400728025474051</v>
      </c>
      <c r="AH43" s="332">
        <v>103.56041302490817848251492750</v>
      </c>
      <c r="AI43"/>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row>
    <row r="44" ht="12" customHeight="1">
      <c r="B44" s="4"/>
      <c r="X44" s="27"/>
      <c r="AD44" s="28"/>
      <c r="AF44" s="43"/>
      <c r="AG44" s="43"/>
      <c r="AH44" s="43"/>
      <c r="AI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row>
    <row r="45" ht="18">
      <c r="B45" s="29"/>
      <c r="X45" s="27"/>
      <c r="AD45" s="28"/>
      <c r="AF45" s="43"/>
      <c r="AG45" s="43"/>
      <c r="AH45" s="43"/>
      <c r="AI45"/>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c r="BK45" s="244"/>
    </row>
    <row r="46" s="41" customFormat="1" ht="18">
      <c r="B46" s="418" t="s">
        <v>77</v>
      </c>
      <c r="C46" s="275" t="s">
        <v>186</v>
      </c>
      <c r="D46" s="276"/>
      <c r="E46" s="276"/>
      <c r="F46" s="276"/>
      <c r="G46" s="658" t="s">
        <v>183</v>
      </c>
      <c r="H46" s="276"/>
      <c r="I46" s="276"/>
      <c r="J46" s="276"/>
      <c r="K46" s="276"/>
      <c r="L46" s="276"/>
      <c r="M46" s="276"/>
      <c r="N46" s="276"/>
      <c r="O46" s="276"/>
      <c r="P46" s="276"/>
      <c r="Q46" s="276"/>
      <c r="R46" s="276"/>
      <c r="S46" s="277"/>
      <c r="T46" s="277"/>
      <c r="U46" s="277"/>
      <c r="V46" s="277"/>
      <c r="W46" s="277"/>
      <c r="X46" s="312"/>
      <c r="Y46" s="277"/>
      <c r="Z46" s="277"/>
      <c r="AA46" s="277"/>
      <c r="AB46" s="277"/>
      <c r="AC46" s="277"/>
      <c r="AD46" s="336"/>
      <c r="AE46" s="25"/>
      <c r="AF46" s="316" t="s">
        <v>58</v>
      </c>
      <c r="AG46" s="317" t="s">
        <v>59</v>
      </c>
      <c r="AH46" s="318" t="s">
        <v>59</v>
      </c>
      <c r="AI46" s="25"/>
      <c r="AJ46" s="248"/>
      <c r="AK46" s="248"/>
      <c r="AL46" s="248"/>
      <c r="AM46" s="248"/>
      <c r="AN46" s="253"/>
      <c r="AO46" s="253"/>
      <c r="AP46" s="253"/>
      <c r="AQ46" s="253"/>
      <c r="AR46" s="253"/>
      <c r="AS46" s="253"/>
      <c r="AT46" s="253"/>
      <c r="AU46" s="253"/>
      <c r="AV46" s="253"/>
      <c r="AW46" s="253"/>
      <c r="AX46" s="253"/>
      <c r="AY46" s="253"/>
      <c r="AZ46" s="253"/>
      <c r="BA46" s="253"/>
      <c r="BB46" s="253"/>
      <c r="BC46" s="253"/>
      <c r="BD46" s="253"/>
      <c r="BE46" s="253"/>
      <c r="BF46" s="253"/>
      <c r="BG46" s="253"/>
      <c r="BH46" s="253"/>
      <c r="BI46" s="253"/>
      <c r="BJ46" s="253"/>
      <c r="BK46" s="253"/>
    </row>
    <row r="47" s="42" customFormat="1">
      <c r="C47" s="284">
        <v>27</v>
      </c>
      <c r="D47" s="42">
        <v>28</v>
      </c>
      <c r="E47" s="42">
        <v>29</v>
      </c>
      <c r="F47" s="42">
        <v>30</v>
      </c>
      <c r="G47" s="659">
        <v>1</v>
      </c>
      <c r="H47" s="42">
        <v>2</v>
      </c>
      <c r="I47" s="42">
        <v>3</v>
      </c>
      <c r="J47" s="42">
        <v>4</v>
      </c>
      <c r="K47" s="42">
        <v>5</v>
      </c>
      <c r="L47" s="42">
        <v>6</v>
      </c>
      <c r="M47" s="42">
        <v>7</v>
      </c>
      <c r="N47" s="42">
        <v>8</v>
      </c>
      <c r="O47" s="42">
        <v>9</v>
      </c>
      <c r="P47" s="42">
        <v>10</v>
      </c>
      <c r="Q47" s="42">
        <v>11</v>
      </c>
      <c r="R47" s="42">
        <v>12</v>
      </c>
      <c r="S47" s="42">
        <v>13</v>
      </c>
      <c r="T47" s="42">
        <v>14</v>
      </c>
      <c r="U47" s="42">
        <v>15</v>
      </c>
      <c r="V47" s="42">
        <v>16</v>
      </c>
      <c r="W47" s="42">
        <v>17</v>
      </c>
      <c r="X47" s="323">
        <v>18</v>
      </c>
      <c r="Y47" s="42">
        <v>19</v>
      </c>
      <c r="Z47" s="42">
        <v>20</v>
      </c>
      <c r="AA47" s="42">
        <v>21</v>
      </c>
      <c r="AB47" s="42">
        <v>22</v>
      </c>
      <c r="AC47" s="42">
        <v>23</v>
      </c>
      <c r="AD47" s="337">
        <v>24</v>
      </c>
      <c r="AE47" s="25"/>
      <c r="AF47" s="324" t="s">
        <v>60</v>
      </c>
      <c r="AG47" s="325">
        <v>28</v>
      </c>
      <c r="AH47" s="326" t="s">
        <v>31</v>
      </c>
      <c r="AI47" s="25"/>
      <c r="AJ47" s="248"/>
      <c r="AK47" s="248"/>
      <c r="AL47" s="248"/>
      <c r="AM47" s="248"/>
      <c r="AN47" s="254"/>
      <c r="AO47" s="254"/>
      <c r="AP47" s="254"/>
      <c r="AQ47" s="254"/>
      <c r="AR47" s="254"/>
      <c r="AS47" s="254"/>
      <c r="AT47" s="254"/>
      <c r="AU47" s="254"/>
      <c r="AV47" s="254"/>
      <c r="AW47" s="254"/>
      <c r="AX47" s="254"/>
      <c r="AY47" s="254"/>
      <c r="AZ47" s="254"/>
      <c r="BA47" s="254"/>
      <c r="BB47" s="254"/>
      <c r="BC47" s="254"/>
      <c r="BD47" s="254"/>
      <c r="BE47" s="254"/>
      <c r="BF47" s="254"/>
      <c r="BG47" s="254"/>
      <c r="BH47" s="254"/>
      <c r="BI47" s="254"/>
      <c r="BJ47" s="254"/>
      <c r="BK47" s="254"/>
    </row>
    <row r="48" ht="14.25" customHeight="1">
      <c r="A48" s="1"/>
      <c r="B48" s="46" t="s">
        <v>26</v>
      </c>
      <c r="C48" s="444">
        <v>-14.938321533332017976105595960</v>
      </c>
      <c r="D48" s="445">
        <v>-13.280835258217654575149983550</v>
      </c>
      <c r="E48" s="445">
        <v>12.944427884604808924091573250</v>
      </c>
      <c r="F48" s="445">
        <v>18.522349416967891399341208450</v>
      </c>
      <c r="G48" s="660">
        <v>-27.619405253585317501784961390</v>
      </c>
      <c r="H48" s="445">
        <v>-21.746001120680804512711152620</v>
      </c>
      <c r="I48" s="445">
        <v>-22.493911721112300001234497650</v>
      </c>
      <c r="J48" s="445">
        <v>-31.826385300284431032861525990</v>
      </c>
      <c r="K48" s="445">
        <v>20.034497485817269269378350810</v>
      </c>
      <c r="L48" s="445">
        <v>-21.575210923916089150468849400</v>
      </c>
      <c r="M48" s="445">
        <v>-27.539351695981784322914584320</v>
      </c>
      <c r="N48" s="445">
        <v>-7.2793195954154882917775963900</v>
      </c>
      <c r="O48" s="445">
        <v>11.311664033386548944540392740</v>
      </c>
      <c r="P48" s="445">
        <v>5.9558615835765060247369304700</v>
      </c>
      <c r="Q48" s="445">
        <v>-15.465837212128275781386284230</v>
      </c>
      <c r="R48" s="445">
        <v>-1.5597328705140617900904191600</v>
      </c>
      <c r="S48" s="445">
        <v>10.409038750788431626126345760</v>
      </c>
      <c r="T48" s="445">
        <v>1.3165851820770867925400773100</v>
      </c>
      <c r="U48" s="445">
        <v>-2.5033312737466228094698624700</v>
      </c>
      <c r="V48" s="445">
        <v>3.0245958507472736396135445800</v>
      </c>
      <c r="W48" s="445">
        <v>8.618634108916652824386875920</v>
      </c>
      <c r="X48" s="446">
        <v>-12.034989893266480616770595140</v>
      </c>
      <c r="Y48" s="445">
        <v>5.139177431349691467579536500</v>
      </c>
      <c r="Z48" s="445">
        <v>32.269345975587837911316952650</v>
      </c>
      <c r="AA48" s="445">
        <v>9.270497252664628938583305020</v>
      </c>
      <c r="AB48" s="445">
        <v>3.8666430533866962208407055200</v>
      </c>
      <c r="AC48" s="445">
        <v>7.1456211189297466935473893400</v>
      </c>
      <c r="AD48" s="447">
        <v>-2.0621252302122914760655770700</v>
      </c>
      <c r="AE48" s="448"/>
      <c r="AF48" s="444">
        <v>3.6859977905223263056675319700</v>
      </c>
      <c r="AG48" s="445">
        <v>-5.7780952416882298221727599100</v>
      </c>
      <c r="AH48" s="449">
        <v>-8.122551382848084004276921020</v>
      </c>
      <c r="AI48"/>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c r="BK48" s="244"/>
    </row>
    <row r="49" ht="14.25" customHeight="1">
      <c r="A49" s="24"/>
      <c r="B49" s="48" t="s">
        <v>185</v>
      </c>
      <c r="C49" s="329">
        <v>11.398547454203641113681960410</v>
      </c>
      <c r="D49" s="330">
        <v>21.159890454235637133804481110</v>
      </c>
      <c r="E49" s="330">
        <v>31.031253084897902282805458980</v>
      </c>
      <c r="F49" s="330">
        <v>20.316995067097021158281117910</v>
      </c>
      <c r="G49" s="663">
        <v>-21.013726006850562369129990160</v>
      </c>
      <c r="H49" s="330">
        <v>-4.6116080164791423324322901800</v>
      </c>
      <c r="I49" s="330">
        <v>-13.523695385440340650986363190</v>
      </c>
      <c r="J49" s="330">
        <v>-21.968810729212506444801661520</v>
      </c>
      <c r="K49" s="330">
        <v>14.451274469024903763930415270</v>
      </c>
      <c r="L49" s="330">
        <v>-6.9296311694367353057465880800</v>
      </c>
      <c r="M49" s="330">
        <v>-9.705734624125264977969854340</v>
      </c>
      <c r="N49" s="330">
        <v>-1.7565416816961899092713440900</v>
      </c>
      <c r="O49" s="330">
        <v>-1.2351138836397886445250884500</v>
      </c>
      <c r="P49" s="330">
        <v>-1.5665448432448178855697762900</v>
      </c>
      <c r="Q49" s="330">
        <v>-11.877264737984605264665691280</v>
      </c>
      <c r="R49" s="330">
        <v>-5.6643532867216018236049292800</v>
      </c>
      <c r="S49" s="330">
        <v>3.0461214582342655922827473400</v>
      </c>
      <c r="T49" s="330">
        <v>-5.6000813911856437110589529200</v>
      </c>
      <c r="U49" s="330">
        <v>-15.076487352850592223518926750</v>
      </c>
      <c r="V49" s="330">
        <v>0.1147877484193260938606770600</v>
      </c>
      <c r="W49" s="330">
        <v>4.8337521193763931143927768300</v>
      </c>
      <c r="X49" s="331">
        <v>-0.4415818858763096712351086500</v>
      </c>
      <c r="Y49" s="330">
        <v>25.803143272717854854597052160</v>
      </c>
      <c r="Z49" s="330">
        <v>49.303576039925527480179291700</v>
      </c>
      <c r="AA49" s="330">
        <v>24.417344872202819144278927730</v>
      </c>
      <c r="AB49" s="330">
        <v>20.989190062514406576418826750</v>
      </c>
      <c r="AC49" s="330">
        <v>10.551432496396347150406587230</v>
      </c>
      <c r="AD49" s="338">
        <v>7.1942765502526969526036708900</v>
      </c>
      <c r="AE49" s="88"/>
      <c r="AF49" s="329">
        <v>15.643652502909486644755673740</v>
      </c>
      <c r="AG49" s="330">
        <v>1.9928243533579508984974736100</v>
      </c>
      <c r="AH49" s="332">
        <v>0.2074370930427372974646792600</v>
      </c>
      <c r="AI49"/>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c r="BK49" s="244"/>
    </row>
    <row r="50" ht="14.25" customHeight="1">
      <c r="B50" s="53"/>
      <c r="C50" s="472"/>
      <c r="D50" s="472"/>
      <c r="E50" s="472"/>
      <c r="F50" s="472"/>
      <c r="G50" s="472"/>
      <c r="H50" s="472"/>
      <c r="I50" s="472"/>
      <c r="J50" s="472"/>
      <c r="K50" s="472"/>
      <c r="L50" s="472"/>
      <c r="M50" s="472"/>
      <c r="N50" s="472"/>
      <c r="O50" s="472"/>
      <c r="P50" s="472"/>
      <c r="Q50" s="472"/>
      <c r="R50" s="472"/>
      <c r="S50" s="472"/>
      <c r="T50" s="472"/>
      <c r="U50" s="472"/>
      <c r="V50" s="472"/>
      <c r="W50" s="472"/>
      <c r="X50" s="473"/>
      <c r="Y50" s="472"/>
      <c r="Z50" s="472"/>
      <c r="AA50" s="472"/>
      <c r="AB50" s="472"/>
      <c r="AC50" s="472"/>
      <c r="AD50" s="474"/>
      <c r="AE50" s="475"/>
      <c r="AF50" s="472"/>
      <c r="AG50" s="472"/>
      <c r="AH50" s="472"/>
      <c r="AI50"/>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c r="BK50" s="244"/>
    </row>
    <row r="51" ht="18">
      <c r="B51" s="29"/>
      <c r="X51" s="27"/>
      <c r="AD51" s="28"/>
      <c r="AF51" s="43"/>
      <c r="AG51" s="43"/>
      <c r="AH51" s="43"/>
      <c r="AI51"/>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c r="BK51" s="244"/>
    </row>
    <row r="52" ht="18">
      <c r="B52" s="418" t="s">
        <v>55</v>
      </c>
      <c r="C52" s="275" t="s">
        <v>186</v>
      </c>
      <c r="D52" s="276"/>
      <c r="E52" s="276"/>
      <c r="F52" s="276"/>
      <c r="G52" s="658" t="s">
        <v>183</v>
      </c>
      <c r="H52" s="276"/>
      <c r="I52" s="276"/>
      <c r="J52" s="276"/>
      <c r="K52" s="276"/>
      <c r="L52" s="276"/>
      <c r="M52" s="276"/>
      <c r="N52" s="276"/>
      <c r="O52" s="276"/>
      <c r="P52" s="276"/>
      <c r="Q52" s="276"/>
      <c r="R52" s="276"/>
      <c r="S52" s="277"/>
      <c r="T52" s="277"/>
      <c r="U52" s="277"/>
      <c r="V52" s="277"/>
      <c r="W52" s="277"/>
      <c r="X52" s="312"/>
      <c r="Y52" s="277"/>
      <c r="Z52" s="277"/>
      <c r="AA52" s="277"/>
      <c r="AB52" s="277"/>
      <c r="AC52" s="277"/>
      <c r="AD52" s="336"/>
      <c r="AE52" s="25"/>
      <c r="AF52" s="316" t="s">
        <v>58</v>
      </c>
      <c r="AG52" s="317" t="s">
        <v>59</v>
      </c>
      <c r="AH52" s="318" t="s">
        <v>59</v>
      </c>
      <c r="AI52"/>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row>
    <row r="53">
      <c r="B53" s="42"/>
      <c r="C53" s="284">
        <v>27</v>
      </c>
      <c r="D53" s="42">
        <v>28</v>
      </c>
      <c r="E53" s="42">
        <v>29</v>
      </c>
      <c r="F53" s="42">
        <v>30</v>
      </c>
      <c r="G53" s="659">
        <v>1</v>
      </c>
      <c r="H53" s="42">
        <v>2</v>
      </c>
      <c r="I53" s="42">
        <v>3</v>
      </c>
      <c r="J53" s="42">
        <v>4</v>
      </c>
      <c r="K53" s="42">
        <v>5</v>
      </c>
      <c r="L53" s="42">
        <v>6</v>
      </c>
      <c r="M53" s="42">
        <v>7</v>
      </c>
      <c r="N53" s="42">
        <v>8</v>
      </c>
      <c r="O53" s="42">
        <v>9</v>
      </c>
      <c r="P53" s="42">
        <v>10</v>
      </c>
      <c r="Q53" s="42">
        <v>11</v>
      </c>
      <c r="R53" s="42">
        <v>12</v>
      </c>
      <c r="S53" s="42">
        <v>13</v>
      </c>
      <c r="T53" s="42">
        <v>14</v>
      </c>
      <c r="U53" s="42">
        <v>15</v>
      </c>
      <c r="V53" s="42">
        <v>16</v>
      </c>
      <c r="W53" s="42">
        <v>17</v>
      </c>
      <c r="X53" s="323">
        <v>18</v>
      </c>
      <c r="Y53" s="42">
        <v>19</v>
      </c>
      <c r="Z53" s="42">
        <v>20</v>
      </c>
      <c r="AA53" s="42">
        <v>21</v>
      </c>
      <c r="AB53" s="42">
        <v>22</v>
      </c>
      <c r="AC53" s="42">
        <v>23</v>
      </c>
      <c r="AD53" s="337">
        <v>24</v>
      </c>
      <c r="AE53" s="25"/>
      <c r="AF53" s="324" t="s">
        <v>60</v>
      </c>
      <c r="AG53" s="325">
        <v>28</v>
      </c>
      <c r="AH53" s="326" t="s">
        <v>31</v>
      </c>
      <c r="AI53"/>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row>
    <row r="54" ht="14.25" customHeight="1">
      <c r="B54" s="46" t="s">
        <v>56</v>
      </c>
      <c r="C54" s="455" t="s">
        <v>171</v>
      </c>
      <c r="D54" s="456" t="s">
        <v>170</v>
      </c>
      <c r="E54" s="456" t="s">
        <v>170</v>
      </c>
      <c r="F54" s="456" t="s">
        <v>170</v>
      </c>
      <c r="G54" s="664" t="s">
        <v>170</v>
      </c>
      <c r="H54" s="456" t="s">
        <v>170</v>
      </c>
      <c r="I54" s="456" t="s">
        <v>170</v>
      </c>
      <c r="J54" s="456" t="s">
        <v>170</v>
      </c>
      <c r="K54" s="456" t="s">
        <v>170</v>
      </c>
      <c r="L54" s="456" t="s">
        <v>170</v>
      </c>
      <c r="M54" s="456" t="s">
        <v>171</v>
      </c>
      <c r="N54" s="456" t="s">
        <v>170</v>
      </c>
      <c r="O54" s="456" t="s">
        <v>170</v>
      </c>
      <c r="P54" s="456" t="s">
        <v>170</v>
      </c>
      <c r="Q54" s="456" t="s">
        <v>170</v>
      </c>
      <c r="R54" s="456" t="s">
        <v>170</v>
      </c>
      <c r="S54" s="456" t="s">
        <v>170</v>
      </c>
      <c r="T54" s="456" t="s">
        <v>170</v>
      </c>
      <c r="U54" s="456" t="s">
        <v>170</v>
      </c>
      <c r="V54" s="456" t="s">
        <v>170</v>
      </c>
      <c r="W54" s="456" t="s">
        <v>170</v>
      </c>
      <c r="X54" s="457" t="s">
        <v>170</v>
      </c>
      <c r="Y54" s="456" t="s">
        <v>172</v>
      </c>
      <c r="Z54" s="456" t="s">
        <v>172</v>
      </c>
      <c r="AA54" s="456" t="s">
        <v>172</v>
      </c>
      <c r="AB54" s="456" t="s">
        <v>172</v>
      </c>
      <c r="AC54" s="456" t="s">
        <v>172</v>
      </c>
      <c r="AD54" s="458" t="s">
        <v>172</v>
      </c>
      <c r="AE54" s="459"/>
      <c r="AF54" s="455" t="s">
        <v>172</v>
      </c>
      <c r="AG54" s="456" t="s">
        <v>170</v>
      </c>
      <c r="AH54" s="460" t="s">
        <v>170</v>
      </c>
      <c r="AI5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row>
    <row r="55" ht="14.25" customHeight="1" thickBot="1">
      <c r="B55" s="48" t="s">
        <v>78</v>
      </c>
      <c r="C55" s="333" t="s">
        <v>180</v>
      </c>
      <c r="D55" s="334" t="s">
        <v>171</v>
      </c>
      <c r="E55" s="334" t="s">
        <v>170</v>
      </c>
      <c r="F55" s="334" t="s">
        <v>170</v>
      </c>
      <c r="G55" s="665" t="s">
        <v>179</v>
      </c>
      <c r="H55" s="334" t="s">
        <v>180</v>
      </c>
      <c r="I55" s="334" t="s">
        <v>180</v>
      </c>
      <c r="J55" s="334" t="s">
        <v>180</v>
      </c>
      <c r="K55" s="334" t="s">
        <v>176</v>
      </c>
      <c r="L55" s="334" t="s">
        <v>180</v>
      </c>
      <c r="M55" s="334" t="s">
        <v>180</v>
      </c>
      <c r="N55" s="334" t="s">
        <v>171</v>
      </c>
      <c r="O55" s="334" t="s">
        <v>176</v>
      </c>
      <c r="P55" s="334" t="s">
        <v>176</v>
      </c>
      <c r="Q55" s="334" t="s">
        <v>179</v>
      </c>
      <c r="R55" s="334" t="s">
        <v>171</v>
      </c>
      <c r="S55" s="334" t="s">
        <v>176</v>
      </c>
      <c r="T55" s="334" t="s">
        <v>170</v>
      </c>
      <c r="U55" s="334" t="s">
        <v>180</v>
      </c>
      <c r="V55" s="334" t="s">
        <v>171</v>
      </c>
      <c r="W55" s="334" t="s">
        <v>176</v>
      </c>
      <c r="X55" s="60" t="s">
        <v>171</v>
      </c>
      <c r="Y55" s="61" t="s">
        <v>174</v>
      </c>
      <c r="Z55" s="61" t="s">
        <v>174</v>
      </c>
      <c r="AA55" s="61" t="s">
        <v>174</v>
      </c>
      <c r="AB55" s="61" t="s">
        <v>174</v>
      </c>
      <c r="AC55" s="61" t="s">
        <v>172</v>
      </c>
      <c r="AD55" s="62" t="s">
        <v>172</v>
      </c>
      <c r="AE55" s="59"/>
      <c r="AF55" s="333" t="s">
        <v>174</v>
      </c>
      <c r="AG55" s="334" t="s">
        <v>170</v>
      </c>
      <c r="AH55" s="335" t="s">
        <v>170</v>
      </c>
      <c r="AI55"/>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row>
    <row r="56" ht="9.95" customHeight="1">
      <c r="AF56"/>
      <c r="AG56"/>
      <c r="AH56"/>
      <c r="AI56"/>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row>
    <row r="57" ht="9.95" customHeight="1">
      <c r="AF57"/>
      <c r="AG57"/>
      <c r="AH57"/>
      <c r="AI57"/>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row>
    <row r="58" ht="24.95" customHeight="1">
      <c r="B58" s="611" t="s">
        <v>114</v>
      </c>
      <c r="C58" s="611"/>
      <c r="D58" s="611"/>
      <c r="E58" s="611"/>
      <c r="F58" s="611"/>
      <c r="G58" s="611"/>
      <c r="H58" s="611"/>
      <c r="I58" s="611"/>
      <c r="J58" s="611"/>
      <c r="K58" s="611"/>
      <c r="L58" s="611"/>
      <c r="M58" s="611"/>
      <c r="N58" s="611"/>
      <c r="O58" s="611"/>
      <c r="P58" s="611"/>
      <c r="Q58" s="611"/>
      <c r="R58" s="611"/>
      <c r="S58" s="611"/>
      <c r="T58" s="611"/>
      <c r="U58" s="611"/>
      <c r="V58" s="611"/>
      <c r="W58" s="611"/>
      <c r="X58" s="611"/>
      <c r="Y58" s="611"/>
      <c r="Z58" s="611"/>
      <c r="AA58" s="611"/>
      <c r="AB58" s="611"/>
      <c r="AC58" s="611"/>
      <c r="AD58" s="611"/>
      <c r="AE58" s="611"/>
      <c r="AF58" s="611"/>
      <c r="AG58" s="611"/>
      <c r="AH58" s="611"/>
      <c r="AI58"/>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row>
    <row r="59" ht="9.95" customHeight="1">
      <c r="AF59" s="80"/>
      <c r="AG59" s="242"/>
      <c r="AH59"/>
      <c r="AI59"/>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row>
    <row r="60" ht="9.95" customHeight="1">
      <c r="B60" s="53"/>
      <c r="AF60"/>
      <c r="AG60"/>
      <c r="AH60"/>
      <c r="AI60"/>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row>
    <row r="61" ht="9.95" customHeight="1">
      <c r="AF61"/>
      <c r="AG61"/>
      <c r="AH61"/>
      <c r="AI61"/>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c r="BK65" s="244"/>
    </row>
    <row r="66">
      <c r="A66" s="244"/>
      <c r="B66" s="666"/>
      <c r="C66" s="666"/>
      <c r="D66" s="666"/>
      <c r="E66" s="666"/>
      <c r="F66" s="666"/>
      <c r="G66" s="666"/>
      <c r="H66" s="666"/>
      <c r="I66" s="666"/>
      <c r="J66" s="666"/>
      <c r="K66" s="666"/>
      <c r="L66" s="666"/>
      <c r="M66" s="666"/>
      <c r="N66" s="666"/>
      <c r="O66" s="666"/>
      <c r="P66" s="666"/>
      <c r="Q66" s="666"/>
      <c r="R66" s="666"/>
      <c r="S66" s="666"/>
      <c r="T66" s="666"/>
      <c r="U66" s="666"/>
      <c r="V66" s="666"/>
      <c r="W66" s="666"/>
      <c r="X66" s="666"/>
      <c r="Y66" s="666"/>
      <c r="Z66" s="666"/>
      <c r="AA66" s="666"/>
      <c r="AB66" s="666"/>
      <c r="AC66" s="666"/>
      <c r="AD66" s="666"/>
      <c r="AE66" s="666"/>
      <c r="AF66" s="666"/>
      <c r="AG66" s="666"/>
      <c r="AH66" s="666"/>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c r="BK66" s="244"/>
    </row>
    <row r="67">
      <c r="A67" s="244"/>
      <c r="B67" s="666"/>
      <c r="C67" s="666"/>
      <c r="D67" s="666"/>
      <c r="E67" s="666"/>
      <c r="F67" s="666"/>
      <c r="G67" s="666"/>
      <c r="H67" s="666"/>
      <c r="I67" s="666"/>
      <c r="J67" s="666"/>
      <c r="K67" s="666"/>
      <c r="L67" s="666"/>
      <c r="M67" s="666"/>
      <c r="N67" s="666"/>
      <c r="O67" s="666"/>
      <c r="P67" s="666"/>
      <c r="Q67" s="666"/>
      <c r="R67" s="666"/>
      <c r="S67" s="666"/>
      <c r="T67" s="666"/>
      <c r="U67" s="666"/>
      <c r="V67" s="666"/>
      <c r="W67" s="666"/>
      <c r="X67" s="666"/>
      <c r="Y67" s="666"/>
      <c r="Z67" s="666"/>
      <c r="AA67" s="666"/>
      <c r="AB67" s="666"/>
      <c r="AC67" s="666"/>
      <c r="AD67" s="666"/>
      <c r="AE67" s="666"/>
      <c r="AF67" s="666"/>
      <c r="AG67" s="666"/>
      <c r="AH67" s="666"/>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c r="BK67" s="244"/>
    </row>
    <row r="68" s="25" customFormat="1">
      <c r="A68" s="248"/>
      <c r="B68" s="666"/>
      <c r="C68" s="666"/>
      <c r="D68" s="666"/>
      <c r="E68" s="666"/>
      <c r="F68" s="666"/>
      <c r="G68" s="666"/>
      <c r="H68" s="666"/>
      <c r="I68" s="666"/>
      <c r="J68" s="666"/>
      <c r="K68" s="666"/>
      <c r="L68" s="666"/>
      <c r="M68" s="666"/>
      <c r="N68" s="666"/>
      <c r="O68" s="666"/>
      <c r="P68" s="666"/>
      <c r="Q68" s="666"/>
      <c r="R68" s="666"/>
      <c r="S68" s="666"/>
      <c r="T68" s="666"/>
      <c r="U68" s="666"/>
      <c r="V68" s="666"/>
      <c r="W68" s="666"/>
      <c r="X68" s="666"/>
      <c r="Y68" s="666"/>
      <c r="Z68" s="666"/>
      <c r="AA68" s="666"/>
      <c r="AB68" s="666"/>
      <c r="AC68" s="666"/>
      <c r="AD68" s="666"/>
      <c r="AE68" s="666"/>
      <c r="AF68" s="666"/>
      <c r="AG68" s="666"/>
      <c r="AH68" s="666"/>
      <c r="AI68" s="248"/>
      <c r="AJ68" s="248"/>
      <c r="AK68" s="248"/>
      <c r="AL68" s="248"/>
      <c r="AM68" s="248"/>
      <c r="AN68" s="248"/>
      <c r="AO68" s="248"/>
      <c r="AP68" s="248"/>
      <c r="AQ68" s="248"/>
      <c r="AR68" s="248"/>
      <c r="AS68" s="248"/>
      <c r="AT68" s="248"/>
      <c r="AU68" s="248"/>
      <c r="AV68" s="248"/>
      <c r="AW68" s="248"/>
      <c r="AX68" s="248"/>
      <c r="AY68" s="248"/>
      <c r="AZ68" s="248"/>
      <c r="BA68" s="248"/>
      <c r="BB68" s="248"/>
      <c r="BC68" s="248"/>
      <c r="BD68" s="248"/>
      <c r="BE68" s="248"/>
      <c r="BF68" s="248"/>
      <c r="BG68" s="248"/>
      <c r="BH68" s="248"/>
      <c r="BI68" s="248"/>
      <c r="BJ68" s="248"/>
      <c r="BK68" s="248"/>
    </row>
    <row r="69" s="25" customFormat="1" ht="10.5" customHeight="1">
      <c r="A69" s="248"/>
      <c r="B69" s="666"/>
      <c r="C69" s="666"/>
      <c r="D69" s="666"/>
      <c r="E69" s="666"/>
      <c r="F69" s="666"/>
      <c r="G69" s="666"/>
      <c r="H69" s="666"/>
      <c r="I69" s="666"/>
      <c r="J69" s="666"/>
      <c r="K69" s="666"/>
      <c r="L69" s="666"/>
      <c r="M69" s="666"/>
      <c r="N69" s="666"/>
      <c r="O69" s="666"/>
      <c r="P69" s="666"/>
      <c r="Q69" s="666"/>
      <c r="R69" s="666"/>
      <c r="S69" s="666"/>
      <c r="T69" s="666"/>
      <c r="U69" s="666"/>
      <c r="V69" s="666"/>
      <c r="W69" s="666"/>
      <c r="X69" s="666"/>
      <c r="Y69" s="666"/>
      <c r="Z69" s="666"/>
      <c r="AA69" s="666"/>
      <c r="AB69" s="666"/>
      <c r="AC69" s="666"/>
      <c r="AD69" s="666"/>
      <c r="AE69" s="666"/>
      <c r="AF69" s="666"/>
      <c r="AG69" s="666"/>
      <c r="AH69" s="666"/>
      <c r="AI69" s="248"/>
      <c r="AJ69" s="248"/>
      <c r="AK69" s="248"/>
      <c r="AL69" s="248"/>
      <c r="AM69" s="248"/>
      <c r="AN69" s="248"/>
      <c r="AO69" s="248"/>
      <c r="AP69" s="248"/>
      <c r="AQ69" s="248"/>
      <c r="AR69" s="248"/>
      <c r="AS69" s="248"/>
      <c r="AT69" s="248"/>
      <c r="AU69" s="248"/>
      <c r="AV69" s="248"/>
      <c r="AW69" s="248"/>
      <c r="AX69" s="248"/>
      <c r="AY69" s="248"/>
      <c r="AZ69" s="248"/>
      <c r="BA69" s="248"/>
      <c r="BB69" s="248"/>
      <c r="BC69" s="248"/>
      <c r="BD69" s="248"/>
      <c r="BE69" s="248"/>
      <c r="BF69" s="248"/>
      <c r="BG69" s="248"/>
      <c r="BH69" s="248"/>
      <c r="BI69" s="248"/>
      <c r="BJ69" s="248"/>
      <c r="BK69" s="248"/>
    </row>
    <row r="70" s="84" customFormat="1">
      <c r="A70" s="256"/>
      <c r="B70" s="666"/>
      <c r="C70" s="666"/>
      <c r="D70" s="666"/>
      <c r="E70" s="666"/>
      <c r="F70" s="666"/>
      <c r="G70" s="666"/>
      <c r="H70" s="666"/>
      <c r="I70" s="666"/>
      <c r="J70" s="666"/>
      <c r="K70" s="666"/>
      <c r="L70" s="666"/>
      <c r="M70" s="666"/>
      <c r="N70" s="666"/>
      <c r="O70" s="666"/>
      <c r="P70" s="666"/>
      <c r="Q70" s="666"/>
      <c r="R70" s="666"/>
      <c r="S70" s="666"/>
      <c r="T70" s="666"/>
      <c r="U70" s="666"/>
      <c r="V70" s="666"/>
      <c r="W70" s="666"/>
      <c r="X70" s="666"/>
      <c r="Y70" s="666"/>
      <c r="Z70" s="666"/>
      <c r="AA70" s="666"/>
      <c r="AB70" s="666"/>
      <c r="AC70" s="666"/>
      <c r="AD70" s="666"/>
      <c r="AE70" s="666"/>
      <c r="AF70" s="666"/>
      <c r="AG70" s="666"/>
      <c r="AH70" s="666"/>
      <c r="AI70" s="249"/>
      <c r="AJ70" s="249"/>
      <c r="AK70" s="249"/>
      <c r="AL70" s="249"/>
      <c r="AM70" s="249"/>
      <c r="AN70" s="249"/>
      <c r="AO70" s="249"/>
      <c r="AP70" s="249"/>
      <c r="AQ70" s="249"/>
      <c r="AR70" s="249"/>
      <c r="AS70" s="249"/>
      <c r="AT70" s="249"/>
      <c r="AU70" s="249"/>
      <c r="AV70" s="249"/>
      <c r="AW70" s="249"/>
      <c r="AX70" s="249"/>
      <c r="AY70" s="249"/>
      <c r="AZ70" s="249"/>
      <c r="BA70" s="249"/>
      <c r="BB70" s="249"/>
      <c r="BC70" s="249"/>
      <c r="BD70" s="249"/>
      <c r="BE70" s="249"/>
      <c r="BF70" s="249"/>
      <c r="BG70" s="249"/>
      <c r="BH70" s="249"/>
      <c r="BI70" s="249"/>
      <c r="BJ70" s="249"/>
      <c r="BK70" s="249"/>
    </row>
    <row r="71" s="84" customFormat="1">
      <c r="A71" s="256"/>
      <c r="B71" s="666">
        <v>1</v>
      </c>
      <c r="C71" s="666">
        <v>2</v>
      </c>
      <c r="D71" s="666">
        <v>3</v>
      </c>
      <c r="E71" s="666">
        <v>4</v>
      </c>
      <c r="F71" s="666">
        <v>5</v>
      </c>
      <c r="G71" s="666">
        <v>6</v>
      </c>
      <c r="H71" s="666">
        <v>7</v>
      </c>
      <c r="I71" s="666">
        <v>8</v>
      </c>
      <c r="J71" s="666">
        <v>9</v>
      </c>
      <c r="K71" s="666">
        <v>10</v>
      </c>
      <c r="L71" s="666">
        <v>11</v>
      </c>
      <c r="M71" s="666">
        <v>12</v>
      </c>
      <c r="N71" s="666"/>
      <c r="O71" s="666"/>
      <c r="P71" s="666"/>
      <c r="Q71" s="666"/>
      <c r="R71" s="666"/>
      <c r="S71" s="666"/>
      <c r="T71" s="666"/>
      <c r="U71" s="666"/>
      <c r="V71" s="666"/>
      <c r="W71" s="666"/>
      <c r="X71" s="666"/>
      <c r="Y71" s="666"/>
      <c r="Z71" s="666"/>
      <c r="AA71" s="666"/>
      <c r="AB71" s="666"/>
      <c r="AC71" s="666"/>
      <c r="AD71" s="666"/>
      <c r="AE71" s="666"/>
      <c r="AF71" s="666"/>
      <c r="AG71" s="666"/>
      <c r="AH71" s="666"/>
      <c r="AI71" s="249"/>
      <c r="AJ71" s="249"/>
      <c r="AK71" s="249"/>
      <c r="AL71" s="249"/>
      <c r="AM71" s="249"/>
      <c r="AN71" s="249"/>
      <c r="AO71" s="249"/>
      <c r="AP71" s="249"/>
      <c r="AQ71" s="249"/>
      <c r="AR71" s="249"/>
      <c r="AS71" s="249"/>
      <c r="AT71" s="249"/>
      <c r="AU71" s="249"/>
      <c r="AV71" s="249"/>
      <c r="AW71" s="249"/>
      <c r="AX71" s="249"/>
      <c r="AY71" s="249"/>
      <c r="AZ71" s="249"/>
      <c r="BA71" s="249"/>
      <c r="BB71" s="249"/>
      <c r="BC71" s="249"/>
      <c r="BD71" s="249"/>
      <c r="BE71" s="249"/>
      <c r="BF71" s="249"/>
      <c r="BG71" s="249"/>
      <c r="BH71" s="249"/>
      <c r="BI71" s="249"/>
      <c r="BJ71" s="249"/>
      <c r="BK71" s="249"/>
    </row>
    <row r="72" s="84" customFormat="1">
      <c r="A72" s="256"/>
      <c r="B72" s="666" t="n">
        <v>45724</v>
      </c>
      <c r="C72" s="666">
        <v>45731</v>
      </c>
      <c r="D72" s="666">
        <v>45738</v>
      </c>
      <c r="E72" s="666">
        <v>45745</v>
      </c>
      <c r="F72" s="666">
        <v>45752</v>
      </c>
      <c r="G72" s="666">
        <v>45759</v>
      </c>
      <c r="H72" s="666">
        <v>45766</v>
      </c>
      <c r="I72" s="666">
        <v>45773</v>
      </c>
      <c r="J72" s="666">
        <v>45780</v>
      </c>
      <c r="K72" s="666">
        <v>45787</v>
      </c>
      <c r="L72" s="666">
        <v>45794</v>
      </c>
      <c r="M72" s="666">
        <v>45801</v>
      </c>
      <c r="N72" s="666"/>
      <c r="O72" s="666"/>
      <c r="P72" s="666"/>
      <c r="Q72" s="666"/>
      <c r="R72" s="666"/>
      <c r="S72" s="666"/>
      <c r="T72" s="666"/>
      <c r="U72" s="666"/>
      <c r="V72" s="666"/>
      <c r="W72" s="666"/>
      <c r="X72" s="666"/>
      <c r="Y72" s="666"/>
      <c r="Z72" s="666"/>
      <c r="AA72" s="666"/>
      <c r="AB72" s="666"/>
      <c r="AC72" s="666"/>
      <c r="AD72" s="666"/>
      <c r="AE72" s="666"/>
      <c r="AF72" s="666"/>
      <c r="AG72" s="666"/>
      <c r="AH72" s="666"/>
      <c r="AI72" s="249"/>
      <c r="AJ72" s="249"/>
      <c r="AK72" s="249"/>
      <c r="AL72" s="249"/>
      <c r="AM72" s="249"/>
      <c r="AN72" s="249"/>
      <c r="AO72" s="249"/>
      <c r="AP72" s="249"/>
      <c r="AQ72" s="249"/>
      <c r="AR72" s="249"/>
      <c r="AS72" s="249"/>
      <c r="AT72" s="249"/>
      <c r="AU72" s="249"/>
      <c r="AV72" s="249"/>
      <c r="AW72" s="249"/>
      <c r="AX72" s="249"/>
      <c r="AY72" s="249"/>
      <c r="AZ72" s="249"/>
      <c r="BA72" s="249"/>
      <c r="BB72" s="249"/>
      <c r="BC72" s="249"/>
      <c r="BD72" s="249"/>
      <c r="BE72" s="249"/>
      <c r="BF72" s="249"/>
      <c r="BG72" s="249"/>
      <c r="BH72" s="249"/>
      <c r="BI72" s="249"/>
      <c r="BJ72" s="249"/>
      <c r="BK72" s="249"/>
    </row>
    <row r="73" s="84" customFormat="1" ht="14.25">
      <c r="A73" s="260" t="s">
        <v>32</v>
      </c>
      <c r="B73" s="666">
        <v>294.28199052132701421800947867</v>
      </c>
      <c r="C73" s="666">
        <v>272.44761904761904761904761905</v>
      </c>
      <c r="D73" s="666">
        <v>292.02738095238095238095238095</v>
      </c>
      <c r="E73" s="666">
        <v>328.03836930455635491606714628</v>
      </c>
      <c r="F73" s="666">
        <v>264.93856655290102389078498294</v>
      </c>
      <c r="G73" s="666">
        <v>297.68166089965397923875432526</v>
      </c>
      <c r="H73" s="666">
        <v>261.60854893138357705286839145</v>
      </c>
      <c r="I73" s="666">
        <v>236.04422604422604422604422604</v>
      </c>
      <c r="J73" s="666">
        <v>322.13578826237054085155350978</v>
      </c>
      <c r="K73" s="666">
        <v>232.81440443213296398891966759</v>
      </c>
      <c r="L73" s="666">
        <v>199.37266187050359712230215827</v>
      </c>
      <c r="M73" s="666">
        <v>210.57524271844660194174757282</v>
      </c>
      <c r="N73" s="666"/>
      <c r="O73" s="666"/>
      <c r="P73" s="666"/>
      <c r="Q73" s="666"/>
      <c r="R73" s="666"/>
      <c r="S73" s="666"/>
      <c r="T73" s="666"/>
      <c r="U73" s="666"/>
      <c r="V73" s="666"/>
      <c r="W73" s="666"/>
      <c r="X73" s="666"/>
      <c r="Y73" s="666"/>
      <c r="Z73" s="666"/>
      <c r="AA73" s="666"/>
      <c r="AB73" s="666"/>
      <c r="AC73" s="666"/>
      <c r="AD73" s="666"/>
      <c r="AE73" s="666"/>
      <c r="AF73" s="666"/>
      <c r="AG73" s="666"/>
      <c r="AH73" s="666"/>
      <c r="AI73" s="249"/>
      <c r="AJ73" s="249"/>
      <c r="AK73" s="249"/>
      <c r="AL73" s="249"/>
      <c r="AM73" s="249"/>
      <c r="AN73" s="249"/>
      <c r="AO73" s="249"/>
      <c r="AP73" s="249"/>
      <c r="AQ73" s="249"/>
      <c r="AR73" s="249"/>
      <c r="AS73" s="249"/>
      <c r="AT73" s="249"/>
      <c r="AU73" s="249"/>
      <c r="AV73" s="249"/>
      <c r="AW73" s="249"/>
      <c r="AX73" s="249"/>
      <c r="AY73" s="249"/>
      <c r="AZ73" s="249"/>
      <c r="BA73" s="249"/>
      <c r="BB73" s="249"/>
      <c r="BC73" s="249"/>
      <c r="BD73" s="249"/>
      <c r="BE73" s="249"/>
      <c r="BF73" s="249"/>
      <c r="BG73" s="249"/>
      <c r="BH73" s="249"/>
      <c r="BI73" s="249"/>
      <c r="BJ73" s="249"/>
      <c r="BK73" s="249"/>
    </row>
    <row r="74" s="84" customFormat="1" ht="14.25">
      <c r="A74" s="260" t="s">
        <v>26</v>
      </c>
      <c r="B74" s="666">
        <v>380.43819702602230483271375465</v>
      </c>
      <c r="C74" s="666">
        <v>360.12587412587412587412587413</v>
      </c>
      <c r="D74" s="666">
        <v>398.99439252336448598130841121</v>
      </c>
      <c r="E74" s="666">
        <v>380.24565523720056364490371066</v>
      </c>
      <c r="F74" s="666">
        <v>341.34264079507808802650260293</v>
      </c>
      <c r="G74" s="666">
        <v>323.78790697674418604651162791</v>
      </c>
      <c r="H74" s="666">
        <v>374.43093922651933701657458564</v>
      </c>
      <c r="I74" s="666">
        <v>342.5159362549800796812749004</v>
      </c>
      <c r="J74" s="666">
        <v>383.20122753178430512932924156</v>
      </c>
      <c r="K74" s="666">
        <v>280.47484454494064443188241945</v>
      </c>
      <c r="L74" s="666">
        <v>238.04658385093167701863354037</v>
      </c>
      <c r="M74" s="666">
        <v>298.44589718607569852698328818</v>
      </c>
      <c r="N74" s="666"/>
      <c r="O74" s="666"/>
      <c r="P74" s="666"/>
      <c r="Q74" s="666"/>
      <c r="R74" s="666"/>
      <c r="S74" s="666"/>
      <c r="T74" s="666"/>
      <c r="U74" s="666"/>
      <c r="V74" s="666"/>
      <c r="W74" s="666"/>
      <c r="X74" s="666"/>
      <c r="Y74" s="666"/>
      <c r="Z74" s="666"/>
      <c r="AA74" s="666"/>
      <c r="AB74" s="666"/>
      <c r="AC74" s="666"/>
      <c r="AD74" s="666"/>
      <c r="AE74" s="666"/>
      <c r="AF74" s="666"/>
      <c r="AG74" s="666"/>
      <c r="AH74" s="666"/>
      <c r="AI74" s="249"/>
      <c r="AJ74" s="249"/>
      <c r="AK74" s="249"/>
      <c r="AL74" s="249"/>
      <c r="AM74" s="249"/>
      <c r="AN74" s="249"/>
      <c r="AO74" s="249"/>
      <c r="AP74" s="249"/>
      <c r="AQ74" s="249"/>
      <c r="AR74" s="249"/>
      <c r="AS74" s="249"/>
      <c r="AT74" s="249"/>
      <c r="AU74" s="249"/>
      <c r="AV74" s="249"/>
      <c r="AW74" s="249"/>
      <c r="AX74" s="249"/>
      <c r="AY74" s="249"/>
      <c r="AZ74" s="249"/>
      <c r="BA74" s="249"/>
      <c r="BB74" s="249"/>
      <c r="BC74" s="249"/>
      <c r="BD74" s="249"/>
      <c r="BE74" s="249"/>
      <c r="BF74" s="249"/>
      <c r="BG74" s="249"/>
      <c r="BH74" s="249"/>
      <c r="BI74" s="249"/>
      <c r="BJ74" s="249"/>
      <c r="BK74" s="249"/>
    </row>
    <row r="75" s="84" customFormat="1" ht="14.25">
      <c r="A75" s="260" t="s">
        <v>185</v>
      </c>
      <c r="B75" s="666">
        <v>289.62673644313855034163812438</v>
      </c>
      <c r="C75" s="666">
        <v>265.91052232316317279404962348</v>
      </c>
      <c r="D75" s="666">
        <v>286.60591050570634894072760133</v>
      </c>
      <c r="E75" s="666">
        <v>303.53818418460672576333192627</v>
      </c>
      <c r="F75" s="666">
        <v>260.3981971594780147790996279</v>
      </c>
      <c r="G75" s="666">
        <v>261.89942077443977236266612628</v>
      </c>
      <c r="H75" s="666">
        <v>255.10352979986804486474598636</v>
      </c>
      <c r="I75" s="666">
        <v>229.51864479846373914917798287</v>
      </c>
      <c r="J75" s="666">
        <v>288.92838980938294583949611952</v>
      </c>
      <c r="K75" s="666">
        <v>226.77635622326216634196308422</v>
      </c>
      <c r="L75" s="666">
        <v>209.30259012234543148246654937</v>
      </c>
      <c r="M75" s="666">
        <v>204.75204114304010245737613063</v>
      </c>
      <c r="N75" s="666"/>
      <c r="O75" s="666"/>
      <c r="P75" s="666"/>
      <c r="Q75" s="666"/>
      <c r="R75" s="666"/>
      <c r="S75" s="666"/>
      <c r="T75" s="666"/>
      <c r="U75" s="666"/>
      <c r="V75" s="666"/>
      <c r="W75" s="666"/>
      <c r="X75" s="666"/>
      <c r="Y75" s="666"/>
      <c r="Z75" s="666"/>
      <c r="AA75" s="666"/>
      <c r="AB75" s="666"/>
      <c r="AC75" s="666"/>
      <c r="AD75" s="666"/>
      <c r="AE75" s="666"/>
      <c r="AF75" s="666"/>
      <c r="AG75" s="666"/>
      <c r="AH75" s="666"/>
      <c r="AI75" s="249"/>
      <c r="AJ75" s="249"/>
      <c r="AK75" s="249"/>
      <c r="AL75" s="249"/>
      <c r="AM75" s="249"/>
      <c r="AN75" s="249"/>
      <c r="AO75" s="249"/>
      <c r="AP75" s="249"/>
      <c r="AQ75" s="249"/>
      <c r="AR75" s="249"/>
      <c r="AS75" s="249"/>
      <c r="AT75" s="249"/>
      <c r="AU75" s="249"/>
      <c r="AV75" s="249"/>
      <c r="AW75" s="249"/>
      <c r="AX75" s="249"/>
      <c r="AY75" s="249"/>
      <c r="AZ75" s="249"/>
      <c r="BA75" s="249"/>
      <c r="BB75" s="249"/>
      <c r="BC75" s="249"/>
      <c r="BD75" s="249"/>
      <c r="BE75" s="249"/>
      <c r="BF75" s="249"/>
      <c r="BG75" s="249"/>
      <c r="BH75" s="249"/>
      <c r="BI75" s="249"/>
      <c r="BJ75" s="249"/>
      <c r="BK75" s="249"/>
    </row>
    <row r="76" s="84" customFormat="1">
      <c r="A76" s="256"/>
      <c r="B76" s="666"/>
      <c r="C76" s="666"/>
      <c r="D76" s="666"/>
      <c r="E76" s="666"/>
      <c r="F76" s="666"/>
      <c r="G76" s="666"/>
      <c r="H76" s="666"/>
      <c r="I76" s="666"/>
      <c r="J76" s="666"/>
      <c r="K76" s="666"/>
      <c r="L76" s="666"/>
      <c r="M76" s="666"/>
      <c r="N76" s="666"/>
      <c r="O76" s="666"/>
      <c r="P76" s="666"/>
      <c r="Q76" s="666"/>
      <c r="R76" s="666"/>
      <c r="S76" s="666"/>
      <c r="T76" s="666"/>
      <c r="U76" s="666"/>
      <c r="V76" s="666"/>
      <c r="W76" s="666"/>
      <c r="X76" s="666"/>
      <c r="Y76" s="666"/>
      <c r="Z76" s="666"/>
      <c r="AA76" s="666"/>
      <c r="AB76" s="666"/>
      <c r="AC76" s="666"/>
      <c r="AD76" s="666"/>
      <c r="AE76" s="666"/>
      <c r="AF76" s="666"/>
      <c r="AG76" s="666"/>
      <c r="AH76" s="666"/>
      <c r="AI76" s="249"/>
      <c r="AJ76" s="249"/>
      <c r="AK76" s="249"/>
      <c r="AL76" s="249"/>
      <c r="AM76" s="249"/>
      <c r="AN76" s="249"/>
      <c r="AO76" s="249"/>
      <c r="AP76" s="249"/>
      <c r="AQ76" s="249"/>
      <c r="AR76" s="249"/>
      <c r="AS76" s="249"/>
      <c r="AT76" s="249"/>
      <c r="AU76" s="249"/>
      <c r="AV76" s="249"/>
      <c r="AW76" s="249"/>
      <c r="AX76" s="249"/>
      <c r="AY76" s="249"/>
      <c r="AZ76" s="249"/>
      <c r="BA76" s="249"/>
      <c r="BB76" s="249"/>
      <c r="BC76" s="249"/>
      <c r="BD76" s="249"/>
      <c r="BE76" s="249"/>
      <c r="BF76" s="249"/>
      <c r="BG76" s="249"/>
      <c r="BH76" s="249"/>
      <c r="BI76" s="249"/>
      <c r="BJ76" s="249"/>
      <c r="BK76" s="249"/>
    </row>
    <row r="77">
      <c r="A77" s="256"/>
      <c r="B77" s="666"/>
      <c r="C77" s="666"/>
      <c r="D77" s="666"/>
      <c r="E77" s="666"/>
      <c r="F77" s="666"/>
      <c r="G77" s="666"/>
      <c r="H77" s="666"/>
      <c r="I77" s="666"/>
      <c r="J77" s="666"/>
      <c r="K77" s="666"/>
      <c r="L77" s="666"/>
      <c r="M77" s="666"/>
      <c r="N77" s="666"/>
      <c r="O77" s="666"/>
      <c r="P77" s="666"/>
      <c r="Q77" s="666"/>
      <c r="R77" s="666"/>
      <c r="S77" s="666"/>
      <c r="T77" s="666"/>
      <c r="U77" s="666"/>
      <c r="V77" s="666"/>
      <c r="W77" s="666"/>
      <c r="X77" s="666"/>
      <c r="Y77" s="666"/>
      <c r="Z77" s="666"/>
      <c r="AA77" s="666"/>
      <c r="AB77" s="666"/>
      <c r="AC77" s="666"/>
      <c r="AD77" s="666"/>
      <c r="AE77" s="666"/>
      <c r="AF77" s="666"/>
      <c r="AG77" s="666"/>
      <c r="AH77" s="666"/>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c r="BH77" s="244"/>
      <c r="BI77" s="244"/>
      <c r="BJ77" s="244"/>
      <c r="BK77" s="244"/>
    </row>
    <row r="78">
      <c r="A78" s="256"/>
      <c r="B78" s="666"/>
      <c r="C78" s="666"/>
      <c r="D78" s="666"/>
      <c r="E78" s="666"/>
      <c r="F78" s="666"/>
      <c r="G78" s="666"/>
      <c r="H78" s="666"/>
      <c r="I78" s="666"/>
      <c r="J78" s="666"/>
      <c r="K78" s="666"/>
      <c r="L78" s="666"/>
      <c r="M78" s="666"/>
      <c r="N78" s="666"/>
      <c r="O78" s="666"/>
      <c r="P78" s="666"/>
      <c r="Q78" s="666"/>
      <c r="R78" s="666"/>
      <c r="S78" s="666"/>
      <c r="T78" s="666"/>
      <c r="U78" s="666"/>
      <c r="V78" s="666"/>
      <c r="W78" s="666"/>
      <c r="X78" s="666"/>
      <c r="Y78" s="666"/>
      <c r="Z78" s="666"/>
      <c r="AA78" s="666"/>
      <c r="AB78" s="666"/>
      <c r="AC78" s="666"/>
      <c r="AD78" s="666"/>
      <c r="AE78" s="666"/>
      <c r="AF78" s="666"/>
      <c r="AG78" s="666"/>
      <c r="AH78" s="666"/>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c r="BK78" s="244"/>
    </row>
    <row r="79">
      <c r="A79" s="256"/>
      <c r="B79" s="666"/>
      <c r="C79" s="666"/>
      <c r="D79" s="666"/>
      <c r="E79" s="666"/>
      <c r="F79" s="666"/>
      <c r="G79" s="666"/>
      <c r="H79" s="666"/>
      <c r="I79" s="666"/>
      <c r="J79" s="666"/>
      <c r="K79" s="666"/>
      <c r="L79" s="666"/>
      <c r="M79" s="666"/>
      <c r="N79" s="666"/>
      <c r="O79" s="666"/>
      <c r="P79" s="666"/>
      <c r="Q79" s="666"/>
      <c r="R79" s="666"/>
      <c r="S79" s="666"/>
      <c r="T79" s="666"/>
      <c r="U79" s="666"/>
      <c r="V79" s="666"/>
      <c r="W79" s="666"/>
      <c r="X79" s="666"/>
      <c r="Y79" s="666"/>
      <c r="Z79" s="666"/>
      <c r="AA79" s="666"/>
      <c r="AB79" s="666"/>
      <c r="AC79" s="666"/>
      <c r="AD79" s="666"/>
      <c r="AE79" s="666"/>
      <c r="AF79" s="666"/>
      <c r="AG79" s="666"/>
      <c r="AH79" s="666"/>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c r="BK79" s="244"/>
    </row>
    <row r="80">
      <c r="A80" s="244"/>
      <c r="B80" s="666"/>
      <c r="C80" s="666"/>
      <c r="D80" s="666"/>
      <c r="E80" s="666"/>
      <c r="F80" s="666"/>
      <c r="G80" s="666"/>
      <c r="H80" s="666"/>
      <c r="I80" s="666"/>
      <c r="J80" s="666"/>
      <c r="K80" s="666"/>
      <c r="L80" s="666"/>
      <c r="M80" s="666"/>
      <c r="N80" s="666"/>
      <c r="O80" s="666"/>
      <c r="P80" s="666"/>
      <c r="Q80" s="666"/>
      <c r="R80" s="666"/>
      <c r="S80" s="666"/>
      <c r="T80" s="666"/>
      <c r="U80" s="666"/>
      <c r="V80" s="666"/>
      <c r="W80" s="666"/>
      <c r="X80" s="666"/>
      <c r="Y80" s="666"/>
      <c r="Z80" s="666"/>
      <c r="AA80" s="666"/>
      <c r="AB80" s="666"/>
      <c r="AC80" s="666"/>
      <c r="AD80" s="666"/>
      <c r="AE80" s="666"/>
      <c r="AF80" s="666"/>
      <c r="AG80" s="666"/>
      <c r="AH80" s="666"/>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row>
    <row r="81">
      <c r="A81" s="244"/>
      <c r="B81" s="666"/>
      <c r="C81" s="666"/>
      <c r="D81" s="666"/>
      <c r="E81" s="666"/>
      <c r="F81" s="666"/>
      <c r="G81" s="666"/>
      <c r="H81" s="666"/>
      <c r="I81" s="666"/>
      <c r="J81" s="666"/>
      <c r="K81" s="666"/>
      <c r="L81" s="666"/>
      <c r="M81" s="666"/>
      <c r="N81" s="666"/>
      <c r="O81" s="666"/>
      <c r="P81" s="666"/>
      <c r="Q81" s="666"/>
      <c r="R81" s="666"/>
      <c r="S81" s="666"/>
      <c r="T81" s="666"/>
      <c r="U81" s="666"/>
      <c r="V81" s="666"/>
      <c r="W81" s="666"/>
      <c r="X81" s="666"/>
      <c r="Y81" s="666"/>
      <c r="Z81" s="666"/>
      <c r="AA81" s="666"/>
      <c r="AB81" s="666"/>
      <c r="AC81" s="666"/>
      <c r="AD81" s="666"/>
      <c r="AE81" s="666"/>
      <c r="AF81" s="666"/>
      <c r="AG81" s="666"/>
      <c r="AH81" s="666"/>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row>
    <row r="82">
      <c r="A82" s="244"/>
      <c r="B82" s="666"/>
      <c r="C82" s="666"/>
      <c r="D82" s="666"/>
      <c r="E82" s="666"/>
      <c r="F82" s="666"/>
      <c r="G82" s="666"/>
      <c r="H82" s="666"/>
      <c r="I82" s="666"/>
      <c r="J82" s="666"/>
      <c r="K82" s="666"/>
      <c r="L82" s="666"/>
      <c r="M82" s="666"/>
      <c r="N82" s="666"/>
      <c r="O82" s="666"/>
      <c r="P82" s="666"/>
      <c r="Q82" s="666"/>
      <c r="R82" s="666"/>
      <c r="S82" s="666"/>
      <c r="T82" s="666"/>
      <c r="U82" s="666"/>
      <c r="V82" s="666"/>
      <c r="W82" s="666"/>
      <c r="X82" s="666"/>
      <c r="Y82" s="666"/>
      <c r="Z82" s="666"/>
      <c r="AA82" s="666"/>
      <c r="AB82" s="666"/>
      <c r="AC82" s="666"/>
      <c r="AD82" s="666"/>
      <c r="AE82" s="666"/>
      <c r="AF82" s="666"/>
      <c r="AG82" s="666"/>
      <c r="AH82" s="666"/>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row>
    <row r="83">
      <c r="A83" s="244"/>
      <c r="B83" s="666"/>
      <c r="C83" s="666"/>
      <c r="D83" s="666"/>
      <c r="E83" s="666"/>
      <c r="F83" s="666"/>
      <c r="G83" s="666"/>
      <c r="H83" s="666"/>
      <c r="I83" s="666"/>
      <c r="J83" s="666"/>
      <c r="K83" s="666"/>
      <c r="L83" s="666"/>
      <c r="M83" s="666"/>
      <c r="N83" s="666"/>
      <c r="O83" s="666"/>
      <c r="P83" s="666"/>
      <c r="Q83" s="666"/>
      <c r="R83" s="666"/>
      <c r="S83" s="666"/>
      <c r="T83" s="666"/>
      <c r="U83" s="666"/>
      <c r="V83" s="666"/>
      <c r="W83" s="666"/>
      <c r="X83" s="666"/>
      <c r="Y83" s="666"/>
      <c r="Z83" s="666"/>
      <c r="AA83" s="666"/>
      <c r="AB83" s="666"/>
      <c r="AC83" s="666"/>
      <c r="AD83" s="666"/>
      <c r="AE83" s="666"/>
      <c r="AF83" s="666"/>
      <c r="AG83" s="666"/>
      <c r="AH83" s="666"/>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row>
    <row r="84">
      <c r="A84" s="244"/>
      <c r="B84" s="666"/>
      <c r="C84" s="666"/>
      <c r="D84" s="666"/>
      <c r="E84" s="666"/>
      <c r="F84" s="666"/>
      <c r="G84" s="666"/>
      <c r="H84" s="666"/>
      <c r="I84" s="666"/>
      <c r="J84" s="666"/>
      <c r="K84" s="666"/>
      <c r="L84" s="666"/>
      <c r="M84" s="666"/>
      <c r="N84" s="666"/>
      <c r="O84" s="666"/>
      <c r="P84" s="666"/>
      <c r="Q84" s="666"/>
      <c r="R84" s="666"/>
      <c r="S84" s="666"/>
      <c r="T84" s="666"/>
      <c r="U84" s="666"/>
      <c r="V84" s="666"/>
      <c r="W84" s="666"/>
      <c r="X84" s="666"/>
      <c r="Y84" s="666"/>
      <c r="Z84" s="666"/>
      <c r="AA84" s="666"/>
      <c r="AB84" s="666"/>
      <c r="AC84" s="666"/>
      <c r="AD84" s="666"/>
      <c r="AE84" s="666"/>
      <c r="AF84" s="666"/>
      <c r="AG84" s="666"/>
      <c r="AH84" s="666"/>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row>
    <row r="85">
      <c r="A85" s="244"/>
      <c r="B85" s="666"/>
      <c r="C85" s="666"/>
      <c r="D85" s="666"/>
      <c r="E85" s="666"/>
      <c r="F85" s="666"/>
      <c r="G85" s="666"/>
      <c r="H85" s="666"/>
      <c r="I85" s="666"/>
      <c r="J85" s="666"/>
      <c r="K85" s="666"/>
      <c r="L85" s="666"/>
      <c r="M85" s="666"/>
      <c r="N85" s="666"/>
      <c r="O85" s="666"/>
      <c r="P85" s="666"/>
      <c r="Q85" s="666"/>
      <c r="R85" s="666"/>
      <c r="S85" s="666"/>
      <c r="T85" s="666"/>
      <c r="U85" s="666"/>
      <c r="V85" s="666"/>
      <c r="W85" s="666"/>
      <c r="X85" s="666"/>
      <c r="Y85" s="666"/>
      <c r="Z85" s="666"/>
      <c r="AA85" s="666"/>
      <c r="AB85" s="666"/>
      <c r="AC85" s="666"/>
      <c r="AD85" s="666"/>
      <c r="AE85" s="666"/>
      <c r="AF85" s="666"/>
      <c r="AG85" s="666"/>
      <c r="AH85" s="666"/>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row>
    <row r="86">
      <c r="A86" s="244"/>
      <c r="B86" s="666"/>
      <c r="C86" s="666"/>
      <c r="D86" s="666"/>
      <c r="E86" s="666"/>
      <c r="F86" s="666"/>
      <c r="G86" s="666"/>
      <c r="H86" s="666"/>
      <c r="I86" s="666"/>
      <c r="J86" s="666"/>
      <c r="K86" s="666"/>
      <c r="L86" s="666"/>
      <c r="M86" s="666"/>
      <c r="N86" s="666"/>
      <c r="O86" s="666"/>
      <c r="P86" s="666"/>
      <c r="Q86" s="666"/>
      <c r="R86" s="666"/>
      <c r="S86" s="666"/>
      <c r="T86" s="666"/>
      <c r="U86" s="666"/>
      <c r="V86" s="666"/>
      <c r="W86" s="666"/>
      <c r="X86" s="666"/>
      <c r="Y86" s="666"/>
      <c r="Z86" s="666"/>
      <c r="AA86" s="666"/>
      <c r="AB86" s="666"/>
      <c r="AC86" s="666"/>
      <c r="AD86" s="666"/>
      <c r="AE86" s="666"/>
      <c r="AF86" s="666"/>
      <c r="AG86" s="666"/>
      <c r="AH86" s="666"/>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row>
    <row r="87">
      <c r="A87" s="244"/>
      <c r="B87" s="666"/>
      <c r="C87" s="666"/>
      <c r="D87" s="666"/>
      <c r="E87" s="666"/>
      <c r="F87" s="666"/>
      <c r="G87" s="666"/>
      <c r="H87" s="666"/>
      <c r="I87" s="666"/>
      <c r="J87" s="666"/>
      <c r="K87" s="666"/>
      <c r="L87" s="666"/>
      <c r="M87" s="666"/>
      <c r="N87" s="666"/>
      <c r="O87" s="666"/>
      <c r="P87" s="666"/>
      <c r="Q87" s="666"/>
      <c r="R87" s="666"/>
      <c r="S87" s="666"/>
      <c r="T87" s="666"/>
      <c r="U87" s="666"/>
      <c r="V87" s="666"/>
      <c r="W87" s="666"/>
      <c r="X87" s="666"/>
      <c r="Y87" s="666"/>
      <c r="Z87" s="666"/>
      <c r="AA87" s="666"/>
      <c r="AB87" s="666"/>
      <c r="AC87" s="666"/>
      <c r="AD87" s="666"/>
      <c r="AE87" s="666"/>
      <c r="AF87" s="666"/>
      <c r="AG87" s="666"/>
      <c r="AH87" s="666"/>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row>
    <row r="88">
      <c r="A88" s="244"/>
      <c r="B88" s="666"/>
      <c r="C88" s="666"/>
      <c r="D88" s="666"/>
      <c r="E88" s="666"/>
      <c r="F88" s="666"/>
      <c r="G88" s="666"/>
      <c r="H88" s="666"/>
      <c r="I88" s="666"/>
      <c r="J88" s="666"/>
      <c r="K88" s="666"/>
      <c r="L88" s="666"/>
      <c r="M88" s="666"/>
      <c r="N88" s="666"/>
      <c r="O88" s="666"/>
      <c r="P88" s="666"/>
      <c r="Q88" s="666"/>
      <c r="R88" s="666"/>
      <c r="S88" s="666"/>
      <c r="T88" s="666"/>
      <c r="U88" s="666"/>
      <c r="V88" s="666"/>
      <c r="W88" s="666"/>
      <c r="X88" s="666"/>
      <c r="Y88" s="666"/>
      <c r="Z88" s="666"/>
      <c r="AA88" s="666"/>
      <c r="AB88" s="666"/>
      <c r="AC88" s="666"/>
      <c r="AD88" s="666"/>
      <c r="AE88" s="666"/>
      <c r="AF88" s="666"/>
      <c r="AG88" s="666"/>
      <c r="AH88" s="666"/>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row>
    <row r="89">
      <c r="A89" s="244"/>
      <c r="B89" s="666"/>
      <c r="C89" s="666"/>
      <c r="D89" s="666"/>
      <c r="E89" s="666"/>
      <c r="F89" s="666"/>
      <c r="G89" s="666"/>
      <c r="H89" s="666"/>
      <c r="I89" s="666"/>
      <c r="J89" s="666"/>
      <c r="K89" s="666"/>
      <c r="L89" s="666"/>
      <c r="M89" s="666"/>
      <c r="N89" s="666"/>
      <c r="O89" s="666"/>
      <c r="P89" s="666"/>
      <c r="Q89" s="666"/>
      <c r="R89" s="666"/>
      <c r="S89" s="666"/>
      <c r="T89" s="666"/>
      <c r="U89" s="666"/>
      <c r="V89" s="666"/>
      <c r="W89" s="666"/>
      <c r="X89" s="666"/>
      <c r="Y89" s="666"/>
      <c r="Z89" s="666"/>
      <c r="AA89" s="666"/>
      <c r="AB89" s="666"/>
      <c r="AC89" s="666"/>
      <c r="AD89" s="666"/>
      <c r="AE89" s="666"/>
      <c r="AF89" s="666"/>
      <c r="AG89" s="666"/>
      <c r="AH89" s="666"/>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row>
    <row r="90">
      <c r="A90" s="244"/>
      <c r="B90" s="666"/>
      <c r="C90" s="666"/>
      <c r="D90" s="666"/>
      <c r="E90" s="666"/>
      <c r="F90" s="666"/>
      <c r="G90" s="666"/>
      <c r="H90" s="666"/>
      <c r="I90" s="666"/>
      <c r="J90" s="666"/>
      <c r="K90" s="666"/>
      <c r="L90" s="666"/>
      <c r="M90" s="666"/>
      <c r="N90" s="666"/>
      <c r="O90" s="666"/>
      <c r="P90" s="666"/>
      <c r="Q90" s="666"/>
      <c r="R90" s="666"/>
      <c r="S90" s="666"/>
      <c r="T90" s="666"/>
      <c r="U90" s="666"/>
      <c r="V90" s="666"/>
      <c r="W90" s="666"/>
      <c r="X90" s="666"/>
      <c r="Y90" s="666"/>
      <c r="Z90" s="666"/>
      <c r="AA90" s="666"/>
      <c r="AB90" s="666"/>
      <c r="AC90" s="666"/>
      <c r="AD90" s="666"/>
      <c r="AE90" s="666"/>
      <c r="AF90" s="666"/>
      <c r="AG90" s="666"/>
      <c r="AH90" s="666"/>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row>
    <row r="91">
      <c r="A91" s="244"/>
      <c r="B91" s="666"/>
      <c r="C91" s="666"/>
      <c r="D91" s="666"/>
      <c r="E91" s="666"/>
      <c r="F91" s="666"/>
      <c r="G91" s="666"/>
      <c r="H91" s="666"/>
      <c r="I91" s="666"/>
      <c r="J91" s="666"/>
      <c r="K91" s="666"/>
      <c r="L91" s="666"/>
      <c r="M91" s="666"/>
      <c r="N91" s="666"/>
      <c r="O91" s="666"/>
      <c r="P91" s="666"/>
      <c r="Q91" s="666"/>
      <c r="R91" s="666"/>
      <c r="S91" s="666"/>
      <c r="T91" s="666"/>
      <c r="U91" s="666"/>
      <c r="V91" s="666"/>
      <c r="W91" s="666"/>
      <c r="X91" s="666"/>
      <c r="Y91" s="666"/>
      <c r="Z91" s="666"/>
      <c r="AA91" s="666"/>
      <c r="AB91" s="666"/>
      <c r="AC91" s="666"/>
      <c r="AD91" s="666"/>
      <c r="AE91" s="666"/>
      <c r="AF91" s="666"/>
      <c r="AG91" s="666"/>
      <c r="AH91" s="666"/>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row>
    <row r="92">
      <c r="A92" s="244"/>
      <c r="B92" s="666"/>
      <c r="C92" s="666"/>
      <c r="D92" s="666"/>
      <c r="E92" s="666"/>
      <c r="F92" s="666"/>
      <c r="G92" s="666"/>
      <c r="H92" s="666"/>
      <c r="I92" s="666"/>
      <c r="J92" s="666"/>
      <c r="K92" s="666"/>
      <c r="L92" s="666"/>
      <c r="M92" s="666"/>
      <c r="N92" s="666"/>
      <c r="O92" s="666"/>
      <c r="P92" s="666"/>
      <c r="Q92" s="666"/>
      <c r="R92" s="666"/>
      <c r="S92" s="666"/>
      <c r="T92" s="666"/>
      <c r="U92" s="666"/>
      <c r="V92" s="666"/>
      <c r="W92" s="666"/>
      <c r="X92" s="666"/>
      <c r="Y92" s="666"/>
      <c r="Z92" s="666"/>
      <c r="AA92" s="666"/>
      <c r="AB92" s="666"/>
      <c r="AC92" s="666"/>
      <c r="AD92" s="666"/>
      <c r="AE92" s="666"/>
      <c r="AF92" s="666"/>
      <c r="AG92" s="666"/>
      <c r="AH92" s="666"/>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row>
    <row r="93">
      <c r="A93" s="244"/>
      <c r="B93" s="666"/>
      <c r="C93" s="666"/>
      <c r="D93" s="666"/>
      <c r="E93" s="666"/>
      <c r="F93" s="666"/>
      <c r="G93" s="666"/>
      <c r="H93" s="666"/>
      <c r="I93" s="666"/>
      <c r="J93" s="666"/>
      <c r="K93" s="666"/>
      <c r="L93" s="666"/>
      <c r="M93" s="666"/>
      <c r="N93" s="666"/>
      <c r="O93" s="666"/>
      <c r="P93" s="666"/>
      <c r="Q93" s="666"/>
      <c r="R93" s="666"/>
      <c r="S93" s="666"/>
      <c r="T93" s="666"/>
      <c r="U93" s="666"/>
      <c r="V93" s="666"/>
      <c r="W93" s="666"/>
      <c r="X93" s="666"/>
      <c r="Y93" s="666"/>
      <c r="Z93" s="666"/>
      <c r="AA93" s="666"/>
      <c r="AB93" s="666"/>
      <c r="AC93" s="666"/>
      <c r="AD93" s="666"/>
      <c r="AE93" s="666"/>
      <c r="AF93" s="666"/>
      <c r="AG93" s="666"/>
      <c r="AH93" s="666"/>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row>
    <row r="94">
      <c r="A94" s="244"/>
      <c r="B94" s="666"/>
      <c r="C94" s="666"/>
      <c r="D94" s="666"/>
      <c r="E94" s="666"/>
      <c r="F94" s="666"/>
      <c r="G94" s="666"/>
      <c r="H94" s="666"/>
      <c r="I94" s="666"/>
      <c r="J94" s="666"/>
      <c r="K94" s="666"/>
      <c r="L94" s="666"/>
      <c r="M94" s="666"/>
      <c r="N94" s="666"/>
      <c r="O94" s="666"/>
      <c r="P94" s="666"/>
      <c r="Q94" s="666"/>
      <c r="R94" s="666"/>
      <c r="S94" s="666"/>
      <c r="T94" s="666"/>
      <c r="U94" s="666"/>
      <c r="V94" s="666"/>
      <c r="W94" s="666"/>
      <c r="X94" s="666"/>
      <c r="Y94" s="666"/>
      <c r="Z94" s="666"/>
      <c r="AA94" s="666"/>
      <c r="AB94" s="666"/>
      <c r="AC94" s="666"/>
      <c r="AD94" s="666"/>
      <c r="AE94" s="666"/>
      <c r="AF94" s="666"/>
      <c r="AG94" s="666"/>
      <c r="AH94" s="666"/>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row>
    <row r="95">
      <c r="A95" s="244"/>
      <c r="B95" s="666"/>
      <c r="C95" s="666"/>
      <c r="D95" s="666"/>
      <c r="E95" s="666"/>
      <c r="F95" s="666"/>
      <c r="G95" s="666"/>
      <c r="H95" s="666"/>
      <c r="I95" s="666"/>
      <c r="J95" s="666"/>
      <c r="K95" s="666"/>
      <c r="L95" s="666"/>
      <c r="M95" s="666"/>
      <c r="N95" s="666"/>
      <c r="O95" s="666"/>
      <c r="P95" s="666"/>
      <c r="Q95" s="666"/>
      <c r="R95" s="666"/>
      <c r="S95" s="666"/>
      <c r="T95" s="666"/>
      <c r="U95" s="666"/>
      <c r="V95" s="666"/>
      <c r="W95" s="666"/>
      <c r="X95" s="666"/>
      <c r="Y95" s="666"/>
      <c r="Z95" s="666"/>
      <c r="AA95" s="666"/>
      <c r="AB95" s="666"/>
      <c r="AC95" s="666"/>
      <c r="AD95" s="666"/>
      <c r="AE95" s="666"/>
      <c r="AF95" s="666"/>
      <c r="AG95" s="666"/>
      <c r="AH95" s="666"/>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c r="BK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c r="BK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c r="BK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c r="BK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c r="BK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c r="BK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c r="BK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c r="BK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c r="BK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c r="BK113" s="244"/>
    </row>
  </sheetData>
  <mergeCells count="3">
    <mergeCell ref="X22:AD22"/>
    <mergeCell ref="R4:AG4"/>
    <mergeCell ref="B58:AH58"/>
  </mergeCells>
  <phoneticPr fontId="0" type="noConversion"/>
  <printOptions horizontalCentered="1" verticalCentered="1"/>
  <pageMargins left="0.25" right="0.25" top="0.25" bottom="0.25" header="0.19" footer="0.28"/>
  <pageSetup scale="55" orientation="landscape" r:id="rId1"/>
  <headerFooter alignWithMargins="0">
    <oddHeader/>
    <oddFooter/>
  </headerFooter>
  <drawing r:id="rId77"/>
</worksheet>
</file>

<file path=xl/worksheets/sheet1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J113"/>
  <sheetViews>
    <sheetView showGridLines="0" zoomScale="65" workbookViewId="0"/>
  </sheetViews>
  <sheetFormatPr defaultRowHeight="12.75"/>
  <cols>
    <col min="1" max="1" width="1" customWidth="1"/>
    <col min="2" max="2" width="21.7109375" customWidth="1"/>
    <col min="3" max="30" width="8.28515625" customWidth="1"/>
    <col min="31" max="31" width="1.7109375" customWidth="1"/>
    <col min="32" max="34" width="8.28515625" customWidth="1"/>
    <col min="35" max="35" width="2" customWidth="1"/>
    <col min="36" max="39" width="9.28515625" bestFit="1" customWidth="1"/>
  </cols>
  <sheetData>
    <row r="1" ht="36" customHeight="1">
      <c r="A1" s="4"/>
      <c r="B1" s="39" t="s">
        <v>133</v>
      </c>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row>
    <row r="2" ht="17.1" customHeight="1">
      <c r="A2" s="5"/>
      <c r="B2" s="10" t="s">
        <v>168</v>
      </c>
      <c r="AG2" s="216"/>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row>
    <row r="3" ht="17.1" customHeight="1">
      <c r="A3" s="5"/>
      <c r="B3" s="10" t="s">
        <v>181</v>
      </c>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row>
    <row r="4" ht="17.1" customHeight="1">
      <c r="A4" s="5"/>
      <c r="B4" s="4" t="s">
        <v>182</v>
      </c>
      <c r="R4" s="618" t="s">
        <v>187</v>
      </c>
      <c r="S4" s="618"/>
      <c r="T4" s="618"/>
      <c r="U4" s="618"/>
      <c r="V4" s="618"/>
      <c r="W4" s="618"/>
      <c r="X4" s="618"/>
      <c r="Y4" s="618"/>
      <c r="Z4" s="618"/>
      <c r="AA4" s="618"/>
      <c r="AB4" s="618"/>
      <c r="AC4" s="618"/>
      <c r="AD4" s="618"/>
      <c r="AE4" s="618"/>
      <c r="AF4" s="618"/>
      <c r="AG4" s="618"/>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row>
    <row r="5" ht="23.25">
      <c r="A5" s="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row>
    <row r="6" ht="23.25">
      <c r="A6" s="5"/>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row>
    <row r="7" ht="23.25">
      <c r="A7" s="5"/>
      <c r="Y7" s="26"/>
      <c r="Z7" s="26"/>
      <c r="AA7" s="26"/>
      <c r="AB7" s="26"/>
      <c r="AC7" s="26"/>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row>
    <row r="8" ht="23.25">
      <c r="A8" s="5"/>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row>
    <row r="9" ht="23.25">
      <c r="A9" s="5"/>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row>
    <row r="10" ht="23.25">
      <c r="A10" s="5"/>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row>
    <row r="11" ht="23.25">
      <c r="A11" s="5"/>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row>
    <row r="12" ht="23.25">
      <c r="A12" s="5"/>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row>
    <row r="13" ht="23.25">
      <c r="A13" s="5"/>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row>
    <row r="14" ht="23.25">
      <c r="A14" s="5"/>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row>
    <row r="15" ht="23.25">
      <c r="A15" s="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row>
    <row r="16" ht="23.25">
      <c r="A16" s="5"/>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row>
    <row r="17" ht="23.25">
      <c r="A17" s="5"/>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row>
    <row r="18" ht="23.25">
      <c r="A18" s="5"/>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row>
    <row r="19" ht="23.25">
      <c r="A19" s="5"/>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row>
    <row r="20" ht="11.25" customHeight="1">
      <c r="A20" s="5"/>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row>
    <row r="21" ht="20.1" customHeight="1" thickBot="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row>
    <row r="22" ht="18" customHeight="1">
      <c r="A22" s="8"/>
      <c r="B22" s="29"/>
      <c r="X22" s="517" t="s">
        <v>72</v>
      </c>
      <c r="Y22" s="517"/>
      <c r="Z22" s="517"/>
      <c r="AA22" s="517"/>
      <c r="AB22" s="517"/>
      <c r="AC22" s="517"/>
      <c r="AD22" s="617"/>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row>
    <row r="24" s="41" customFormat="1" ht="18">
      <c r="B24" s="417" t="s">
        <v>13</v>
      </c>
      <c r="C24" s="275" t="s">
        <v>186</v>
      </c>
      <c r="D24" s="276"/>
      <c r="E24" s="276"/>
      <c r="F24" s="276"/>
      <c r="G24" s="658" t="s">
        <v>183</v>
      </c>
      <c r="H24" s="276"/>
      <c r="I24" s="276"/>
      <c r="J24" s="276"/>
      <c r="K24" s="276"/>
      <c r="L24" s="276"/>
      <c r="M24" s="276"/>
      <c r="N24" s="276"/>
      <c r="O24" s="276"/>
      <c r="P24" s="276"/>
      <c r="Q24" s="276"/>
      <c r="R24" s="276"/>
      <c r="S24" s="277"/>
      <c r="T24" s="277"/>
      <c r="U24" s="277"/>
      <c r="V24" s="277"/>
      <c r="W24" s="277"/>
      <c r="X24" s="312"/>
      <c r="Y24" s="277"/>
      <c r="Z24" s="277"/>
      <c r="AA24" s="277"/>
      <c r="AB24" s="277"/>
      <c r="AC24" s="277"/>
      <c r="AD24" s="336"/>
      <c r="AE24" s="25"/>
      <c r="AF24" s="316" t="s">
        <v>58</v>
      </c>
      <c r="AG24" s="317" t="s">
        <v>59</v>
      </c>
      <c r="AH24" s="318" t="s">
        <v>59</v>
      </c>
      <c r="AI24" s="25"/>
      <c r="AJ24" s="248"/>
      <c r="AK24" s="248"/>
      <c r="AL24" s="248"/>
      <c r="AM24" s="248"/>
      <c r="AN24" s="253"/>
      <c r="AO24" s="253"/>
      <c r="AP24" s="253"/>
      <c r="AQ24" s="253"/>
      <c r="AR24" s="253"/>
      <c r="AS24" s="253"/>
      <c r="AT24" s="253"/>
      <c r="AU24" s="253"/>
      <c r="AV24" s="253"/>
      <c r="AW24" s="253"/>
      <c r="AX24" s="253"/>
      <c r="AY24" s="253"/>
      <c r="AZ24" s="253"/>
      <c r="BA24" s="253"/>
      <c r="BB24" s="253"/>
      <c r="BC24" s="253"/>
      <c r="BD24" s="253"/>
      <c r="BE24" s="253"/>
      <c r="BF24" s="253"/>
      <c r="BG24" s="253"/>
      <c r="BH24" s="253"/>
      <c r="BI24" s="253"/>
      <c r="BJ24" s="253"/>
    </row>
    <row r="25" s="42" customFormat="1">
      <c r="C25" s="279">
        <v>27</v>
      </c>
      <c r="D25" s="280">
        <v>28</v>
      </c>
      <c r="E25" s="280">
        <v>29</v>
      </c>
      <c r="F25" s="280">
        <v>30</v>
      </c>
      <c r="G25" s="676">
        <v>1</v>
      </c>
      <c r="H25" s="280">
        <v>2</v>
      </c>
      <c r="I25" s="280">
        <v>3</v>
      </c>
      <c r="J25" s="280">
        <v>4</v>
      </c>
      <c r="K25" s="280">
        <v>5</v>
      </c>
      <c r="L25" s="280">
        <v>6</v>
      </c>
      <c r="M25" s="280">
        <v>7</v>
      </c>
      <c r="N25" s="280">
        <v>8</v>
      </c>
      <c r="O25" s="280">
        <v>9</v>
      </c>
      <c r="P25" s="280">
        <v>10</v>
      </c>
      <c r="Q25" s="280">
        <v>11</v>
      </c>
      <c r="R25" s="280">
        <v>12</v>
      </c>
      <c r="S25" s="280">
        <v>13</v>
      </c>
      <c r="T25" s="280">
        <v>14</v>
      </c>
      <c r="U25" s="280">
        <v>15</v>
      </c>
      <c r="V25" s="280">
        <v>16</v>
      </c>
      <c r="W25" s="280">
        <v>17</v>
      </c>
      <c r="X25" s="315">
        <v>18</v>
      </c>
      <c r="Y25" s="280">
        <v>19</v>
      </c>
      <c r="Z25" s="280">
        <v>20</v>
      </c>
      <c r="AA25" s="280">
        <v>21</v>
      </c>
      <c r="AB25" s="280">
        <v>22</v>
      </c>
      <c r="AC25" s="280">
        <v>23</v>
      </c>
      <c r="AD25" s="373">
        <v>24</v>
      </c>
      <c r="AE25" s="25"/>
      <c r="AF25" s="319" t="s">
        <v>60</v>
      </c>
      <c r="AG25" s="320">
        <v>28</v>
      </c>
      <c r="AH25" s="321" t="s">
        <v>31</v>
      </c>
      <c r="AI25" s="25"/>
      <c r="AJ25" s="248"/>
      <c r="AK25" s="248"/>
      <c r="AL25" s="248"/>
      <c r="AM25" s="248"/>
      <c r="AN25" s="254"/>
      <c r="AO25" s="254"/>
      <c r="AP25" s="254"/>
      <c r="AQ25" s="254"/>
      <c r="AR25" s="254"/>
      <c r="AS25" s="254"/>
      <c r="AT25" s="254"/>
      <c r="AU25" s="254"/>
      <c r="AV25" s="254"/>
      <c r="AW25" s="254"/>
      <c r="AX25" s="254"/>
      <c r="AY25" s="254"/>
      <c r="AZ25" s="254"/>
      <c r="BA25" s="254"/>
      <c r="BB25" s="254"/>
      <c r="BC25" s="254"/>
      <c r="BD25" s="254"/>
      <c r="BE25" s="254"/>
      <c r="BF25" s="254"/>
      <c r="BG25" s="254"/>
      <c r="BH25" s="254"/>
      <c r="BI25" s="254"/>
      <c r="BJ25" s="254"/>
    </row>
    <row r="26" ht="14.25" customHeight="1">
      <c r="B26" s="46" t="s">
        <v>32</v>
      </c>
      <c r="C26" s="461">
        <v>203.12121212121212121212121212</v>
      </c>
      <c r="D26" s="462">
        <v>268.12878787878787878787878788</v>
      </c>
      <c r="E26" s="462">
        <v>302.04545454545454545454545455</v>
      </c>
      <c r="F26" s="462">
        <v>255.12878787878787878787878788</v>
      </c>
      <c r="G26" s="673">
        <v>279.04545454545454545454545455</v>
      </c>
      <c r="H26" s="462">
        <v>407.40151515151515151515151515</v>
      </c>
      <c r="I26" s="462">
        <v>405.85606060606060606060606061</v>
      </c>
      <c r="J26" s="462">
        <v>283.34090909090909090909090909</v>
      </c>
      <c r="K26" s="462">
        <v>123.35606060606060606060606061</v>
      </c>
      <c r="L26" s="462">
        <v>89.17424242424242424242424242</v>
      </c>
      <c r="M26" s="462">
        <v>153.42424242424242424242424242</v>
      </c>
      <c r="N26" s="462">
        <v>178.47727272727272727272727273</v>
      </c>
      <c r="O26" s="462">
        <v>220.64393939393939393939393939</v>
      </c>
      <c r="P26" s="462">
        <v>225.00757575757575757575757576</v>
      </c>
      <c r="Q26" s="462">
        <v>96.67424242424242424242424242</v>
      </c>
      <c r="R26" s="462">
        <v>94.43939393939393939393939394</v>
      </c>
      <c r="S26" s="462">
        <v>110.98484848484848484848484848</v>
      </c>
      <c r="T26" s="462">
        <v>108.79545454545454545454545455</v>
      </c>
      <c r="U26" s="462">
        <v>136.56060606060606060606060606</v>
      </c>
      <c r="V26" s="462">
        <v>224.74242424242424242424242424</v>
      </c>
      <c r="W26" s="462">
        <v>277.53030303030303030303030303</v>
      </c>
      <c r="X26" s="463">
        <v>173.28030303030303030303030303</v>
      </c>
      <c r="Y26" s="462">
        <v>175.04545454545454545454545455</v>
      </c>
      <c r="Z26" s="462">
        <v>180.98484848484848484848484848</v>
      </c>
      <c r="AA26" s="462">
        <v>175.28030303030303030303030303</v>
      </c>
      <c r="AB26" s="462">
        <v>179.46969696969696969696969697</v>
      </c>
      <c r="AC26" s="462">
        <v>180.43181818181818181818181818</v>
      </c>
      <c r="AD26" s="464">
        <v>250.00757575757575757575757576</v>
      </c>
      <c r="AE26" s="465"/>
      <c r="AF26" s="461">
        <v>187.78571428571428571428571429</v>
      </c>
      <c r="AG26" s="462">
        <v>205.65638528138528138528138528</v>
      </c>
      <c r="AH26" s="466">
        <v>197.08143939393939393939393939</v>
      </c>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row>
    <row r="27" ht="14.25" customHeight="1">
      <c r="B27" s="47" t="s">
        <v>26</v>
      </c>
      <c r="C27" s="370">
        <v>286.4593023255813953488372093</v>
      </c>
      <c r="D27" s="85">
        <v>347.52616279069767441860465116</v>
      </c>
      <c r="E27" s="85">
        <v>308.34302325581395348837209302</v>
      </c>
      <c r="F27" s="85">
        <v>286.15406976744186046511627907</v>
      </c>
      <c r="G27" s="674">
        <v>343.40406976744186046511627907</v>
      </c>
      <c r="H27" s="85">
        <v>480.10465116279069767441860465</v>
      </c>
      <c r="I27" s="85">
        <v>488.94476744186046511627906977</v>
      </c>
      <c r="J27" s="85">
        <v>250.57848837209302325581395349</v>
      </c>
      <c r="K27" s="85">
        <v>158.02325581395348837209302326</v>
      </c>
      <c r="L27" s="85">
        <v>188.31976744186046511627906977</v>
      </c>
      <c r="M27" s="85">
        <v>228.29651162790697674418604651</v>
      </c>
      <c r="N27" s="85">
        <v>222.34883720930232558139534884</v>
      </c>
      <c r="O27" s="85">
        <v>199.01744186046511627906976744</v>
      </c>
      <c r="P27" s="85">
        <v>195.74127906976744186046511628</v>
      </c>
      <c r="Q27" s="85">
        <v>129.69476744186046511627906977</v>
      </c>
      <c r="R27" s="85">
        <v>109.18604651162790697674418605</v>
      </c>
      <c r="S27" s="85">
        <v>113.34593023255813953488372093</v>
      </c>
      <c r="T27" s="85">
        <v>120.93023255813953488372093023</v>
      </c>
      <c r="U27" s="85">
        <v>147.27034883720930232558139535</v>
      </c>
      <c r="V27" s="85">
        <v>230.39534883720930232558139535</v>
      </c>
      <c r="W27" s="85">
        <v>263.2906976744186046511627907</v>
      </c>
      <c r="X27" s="86">
        <v>198.35465116279069767441860465</v>
      </c>
      <c r="Y27" s="85">
        <v>225.41328413284132841328413284</v>
      </c>
      <c r="Z27" s="85">
        <v>185.61992619926199261992619926</v>
      </c>
      <c r="AA27" s="85">
        <v>139.56457564575645756457564576</v>
      </c>
      <c r="AB27" s="85">
        <v>173.32103321033210332103321033</v>
      </c>
      <c r="AC27" s="85">
        <v>264.59778597785977859778597785</v>
      </c>
      <c r="AD27" s="87">
        <v>364.03321033210332103321033209</v>
      </c>
      <c r="AE27" s="169"/>
      <c r="AF27" s="370">
        <v>221.55778095156366846060487182</v>
      </c>
      <c r="AG27" s="85">
        <v>237.43855238074805997229407509</v>
      </c>
      <c r="AH27" s="371">
        <v>225.82487118839211647930432792</v>
      </c>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row>
    <row r="28" ht="14.25" customHeight="1">
      <c r="A28" s="24"/>
      <c r="B28" s="49" t="s">
        <v>185</v>
      </c>
      <c r="C28" s="467">
        <v>197.69043895318527786466478991</v>
      </c>
      <c r="D28" s="468">
        <v>238.10937337086852257324575123</v>
      </c>
      <c r="E28" s="468">
        <v>255.82566989886351788134709624</v>
      </c>
      <c r="F28" s="468">
        <v>240.19862370972786987801063497</v>
      </c>
      <c r="G28" s="675">
        <v>245.24595975393598164946303827</v>
      </c>
      <c r="H28" s="468">
        <v>306.06495673026795954540715254</v>
      </c>
      <c r="I28" s="468">
        <v>329.57355854446877280784068397</v>
      </c>
      <c r="J28" s="468">
        <v>216.23542904806589510999895736</v>
      </c>
      <c r="K28" s="468">
        <v>142.92899593368783234282139506</v>
      </c>
      <c r="L28" s="468">
        <v>137.93400062558648733187363153</v>
      </c>
      <c r="M28" s="468">
        <v>151.9496402877697841726618705</v>
      </c>
      <c r="N28" s="468">
        <v>177.43029923886977374622041497</v>
      </c>
      <c r="O28" s="468">
        <v>178.77802106141174017307892816</v>
      </c>
      <c r="P28" s="468">
        <v>171.98978208737357939735168387</v>
      </c>
      <c r="Q28" s="468">
        <v>101.12574288395370659993744135</v>
      </c>
      <c r="R28" s="468">
        <v>120.1585861745386299655927432</v>
      </c>
      <c r="S28" s="468">
        <v>136.00250234594932749452611824</v>
      </c>
      <c r="T28" s="468">
        <v>152.82587842769262850589093942</v>
      </c>
      <c r="U28" s="468">
        <v>160.26441455531227192159316025</v>
      </c>
      <c r="V28" s="468">
        <v>199.24731519132520070899801898</v>
      </c>
      <c r="W28" s="468">
        <v>197.03096653112292774476071317</v>
      </c>
      <c r="X28" s="469">
        <v>136.72463768115942028985507246</v>
      </c>
      <c r="Y28" s="468">
        <v>136.87926180794494838911479512</v>
      </c>
      <c r="Z28" s="468">
        <v>138.74486497758315087060786154</v>
      </c>
      <c r="AA28" s="468">
        <v>134.51235533312480450422270879</v>
      </c>
      <c r="AB28" s="468">
        <v>141.35324783651339797727035763</v>
      </c>
      <c r="AC28" s="468">
        <v>169.77218225419664268585131894</v>
      </c>
      <c r="AD28" s="470">
        <v>208.83328120112605567719737254</v>
      </c>
      <c r="AE28" s="465"/>
      <c r="AF28" s="467">
        <v>152.40283301309263148487421243</v>
      </c>
      <c r="AG28" s="468">
        <v>182.97964237305807527890730894</v>
      </c>
      <c r="AH28" s="471">
        <v>174.65024502137420498383901574</v>
      </c>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row>
    <row r="29" ht="0" hidden="1" customHeight="1">
      <c r="A29" s="24"/>
      <c r="B29" s="53"/>
      <c r="C29" s="492"/>
      <c r="D29" s="492"/>
      <c r="E29" s="492"/>
      <c r="F29" s="492"/>
      <c r="G29" s="492"/>
      <c r="H29" s="492"/>
      <c r="I29" s="492"/>
      <c r="J29" s="492"/>
      <c r="K29" s="492"/>
      <c r="L29" s="492"/>
      <c r="M29" s="492"/>
      <c r="N29" s="492"/>
      <c r="O29" s="492"/>
      <c r="P29" s="492"/>
      <c r="Q29" s="492"/>
      <c r="R29" s="492"/>
      <c r="S29" s="492"/>
      <c r="T29" s="492"/>
      <c r="U29" s="492"/>
      <c r="V29" s="492"/>
      <c r="W29" s="492"/>
      <c r="X29" s="493"/>
      <c r="Y29" s="492"/>
      <c r="Z29" s="492"/>
      <c r="AA29" s="492"/>
      <c r="AB29" s="492"/>
      <c r="AC29" s="492"/>
      <c r="AD29" s="494"/>
      <c r="AE29" s="169"/>
      <c r="AF29" s="492"/>
      <c r="AG29" s="492"/>
      <c r="AH29" s="492"/>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row>
    <row r="30" ht="0" hidden="1" customHeight="1">
      <c r="A30" s="24"/>
      <c r="B30" s="236" t="s">
        <v>82</v>
      </c>
      <c r="C30" s="367"/>
      <c r="D30" s="368"/>
      <c r="E30" s="368"/>
      <c r="F30" s="368"/>
      <c r="G30" s="368"/>
      <c r="H30" s="368"/>
      <c r="I30" s="368"/>
      <c r="J30" s="368"/>
      <c r="K30" s="368"/>
      <c r="L30" s="368"/>
      <c r="M30" s="368"/>
      <c r="N30" s="368"/>
      <c r="O30" s="368"/>
      <c r="P30" s="368"/>
      <c r="Q30" s="368"/>
      <c r="R30" s="368"/>
      <c r="S30" s="368"/>
      <c r="T30" s="368"/>
      <c r="U30" s="368"/>
      <c r="V30" s="368"/>
      <c r="W30" s="368"/>
      <c r="X30" s="369"/>
      <c r="Y30" s="368"/>
      <c r="Z30" s="368"/>
      <c r="AA30" s="368"/>
      <c r="AB30" s="368"/>
      <c r="AC30" s="368"/>
      <c r="AD30" s="372"/>
      <c r="AE30" s="169"/>
      <c r="AF30" s="492"/>
      <c r="AG30" s="492"/>
      <c r="AH30" s="492"/>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row>
    <row r="31" ht="12" customHeight="1">
      <c r="B31" s="4"/>
      <c r="X31" s="27"/>
      <c r="AD31" s="28"/>
      <c r="AF31" s="22"/>
      <c r="AG31" s="22"/>
      <c r="AH31" s="22"/>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row>
    <row r="32" ht="18">
      <c r="B32" s="29"/>
      <c r="X32" s="27"/>
      <c r="AD32" s="28"/>
      <c r="AF32" s="22"/>
      <c r="AG32" s="22"/>
      <c r="AH32" s="22"/>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row>
    <row r="33" s="41" customFormat="1" ht="18">
      <c r="B33" s="417" t="s">
        <v>79</v>
      </c>
      <c r="C33" s="275" t="s">
        <v>186</v>
      </c>
      <c r="D33" s="276"/>
      <c r="E33" s="276"/>
      <c r="F33" s="276"/>
      <c r="G33" s="658" t="s">
        <v>183</v>
      </c>
      <c r="H33" s="276"/>
      <c r="I33" s="276"/>
      <c r="J33" s="276"/>
      <c r="K33" s="276"/>
      <c r="L33" s="276"/>
      <c r="M33" s="276"/>
      <c r="N33" s="276"/>
      <c r="O33" s="276"/>
      <c r="P33" s="276"/>
      <c r="Q33" s="276"/>
      <c r="R33" s="276"/>
      <c r="S33" s="277"/>
      <c r="T33" s="277"/>
      <c r="U33" s="277"/>
      <c r="V33" s="277"/>
      <c r="W33" s="277"/>
      <c r="X33" s="312"/>
      <c r="Y33" s="277"/>
      <c r="Z33" s="277"/>
      <c r="AA33" s="277"/>
      <c r="AB33" s="277"/>
      <c r="AC33" s="277"/>
      <c r="AD33" s="336"/>
      <c r="AE33" s="25"/>
      <c r="AF33" s="316" t="s">
        <v>58</v>
      </c>
      <c r="AG33" s="317" t="s">
        <v>59</v>
      </c>
      <c r="AH33" s="318" t="s">
        <v>59</v>
      </c>
      <c r="AI33" s="25"/>
      <c r="AJ33" s="248"/>
      <c r="AK33" s="248"/>
      <c r="AL33" s="248"/>
      <c r="AM33" s="248"/>
      <c r="AN33" s="253"/>
      <c r="AO33" s="253"/>
      <c r="AP33" s="253"/>
      <c r="AQ33" s="253"/>
      <c r="AR33" s="253"/>
      <c r="AS33" s="253"/>
      <c r="AT33" s="253"/>
      <c r="AU33" s="253"/>
      <c r="AV33" s="253"/>
      <c r="AW33" s="253"/>
      <c r="AX33" s="253"/>
      <c r="AY33" s="253"/>
      <c r="AZ33" s="253"/>
      <c r="BA33" s="253"/>
      <c r="BB33" s="253"/>
      <c r="BC33" s="253"/>
      <c r="BD33" s="253"/>
      <c r="BE33" s="253"/>
      <c r="BF33" s="253"/>
      <c r="BG33" s="253"/>
      <c r="BH33" s="253"/>
      <c r="BI33" s="253"/>
      <c r="BJ33" s="253"/>
    </row>
    <row r="34" s="42" customFormat="1">
      <c r="C34" s="279">
        <v>27</v>
      </c>
      <c r="D34" s="280">
        <v>28</v>
      </c>
      <c r="E34" s="280">
        <v>29</v>
      </c>
      <c r="F34" s="280">
        <v>30</v>
      </c>
      <c r="G34" s="676">
        <v>1</v>
      </c>
      <c r="H34" s="280">
        <v>2</v>
      </c>
      <c r="I34" s="280">
        <v>3</v>
      </c>
      <c r="J34" s="280">
        <v>4</v>
      </c>
      <c r="K34" s="280">
        <v>5</v>
      </c>
      <c r="L34" s="280">
        <v>6</v>
      </c>
      <c r="M34" s="280">
        <v>7</v>
      </c>
      <c r="N34" s="280">
        <v>8</v>
      </c>
      <c r="O34" s="280">
        <v>9</v>
      </c>
      <c r="P34" s="280">
        <v>10</v>
      </c>
      <c r="Q34" s="280">
        <v>11</v>
      </c>
      <c r="R34" s="280">
        <v>12</v>
      </c>
      <c r="S34" s="280">
        <v>13</v>
      </c>
      <c r="T34" s="280">
        <v>14</v>
      </c>
      <c r="U34" s="280">
        <v>15</v>
      </c>
      <c r="V34" s="280">
        <v>16</v>
      </c>
      <c r="W34" s="280">
        <v>17</v>
      </c>
      <c r="X34" s="315">
        <v>18</v>
      </c>
      <c r="Y34" s="280">
        <v>19</v>
      </c>
      <c r="Z34" s="280">
        <v>20</v>
      </c>
      <c r="AA34" s="280">
        <v>21</v>
      </c>
      <c r="AB34" s="280">
        <v>22</v>
      </c>
      <c r="AC34" s="280">
        <v>23</v>
      </c>
      <c r="AD34" s="373">
        <v>24</v>
      </c>
      <c r="AE34" s="25"/>
      <c r="AF34" s="319" t="s">
        <v>60</v>
      </c>
      <c r="AG34" s="320">
        <v>28</v>
      </c>
      <c r="AH34" s="321" t="s">
        <v>31</v>
      </c>
      <c r="AI34" s="25"/>
      <c r="AJ34" s="248"/>
      <c r="AK34" s="248"/>
      <c r="AL34" s="248"/>
      <c r="AM34" s="248"/>
      <c r="AN34" s="254"/>
      <c r="AO34" s="254"/>
      <c r="AP34" s="254"/>
      <c r="AQ34" s="254"/>
      <c r="AR34" s="254"/>
      <c r="AS34" s="254"/>
      <c r="AT34" s="254"/>
      <c r="AU34" s="254"/>
      <c r="AV34" s="254"/>
      <c r="AW34" s="254"/>
      <c r="AX34" s="254"/>
      <c r="AY34" s="254"/>
      <c r="AZ34" s="254"/>
      <c r="BA34" s="254"/>
      <c r="BB34" s="254"/>
      <c r="BC34" s="254"/>
      <c r="BD34" s="254"/>
      <c r="BE34" s="254"/>
      <c r="BF34" s="254"/>
      <c r="BG34" s="254"/>
      <c r="BH34" s="254"/>
      <c r="BI34" s="254"/>
      <c r="BJ34" s="254"/>
    </row>
    <row r="35" ht="14.25" customHeight="1">
      <c r="B35" s="46" t="s">
        <v>32</v>
      </c>
      <c r="C35" s="444">
        <v>-1.172134168815350860806027500</v>
      </c>
      <c r="D35" s="445">
        <v>41.958126102991050336845628680</v>
      </c>
      <c r="E35" s="445">
        <v>55.099976659165032285276173970</v>
      </c>
      <c r="F35" s="445">
        <v>38.213083805309277505563751590</v>
      </c>
      <c r="G35" s="660">
        <v>-14.466840052009248882782984150</v>
      </c>
      <c r="H35" s="445">
        <v>-6.1778149970399832489970106400</v>
      </c>
      <c r="I35" s="445">
        <v>-8.059173831707757847520913330</v>
      </c>
      <c r="J35" s="445">
        <v>-20.976568277370827743521086090</v>
      </c>
      <c r="K35" s="445">
        <v>-10.606642876734226805226766370</v>
      </c>
      <c r="L35" s="445">
        <v>-45.818181818170844649021861990</v>
      </c>
      <c r="M35" s="445">
        <v>-15.553331665407277457926652390</v>
      </c>
      <c r="N35" s="445">
        <v>2.6491220426196783841779526600</v>
      </c>
      <c r="O35" s="445">
        <v>-19.106210421071515946190772450</v>
      </c>
      <c r="P35" s="445">
        <v>-0.4958290060021845513615329300</v>
      </c>
      <c r="Q35" s="445">
        <v>-26.040338472226319285251085760</v>
      </c>
      <c r="R35" s="445">
        <v>-22.835035592718687207004329950</v>
      </c>
      <c r="S35" s="445">
        <v>-11.810739224667492085332931920</v>
      </c>
      <c r="T35" s="445">
        <v>-15.379176241836255375465181360</v>
      </c>
      <c r="U35" s="445">
        <v>-10.166450712676912923125628810</v>
      </c>
      <c r="V35" s="445">
        <v>3.6004889121791039348136626400</v>
      </c>
      <c r="W35" s="445">
        <v>20.940213264651699027177949020</v>
      </c>
      <c r="X35" s="446">
        <v>11.217543518450105522419225930</v>
      </c>
      <c r="Y35" s="445">
        <v>32.374677742815651557579720440</v>
      </c>
      <c r="Z35" s="445">
        <v>70.923660299004047108146582280</v>
      </c>
      <c r="AA35" s="445">
        <v>33.377529255745266551638595770</v>
      </c>
      <c r="AB35" s="445">
        <v>25.829925107547600367548091770</v>
      </c>
      <c r="AC35" s="445">
        <v>-12.825299220391414257267544780</v>
      </c>
      <c r="AD35" s="447">
        <v>0.6741915802453620025306003500</v>
      </c>
      <c r="AE35" s="448"/>
      <c r="AF35" s="444">
        <v>17.023328589841653687919053680</v>
      </c>
      <c r="AG35" s="445">
        <v>0.6633584824380565084751226300</v>
      </c>
      <c r="AH35" s="449">
        <v>-3.1331985621078604076332949500</v>
      </c>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row>
    <row r="36" ht="14.25" customHeight="1">
      <c r="B36" s="47" t="s">
        <v>26</v>
      </c>
      <c r="C36" s="327">
        <v>48.919883464152357969630435060</v>
      </c>
      <c r="D36" s="81">
        <v>125.93700448464347269415579572</v>
      </c>
      <c r="E36" s="81">
        <v>107.60196493112631094974481971</v>
      </c>
      <c r="F36" s="81">
        <v>61.828103594089655554566785130</v>
      </c>
      <c r="G36" s="661">
        <v>16.963904570287324698354993850</v>
      </c>
      <c r="H36" s="81">
        <v>24.065394482417242627717000240</v>
      </c>
      <c r="I36" s="81">
        <v>18.770585237301587570480287270</v>
      </c>
      <c r="J36" s="81">
        <v>-11.026266418611184210614581800</v>
      </c>
      <c r="K36" s="81">
        <v>-12.453635847070145344232619940</v>
      </c>
      <c r="L36" s="81">
        <v>26.705712658594601838853869810</v>
      </c>
      <c r="M36" s="81">
        <v>37.951150698725019541350452160</v>
      </c>
      <c r="N36" s="81">
        <v>17.490144801403647001301675720</v>
      </c>
      <c r="O36" s="81">
        <v>-20.391168883048236229913415740</v>
      </c>
      <c r="P36" s="81">
        <v>-19.205109826911923347741837300</v>
      </c>
      <c r="Q36" s="81">
        <v>-16.943308963757680099871438060</v>
      </c>
      <c r="R36" s="81">
        <v>-15.502039285595049591578413420</v>
      </c>
      <c r="S36" s="81">
        <v>-12.397012568185190820025722350</v>
      </c>
      <c r="T36" s="81">
        <v>-6.7560880404352019786134688200</v>
      </c>
      <c r="U36" s="81">
        <v>-17.894660432117127999857594130</v>
      </c>
      <c r="V36" s="81">
        <v>-6.9024955355962818087792871600</v>
      </c>
      <c r="W36" s="81">
        <v>4.893361054411667034694743900</v>
      </c>
      <c r="X36" s="82">
        <v>14.269924472045763443192921260</v>
      </c>
      <c r="Y36" s="81">
        <v>22.029097541356925569878802560</v>
      </c>
      <c r="Z36" s="81">
        <v>13.194920426448695003910275460</v>
      </c>
      <c r="AA36" s="81">
        <v>-4.7473086480104964221627962500</v>
      </c>
      <c r="AB36" s="81">
        <v>-5.8959635336231546270481208300</v>
      </c>
      <c r="AC36" s="81">
        <v>-9.252419317262856741447751570</v>
      </c>
      <c r="AD36" s="83">
        <v>-0.728971474346398148924954300</v>
      </c>
      <c r="AE36" s="88"/>
      <c r="AF36" s="327">
        <v>2.6225696715508856085893434400</v>
      </c>
      <c r="AG36" s="81">
        <v>11.639929337138115210622596960</v>
      </c>
      <c r="AH36" s="328">
        <v>6.401902198979339115370688500</v>
      </c>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row>
    <row r="37" ht="14.25" customHeight="1">
      <c r="A37" s="24"/>
      <c r="B37" s="49" t="s">
        <v>185</v>
      </c>
      <c r="C37" s="450">
        <v>27.713503683576703737326731090</v>
      </c>
      <c r="D37" s="451">
        <v>45.297146233265573960991248430</v>
      </c>
      <c r="E37" s="451">
        <v>46.528777805027615288280111940</v>
      </c>
      <c r="F37" s="451">
        <v>44.887587629909773282147040240</v>
      </c>
      <c r="G37" s="662">
        <v>10.007603173137288004010262340</v>
      </c>
      <c r="H37" s="451">
        <v>-1.7218151039373928131228459600</v>
      </c>
      <c r="I37" s="451">
        <v>6.8229731232574810400620509200</v>
      </c>
      <c r="J37" s="451">
        <v>-6.7275109875757559529966191900</v>
      </c>
      <c r="K37" s="451">
        <v>-10.768681830547460904920805670</v>
      </c>
      <c r="L37" s="451">
        <v>-17.648201360369589279459656310</v>
      </c>
      <c r="M37" s="451">
        <v>-11.206256959020344157826096150</v>
      </c>
      <c r="N37" s="451">
        <v>6.8580951107555178857711238500</v>
      </c>
      <c r="O37" s="451">
        <v>-4.0694779780098420630609922800</v>
      </c>
      <c r="P37" s="451">
        <v>-2.1729300556385082744836692600</v>
      </c>
      <c r="Q37" s="451">
        <v>-10.644280090254273576497679370</v>
      </c>
      <c r="R37" s="451">
        <v>-3.4974803577480574960295121300</v>
      </c>
      <c r="S37" s="451">
        <v>-5.1571663656474051223065020500</v>
      </c>
      <c r="T37" s="451">
        <v>1.9226329089460669425930896600</v>
      </c>
      <c r="U37" s="451">
        <v>0.887669606700246792140869300</v>
      </c>
      <c r="V37" s="451">
        <v>3.1263285172797563496026946300</v>
      </c>
      <c r="W37" s="451">
        <v>5.2603273966897101148509983500</v>
      </c>
      <c r="X37" s="452">
        <v>9.871804779823069288178691250</v>
      </c>
      <c r="Y37" s="451">
        <v>5.9917525573285483037857343900</v>
      </c>
      <c r="Z37" s="451">
        <v>3.0099547371032174883433627900</v>
      </c>
      <c r="AA37" s="451">
        <v>3.7756449525971233808423279700</v>
      </c>
      <c r="AB37" s="451">
        <v>4.5204273388423230732463287900</v>
      </c>
      <c r="AC37" s="451">
        <v>-2.6057487746330535174026057400</v>
      </c>
      <c r="AD37" s="453">
        <v>-0.5386327566065389347403530100</v>
      </c>
      <c r="AE37" s="448"/>
      <c r="AF37" s="450">
        <v>2.8350118336608784759311096100</v>
      </c>
      <c r="AG37" s="451">
        <v>5.2372839582668727121494984400</v>
      </c>
      <c r="AH37" s="454">
        <v>0.6332258364908267637155412500</v>
      </c>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row>
    <row r="38" ht="13.5" customHeight="1">
      <c r="B38" s="40"/>
      <c r="C38" s="23"/>
      <c r="D38" s="23"/>
      <c r="E38" s="23"/>
      <c r="F38" s="23"/>
      <c r="G38" s="23"/>
      <c r="H38" s="23"/>
      <c r="I38" s="23"/>
      <c r="J38" s="23"/>
      <c r="K38" s="23"/>
      <c r="L38" s="23"/>
      <c r="M38" s="23"/>
      <c r="N38" s="23"/>
      <c r="O38" s="23"/>
      <c r="P38" s="23"/>
      <c r="Q38" s="23"/>
      <c r="R38" s="23"/>
      <c r="S38" s="23"/>
      <c r="T38" s="23"/>
      <c r="U38" s="23"/>
      <c r="V38" s="23"/>
      <c r="W38" s="23"/>
      <c r="X38" s="44"/>
      <c r="Y38" s="23"/>
      <c r="Z38" s="23"/>
      <c r="AA38" s="23"/>
      <c r="AB38" s="23"/>
      <c r="AC38" s="23"/>
      <c r="AD38" s="45"/>
      <c r="AF38" s="43"/>
      <c r="AG38" s="43"/>
      <c r="AH38" s="43"/>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row>
    <row r="39" ht="18">
      <c r="B39" s="29"/>
      <c r="X39" s="27"/>
      <c r="AD39" s="28"/>
      <c r="AF39" s="43"/>
      <c r="AG39" s="43"/>
      <c r="AH39" s="43"/>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row>
    <row r="40" s="41" customFormat="1" ht="18">
      <c r="B40" s="417" t="s">
        <v>93</v>
      </c>
      <c r="C40" s="275" t="s">
        <v>186</v>
      </c>
      <c r="D40" s="276"/>
      <c r="E40" s="276"/>
      <c r="F40" s="276"/>
      <c r="G40" s="658" t="s">
        <v>183</v>
      </c>
      <c r="H40" s="276"/>
      <c r="I40" s="276"/>
      <c r="J40" s="276"/>
      <c r="K40" s="276"/>
      <c r="L40" s="276"/>
      <c r="M40" s="276"/>
      <c r="N40" s="276"/>
      <c r="O40" s="276"/>
      <c r="P40" s="276"/>
      <c r="Q40" s="276"/>
      <c r="R40" s="276"/>
      <c r="S40" s="277"/>
      <c r="T40" s="277"/>
      <c r="U40" s="277"/>
      <c r="V40" s="277"/>
      <c r="W40" s="277"/>
      <c r="X40" s="312"/>
      <c r="Y40" s="277"/>
      <c r="Z40" s="277"/>
      <c r="AA40" s="277"/>
      <c r="AB40" s="277"/>
      <c r="AC40" s="277"/>
      <c r="AD40" s="336"/>
      <c r="AE40" s="25"/>
      <c r="AF40" s="316" t="s">
        <v>58</v>
      </c>
      <c r="AG40" s="317" t="s">
        <v>59</v>
      </c>
      <c r="AH40" s="318" t="s">
        <v>59</v>
      </c>
      <c r="AI40" s="25"/>
      <c r="AJ40" s="248"/>
      <c r="AK40" s="248"/>
      <c r="AL40" s="248"/>
      <c r="AM40" s="248"/>
      <c r="AN40" s="253"/>
      <c r="AO40" s="253"/>
      <c r="AP40" s="253"/>
      <c r="AQ40" s="253"/>
      <c r="AR40" s="253"/>
      <c r="AS40" s="253"/>
      <c r="AT40" s="253"/>
      <c r="AU40" s="253"/>
      <c r="AV40" s="253"/>
      <c r="AW40" s="253"/>
      <c r="AX40" s="253"/>
      <c r="AY40" s="253"/>
      <c r="AZ40" s="253"/>
      <c r="BA40" s="253"/>
      <c r="BB40" s="253"/>
      <c r="BC40" s="253"/>
      <c r="BD40" s="253"/>
      <c r="BE40" s="253"/>
      <c r="BF40" s="253"/>
      <c r="BG40" s="253"/>
      <c r="BH40" s="253"/>
      <c r="BI40" s="253"/>
      <c r="BJ40" s="253"/>
    </row>
    <row r="41" s="42" customFormat="1">
      <c r="C41" s="279">
        <v>27</v>
      </c>
      <c r="D41" s="280">
        <v>28</v>
      </c>
      <c r="E41" s="280">
        <v>29</v>
      </c>
      <c r="F41" s="280">
        <v>30</v>
      </c>
      <c r="G41" s="676">
        <v>1</v>
      </c>
      <c r="H41" s="280">
        <v>2</v>
      </c>
      <c r="I41" s="280">
        <v>3</v>
      </c>
      <c r="J41" s="280">
        <v>4</v>
      </c>
      <c r="K41" s="280">
        <v>5</v>
      </c>
      <c r="L41" s="280">
        <v>6</v>
      </c>
      <c r="M41" s="280">
        <v>7</v>
      </c>
      <c r="N41" s="280">
        <v>8</v>
      </c>
      <c r="O41" s="280">
        <v>9</v>
      </c>
      <c r="P41" s="280">
        <v>10</v>
      </c>
      <c r="Q41" s="280">
        <v>11</v>
      </c>
      <c r="R41" s="280">
        <v>12</v>
      </c>
      <c r="S41" s="280">
        <v>13</v>
      </c>
      <c r="T41" s="280">
        <v>14</v>
      </c>
      <c r="U41" s="280">
        <v>15</v>
      </c>
      <c r="V41" s="280">
        <v>16</v>
      </c>
      <c r="W41" s="280">
        <v>17</v>
      </c>
      <c r="X41" s="315">
        <v>18</v>
      </c>
      <c r="Y41" s="280">
        <v>19</v>
      </c>
      <c r="Z41" s="280">
        <v>20</v>
      </c>
      <c r="AA41" s="280">
        <v>21</v>
      </c>
      <c r="AB41" s="280">
        <v>22</v>
      </c>
      <c r="AC41" s="280">
        <v>23</v>
      </c>
      <c r="AD41" s="373">
        <v>24</v>
      </c>
      <c r="AE41" s="25"/>
      <c r="AF41" s="319" t="s">
        <v>60</v>
      </c>
      <c r="AG41" s="320">
        <v>28</v>
      </c>
      <c r="AH41" s="321" t="s">
        <v>31</v>
      </c>
      <c r="AI41" s="25"/>
      <c r="AJ41" s="248"/>
      <c r="AK41" s="248"/>
      <c r="AL41" s="248"/>
      <c r="AM41" s="248"/>
      <c r="AN41" s="254"/>
      <c r="AO41" s="254"/>
      <c r="AP41" s="254"/>
      <c r="AQ41" s="254"/>
      <c r="AR41" s="254"/>
      <c r="AS41" s="254"/>
      <c r="AT41" s="254"/>
      <c r="AU41" s="254"/>
      <c r="AV41" s="254"/>
      <c r="AW41" s="254"/>
      <c r="AX41" s="254"/>
      <c r="AY41" s="254"/>
      <c r="AZ41" s="254"/>
      <c r="BA41" s="254"/>
      <c r="BB41" s="254"/>
      <c r="BC41" s="254"/>
      <c r="BD41" s="254"/>
      <c r="BE41" s="254"/>
      <c r="BF41" s="254"/>
      <c r="BG41" s="254"/>
      <c r="BH41" s="254"/>
      <c r="BI41" s="254"/>
      <c r="BJ41" s="254"/>
    </row>
    <row r="42" ht="14.25" customHeight="1">
      <c r="A42" s="1"/>
      <c r="B42" s="46" t="s">
        <v>26</v>
      </c>
      <c r="C42" s="444">
        <v>70.907528738702717232378498500</v>
      </c>
      <c r="D42" s="445">
        <v>77.153554634754295790507009670</v>
      </c>
      <c r="E42" s="445">
        <v>97.95760946888004676309808863</v>
      </c>
      <c r="F42" s="445">
        <v>89.15784007061965422757750872</v>
      </c>
      <c r="G42" s="660">
        <v>81.25863352011585856345119659</v>
      </c>
      <c r="H42" s="445">
        <v>84.85681489750205666347901447</v>
      </c>
      <c r="I42" s="445">
        <v>83.00652499656566977856260927</v>
      </c>
      <c r="J42" s="445">
        <v>113.07471400743629680111265126</v>
      </c>
      <c r="K42" s="445">
        <v>78.061966240751211497884408860</v>
      </c>
      <c r="L42" s="445">
        <v>47.352566135551471072828107180</v>
      </c>
      <c r="M42" s="445">
        <v>67.203936376526099312230341020</v>
      </c>
      <c r="N42" s="445">
        <v>80.26903804280731661714585854</v>
      </c>
      <c r="O42" s="445">
        <v>110.86663426645708205871803380</v>
      </c>
      <c r="P42" s="445">
        <v>114.95152010186854687132872471</v>
      </c>
      <c r="Q42" s="445">
        <v>74.539817088264611732085476650</v>
      </c>
      <c r="R42" s="445">
        <v>86.49401361863636468802593346</v>
      </c>
      <c r="S42" s="445">
        <v>97.91692410754732823166192471</v>
      </c>
      <c r="T42" s="445">
        <v>89.96547202800143976096020327</v>
      </c>
      <c r="U42" s="445">
        <v>92.72783499112029399183704296</v>
      </c>
      <c r="V42" s="445">
        <v>97.54642416901819531582820546</v>
      </c>
      <c r="W42" s="445">
        <v>105.40832071990348955170306283</v>
      </c>
      <c r="X42" s="446">
        <v>87.35883026412264698196496221</v>
      </c>
      <c r="Y42" s="445">
        <v>77.655341041182050544925156860</v>
      </c>
      <c r="Z42" s="445">
        <v>97.50292018246207302379699092</v>
      </c>
      <c r="AA42" s="445">
        <v>125.59082576594918696705840547</v>
      </c>
      <c r="AB42" s="445">
        <v>103.54755775771106541495360601</v>
      </c>
      <c r="AC42" s="445">
        <v>68.190978059388746347751651680</v>
      </c>
      <c r="AD42" s="447">
        <v>68.677134025628869266252961080</v>
      </c>
      <c r="AE42" s="448"/>
      <c r="AF42" s="444">
        <v>84.75699362900582156973513466</v>
      </c>
      <c r="AG42" s="445">
        <v>86.61457173628805097549313526</v>
      </c>
      <c r="AH42" s="449">
        <v>87.27180418914943821534891867</v>
      </c>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row>
    <row r="43" ht="14.25" customHeight="1">
      <c r="A43" s="24"/>
      <c r="B43" s="48" t="s">
        <v>185</v>
      </c>
      <c r="C43" s="329">
        <v>102.74710967144838427839145825</v>
      </c>
      <c r="D43" s="330">
        <v>112.60740561486716919889434899</v>
      </c>
      <c r="E43" s="330">
        <v>118.06690652459551379301049773</v>
      </c>
      <c r="F43" s="330">
        <v>106.21575758366218744585735763</v>
      </c>
      <c r="G43" s="663">
        <v>113.78187629491296941907881879</v>
      </c>
      <c r="H43" s="330">
        <v>133.10949397925076956039460625</v>
      </c>
      <c r="I43" s="330">
        <v>123.14581982803718042724277449</v>
      </c>
      <c r="J43" s="330">
        <v>131.03352690084933513359754700</v>
      </c>
      <c r="K43" s="330">
        <v>86.30583304683772729408906910</v>
      </c>
      <c r="L43" s="330">
        <v>64.649935490736459330097693720</v>
      </c>
      <c r="M43" s="330">
        <v>100.97045450956610108710557227</v>
      </c>
      <c r="N43" s="330">
        <v>100.59007593002085617626527661</v>
      </c>
      <c r="O43" s="330">
        <v>123.41782176801299941329698339</v>
      </c>
      <c r="P43" s="330">
        <v>130.82612991697013723078367285</v>
      </c>
      <c r="Q43" s="330">
        <v>95.59805413260218719603650236</v>
      </c>
      <c r="R43" s="330">
        <v>78.595626784626585614752492210</v>
      </c>
      <c r="S43" s="330">
        <v>81.60500473923396898644890353</v>
      </c>
      <c r="T43" s="330">
        <v>71.189157009769327759898123880</v>
      </c>
      <c r="U43" s="330">
        <v>85.20956223471878262174109729</v>
      </c>
      <c r="V43" s="330">
        <v>112.79571020901639191192818157</v>
      </c>
      <c r="W43" s="330">
        <v>140.85618515528966697716280887</v>
      </c>
      <c r="X43" s="331">
        <v>126.73670668949926291203927210</v>
      </c>
      <c r="Y43" s="330">
        <v>127.88310824697315828381723129</v>
      </c>
      <c r="Z43" s="330">
        <v>130.44435807701281129051926946</v>
      </c>
      <c r="AA43" s="330">
        <v>130.30795765656413000056030987</v>
      </c>
      <c r="AB43" s="330">
        <v>126.96538616310067107452620698</v>
      </c>
      <c r="AC43" s="330">
        <v>106.27878830682490841887919010</v>
      </c>
      <c r="AD43" s="338">
        <v>119.71634708781220728039379265</v>
      </c>
      <c r="AE43" s="88"/>
      <c r="AF43" s="329">
        <v>123.21668211349647309864487645</v>
      </c>
      <c r="AG43" s="330">
        <v>112.39304144121499798764948277</v>
      </c>
      <c r="AH43" s="332">
        <v>112.84349436199811007761617731</v>
      </c>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row>
    <row r="44" ht="12" customHeight="1">
      <c r="B44" s="4"/>
      <c r="X44" s="27"/>
      <c r="AD44" s="28"/>
      <c r="AF44" s="43"/>
      <c r="AG44" s="43"/>
      <c r="AH44" s="43"/>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row>
    <row r="45" ht="18">
      <c r="B45" s="29"/>
      <c r="X45" s="27"/>
      <c r="AD45" s="28"/>
      <c r="AF45" s="43"/>
      <c r="AG45" s="43"/>
      <c r="AH45" s="43"/>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row>
    <row r="46" s="41" customFormat="1" ht="18">
      <c r="B46" s="417" t="s">
        <v>77</v>
      </c>
      <c r="C46" s="275" t="s">
        <v>186</v>
      </c>
      <c r="D46" s="276"/>
      <c r="E46" s="276"/>
      <c r="F46" s="276"/>
      <c r="G46" s="658" t="s">
        <v>183</v>
      </c>
      <c r="H46" s="276"/>
      <c r="I46" s="276"/>
      <c r="J46" s="276"/>
      <c r="K46" s="276"/>
      <c r="L46" s="276"/>
      <c r="M46" s="276"/>
      <c r="N46" s="276"/>
      <c r="O46" s="276"/>
      <c r="P46" s="276"/>
      <c r="Q46" s="276"/>
      <c r="R46" s="276"/>
      <c r="S46" s="277"/>
      <c r="T46" s="277"/>
      <c r="U46" s="277"/>
      <c r="V46" s="277"/>
      <c r="W46" s="277"/>
      <c r="X46" s="312"/>
      <c r="Y46" s="277"/>
      <c r="Z46" s="277"/>
      <c r="AA46" s="277"/>
      <c r="AB46" s="277"/>
      <c r="AC46" s="277"/>
      <c r="AD46" s="336"/>
      <c r="AE46" s="25"/>
      <c r="AF46" s="316" t="s">
        <v>58</v>
      </c>
      <c r="AG46" s="317" t="s">
        <v>59</v>
      </c>
      <c r="AH46" s="318" t="s">
        <v>59</v>
      </c>
      <c r="AI46" s="25"/>
      <c r="AJ46" s="248"/>
      <c r="AK46" s="248"/>
      <c r="AL46" s="248"/>
      <c r="AM46" s="248"/>
      <c r="AN46" s="253"/>
      <c r="AO46" s="253"/>
      <c r="AP46" s="253"/>
      <c r="AQ46" s="253"/>
      <c r="AR46" s="253"/>
      <c r="AS46" s="253"/>
      <c r="AT46" s="253"/>
      <c r="AU46" s="253"/>
      <c r="AV46" s="253"/>
      <c r="AW46" s="253"/>
      <c r="AX46" s="253"/>
      <c r="AY46" s="253"/>
      <c r="AZ46" s="253"/>
      <c r="BA46" s="253"/>
      <c r="BB46" s="253"/>
      <c r="BC46" s="253"/>
      <c r="BD46" s="253"/>
      <c r="BE46" s="253"/>
      <c r="BF46" s="253"/>
      <c r="BG46" s="253"/>
      <c r="BH46" s="253"/>
      <c r="BI46" s="253"/>
      <c r="BJ46" s="253"/>
    </row>
    <row r="47" s="42" customFormat="1">
      <c r="C47" s="279">
        <v>27</v>
      </c>
      <c r="D47" s="280">
        <v>28</v>
      </c>
      <c r="E47" s="280">
        <v>29</v>
      </c>
      <c r="F47" s="280">
        <v>30</v>
      </c>
      <c r="G47" s="676">
        <v>1</v>
      </c>
      <c r="H47" s="280">
        <v>2</v>
      </c>
      <c r="I47" s="280">
        <v>3</v>
      </c>
      <c r="J47" s="280">
        <v>4</v>
      </c>
      <c r="K47" s="280">
        <v>5</v>
      </c>
      <c r="L47" s="280">
        <v>6</v>
      </c>
      <c r="M47" s="280">
        <v>7</v>
      </c>
      <c r="N47" s="280">
        <v>8</v>
      </c>
      <c r="O47" s="280">
        <v>9</v>
      </c>
      <c r="P47" s="280">
        <v>10</v>
      </c>
      <c r="Q47" s="280">
        <v>11</v>
      </c>
      <c r="R47" s="280">
        <v>12</v>
      </c>
      <c r="S47" s="280">
        <v>13</v>
      </c>
      <c r="T47" s="280">
        <v>14</v>
      </c>
      <c r="U47" s="280">
        <v>15</v>
      </c>
      <c r="V47" s="280">
        <v>16</v>
      </c>
      <c r="W47" s="280">
        <v>17</v>
      </c>
      <c r="X47" s="315">
        <v>18</v>
      </c>
      <c r="Y47" s="280">
        <v>19</v>
      </c>
      <c r="Z47" s="280">
        <v>20</v>
      </c>
      <c r="AA47" s="280">
        <v>21</v>
      </c>
      <c r="AB47" s="280">
        <v>22</v>
      </c>
      <c r="AC47" s="280">
        <v>23</v>
      </c>
      <c r="AD47" s="373">
        <v>24</v>
      </c>
      <c r="AE47" s="25"/>
      <c r="AF47" s="319" t="s">
        <v>60</v>
      </c>
      <c r="AG47" s="320">
        <v>28</v>
      </c>
      <c r="AH47" s="321" t="s">
        <v>31</v>
      </c>
      <c r="AI47" s="25"/>
      <c r="AJ47" s="248"/>
      <c r="AK47" s="248"/>
      <c r="AL47" s="248"/>
      <c r="AM47" s="248"/>
      <c r="AN47" s="254"/>
      <c r="AO47" s="254"/>
      <c r="AP47" s="254"/>
      <c r="AQ47" s="254"/>
      <c r="AR47" s="254"/>
      <c r="AS47" s="254"/>
      <c r="AT47" s="254"/>
      <c r="AU47" s="254"/>
      <c r="AV47" s="254"/>
      <c r="AW47" s="254"/>
      <c r="AX47" s="254"/>
      <c r="AY47" s="254"/>
      <c r="AZ47" s="254"/>
      <c r="BA47" s="254"/>
      <c r="BB47" s="254"/>
      <c r="BC47" s="254"/>
      <c r="BD47" s="254"/>
      <c r="BE47" s="254"/>
      <c r="BF47" s="254"/>
      <c r="BG47" s="254"/>
      <c r="BH47" s="254"/>
      <c r="BI47" s="254"/>
      <c r="BJ47" s="254"/>
    </row>
    <row r="48" ht="14.25" customHeight="1">
      <c r="A48" s="1"/>
      <c r="B48" s="46" t="s">
        <v>26</v>
      </c>
      <c r="C48" s="444">
        <v>-33.636890163883754731959723920</v>
      </c>
      <c r="D48" s="445">
        <v>-37.169156320012648711847760460</v>
      </c>
      <c r="E48" s="445">
        <v>-25.289735715819039168046401780</v>
      </c>
      <c r="F48" s="445">
        <v>-14.592656815650543444717862130</v>
      </c>
      <c r="G48" s="660">
        <v>-26.872174571937355231785076060</v>
      </c>
      <c r="H48" s="445">
        <v>-24.376829337131957946375114960</v>
      </c>
      <c r="I48" s="445">
        <v>-22.589565434451485718250298550</v>
      </c>
      <c r="J48" s="445">
        <v>-11.183414990265685606739497800</v>
      </c>
      <c r="K48" s="445">
        <v>2.1097312128761160077606928700</v>
      </c>
      <c r="L48" s="445">
        <v>-57.238062085002496488448100820</v>
      </c>
      <c r="M48" s="445">
        <v>-38.785093196519790452675660530</v>
      </c>
      <c r="N48" s="445">
        <v>-12.631717140063084440520875870</v>
      </c>
      <c r="O48" s="445">
        <v>1.6140903514388129351212809500</v>
      </c>
      <c r="P48" s="445">
        <v>23.156514948980974863180813780</v>
      </c>
      <c r="Q48" s="445">
        <v>-10.952795488226637400431650470</v>
      </c>
      <c r="R48" s="445">
        <v>-8.678311577045359397795105910</v>
      </c>
      <c r="S48" s="445">
        <v>0.6692389844676247717185084300</v>
      </c>
      <c r="T48" s="445">
        <v>-9.247883341852773055157378750</v>
      </c>
      <c r="U48" s="445">
        <v>9.412554360228533635457998220</v>
      </c>
      <c r="V48" s="445">
        <v>11.281703530282249515315061380</v>
      </c>
      <c r="W48" s="445">
        <v>15.298253434714359757578121470</v>
      </c>
      <c r="X48" s="446">
        <v>-2.6712023900282101846995840600</v>
      </c>
      <c r="Y48" s="445">
        <v>8.477961740189978203616967560</v>
      </c>
      <c r="Z48" s="445">
        <v>50.999408502719697173371845700</v>
      </c>
      <c r="AA48" s="445">
        <v>40.024945607931291095622737750</v>
      </c>
      <c r="AB48" s="445">
        <v>33.713632095355844522969629330</v>
      </c>
      <c r="AC48" s="445">
        <v>-3.9371627058328088192374684400</v>
      </c>
      <c r="AD48" s="447">
        <v>1.4134668244886409565234764800</v>
      </c>
      <c r="AE48" s="448"/>
      <c r="AF48" s="444">
        <v>14.032740521197970271386102820</v>
      </c>
      <c r="AG48" s="445">
        <v>-9.832119135024997534920205710</v>
      </c>
      <c r="AH48" s="449">
        <v>-8.961400655422905426841186490</v>
      </c>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row>
    <row r="49" ht="14.25" customHeight="1">
      <c r="A49" s="24"/>
      <c r="B49" s="48" t="s">
        <v>185</v>
      </c>
      <c r="C49" s="329">
        <v>-22.617528310834301909851294610</v>
      </c>
      <c r="D49" s="330">
        <v>-2.2980631188173610520114515600</v>
      </c>
      <c r="E49" s="330">
        <v>5.849498632627447036381672500</v>
      </c>
      <c r="F49" s="330">
        <v>-4.6066774481655084585452590200</v>
      </c>
      <c r="G49" s="663">
        <v>-22.247956067726400792670995040</v>
      </c>
      <c r="H49" s="330">
        <v>-4.5340681635623130396520172500</v>
      </c>
      <c r="I49" s="330">
        <v>-13.931597782642147875815774500</v>
      </c>
      <c r="J49" s="330">
        <v>-15.276806098631948992873761440</v>
      </c>
      <c r="K49" s="330">
        <v>0.1815942620985746487264700</v>
      </c>
      <c r="L49" s="330">
        <v>-34.206879416295476729790449110</v>
      </c>
      <c r="M49" s="330">
        <v>-4.8956993561928813075814397400</v>
      </c>
      <c r="N49" s="330">
        <v>-3.9388434388900727122350969400</v>
      </c>
      <c r="O49" s="330">
        <v>-15.674607128274977875806880930</v>
      </c>
      <c r="P49" s="330">
        <v>1.7143527354410083939116012100</v>
      </c>
      <c r="Q49" s="330">
        <v>-17.230075923049122593216721800</v>
      </c>
      <c r="R49" s="330">
        <v>-20.038394133784989276912117220</v>
      </c>
      <c r="S49" s="330">
        <v>-7.0153670066735976805433268700</v>
      </c>
      <c r="T49" s="330">
        <v>-16.975433872700496944516701860</v>
      </c>
      <c r="U49" s="330">
        <v>-10.956859606753683851610193550</v>
      </c>
      <c r="V49" s="330">
        <v>0.4597859748662869047306426700</v>
      </c>
      <c r="W49" s="330">
        <v>14.896292131919270367978396510</v>
      </c>
      <c r="X49" s="331">
        <v>1.2248262793450835531577898500</v>
      </c>
      <c r="Y49" s="330">
        <v>24.891488770565476458346041510</v>
      </c>
      <c r="Z49" s="330">
        <v>65.929264540841941877227548830</v>
      </c>
      <c r="AA49" s="330">
        <v>28.524885888965204676421759740</v>
      </c>
      <c r="AB49" s="330">
        <v>20.387878533680022869082813610</v>
      </c>
      <c r="AC49" s="330">
        <v>-10.492970906552635974088206380</v>
      </c>
      <c r="AD49" s="338">
        <v>1.2193923836613553287551661800</v>
      </c>
      <c r="AE49" s="88"/>
      <c r="AF49" s="329">
        <v>13.797165482072398326183505410</v>
      </c>
      <c r="AG49" s="330">
        <v>-4.3462975324397943657863917100</v>
      </c>
      <c r="AH49" s="332">
        <v>-3.7427245000900085616896063800</v>
      </c>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row>
    <row r="50" ht="14.25" customHeight="1">
      <c r="B50" s="53"/>
      <c r="C50" s="472"/>
      <c r="D50" s="472"/>
      <c r="E50" s="472"/>
      <c r="F50" s="472"/>
      <c r="G50" s="472"/>
      <c r="H50" s="472"/>
      <c r="I50" s="472"/>
      <c r="J50" s="472"/>
      <c r="K50" s="472"/>
      <c r="L50" s="472"/>
      <c r="M50" s="472"/>
      <c r="N50" s="472"/>
      <c r="O50" s="472"/>
      <c r="P50" s="472"/>
      <c r="Q50" s="472"/>
      <c r="R50" s="472"/>
      <c r="S50" s="472"/>
      <c r="T50" s="472"/>
      <c r="U50" s="472"/>
      <c r="V50" s="472"/>
      <c r="W50" s="472"/>
      <c r="X50" s="473"/>
      <c r="Y50" s="472"/>
      <c r="Z50" s="472"/>
      <c r="AA50" s="472"/>
      <c r="AB50" s="472"/>
      <c r="AC50" s="472"/>
      <c r="AD50" s="474"/>
      <c r="AE50" s="475"/>
      <c r="AF50" s="472"/>
      <c r="AG50" s="472"/>
      <c r="AH50" s="472"/>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row>
    <row r="51" ht="18">
      <c r="B51" s="29"/>
      <c r="X51" s="27"/>
      <c r="AD51" s="28"/>
      <c r="AF51" s="43"/>
      <c r="AG51" s="43"/>
      <c r="AH51" s="43"/>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row>
    <row r="52" ht="18">
      <c r="B52" s="417" t="s">
        <v>55</v>
      </c>
      <c r="C52" s="275" t="s">
        <v>186</v>
      </c>
      <c r="D52" s="276"/>
      <c r="E52" s="276"/>
      <c r="F52" s="276"/>
      <c r="G52" s="658" t="s">
        <v>183</v>
      </c>
      <c r="H52" s="276"/>
      <c r="I52" s="276"/>
      <c r="J52" s="276"/>
      <c r="K52" s="276"/>
      <c r="L52" s="276"/>
      <c r="M52" s="276"/>
      <c r="N52" s="276"/>
      <c r="O52" s="276"/>
      <c r="P52" s="276"/>
      <c r="Q52" s="276"/>
      <c r="R52" s="276"/>
      <c r="S52" s="277"/>
      <c r="T52" s="277"/>
      <c r="U52" s="277"/>
      <c r="V52" s="277"/>
      <c r="W52" s="277"/>
      <c r="X52" s="312"/>
      <c r="Y52" s="277"/>
      <c r="Z52" s="277"/>
      <c r="AA52" s="277"/>
      <c r="AB52" s="277"/>
      <c r="AC52" s="277"/>
      <c r="AD52" s="336"/>
      <c r="AE52" s="25"/>
      <c r="AF52" s="316" t="s">
        <v>58</v>
      </c>
      <c r="AG52" s="317" t="s">
        <v>59</v>
      </c>
      <c r="AH52" s="318" t="s">
        <v>59</v>
      </c>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row>
    <row r="53">
      <c r="B53" s="42"/>
      <c r="C53" s="279">
        <v>27</v>
      </c>
      <c r="D53" s="280">
        <v>28</v>
      </c>
      <c r="E53" s="280">
        <v>29</v>
      </c>
      <c r="F53" s="280">
        <v>30</v>
      </c>
      <c r="G53" s="676">
        <v>1</v>
      </c>
      <c r="H53" s="280">
        <v>2</v>
      </c>
      <c r="I53" s="280">
        <v>3</v>
      </c>
      <c r="J53" s="280">
        <v>4</v>
      </c>
      <c r="K53" s="280">
        <v>5</v>
      </c>
      <c r="L53" s="280">
        <v>6</v>
      </c>
      <c r="M53" s="280">
        <v>7</v>
      </c>
      <c r="N53" s="280">
        <v>8</v>
      </c>
      <c r="O53" s="280">
        <v>9</v>
      </c>
      <c r="P53" s="280">
        <v>10</v>
      </c>
      <c r="Q53" s="280">
        <v>11</v>
      </c>
      <c r="R53" s="280">
        <v>12</v>
      </c>
      <c r="S53" s="280">
        <v>13</v>
      </c>
      <c r="T53" s="280">
        <v>14</v>
      </c>
      <c r="U53" s="280">
        <v>15</v>
      </c>
      <c r="V53" s="280">
        <v>16</v>
      </c>
      <c r="W53" s="280">
        <v>17</v>
      </c>
      <c r="X53" s="315">
        <v>18</v>
      </c>
      <c r="Y53" s="280">
        <v>19</v>
      </c>
      <c r="Z53" s="280">
        <v>20</v>
      </c>
      <c r="AA53" s="280">
        <v>21</v>
      </c>
      <c r="AB53" s="280">
        <v>22</v>
      </c>
      <c r="AC53" s="280">
        <v>23</v>
      </c>
      <c r="AD53" s="373">
        <v>24</v>
      </c>
      <c r="AE53" s="25"/>
      <c r="AF53" s="319" t="s">
        <v>60</v>
      </c>
      <c r="AG53" s="320">
        <v>28</v>
      </c>
      <c r="AH53" s="321" t="s">
        <v>31</v>
      </c>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row>
    <row r="54" ht="14.25" customHeight="1">
      <c r="B54" s="46" t="s">
        <v>56</v>
      </c>
      <c r="C54" s="444" t="s">
        <v>171</v>
      </c>
      <c r="D54" s="445" t="s">
        <v>170</v>
      </c>
      <c r="E54" s="445" t="s">
        <v>170</v>
      </c>
      <c r="F54" s="445" t="s">
        <v>170</v>
      </c>
      <c r="G54" s="660" t="s">
        <v>170</v>
      </c>
      <c r="H54" s="445" t="s">
        <v>170</v>
      </c>
      <c r="I54" s="445" t="s">
        <v>170</v>
      </c>
      <c r="J54" s="445" t="s">
        <v>170</v>
      </c>
      <c r="K54" s="445" t="s">
        <v>170</v>
      </c>
      <c r="L54" s="445" t="s">
        <v>171</v>
      </c>
      <c r="M54" s="445" t="s">
        <v>170</v>
      </c>
      <c r="N54" s="445" t="s">
        <v>170</v>
      </c>
      <c r="O54" s="445" t="s">
        <v>170</v>
      </c>
      <c r="P54" s="445" t="s">
        <v>170</v>
      </c>
      <c r="Q54" s="445" t="s">
        <v>171</v>
      </c>
      <c r="R54" s="445" t="s">
        <v>171</v>
      </c>
      <c r="S54" s="445" t="s">
        <v>171</v>
      </c>
      <c r="T54" s="445" t="s">
        <v>171</v>
      </c>
      <c r="U54" s="445" t="s">
        <v>170</v>
      </c>
      <c r="V54" s="445" t="s">
        <v>170</v>
      </c>
      <c r="W54" s="445" t="s">
        <v>170</v>
      </c>
      <c r="X54" s="446" t="s">
        <v>170</v>
      </c>
      <c r="Y54" s="445" t="s">
        <v>172</v>
      </c>
      <c r="Z54" s="445" t="s">
        <v>172</v>
      </c>
      <c r="AA54" s="445" t="s">
        <v>172</v>
      </c>
      <c r="AB54" s="445" t="s">
        <v>172</v>
      </c>
      <c r="AC54" s="445" t="s">
        <v>172</v>
      </c>
      <c r="AD54" s="447" t="s">
        <v>172</v>
      </c>
      <c r="AE54" s="448"/>
      <c r="AF54" s="444" t="s">
        <v>172</v>
      </c>
      <c r="AG54" s="445" t="s">
        <v>170</v>
      </c>
      <c r="AH54" s="449" t="s">
        <v>170</v>
      </c>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row>
    <row r="55" ht="14.25" customHeight="1" thickBot="1">
      <c r="B55" s="48" t="s">
        <v>79</v>
      </c>
      <c r="C55" s="329" t="s">
        <v>179</v>
      </c>
      <c r="D55" s="330" t="s">
        <v>180</v>
      </c>
      <c r="E55" s="330" t="s">
        <v>171</v>
      </c>
      <c r="F55" s="330" t="s">
        <v>180</v>
      </c>
      <c r="G55" s="663" t="s">
        <v>179</v>
      </c>
      <c r="H55" s="330" t="s">
        <v>180</v>
      </c>
      <c r="I55" s="330" t="s">
        <v>179</v>
      </c>
      <c r="J55" s="330" t="s">
        <v>171</v>
      </c>
      <c r="K55" s="330" t="s">
        <v>170</v>
      </c>
      <c r="L55" s="330" t="s">
        <v>180</v>
      </c>
      <c r="M55" s="330" t="s">
        <v>180</v>
      </c>
      <c r="N55" s="330" t="s">
        <v>170</v>
      </c>
      <c r="O55" s="330" t="s">
        <v>170</v>
      </c>
      <c r="P55" s="330" t="s">
        <v>170</v>
      </c>
      <c r="Q55" s="330" t="s">
        <v>171</v>
      </c>
      <c r="R55" s="330" t="s">
        <v>180</v>
      </c>
      <c r="S55" s="330" t="s">
        <v>170</v>
      </c>
      <c r="T55" s="330" t="s">
        <v>171</v>
      </c>
      <c r="U55" s="330" t="s">
        <v>170</v>
      </c>
      <c r="V55" s="330" t="s">
        <v>176</v>
      </c>
      <c r="W55" s="330" t="s">
        <v>176</v>
      </c>
      <c r="X55" s="89" t="s">
        <v>170</v>
      </c>
      <c r="Y55" s="90" t="s">
        <v>174</v>
      </c>
      <c r="Z55" s="90" t="s">
        <v>174</v>
      </c>
      <c r="AA55" s="90" t="s">
        <v>174</v>
      </c>
      <c r="AB55" s="90" t="s">
        <v>174</v>
      </c>
      <c r="AC55" s="90" t="s">
        <v>172</v>
      </c>
      <c r="AD55" s="91" t="s">
        <v>174</v>
      </c>
      <c r="AE55" s="88"/>
      <c r="AF55" s="329" t="s">
        <v>174</v>
      </c>
      <c r="AG55" s="330" t="s">
        <v>180</v>
      </c>
      <c r="AH55" s="332" t="s">
        <v>171</v>
      </c>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row>
    <row r="56" ht="9.95" customHeight="1">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row>
    <row r="57" ht="9.95" customHeight="1">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row>
    <row r="58" ht="24.95" customHeight="1">
      <c r="B58" s="611" t="s">
        <v>114</v>
      </c>
      <c r="C58" s="611"/>
      <c r="D58" s="611"/>
      <c r="E58" s="611"/>
      <c r="F58" s="611"/>
      <c r="G58" s="611"/>
      <c r="H58" s="611"/>
      <c r="I58" s="611"/>
      <c r="J58" s="611"/>
      <c r="K58" s="611"/>
      <c r="L58" s="611"/>
      <c r="M58" s="611"/>
      <c r="N58" s="611"/>
      <c r="O58" s="611"/>
      <c r="P58" s="611"/>
      <c r="Q58" s="611"/>
      <c r="R58" s="611"/>
      <c r="S58" s="611"/>
      <c r="T58" s="611"/>
      <c r="U58" s="611"/>
      <c r="V58" s="611"/>
      <c r="W58" s="611"/>
      <c r="X58" s="611"/>
      <c r="Y58" s="611"/>
      <c r="Z58" s="611"/>
      <c r="AA58" s="611"/>
      <c r="AB58" s="611"/>
      <c r="AC58" s="611"/>
      <c r="AD58" s="611"/>
      <c r="AE58" s="611"/>
      <c r="AF58" s="611"/>
      <c r="AG58" s="611"/>
      <c r="AH58" s="611"/>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row>
    <row r="59" ht="9.95" customHeight="1">
      <c r="AF59" s="80"/>
      <c r="AG59" s="242"/>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row>
    <row r="60" ht="9.95" customHeight="1">
      <c r="B60" s="53"/>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row>
    <row r="61" ht="9.95" customHeight="1">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row>
    <row r="65">
      <c r="A65" s="666"/>
      <c r="B65" s="666"/>
      <c r="C65" s="666"/>
      <c r="D65" s="666"/>
      <c r="E65" s="666"/>
      <c r="F65" s="666"/>
      <c r="G65" s="666"/>
      <c r="H65" s="666"/>
      <c r="I65" s="666"/>
      <c r="J65" s="666"/>
      <c r="K65" s="666"/>
      <c r="L65" s="666"/>
      <c r="M65" s="666"/>
      <c r="N65" s="666"/>
      <c r="O65" s="666"/>
      <c r="P65" s="666"/>
      <c r="Q65" s="666"/>
      <c r="R65" s="666"/>
      <c r="S65" s="666"/>
      <c r="T65" s="666"/>
      <c r="U65" s="666"/>
      <c r="V65" s="666"/>
      <c r="W65" s="666"/>
      <c r="X65" s="666"/>
      <c r="Y65" s="666"/>
      <c r="Z65" s="666"/>
      <c r="AA65" s="666"/>
      <c r="AB65" s="666"/>
      <c r="AC65" s="666"/>
      <c r="AD65" s="666"/>
      <c r="AE65" s="666"/>
      <c r="AF65" s="666"/>
      <c r="AG65" s="666"/>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row>
    <row r="66">
      <c r="A66" s="666"/>
      <c r="B66" s="666"/>
      <c r="C66" s="666"/>
      <c r="D66" s="666"/>
      <c r="E66" s="666"/>
      <c r="F66" s="666"/>
      <c r="G66" s="666"/>
      <c r="H66" s="666"/>
      <c r="I66" s="666"/>
      <c r="J66" s="666"/>
      <c r="K66" s="666"/>
      <c r="L66" s="666"/>
      <c r="M66" s="666"/>
      <c r="N66" s="666"/>
      <c r="O66" s="666"/>
      <c r="P66" s="666"/>
      <c r="Q66" s="666"/>
      <c r="R66" s="666"/>
      <c r="S66" s="666"/>
      <c r="T66" s="666"/>
      <c r="U66" s="666"/>
      <c r="V66" s="666"/>
      <c r="W66" s="666"/>
      <c r="X66" s="666"/>
      <c r="Y66" s="666"/>
      <c r="Z66" s="666"/>
      <c r="AA66" s="666"/>
      <c r="AB66" s="666"/>
      <c r="AC66" s="666"/>
      <c r="AD66" s="666"/>
      <c r="AE66" s="666"/>
      <c r="AF66" s="666"/>
      <c r="AG66" s="666"/>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row>
    <row r="67">
      <c r="A67" s="666"/>
      <c r="B67" s="666"/>
      <c r="C67" s="666"/>
      <c r="D67" s="666"/>
      <c r="E67" s="666"/>
      <c r="F67" s="666"/>
      <c r="G67" s="666"/>
      <c r="H67" s="666"/>
      <c r="I67" s="666"/>
      <c r="J67" s="666"/>
      <c r="K67" s="666"/>
      <c r="L67" s="666"/>
      <c r="M67" s="666"/>
      <c r="N67" s="666"/>
      <c r="O67" s="666"/>
      <c r="P67" s="666"/>
      <c r="Q67" s="666"/>
      <c r="R67" s="666"/>
      <c r="S67" s="666"/>
      <c r="T67" s="666"/>
      <c r="U67" s="666"/>
      <c r="V67" s="666"/>
      <c r="W67" s="666"/>
      <c r="X67" s="666"/>
      <c r="Y67" s="666"/>
      <c r="Z67" s="666"/>
      <c r="AA67" s="666"/>
      <c r="AB67" s="666"/>
      <c r="AC67" s="666"/>
      <c r="AD67" s="666"/>
      <c r="AE67" s="666"/>
      <c r="AF67" s="666"/>
      <c r="AG67" s="666"/>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row>
    <row r="68" s="25" customFormat="1">
      <c r="A68" s="666"/>
      <c r="B68" s="666"/>
      <c r="C68" s="666"/>
      <c r="D68" s="666"/>
      <c r="E68" s="666"/>
      <c r="F68" s="666"/>
      <c r="G68" s="666"/>
      <c r="H68" s="666"/>
      <c r="I68" s="666"/>
      <c r="J68" s="666"/>
      <c r="K68" s="666"/>
      <c r="L68" s="666"/>
      <c r="M68" s="666"/>
      <c r="N68" s="666"/>
      <c r="O68" s="666"/>
      <c r="P68" s="666"/>
      <c r="Q68" s="666"/>
      <c r="R68" s="666"/>
      <c r="S68" s="666"/>
      <c r="T68" s="666"/>
      <c r="U68" s="666"/>
      <c r="V68" s="666"/>
      <c r="W68" s="666"/>
      <c r="X68" s="666"/>
      <c r="Y68" s="666"/>
      <c r="Z68" s="666"/>
      <c r="AA68" s="666"/>
      <c r="AB68" s="666"/>
      <c r="AC68" s="666"/>
      <c r="AD68" s="666"/>
      <c r="AE68" s="666"/>
      <c r="AF68" s="666"/>
      <c r="AG68" s="666"/>
      <c r="AH68" s="248"/>
      <c r="AI68" s="248"/>
      <c r="AJ68" s="248"/>
      <c r="AK68" s="248"/>
      <c r="AL68" s="248"/>
      <c r="AM68" s="248"/>
      <c r="AN68" s="248"/>
      <c r="AO68" s="248"/>
      <c r="AP68" s="248"/>
      <c r="AQ68" s="248"/>
      <c r="AR68" s="248"/>
      <c r="AS68" s="248"/>
      <c r="AT68" s="248"/>
      <c r="AU68" s="248"/>
      <c r="AV68" s="248"/>
      <c r="AW68" s="248"/>
      <c r="AX68" s="248"/>
      <c r="AY68" s="248"/>
      <c r="AZ68" s="248"/>
      <c r="BA68" s="248"/>
      <c r="BB68" s="248"/>
      <c r="BC68" s="248"/>
      <c r="BD68" s="248"/>
      <c r="BE68" s="248"/>
      <c r="BF68" s="248"/>
      <c r="BG68" s="248"/>
      <c r="BH68" s="248"/>
      <c r="BI68" s="248"/>
      <c r="BJ68" s="248"/>
    </row>
    <row r="69" s="25" customFormat="1" ht="10.5" customHeight="1">
      <c r="A69" s="666"/>
      <c r="B69" s="666"/>
      <c r="C69" s="666"/>
      <c r="D69" s="666"/>
      <c r="E69" s="666"/>
      <c r="F69" s="666"/>
      <c r="G69" s="666"/>
      <c r="H69" s="666"/>
      <c r="I69" s="666"/>
      <c r="J69" s="666"/>
      <c r="K69" s="666"/>
      <c r="L69" s="666"/>
      <c r="M69" s="666"/>
      <c r="N69" s="666"/>
      <c r="O69" s="666"/>
      <c r="P69" s="666"/>
      <c r="Q69" s="666"/>
      <c r="R69" s="666"/>
      <c r="S69" s="666"/>
      <c r="T69" s="666"/>
      <c r="U69" s="666"/>
      <c r="V69" s="666"/>
      <c r="W69" s="666"/>
      <c r="X69" s="666"/>
      <c r="Y69" s="666"/>
      <c r="Z69" s="666"/>
      <c r="AA69" s="666"/>
      <c r="AB69" s="666"/>
      <c r="AC69" s="666"/>
      <c r="AD69" s="666"/>
      <c r="AE69" s="666"/>
      <c r="AF69" s="666"/>
      <c r="AG69" s="666"/>
      <c r="AH69" s="248"/>
      <c r="AI69" s="248"/>
      <c r="AJ69" s="248"/>
      <c r="AK69" s="248"/>
      <c r="AL69" s="248"/>
      <c r="AM69" s="248"/>
      <c r="AN69" s="248"/>
      <c r="AO69" s="248"/>
      <c r="AP69" s="248"/>
      <c r="AQ69" s="248"/>
      <c r="AR69" s="248"/>
      <c r="AS69" s="248"/>
      <c r="AT69" s="248"/>
      <c r="AU69" s="248"/>
      <c r="AV69" s="248"/>
      <c r="AW69" s="248"/>
      <c r="AX69" s="248"/>
      <c r="AY69" s="248"/>
      <c r="AZ69" s="248"/>
      <c r="BA69" s="248"/>
      <c r="BB69" s="248"/>
      <c r="BC69" s="248"/>
      <c r="BD69" s="248"/>
      <c r="BE69" s="248"/>
      <c r="BF69" s="248"/>
      <c r="BG69" s="248"/>
      <c r="BH69" s="248"/>
      <c r="BI69" s="248"/>
      <c r="BJ69" s="248"/>
    </row>
    <row r="70" s="25" customFormat="1">
      <c r="A70" s="666"/>
      <c r="B70" s="666"/>
      <c r="C70" s="666"/>
      <c r="D70" s="666"/>
      <c r="E70" s="666"/>
      <c r="F70" s="666"/>
      <c r="G70" s="666"/>
      <c r="H70" s="666"/>
      <c r="I70" s="666"/>
      <c r="J70" s="666"/>
      <c r="K70" s="666"/>
      <c r="L70" s="666"/>
      <c r="M70" s="666"/>
      <c r="N70" s="666"/>
      <c r="O70" s="666"/>
      <c r="P70" s="666"/>
      <c r="Q70" s="666"/>
      <c r="R70" s="666"/>
      <c r="S70" s="666"/>
      <c r="T70" s="666"/>
      <c r="U70" s="666"/>
      <c r="V70" s="666"/>
      <c r="W70" s="666"/>
      <c r="X70" s="666"/>
      <c r="Y70" s="666"/>
      <c r="Z70" s="666"/>
      <c r="AA70" s="666"/>
      <c r="AB70" s="666"/>
      <c r="AC70" s="666"/>
      <c r="AD70" s="666"/>
      <c r="AE70" s="666"/>
      <c r="AF70" s="666"/>
      <c r="AG70" s="666"/>
      <c r="AH70" s="248"/>
      <c r="AI70" s="248"/>
      <c r="AJ70" s="248"/>
      <c r="AK70" s="248"/>
      <c r="AL70" s="248"/>
      <c r="AM70" s="248"/>
      <c r="AN70" s="248"/>
      <c r="AO70" s="248"/>
      <c r="AP70" s="248"/>
      <c r="AQ70" s="248"/>
      <c r="AR70" s="248"/>
      <c r="AS70" s="248"/>
      <c r="AT70" s="248"/>
      <c r="AU70" s="248"/>
      <c r="AV70" s="248"/>
      <c r="AW70" s="248"/>
      <c r="AX70" s="248"/>
      <c r="AY70" s="248"/>
      <c r="AZ70" s="248"/>
      <c r="BA70" s="248"/>
      <c r="BB70" s="248"/>
      <c r="BC70" s="248"/>
      <c r="BD70" s="248"/>
      <c r="BE70" s="248"/>
      <c r="BF70" s="248"/>
      <c r="BG70" s="248"/>
      <c r="BH70" s="248"/>
      <c r="BI70" s="248"/>
      <c r="BJ70" s="248"/>
    </row>
    <row r="71" s="25" customFormat="1">
      <c r="A71" s="666"/>
      <c r="B71" s="666">
        <v>1</v>
      </c>
      <c r="C71" s="666">
        <v>2</v>
      </c>
      <c r="D71" s="666">
        <v>3</v>
      </c>
      <c r="E71" s="666">
        <v>4</v>
      </c>
      <c r="F71" s="666">
        <v>5</v>
      </c>
      <c r="G71" s="666">
        <v>6</v>
      </c>
      <c r="H71" s="666">
        <v>7</v>
      </c>
      <c r="I71" s="666">
        <v>8</v>
      </c>
      <c r="J71" s="666">
        <v>9</v>
      </c>
      <c r="K71" s="666">
        <v>10</v>
      </c>
      <c r="L71" s="666">
        <v>11</v>
      </c>
      <c r="M71" s="666">
        <v>12</v>
      </c>
      <c r="N71" s="666"/>
      <c r="O71" s="666"/>
      <c r="P71" s="666"/>
      <c r="Q71" s="666"/>
      <c r="R71" s="666"/>
      <c r="S71" s="666"/>
      <c r="T71" s="666"/>
      <c r="U71" s="666"/>
      <c r="V71" s="666"/>
      <c r="W71" s="666"/>
      <c r="X71" s="666"/>
      <c r="Y71" s="666"/>
      <c r="Z71" s="666"/>
      <c r="AA71" s="666"/>
      <c r="AB71" s="666"/>
      <c r="AC71" s="666"/>
      <c r="AD71" s="666"/>
      <c r="AE71" s="666"/>
      <c r="AF71" s="666"/>
      <c r="AG71" s="666"/>
      <c r="AH71" s="248"/>
      <c r="AI71" s="248"/>
      <c r="AJ71" s="248"/>
      <c r="AK71" s="248"/>
      <c r="AL71" s="248"/>
      <c r="AM71" s="248"/>
      <c r="AN71" s="248"/>
      <c r="AO71" s="248"/>
      <c r="AP71" s="248"/>
      <c r="AQ71" s="248"/>
      <c r="AR71" s="248"/>
      <c r="AS71" s="248"/>
      <c r="AT71" s="248"/>
      <c r="AU71" s="248"/>
      <c r="AV71" s="248"/>
      <c r="AW71" s="248"/>
      <c r="AX71" s="248"/>
      <c r="AY71" s="248"/>
      <c r="AZ71" s="248"/>
      <c r="BA71" s="248"/>
      <c r="BB71" s="248"/>
      <c r="BC71" s="248"/>
      <c r="BD71" s="248"/>
      <c r="BE71" s="248"/>
      <c r="BF71" s="248"/>
      <c r="BG71" s="248"/>
      <c r="BH71" s="248"/>
      <c r="BI71" s="248"/>
      <c r="BJ71" s="248"/>
    </row>
    <row r="72" s="25" customFormat="1">
      <c r="A72" s="666"/>
      <c r="B72" s="666" t="n">
        <v>45724</v>
      </c>
      <c r="C72" s="666">
        <v>45731</v>
      </c>
      <c r="D72" s="666">
        <v>45738</v>
      </c>
      <c r="E72" s="666">
        <v>45745</v>
      </c>
      <c r="F72" s="666">
        <v>45752</v>
      </c>
      <c r="G72" s="666">
        <v>45759</v>
      </c>
      <c r="H72" s="666">
        <v>45766</v>
      </c>
      <c r="I72" s="666">
        <v>45773</v>
      </c>
      <c r="J72" s="666">
        <v>45780</v>
      </c>
      <c r="K72" s="666">
        <v>45787</v>
      </c>
      <c r="L72" s="666">
        <v>45794</v>
      </c>
      <c r="M72" s="666">
        <v>45801</v>
      </c>
      <c r="N72" s="666"/>
      <c r="O72" s="666"/>
      <c r="P72" s="666"/>
      <c r="Q72" s="666"/>
      <c r="R72" s="666"/>
      <c r="S72" s="666"/>
      <c r="T72" s="666"/>
      <c r="U72" s="666"/>
      <c r="V72" s="666"/>
      <c r="W72" s="666"/>
      <c r="X72" s="666"/>
      <c r="Y72" s="666"/>
      <c r="Z72" s="666"/>
      <c r="AA72" s="666"/>
      <c r="AB72" s="666"/>
      <c r="AC72" s="666"/>
      <c r="AD72" s="666"/>
      <c r="AE72" s="666"/>
      <c r="AF72" s="666"/>
      <c r="AG72" s="666"/>
      <c r="AH72" s="248"/>
      <c r="AI72" s="248"/>
      <c r="AJ72" s="248"/>
      <c r="AK72" s="248"/>
      <c r="AL72" s="248"/>
      <c r="AM72" s="248"/>
      <c r="AN72" s="248"/>
      <c r="AO72" s="248"/>
      <c r="AP72" s="248"/>
      <c r="AQ72" s="248"/>
      <c r="AR72" s="248"/>
      <c r="AS72" s="248"/>
      <c r="AT72" s="248"/>
      <c r="AU72" s="248"/>
      <c r="AV72" s="248"/>
      <c r="AW72" s="248"/>
      <c r="AX72" s="248"/>
      <c r="AY72" s="248"/>
      <c r="AZ72" s="248"/>
      <c r="BA72" s="248"/>
      <c r="BB72" s="248"/>
      <c r="BC72" s="248"/>
      <c r="BD72" s="248"/>
      <c r="BE72" s="248"/>
      <c r="BF72" s="248"/>
      <c r="BG72" s="248"/>
      <c r="BH72" s="248"/>
      <c r="BI72" s="248"/>
      <c r="BJ72" s="248"/>
    </row>
    <row r="73" s="25" customFormat="1" ht="14.25">
      <c r="A73" s="666" t="s">
        <v>32</v>
      </c>
      <c r="B73" s="666">
        <v>268.8030303030303030303030303</v>
      </c>
      <c r="C73" s="666">
        <v>247.67965367965367965367965368</v>
      </c>
      <c r="D73" s="666">
        <v>265.47943722943722943722943723</v>
      </c>
      <c r="E73" s="666">
        <v>296.08658008658008658008658009</v>
      </c>
      <c r="F73" s="666">
        <v>252.03571428571428571428571429</v>
      </c>
      <c r="G73" s="666">
        <v>279.31818181818181818181818182</v>
      </c>
      <c r="H73" s="666">
        <v>251.6991341991341991341991342</v>
      </c>
      <c r="I73" s="666">
        <v>207.94372294372294372294372294</v>
      </c>
      <c r="J73" s="666">
        <v>302.96103896103896103896103896</v>
      </c>
      <c r="K73" s="666">
        <v>181.91774891774891774891774892</v>
      </c>
      <c r="L73" s="666">
        <v>149.96103896103896103896103896</v>
      </c>
      <c r="M73" s="666">
        <v>187.78571428571428571428571429</v>
      </c>
      <c r="N73" s="666"/>
      <c r="O73" s="666"/>
      <c r="P73" s="666"/>
      <c r="Q73" s="666"/>
      <c r="R73" s="666"/>
      <c r="S73" s="666"/>
      <c r="T73" s="666"/>
      <c r="U73" s="666"/>
      <c r="V73" s="666"/>
      <c r="W73" s="666"/>
      <c r="X73" s="666"/>
      <c r="Y73" s="666"/>
      <c r="Z73" s="666"/>
      <c r="AA73" s="666"/>
      <c r="AB73" s="666"/>
      <c r="AC73" s="666"/>
      <c r="AD73" s="666"/>
      <c r="AE73" s="666"/>
      <c r="AF73" s="666"/>
      <c r="AG73" s="666"/>
      <c r="AH73" s="248"/>
      <c r="AI73" s="248"/>
      <c r="AJ73" s="248"/>
      <c r="AK73" s="248"/>
      <c r="AL73" s="248"/>
      <c r="AM73" s="248"/>
      <c r="AN73" s="248"/>
      <c r="AO73" s="248"/>
      <c r="AP73" s="248"/>
      <c r="AQ73" s="248"/>
      <c r="AR73" s="248"/>
      <c r="AS73" s="248"/>
      <c r="AT73" s="248"/>
      <c r="AU73" s="248"/>
      <c r="AV73" s="248"/>
      <c r="AW73" s="248"/>
      <c r="AX73" s="248"/>
      <c r="AY73" s="248"/>
      <c r="AZ73" s="248"/>
      <c r="BA73" s="248"/>
      <c r="BB73" s="248"/>
      <c r="BC73" s="248"/>
      <c r="BD73" s="248"/>
      <c r="BE73" s="248"/>
      <c r="BF73" s="248"/>
      <c r="BG73" s="248"/>
      <c r="BH73" s="248"/>
      <c r="BI73" s="248"/>
      <c r="BJ73" s="248"/>
    </row>
    <row r="74" s="25" customFormat="1" ht="14.25">
      <c r="A74" s="666" t="s">
        <v>26</v>
      </c>
      <c r="B74" s="666">
        <v>339.99294019933554817275747508</v>
      </c>
      <c r="C74" s="666">
        <v>299.40697674418604651162790698</v>
      </c>
      <c r="D74" s="666">
        <v>354.58803986710963455149501661</v>
      </c>
      <c r="E74" s="666">
        <v>336.18895348837209302325581395</v>
      </c>
      <c r="F74" s="666">
        <v>299.52533222591362126245847176</v>
      </c>
      <c r="G74" s="666">
        <v>289.09634551495016611295681063</v>
      </c>
      <c r="H74" s="666">
        <v>337.73421926910299003322259136</v>
      </c>
      <c r="I74" s="666">
        <v>285.61960132890365448504983389</v>
      </c>
      <c r="J74" s="666">
        <v>362.99086378737541528239202658</v>
      </c>
      <c r="K74" s="666">
        <v>206.04651162790697674418604651</v>
      </c>
      <c r="L74" s="666">
        <v>159.15905315614617940199335548</v>
      </c>
      <c r="M74" s="666">
        <v>221.55778095156366846060487182</v>
      </c>
      <c r="N74" s="666"/>
      <c r="O74" s="666"/>
      <c r="P74" s="666"/>
      <c r="Q74" s="666"/>
      <c r="R74" s="666"/>
      <c r="S74" s="666"/>
      <c r="T74" s="666"/>
      <c r="U74" s="666"/>
      <c r="V74" s="666"/>
      <c r="W74" s="666"/>
      <c r="X74" s="666"/>
      <c r="Y74" s="666"/>
      <c r="Z74" s="666"/>
      <c r="AA74" s="666"/>
      <c r="AB74" s="666"/>
      <c r="AC74" s="666"/>
      <c r="AD74" s="666"/>
      <c r="AE74" s="666"/>
      <c r="AF74" s="666"/>
      <c r="AG74" s="666"/>
      <c r="AH74" s="248"/>
      <c r="AI74" s="248"/>
      <c r="AJ74" s="248"/>
      <c r="AK74" s="248"/>
      <c r="AL74" s="248"/>
      <c r="AM74" s="248"/>
      <c r="AN74" s="248"/>
      <c r="AO74" s="248"/>
      <c r="AP74" s="248"/>
      <c r="AQ74" s="248"/>
      <c r="AR74" s="248"/>
      <c r="AS74" s="248"/>
      <c r="AT74" s="248"/>
      <c r="AU74" s="248"/>
      <c r="AV74" s="248"/>
      <c r="AW74" s="248"/>
      <c r="AX74" s="248"/>
      <c r="AY74" s="248"/>
      <c r="AZ74" s="248"/>
      <c r="BA74" s="248"/>
      <c r="BB74" s="248"/>
      <c r="BC74" s="248"/>
      <c r="BD74" s="248"/>
      <c r="BE74" s="248"/>
      <c r="BF74" s="248"/>
      <c r="BG74" s="248"/>
      <c r="BH74" s="248"/>
      <c r="BI74" s="248"/>
      <c r="BJ74" s="248"/>
    </row>
    <row r="75" s="25" customFormat="1" ht="14.25">
      <c r="A75" s="666" t="s">
        <v>185</v>
      </c>
      <c r="B75" s="666">
        <v>247.81632228023980601300188929</v>
      </c>
      <c r="C75" s="666">
        <v>213.79726573541006530697252347</v>
      </c>
      <c r="D75" s="666">
        <v>254.78639115752517814373484477</v>
      </c>
      <c r="E75" s="666">
        <v>256.73475550795138424004403386</v>
      </c>
      <c r="F75" s="666">
        <v>221.94389601107785768526376915</v>
      </c>
      <c r="G75" s="666">
        <v>231.00373862400762619717890284</v>
      </c>
      <c r="H75" s="666">
        <v>207.32932660083113633316948925</v>
      </c>
      <c r="I75" s="666">
        <v>174.46452775667664626063124656</v>
      </c>
      <c r="J75" s="666">
        <v>258.9583687087597003142827353</v>
      </c>
      <c r="K75" s="666">
        <v>168.17802404039501318200098306</v>
      </c>
      <c r="L75" s="666">
        <v>152.37934372998495613447130494</v>
      </c>
      <c r="M75" s="666">
        <v>152.40283301309263148487421243</v>
      </c>
      <c r="N75" s="666"/>
      <c r="O75" s="666"/>
      <c r="P75" s="666"/>
      <c r="Q75" s="666"/>
      <c r="R75" s="666"/>
      <c r="S75" s="666"/>
      <c r="T75" s="666"/>
      <c r="U75" s="666"/>
      <c r="V75" s="666"/>
      <c r="W75" s="666"/>
      <c r="X75" s="666"/>
      <c r="Y75" s="666"/>
      <c r="Z75" s="666"/>
      <c r="AA75" s="666"/>
      <c r="AB75" s="666"/>
      <c r="AC75" s="666"/>
      <c r="AD75" s="666"/>
      <c r="AE75" s="666"/>
      <c r="AF75" s="666"/>
      <c r="AG75" s="666"/>
      <c r="AH75" s="248"/>
      <c r="AI75" s="248"/>
      <c r="AJ75" s="248"/>
      <c r="AK75" s="248"/>
      <c r="AL75" s="248"/>
      <c r="AM75" s="248"/>
      <c r="AN75" s="248"/>
      <c r="AO75" s="248"/>
      <c r="AP75" s="248"/>
      <c r="AQ75" s="248"/>
      <c r="AR75" s="248"/>
      <c r="AS75" s="248"/>
      <c r="AT75" s="248"/>
      <c r="AU75" s="248"/>
      <c r="AV75" s="248"/>
      <c r="AW75" s="248"/>
      <c r="AX75" s="248"/>
      <c r="AY75" s="248"/>
      <c r="AZ75" s="248"/>
      <c r="BA75" s="248"/>
      <c r="BB75" s="248"/>
      <c r="BC75" s="248"/>
      <c r="BD75" s="248"/>
      <c r="BE75" s="248"/>
      <c r="BF75" s="248"/>
      <c r="BG75" s="248"/>
      <c r="BH75" s="248"/>
      <c r="BI75" s="248"/>
      <c r="BJ75" s="248"/>
    </row>
    <row r="76" s="25" customFormat="1">
      <c r="A76" s="666"/>
      <c r="B76" s="666"/>
      <c r="C76" s="666"/>
      <c r="D76" s="666"/>
      <c r="E76" s="666"/>
      <c r="F76" s="666"/>
      <c r="G76" s="666"/>
      <c r="H76" s="666"/>
      <c r="I76" s="666"/>
      <c r="J76" s="666"/>
      <c r="K76" s="666"/>
      <c r="L76" s="666"/>
      <c r="M76" s="666"/>
      <c r="N76" s="666"/>
      <c r="O76" s="666"/>
      <c r="P76" s="666"/>
      <c r="Q76" s="666"/>
      <c r="R76" s="666"/>
      <c r="S76" s="666"/>
      <c r="T76" s="666"/>
      <c r="U76" s="666"/>
      <c r="V76" s="666"/>
      <c r="W76" s="666"/>
      <c r="X76" s="666"/>
      <c r="Y76" s="666"/>
      <c r="Z76" s="666"/>
      <c r="AA76" s="666"/>
      <c r="AB76" s="666"/>
      <c r="AC76" s="666"/>
      <c r="AD76" s="666"/>
      <c r="AE76" s="666"/>
      <c r="AF76" s="666"/>
      <c r="AG76" s="666"/>
      <c r="AH76" s="248"/>
      <c r="AI76" s="248"/>
      <c r="AJ76" s="248"/>
      <c r="AK76" s="248"/>
      <c r="AL76" s="248"/>
      <c r="AM76" s="248"/>
      <c r="AN76" s="248"/>
      <c r="AO76" s="248"/>
      <c r="AP76" s="248"/>
      <c r="AQ76" s="248"/>
      <c r="AR76" s="248"/>
      <c r="AS76" s="248"/>
      <c r="AT76" s="248"/>
      <c r="AU76" s="248"/>
      <c r="AV76" s="248"/>
      <c r="AW76" s="248"/>
      <c r="AX76" s="248"/>
      <c r="AY76" s="248"/>
      <c r="AZ76" s="248"/>
      <c r="BA76" s="248"/>
      <c r="BB76" s="248"/>
      <c r="BC76" s="248"/>
      <c r="BD76" s="248"/>
      <c r="BE76" s="248"/>
      <c r="BF76" s="248"/>
      <c r="BG76" s="248"/>
      <c r="BH76" s="248"/>
      <c r="BI76" s="248"/>
      <c r="BJ76" s="248"/>
    </row>
    <row r="77" s="25" customFormat="1">
      <c r="A77" s="666"/>
      <c r="B77" s="666"/>
      <c r="C77" s="666"/>
      <c r="D77" s="666"/>
      <c r="E77" s="666"/>
      <c r="F77" s="666"/>
      <c r="G77" s="666"/>
      <c r="H77" s="666"/>
      <c r="I77" s="666"/>
      <c r="J77" s="666"/>
      <c r="K77" s="666"/>
      <c r="L77" s="666"/>
      <c r="M77" s="666"/>
      <c r="N77" s="666"/>
      <c r="O77" s="666"/>
      <c r="P77" s="666"/>
      <c r="Q77" s="666"/>
      <c r="R77" s="666"/>
      <c r="S77" s="666"/>
      <c r="T77" s="666"/>
      <c r="U77" s="666"/>
      <c r="V77" s="666"/>
      <c r="W77" s="666"/>
      <c r="X77" s="666"/>
      <c r="Y77" s="666"/>
      <c r="Z77" s="666"/>
      <c r="AA77" s="666"/>
      <c r="AB77" s="666"/>
      <c r="AC77" s="666"/>
      <c r="AD77" s="666"/>
      <c r="AE77" s="666"/>
      <c r="AF77" s="666"/>
      <c r="AG77" s="666"/>
      <c r="AH77" s="248"/>
      <c r="AI77" s="248"/>
      <c r="AJ77" s="248"/>
      <c r="AK77" s="248"/>
      <c r="AL77" s="248"/>
      <c r="AM77" s="248"/>
      <c r="AN77" s="248"/>
      <c r="AO77" s="248"/>
      <c r="AP77" s="248"/>
      <c r="AQ77" s="248"/>
      <c r="AR77" s="248"/>
      <c r="AS77" s="248"/>
      <c r="AT77" s="248"/>
      <c r="AU77" s="248"/>
      <c r="AV77" s="248"/>
      <c r="AW77" s="248"/>
      <c r="AX77" s="248"/>
      <c r="AY77" s="248"/>
      <c r="AZ77" s="248"/>
      <c r="BA77" s="248"/>
      <c r="BB77" s="248"/>
      <c r="BC77" s="248"/>
      <c r="BD77" s="248"/>
      <c r="BE77" s="248"/>
      <c r="BF77" s="248"/>
      <c r="BG77" s="248"/>
      <c r="BH77" s="248"/>
      <c r="BI77" s="248"/>
      <c r="BJ77" s="248"/>
    </row>
    <row r="78">
      <c r="A78" s="666"/>
      <c r="B78" s="666"/>
      <c r="C78" s="666"/>
      <c r="D78" s="666"/>
      <c r="E78" s="666"/>
      <c r="F78" s="666"/>
      <c r="G78" s="666"/>
      <c r="H78" s="666"/>
      <c r="I78" s="666"/>
      <c r="J78" s="666"/>
      <c r="K78" s="666"/>
      <c r="L78" s="666"/>
      <c r="M78" s="666"/>
      <c r="N78" s="666"/>
      <c r="O78" s="666"/>
      <c r="P78" s="666"/>
      <c r="Q78" s="666"/>
      <c r="R78" s="666"/>
      <c r="S78" s="666"/>
      <c r="T78" s="666"/>
      <c r="U78" s="666"/>
      <c r="V78" s="666"/>
      <c r="W78" s="666"/>
      <c r="X78" s="666"/>
      <c r="Y78" s="666"/>
      <c r="Z78" s="666"/>
      <c r="AA78" s="666"/>
      <c r="AB78" s="666"/>
      <c r="AC78" s="666"/>
      <c r="AD78" s="666"/>
      <c r="AE78" s="666"/>
      <c r="AF78" s="666"/>
      <c r="AG78" s="666"/>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row>
    <row r="79">
      <c r="A79" s="666"/>
      <c r="B79" s="666"/>
      <c r="C79" s="666"/>
      <c r="D79" s="666"/>
      <c r="E79" s="666"/>
      <c r="F79" s="666"/>
      <c r="G79" s="666"/>
      <c r="H79" s="666"/>
      <c r="I79" s="666"/>
      <c r="J79" s="666"/>
      <c r="K79" s="666"/>
      <c r="L79" s="666"/>
      <c r="M79" s="666"/>
      <c r="N79" s="666"/>
      <c r="O79" s="666"/>
      <c r="P79" s="666"/>
      <c r="Q79" s="666"/>
      <c r="R79" s="666"/>
      <c r="S79" s="666"/>
      <c r="T79" s="666"/>
      <c r="U79" s="666"/>
      <c r="V79" s="666"/>
      <c r="W79" s="666"/>
      <c r="X79" s="666"/>
      <c r="Y79" s="666"/>
      <c r="Z79" s="666"/>
      <c r="AA79" s="666"/>
      <c r="AB79" s="666"/>
      <c r="AC79" s="666"/>
      <c r="AD79" s="666"/>
      <c r="AE79" s="666"/>
      <c r="AF79" s="666"/>
      <c r="AG79" s="666"/>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row>
    <row r="80">
      <c r="A80" s="666"/>
      <c r="B80" s="666"/>
      <c r="C80" s="666"/>
      <c r="D80" s="666"/>
      <c r="E80" s="666"/>
      <c r="F80" s="666"/>
      <c r="G80" s="666"/>
      <c r="H80" s="666"/>
      <c r="I80" s="666"/>
      <c r="J80" s="666"/>
      <c r="K80" s="666"/>
      <c r="L80" s="666"/>
      <c r="M80" s="666"/>
      <c r="N80" s="666"/>
      <c r="O80" s="666"/>
      <c r="P80" s="666"/>
      <c r="Q80" s="666"/>
      <c r="R80" s="666"/>
      <c r="S80" s="666"/>
      <c r="T80" s="666"/>
      <c r="U80" s="666"/>
      <c r="V80" s="666"/>
      <c r="W80" s="666"/>
      <c r="X80" s="666"/>
      <c r="Y80" s="666"/>
      <c r="Z80" s="666"/>
      <c r="AA80" s="666"/>
      <c r="AB80" s="666"/>
      <c r="AC80" s="666"/>
      <c r="AD80" s="666"/>
      <c r="AE80" s="666"/>
      <c r="AF80" s="666"/>
      <c r="AG80" s="666"/>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row>
    <row r="81">
      <c r="A81" s="666"/>
      <c r="B81" s="666"/>
      <c r="C81" s="666"/>
      <c r="D81" s="666"/>
      <c r="E81" s="666"/>
      <c r="F81" s="666"/>
      <c r="G81" s="666"/>
      <c r="H81" s="666"/>
      <c r="I81" s="666"/>
      <c r="J81" s="666"/>
      <c r="K81" s="666"/>
      <c r="L81" s="666"/>
      <c r="M81" s="666"/>
      <c r="N81" s="666"/>
      <c r="O81" s="666"/>
      <c r="P81" s="666"/>
      <c r="Q81" s="666"/>
      <c r="R81" s="666"/>
      <c r="S81" s="666"/>
      <c r="T81" s="666"/>
      <c r="U81" s="666"/>
      <c r="V81" s="666"/>
      <c r="W81" s="666"/>
      <c r="X81" s="666"/>
      <c r="Y81" s="666"/>
      <c r="Z81" s="666"/>
      <c r="AA81" s="666"/>
      <c r="AB81" s="666"/>
      <c r="AC81" s="666"/>
      <c r="AD81" s="666"/>
      <c r="AE81" s="666"/>
      <c r="AF81" s="666"/>
      <c r="AG81" s="666"/>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row>
    <row r="82">
      <c r="A82" s="666"/>
      <c r="B82" s="666"/>
      <c r="C82" s="666"/>
      <c r="D82" s="666"/>
      <c r="E82" s="666"/>
      <c r="F82" s="666"/>
      <c r="G82" s="666"/>
      <c r="H82" s="666"/>
      <c r="I82" s="666"/>
      <c r="J82" s="666"/>
      <c r="K82" s="666"/>
      <c r="L82" s="666"/>
      <c r="M82" s="666"/>
      <c r="N82" s="666"/>
      <c r="O82" s="666"/>
      <c r="P82" s="666"/>
      <c r="Q82" s="666"/>
      <c r="R82" s="666"/>
      <c r="S82" s="666"/>
      <c r="T82" s="666"/>
      <c r="U82" s="666"/>
      <c r="V82" s="666"/>
      <c r="W82" s="666"/>
      <c r="X82" s="666"/>
      <c r="Y82" s="666"/>
      <c r="Z82" s="666"/>
      <c r="AA82" s="666"/>
      <c r="AB82" s="666"/>
      <c r="AC82" s="666"/>
      <c r="AD82" s="666"/>
      <c r="AE82" s="666"/>
      <c r="AF82" s="666"/>
      <c r="AG82" s="666"/>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row>
    <row r="83">
      <c r="A83" s="666"/>
      <c r="B83" s="666"/>
      <c r="C83" s="666"/>
      <c r="D83" s="666"/>
      <c r="E83" s="666"/>
      <c r="F83" s="666"/>
      <c r="G83" s="666"/>
      <c r="H83" s="666"/>
      <c r="I83" s="666"/>
      <c r="J83" s="666"/>
      <c r="K83" s="666"/>
      <c r="L83" s="666"/>
      <c r="M83" s="666"/>
      <c r="N83" s="666"/>
      <c r="O83" s="666"/>
      <c r="P83" s="666"/>
      <c r="Q83" s="666"/>
      <c r="R83" s="666"/>
      <c r="S83" s="666"/>
      <c r="T83" s="666"/>
      <c r="U83" s="666"/>
      <c r="V83" s="666"/>
      <c r="W83" s="666"/>
      <c r="X83" s="666"/>
      <c r="Y83" s="666"/>
      <c r="Z83" s="666"/>
      <c r="AA83" s="666"/>
      <c r="AB83" s="666"/>
      <c r="AC83" s="666"/>
      <c r="AD83" s="666"/>
      <c r="AE83" s="666"/>
      <c r="AF83" s="666"/>
      <c r="AG83" s="666"/>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row>
    <row r="84">
      <c r="A84" s="666"/>
      <c r="B84" s="666"/>
      <c r="C84" s="666"/>
      <c r="D84" s="666"/>
      <c r="E84" s="666"/>
      <c r="F84" s="666"/>
      <c r="G84" s="666"/>
      <c r="H84" s="666"/>
      <c r="I84" s="666"/>
      <c r="J84" s="666"/>
      <c r="K84" s="666"/>
      <c r="L84" s="666"/>
      <c r="M84" s="666"/>
      <c r="N84" s="666"/>
      <c r="O84" s="666"/>
      <c r="P84" s="666"/>
      <c r="Q84" s="666"/>
      <c r="R84" s="666"/>
      <c r="S84" s="666"/>
      <c r="T84" s="666"/>
      <c r="U84" s="666"/>
      <c r="V84" s="666"/>
      <c r="W84" s="666"/>
      <c r="X84" s="666"/>
      <c r="Y84" s="666"/>
      <c r="Z84" s="666"/>
      <c r="AA84" s="666"/>
      <c r="AB84" s="666"/>
      <c r="AC84" s="666"/>
      <c r="AD84" s="666"/>
      <c r="AE84" s="666"/>
      <c r="AF84" s="666"/>
      <c r="AG84" s="666"/>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row>
    <row r="85">
      <c r="A85" s="666"/>
      <c r="B85" s="666"/>
      <c r="C85" s="666"/>
      <c r="D85" s="666"/>
      <c r="E85" s="666"/>
      <c r="F85" s="666"/>
      <c r="G85" s="666"/>
      <c r="H85" s="666"/>
      <c r="I85" s="666"/>
      <c r="J85" s="666"/>
      <c r="K85" s="666"/>
      <c r="L85" s="666"/>
      <c r="M85" s="666"/>
      <c r="N85" s="666"/>
      <c r="O85" s="666"/>
      <c r="P85" s="666"/>
      <c r="Q85" s="666"/>
      <c r="R85" s="666"/>
      <c r="S85" s="666"/>
      <c r="T85" s="666"/>
      <c r="U85" s="666"/>
      <c r="V85" s="666"/>
      <c r="W85" s="666"/>
      <c r="X85" s="666"/>
      <c r="Y85" s="666"/>
      <c r="Z85" s="666"/>
      <c r="AA85" s="666"/>
      <c r="AB85" s="666"/>
      <c r="AC85" s="666"/>
      <c r="AD85" s="666"/>
      <c r="AE85" s="666"/>
      <c r="AF85" s="666"/>
      <c r="AG85" s="666"/>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row>
    <row r="86">
      <c r="A86" s="666"/>
      <c r="B86" s="666"/>
      <c r="C86" s="666"/>
      <c r="D86" s="666"/>
      <c r="E86" s="666"/>
      <c r="F86" s="666"/>
      <c r="G86" s="666"/>
      <c r="H86" s="666"/>
      <c r="I86" s="666"/>
      <c r="J86" s="666"/>
      <c r="K86" s="666"/>
      <c r="L86" s="666"/>
      <c r="M86" s="666"/>
      <c r="N86" s="666"/>
      <c r="O86" s="666"/>
      <c r="P86" s="666"/>
      <c r="Q86" s="666"/>
      <c r="R86" s="666"/>
      <c r="S86" s="666"/>
      <c r="T86" s="666"/>
      <c r="U86" s="666"/>
      <c r="V86" s="666"/>
      <c r="W86" s="666"/>
      <c r="X86" s="666"/>
      <c r="Y86" s="666"/>
      <c r="Z86" s="666"/>
      <c r="AA86" s="666"/>
      <c r="AB86" s="666"/>
      <c r="AC86" s="666"/>
      <c r="AD86" s="666"/>
      <c r="AE86" s="666"/>
      <c r="AF86" s="666"/>
      <c r="AG86" s="666"/>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row>
    <row r="87">
      <c r="A87" s="666"/>
      <c r="B87" s="666"/>
      <c r="C87" s="666"/>
      <c r="D87" s="666"/>
      <c r="E87" s="666"/>
      <c r="F87" s="666"/>
      <c r="G87" s="666"/>
      <c r="H87" s="666"/>
      <c r="I87" s="666"/>
      <c r="J87" s="666"/>
      <c r="K87" s="666"/>
      <c r="L87" s="666"/>
      <c r="M87" s="666"/>
      <c r="N87" s="666"/>
      <c r="O87" s="666"/>
      <c r="P87" s="666"/>
      <c r="Q87" s="666"/>
      <c r="R87" s="666"/>
      <c r="S87" s="666"/>
      <c r="T87" s="666"/>
      <c r="U87" s="666"/>
      <c r="V87" s="666"/>
      <c r="W87" s="666"/>
      <c r="X87" s="666"/>
      <c r="Y87" s="666"/>
      <c r="Z87" s="666"/>
      <c r="AA87" s="666"/>
      <c r="AB87" s="666"/>
      <c r="AC87" s="666"/>
      <c r="AD87" s="666"/>
      <c r="AE87" s="666"/>
      <c r="AF87" s="666"/>
      <c r="AG87" s="666"/>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row>
    <row r="88">
      <c r="A88" s="666"/>
      <c r="B88" s="666"/>
      <c r="C88" s="666"/>
      <c r="D88" s="666"/>
      <c r="E88" s="666"/>
      <c r="F88" s="666"/>
      <c r="G88" s="666"/>
      <c r="H88" s="666"/>
      <c r="I88" s="666"/>
      <c r="J88" s="666"/>
      <c r="K88" s="666"/>
      <c r="L88" s="666"/>
      <c r="M88" s="666"/>
      <c r="N88" s="666"/>
      <c r="O88" s="666"/>
      <c r="P88" s="666"/>
      <c r="Q88" s="666"/>
      <c r="R88" s="666"/>
      <c r="S88" s="666"/>
      <c r="T88" s="666"/>
      <c r="U88" s="666"/>
      <c r="V88" s="666"/>
      <c r="W88" s="666"/>
      <c r="X88" s="666"/>
      <c r="Y88" s="666"/>
      <c r="Z88" s="666"/>
      <c r="AA88" s="666"/>
      <c r="AB88" s="666"/>
      <c r="AC88" s="666"/>
      <c r="AD88" s="666"/>
      <c r="AE88" s="666"/>
      <c r="AF88" s="666"/>
      <c r="AG88" s="666"/>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row>
    <row r="89">
      <c r="A89" s="666"/>
      <c r="B89" s="666"/>
      <c r="C89" s="666"/>
      <c r="D89" s="666"/>
      <c r="E89" s="666"/>
      <c r="F89" s="666"/>
      <c r="G89" s="666"/>
      <c r="H89" s="666"/>
      <c r="I89" s="666"/>
      <c r="J89" s="666"/>
      <c r="K89" s="666"/>
      <c r="L89" s="666"/>
      <c r="M89" s="666"/>
      <c r="N89" s="666"/>
      <c r="O89" s="666"/>
      <c r="P89" s="666"/>
      <c r="Q89" s="666"/>
      <c r="R89" s="666"/>
      <c r="S89" s="666"/>
      <c r="T89" s="666"/>
      <c r="U89" s="666"/>
      <c r="V89" s="666"/>
      <c r="W89" s="666"/>
      <c r="X89" s="666"/>
      <c r="Y89" s="666"/>
      <c r="Z89" s="666"/>
      <c r="AA89" s="666"/>
      <c r="AB89" s="666"/>
      <c r="AC89" s="666"/>
      <c r="AD89" s="666"/>
      <c r="AE89" s="666"/>
      <c r="AF89" s="666"/>
      <c r="AG89" s="666"/>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row>
    <row r="90">
      <c r="A90" s="666"/>
      <c r="B90" s="666"/>
      <c r="C90" s="666"/>
      <c r="D90" s="666"/>
      <c r="E90" s="666"/>
      <c r="F90" s="666"/>
      <c r="G90" s="666"/>
      <c r="H90" s="666"/>
      <c r="I90" s="666"/>
      <c r="J90" s="666"/>
      <c r="K90" s="666"/>
      <c r="L90" s="666"/>
      <c r="M90" s="666"/>
      <c r="N90" s="666"/>
      <c r="O90" s="666"/>
      <c r="P90" s="666"/>
      <c r="Q90" s="666"/>
      <c r="R90" s="666"/>
      <c r="S90" s="666"/>
      <c r="T90" s="666"/>
      <c r="U90" s="666"/>
      <c r="V90" s="666"/>
      <c r="W90" s="666"/>
      <c r="X90" s="666"/>
      <c r="Y90" s="666"/>
      <c r="Z90" s="666"/>
      <c r="AA90" s="666"/>
      <c r="AB90" s="666"/>
      <c r="AC90" s="666"/>
      <c r="AD90" s="666"/>
      <c r="AE90" s="666"/>
      <c r="AF90" s="666"/>
      <c r="AG90" s="666"/>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row>
    <row r="91">
      <c r="A91" s="666"/>
      <c r="B91" s="666"/>
      <c r="C91" s="666"/>
      <c r="D91" s="666"/>
      <c r="E91" s="666"/>
      <c r="F91" s="666"/>
      <c r="G91" s="666"/>
      <c r="H91" s="666"/>
      <c r="I91" s="666"/>
      <c r="J91" s="666"/>
      <c r="K91" s="666"/>
      <c r="L91" s="666"/>
      <c r="M91" s="666"/>
      <c r="N91" s="666"/>
      <c r="O91" s="666"/>
      <c r="P91" s="666"/>
      <c r="Q91" s="666"/>
      <c r="R91" s="666"/>
      <c r="S91" s="666"/>
      <c r="T91" s="666"/>
      <c r="U91" s="666"/>
      <c r="V91" s="666"/>
      <c r="W91" s="666"/>
      <c r="X91" s="666"/>
      <c r="Y91" s="666"/>
      <c r="Z91" s="666"/>
      <c r="AA91" s="666"/>
      <c r="AB91" s="666"/>
      <c r="AC91" s="666"/>
      <c r="AD91" s="666"/>
      <c r="AE91" s="666"/>
      <c r="AF91" s="666"/>
      <c r="AG91" s="666"/>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row>
    <row r="92">
      <c r="A92" s="666"/>
      <c r="B92" s="666"/>
      <c r="C92" s="666"/>
      <c r="D92" s="666"/>
      <c r="E92" s="666"/>
      <c r="F92" s="666"/>
      <c r="G92" s="666"/>
      <c r="H92" s="666"/>
      <c r="I92" s="666"/>
      <c r="J92" s="666"/>
      <c r="K92" s="666"/>
      <c r="L92" s="666"/>
      <c r="M92" s="666"/>
      <c r="N92" s="666"/>
      <c r="O92" s="666"/>
      <c r="P92" s="666"/>
      <c r="Q92" s="666"/>
      <c r="R92" s="666"/>
      <c r="S92" s="666"/>
      <c r="T92" s="666"/>
      <c r="U92" s="666"/>
      <c r="V92" s="666"/>
      <c r="W92" s="666"/>
      <c r="X92" s="666"/>
      <c r="Y92" s="666"/>
      <c r="Z92" s="666"/>
      <c r="AA92" s="666"/>
      <c r="AB92" s="666"/>
      <c r="AC92" s="666"/>
      <c r="AD92" s="666"/>
      <c r="AE92" s="666"/>
      <c r="AF92" s="666"/>
      <c r="AG92" s="666"/>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row>
    <row r="93">
      <c r="A93" s="666"/>
      <c r="B93" s="666"/>
      <c r="C93" s="666"/>
      <c r="D93" s="666"/>
      <c r="E93" s="666"/>
      <c r="F93" s="666"/>
      <c r="G93" s="666"/>
      <c r="H93" s="666"/>
      <c r="I93" s="666"/>
      <c r="J93" s="666"/>
      <c r="K93" s="666"/>
      <c r="L93" s="666"/>
      <c r="M93" s="666"/>
      <c r="N93" s="666"/>
      <c r="O93" s="666"/>
      <c r="P93" s="666"/>
      <c r="Q93" s="666"/>
      <c r="R93" s="666"/>
      <c r="S93" s="666"/>
      <c r="T93" s="666"/>
      <c r="U93" s="666"/>
      <c r="V93" s="666"/>
      <c r="W93" s="666"/>
      <c r="X93" s="666"/>
      <c r="Y93" s="666"/>
      <c r="Z93" s="666"/>
      <c r="AA93" s="666"/>
      <c r="AB93" s="666"/>
      <c r="AC93" s="666"/>
      <c r="AD93" s="666"/>
      <c r="AE93" s="666"/>
      <c r="AF93" s="666"/>
      <c r="AG93" s="666"/>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row>
    <row r="94">
      <c r="A94" s="666"/>
      <c r="B94" s="666"/>
      <c r="C94" s="666"/>
      <c r="D94" s="666"/>
      <c r="E94" s="666"/>
      <c r="F94" s="666"/>
      <c r="G94" s="666"/>
      <c r="H94" s="666"/>
      <c r="I94" s="666"/>
      <c r="J94" s="666"/>
      <c r="K94" s="666"/>
      <c r="L94" s="666"/>
      <c r="M94" s="666"/>
      <c r="N94" s="666"/>
      <c r="O94" s="666"/>
      <c r="P94" s="666"/>
      <c r="Q94" s="666"/>
      <c r="R94" s="666"/>
      <c r="S94" s="666"/>
      <c r="T94" s="666"/>
      <c r="U94" s="666"/>
      <c r="V94" s="666"/>
      <c r="W94" s="666"/>
      <c r="X94" s="666"/>
      <c r="Y94" s="666"/>
      <c r="Z94" s="666"/>
      <c r="AA94" s="666"/>
      <c r="AB94" s="666"/>
      <c r="AC94" s="666"/>
      <c r="AD94" s="666"/>
      <c r="AE94" s="666"/>
      <c r="AF94" s="666"/>
      <c r="AG94" s="666"/>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row>
  </sheetData>
  <mergeCells count="3">
    <mergeCell ref="X22:AD22"/>
    <mergeCell ref="R4:AG4"/>
    <mergeCell ref="B58:AH58"/>
  </mergeCells>
  <phoneticPr fontId="0" type="noConversion"/>
  <printOptions horizontalCentered="1" verticalCentered="1"/>
  <pageMargins left="0.25" right="0.25" top="0.25" bottom="0.25" header="0.23" footer="0.28"/>
  <pageSetup scale="55" orientation="landscape" r:id="rId1"/>
  <headerFooter alignWithMargins="0">
    <oddHeader/>
    <oddFooter/>
  </headerFooter>
  <drawing r:id="rId84"/>
</worksheet>
</file>

<file path=xl/worksheets/sheet1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2:M16"/>
  <sheetViews>
    <sheetView showGridLines="0" zoomScaleNormal="100" workbookViewId="0"/>
  </sheetViews>
  <sheetFormatPr defaultRowHeight="15"/>
  <cols>
    <col min="1" max="1" width="4.28515625" style="433" customWidth="1"/>
    <col min="2" max="2" width="3.42578125" style="433" customWidth="1"/>
    <col min="3" max="3" width="6.85546875" style="433" customWidth="1"/>
    <col min="4" max="4" width="9.140625" style="433"/>
    <col min="5" max="5" width="39" style="433" customWidth="1"/>
    <col min="6" max="6" width="32.28515625" style="433" customWidth="1"/>
    <col min="7" max="9" width="9.140625" style="433"/>
    <col min="10" max="10" width="12" style="433" customWidth="1"/>
    <col min="11" max="11" width="9.140625" style="433"/>
    <col min="12" max="12" width="18.28515625" style="433" customWidth="1"/>
    <col min="13" max="16384" width="9.140625" style="433"/>
  </cols>
  <sheetData>
    <row r="2" ht="84" customHeight="1">
      <c r="B2" s="434"/>
      <c r="C2" s="435"/>
      <c r="K2" s="436"/>
      <c r="M2" s="436"/>
    </row>
    <row r="3" ht="15" customHeight="1">
      <c r="B3" s="434"/>
    </row>
    <row r="4">
      <c r="A4" s="437" t="s">
        <v>102</v>
      </c>
      <c r="B4" s="438"/>
      <c r="C4" s="438"/>
      <c r="D4" s="438"/>
      <c r="E4" s="438"/>
      <c r="F4" s="438"/>
      <c r="G4" s="438"/>
      <c r="H4" s="438"/>
      <c r="I4" s="438"/>
      <c r="J4" s="438"/>
      <c r="K4" s="438"/>
    </row>
    <row r="5">
      <c r="A5" s="22" t="s">
        <v>109</v>
      </c>
      <c r="B5" s="22"/>
      <c r="C5" s="22"/>
      <c r="D5" s="22"/>
      <c r="E5" s="22"/>
      <c r="F5" s="22"/>
      <c r="G5" s="438"/>
      <c r="H5" s="438"/>
      <c r="I5" s="438"/>
      <c r="J5" s="438"/>
      <c r="K5" s="438"/>
    </row>
    <row r="6">
      <c r="A6" s="438"/>
      <c r="B6" s="438"/>
      <c r="C6" s="438"/>
      <c r="D6" s="438"/>
      <c r="E6" s="438"/>
      <c r="F6" s="438"/>
      <c r="G6" s="438"/>
      <c r="H6" s="438"/>
      <c r="I6" s="438"/>
      <c r="J6" s="438"/>
      <c r="K6" s="438"/>
    </row>
    <row r="7">
      <c r="A7" s="438"/>
      <c r="B7" s="438"/>
      <c r="C7" s="438"/>
      <c r="D7" s="438"/>
      <c r="E7" s="438"/>
      <c r="F7" s="438"/>
      <c r="G7" s="438"/>
      <c r="H7" s="438"/>
      <c r="I7" s="438"/>
      <c r="J7" s="438"/>
      <c r="K7" s="438"/>
    </row>
    <row r="8">
      <c r="A8" s="437" t="s">
        <v>103</v>
      </c>
      <c r="B8" s="438"/>
      <c r="C8" s="438"/>
      <c r="D8" s="438"/>
      <c r="E8" s="438"/>
      <c r="F8" s="438"/>
      <c r="G8" s="438"/>
      <c r="H8" s="438"/>
      <c r="I8" s="438"/>
      <c r="J8" s="438"/>
      <c r="K8" s="438"/>
    </row>
    <row r="9">
      <c r="A9" s="22" t="s">
        <v>110</v>
      </c>
      <c r="B9" s="22"/>
      <c r="C9" s="22"/>
      <c r="D9" s="22"/>
      <c r="E9" s="22"/>
      <c r="F9" s="22"/>
      <c r="G9" s="438"/>
      <c r="H9" s="438"/>
      <c r="I9" s="438"/>
      <c r="J9" s="438"/>
      <c r="K9" s="438"/>
    </row>
    <row r="10">
      <c r="A10" s="22"/>
      <c r="B10" s="22"/>
      <c r="C10" s="22"/>
      <c r="D10" s="22"/>
      <c r="E10" s="22"/>
      <c r="F10" s="22"/>
      <c r="G10" s="438"/>
      <c r="H10" s="438"/>
      <c r="I10" s="438"/>
      <c r="J10" s="438"/>
      <c r="K10" s="438"/>
    </row>
    <row r="11">
      <c r="A11" s="438"/>
      <c r="B11" s="438"/>
      <c r="C11" s="438"/>
      <c r="D11" s="438"/>
      <c r="E11" s="438"/>
      <c r="F11" s="438"/>
      <c r="G11" s="438"/>
      <c r="H11" s="438"/>
      <c r="I11" s="438"/>
      <c r="J11" s="438"/>
      <c r="K11" s="438"/>
    </row>
    <row r="12">
      <c r="A12" s="22" t="s">
        <v>111</v>
      </c>
      <c r="B12" s="22"/>
      <c r="C12" s="22"/>
      <c r="D12" s="22"/>
      <c r="E12" s="22"/>
      <c r="F12" s="438"/>
      <c r="G12" s="438"/>
      <c r="H12" s="438"/>
      <c r="I12" s="438"/>
      <c r="J12" s="438"/>
      <c r="K12" s="438"/>
    </row>
    <row r="13">
      <c r="A13" s="438"/>
      <c r="B13" s="438"/>
      <c r="C13" s="438"/>
      <c r="D13" s="438"/>
      <c r="E13" s="438"/>
      <c r="F13" s="438"/>
      <c r="G13" s="438"/>
      <c r="H13" s="438"/>
      <c r="I13" s="438"/>
      <c r="J13" s="438"/>
      <c r="K13" s="438"/>
    </row>
    <row r="14" ht="16.5" customHeight="1">
      <c r="A14" s="647" t="s">
        <v>104</v>
      </c>
      <c r="B14" s="647"/>
      <c r="C14" s="647"/>
      <c r="D14" s="647"/>
      <c r="E14" s="647"/>
      <c r="F14" s="647"/>
      <c r="G14" s="647"/>
      <c r="H14" s="647"/>
      <c r="I14" s="647"/>
      <c r="J14" s="439"/>
      <c r="K14" s="438"/>
    </row>
    <row r="15" ht="15" customHeight="1">
      <c r="A15" s="647" t="s">
        <v>105</v>
      </c>
      <c r="B15" s="647"/>
      <c r="C15" s="647"/>
      <c r="D15" s="647"/>
      <c r="E15" s="647"/>
      <c r="F15" s="647"/>
      <c r="G15" s="647"/>
      <c r="H15" s="647"/>
      <c r="I15" s="647"/>
      <c r="J15" s="439"/>
      <c r="K15" s="439"/>
      <c r="L15" s="439"/>
    </row>
    <row r="16">
      <c r="C16" s="440"/>
      <c r="D16" s="440"/>
      <c r="E16" s="440"/>
      <c r="F16" s="440"/>
      <c r="G16" s="440"/>
      <c r="H16" s="440"/>
      <c r="I16" s="440"/>
      <c r="J16" s="440"/>
      <c r="K16" s="440"/>
      <c r="L16" s="440"/>
    </row>
  </sheetData>
  <mergeCells count="2">
    <mergeCell ref="A15:I15"/>
    <mergeCell ref="A14:I14"/>
  </mergeCells>
  <hyperlinks>
    <hyperlink ref="A5:F5" r:id="rId107" display="For all STR definitions, please click here or visit www.str.com/data-insights/resources/glossary"/>
    <hyperlink ref="A14:I14" r:id="rId108" display="For the latest in industry news, visit HotelNewsNow.com."/>
    <hyperlink ref="A15:I15" r:id="rId109" display="To learn more about the Hotel Data Conference, visit HotelDataConference.com."/>
    <hyperlink ref="A9:F9" r:id="rId110" display="For all STR FAQs, please click here or visit www.str.com/data-insights/resources/FAQ"/>
    <hyperlink ref="A12:E12" r:id="rId111" display="For additional support, please contact your regional office."/>
  </hyperlinks>
  <pageMargins left="0.7" right="0.7" top="0.75" bottom="0.75" header="0.3" footer="0.3"/>
  <pageSetup orientation="landscape" r:id="rId6"/>
  <headerFooter>
    <oddHeader/>
    <oddFooter/>
  </headerFooter>
  <drawing r:id="rId7"/>
</worksheet>
</file>

<file path=xl/worksheets/sheet1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AV112"/>
  <sheetViews>
    <sheetView showGridLines="0" zoomScale="75" workbookViewId="0"/>
  </sheetViews>
  <sheetFormatPr defaultRowHeight="12.75"/>
  <cols>
    <col min="1" max="1" width="2.7109375" customWidth="1"/>
    <col min="2" max="2" width="15.7109375" customWidth="1"/>
    <col min="3" max="3" width="1.42578125" customWidth="1"/>
    <col min="4" max="4" width="11" customWidth="1"/>
    <col min="6" max="6" width="8.7109375" customWidth="1"/>
    <col min="7" max="7" width="2.42578125" customWidth="1"/>
    <col min="9" max="9" width="8.7109375" customWidth="1"/>
    <col min="10" max="10" width="2.42578125" customWidth="1"/>
    <col min="12" max="12" width="8.7109375" customWidth="1"/>
    <col min="13" max="13" width="2.42578125" customWidth="1"/>
    <col min="15" max="15" width="8.7109375" customWidth="1"/>
    <col min="16" max="16" width="2.42578125" customWidth="1"/>
    <col min="18" max="18" width="8.7109375" customWidth="1"/>
    <col min="19" max="19" width="2.42578125" customWidth="1"/>
    <col min="21" max="21" width="8.7109375" customWidth="1"/>
    <col min="22" max="22" width="2.42578125" customWidth="1"/>
    <col min="24" max="24" width="8.7109375" customWidth="1"/>
    <col min="25" max="25" width="2.42578125" customWidth="1"/>
    <col min="27" max="27" width="8.7109375" customWidth="1"/>
    <col min="28" max="28" width="1.7109375" customWidth="1"/>
  </cols>
  <sheetData>
    <row r="1" ht="30" customHeight="1">
      <c r="B1" s="20" t="s">
        <v>115</v>
      </c>
      <c r="C1" s="20"/>
      <c r="AA1" s="176" t="s">
        <v>169</v>
      </c>
      <c r="AC1" s="244"/>
      <c r="AD1" s="244"/>
      <c r="AE1" s="244"/>
      <c r="AF1" s="244"/>
      <c r="AG1" s="244"/>
      <c r="AH1" s="244"/>
      <c r="AI1" s="244"/>
      <c r="AJ1" s="244"/>
      <c r="AK1" s="244"/>
      <c r="AL1" s="244"/>
      <c r="AM1" s="244"/>
      <c r="AN1" s="244"/>
      <c r="AO1" s="244"/>
      <c r="AP1" s="244"/>
      <c r="AQ1" s="244"/>
      <c r="AR1" s="244"/>
      <c r="AS1" s="244"/>
      <c r="AT1" s="244"/>
      <c r="AU1" s="244"/>
      <c r="AV1" s="244"/>
    </row>
    <row r="2" ht="15">
      <c r="B2" s="612" t="s">
        <v>167</v>
      </c>
      <c r="C2" s="612"/>
      <c r="D2" s="612"/>
      <c r="E2" s="612"/>
      <c r="F2" s="612"/>
      <c r="G2" s="612"/>
      <c r="H2" s="612"/>
      <c r="I2" s="612"/>
      <c r="J2" s="612"/>
      <c r="K2" s="612"/>
      <c r="L2" s="612"/>
      <c r="M2" s="612"/>
      <c r="N2" s="612"/>
      <c r="O2" s="612"/>
      <c r="P2" s="612"/>
      <c r="Q2" s="612"/>
      <c r="R2" s="612"/>
      <c r="S2" s="612"/>
      <c r="T2" s="612"/>
      <c r="U2" s="612"/>
      <c r="V2" s="612"/>
      <c r="W2" s="612"/>
      <c r="X2" s="612"/>
      <c r="Y2" s="612"/>
      <c r="Z2" s="612"/>
      <c r="AA2" s="612"/>
      <c r="AC2" s="244"/>
      <c r="AD2" s="244"/>
      <c r="AE2" s="244"/>
      <c r="AF2" s="244"/>
      <c r="AG2" s="244"/>
      <c r="AH2" s="244"/>
      <c r="AI2" s="244"/>
      <c r="AJ2" s="244"/>
      <c r="AK2" s="244"/>
      <c r="AL2" s="244"/>
      <c r="AM2" s="244"/>
      <c r="AN2" s="244"/>
      <c r="AO2" s="244"/>
      <c r="AP2" s="244"/>
      <c r="AQ2" s="244"/>
      <c r="AR2" s="244"/>
      <c r="AS2" s="244"/>
      <c r="AT2" s="244"/>
      <c r="AU2" s="244"/>
      <c r="AV2" s="244"/>
    </row>
    <row r="3" ht="19.5" customHeight="1">
      <c r="B3" s="220" t="s">
        <v>28</v>
      </c>
      <c r="C3" s="57"/>
      <c r="E3" s="648" t="s">
        <v>40</v>
      </c>
      <c r="F3" s="648"/>
      <c r="H3" s="648" t="s">
        <v>39</v>
      </c>
      <c r="I3" s="648"/>
      <c r="K3" s="648" t="s">
        <v>41</v>
      </c>
      <c r="L3" s="648"/>
      <c r="N3" s="648" t="s">
        <v>42</v>
      </c>
      <c r="O3" s="648"/>
      <c r="Q3" s="648" t="s">
        <v>43</v>
      </c>
      <c r="R3" s="648"/>
      <c r="T3" s="648" t="s">
        <v>44</v>
      </c>
      <c r="U3" s="648"/>
      <c r="W3" s="648" t="s">
        <v>45</v>
      </c>
      <c r="X3" s="648"/>
      <c r="Z3" s="649" t="s">
        <v>23</v>
      </c>
      <c r="AA3" s="649"/>
      <c r="AC3" s="244"/>
      <c r="AD3" s="244"/>
      <c r="AE3" s="244"/>
      <c r="AF3" s="244"/>
      <c r="AG3" s="244"/>
      <c r="AH3" s="244"/>
      <c r="AI3" s="244"/>
      <c r="AJ3" s="244"/>
      <c r="AK3" s="244"/>
      <c r="AL3" s="244"/>
      <c r="AM3" s="244"/>
      <c r="AN3" s="244"/>
      <c r="AO3" s="244"/>
      <c r="AP3" s="244"/>
      <c r="AQ3" s="244"/>
      <c r="AR3" s="244"/>
      <c r="AS3" s="244"/>
      <c r="AT3" s="244"/>
      <c r="AU3" s="244"/>
      <c r="AV3" s="244"/>
    </row>
    <row r="4">
      <c r="E4" s="176"/>
      <c r="F4" s="176" t="s">
        <v>57</v>
      </c>
      <c r="G4" s="176"/>
      <c r="H4" s="176"/>
      <c r="I4" s="176" t="s">
        <v>57</v>
      </c>
      <c r="J4" s="176"/>
      <c r="K4" s="176"/>
      <c r="L4" s="176" t="s">
        <v>57</v>
      </c>
      <c r="M4" s="176"/>
      <c r="N4" s="176"/>
      <c r="O4" s="176" t="s">
        <v>57</v>
      </c>
      <c r="P4" s="176"/>
      <c r="Q4" s="176"/>
      <c r="R4" s="176" t="s">
        <v>57</v>
      </c>
      <c r="S4" s="176"/>
      <c r="T4" s="176"/>
      <c r="U4" s="176" t="s">
        <v>57</v>
      </c>
      <c r="V4" s="176"/>
      <c r="W4" s="176"/>
      <c r="X4" s="176" t="s">
        <v>57</v>
      </c>
      <c r="Y4" s="176"/>
      <c r="Z4" s="226"/>
      <c r="AA4" s="176" t="s">
        <v>57</v>
      </c>
      <c r="AC4" s="244"/>
      <c r="AD4" s="244"/>
      <c r="AE4" s="244"/>
      <c r="AF4" s="244"/>
      <c r="AG4" s="244"/>
      <c r="AH4" s="244"/>
      <c r="AI4" s="244"/>
      <c r="AJ4" s="244"/>
      <c r="AK4" s="244"/>
      <c r="AL4" s="244"/>
      <c r="AM4" s="244"/>
      <c r="AN4" s="244"/>
      <c r="AO4" s="244"/>
      <c r="AP4" s="244"/>
      <c r="AQ4" s="244"/>
      <c r="AR4" s="244"/>
      <c r="AS4" s="244"/>
      <c r="AT4" s="244"/>
      <c r="AU4" s="244"/>
      <c r="AV4" s="244"/>
    </row>
    <row r="5">
      <c r="B5" s="216" t="s">
        <v>23</v>
      </c>
      <c r="C5" s="216"/>
      <c r="D5" s="217" t="s">
        <v>32</v>
      </c>
      <c r="E5" s="221">
        <v>0.8939393939393939393939393939</v>
      </c>
      <c r="F5" s="219">
        <v>8.256880733889335914485341250</v>
      </c>
      <c r="G5" s="217"/>
      <c r="H5" s="221">
        <v>0.9015151515151515151515151515</v>
      </c>
      <c r="I5" s="219">
        <v>1.7094017093599824676747924800</v>
      </c>
      <c r="J5" s="217"/>
      <c r="K5" s="221">
        <v>0.8939393939393939393939393939</v>
      </c>
      <c r="L5" s="219">
        <v>12.380952380888163265306159140</v>
      </c>
      <c r="M5" s="217"/>
      <c r="N5" s="221">
        <v>0.9545454545454545454545454545</v>
      </c>
      <c r="O5" s="219">
        <v>4.1322314049208114199849874700</v>
      </c>
      <c r="P5" s="217"/>
      <c r="Q5" s="221">
        <v>0.9545454545454545454545454545</v>
      </c>
      <c r="R5" s="219">
        <v>5.8823529411942659416707889500</v>
      </c>
      <c r="S5" s="217"/>
      <c r="T5" s="221">
        <v>0.7348484848484848484848484848</v>
      </c>
      <c r="U5" s="219">
        <v>-17.09401709405110672802979100</v>
      </c>
      <c r="V5" s="217"/>
      <c r="W5" s="221">
        <v>0.9090909090909090909090909091</v>
      </c>
      <c r="X5" s="219">
        <v>-2.4390243902248661511005316800</v>
      </c>
      <c r="Y5" s="217"/>
      <c r="Z5" s="222">
        <v>0.8917748917748917748917748918</v>
      </c>
      <c r="AA5" s="219">
        <v>1.6029593094513546017232413500</v>
      </c>
      <c r="AC5" s="244"/>
      <c r="AD5" s="244"/>
      <c r="AE5" s="244"/>
      <c r="AF5" s="244"/>
      <c r="AG5" s="244"/>
      <c r="AH5" s="244"/>
      <c r="AI5" s="244"/>
      <c r="AJ5" s="244"/>
      <c r="AK5" s="244"/>
      <c r="AL5" s="244"/>
      <c r="AM5" s="244"/>
      <c r="AN5" s="244"/>
      <c r="AO5" s="244"/>
      <c r="AP5" s="244"/>
      <c r="AQ5" s="244"/>
      <c r="AR5" s="244"/>
      <c r="AS5" s="244"/>
      <c r="AT5" s="244"/>
      <c r="AU5" s="244"/>
      <c r="AV5" s="244"/>
    </row>
    <row r="6">
      <c r="D6" s="217" t="s">
        <v>26</v>
      </c>
      <c r="E6" s="221">
        <v>0.7906976744186046511627906977</v>
      </c>
      <c r="F6" s="219">
        <v>-2.1582733813287510998395411500</v>
      </c>
      <c r="G6" s="217"/>
      <c r="H6" s="221">
        <v>0.8081180811808118081180811808</v>
      </c>
      <c r="I6" s="219">
        <v>-1.421056763703195637660283300</v>
      </c>
      <c r="J6" s="217"/>
      <c r="K6" s="221">
        <v>0.7011070110701107011070110701</v>
      </c>
      <c r="L6" s="219">
        <v>-1.5588523232749690089153779300</v>
      </c>
      <c r="M6" s="217"/>
      <c r="N6" s="221">
        <v>0.5645756457564575645756457565</v>
      </c>
      <c r="O6" s="219">
        <v>-18.738902870145849385175771180</v>
      </c>
      <c r="P6" s="217"/>
      <c r="Q6" s="221">
        <v>0.6383763837638376383763837638</v>
      </c>
      <c r="R6" s="219">
        <v>-17.752256174281636656033254610</v>
      </c>
      <c r="S6" s="217"/>
      <c r="T6" s="221">
        <v>0.8118081180811808118081180812</v>
      </c>
      <c r="U6" s="219">
        <v>-7.5291415165611322478735030400</v>
      </c>
      <c r="V6" s="217"/>
      <c r="W6" s="221">
        <v>0.8819188191881918819188191882</v>
      </c>
      <c r="X6" s="219">
        <v>-5.7825857761776839107073982600</v>
      </c>
      <c r="Y6" s="217"/>
      <c r="Z6" s="222">
        <v>0.7423716762084564367238356769</v>
      </c>
      <c r="AA6" s="219">
        <v>-7.6159691828983719468202171200</v>
      </c>
      <c r="AC6" s="244"/>
      <c r="AD6" s="244"/>
      <c r="AE6" s="244"/>
      <c r="AF6" s="244"/>
      <c r="AG6" s="244"/>
      <c r="AH6" s="244"/>
      <c r="AI6" s="244"/>
      <c r="AJ6" s="244"/>
      <c r="AK6" s="244"/>
      <c r="AL6" s="244"/>
      <c r="AM6" s="244"/>
      <c r="AN6" s="244"/>
      <c r="AO6" s="244"/>
      <c r="AP6" s="244"/>
      <c r="AQ6" s="244"/>
      <c r="AR6" s="244"/>
      <c r="AS6" s="244"/>
      <c r="AT6" s="244"/>
      <c r="AU6" s="244"/>
      <c r="AV6" s="244"/>
    </row>
    <row r="7">
      <c r="D7" t="s">
        <v>91</v>
      </c>
      <c r="E7" s="223">
        <v>113.05704099816094028520501935</v>
      </c>
      <c r="F7" s="218">
        <v>10.644900161866136040299797300</v>
      </c>
      <c r="H7" s="223">
        <v>111.55735436554756454581469260</v>
      </c>
      <c r="I7" s="218">
        <v>3.1755853433675979632637345200</v>
      </c>
      <c r="K7" s="223">
        <v>127.50398724084947830101570031</v>
      </c>
      <c r="L7" s="218">
        <v>14.160546715758460885997257580</v>
      </c>
      <c r="N7" s="223">
        <v>169.07308377910315845886791247</v>
      </c>
      <c r="O7" s="218">
        <v>28.145244259504632426674396090</v>
      </c>
      <c r="Q7" s="223">
        <v>149.52706253280484965934530869</v>
      </c>
      <c r="R7" s="218">
        <v>28.735875315348324225159536190</v>
      </c>
      <c r="T7" s="223">
        <v>90.51997245181079487540696667</v>
      </c>
      <c r="U7" s="218">
        <v>-10.343664733214665838729142970</v>
      </c>
      <c r="W7" s="223">
        <v>103.08101939903345847968666685</v>
      </c>
      <c r="X7" s="218">
        <v>3.548772181381243554954773600</v>
      </c>
      <c r="Z7" s="224">
        <v>120.12512335196251726604031373</v>
      </c>
      <c r="AA7" s="218">
        <v>9.978919961557793781057963400</v>
      </c>
      <c r="AC7" s="244"/>
      <c r="AD7" s="244"/>
      <c r="AE7" s="244"/>
      <c r="AF7" s="244"/>
      <c r="AG7" s="244"/>
      <c r="AH7" s="244"/>
      <c r="AI7" s="244"/>
      <c r="AJ7" s="244"/>
      <c r="AK7" s="244"/>
      <c r="AL7" s="244"/>
      <c r="AM7" s="244"/>
      <c r="AN7" s="244"/>
      <c r="AO7" s="244"/>
      <c r="AP7" s="244"/>
      <c r="AQ7" s="244"/>
      <c r="AR7" s="244"/>
      <c r="AS7" s="244"/>
      <c r="AT7" s="244"/>
      <c r="AU7" s="244"/>
      <c r="AV7" s="244"/>
    </row>
    <row r="8">
      <c r="D8" s="214" t="s">
        <v>55</v>
      </c>
      <c r="E8" s="227" t="s">
        <v>170</v>
      </c>
      <c r="F8" s="228" t="s">
        <v>170</v>
      </c>
      <c r="G8" s="229"/>
      <c r="H8" s="227" t="s">
        <v>172</v>
      </c>
      <c r="I8" s="228" t="s">
        <v>173</v>
      </c>
      <c r="J8" s="229"/>
      <c r="K8" s="227" t="s">
        <v>174</v>
      </c>
      <c r="L8" s="228" t="s">
        <v>172</v>
      </c>
      <c r="M8" s="229"/>
      <c r="N8" s="227" t="s">
        <v>174</v>
      </c>
      <c r="O8" s="228" t="s">
        <v>172</v>
      </c>
      <c r="P8" s="229"/>
      <c r="Q8" s="227" t="s">
        <v>174</v>
      </c>
      <c r="R8" s="228" t="s">
        <v>172</v>
      </c>
      <c r="S8" s="229"/>
      <c r="T8" s="227" t="s">
        <v>175</v>
      </c>
      <c r="U8" s="228" t="s">
        <v>175</v>
      </c>
      <c r="V8" s="229"/>
      <c r="W8" s="227" t="s">
        <v>172</v>
      </c>
      <c r="X8" s="228" t="s">
        <v>173</v>
      </c>
      <c r="Y8" s="229"/>
      <c r="Z8" s="230" t="s">
        <v>174</v>
      </c>
      <c r="AA8" s="228" t="s">
        <v>172</v>
      </c>
      <c r="AC8" s="244"/>
      <c r="AD8" s="244"/>
      <c r="AE8" s="244"/>
      <c r="AF8" s="244"/>
      <c r="AG8" s="244"/>
      <c r="AH8" s="244"/>
      <c r="AI8" s="244"/>
      <c r="AJ8" s="244"/>
      <c r="AK8" s="244"/>
      <c r="AL8" s="244"/>
      <c r="AM8" s="244"/>
      <c r="AN8" s="244"/>
      <c r="AO8" s="244"/>
      <c r="AP8" s="244"/>
      <c r="AQ8" s="244"/>
      <c r="AR8" s="244"/>
      <c r="AS8" s="244"/>
      <c r="AT8" s="244"/>
      <c r="AU8" s="244"/>
      <c r="AV8" s="244"/>
    </row>
    <row r="9" ht="8.1" customHeight="1">
      <c r="F9" s="218"/>
      <c r="I9" s="218"/>
      <c r="L9" s="218"/>
      <c r="O9" s="218"/>
      <c r="R9" s="218"/>
      <c r="U9" s="218"/>
      <c r="X9" s="218"/>
      <c r="Z9" s="215"/>
      <c r="AA9" s="218"/>
      <c r="AC9" s="244"/>
      <c r="AD9" s="244"/>
      <c r="AE9" s="244"/>
      <c r="AF9" s="244"/>
      <c r="AG9" s="244"/>
      <c r="AH9" s="244"/>
      <c r="AI9" s="244"/>
      <c r="AJ9" s="244"/>
      <c r="AK9" s="244"/>
      <c r="AL9" s="244"/>
      <c r="AM9" s="244"/>
      <c r="AN9" s="244"/>
      <c r="AO9" s="244"/>
      <c r="AP9" s="244"/>
      <c r="AQ9" s="244"/>
      <c r="AR9" s="244"/>
      <c r="AS9" s="244"/>
      <c r="AT9" s="244"/>
      <c r="AU9" s="244"/>
      <c r="AV9" s="244"/>
    </row>
    <row r="10" ht="12.75" customHeight="1">
      <c r="B10" s="216" t="s">
        <v>21</v>
      </c>
      <c r="C10" s="216"/>
      <c r="D10" s="217" t="s">
        <v>32</v>
      </c>
      <c r="E10" s="221">
        <v>0.7651515151515151515151515152</v>
      </c>
      <c r="F10" s="219">
        <v>-7.3394495413320090901439028200</v>
      </c>
      <c r="G10" s="217"/>
      <c r="H10" s="221">
        <v>0.6439393939393939393939393939</v>
      </c>
      <c r="I10" s="219">
        <v>-27.350427350457155380232291090</v>
      </c>
      <c r="J10" s="217"/>
      <c r="K10" s="221">
        <v>0.5303030303030303030303030303</v>
      </c>
      <c r="L10" s="219">
        <v>-33.333333333371428571428549660</v>
      </c>
      <c r="M10" s="217"/>
      <c r="N10" s="221">
        <v>0.5757575757575757575757575758</v>
      </c>
      <c r="O10" s="219">
        <v>-37.190082644650939143501118660</v>
      </c>
      <c r="P10" s="217"/>
      <c r="Q10" s="221">
        <v>0.6287878787878787878787878788</v>
      </c>
      <c r="R10" s="219">
        <v>-30.252100840324412117788289820</v>
      </c>
      <c r="S10" s="217"/>
      <c r="T10" s="221">
        <v>0.7196969696969696969696969697</v>
      </c>
      <c r="U10" s="219">
        <v>-18.803418803452114836730207680</v>
      </c>
      <c r="V10" s="217"/>
      <c r="W10" s="221">
        <v>0.9015151515151515151515151515</v>
      </c>
      <c r="X10" s="219">
        <v>-3.2520325203063255998413605900</v>
      </c>
      <c r="Y10" s="217"/>
      <c r="Z10" s="222">
        <v>0.6807359307359307359307359307</v>
      </c>
      <c r="AA10" s="219">
        <v>-22.441430332955215965432137370</v>
      </c>
      <c r="AC10" s="244"/>
      <c r="AD10" s="244"/>
      <c r="AE10" s="244"/>
      <c r="AF10" s="244"/>
      <c r="AG10" s="244"/>
      <c r="AH10" s="244"/>
      <c r="AI10" s="244"/>
      <c r="AJ10" s="244"/>
      <c r="AK10" s="244"/>
      <c r="AL10" s="244"/>
      <c r="AM10" s="244"/>
      <c r="AN10" s="244"/>
      <c r="AO10" s="244"/>
      <c r="AP10" s="244"/>
      <c r="AQ10" s="244"/>
      <c r="AR10" s="244"/>
      <c r="AS10" s="244"/>
      <c r="AT10" s="244"/>
      <c r="AU10" s="244"/>
      <c r="AV10" s="244"/>
    </row>
    <row r="11">
      <c r="D11" s="217" t="s">
        <v>26</v>
      </c>
      <c r="E11" s="221">
        <v>0.7877906976744186046511627907</v>
      </c>
      <c r="F11" s="219">
        <v>-2.5179856115444542207960134300</v>
      </c>
      <c r="G11" s="217"/>
      <c r="H11" s="221">
        <v>0.7749077490774907749077490775</v>
      </c>
      <c r="I11" s="219">
        <v>-5.4722462117701875977564360400</v>
      </c>
      <c r="J11" s="217"/>
      <c r="K11" s="221">
        <v>0.6457564575645756457564575646</v>
      </c>
      <c r="L11" s="219">
        <v>-7.4415744157904366543665205200</v>
      </c>
      <c r="M11" s="217"/>
      <c r="N11" s="221">
        <v>0.5129151291512915129151291514</v>
      </c>
      <c r="O11" s="219">
        <v>-20.161626955621621813564624690</v>
      </c>
      <c r="P11" s="217"/>
      <c r="Q11" s="221">
        <v>0.6088560885608856088560885609</v>
      </c>
      <c r="R11" s="219">
        <v>-15.884941981912105095793283780</v>
      </c>
      <c r="S11" s="217"/>
      <c r="T11" s="221">
        <v>0.8081180811808118081180811808</v>
      </c>
      <c r="U11" s="219">
        <v>-5.1219727214881000318115951500</v>
      </c>
      <c r="V11" s="217"/>
      <c r="W11" s="221">
        <v>0.8782287822878228782287822878</v>
      </c>
      <c r="X11" s="219">
        <v>-4.3953477509676472275057583200</v>
      </c>
      <c r="Y11" s="217"/>
      <c r="Z11" s="222">
        <v>0.7166532836424709762047786591</v>
      </c>
      <c r="AA11" s="219">
        <v>-8.158536082440773869448338170</v>
      </c>
      <c r="AC11" s="244"/>
      <c r="AD11" s="244"/>
      <c r="AE11" s="244"/>
      <c r="AF11" s="244"/>
      <c r="AG11" s="244"/>
      <c r="AH11" s="244"/>
      <c r="AI11" s="244"/>
      <c r="AJ11" s="244"/>
      <c r="AK11" s="244"/>
      <c r="AL11" s="244"/>
      <c r="AM11" s="244"/>
      <c r="AN11" s="244"/>
      <c r="AO11" s="244"/>
      <c r="AP11" s="244"/>
      <c r="AQ11" s="244"/>
      <c r="AR11" s="244"/>
      <c r="AS11" s="244"/>
      <c r="AT11" s="244"/>
      <c r="AU11" s="244"/>
      <c r="AV11" s="244"/>
    </row>
    <row r="12">
      <c r="D12" t="s">
        <v>22</v>
      </c>
      <c r="E12" s="223">
        <v>97.12624398971262439897126245</v>
      </c>
      <c r="F12" s="218">
        <v>-4.9460035884069840154241912100</v>
      </c>
      <c r="H12" s="223">
        <v>83.09884559884559884559884559</v>
      </c>
      <c r="I12" s="218">
        <v>-23.144717040077971556141472490</v>
      </c>
      <c r="K12" s="223">
        <v>82.12121212121212121212121212</v>
      </c>
      <c r="L12" s="218">
        <v>-27.973421926925087184468138180</v>
      </c>
      <c r="N12" s="223">
        <v>112.25201656856333115325921080</v>
      </c>
      <c r="O12" s="218">
        <v>-21.328660692401373623109680530</v>
      </c>
      <c r="Q12" s="223">
        <v>103.27364554637281910009182736</v>
      </c>
      <c r="R12" s="218">
        <v>-17.080364915588849920845868750</v>
      </c>
      <c r="T12" s="223">
        <v>89.05839214058392140583921406</v>
      </c>
      <c r="U12" s="218">
        <v>-14.420036413486612682713893470</v>
      </c>
      <c r="W12" s="223">
        <v>102.65151515151515151515151515</v>
      </c>
      <c r="X12" s="218">
        <v>1.1958782378704241875556569700</v>
      </c>
      <c r="Z12" s="224">
        <v>94.98818274801083007812183610</v>
      </c>
      <c r="AA12" s="218">
        <v>-15.551684001085034322053392530</v>
      </c>
      <c r="AC12" s="244"/>
      <c r="AD12" s="244"/>
      <c r="AE12" s="244"/>
      <c r="AF12" s="244"/>
      <c r="AG12" s="244"/>
      <c r="AH12" s="244"/>
      <c r="AI12" s="244"/>
      <c r="AJ12" s="244"/>
      <c r="AK12" s="244"/>
      <c r="AL12" s="244"/>
      <c r="AM12" s="244"/>
      <c r="AN12" s="244"/>
      <c r="AO12" s="244"/>
      <c r="AP12" s="244"/>
      <c r="AQ12" s="244"/>
      <c r="AR12" s="244"/>
      <c r="AS12" s="244"/>
      <c r="AT12" s="244"/>
      <c r="AU12" s="244"/>
      <c r="AV12" s="244"/>
    </row>
    <row r="13">
      <c r="D13" t="s">
        <v>55</v>
      </c>
      <c r="E13" s="231" t="s">
        <v>171</v>
      </c>
      <c r="F13" s="232" t="s">
        <v>171</v>
      </c>
      <c r="G13" s="176"/>
      <c r="H13" s="231" t="s">
        <v>173</v>
      </c>
      <c r="I13" s="232" t="s">
        <v>175</v>
      </c>
      <c r="J13" s="176"/>
      <c r="K13" s="231" t="s">
        <v>173</v>
      </c>
      <c r="L13" s="232" t="s">
        <v>175</v>
      </c>
      <c r="M13" s="176"/>
      <c r="N13" s="231" t="s">
        <v>172</v>
      </c>
      <c r="O13" s="232" t="s">
        <v>173</v>
      </c>
      <c r="P13" s="176"/>
      <c r="Q13" s="231" t="s">
        <v>172</v>
      </c>
      <c r="R13" s="232" t="s">
        <v>173</v>
      </c>
      <c r="S13" s="176"/>
      <c r="T13" s="231" t="s">
        <v>175</v>
      </c>
      <c r="U13" s="232" t="s">
        <v>175</v>
      </c>
      <c r="V13" s="176"/>
      <c r="W13" s="231" t="s">
        <v>172</v>
      </c>
      <c r="X13" s="232" t="s">
        <v>173</v>
      </c>
      <c r="Y13" s="176"/>
      <c r="Z13" s="233" t="s">
        <v>173</v>
      </c>
      <c r="AA13" s="232" t="s">
        <v>175</v>
      </c>
      <c r="AC13" s="244"/>
      <c r="AD13" s="244"/>
      <c r="AE13" s="244"/>
      <c r="AF13" s="244"/>
      <c r="AG13" s="244"/>
      <c r="AH13" s="244"/>
      <c r="AI13" s="244"/>
      <c r="AJ13" s="244"/>
      <c r="AK13" s="244"/>
      <c r="AL13" s="244"/>
      <c r="AM13" s="244"/>
      <c r="AN13" s="244"/>
      <c r="AO13" s="244"/>
      <c r="AP13" s="244"/>
      <c r="AQ13" s="244"/>
      <c r="AR13" s="244"/>
      <c r="AS13" s="244"/>
      <c r="AT13" s="244"/>
      <c r="AU13" s="244"/>
      <c r="AV13" s="244"/>
    </row>
    <row r="14" ht="8.1" customHeight="1">
      <c r="F14" s="218"/>
      <c r="I14" s="218"/>
      <c r="L14" s="218"/>
      <c r="O14" s="218"/>
      <c r="R14" s="218"/>
      <c r="U14" s="218"/>
      <c r="X14" s="218"/>
      <c r="Z14" s="215"/>
      <c r="AA14" s="218"/>
      <c r="AC14" s="244"/>
      <c r="AD14" s="244"/>
      <c r="AE14" s="244"/>
      <c r="AF14" s="244"/>
      <c r="AG14" s="244"/>
      <c r="AH14" s="244"/>
      <c r="AI14" s="244"/>
      <c r="AJ14" s="244"/>
      <c r="AK14" s="244"/>
      <c r="AL14" s="244"/>
      <c r="AM14" s="244"/>
      <c r="AN14" s="244"/>
      <c r="AO14" s="244"/>
      <c r="AP14" s="244"/>
      <c r="AQ14" s="244"/>
      <c r="AR14" s="244"/>
      <c r="AS14" s="244"/>
      <c r="AT14" s="244"/>
      <c r="AU14" s="244"/>
      <c r="AV14" s="244"/>
    </row>
    <row r="15" ht="12.75" customHeight="1">
      <c r="B15" s="216" t="s">
        <v>24</v>
      </c>
      <c r="C15" s="216"/>
      <c r="D15" s="217" t="s">
        <v>32</v>
      </c>
      <c r="E15" s="221">
        <v>0.1287878787878787878787878788</v>
      </c>
      <c r="F15" s="219">
        <v>0</v>
      </c>
      <c r="G15" s="217"/>
      <c r="H15" s="221">
        <v>0.2575757575757575757575757576</v>
      </c>
      <c r="I15" s="219">
        <v>0</v>
      </c>
      <c r="J15" s="217"/>
      <c r="K15" s="221">
        <v>0.3636363636363636363636363636</v>
      </c>
      <c r="L15" s="219">
        <v>0</v>
      </c>
      <c r="M15" s="217"/>
      <c r="N15" s="221">
        <v>0.3787878787878787878787878788</v>
      </c>
      <c r="O15" s="219">
        <v>0</v>
      </c>
      <c r="P15" s="217"/>
      <c r="Q15" s="221">
        <v>0.3257575757575757575757575758</v>
      </c>
      <c r="R15" s="219">
        <v>0</v>
      </c>
      <c r="S15" s="217"/>
      <c r="T15" s="221">
        <v>0.0151515151515151515151515152</v>
      </c>
      <c r="U15" s="219">
        <v>0</v>
      </c>
      <c r="V15" s="217"/>
      <c r="W15" s="221">
        <v>0.0075757575757575757575757576</v>
      </c>
      <c r="X15" s="219">
        <v>0</v>
      </c>
      <c r="Y15" s="217"/>
      <c r="Z15" s="222">
        <v>0.211038961038961038961038961</v>
      </c>
      <c r="AA15" s="219">
        <v>0</v>
      </c>
      <c r="AC15" s="244"/>
      <c r="AD15" s="244"/>
      <c r="AE15" s="244"/>
      <c r="AF15" s="244"/>
      <c r="AG15" s="244"/>
      <c r="AH15" s="244"/>
      <c r="AI15" s="244"/>
      <c r="AJ15" s="244"/>
      <c r="AK15" s="244"/>
      <c r="AL15" s="244"/>
      <c r="AM15" s="244"/>
      <c r="AN15" s="244"/>
      <c r="AO15" s="244"/>
      <c r="AP15" s="244"/>
      <c r="AQ15" s="244"/>
      <c r="AR15" s="244"/>
      <c r="AS15" s="244"/>
      <c r="AT15" s="244"/>
      <c r="AU15" s="244"/>
      <c r="AV15" s="244"/>
    </row>
    <row r="16">
      <c r="D16" s="217" t="s">
        <v>26</v>
      </c>
      <c r="E16" s="221">
        <v>0.002906976744186046511627907</v>
      </c>
      <c r="F16" s="219">
        <v>0</v>
      </c>
      <c r="G16" s="217"/>
      <c r="H16" s="221">
        <v>0.0332103321033210332103321033</v>
      </c>
      <c r="I16" s="219">
        <v>0</v>
      </c>
      <c r="J16" s="217"/>
      <c r="K16" s="221">
        <v>0.0553505535055350553505535055</v>
      </c>
      <c r="L16" s="219">
        <v>280.81180811625328413285010208</v>
      </c>
      <c r="M16" s="217"/>
      <c r="N16" s="221">
        <v>0.0516605166051660516605166052</v>
      </c>
      <c r="O16" s="219">
        <v>-1.2710127094689080224091694500</v>
      </c>
      <c r="P16" s="217"/>
      <c r="Q16" s="221">
        <v>0.029520295202952029520295203</v>
      </c>
      <c r="R16" s="219">
        <v>-43.583435833982233155662382490</v>
      </c>
      <c r="S16" s="217"/>
      <c r="T16" s="221">
        <v>0.0036900369003690036900369004</v>
      </c>
      <c r="U16" s="219">
        <v>-85.89585895876510409548321495</v>
      </c>
      <c r="V16" s="217"/>
      <c r="W16" s="221">
        <v>0.0036900369003690036900369004</v>
      </c>
      <c r="X16" s="219">
        <v>-78.843788437743337433373393290</v>
      </c>
      <c r="Y16" s="217"/>
      <c r="Z16" s="222">
        <v>0.0257183925659854605190570178</v>
      </c>
      <c r="AA16" s="219">
        <v>10.589088036059851080702433410</v>
      </c>
      <c r="AC16" s="244"/>
      <c r="AD16" s="244"/>
      <c r="AE16" s="244"/>
      <c r="AF16" s="244"/>
      <c r="AG16" s="244"/>
      <c r="AH16" s="244"/>
      <c r="AI16" s="244"/>
      <c r="AJ16" s="244"/>
      <c r="AK16" s="244"/>
      <c r="AL16" s="244"/>
      <c r="AM16" s="244"/>
      <c r="AN16" s="244"/>
      <c r="AO16" s="244"/>
      <c r="AP16" s="244"/>
      <c r="AQ16" s="244"/>
      <c r="AR16" s="244"/>
      <c r="AS16" s="244"/>
      <c r="AT16" s="244"/>
      <c r="AU16" s="244"/>
      <c r="AV16" s="244"/>
    </row>
    <row r="17">
      <c r="D17" t="s">
        <v>22</v>
      </c>
      <c r="E17" s="223">
        <v>4430.3030303030303030303029953</v>
      </c>
      <c r="F17" s="218">
        <v>0</v>
      </c>
      <c r="H17" s="223">
        <v>775.58922558922558922558922615</v>
      </c>
      <c r="I17" s="218">
        <v>0</v>
      </c>
      <c r="K17" s="223">
        <v>656.96969696969696969696969732</v>
      </c>
      <c r="L17" s="218">
        <v>0</v>
      </c>
      <c r="N17" s="223">
        <v>733.22510822510822510822510777</v>
      </c>
      <c r="O17" s="218">
        <v>0</v>
      </c>
      <c r="Q17" s="223">
        <v>1103.5037878787878787878787862</v>
      </c>
      <c r="R17" s="218">
        <v>0</v>
      </c>
      <c r="T17" s="223">
        <v>410.60606060606060606060605847</v>
      </c>
      <c r="U17" s="218">
        <v>0</v>
      </c>
      <c r="W17" s="223">
        <v>205.30303030303030303030302924</v>
      </c>
      <c r="X17" s="218">
        <v>0</v>
      </c>
      <c r="Z17" s="224">
        <v>820.5760157735370748538835296</v>
      </c>
      <c r="AA17" s="218">
        <v>0</v>
      </c>
      <c r="AC17" s="244"/>
      <c r="AD17" s="244"/>
      <c r="AE17" s="244"/>
      <c r="AF17" s="244"/>
      <c r="AG17" s="244"/>
      <c r="AH17" s="244"/>
      <c r="AI17" s="244"/>
      <c r="AJ17" s="244"/>
      <c r="AK17" s="244"/>
      <c r="AL17" s="244"/>
      <c r="AM17" s="244"/>
      <c r="AN17" s="244"/>
      <c r="AO17" s="244"/>
      <c r="AP17" s="244"/>
      <c r="AQ17" s="244"/>
      <c r="AR17" s="244"/>
      <c r="AS17" s="244"/>
      <c r="AT17" s="244"/>
      <c r="AU17" s="244"/>
      <c r="AV17" s="244"/>
    </row>
    <row r="18">
      <c r="D18" t="s">
        <v>55</v>
      </c>
      <c r="E18" s="231" t="s">
        <v>176</v>
      </c>
      <c r="F18" s="232" t="s">
        <v>176</v>
      </c>
      <c r="G18" s="176"/>
      <c r="H18" s="231" t="s">
        <v>174</v>
      </c>
      <c r="I18" s="232" t="s">
        <v>174</v>
      </c>
      <c r="J18" s="176"/>
      <c r="K18" s="231" t="s">
        <v>174</v>
      </c>
      <c r="L18" s="232" t="s">
        <v>172</v>
      </c>
      <c r="M18" s="176"/>
      <c r="N18" s="231" t="s">
        <v>174</v>
      </c>
      <c r="O18" s="232" t="s">
        <v>174</v>
      </c>
      <c r="P18" s="176"/>
      <c r="Q18" s="231" t="s">
        <v>174</v>
      </c>
      <c r="R18" s="232" t="s">
        <v>174</v>
      </c>
      <c r="S18" s="176"/>
      <c r="T18" s="231" t="s">
        <v>174</v>
      </c>
      <c r="U18" s="232" t="s">
        <v>174</v>
      </c>
      <c r="V18" s="176"/>
      <c r="W18" s="231" t="s">
        <v>172</v>
      </c>
      <c r="X18" s="232" t="s">
        <v>174</v>
      </c>
      <c r="Y18" s="176"/>
      <c r="Z18" s="233" t="s">
        <v>174</v>
      </c>
      <c r="AA18" s="232" t="s">
        <v>174</v>
      </c>
      <c r="AC18" s="244"/>
      <c r="AD18" s="244"/>
      <c r="AE18" s="244"/>
      <c r="AF18" s="244"/>
      <c r="AG18" s="244"/>
      <c r="AH18" s="244"/>
      <c r="AI18" s="244"/>
      <c r="AJ18" s="244"/>
      <c r="AK18" s="244"/>
      <c r="AL18" s="244"/>
      <c r="AM18" s="244"/>
      <c r="AN18" s="244"/>
      <c r="AO18" s="244"/>
      <c r="AP18" s="244"/>
      <c r="AQ18" s="244"/>
      <c r="AR18" s="244"/>
      <c r="AS18" s="244"/>
      <c r="AT18" s="244"/>
      <c r="AU18" s="244"/>
      <c r="AV18" s="244"/>
    </row>
    <row r="19" ht="8.1" customHeight="1">
      <c r="F19" s="218"/>
      <c r="I19" s="218"/>
      <c r="L19" s="218"/>
      <c r="O19" s="218"/>
      <c r="R19" s="218"/>
      <c r="U19" s="218"/>
      <c r="X19" s="218"/>
      <c r="Z19" s="215"/>
      <c r="AA19" s="218"/>
      <c r="AC19" s="244"/>
      <c r="AD19" s="244"/>
      <c r="AE19" s="244"/>
      <c r="AF19" s="244"/>
      <c r="AG19" s="244"/>
      <c r="AH19" s="244"/>
      <c r="AI19" s="244"/>
      <c r="AJ19" s="244"/>
      <c r="AK19" s="244"/>
      <c r="AL19" s="244"/>
      <c r="AM19" s="244"/>
      <c r="AN19" s="244"/>
      <c r="AO19" s="244"/>
      <c r="AP19" s="244"/>
      <c r="AQ19" s="244"/>
      <c r="AR19" s="244"/>
      <c r="AS19" s="244"/>
      <c r="AT19" s="244"/>
      <c r="AU19" s="244"/>
      <c r="AV19" s="244"/>
    </row>
    <row r="20" ht="12.75" customHeight="1">
      <c r="B20" s="216" t="s">
        <v>25</v>
      </c>
      <c r="C20" s="216"/>
      <c r="D20" s="217" t="s">
        <v>32</v>
      </c>
      <c r="E20" s="221">
        <v>0</v>
      </c>
      <c r="F20" s="219">
        <v>0</v>
      </c>
      <c r="G20" s="217"/>
      <c r="H20" s="221">
        <v>0</v>
      </c>
      <c r="I20" s="219">
        <v>0</v>
      </c>
      <c r="J20" s="217"/>
      <c r="K20" s="221">
        <v>0</v>
      </c>
      <c r="L20" s="219">
        <v>0</v>
      </c>
      <c r="M20" s="217"/>
      <c r="N20" s="221">
        <v>0</v>
      </c>
      <c r="O20" s="219">
        <v>0</v>
      </c>
      <c r="P20" s="217"/>
      <c r="Q20" s="221">
        <v>0</v>
      </c>
      <c r="R20" s="219">
        <v>0</v>
      </c>
      <c r="S20" s="217"/>
      <c r="T20" s="221">
        <v>0</v>
      </c>
      <c r="U20" s="219">
        <v>0</v>
      </c>
      <c r="V20" s="217"/>
      <c r="W20" s="221">
        <v>0</v>
      </c>
      <c r="X20" s="219">
        <v>0</v>
      </c>
      <c r="Y20" s="217"/>
      <c r="Z20" s="222">
        <v>0</v>
      </c>
      <c r="AA20" s="219">
        <v>0</v>
      </c>
      <c r="AC20" s="244"/>
      <c r="AD20" s="244"/>
      <c r="AE20" s="244"/>
      <c r="AF20" s="244"/>
      <c r="AG20" s="244"/>
      <c r="AH20" s="244"/>
      <c r="AI20" s="244"/>
      <c r="AJ20" s="244"/>
      <c r="AK20" s="244"/>
      <c r="AL20" s="244"/>
      <c r="AM20" s="244"/>
      <c r="AN20" s="244"/>
      <c r="AO20" s="244"/>
      <c r="AP20" s="244"/>
      <c r="AQ20" s="244"/>
      <c r="AR20" s="244"/>
      <c r="AS20" s="244"/>
      <c r="AT20" s="244"/>
      <c r="AU20" s="244"/>
      <c r="AV20" s="244"/>
    </row>
    <row r="21">
      <c r="D21" s="217" t="s">
        <v>26</v>
      </c>
      <c r="E21" s="221">
        <v>0</v>
      </c>
      <c r="F21" s="219">
        <v>0</v>
      </c>
      <c r="G21" s="217"/>
      <c r="H21" s="221">
        <v>0</v>
      </c>
      <c r="I21" s="219">
        <v>0</v>
      </c>
      <c r="J21" s="217"/>
      <c r="K21" s="221">
        <v>0</v>
      </c>
      <c r="L21" s="219">
        <v>0</v>
      </c>
      <c r="M21" s="217"/>
      <c r="N21" s="221">
        <v>0</v>
      </c>
      <c r="O21" s="219">
        <v>0</v>
      </c>
      <c r="P21" s="217"/>
      <c r="Q21" s="221">
        <v>0</v>
      </c>
      <c r="R21" s="219">
        <v>0</v>
      </c>
      <c r="S21" s="217"/>
      <c r="T21" s="221">
        <v>0</v>
      </c>
      <c r="U21" s="219">
        <v>0</v>
      </c>
      <c r="V21" s="217"/>
      <c r="W21" s="221">
        <v>0</v>
      </c>
      <c r="X21" s="219">
        <v>0</v>
      </c>
      <c r="Y21" s="217"/>
      <c r="Z21" s="222">
        <v>0</v>
      </c>
      <c r="AA21" s="219">
        <v>0</v>
      </c>
      <c r="AC21" s="244"/>
      <c r="AD21" s="244"/>
      <c r="AE21" s="244"/>
      <c r="AF21" s="244"/>
      <c r="AG21" s="244"/>
      <c r="AH21" s="244"/>
      <c r="AI21" s="244"/>
      <c r="AJ21" s="244"/>
      <c r="AK21" s="244"/>
      <c r="AL21" s="244"/>
      <c r="AM21" s="244"/>
      <c r="AN21" s="244"/>
      <c r="AO21" s="244"/>
      <c r="AP21" s="244"/>
      <c r="AQ21" s="244"/>
      <c r="AR21" s="244"/>
      <c r="AS21" s="244"/>
      <c r="AT21" s="244"/>
      <c r="AU21" s="244"/>
      <c r="AV21" s="244"/>
    </row>
    <row r="22">
      <c r="D22" t="s">
        <v>22</v>
      </c>
      <c r="E22" s="223"/>
      <c r="F22" s="218">
        <v>0</v>
      </c>
      <c r="H22" s="223"/>
      <c r="I22" s="218">
        <v>0</v>
      </c>
      <c r="K22" s="223"/>
      <c r="L22" s="218">
        <v>0</v>
      </c>
      <c r="N22" s="223"/>
      <c r="O22" s="218">
        <v>0</v>
      </c>
      <c r="Q22" s="223"/>
      <c r="R22" s="218">
        <v>0</v>
      </c>
      <c r="T22" s="223"/>
      <c r="U22" s="218">
        <v>0</v>
      </c>
      <c r="W22" s="223"/>
      <c r="X22" s="218">
        <v>0</v>
      </c>
      <c r="Z22" s="224"/>
      <c r="AA22" s="218">
        <v>0</v>
      </c>
      <c r="AC22" s="244"/>
      <c r="AD22" s="244"/>
      <c r="AE22" s="244"/>
      <c r="AF22" s="244"/>
      <c r="AG22" s="244"/>
      <c r="AH22" s="244"/>
      <c r="AI22" s="244"/>
      <c r="AJ22" s="244"/>
      <c r="AK22" s="244"/>
      <c r="AL22" s="244"/>
      <c r="AM22" s="244"/>
      <c r="AN22" s="244"/>
      <c r="AO22" s="244"/>
      <c r="AP22" s="244"/>
      <c r="AQ22" s="244"/>
      <c r="AR22" s="244"/>
      <c r="AS22" s="244"/>
      <c r="AT22" s="244"/>
      <c r="AU22" s="244"/>
      <c r="AV22" s="244"/>
    </row>
    <row r="23">
      <c r="D23" t="s">
        <v>55</v>
      </c>
      <c r="E23" s="231" t="s">
        <v>177</v>
      </c>
      <c r="F23" s="232"/>
      <c r="G23" s="176"/>
      <c r="H23" s="231" t="s">
        <v>177</v>
      </c>
      <c r="I23" s="232"/>
      <c r="J23" s="176"/>
      <c r="K23" s="231" t="s">
        <v>177</v>
      </c>
      <c r="L23" s="232"/>
      <c r="M23" s="176"/>
      <c r="N23" s="231" t="s">
        <v>177</v>
      </c>
      <c r="O23" s="232"/>
      <c r="P23" s="176"/>
      <c r="Q23" s="231" t="s">
        <v>177</v>
      </c>
      <c r="R23" s="232"/>
      <c r="S23" s="176"/>
      <c r="T23" s="231" t="s">
        <v>177</v>
      </c>
      <c r="U23" s="232"/>
      <c r="V23" s="176"/>
      <c r="W23" s="231" t="s">
        <v>177</v>
      </c>
      <c r="X23" s="232"/>
      <c r="Y23" s="176"/>
      <c r="Z23" s="233" t="s">
        <v>177</v>
      </c>
      <c r="AA23" s="232"/>
      <c r="AC23" s="244"/>
      <c r="AD23" s="244"/>
      <c r="AE23" s="244"/>
      <c r="AF23" s="244"/>
      <c r="AG23" s="244"/>
      <c r="AH23" s="244"/>
      <c r="AI23" s="244"/>
      <c r="AJ23" s="244"/>
      <c r="AK23" s="244"/>
      <c r="AL23" s="244"/>
      <c r="AM23" s="244"/>
      <c r="AN23" s="244"/>
      <c r="AO23" s="244"/>
      <c r="AP23" s="244"/>
      <c r="AQ23" s="244"/>
      <c r="AR23" s="244"/>
      <c r="AS23" s="244"/>
      <c r="AT23" s="244"/>
      <c r="AU23" s="244"/>
      <c r="AV23" s="244"/>
    </row>
    <row r="24" ht="15">
      <c r="B24" s="612"/>
      <c r="C24" s="612"/>
      <c r="D24" s="612"/>
      <c r="E24" s="612"/>
      <c r="F24" s="612"/>
      <c r="G24" s="612"/>
      <c r="H24" s="612"/>
      <c r="I24" s="612"/>
      <c r="J24" s="612"/>
      <c r="K24" s="612"/>
      <c r="L24" s="612"/>
      <c r="M24" s="612"/>
      <c r="N24" s="612"/>
      <c r="O24" s="612"/>
      <c r="P24" s="612"/>
      <c r="Q24" s="612"/>
      <c r="R24" s="612"/>
      <c r="S24" s="612"/>
      <c r="T24" s="612"/>
      <c r="U24" s="612"/>
      <c r="V24" s="612"/>
      <c r="W24" s="612"/>
      <c r="X24" s="612"/>
      <c r="Y24" s="612"/>
      <c r="Z24" s="612"/>
      <c r="AA24" s="612"/>
      <c r="AC24" s="244"/>
      <c r="AD24" s="244"/>
      <c r="AE24" s="244"/>
      <c r="AF24" s="244"/>
      <c r="AG24" s="244"/>
      <c r="AH24" s="244"/>
      <c r="AI24" s="244"/>
      <c r="AJ24" s="244"/>
      <c r="AK24" s="244"/>
      <c r="AL24" s="244"/>
      <c r="AM24" s="244"/>
      <c r="AN24" s="244"/>
      <c r="AO24" s="244"/>
      <c r="AP24" s="244"/>
      <c r="AQ24" s="244"/>
      <c r="AR24" s="244"/>
      <c r="AS24" s="244"/>
      <c r="AT24" s="244"/>
      <c r="AU24" s="244"/>
      <c r="AV24" s="244"/>
    </row>
    <row r="25" ht="18">
      <c r="B25" s="220" t="s">
        <v>12</v>
      </c>
      <c r="C25" s="57"/>
      <c r="E25" s="648" t="s">
        <v>40</v>
      </c>
      <c r="F25" s="648"/>
      <c r="H25" s="648" t="s">
        <v>39</v>
      </c>
      <c r="I25" s="648"/>
      <c r="K25" s="648" t="s">
        <v>41</v>
      </c>
      <c r="L25" s="648"/>
      <c r="N25" s="648" t="s">
        <v>42</v>
      </c>
      <c r="O25" s="648"/>
      <c r="Q25" s="648" t="s">
        <v>43</v>
      </c>
      <c r="R25" s="648"/>
      <c r="T25" s="648" t="s">
        <v>44</v>
      </c>
      <c r="U25" s="648"/>
      <c r="W25" s="648" t="s">
        <v>45</v>
      </c>
      <c r="X25" s="648"/>
      <c r="Z25" s="649" t="s">
        <v>23</v>
      </c>
      <c r="AA25" s="649"/>
      <c r="AC25" s="244"/>
      <c r="AD25" s="244"/>
      <c r="AE25" s="244"/>
      <c r="AF25" s="244"/>
      <c r="AG25" s="244"/>
      <c r="AH25" s="244"/>
      <c r="AI25" s="244"/>
      <c r="AJ25" s="244"/>
      <c r="AK25" s="244"/>
      <c r="AL25" s="244"/>
      <c r="AM25" s="244"/>
      <c r="AN25" s="244"/>
      <c r="AO25" s="244"/>
      <c r="AP25" s="244"/>
      <c r="AQ25" s="244"/>
      <c r="AR25" s="244"/>
      <c r="AS25" s="244"/>
      <c r="AT25" s="244"/>
      <c r="AU25" s="244"/>
      <c r="AV25" s="244"/>
    </row>
    <row r="26">
      <c r="E26" s="176"/>
      <c r="F26" s="176" t="s">
        <v>57</v>
      </c>
      <c r="G26" s="176"/>
      <c r="H26" s="176"/>
      <c r="I26" s="176" t="s">
        <v>57</v>
      </c>
      <c r="J26" s="176"/>
      <c r="K26" s="176"/>
      <c r="L26" s="176" t="s">
        <v>57</v>
      </c>
      <c r="M26" s="176"/>
      <c r="N26" s="176"/>
      <c r="O26" s="176" t="s">
        <v>57</v>
      </c>
      <c r="P26" s="176"/>
      <c r="Q26" s="176"/>
      <c r="R26" s="176" t="s">
        <v>57</v>
      </c>
      <c r="S26" s="176"/>
      <c r="T26" s="176"/>
      <c r="U26" s="176" t="s">
        <v>57</v>
      </c>
      <c r="V26" s="176"/>
      <c r="W26" s="176"/>
      <c r="X26" s="176" t="s">
        <v>57</v>
      </c>
      <c r="Y26" s="176"/>
      <c r="Z26" s="226"/>
      <c r="AA26" s="176" t="s">
        <v>57</v>
      </c>
      <c r="AC26" s="244"/>
      <c r="AD26" s="244"/>
      <c r="AE26" s="244"/>
      <c r="AF26" s="244"/>
      <c r="AG26" s="244"/>
      <c r="AH26" s="244"/>
      <c r="AI26" s="244"/>
      <c r="AJ26" s="244"/>
      <c r="AK26" s="244"/>
      <c r="AL26" s="244"/>
      <c r="AM26" s="244"/>
      <c r="AN26" s="244"/>
      <c r="AO26" s="244"/>
      <c r="AP26" s="244"/>
      <c r="AQ26" s="244"/>
      <c r="AR26" s="244"/>
      <c r="AS26" s="244"/>
      <c r="AT26" s="244"/>
      <c r="AU26" s="244"/>
      <c r="AV26" s="244"/>
    </row>
    <row r="27">
      <c r="B27" s="216" t="s">
        <v>23</v>
      </c>
      <c r="C27" s="216"/>
      <c r="D27" s="217" t="s">
        <v>32</v>
      </c>
      <c r="E27" s="598">
        <v>193.83898305084745762711864407</v>
      </c>
      <c r="F27" s="219">
        <v>2.7348495212432164566381889200</v>
      </c>
      <c r="G27" s="217"/>
      <c r="H27" s="598">
        <v>194.1680672268907563025210084</v>
      </c>
      <c r="I27" s="219">
        <v>30.149893242918501765251645500</v>
      </c>
      <c r="J27" s="217"/>
      <c r="K27" s="225">
        <v>202.45762711864406779661016949</v>
      </c>
      <c r="L27" s="219">
        <v>52.093087554234426002223326040</v>
      </c>
      <c r="M27" s="217"/>
      <c r="N27" s="598">
        <v>183.62698412698412698412698413</v>
      </c>
      <c r="O27" s="219">
        <v>28.084770158360033982627156980</v>
      </c>
      <c r="P27" s="217"/>
      <c r="Q27" s="598">
        <v>188.01587301587301587301587302</v>
      </c>
      <c r="R27" s="219">
        <v>18.839373712704043760919382560</v>
      </c>
      <c r="S27" s="217"/>
      <c r="T27" s="598">
        <v>245.53608247422680412371134021</v>
      </c>
      <c r="U27" s="219">
        <v>5.1488658888293241654974514400</v>
      </c>
      <c r="V27" s="217"/>
      <c r="W27" s="598">
        <v>275.00833333333333333333333333</v>
      </c>
      <c r="X27" s="219">
        <v>3.1910463697184421786804367700</v>
      </c>
      <c r="Y27" s="217"/>
      <c r="Z27" s="599">
        <v>210.57524271844660194174757282</v>
      </c>
      <c r="AA27" s="219">
        <v>15.177086755297531024134062630</v>
      </c>
      <c r="AC27" s="244"/>
      <c r="AD27" s="244"/>
      <c r="AE27" s="244"/>
      <c r="AF27" s="244"/>
      <c r="AG27" s="244"/>
      <c r="AH27" s="244"/>
      <c r="AI27" s="244"/>
      <c r="AJ27" s="244"/>
      <c r="AK27" s="244"/>
      <c r="AL27" s="244"/>
      <c r="AM27" s="244"/>
      <c r="AN27" s="244"/>
      <c r="AO27" s="244"/>
      <c r="AP27" s="244"/>
      <c r="AQ27" s="244"/>
      <c r="AR27" s="244"/>
      <c r="AS27" s="244"/>
      <c r="AT27" s="244"/>
      <c r="AU27" s="244"/>
      <c r="AV27" s="244"/>
    </row>
    <row r="28">
      <c r="D28" s="217" t="s">
        <v>26</v>
      </c>
      <c r="E28" s="598">
        <v>250.86029411764705882352941176</v>
      </c>
      <c r="F28" s="219">
        <v>16.790584570693831754439823930</v>
      </c>
      <c r="G28" s="217"/>
      <c r="H28" s="598">
        <v>278.93607305936073059360730593</v>
      </c>
      <c r="I28" s="219">
        <v>23.788198103284908280906095070</v>
      </c>
      <c r="J28" s="217"/>
      <c r="K28" s="598">
        <v>264.75263157894736842105263158</v>
      </c>
      <c r="L28" s="219">
        <v>14.987404248958528216606871820</v>
      </c>
      <c r="M28" s="217"/>
      <c r="N28" s="598">
        <v>247.20261437908496732026143789</v>
      </c>
      <c r="O28" s="219">
        <v>17.218072012791471363242537190</v>
      </c>
      <c r="P28" s="217"/>
      <c r="Q28" s="598">
        <v>271.50289017341040462427745666</v>
      </c>
      <c r="R28" s="219">
        <v>14.415340882452836510420285240</v>
      </c>
      <c r="S28" s="217"/>
      <c r="T28" s="598">
        <v>325.93636363636363636363636362</v>
      </c>
      <c r="U28" s="219">
        <v>-1.8635901396056014515054280800</v>
      </c>
      <c r="V28" s="217"/>
      <c r="W28" s="598">
        <v>412.77405857740585774058577404</v>
      </c>
      <c r="X28" s="219">
        <v>5.3637794493175315815023591700</v>
      </c>
      <c r="Y28" s="217"/>
      <c r="Z28" s="599">
        <v>298.44589718607569852698328818</v>
      </c>
      <c r="AA28" s="219">
        <v>11.082585122079371342682848580</v>
      </c>
      <c r="AC28" s="244"/>
      <c r="AD28" s="244"/>
      <c r="AE28" s="244"/>
      <c r="AF28" s="244"/>
      <c r="AG28" s="244"/>
      <c r="AH28" s="244"/>
      <c r="AI28" s="244"/>
      <c r="AJ28" s="244"/>
      <c r="AK28" s="244"/>
      <c r="AL28" s="244"/>
      <c r="AM28" s="244"/>
      <c r="AN28" s="244"/>
      <c r="AO28" s="244"/>
      <c r="AP28" s="244"/>
      <c r="AQ28" s="244"/>
      <c r="AR28" s="244"/>
      <c r="AS28" s="244"/>
      <c r="AT28" s="244"/>
      <c r="AU28" s="244"/>
      <c r="AV28" s="244"/>
    </row>
    <row r="29">
      <c r="D29" t="s">
        <v>92</v>
      </c>
      <c r="E29" s="223">
        <v>77.269694565525103314301753380</v>
      </c>
      <c r="F29" s="218">
        <v>-12.034989893266480616770595140</v>
      </c>
      <c r="H29" s="223">
        <v>69.610239040521042365306228870</v>
      </c>
      <c r="I29" s="218">
        <v>5.139177431349691467579536500</v>
      </c>
      <c r="K29" s="223">
        <v>76.470487152951623611314827840</v>
      </c>
      <c r="L29" s="218">
        <v>32.269345975587837911316952650</v>
      </c>
      <c r="N29" s="223">
        <v>74.281974965435098469534195880</v>
      </c>
      <c r="O29" s="218">
        <v>9.270497252664628938583305020</v>
      </c>
      <c r="Q29" s="223">
        <v>69.250044776979515109298981610</v>
      </c>
      <c r="R29" s="218">
        <v>3.8666430533866962208407055200</v>
      </c>
      <c r="T29" s="223">
        <v>75.332521887044138991807563270</v>
      </c>
      <c r="U29" s="218">
        <v>7.1456211189297466935473893400</v>
      </c>
      <c r="W29" s="223">
        <v>66.624422639623325604475911930</v>
      </c>
      <c r="X29" s="218">
        <v>-2.0621252302122914760655770700</v>
      </c>
      <c r="Z29" s="224">
        <v>70.557258351968411932543458020</v>
      </c>
      <c r="AA29" s="218">
        <v>3.6859977905223263056675319700</v>
      </c>
      <c r="AC29" s="244"/>
      <c r="AD29" s="244"/>
      <c r="AE29" s="244"/>
      <c r="AF29" s="244"/>
      <c r="AG29" s="244"/>
      <c r="AH29" s="244"/>
      <c r="AI29" s="244"/>
      <c r="AJ29" s="244"/>
      <c r="AK29" s="244"/>
      <c r="AL29" s="244"/>
      <c r="AM29" s="244"/>
      <c r="AN29" s="244"/>
      <c r="AO29" s="244"/>
      <c r="AP29" s="244"/>
      <c r="AQ29" s="244"/>
      <c r="AR29" s="244"/>
      <c r="AS29" s="244"/>
      <c r="AT29" s="244"/>
      <c r="AU29" s="244"/>
      <c r="AV29" s="244"/>
    </row>
    <row r="30">
      <c r="D30" s="214" t="s">
        <v>55</v>
      </c>
      <c r="E30" s="227" t="s">
        <v>170</v>
      </c>
      <c r="F30" s="228" t="s">
        <v>171</v>
      </c>
      <c r="G30" s="229"/>
      <c r="H30" s="227" t="s">
        <v>172</v>
      </c>
      <c r="I30" s="228" t="s">
        <v>174</v>
      </c>
      <c r="J30" s="229"/>
      <c r="K30" s="227" t="s">
        <v>172</v>
      </c>
      <c r="L30" s="228" t="s">
        <v>174</v>
      </c>
      <c r="M30" s="229"/>
      <c r="N30" s="227" t="s">
        <v>172</v>
      </c>
      <c r="O30" s="228" t="s">
        <v>174</v>
      </c>
      <c r="P30" s="229"/>
      <c r="Q30" s="227" t="s">
        <v>172</v>
      </c>
      <c r="R30" s="228" t="s">
        <v>174</v>
      </c>
      <c r="S30" s="229"/>
      <c r="T30" s="227" t="s">
        <v>172</v>
      </c>
      <c r="U30" s="228" t="s">
        <v>172</v>
      </c>
      <c r="V30" s="229"/>
      <c r="W30" s="227" t="s">
        <v>172</v>
      </c>
      <c r="X30" s="228" t="s">
        <v>172</v>
      </c>
      <c r="Y30" s="229"/>
      <c r="Z30" s="230" t="s">
        <v>172</v>
      </c>
      <c r="AA30" s="228" t="s">
        <v>174</v>
      </c>
      <c r="AC30" s="244"/>
      <c r="AD30" s="244"/>
      <c r="AE30" s="244"/>
      <c r="AF30" s="244"/>
      <c r="AG30" s="244"/>
      <c r="AH30" s="244"/>
      <c r="AI30" s="244"/>
      <c r="AJ30" s="244"/>
      <c r="AK30" s="244"/>
      <c r="AL30" s="244"/>
      <c r="AM30" s="244"/>
      <c r="AN30" s="244"/>
      <c r="AO30" s="244"/>
      <c r="AP30" s="244"/>
      <c r="AQ30" s="244"/>
      <c r="AR30" s="244"/>
      <c r="AS30" s="244"/>
      <c r="AT30" s="244"/>
      <c r="AU30" s="244"/>
      <c r="AV30" s="244"/>
    </row>
    <row r="31" ht="8.1" customHeight="1">
      <c r="F31" s="218"/>
      <c r="I31" s="218"/>
      <c r="L31" s="218"/>
      <c r="O31" s="218"/>
      <c r="R31" s="218"/>
      <c r="U31" s="218"/>
      <c r="X31" s="218"/>
      <c r="Z31" s="215"/>
      <c r="AA31" s="218"/>
      <c r="AC31" s="244"/>
      <c r="AD31" s="244"/>
      <c r="AE31" s="244"/>
      <c r="AF31" s="244"/>
      <c r="AG31" s="244"/>
      <c r="AH31" s="244"/>
      <c r="AI31" s="244"/>
      <c r="AJ31" s="244"/>
      <c r="AK31" s="244"/>
      <c r="AL31" s="244"/>
      <c r="AM31" s="244"/>
      <c r="AN31" s="244"/>
      <c r="AO31" s="244"/>
      <c r="AP31" s="244"/>
      <c r="AQ31" s="244"/>
      <c r="AR31" s="244"/>
      <c r="AS31" s="244"/>
      <c r="AT31" s="244"/>
      <c r="AU31" s="244"/>
      <c r="AV31" s="244"/>
    </row>
    <row r="32">
      <c r="B32" s="216" t="s">
        <v>21</v>
      </c>
      <c r="C32" s="216"/>
      <c r="D32" s="217" t="s">
        <v>32</v>
      </c>
      <c r="E32" s="598">
        <v>200.98019801980198019801980198</v>
      </c>
      <c r="F32" s="219">
        <v>6.5197003994689982095233709500</v>
      </c>
      <c r="G32" s="217"/>
      <c r="H32" s="598">
        <v>216.2</v>
      </c>
      <c r="I32" s="219">
        <v>44.917788599288437190168842950</v>
      </c>
      <c r="J32" s="217"/>
      <c r="K32" s="598">
        <v>223.81428571428571428571428571</v>
      </c>
      <c r="L32" s="219">
        <v>68.136939257333318637126278890</v>
      </c>
      <c r="M32" s="217"/>
      <c r="N32" s="598">
        <v>194.44736842105263157894736842</v>
      </c>
      <c r="O32" s="219">
        <v>35.632279811802249618748780060</v>
      </c>
      <c r="P32" s="217"/>
      <c r="Q32" s="598">
        <v>200.31325301204819277108433735</v>
      </c>
      <c r="R32" s="219">
        <v>26.612190515938602723786536160</v>
      </c>
      <c r="S32" s="217"/>
      <c r="T32" s="598">
        <v>244.83157894736842105263157895</v>
      </c>
      <c r="U32" s="219">
        <v>4.8471678812804128516051589100</v>
      </c>
      <c r="V32" s="217"/>
      <c r="W32" s="598">
        <v>274.97478991596638655462184874</v>
      </c>
      <c r="X32" s="219">
        <v>3.1784599135374364251487541500</v>
      </c>
      <c r="Y32" s="217"/>
      <c r="Z32" s="599">
        <v>225.32273449920508744038155803</v>
      </c>
      <c r="AA32" s="219">
        <v>23.243434528794176049300258340</v>
      </c>
      <c r="AC32" s="244"/>
      <c r="AD32" s="244"/>
      <c r="AE32" s="244"/>
      <c r="AF32" s="244"/>
      <c r="AG32" s="244"/>
      <c r="AH32" s="244"/>
      <c r="AI32" s="244"/>
      <c r="AJ32" s="244"/>
      <c r="AK32" s="244"/>
      <c r="AL32" s="244"/>
      <c r="AM32" s="244"/>
      <c r="AN32" s="244"/>
      <c r="AO32" s="244"/>
      <c r="AP32" s="244"/>
      <c r="AQ32" s="244"/>
      <c r="AR32" s="244"/>
      <c r="AS32" s="244"/>
      <c r="AT32" s="244"/>
      <c r="AU32" s="244"/>
      <c r="AV32" s="244"/>
    </row>
    <row r="33">
      <c r="D33" s="217" t="s">
        <v>26</v>
      </c>
      <c r="E33" s="598">
        <v>250.53505535055350553505535055</v>
      </c>
      <c r="F33" s="219">
        <v>16.639166324663657213840552270</v>
      </c>
      <c r="G33" s="217"/>
      <c r="H33" s="598">
        <v>276.36190476190476190476190476</v>
      </c>
      <c r="I33" s="219">
        <v>22.645815722756942534024921780</v>
      </c>
      <c r="J33" s="217"/>
      <c r="K33" s="598">
        <v>258.38857142857142857142857143</v>
      </c>
      <c r="L33" s="219">
        <v>13.463099703317291755862394580</v>
      </c>
      <c r="M33" s="217"/>
      <c r="N33" s="598">
        <v>237.95683453237410071942446041</v>
      </c>
      <c r="O33" s="219">
        <v>20.668319753243827237235219290</v>
      </c>
      <c r="P33" s="217"/>
      <c r="Q33" s="598">
        <v>268.23030303030303030303030303</v>
      </c>
      <c r="R33" s="219">
        <v>18.135958423938061676051031330</v>
      </c>
      <c r="S33" s="217"/>
      <c r="T33" s="598">
        <v>325.87671232876712328767123286</v>
      </c>
      <c r="U33" s="219">
        <v>-1.2300723977884751791923263200</v>
      </c>
      <c r="V33" s="217"/>
      <c r="W33" s="598">
        <v>413.08403361344537815126050422</v>
      </c>
      <c r="X33" s="219">
        <v>5.6677605351119647413350035400</v>
      </c>
      <c r="Y33" s="217"/>
      <c r="Z33" s="599">
        <v>296.99054023713555643462735077</v>
      </c>
      <c r="AA33" s="219">
        <v>12.004870232533736246002420420</v>
      </c>
      <c r="AC33" s="244"/>
      <c r="AD33" s="244"/>
      <c r="AE33" s="244"/>
      <c r="AF33" s="244"/>
      <c r="AG33" s="244"/>
      <c r="AH33" s="244"/>
      <c r="AI33" s="244"/>
      <c r="AJ33" s="244"/>
      <c r="AK33" s="244"/>
      <c r="AL33" s="244"/>
      <c r="AM33" s="244"/>
      <c r="AN33" s="244"/>
      <c r="AO33" s="244"/>
      <c r="AP33" s="244"/>
      <c r="AQ33" s="244"/>
      <c r="AR33" s="244"/>
      <c r="AS33" s="244"/>
      <c r="AT33" s="244"/>
      <c r="AU33" s="244"/>
      <c r="AV33" s="244"/>
    </row>
    <row r="34">
      <c r="D34" t="s">
        <v>22</v>
      </c>
      <c r="E34" s="223">
        <v>80.22038981274959368681547439</v>
      </c>
      <c r="F34" s="218">
        <v>-8.675872988480778277343895910</v>
      </c>
      <c r="H34" s="223">
        <v>78.230753325522089737404369700</v>
      </c>
      <c r="I34" s="218">
        <v>18.159586403552055587998537860</v>
      </c>
      <c r="K34" s="223">
        <v>86.61926666371798841169445796</v>
      </c>
      <c r="L34" s="218">
        <v>48.186449777029483639022691910</v>
      </c>
      <c r="N34" s="223">
        <v>81.71539548472099343776056419</v>
      </c>
      <c r="O34" s="218">
        <v>12.400901984179436762861014800</v>
      </c>
      <c r="Q34" s="223">
        <v>74.679576002051497598691571380</v>
      </c>
      <c r="R34" s="218">
        <v>7.1749805944440417337793263300</v>
      </c>
      <c r="T34" s="223">
        <v>75.130124272385954587591345850</v>
      </c>
      <c r="U34" s="218">
        <v>6.1529257200362246107038817800</v>
      </c>
      <c r="W34" s="223">
        <v>66.566307952071932786785198440</v>
      </c>
      <c r="X34" s="218">
        <v>-2.3557806173983674731299925300</v>
      </c>
      <c r="Z34" s="224">
        <v>75.868657068771795000901485040</v>
      </c>
      <c r="AA34" s="218">
        <v>10.033996086901553273834886210</v>
      </c>
      <c r="AC34" s="244"/>
      <c r="AD34" s="244"/>
      <c r="AE34" s="244"/>
      <c r="AF34" s="244"/>
      <c r="AG34" s="244"/>
      <c r="AH34" s="244"/>
      <c r="AI34" s="244"/>
      <c r="AJ34" s="244"/>
      <c r="AK34" s="244"/>
      <c r="AL34" s="244"/>
      <c r="AM34" s="244"/>
      <c r="AN34" s="244"/>
      <c r="AO34" s="244"/>
      <c r="AP34" s="244"/>
      <c r="AQ34" s="244"/>
      <c r="AR34" s="244"/>
      <c r="AS34" s="244"/>
      <c r="AT34" s="244"/>
      <c r="AU34" s="244"/>
      <c r="AV34" s="244"/>
    </row>
    <row r="35">
      <c r="D35" t="s">
        <v>55</v>
      </c>
      <c r="E35" s="231" t="s">
        <v>170</v>
      </c>
      <c r="F35" s="232" t="s">
        <v>171</v>
      </c>
      <c r="G35" s="176"/>
      <c r="H35" s="231" t="s">
        <v>172</v>
      </c>
      <c r="I35" s="232" t="s">
        <v>174</v>
      </c>
      <c r="J35" s="176"/>
      <c r="K35" s="231" t="s">
        <v>172</v>
      </c>
      <c r="L35" s="232" t="s">
        <v>174</v>
      </c>
      <c r="M35" s="176"/>
      <c r="N35" s="231" t="s">
        <v>172</v>
      </c>
      <c r="O35" s="232" t="s">
        <v>174</v>
      </c>
      <c r="P35" s="176"/>
      <c r="Q35" s="231" t="s">
        <v>172</v>
      </c>
      <c r="R35" s="232" t="s">
        <v>174</v>
      </c>
      <c r="S35" s="176"/>
      <c r="T35" s="231" t="s">
        <v>172</v>
      </c>
      <c r="U35" s="232" t="s">
        <v>172</v>
      </c>
      <c r="V35" s="176"/>
      <c r="W35" s="231" t="s">
        <v>172</v>
      </c>
      <c r="X35" s="232" t="s">
        <v>172</v>
      </c>
      <c r="Y35" s="176"/>
      <c r="Z35" s="233" t="s">
        <v>172</v>
      </c>
      <c r="AA35" s="232" t="s">
        <v>174</v>
      </c>
      <c r="AC35" s="244"/>
      <c r="AD35" s="244"/>
      <c r="AE35" s="244"/>
      <c r="AF35" s="244"/>
      <c r="AG35" s="244"/>
      <c r="AH35" s="244"/>
      <c r="AI35" s="244"/>
      <c r="AJ35" s="244"/>
      <c r="AK35" s="244"/>
      <c r="AL35" s="244"/>
      <c r="AM35" s="244"/>
      <c r="AN35" s="244"/>
      <c r="AO35" s="244"/>
      <c r="AP35" s="244"/>
      <c r="AQ35" s="244"/>
      <c r="AR35" s="244"/>
      <c r="AS35" s="244"/>
      <c r="AT35" s="244"/>
      <c r="AU35" s="244"/>
      <c r="AV35" s="244"/>
    </row>
    <row r="36" ht="8.1" customHeight="1">
      <c r="F36" s="218"/>
      <c r="I36" s="218"/>
      <c r="L36" s="218"/>
      <c r="O36" s="218"/>
      <c r="R36" s="218"/>
      <c r="U36" s="218"/>
      <c r="X36" s="218"/>
      <c r="Z36" s="215"/>
      <c r="AA36" s="218"/>
      <c r="AC36" s="244"/>
      <c r="AD36" s="244"/>
      <c r="AE36" s="244"/>
      <c r="AF36" s="244"/>
      <c r="AG36" s="244"/>
      <c r="AH36" s="244"/>
      <c r="AI36" s="244"/>
      <c r="AJ36" s="244"/>
      <c r="AK36" s="244"/>
      <c r="AL36" s="244"/>
      <c r="AM36" s="244"/>
      <c r="AN36" s="244"/>
      <c r="AO36" s="244"/>
      <c r="AP36" s="244"/>
      <c r="AQ36" s="244"/>
      <c r="AR36" s="244"/>
      <c r="AS36" s="244"/>
      <c r="AT36" s="244"/>
      <c r="AU36" s="244"/>
      <c r="AV36" s="244"/>
    </row>
    <row r="37">
      <c r="B37" s="216" t="s">
        <v>24</v>
      </c>
      <c r="C37" s="216"/>
      <c r="D37" s="217" t="s">
        <v>32</v>
      </c>
      <c r="E37" s="598">
        <v>151.41176470588235294117647059</v>
      </c>
      <c r="F37" s="219">
        <v>0</v>
      </c>
      <c r="G37" s="217"/>
      <c r="H37" s="598">
        <v>139.08823529411764705882352941</v>
      </c>
      <c r="I37" s="219">
        <v>0</v>
      </c>
      <c r="J37" s="217"/>
      <c r="K37" s="598">
        <v>171.3125</v>
      </c>
      <c r="L37" s="219">
        <v>0</v>
      </c>
      <c r="M37" s="217"/>
      <c r="N37" s="598">
        <v>167.18</v>
      </c>
      <c r="O37" s="219">
        <v>0</v>
      </c>
      <c r="P37" s="217"/>
      <c r="Q37" s="598">
        <v>164.27906976744186046511627907</v>
      </c>
      <c r="R37" s="219">
        <v>0</v>
      </c>
      <c r="S37" s="217"/>
      <c r="T37" s="598">
        <v>279</v>
      </c>
      <c r="U37" s="219">
        <v>0</v>
      </c>
      <c r="V37" s="217"/>
      <c r="W37" s="598">
        <v>279</v>
      </c>
      <c r="X37" s="219">
        <v>0</v>
      </c>
      <c r="Y37" s="217"/>
      <c r="Z37" s="599">
        <v>163.00512820512820512820512821</v>
      </c>
      <c r="AA37" s="219">
        <v>0</v>
      </c>
      <c r="AC37" s="244"/>
      <c r="AD37" s="244"/>
      <c r="AE37" s="244"/>
      <c r="AF37" s="244"/>
      <c r="AG37" s="244"/>
      <c r="AH37" s="244"/>
      <c r="AI37" s="244"/>
      <c r="AJ37" s="244"/>
      <c r="AK37" s="244"/>
      <c r="AL37" s="244"/>
      <c r="AM37" s="244"/>
      <c r="AN37" s="244"/>
      <c r="AO37" s="244"/>
      <c r="AP37" s="244"/>
      <c r="AQ37" s="244"/>
      <c r="AR37" s="244"/>
      <c r="AS37" s="244"/>
      <c r="AT37" s="244"/>
      <c r="AU37" s="244"/>
      <c r="AV37" s="244"/>
    </row>
    <row r="38">
      <c r="D38" s="217" t="s">
        <v>26</v>
      </c>
      <c r="E38" s="598">
        <v>339.000000000000000000000000</v>
      </c>
      <c r="F38" s="219">
        <v>0</v>
      </c>
      <c r="G38" s="217"/>
      <c r="H38" s="598">
        <v>339.00000000000000000000000001</v>
      </c>
      <c r="I38" s="219">
        <v>0</v>
      </c>
      <c r="J38" s="217"/>
      <c r="K38" s="598">
        <v>338.99999999999999999999999999</v>
      </c>
      <c r="L38" s="219">
        <v>-3.4188034188034188034188034200</v>
      </c>
      <c r="M38" s="217"/>
      <c r="N38" s="598">
        <v>338.99999999999999999999999998</v>
      </c>
      <c r="O38" s="219">
        <v>-10.554089709762532981530343010</v>
      </c>
      <c r="P38" s="217"/>
      <c r="Q38" s="598">
        <v>339.00000000000000000000000001</v>
      </c>
      <c r="R38" s="219">
        <v>-10.554089709762532981530343010</v>
      </c>
      <c r="S38" s="217"/>
      <c r="T38" s="598">
        <v>338.99999999999999999999999997</v>
      </c>
      <c r="U38" s="219">
        <v>-15.973561002469399455907735550</v>
      </c>
      <c r="V38" s="217"/>
      <c r="W38" s="598">
        <v>339</v>
      </c>
      <c r="X38" s="219">
        <v>-22.188217291513222018569891870</v>
      </c>
      <c r="Y38" s="217"/>
      <c r="Z38" s="599">
        <v>338.99999999999999999999999997</v>
      </c>
      <c r="AA38" s="219">
        <v>-12.289780077619663648124191470</v>
      </c>
      <c r="AC38" s="244"/>
      <c r="AD38" s="244"/>
      <c r="AE38" s="244"/>
      <c r="AF38" s="244"/>
      <c r="AG38" s="244"/>
      <c r="AH38" s="244"/>
      <c r="AI38" s="244"/>
      <c r="AJ38" s="244"/>
      <c r="AK38" s="244"/>
      <c r="AL38" s="244"/>
      <c r="AM38" s="244"/>
      <c r="AN38" s="244"/>
      <c r="AO38" s="244"/>
      <c r="AP38" s="244"/>
      <c r="AQ38" s="244"/>
      <c r="AR38" s="244"/>
      <c r="AS38" s="244"/>
      <c r="AT38" s="244"/>
      <c r="AU38" s="244"/>
      <c r="AV38" s="244"/>
    </row>
    <row r="39">
      <c r="D39" t="s">
        <v>22</v>
      </c>
      <c r="E39" s="223">
        <v>44.664237376366475793857365960</v>
      </c>
      <c r="F39" s="218">
        <v>0</v>
      </c>
      <c r="H39" s="223">
        <v>41.028977962866562554225229910</v>
      </c>
      <c r="I39" s="218">
        <v>0</v>
      </c>
      <c r="K39" s="223">
        <v>50.534660766961651917404129800</v>
      </c>
      <c r="L39" s="218">
        <v>0</v>
      </c>
      <c r="N39" s="223">
        <v>49.315634218289085545722713870</v>
      </c>
      <c r="O39" s="218">
        <v>0</v>
      </c>
      <c r="Q39" s="223">
        <v>48.459902586266035535432530700</v>
      </c>
      <c r="R39" s="218">
        <v>0</v>
      </c>
      <c r="T39" s="223">
        <v>82.30088495575221238938053098</v>
      </c>
      <c r="U39" s="218">
        <v>0</v>
      </c>
      <c r="W39" s="223">
        <v>82.30088495575221238938053097</v>
      </c>
      <c r="X39" s="218">
        <v>0</v>
      </c>
      <c r="Z39" s="224">
        <v>48.084108615082066409500037820</v>
      </c>
      <c r="AA39" s="218">
        <v>0</v>
      </c>
      <c r="AC39" s="244"/>
      <c r="AD39" s="244"/>
      <c r="AE39" s="244"/>
      <c r="AF39" s="244"/>
      <c r="AG39" s="244"/>
      <c r="AH39" s="244"/>
      <c r="AI39" s="244"/>
      <c r="AJ39" s="244"/>
      <c r="AK39" s="244"/>
      <c r="AL39" s="244"/>
      <c r="AM39" s="244"/>
      <c r="AN39" s="244"/>
      <c r="AO39" s="244"/>
      <c r="AP39" s="244"/>
      <c r="AQ39" s="244"/>
      <c r="AR39" s="244"/>
      <c r="AS39" s="244"/>
      <c r="AT39" s="244"/>
      <c r="AU39" s="244"/>
      <c r="AV39" s="244"/>
    </row>
    <row r="40">
      <c r="D40" t="s">
        <v>55</v>
      </c>
      <c r="E40" s="231" t="s">
        <v>170</v>
      </c>
      <c r="F40" s="232" t="s">
        <v>176</v>
      </c>
      <c r="G40" s="176"/>
      <c r="H40" s="231" t="s">
        <v>172</v>
      </c>
      <c r="I40" s="232" t="s">
        <v>174</v>
      </c>
      <c r="J40" s="176"/>
      <c r="K40" s="231" t="s">
        <v>172</v>
      </c>
      <c r="L40" s="232" t="s">
        <v>174</v>
      </c>
      <c r="M40" s="176"/>
      <c r="N40" s="231" t="s">
        <v>172</v>
      </c>
      <c r="O40" s="232" t="s">
        <v>174</v>
      </c>
      <c r="P40" s="176"/>
      <c r="Q40" s="231" t="s">
        <v>172</v>
      </c>
      <c r="R40" s="232" t="s">
        <v>174</v>
      </c>
      <c r="S40" s="176"/>
      <c r="T40" s="231" t="s">
        <v>172</v>
      </c>
      <c r="U40" s="232" t="s">
        <v>174</v>
      </c>
      <c r="V40" s="176"/>
      <c r="W40" s="231" t="s">
        <v>172</v>
      </c>
      <c r="X40" s="232" t="s">
        <v>174</v>
      </c>
      <c r="Y40" s="176"/>
      <c r="Z40" s="233" t="s">
        <v>172</v>
      </c>
      <c r="AA40" s="232" t="s">
        <v>174</v>
      </c>
      <c r="AC40" s="244"/>
      <c r="AD40" s="244"/>
      <c r="AE40" s="244"/>
      <c r="AF40" s="244"/>
      <c r="AG40" s="244"/>
      <c r="AH40" s="244"/>
      <c r="AI40" s="244"/>
      <c r="AJ40" s="244"/>
      <c r="AK40" s="244"/>
      <c r="AL40" s="244"/>
      <c r="AM40" s="244"/>
      <c r="AN40" s="244"/>
      <c r="AO40" s="244"/>
      <c r="AP40" s="244"/>
      <c r="AQ40" s="244"/>
      <c r="AR40" s="244"/>
      <c r="AS40" s="244"/>
      <c r="AT40" s="244"/>
      <c r="AU40" s="244"/>
      <c r="AV40" s="244"/>
    </row>
    <row r="41" ht="8.1" customHeight="1">
      <c r="F41" s="218"/>
      <c r="I41" s="218"/>
      <c r="L41" s="218"/>
      <c r="O41" s="218"/>
      <c r="R41" s="218"/>
      <c r="U41" s="218"/>
      <c r="X41" s="218"/>
      <c r="Z41" s="215"/>
      <c r="AA41" s="218"/>
      <c r="AC41" s="244"/>
      <c r="AD41" s="244"/>
      <c r="AE41" s="244"/>
      <c r="AF41" s="244"/>
      <c r="AG41" s="244"/>
      <c r="AH41" s="244"/>
      <c r="AI41" s="244"/>
      <c r="AJ41" s="244"/>
      <c r="AK41" s="244"/>
      <c r="AL41" s="244"/>
      <c r="AM41" s="244"/>
      <c r="AN41" s="244"/>
      <c r="AO41" s="244"/>
      <c r="AP41" s="244"/>
      <c r="AQ41" s="244"/>
      <c r="AR41" s="244"/>
      <c r="AS41" s="244"/>
      <c r="AT41" s="244"/>
      <c r="AU41" s="244"/>
      <c r="AV41" s="244"/>
    </row>
    <row r="42">
      <c r="B42" s="216" t="s">
        <v>25</v>
      </c>
      <c r="C42" s="216"/>
      <c r="D42" s="217" t="s">
        <v>32</v>
      </c>
      <c r="E42" s="598">
        <v>0</v>
      </c>
      <c r="F42" s="219">
        <v>0</v>
      </c>
      <c r="G42" s="217"/>
      <c r="H42" s="598">
        <v>0</v>
      </c>
      <c r="I42" s="219">
        <v>0</v>
      </c>
      <c r="J42" s="217"/>
      <c r="K42" s="598">
        <v>0</v>
      </c>
      <c r="L42" s="219">
        <v>0</v>
      </c>
      <c r="M42" s="217"/>
      <c r="N42" s="598">
        <v>0</v>
      </c>
      <c r="O42" s="219">
        <v>0</v>
      </c>
      <c r="P42" s="217"/>
      <c r="Q42" s="598">
        <v>0</v>
      </c>
      <c r="R42" s="219">
        <v>0</v>
      </c>
      <c r="S42" s="217"/>
      <c r="T42" s="598">
        <v>0</v>
      </c>
      <c r="U42" s="219">
        <v>0</v>
      </c>
      <c r="V42" s="217"/>
      <c r="W42" s="598">
        <v>0</v>
      </c>
      <c r="X42" s="219">
        <v>0</v>
      </c>
      <c r="Y42" s="217"/>
      <c r="Z42" s="599">
        <v>0</v>
      </c>
      <c r="AA42" s="219">
        <v>0</v>
      </c>
      <c r="AC42" s="244"/>
      <c r="AD42" s="244"/>
      <c r="AE42" s="244"/>
      <c r="AF42" s="244"/>
      <c r="AG42" s="244"/>
      <c r="AH42" s="244"/>
      <c r="AI42" s="244"/>
      <c r="AJ42" s="244"/>
      <c r="AK42" s="244"/>
      <c r="AL42" s="244"/>
      <c r="AM42" s="244"/>
      <c r="AN42" s="244"/>
      <c r="AO42" s="244"/>
      <c r="AP42" s="244"/>
      <c r="AQ42" s="244"/>
      <c r="AR42" s="244"/>
      <c r="AS42" s="244"/>
      <c r="AT42" s="244"/>
      <c r="AU42" s="244"/>
      <c r="AV42" s="244"/>
    </row>
    <row r="43">
      <c r="D43" s="217" t="s">
        <v>26</v>
      </c>
      <c r="E43" s="598">
        <v>0</v>
      </c>
      <c r="F43" s="219">
        <v>0</v>
      </c>
      <c r="G43" s="217"/>
      <c r="H43" s="598">
        <v>0</v>
      </c>
      <c r="I43" s="219">
        <v>0</v>
      </c>
      <c r="J43" s="217"/>
      <c r="K43" s="598">
        <v>0</v>
      </c>
      <c r="L43" s="219">
        <v>0</v>
      </c>
      <c r="M43" s="217"/>
      <c r="N43" s="598">
        <v>0</v>
      </c>
      <c r="O43" s="219">
        <v>0</v>
      </c>
      <c r="P43" s="217"/>
      <c r="Q43" s="598">
        <v>0</v>
      </c>
      <c r="R43" s="219">
        <v>0</v>
      </c>
      <c r="S43" s="217"/>
      <c r="T43" s="598">
        <v>0</v>
      </c>
      <c r="U43" s="219">
        <v>0</v>
      </c>
      <c r="V43" s="217"/>
      <c r="W43" s="598">
        <v>0</v>
      </c>
      <c r="X43" s="219">
        <v>0</v>
      </c>
      <c r="Y43" s="217"/>
      <c r="Z43" s="599">
        <v>0</v>
      </c>
      <c r="AA43" s="219">
        <v>0</v>
      </c>
      <c r="AC43" s="244"/>
      <c r="AD43" s="244"/>
      <c r="AE43" s="244"/>
      <c r="AF43" s="244"/>
      <c r="AG43" s="244"/>
      <c r="AH43" s="244"/>
      <c r="AI43" s="244"/>
      <c r="AJ43" s="244"/>
      <c r="AK43" s="244"/>
      <c r="AL43" s="244"/>
      <c r="AM43" s="244"/>
      <c r="AN43" s="244"/>
      <c r="AO43" s="244"/>
      <c r="AP43" s="244"/>
      <c r="AQ43" s="244"/>
      <c r="AR43" s="244"/>
      <c r="AS43" s="244"/>
      <c r="AT43" s="244"/>
      <c r="AU43" s="244"/>
      <c r="AV43" s="244"/>
    </row>
    <row r="44">
      <c r="D44" t="s">
        <v>22</v>
      </c>
      <c r="E44" s="223"/>
      <c r="F44" s="218">
        <v>0</v>
      </c>
      <c r="H44" s="223"/>
      <c r="I44" s="218">
        <v>0</v>
      </c>
      <c r="K44" s="223"/>
      <c r="L44" s="218">
        <v>0</v>
      </c>
      <c r="N44" s="223"/>
      <c r="O44" s="218">
        <v>0</v>
      </c>
      <c r="Q44" s="223"/>
      <c r="R44" s="218">
        <v>0</v>
      </c>
      <c r="T44" s="223"/>
      <c r="U44" s="218">
        <v>0</v>
      </c>
      <c r="W44" s="223"/>
      <c r="X44" s="218">
        <v>0</v>
      </c>
      <c r="Z44" s="224"/>
      <c r="AA44" s="218">
        <v>0</v>
      </c>
      <c r="AC44" s="244"/>
      <c r="AD44" s="244"/>
      <c r="AE44" s="244"/>
      <c r="AF44" s="244"/>
      <c r="AG44" s="244"/>
      <c r="AH44" s="244"/>
      <c r="AI44" s="244"/>
      <c r="AJ44" s="244"/>
      <c r="AK44" s="244"/>
      <c r="AL44" s="244"/>
      <c r="AM44" s="244"/>
      <c r="AN44" s="244"/>
      <c r="AO44" s="244"/>
      <c r="AP44" s="244"/>
      <c r="AQ44" s="244"/>
      <c r="AR44" s="244"/>
      <c r="AS44" s="244"/>
      <c r="AT44" s="244"/>
      <c r="AU44" s="244"/>
      <c r="AV44" s="244"/>
    </row>
    <row r="45">
      <c r="D45" t="s">
        <v>55</v>
      </c>
      <c r="E45" s="231" t="s">
        <v>177</v>
      </c>
      <c r="F45" s="232"/>
      <c r="G45" s="176"/>
      <c r="H45" s="231" t="s">
        <v>177</v>
      </c>
      <c r="I45" s="232"/>
      <c r="J45" s="176"/>
      <c r="K45" s="231" t="s">
        <v>177</v>
      </c>
      <c r="L45" s="232"/>
      <c r="M45" s="176"/>
      <c r="N45" s="231" t="s">
        <v>177</v>
      </c>
      <c r="O45" s="232"/>
      <c r="P45" s="176"/>
      <c r="Q45" s="231" t="s">
        <v>177</v>
      </c>
      <c r="R45" s="232"/>
      <c r="S45" s="176"/>
      <c r="T45" s="231" t="s">
        <v>177</v>
      </c>
      <c r="U45" s="232"/>
      <c r="V45" s="176"/>
      <c r="W45" s="231" t="s">
        <v>177</v>
      </c>
      <c r="X45" s="232"/>
      <c r="Y45" s="176"/>
      <c r="Z45" s="233" t="s">
        <v>177</v>
      </c>
      <c r="AA45" s="232"/>
      <c r="AC45" s="244"/>
      <c r="AD45" s="244"/>
      <c r="AE45" s="244"/>
      <c r="AF45" s="244"/>
      <c r="AG45" s="244"/>
      <c r="AH45" s="244"/>
      <c r="AI45" s="244"/>
      <c r="AJ45" s="244"/>
      <c r="AK45" s="244"/>
      <c r="AL45" s="244"/>
      <c r="AM45" s="244"/>
      <c r="AN45" s="244"/>
      <c r="AO45" s="244"/>
      <c r="AP45" s="244"/>
      <c r="AQ45" s="244"/>
      <c r="AR45" s="244"/>
      <c r="AS45" s="244"/>
      <c r="AT45" s="244"/>
      <c r="AU45" s="244"/>
      <c r="AV45" s="244"/>
    </row>
    <row r="46" ht="15">
      <c r="B46" s="612"/>
      <c r="C46" s="612"/>
      <c r="D46" s="612"/>
      <c r="E46" s="612"/>
      <c r="F46" s="612"/>
      <c r="G46" s="612"/>
      <c r="H46" s="612"/>
      <c r="I46" s="612"/>
      <c r="J46" s="612"/>
      <c r="K46" s="612"/>
      <c r="L46" s="612"/>
      <c r="M46" s="612"/>
      <c r="N46" s="612"/>
      <c r="O46" s="612"/>
      <c r="P46" s="612"/>
      <c r="Q46" s="612"/>
      <c r="R46" s="612"/>
      <c r="S46" s="612"/>
      <c r="T46" s="612"/>
      <c r="U46" s="612"/>
      <c r="V46" s="612"/>
      <c r="W46" s="612"/>
      <c r="X46" s="612"/>
      <c r="Y46" s="612"/>
      <c r="Z46" s="612"/>
      <c r="AA46" s="612"/>
      <c r="AC46" s="244"/>
      <c r="AD46" s="244"/>
      <c r="AE46" s="244"/>
      <c r="AF46" s="244"/>
      <c r="AG46" s="244"/>
      <c r="AH46" s="244"/>
      <c r="AI46" s="244"/>
      <c r="AJ46" s="244"/>
      <c r="AK46" s="244"/>
      <c r="AL46" s="244"/>
      <c r="AM46" s="244"/>
      <c r="AN46" s="244"/>
      <c r="AO46" s="244"/>
      <c r="AP46" s="244"/>
      <c r="AQ46" s="244"/>
      <c r="AR46" s="244"/>
      <c r="AS46" s="244"/>
      <c r="AT46" s="244"/>
      <c r="AU46" s="244"/>
      <c r="AV46" s="244"/>
    </row>
    <row r="47" ht="18">
      <c r="B47" s="220" t="s">
        <v>13</v>
      </c>
      <c r="C47" s="57"/>
      <c r="E47" s="648" t="s">
        <v>40</v>
      </c>
      <c r="F47" s="648"/>
      <c r="H47" s="648" t="s">
        <v>39</v>
      </c>
      <c r="I47" s="648"/>
      <c r="K47" s="648" t="s">
        <v>41</v>
      </c>
      <c r="L47" s="648"/>
      <c r="N47" s="648" t="s">
        <v>42</v>
      </c>
      <c r="O47" s="648"/>
      <c r="Q47" s="648" t="s">
        <v>43</v>
      </c>
      <c r="R47" s="648"/>
      <c r="T47" s="648" t="s">
        <v>44</v>
      </c>
      <c r="U47" s="648"/>
      <c r="W47" s="648" t="s">
        <v>45</v>
      </c>
      <c r="X47" s="648"/>
      <c r="Z47" s="649" t="s">
        <v>23</v>
      </c>
      <c r="AA47" s="649"/>
      <c r="AC47" s="244"/>
      <c r="AD47" s="244"/>
      <c r="AE47" s="244"/>
      <c r="AF47" s="244"/>
      <c r="AG47" s="244"/>
      <c r="AH47" s="244"/>
      <c r="AI47" s="244"/>
      <c r="AJ47" s="244"/>
      <c r="AK47" s="244"/>
      <c r="AL47" s="244"/>
      <c r="AM47" s="244"/>
      <c r="AN47" s="244"/>
      <c r="AO47" s="244"/>
      <c r="AP47" s="244"/>
      <c r="AQ47" s="244"/>
      <c r="AR47" s="244"/>
      <c r="AS47" s="244"/>
      <c r="AT47" s="244"/>
      <c r="AU47" s="244"/>
      <c r="AV47" s="244"/>
    </row>
    <row r="48">
      <c r="E48" s="176"/>
      <c r="F48" s="176" t="s">
        <v>57</v>
      </c>
      <c r="G48" s="176"/>
      <c r="H48" s="176"/>
      <c r="I48" s="176" t="s">
        <v>57</v>
      </c>
      <c r="J48" s="176"/>
      <c r="K48" s="176"/>
      <c r="L48" s="176" t="s">
        <v>57</v>
      </c>
      <c r="M48" s="176"/>
      <c r="N48" s="176"/>
      <c r="O48" s="176" t="s">
        <v>57</v>
      </c>
      <c r="P48" s="176"/>
      <c r="Q48" s="176"/>
      <c r="R48" s="176" t="s">
        <v>57</v>
      </c>
      <c r="S48" s="176"/>
      <c r="T48" s="176"/>
      <c r="U48" s="176" t="s">
        <v>57</v>
      </c>
      <c r="V48" s="176"/>
      <c r="W48" s="176"/>
      <c r="X48" s="176" t="s">
        <v>57</v>
      </c>
      <c r="Y48" s="176"/>
      <c r="Z48" s="226"/>
      <c r="AA48" s="176" t="s">
        <v>57</v>
      </c>
      <c r="AC48" s="244"/>
      <c r="AD48" s="244"/>
      <c r="AE48" s="244"/>
      <c r="AF48" s="244"/>
      <c r="AG48" s="244"/>
      <c r="AH48" s="244"/>
      <c r="AI48" s="244"/>
      <c r="AJ48" s="244"/>
      <c r="AK48" s="244"/>
      <c r="AL48" s="244"/>
      <c r="AM48" s="244"/>
      <c r="AN48" s="244"/>
      <c r="AO48" s="244"/>
      <c r="AP48" s="244"/>
      <c r="AQ48" s="244"/>
      <c r="AR48" s="244"/>
      <c r="AS48" s="244"/>
      <c r="AT48" s="244"/>
      <c r="AU48" s="244"/>
      <c r="AV48" s="244"/>
    </row>
    <row r="49">
      <c r="B49" s="216" t="s">
        <v>23</v>
      </c>
      <c r="C49" s="216"/>
      <c r="D49" s="217" t="s">
        <v>32</v>
      </c>
      <c r="E49" s="598">
        <v>173.28030303030303030303030303</v>
      </c>
      <c r="F49" s="219">
        <v>11.217543518450105522419225930</v>
      </c>
      <c r="G49" s="217"/>
      <c r="H49" s="598">
        <v>175.04545454545454545454545455</v>
      </c>
      <c r="I49" s="219">
        <v>32.374677742815651557579720440</v>
      </c>
      <c r="J49" s="217"/>
      <c r="K49" s="598">
        <v>180.98484848484848484848484848</v>
      </c>
      <c r="L49" s="219">
        <v>70.923660299004047108146582280</v>
      </c>
      <c r="M49" s="217"/>
      <c r="N49" s="598">
        <v>175.28030303030303030303030303</v>
      </c>
      <c r="O49" s="219">
        <v>33.377529255745266551638595770</v>
      </c>
      <c r="P49" s="217"/>
      <c r="Q49" s="598">
        <v>179.46969696969696969696969697</v>
      </c>
      <c r="R49" s="219">
        <v>25.829925107547600367548091770</v>
      </c>
      <c r="S49" s="217"/>
      <c r="T49" s="598">
        <v>180.43181818181818181818181818</v>
      </c>
      <c r="U49" s="219">
        <v>-12.825299220391414257267544780</v>
      </c>
      <c r="V49" s="217"/>
      <c r="W49" s="598">
        <v>250.00757575757575757575757576</v>
      </c>
      <c r="X49" s="219">
        <v>0.6741915802453620025306003500</v>
      </c>
      <c r="Y49" s="217"/>
      <c r="Z49" s="599">
        <v>187.78571428571428571428571429</v>
      </c>
      <c r="AA49" s="219">
        <v>17.023328589841653687919053680</v>
      </c>
      <c r="AC49" s="244"/>
      <c r="AD49" s="244"/>
      <c r="AE49" s="244"/>
      <c r="AF49" s="244"/>
      <c r="AG49" s="244"/>
      <c r="AH49" s="244"/>
      <c r="AI49" s="244"/>
      <c r="AJ49" s="244"/>
      <c r="AK49" s="244"/>
      <c r="AL49" s="244"/>
      <c r="AM49" s="244"/>
      <c r="AN49" s="244"/>
      <c r="AO49" s="244"/>
      <c r="AP49" s="244"/>
      <c r="AQ49" s="244"/>
      <c r="AR49" s="244"/>
      <c r="AS49" s="244"/>
      <c r="AT49" s="244"/>
      <c r="AU49" s="244"/>
      <c r="AV49" s="244"/>
    </row>
    <row r="50">
      <c r="D50" s="217" t="s">
        <v>26</v>
      </c>
      <c r="E50" s="598">
        <v>198.35465116279069767441860465</v>
      </c>
      <c r="F50" s="219">
        <v>14.269924472045763443192921260</v>
      </c>
      <c r="G50" s="217"/>
      <c r="H50" s="598">
        <v>225.41328413284132841328413284</v>
      </c>
      <c r="I50" s="219">
        <v>22.029097541356925569878802560</v>
      </c>
      <c r="J50" s="217"/>
      <c r="K50" s="598">
        <v>185.61992619926199261992619926</v>
      </c>
      <c r="L50" s="219">
        <v>13.194920426448695003910275460</v>
      </c>
      <c r="M50" s="217"/>
      <c r="N50" s="598">
        <v>139.56457564575645756457564576</v>
      </c>
      <c r="O50" s="219">
        <v>-4.7473086480104964221627962500</v>
      </c>
      <c r="P50" s="217"/>
      <c r="Q50" s="598">
        <v>173.32103321033210332103321033</v>
      </c>
      <c r="R50" s="219">
        <v>-5.8959635336231546270481208300</v>
      </c>
      <c r="S50" s="217"/>
      <c r="T50" s="598">
        <v>264.59778597785977859778597785</v>
      </c>
      <c r="U50" s="219">
        <v>-9.252419317262856741447751570</v>
      </c>
      <c r="V50" s="217"/>
      <c r="W50" s="598">
        <v>364.03321033210332103321033209</v>
      </c>
      <c r="X50" s="219">
        <v>-0.728971474346398148924954300</v>
      </c>
      <c r="Y50" s="217"/>
      <c r="Z50" s="599">
        <v>221.55778095156366846060487182</v>
      </c>
      <c r="AA50" s="219">
        <v>2.6225696715508856085893434400</v>
      </c>
      <c r="AC50" s="244"/>
      <c r="AD50" s="244"/>
      <c r="AE50" s="244"/>
      <c r="AF50" s="244"/>
      <c r="AG50" s="244"/>
      <c r="AH50" s="244"/>
      <c r="AI50" s="244"/>
      <c r="AJ50" s="244"/>
      <c r="AK50" s="244"/>
      <c r="AL50" s="244"/>
      <c r="AM50" s="244"/>
      <c r="AN50" s="244"/>
      <c r="AO50" s="244"/>
      <c r="AP50" s="244"/>
      <c r="AQ50" s="244"/>
      <c r="AR50" s="244"/>
      <c r="AS50" s="244"/>
      <c r="AT50" s="244"/>
      <c r="AU50" s="244"/>
      <c r="AV50" s="244"/>
    </row>
    <row r="51">
      <c r="D51" t="s">
        <v>93</v>
      </c>
      <c r="E51" s="223">
        <v>87.35883026412264698196496221</v>
      </c>
      <c r="F51" s="218">
        <v>-2.6712023900282101846995840600</v>
      </c>
      <c r="H51" s="223">
        <v>77.655341041182050544925156860</v>
      </c>
      <c r="I51" s="218">
        <v>8.477961740189978203616967560</v>
      </c>
      <c r="K51" s="223">
        <v>97.50292018246207302379699092</v>
      </c>
      <c r="L51" s="218">
        <v>50.999408502719697173371845700</v>
      </c>
      <c r="N51" s="223">
        <v>125.59082576594918696705840547</v>
      </c>
      <c r="O51" s="218">
        <v>40.024945607931291095622737750</v>
      </c>
      <c r="Q51" s="223">
        <v>103.54755775771106541495360601</v>
      </c>
      <c r="R51" s="218">
        <v>33.713632095355844522969629330</v>
      </c>
      <c r="T51" s="223">
        <v>68.190978059388746347751651680</v>
      </c>
      <c r="U51" s="218">
        <v>-3.9371627058328088192374684400</v>
      </c>
      <c r="W51" s="223">
        <v>68.677134025628869266252961080</v>
      </c>
      <c r="X51" s="218">
        <v>1.4134668244886409565234764800</v>
      </c>
      <c r="Z51" s="224">
        <v>84.75699362900582156973513466</v>
      </c>
      <c r="AA51" s="218">
        <v>14.032740521197970271386102820</v>
      </c>
      <c r="AC51" s="244"/>
      <c r="AD51" s="244"/>
      <c r="AE51" s="244"/>
      <c r="AF51" s="244"/>
      <c r="AG51" s="244"/>
      <c r="AH51" s="244"/>
      <c r="AI51" s="244"/>
      <c r="AJ51" s="244"/>
      <c r="AK51" s="244"/>
      <c r="AL51" s="244"/>
      <c r="AM51" s="244"/>
      <c r="AN51" s="244"/>
      <c r="AO51" s="244"/>
      <c r="AP51" s="244"/>
      <c r="AQ51" s="244"/>
      <c r="AR51" s="244"/>
      <c r="AS51" s="244"/>
      <c r="AT51" s="244"/>
      <c r="AU51" s="244"/>
      <c r="AV51" s="244"/>
    </row>
    <row r="52">
      <c r="D52" s="214" t="s">
        <v>55</v>
      </c>
      <c r="E52" s="227" t="s">
        <v>170</v>
      </c>
      <c r="F52" s="228" t="s">
        <v>170</v>
      </c>
      <c r="G52" s="229"/>
      <c r="H52" s="227" t="s">
        <v>172</v>
      </c>
      <c r="I52" s="228" t="s">
        <v>174</v>
      </c>
      <c r="J52" s="229"/>
      <c r="K52" s="227" t="s">
        <v>172</v>
      </c>
      <c r="L52" s="228" t="s">
        <v>174</v>
      </c>
      <c r="M52" s="229"/>
      <c r="N52" s="227" t="s">
        <v>172</v>
      </c>
      <c r="O52" s="228" t="s">
        <v>174</v>
      </c>
      <c r="P52" s="229"/>
      <c r="Q52" s="227" t="s">
        <v>172</v>
      </c>
      <c r="R52" s="228" t="s">
        <v>174</v>
      </c>
      <c r="S52" s="229"/>
      <c r="T52" s="227" t="s">
        <v>172</v>
      </c>
      <c r="U52" s="228" t="s">
        <v>172</v>
      </c>
      <c r="V52" s="229"/>
      <c r="W52" s="227" t="s">
        <v>172</v>
      </c>
      <c r="X52" s="228" t="s">
        <v>174</v>
      </c>
      <c r="Y52" s="229"/>
      <c r="Z52" s="230" t="s">
        <v>172</v>
      </c>
      <c r="AA52" s="228" t="s">
        <v>174</v>
      </c>
      <c r="AC52" s="244"/>
      <c r="AD52" s="244"/>
      <c r="AE52" s="244"/>
      <c r="AF52" s="244"/>
      <c r="AG52" s="244"/>
      <c r="AH52" s="244"/>
      <c r="AI52" s="244"/>
      <c r="AJ52" s="244"/>
      <c r="AK52" s="244"/>
      <c r="AL52" s="244"/>
      <c r="AM52" s="244"/>
      <c r="AN52" s="244"/>
      <c r="AO52" s="244"/>
      <c r="AP52" s="244"/>
      <c r="AQ52" s="244"/>
      <c r="AR52" s="244"/>
      <c r="AS52" s="244"/>
      <c r="AT52" s="244"/>
      <c r="AU52" s="244"/>
      <c r="AV52" s="244"/>
    </row>
    <row r="53" ht="8.1" customHeight="1">
      <c r="F53" s="218"/>
      <c r="I53" s="218"/>
      <c r="L53" s="218"/>
      <c r="O53" s="218"/>
      <c r="R53" s="218"/>
      <c r="U53" s="218"/>
      <c r="X53" s="218"/>
      <c r="Z53" s="215"/>
      <c r="AA53" s="218"/>
      <c r="AC53" s="244"/>
      <c r="AD53" s="244"/>
      <c r="AE53" s="244"/>
      <c r="AF53" s="244"/>
      <c r="AG53" s="244"/>
      <c r="AH53" s="244"/>
      <c r="AI53" s="244"/>
      <c r="AJ53" s="244"/>
      <c r="AK53" s="244"/>
      <c r="AL53" s="244"/>
      <c r="AM53" s="244"/>
      <c r="AN53" s="244"/>
      <c r="AO53" s="244"/>
      <c r="AP53" s="244"/>
      <c r="AQ53" s="244"/>
      <c r="AR53" s="244"/>
      <c r="AS53" s="244"/>
      <c r="AT53" s="244"/>
      <c r="AU53" s="244"/>
      <c r="AV53" s="244"/>
    </row>
    <row r="54">
      <c r="B54" s="216" t="s">
        <v>21</v>
      </c>
      <c r="C54" s="216"/>
      <c r="D54" s="217" t="s">
        <v>32</v>
      </c>
      <c r="E54" s="598">
        <v>153.78030303030303030303030303</v>
      </c>
      <c r="F54" s="219">
        <v>-1.2982592628418357015001151100</v>
      </c>
      <c r="G54" s="217"/>
      <c r="H54" s="598">
        <v>139.21969696969696969696969697</v>
      </c>
      <c r="I54" s="219">
        <v>5.2821541106086396898486333600</v>
      </c>
      <c r="J54" s="217"/>
      <c r="K54" s="598">
        <v>118.68939393939393939393939394</v>
      </c>
      <c r="L54" s="219">
        <v>12.091292838195747427514964610</v>
      </c>
      <c r="M54" s="217"/>
      <c r="N54" s="598">
        <v>111.95454545454545454545454545</v>
      </c>
      <c r="O54" s="219">
        <v>-14.809477143043456407480867520</v>
      </c>
      <c r="P54" s="217"/>
      <c r="Q54" s="598">
        <v>125.95454545454545454545454545</v>
      </c>
      <c r="R54" s="219">
        <v>-11.690657035116656660580220610</v>
      </c>
      <c r="S54" s="217"/>
      <c r="T54" s="598">
        <v>176.20454545454545454545454545</v>
      </c>
      <c r="U54" s="219">
        <v>-14.867684198979044556820163080</v>
      </c>
      <c r="V54" s="217"/>
      <c r="W54" s="598">
        <v>247.89393939393939393939393939</v>
      </c>
      <c r="X54" s="219">
        <v>-0.176937156789529546171137100</v>
      </c>
      <c r="Y54" s="217"/>
      <c r="Z54" s="599">
        <v>153.38528138528138528138528139</v>
      </c>
      <c r="AA54" s="219">
        <v>-4.4141549708895080864864412100</v>
      </c>
      <c r="AC54" s="244"/>
      <c r="AD54" s="244"/>
      <c r="AE54" s="244"/>
      <c r="AF54" s="244"/>
      <c r="AG54" s="244"/>
      <c r="AH54" s="244"/>
      <c r="AI54" s="244"/>
      <c r="AJ54" s="244"/>
      <c r="AK54" s="244"/>
      <c r="AL54" s="244"/>
      <c r="AM54" s="244"/>
      <c r="AN54" s="244"/>
      <c r="AO54" s="244"/>
      <c r="AP54" s="244"/>
      <c r="AQ54" s="244"/>
      <c r="AR54" s="244"/>
      <c r="AS54" s="244"/>
      <c r="AT54" s="244"/>
      <c r="AU54" s="244"/>
      <c r="AV54" s="244"/>
    </row>
    <row r="55">
      <c r="D55" s="217" t="s">
        <v>26</v>
      </c>
      <c r="E55" s="598">
        <v>197.36918604651162790697674419</v>
      </c>
      <c r="F55" s="219">
        <v>13.702208899222485989031617510</v>
      </c>
      <c r="G55" s="217"/>
      <c r="H55" s="598">
        <v>214.15498154981549815498154981</v>
      </c>
      <c r="I55" s="219">
        <v>15.934334717864529807872152590</v>
      </c>
      <c r="J55" s="217"/>
      <c r="K55" s="598">
        <v>166.85608856088560885608856088</v>
      </c>
      <c r="L55" s="219">
        <v>5.019658704492633171981127500</v>
      </c>
      <c r="M55" s="217"/>
      <c r="N55" s="598">
        <v>122.05166051660516605166051661</v>
      </c>
      <c r="O55" s="219">
        <v>-3.6603767290724661711819171900</v>
      </c>
      <c r="P55" s="217"/>
      <c r="Q55" s="598">
        <v>163.31365313653136531365313653</v>
      </c>
      <c r="R55" s="219">
        <v>-0.6298700315416997507138343100</v>
      </c>
      <c r="S55" s="217"/>
      <c r="T55" s="598">
        <v>263.34686346863468634686346863</v>
      </c>
      <c r="U55" s="219">
        <v>-6.2890411465555018009492573400</v>
      </c>
      <c r="V55" s="217"/>
      <c r="W55" s="598">
        <v>362.78228782287822878228782288</v>
      </c>
      <c r="X55" s="219">
        <v>1.0232949989737426408383896800</v>
      </c>
      <c r="Y55" s="217"/>
      <c r="Z55" s="599">
        <v>212.83924587169459734464454278</v>
      </c>
      <c r="AA55" s="219">
        <v>2.8669124805033541889265370300</v>
      </c>
      <c r="AC55" s="244"/>
      <c r="AD55" s="244"/>
      <c r="AE55" s="244"/>
      <c r="AF55" s="244"/>
      <c r="AG55" s="244"/>
      <c r="AH55" s="244"/>
      <c r="AI55" s="244"/>
      <c r="AJ55" s="244"/>
      <c r="AK55" s="244"/>
      <c r="AL55" s="244"/>
      <c r="AM55" s="244"/>
      <c r="AN55" s="244"/>
      <c r="AO55" s="244"/>
      <c r="AP55" s="244"/>
      <c r="AQ55" s="244"/>
      <c r="AR55" s="244"/>
      <c r="AS55" s="244"/>
      <c r="AT55" s="244"/>
      <c r="AU55" s="244"/>
      <c r="AV55" s="244"/>
    </row>
    <row r="56">
      <c r="D56" t="s">
        <v>22</v>
      </c>
      <c r="E56" s="223">
        <v>77.915051539029740664618048810</v>
      </c>
      <c r="F56" s="218">
        <v>-13.192767587598901955040948360</v>
      </c>
      <c r="H56" s="223">
        <v>65.008852916789370025292556140</v>
      </c>
      <c r="I56" s="218">
        <v>-9.188115525217954021508752950</v>
      </c>
      <c r="K56" s="223">
        <v>71.132791714750226847179388210</v>
      </c>
      <c r="L56" s="218">
        <v>6.7336289423630515267414332900</v>
      </c>
      <c r="N56" s="223">
        <v>91.72717927857606174210358512</v>
      </c>
      <c r="O56" s="218">
        <v>-11.572705015220565665617443180</v>
      </c>
      <c r="Q56" s="223">
        <v>77.124320615892761041660675620</v>
      </c>
      <c r="R56" s="218">
        <v>-11.130897189160169105187308290</v>
      </c>
      <c r="T56" s="223">
        <v>66.909680690209506048759485220</v>
      </c>
      <c r="U56" s="218">
        <v>-9.154364822872767953851057220</v>
      </c>
      <c r="W56" s="223">
        <v>68.331323693225355247040866580</v>
      </c>
      <c r="X56" s="218">
        <v>-1.1880746473521093188641572800</v>
      </c>
      <c r="Z56" s="224">
        <v>72.066258624946589309366766790</v>
      </c>
      <c r="AA56" s="218">
        <v>-7.078143278364944821905756400</v>
      </c>
      <c r="AC56" s="244"/>
      <c r="AD56" s="244"/>
      <c r="AE56" s="244"/>
      <c r="AF56" s="244"/>
      <c r="AG56" s="244"/>
      <c r="AH56" s="244"/>
      <c r="AI56" s="244"/>
      <c r="AJ56" s="244"/>
      <c r="AK56" s="244"/>
      <c r="AL56" s="244"/>
      <c r="AM56" s="244"/>
      <c r="AN56" s="244"/>
      <c r="AO56" s="244"/>
      <c r="AP56" s="244"/>
      <c r="AQ56" s="244"/>
      <c r="AR56" s="244"/>
      <c r="AS56" s="244"/>
      <c r="AT56" s="244"/>
      <c r="AU56" s="244"/>
      <c r="AV56" s="244"/>
    </row>
    <row r="57">
      <c r="D57" t="s">
        <v>55</v>
      </c>
      <c r="E57" s="231" t="s">
        <v>170</v>
      </c>
      <c r="F57" s="232" t="s">
        <v>171</v>
      </c>
      <c r="G57" s="176"/>
      <c r="H57" s="231" t="s">
        <v>172</v>
      </c>
      <c r="I57" s="232" t="s">
        <v>173</v>
      </c>
      <c r="J57" s="176"/>
      <c r="K57" s="231" t="s">
        <v>172</v>
      </c>
      <c r="L57" s="232" t="s">
        <v>172</v>
      </c>
      <c r="M57" s="176"/>
      <c r="N57" s="231" t="s">
        <v>172</v>
      </c>
      <c r="O57" s="232" t="s">
        <v>173</v>
      </c>
      <c r="P57" s="176"/>
      <c r="Q57" s="231" t="s">
        <v>172</v>
      </c>
      <c r="R57" s="232" t="s">
        <v>173</v>
      </c>
      <c r="S57" s="176"/>
      <c r="T57" s="231" t="s">
        <v>172</v>
      </c>
      <c r="U57" s="232" t="s">
        <v>172</v>
      </c>
      <c r="V57" s="176"/>
      <c r="W57" s="231" t="s">
        <v>172</v>
      </c>
      <c r="X57" s="232" t="s">
        <v>174</v>
      </c>
      <c r="Y57" s="176"/>
      <c r="Z57" s="233" t="s">
        <v>172</v>
      </c>
      <c r="AA57" s="232" t="s">
        <v>173</v>
      </c>
      <c r="AC57" s="244"/>
      <c r="AD57" s="244"/>
      <c r="AE57" s="244"/>
      <c r="AF57" s="244"/>
      <c r="AG57" s="244"/>
      <c r="AH57" s="244"/>
      <c r="AI57" s="244"/>
      <c r="AJ57" s="244"/>
      <c r="AK57" s="244"/>
      <c r="AL57" s="244"/>
      <c r="AM57" s="244"/>
      <c r="AN57" s="244"/>
      <c r="AO57" s="244"/>
      <c r="AP57" s="244"/>
      <c r="AQ57" s="244"/>
      <c r="AR57" s="244"/>
      <c r="AS57" s="244"/>
      <c r="AT57" s="244"/>
      <c r="AU57" s="244"/>
      <c r="AV57" s="244"/>
    </row>
    <row r="58" ht="8.1" customHeight="1">
      <c r="F58" s="218"/>
      <c r="I58" s="218"/>
      <c r="L58" s="218"/>
      <c r="O58" s="218"/>
      <c r="R58" s="218"/>
      <c r="U58" s="218"/>
      <c r="X58" s="218"/>
      <c r="Z58" s="215"/>
      <c r="AA58" s="218"/>
      <c r="AC58" s="244"/>
      <c r="AD58" s="244"/>
      <c r="AE58" s="244"/>
      <c r="AF58" s="244"/>
      <c r="AG58" s="244"/>
      <c r="AH58" s="244"/>
      <c r="AI58" s="244"/>
      <c r="AJ58" s="244"/>
      <c r="AK58" s="244"/>
      <c r="AL58" s="244"/>
      <c r="AM58" s="244"/>
      <c r="AN58" s="244"/>
      <c r="AO58" s="244"/>
      <c r="AP58" s="244"/>
      <c r="AQ58" s="244"/>
      <c r="AR58" s="244"/>
      <c r="AS58" s="244"/>
      <c r="AT58" s="244"/>
      <c r="AU58" s="244"/>
      <c r="AV58" s="244"/>
    </row>
    <row r="59">
      <c r="B59" s="216" t="s">
        <v>24</v>
      </c>
      <c r="C59" s="216"/>
      <c r="D59" s="217" t="s">
        <v>32</v>
      </c>
      <c r="E59" s="598">
        <v>19.5</v>
      </c>
      <c r="F59" s="219">
        <v>0</v>
      </c>
      <c r="G59" s="217"/>
      <c r="H59" s="598">
        <v>35.825757575757575757575757576</v>
      </c>
      <c r="I59" s="219">
        <v>0</v>
      </c>
      <c r="J59" s="217"/>
      <c r="K59" s="598">
        <v>62.295454545454545454545454545</v>
      </c>
      <c r="L59" s="219">
        <v>0</v>
      </c>
      <c r="M59" s="217"/>
      <c r="N59" s="598">
        <v>63.325757575757575757575757576</v>
      </c>
      <c r="O59" s="219">
        <v>0</v>
      </c>
      <c r="P59" s="217"/>
      <c r="Q59" s="598">
        <v>53.515151515151515151515151515</v>
      </c>
      <c r="R59" s="219">
        <v>0</v>
      </c>
      <c r="S59" s="217"/>
      <c r="T59" s="598">
        <v>4.2272727272727272727272727273</v>
      </c>
      <c r="U59" s="219">
        <v>0</v>
      </c>
      <c r="V59" s="217"/>
      <c r="W59" s="598">
        <v>2.1136363636363636363636363636</v>
      </c>
      <c r="X59" s="219">
        <v>0</v>
      </c>
      <c r="Y59" s="217"/>
      <c r="Z59" s="599">
        <v>34.4004329004329004329004329</v>
      </c>
      <c r="AA59" s="219">
        <v>0</v>
      </c>
      <c r="AC59" s="244"/>
      <c r="AD59" s="244"/>
      <c r="AE59" s="244"/>
      <c r="AF59" s="244"/>
      <c r="AG59" s="244"/>
      <c r="AH59" s="244"/>
      <c r="AI59" s="244"/>
      <c r="AJ59" s="244"/>
      <c r="AK59" s="244"/>
      <c r="AL59" s="244"/>
      <c r="AM59" s="244"/>
      <c r="AN59" s="244"/>
      <c r="AO59" s="244"/>
      <c r="AP59" s="244"/>
      <c r="AQ59" s="244"/>
      <c r="AR59" s="244"/>
      <c r="AS59" s="244"/>
      <c r="AT59" s="244"/>
      <c r="AU59" s="244"/>
      <c r="AV59" s="244"/>
    </row>
    <row r="60">
      <c r="D60" s="217" t="s">
        <v>26</v>
      </c>
      <c r="E60" s="598">
        <v>0.9854651162790697674418604651</v>
      </c>
      <c r="F60" s="219">
        <v>0</v>
      </c>
      <c r="G60" s="217"/>
      <c r="H60" s="598">
        <v>11.258302583025830258302583026</v>
      </c>
      <c r="I60" s="219">
        <v>0</v>
      </c>
      <c r="J60" s="217"/>
      <c r="K60" s="598">
        <v>18.763837638376383763837638376</v>
      </c>
      <c r="L60" s="219">
        <v>267.79260100628620119208851245</v>
      </c>
      <c r="M60" s="217"/>
      <c r="N60" s="598">
        <v>17.512915129151291512915129152</v>
      </c>
      <c r="O60" s="219">
        <v>-11.690958598074643246229098890</v>
      </c>
      <c r="P60" s="217"/>
      <c r="Q60" s="598">
        <v>10.007380073800738007380073801</v>
      </c>
      <c r="R60" s="219">
        <v>-49.537690627471224712130913650</v>
      </c>
      <c r="S60" s="217"/>
      <c r="T60" s="598">
        <v>1.2509225092250922509225092251</v>
      </c>
      <c r="U60" s="219">
        <v>-88.14879253167051780410256175</v>
      </c>
      <c r="V60" s="217"/>
      <c r="W60" s="598">
        <v>1.2509225092250922509225092251</v>
      </c>
      <c r="X60" s="219">
        <v>-83.53797462993253900075349223</v>
      </c>
      <c r="Y60" s="217"/>
      <c r="Z60" s="599">
        <v>8.718535079869071115960329038</v>
      </c>
      <c r="AA60" s="219">
        <v>-3.0020676752030951333655581700</v>
      </c>
      <c r="AC60" s="244"/>
      <c r="AD60" s="244"/>
      <c r="AE60" s="244"/>
      <c r="AF60" s="244"/>
      <c r="AG60" s="244"/>
      <c r="AH60" s="244"/>
      <c r="AI60" s="244"/>
      <c r="AJ60" s="244"/>
      <c r="AK60" s="244"/>
      <c r="AL60" s="244"/>
      <c r="AM60" s="244"/>
      <c r="AN60" s="244"/>
      <c r="AO60" s="244"/>
      <c r="AP60" s="244"/>
      <c r="AQ60" s="244"/>
      <c r="AR60" s="244"/>
      <c r="AS60" s="244"/>
      <c r="AT60" s="244"/>
      <c r="AU60" s="244"/>
      <c r="AV60" s="244"/>
    </row>
    <row r="61">
      <c r="D61" t="s">
        <v>22</v>
      </c>
      <c r="E61" s="223">
        <v>1978.7610619469026548672566372</v>
      </c>
      <c r="F61" s="218">
        <v>0</v>
      </c>
      <c r="H61" s="223">
        <v>318.21633244937079745339332360</v>
      </c>
      <c r="I61" s="218">
        <v>0</v>
      </c>
      <c r="K61" s="223">
        <v>331.99740770537230714221864665</v>
      </c>
      <c r="L61" s="218">
        <v>0</v>
      </c>
      <c r="N61" s="223">
        <v>361.59461236894865213449284244</v>
      </c>
      <c r="O61" s="218">
        <v>0</v>
      </c>
      <c r="Q61" s="223">
        <v>534.75686064181639402878340930</v>
      </c>
      <c r="R61" s="218">
        <v>0</v>
      </c>
      <c r="T61" s="223">
        <v>337.93242156074014481094127112</v>
      </c>
      <c r="U61" s="218">
        <v>0</v>
      </c>
      <c r="W61" s="223">
        <v>168.96621078037007240547063556</v>
      </c>
      <c r="X61" s="218">
        <v>0</v>
      </c>
      <c r="Z61" s="224">
        <v>394.56666269386051677339901467</v>
      </c>
      <c r="AA61" s="218">
        <v>0</v>
      </c>
      <c r="AC61" s="244"/>
      <c r="AD61" s="244"/>
      <c r="AE61" s="244"/>
      <c r="AF61" s="244"/>
      <c r="AG61" s="244"/>
      <c r="AH61" s="244"/>
      <c r="AI61" s="244"/>
      <c r="AJ61" s="244"/>
      <c r="AK61" s="244"/>
      <c r="AL61" s="244"/>
      <c r="AM61" s="244"/>
      <c r="AN61" s="244"/>
      <c r="AO61" s="244"/>
      <c r="AP61" s="244"/>
      <c r="AQ61" s="244"/>
      <c r="AR61" s="244"/>
      <c r="AS61" s="244"/>
      <c r="AT61" s="244"/>
      <c r="AU61" s="244"/>
      <c r="AV61" s="244"/>
    </row>
    <row r="62">
      <c r="D62" t="s">
        <v>55</v>
      </c>
      <c r="E62" s="231" t="s">
        <v>176</v>
      </c>
      <c r="F62" s="232" t="s">
        <v>176</v>
      </c>
      <c r="G62" s="176"/>
      <c r="H62" s="231" t="s">
        <v>174</v>
      </c>
      <c r="I62" s="232" t="s">
        <v>174</v>
      </c>
      <c r="J62" s="176"/>
      <c r="K62" s="231" t="s">
        <v>174</v>
      </c>
      <c r="L62" s="232" t="s">
        <v>172</v>
      </c>
      <c r="M62" s="176"/>
      <c r="N62" s="231" t="s">
        <v>174</v>
      </c>
      <c r="O62" s="232" t="s">
        <v>174</v>
      </c>
      <c r="P62" s="176"/>
      <c r="Q62" s="231" t="s">
        <v>174</v>
      </c>
      <c r="R62" s="232" t="s">
        <v>174</v>
      </c>
      <c r="S62" s="176"/>
      <c r="T62" s="231" t="s">
        <v>174</v>
      </c>
      <c r="U62" s="232" t="s">
        <v>174</v>
      </c>
      <c r="V62" s="176"/>
      <c r="W62" s="231" t="s">
        <v>172</v>
      </c>
      <c r="X62" s="232" t="s">
        <v>174</v>
      </c>
      <c r="Y62" s="176"/>
      <c r="Z62" s="233" t="s">
        <v>174</v>
      </c>
      <c r="AA62" s="232" t="s">
        <v>174</v>
      </c>
      <c r="AC62" s="244"/>
      <c r="AD62" s="244"/>
      <c r="AE62" s="244"/>
      <c r="AF62" s="244"/>
      <c r="AG62" s="244"/>
      <c r="AH62" s="244"/>
      <c r="AI62" s="244"/>
      <c r="AJ62" s="244"/>
      <c r="AK62" s="244"/>
      <c r="AL62" s="244"/>
      <c r="AM62" s="244"/>
      <c r="AN62" s="244"/>
      <c r="AO62" s="244"/>
      <c r="AP62" s="244"/>
      <c r="AQ62" s="244"/>
      <c r="AR62" s="244"/>
      <c r="AS62" s="244"/>
      <c r="AT62" s="244"/>
      <c r="AU62" s="244"/>
      <c r="AV62" s="244"/>
    </row>
    <row r="63" ht="8.1" customHeight="1">
      <c r="F63" s="218"/>
      <c r="I63" s="218"/>
      <c r="L63" s="218"/>
      <c r="O63" s="218"/>
      <c r="R63" s="218"/>
      <c r="U63" s="218"/>
      <c r="X63" s="218"/>
      <c r="Z63" s="215"/>
      <c r="AA63" s="218"/>
      <c r="AC63" s="244"/>
      <c r="AD63" s="244"/>
      <c r="AE63" s="244"/>
      <c r="AF63" s="244"/>
      <c r="AG63" s="244"/>
      <c r="AH63" s="244"/>
      <c r="AI63" s="244"/>
      <c r="AJ63" s="244"/>
      <c r="AK63" s="244"/>
      <c r="AL63" s="244"/>
      <c r="AM63" s="244"/>
      <c r="AN63" s="244"/>
      <c r="AO63" s="244"/>
      <c r="AP63" s="244"/>
      <c r="AQ63" s="244"/>
      <c r="AR63" s="244"/>
      <c r="AS63" s="244"/>
      <c r="AT63" s="244"/>
      <c r="AU63" s="244"/>
      <c r="AV63" s="244"/>
    </row>
    <row r="64">
      <c r="B64" s="216" t="s">
        <v>25</v>
      </c>
      <c r="C64" s="216"/>
      <c r="D64" s="217" t="s">
        <v>32</v>
      </c>
      <c r="E64" s="598">
        <v>0</v>
      </c>
      <c r="F64" s="219">
        <v>0</v>
      </c>
      <c r="G64" s="217"/>
      <c r="H64" s="598">
        <v>0</v>
      </c>
      <c r="I64" s="219">
        <v>0</v>
      </c>
      <c r="J64" s="217"/>
      <c r="K64" s="598">
        <v>0</v>
      </c>
      <c r="L64" s="219">
        <v>0</v>
      </c>
      <c r="M64" s="217"/>
      <c r="N64" s="598">
        <v>0</v>
      </c>
      <c r="O64" s="219">
        <v>0</v>
      </c>
      <c r="P64" s="217"/>
      <c r="Q64" s="598">
        <v>0</v>
      </c>
      <c r="R64" s="219">
        <v>0</v>
      </c>
      <c r="S64" s="217"/>
      <c r="T64" s="598">
        <v>0</v>
      </c>
      <c r="U64" s="219">
        <v>0</v>
      </c>
      <c r="V64" s="217"/>
      <c r="W64" s="598">
        <v>0</v>
      </c>
      <c r="X64" s="219">
        <v>0</v>
      </c>
      <c r="Y64" s="217"/>
      <c r="Z64" s="599">
        <v>0</v>
      </c>
      <c r="AA64" s="219">
        <v>0</v>
      </c>
      <c r="AC64" s="244"/>
      <c r="AD64" s="244"/>
      <c r="AE64" s="244"/>
      <c r="AF64" s="244"/>
      <c r="AG64" s="244"/>
      <c r="AH64" s="244"/>
      <c r="AI64" s="244"/>
      <c r="AJ64" s="244"/>
      <c r="AK64" s="244"/>
      <c r="AL64" s="244"/>
      <c r="AM64" s="244"/>
      <c r="AN64" s="244"/>
      <c r="AO64" s="244"/>
      <c r="AP64" s="244"/>
      <c r="AQ64" s="244"/>
      <c r="AR64" s="244"/>
      <c r="AS64" s="244"/>
      <c r="AT64" s="244"/>
      <c r="AU64" s="244"/>
      <c r="AV64" s="244"/>
    </row>
    <row r="65">
      <c r="D65" s="217" t="s">
        <v>26</v>
      </c>
      <c r="E65" s="598">
        <v>0</v>
      </c>
      <c r="F65" s="219">
        <v>0</v>
      </c>
      <c r="G65" s="217"/>
      <c r="H65" s="598">
        <v>0</v>
      </c>
      <c r="I65" s="219">
        <v>0</v>
      </c>
      <c r="J65" s="217"/>
      <c r="K65" s="598">
        <v>0</v>
      </c>
      <c r="L65" s="219">
        <v>0</v>
      </c>
      <c r="M65" s="217"/>
      <c r="N65" s="598">
        <v>0</v>
      </c>
      <c r="O65" s="219">
        <v>0</v>
      </c>
      <c r="P65" s="217"/>
      <c r="Q65" s="598">
        <v>0</v>
      </c>
      <c r="R65" s="219">
        <v>0</v>
      </c>
      <c r="S65" s="217"/>
      <c r="T65" s="598">
        <v>0</v>
      </c>
      <c r="U65" s="219">
        <v>0</v>
      </c>
      <c r="V65" s="217"/>
      <c r="W65" s="598">
        <v>0</v>
      </c>
      <c r="X65" s="219">
        <v>0</v>
      </c>
      <c r="Y65" s="217"/>
      <c r="Z65" s="599">
        <v>0</v>
      </c>
      <c r="AA65" s="219">
        <v>0</v>
      </c>
      <c r="AC65" s="244"/>
      <c r="AD65" s="244"/>
      <c r="AE65" s="244"/>
      <c r="AF65" s="244"/>
      <c r="AG65" s="244"/>
      <c r="AH65" s="244"/>
      <c r="AI65" s="244"/>
      <c r="AJ65" s="244"/>
      <c r="AK65" s="244"/>
      <c r="AL65" s="244"/>
      <c r="AM65" s="244"/>
      <c r="AN65" s="244"/>
      <c r="AO65" s="244"/>
      <c r="AP65" s="244"/>
      <c r="AQ65" s="244"/>
      <c r="AR65" s="244"/>
      <c r="AS65" s="244"/>
      <c r="AT65" s="244"/>
      <c r="AU65" s="244"/>
      <c r="AV65" s="244"/>
    </row>
    <row r="66">
      <c r="D66" t="s">
        <v>22</v>
      </c>
      <c r="E66" s="223"/>
      <c r="F66" s="218">
        <v>0</v>
      </c>
      <c r="H66" s="223"/>
      <c r="I66" s="218">
        <v>0</v>
      </c>
      <c r="K66" s="223"/>
      <c r="L66" s="218">
        <v>0</v>
      </c>
      <c r="N66" s="223"/>
      <c r="O66" s="218">
        <v>0</v>
      </c>
      <c r="Q66" s="223"/>
      <c r="R66" s="218">
        <v>0</v>
      </c>
      <c r="T66" s="223"/>
      <c r="U66" s="218">
        <v>0</v>
      </c>
      <c r="W66" s="223"/>
      <c r="X66" s="218">
        <v>0</v>
      </c>
      <c r="Z66" s="224"/>
      <c r="AA66" s="218">
        <v>0</v>
      </c>
      <c r="AC66" s="244"/>
      <c r="AD66" s="244"/>
      <c r="AE66" s="244"/>
      <c r="AF66" s="244"/>
      <c r="AG66" s="244"/>
      <c r="AH66" s="244"/>
      <c r="AI66" s="244"/>
      <c r="AJ66" s="244"/>
      <c r="AK66" s="244"/>
      <c r="AL66" s="244"/>
      <c r="AM66" s="244"/>
      <c r="AN66" s="244"/>
      <c r="AO66" s="244"/>
      <c r="AP66" s="244"/>
      <c r="AQ66" s="244"/>
      <c r="AR66" s="244"/>
      <c r="AS66" s="244"/>
      <c r="AT66" s="244"/>
      <c r="AU66" s="244"/>
      <c r="AV66" s="244"/>
    </row>
    <row r="67">
      <c r="D67" t="s">
        <v>55</v>
      </c>
      <c r="E67" s="231" t="s">
        <v>177</v>
      </c>
      <c r="F67" s="232"/>
      <c r="G67" s="176"/>
      <c r="H67" s="231" t="s">
        <v>177</v>
      </c>
      <c r="I67" s="232"/>
      <c r="J67" s="176"/>
      <c r="K67" s="231" t="s">
        <v>177</v>
      </c>
      <c r="L67" s="232"/>
      <c r="M67" s="176"/>
      <c r="N67" s="231" t="s">
        <v>177</v>
      </c>
      <c r="O67" s="232"/>
      <c r="P67" s="176"/>
      <c r="Q67" s="231" t="s">
        <v>177</v>
      </c>
      <c r="R67" s="232"/>
      <c r="S67" s="176"/>
      <c r="T67" s="231" t="s">
        <v>177</v>
      </c>
      <c r="U67" s="232"/>
      <c r="V67" s="176"/>
      <c r="W67" s="231" t="s">
        <v>177</v>
      </c>
      <c r="X67" s="232"/>
      <c r="Y67" s="176"/>
      <c r="Z67" s="233" t="s">
        <v>177</v>
      </c>
      <c r="AA67" s="232"/>
      <c r="AC67" s="244"/>
      <c r="AD67" s="244"/>
      <c r="AE67" s="244"/>
      <c r="AF67" s="244"/>
      <c r="AG67" s="244"/>
      <c r="AH67" s="244"/>
      <c r="AI67" s="244"/>
      <c r="AJ67" s="244"/>
      <c r="AK67" s="244"/>
      <c r="AL67" s="244"/>
      <c r="AM67" s="244"/>
      <c r="AN67" s="244"/>
      <c r="AO67" s="244"/>
      <c r="AP67" s="244"/>
      <c r="AQ67" s="244"/>
      <c r="AR67" s="244"/>
      <c r="AS67" s="244"/>
      <c r="AT67" s="244"/>
      <c r="AU67" s="244"/>
      <c r="AV67" s="244"/>
    </row>
    <row r="68" ht="15">
      <c r="B68" s="612"/>
      <c r="C68" s="612"/>
      <c r="D68" s="612"/>
      <c r="E68" s="612"/>
      <c r="F68" s="612"/>
      <c r="G68" s="612"/>
      <c r="H68" s="612"/>
      <c r="I68" s="612"/>
      <c r="J68" s="612"/>
      <c r="K68" s="612"/>
      <c r="L68" s="612"/>
      <c r="M68" s="612"/>
      <c r="N68" s="612"/>
      <c r="O68" s="612"/>
      <c r="P68" s="612"/>
      <c r="Q68" s="612"/>
      <c r="R68" s="612"/>
      <c r="S68" s="612"/>
      <c r="T68" s="612"/>
      <c r="U68" s="612"/>
      <c r="V68" s="612"/>
      <c r="W68" s="612"/>
      <c r="X68" s="612"/>
      <c r="Y68" s="612"/>
      <c r="Z68" s="612"/>
      <c r="AA68" s="612"/>
      <c r="AC68" s="244"/>
      <c r="AD68" s="244"/>
      <c r="AE68" s="244"/>
      <c r="AF68" s="244"/>
      <c r="AG68" s="244"/>
      <c r="AH68" s="244"/>
      <c r="AI68" s="244"/>
      <c r="AJ68" s="244"/>
      <c r="AK68" s="244"/>
      <c r="AL68" s="244"/>
      <c r="AM68" s="244"/>
      <c r="AN68" s="244"/>
      <c r="AO68" s="244"/>
      <c r="AP68" s="244"/>
      <c r="AQ68" s="244"/>
      <c r="AR68" s="244"/>
      <c r="AS68" s="244"/>
      <c r="AT68" s="244"/>
      <c r="AU68" s="244"/>
      <c r="AV68" s="244"/>
    </row>
    <row r="69" ht="15.75">
      <c r="B69" t="s">
        <v>168</v>
      </c>
      <c r="Y69" s="80"/>
      <c r="Z69" s="242"/>
      <c r="AC69" s="244"/>
      <c r="AD69" s="244"/>
      <c r="AE69" s="244"/>
      <c r="AF69" s="244"/>
      <c r="AG69" s="244"/>
      <c r="AH69" s="244"/>
      <c r="AI69" s="244"/>
      <c r="AJ69" s="244"/>
      <c r="AK69" s="244"/>
      <c r="AL69" s="244"/>
      <c r="AM69" s="244"/>
      <c r="AN69" s="244"/>
      <c r="AO69" s="244"/>
      <c r="AP69" s="244"/>
      <c r="AQ69" s="244"/>
      <c r="AR69" s="244"/>
      <c r="AS69" s="244"/>
      <c r="AT69" s="244"/>
      <c r="AU69" s="244"/>
      <c r="AV69" s="244"/>
    </row>
    <row r="70" ht="6" customHeight="1">
      <c r="Y70" s="80"/>
      <c r="AC70" s="244"/>
      <c r="AD70" s="244"/>
      <c r="AE70" s="244"/>
      <c r="AF70" s="244"/>
      <c r="AG70" s="244"/>
      <c r="AH70" s="244"/>
      <c r="AI70" s="244"/>
      <c r="AJ70" s="244"/>
      <c r="AK70" s="244"/>
      <c r="AL70" s="244"/>
      <c r="AM70" s="244"/>
      <c r="AN70" s="244"/>
      <c r="AO70" s="244"/>
      <c r="AP70" s="244"/>
      <c r="AQ70" s="244"/>
      <c r="AR70" s="244"/>
      <c r="AS70" s="244"/>
      <c r="AT70" s="244"/>
      <c r="AU70" s="244"/>
      <c r="AV70" s="244"/>
    </row>
    <row r="71" ht="34.5" customHeight="1">
      <c r="B71" s="650" t="s">
        <v>114</v>
      </c>
      <c r="C71" s="650"/>
      <c r="D71" s="650"/>
      <c r="E71" s="650"/>
      <c r="F71" s="650"/>
      <c r="G71" s="650"/>
      <c r="H71" s="650"/>
      <c r="I71" s="650"/>
      <c r="J71" s="650"/>
      <c r="K71" s="650"/>
      <c r="L71" s="650"/>
      <c r="M71" s="650"/>
      <c r="N71" s="650"/>
      <c r="O71" s="650"/>
      <c r="P71" s="650"/>
      <c r="Q71" s="650"/>
      <c r="R71" s="650"/>
      <c r="S71" s="650"/>
      <c r="T71" s="650"/>
      <c r="U71" s="650"/>
      <c r="V71" s="650"/>
      <c r="W71" s="650"/>
      <c r="X71" s="650"/>
      <c r="Y71" s="650"/>
      <c r="Z71" s="650"/>
      <c r="AA71" s="650"/>
      <c r="AC71" s="244"/>
      <c r="AD71" s="244"/>
      <c r="AE71" s="244"/>
      <c r="AF71" s="244"/>
      <c r="AG71" s="244"/>
      <c r="AH71" s="244"/>
      <c r="AI71" s="244"/>
      <c r="AJ71" s="244"/>
      <c r="AK71" s="244"/>
      <c r="AL71" s="244"/>
      <c r="AM71" s="244"/>
      <c r="AN71" s="244"/>
      <c r="AO71" s="244"/>
      <c r="AP71" s="244"/>
      <c r="AQ71" s="244"/>
      <c r="AR71" s="244"/>
      <c r="AS71" s="244"/>
      <c r="AT71" s="244"/>
      <c r="AU71" s="244"/>
      <c r="AV71" s="244"/>
    </row>
    <row r="72">
      <c r="AC72" s="244"/>
      <c r="AD72" s="244"/>
      <c r="AE72" s="244"/>
      <c r="AF72" s="244"/>
      <c r="AG72" s="244"/>
      <c r="AH72" s="244"/>
      <c r="AI72" s="244"/>
      <c r="AJ72" s="244"/>
      <c r="AK72" s="244"/>
      <c r="AL72" s="244"/>
      <c r="AM72" s="244"/>
      <c r="AN72" s="244"/>
      <c r="AO72" s="244"/>
      <c r="AP72" s="244"/>
      <c r="AQ72" s="244"/>
      <c r="AR72" s="244"/>
      <c r="AS72" s="244"/>
      <c r="AT72" s="244"/>
      <c r="AU72" s="244"/>
      <c r="AV72" s="244"/>
    </row>
    <row r="73">
      <c r="A73" s="244"/>
      <c r="B73" s="244"/>
      <c r="C73" s="244"/>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row>
    <row r="74">
      <c r="A74" s="244"/>
      <c r="B74" s="244"/>
      <c r="C74" s="244"/>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row>
    <row r="75">
      <c r="A75" s="244"/>
      <c r="B75" s="244"/>
      <c r="C75" s="244"/>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row>
    <row r="76">
      <c r="A76" s="244"/>
      <c r="B76" s="244"/>
      <c r="C76" s="244"/>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row>
    <row r="77">
      <c r="A77" s="244"/>
      <c r="B77" s="244"/>
      <c r="C77" s="244"/>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row>
    <row r="78">
      <c r="A78" s="244"/>
      <c r="B78" s="244"/>
      <c r="C78" s="244"/>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row>
    <row r="79">
      <c r="A79" s="244"/>
      <c r="B79" s="244"/>
      <c r="C79" s="244"/>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row>
    <row r="87">
      <c r="A87" s="244"/>
      <c r="B87" s="244"/>
      <c r="C87" s="244"/>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row>
    <row r="88">
      <c r="A88" s="244"/>
      <c r="B88" s="244"/>
      <c r="C88" s="244"/>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row>
    <row r="89">
      <c r="A89" s="244"/>
      <c r="B89" s="244"/>
      <c r="C89" s="244"/>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row>
    <row r="90">
      <c r="A90" s="244"/>
      <c r="B90" s="244"/>
      <c r="C90" s="244"/>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row>
    <row r="91">
      <c r="A91" s="244"/>
      <c r="B91" s="244"/>
      <c r="C91" s="244"/>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row>
    <row r="92">
      <c r="A92" s="244"/>
      <c r="B92" s="244"/>
      <c r="C92" s="244"/>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row>
    <row r="93">
      <c r="A93" s="244"/>
      <c r="B93" s="244"/>
      <c r="C93" s="244"/>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row>
    <row r="94">
      <c r="A94" s="244"/>
      <c r="B94" s="244"/>
      <c r="C94" s="244"/>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row>
  </sheetData>
  <mergeCells count="29">
    <mergeCell ref="B71:AA71"/>
    <mergeCell ref="B2:AA2"/>
    <mergeCell ref="B24:AA24"/>
    <mergeCell ref="B46:AA46"/>
    <mergeCell ref="B68:AA68"/>
    <mergeCell ref="E3:F3"/>
    <mergeCell ref="H3:I3"/>
    <mergeCell ref="K3:L3"/>
    <mergeCell ref="N3:O3"/>
    <mergeCell ref="Q3:R3"/>
    <mergeCell ref="T3:U3"/>
    <mergeCell ref="W3:X3"/>
    <mergeCell ref="Z3:AA3"/>
    <mergeCell ref="E25:F25"/>
    <mergeCell ref="H25:I25"/>
    <mergeCell ref="K25:L25"/>
    <mergeCell ref="N25:O25"/>
    <mergeCell ref="Q25:R25"/>
    <mergeCell ref="T25:U25"/>
    <mergeCell ref="W25:X25"/>
    <mergeCell ref="Z25:AA25"/>
    <mergeCell ref="T47:U47"/>
    <mergeCell ref="W47:X47"/>
    <mergeCell ref="Z47:AA47"/>
    <mergeCell ref="E47:F47"/>
    <mergeCell ref="H47:I47"/>
    <mergeCell ref="K47:L47"/>
    <mergeCell ref="N47:O47"/>
    <mergeCell ref="Q47:R47"/>
  </mergeCells>
  <phoneticPr fontId="39" type="noConversion"/>
  <printOptions horizontalCentered="1" verticalCentered="1"/>
  <pageMargins left="0" right="0" top="0" bottom="0" header="0" footer="0"/>
  <pageSetup scale="64" orientation="landscape" horizontalDpi="1200" verticalDpi="1200" r:id="rId1"/>
  <headerFooter alignWithMargins="0">
    <oddHeader/>
    <oddFooter/>
  </headerFooter>
  <drawing r:id="rId22"/>
</worksheet>
</file>

<file path=xl/worksheets/sheet2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AV112"/>
  <sheetViews>
    <sheetView showGridLines="0" zoomScale="75" workbookViewId="0"/>
  </sheetViews>
  <sheetFormatPr defaultRowHeight="12.75"/>
  <cols>
    <col min="1" max="1" width="2.7109375" customWidth="1"/>
    <col min="2" max="2" width="15.7109375" customWidth="1"/>
    <col min="3" max="3" width="1.42578125" customWidth="1"/>
    <col min="4" max="4" width="11" customWidth="1"/>
    <col min="6" max="6" width="8.7109375" customWidth="1"/>
    <col min="7" max="7" width="2.42578125" customWidth="1"/>
    <col min="9" max="9" width="8.7109375" customWidth="1"/>
    <col min="10" max="10" width="2.42578125" customWidth="1"/>
    <col min="12" max="12" width="8.7109375" customWidth="1"/>
    <col min="13" max="13" width="2.42578125" customWidth="1"/>
    <col min="15" max="15" width="8.7109375" customWidth="1"/>
    <col min="16" max="16" width="2.42578125" customWidth="1"/>
    <col min="18" max="18" width="8.7109375" customWidth="1"/>
    <col min="19" max="19" width="2.42578125" customWidth="1"/>
    <col min="21" max="21" width="8.7109375" customWidth="1"/>
    <col min="22" max="22" width="2.42578125" customWidth="1"/>
    <col min="24" max="24" width="8.7109375" customWidth="1"/>
    <col min="25" max="25" width="2.42578125" customWidth="1"/>
    <col min="27" max="27" width="8.7109375" customWidth="1"/>
    <col min="28" max="28" width="1.7109375" customWidth="1"/>
  </cols>
  <sheetData>
    <row r="1" ht="30" customHeight="1">
      <c r="B1" s="20" t="s">
        <v>117</v>
      </c>
      <c r="C1" s="20"/>
      <c r="AA1" s="176" t="s">
        <v>169</v>
      </c>
      <c r="AC1" s="244"/>
      <c r="AD1" s="244"/>
      <c r="AE1" s="244"/>
      <c r="AF1" s="244"/>
      <c r="AG1" s="244"/>
      <c r="AH1" s="244"/>
      <c r="AI1" s="244"/>
      <c r="AJ1" s="244"/>
      <c r="AK1" s="244"/>
      <c r="AL1" s="244"/>
      <c r="AM1" s="244"/>
      <c r="AN1" s="244"/>
      <c r="AO1" s="244"/>
      <c r="AP1" s="244"/>
      <c r="AQ1" s="244"/>
      <c r="AR1" s="244"/>
      <c r="AS1" s="244"/>
      <c r="AT1" s="244"/>
      <c r="AU1" s="244"/>
      <c r="AV1" s="244"/>
    </row>
    <row r="2" ht="15">
      <c r="B2" s="612" t="s">
        <v>178</v>
      </c>
      <c r="C2" s="612"/>
      <c r="D2" s="612"/>
      <c r="E2" s="612"/>
      <c r="F2" s="612"/>
      <c r="G2" s="612"/>
      <c r="H2" s="612"/>
      <c r="I2" s="612"/>
      <c r="J2" s="612"/>
      <c r="K2" s="612"/>
      <c r="L2" s="612"/>
      <c r="M2" s="612"/>
      <c r="N2" s="612"/>
      <c r="O2" s="612"/>
      <c r="P2" s="612"/>
      <c r="Q2" s="612"/>
      <c r="R2" s="612"/>
      <c r="S2" s="612"/>
      <c r="T2" s="612"/>
      <c r="U2" s="612"/>
      <c r="V2" s="612"/>
      <c r="W2" s="612"/>
      <c r="X2" s="612"/>
      <c r="Y2" s="612"/>
      <c r="Z2" s="612"/>
      <c r="AA2" s="612"/>
      <c r="AC2" s="244"/>
      <c r="AD2" s="244"/>
      <c r="AE2" s="244"/>
      <c r="AF2" s="244"/>
      <c r="AG2" s="244"/>
      <c r="AH2" s="244"/>
      <c r="AI2" s="244"/>
      <c r="AJ2" s="244"/>
      <c r="AK2" s="244"/>
      <c r="AL2" s="244"/>
      <c r="AM2" s="244"/>
      <c r="AN2" s="244"/>
      <c r="AO2" s="244"/>
      <c r="AP2" s="244"/>
      <c r="AQ2" s="244"/>
      <c r="AR2" s="244"/>
      <c r="AS2" s="244"/>
      <c r="AT2" s="244"/>
      <c r="AU2" s="244"/>
      <c r="AV2" s="244"/>
    </row>
    <row r="3" ht="19.5" customHeight="1">
      <c r="B3" s="220" t="s">
        <v>28</v>
      </c>
      <c r="C3" s="57"/>
      <c r="E3" s="648" t="s">
        <v>40</v>
      </c>
      <c r="F3" s="648"/>
      <c r="H3" s="648" t="s">
        <v>39</v>
      </c>
      <c r="I3" s="648"/>
      <c r="K3" s="648" t="s">
        <v>41</v>
      </c>
      <c r="L3" s="648"/>
      <c r="N3" s="648" t="s">
        <v>42</v>
      </c>
      <c r="O3" s="648"/>
      <c r="Q3" s="648" t="s">
        <v>43</v>
      </c>
      <c r="R3" s="648"/>
      <c r="T3" s="648" t="s">
        <v>44</v>
      </c>
      <c r="U3" s="648"/>
      <c r="W3" s="648" t="s">
        <v>45</v>
      </c>
      <c r="X3" s="648"/>
      <c r="Z3" s="649" t="s">
        <v>23</v>
      </c>
      <c r="AA3" s="649"/>
      <c r="AC3" s="244"/>
      <c r="AD3" s="244"/>
      <c r="AE3" s="244"/>
      <c r="AF3" s="244"/>
      <c r="AG3" s="244"/>
      <c r="AH3" s="244"/>
      <c r="AI3" s="244"/>
      <c r="AJ3" s="244"/>
      <c r="AK3" s="244"/>
      <c r="AL3" s="244"/>
      <c r="AM3" s="244"/>
      <c r="AN3" s="244"/>
      <c r="AO3" s="244"/>
      <c r="AP3" s="244"/>
      <c r="AQ3" s="244"/>
      <c r="AR3" s="244"/>
      <c r="AS3" s="244"/>
      <c r="AT3" s="244"/>
      <c r="AU3" s="244"/>
      <c r="AV3" s="244"/>
    </row>
    <row r="4">
      <c r="E4" s="176"/>
      <c r="F4" s="176" t="s">
        <v>57</v>
      </c>
      <c r="G4" s="176"/>
      <c r="H4" s="176"/>
      <c r="I4" s="176" t="s">
        <v>57</v>
      </c>
      <c r="J4" s="176"/>
      <c r="K4" s="176"/>
      <c r="L4" s="176" t="s">
        <v>57</v>
      </c>
      <c r="M4" s="176"/>
      <c r="N4" s="176"/>
      <c r="O4" s="176" t="s">
        <v>57</v>
      </c>
      <c r="P4" s="176"/>
      <c r="Q4" s="176"/>
      <c r="R4" s="176" t="s">
        <v>57</v>
      </c>
      <c r="S4" s="176"/>
      <c r="T4" s="176"/>
      <c r="U4" s="176" t="s">
        <v>57</v>
      </c>
      <c r="V4" s="176"/>
      <c r="W4" s="176"/>
      <c r="X4" s="176" t="s">
        <v>57</v>
      </c>
      <c r="Y4" s="176"/>
      <c r="Z4" s="226"/>
      <c r="AA4" s="176" t="s">
        <v>57</v>
      </c>
      <c r="AC4" s="244"/>
      <c r="AD4" s="244"/>
      <c r="AE4" s="244"/>
      <c r="AF4" s="244"/>
      <c r="AG4" s="244"/>
      <c r="AH4" s="244"/>
      <c r="AI4" s="244"/>
      <c r="AJ4" s="244"/>
      <c r="AK4" s="244"/>
      <c r="AL4" s="244"/>
      <c r="AM4" s="244"/>
      <c r="AN4" s="244"/>
      <c r="AO4" s="244"/>
      <c r="AP4" s="244"/>
      <c r="AQ4" s="244"/>
      <c r="AR4" s="244"/>
      <c r="AS4" s="244"/>
      <c r="AT4" s="244"/>
      <c r="AU4" s="244"/>
      <c r="AV4" s="244"/>
    </row>
    <row r="5">
      <c r="B5" s="216" t="s">
        <v>23</v>
      </c>
      <c r="C5" s="216"/>
      <c r="D5" s="217" t="s">
        <v>32</v>
      </c>
      <c r="E5" s="221">
        <v>0.8181818181818181818181818182</v>
      </c>
      <c r="F5" s="219">
        <v>-3.786191536772329502333811800</v>
      </c>
      <c r="G5" s="217"/>
      <c r="H5" s="221">
        <v>0.7803030303030303030303030303</v>
      </c>
      <c r="I5" s="219">
        <v>-7.6233183856535381769189003200</v>
      </c>
      <c r="J5" s="217"/>
      <c r="K5" s="221">
        <v>0.7689393939393939393939393939</v>
      </c>
      <c r="L5" s="219">
        <v>-10.375275938237328772129852190</v>
      </c>
      <c r="M5" s="217"/>
      <c r="N5" s="221">
        <v>0.8617424242424242424242424242</v>
      </c>
      <c r="O5" s="219">
        <v>-3.1914893617548574015391292700</v>
      </c>
      <c r="P5" s="217"/>
      <c r="Q5" s="221">
        <v>0.8901515151515151515151515152</v>
      </c>
      <c r="R5" s="219">
        <v>3.0701754386398891966759185600</v>
      </c>
      <c r="S5" s="217"/>
      <c r="T5" s="221">
        <v>0.8409090909090909090909090909</v>
      </c>
      <c r="U5" s="219">
        <v>-7.8838174274072967063239219600</v>
      </c>
      <c r="V5" s="217"/>
      <c r="W5" s="221">
        <v>0.9299242424242424242424242424</v>
      </c>
      <c r="X5" s="219">
        <v>4.4680851063260769578995330300</v>
      </c>
      <c r="Y5" s="217"/>
      <c r="Z5" s="222">
        <v>0.8414502164502164502164502165</v>
      </c>
      <c r="AA5" s="219">
        <v>-3.5957842528898376450791436100</v>
      </c>
      <c r="AC5" s="244"/>
      <c r="AD5" s="244"/>
      <c r="AE5" s="244"/>
      <c r="AF5" s="244"/>
      <c r="AG5" s="244"/>
      <c r="AH5" s="244"/>
      <c r="AI5" s="244"/>
      <c r="AJ5" s="244"/>
      <c r="AK5" s="244"/>
      <c r="AL5" s="244"/>
      <c r="AM5" s="244"/>
      <c r="AN5" s="244"/>
      <c r="AO5" s="244"/>
      <c r="AP5" s="244"/>
      <c r="AQ5" s="244"/>
      <c r="AR5" s="244"/>
      <c r="AS5" s="244"/>
      <c r="AT5" s="244"/>
      <c r="AU5" s="244"/>
      <c r="AV5" s="244"/>
    </row>
    <row r="6">
      <c r="D6" s="217" t="s">
        <v>26</v>
      </c>
      <c r="E6" s="221">
        <v>0.7376453488372093023255813953</v>
      </c>
      <c r="F6" s="219">
        <v>-7.5744667904096123556836690600</v>
      </c>
      <c r="G6" s="217"/>
      <c r="H6" s="221">
        <v>0.7376399854114820217969621557</v>
      </c>
      <c r="I6" s="219">
        <v>6.1660053994780377977921745500</v>
      </c>
      <c r="J6" s="217"/>
      <c r="K6" s="221">
        <v>0.7341430318372951171372178838</v>
      </c>
      <c r="L6" s="219">
        <v>13.568939789244803625081409410</v>
      </c>
      <c r="M6" s="217"/>
      <c r="N6" s="221">
        <v>0.7385276323693469492834463228</v>
      </c>
      <c r="O6" s="219">
        <v>7.3423119217675657796448684300</v>
      </c>
      <c r="P6" s="217"/>
      <c r="Q6" s="221">
        <v>0.7598847936153780142452587317</v>
      </c>
      <c r="R6" s="219">
        <v>-4.2583653049735370430764185100</v>
      </c>
      <c r="S6" s="217"/>
      <c r="T6" s="221">
        <v>0.8308590062644812494636574273</v>
      </c>
      <c r="U6" s="219">
        <v>-4.1520885457986808453492141200</v>
      </c>
      <c r="V6" s="217"/>
      <c r="W6" s="221">
        <v>0.87382272805286192396807689</v>
      </c>
      <c r="X6" s="219">
        <v>-1.2592065958609987194413422900</v>
      </c>
      <c r="Y6" s="217"/>
      <c r="Z6" s="222">
        <v>0.7732175037697220826028858295</v>
      </c>
      <c r="AA6" s="219">
        <v>0.7386305109479998903631621300</v>
      </c>
      <c r="AC6" s="244"/>
      <c r="AD6" s="244"/>
      <c r="AE6" s="244"/>
      <c r="AF6" s="244"/>
      <c r="AG6" s="244"/>
      <c r="AH6" s="244"/>
      <c r="AI6" s="244"/>
      <c r="AJ6" s="244"/>
      <c r="AK6" s="244"/>
      <c r="AL6" s="244"/>
      <c r="AM6" s="244"/>
      <c r="AN6" s="244"/>
      <c r="AO6" s="244"/>
      <c r="AP6" s="244"/>
      <c r="AQ6" s="244"/>
      <c r="AR6" s="244"/>
      <c r="AS6" s="244"/>
      <c r="AT6" s="244"/>
      <c r="AU6" s="244"/>
      <c r="AV6" s="244"/>
    </row>
    <row r="7">
      <c r="D7" t="s">
        <v>91</v>
      </c>
      <c r="E7" s="223">
        <v>110.9180474698031</v>
      </c>
      <c r="F7" s="218">
        <v>4.0987323763806</v>
      </c>
      <c r="H7" s="223">
        <v>105.7837218339322</v>
      </c>
      <c r="I7" s="218">
        <v>-12.9884549514301</v>
      </c>
      <c r="K7" s="223">
        <v>104.7397251752598</v>
      </c>
      <c r="L7" s="218">
        <v>-21.0834192621749</v>
      </c>
      <c r="N7" s="223">
        <v>116.6838431594203</v>
      </c>
      <c r="O7" s="218">
        <v>-9.8132796795990</v>
      </c>
      <c r="Q7" s="223">
        <v>117.1429567522726</v>
      </c>
      <c r="R7" s="218">
        <v>7.6544971964886</v>
      </c>
      <c r="T7" s="223">
        <v>101.2096016976793</v>
      </c>
      <c r="U7" s="218">
        <v>-3.8933857033492</v>
      </c>
      <c r="W7" s="223">
        <v>106.4202397774941</v>
      </c>
      <c r="X7" s="218">
        <v>5.8003298381558</v>
      </c>
      <c r="Z7" s="224">
        <v>108.8245173379459</v>
      </c>
      <c r="AA7" s="218">
        <v>-4.3026341949533</v>
      </c>
      <c r="AC7" s="244"/>
      <c r="AD7" s="244"/>
      <c r="AE7" s="244"/>
      <c r="AF7" s="244"/>
      <c r="AG7" s="244"/>
      <c r="AH7" s="244"/>
      <c r="AI7" s="244"/>
      <c r="AJ7" s="244"/>
      <c r="AK7" s="244"/>
      <c r="AL7" s="244"/>
      <c r="AM7" s="244"/>
      <c r="AN7" s="244"/>
      <c r="AO7" s="244"/>
      <c r="AP7" s="244"/>
      <c r="AQ7" s="244"/>
      <c r="AR7" s="244"/>
      <c r="AS7" s="244"/>
      <c r="AT7" s="244"/>
      <c r="AU7" s="244"/>
      <c r="AV7" s="244"/>
    </row>
    <row r="8">
      <c r="D8" s="214" t="s">
        <v>55</v>
      </c>
      <c r="E8" s="227" t="s">
        <v>170</v>
      </c>
      <c r="F8" s="228" t="s">
        <v>171</v>
      </c>
      <c r="G8" s="229"/>
      <c r="H8" s="227" t="s">
        <v>170</v>
      </c>
      <c r="I8" s="228" t="s">
        <v>179</v>
      </c>
      <c r="J8" s="229"/>
      <c r="K8" s="227" t="s">
        <v>170</v>
      </c>
      <c r="L8" s="228" t="s">
        <v>179</v>
      </c>
      <c r="M8" s="229"/>
      <c r="N8" s="227" t="s">
        <v>170</v>
      </c>
      <c r="O8" s="228" t="s">
        <v>180</v>
      </c>
      <c r="P8" s="229"/>
      <c r="Q8" s="227" t="s">
        <v>176</v>
      </c>
      <c r="R8" s="228" t="s">
        <v>176</v>
      </c>
      <c r="S8" s="229"/>
      <c r="T8" s="227" t="s">
        <v>171</v>
      </c>
      <c r="U8" s="228" t="s">
        <v>180</v>
      </c>
      <c r="V8" s="229"/>
      <c r="W8" s="227" t="s">
        <v>170</v>
      </c>
      <c r="X8" s="228" t="s">
        <v>170</v>
      </c>
      <c r="Y8" s="229"/>
      <c r="Z8" s="230" t="s">
        <v>170</v>
      </c>
      <c r="AA8" s="228" t="s">
        <v>180</v>
      </c>
      <c r="AC8" s="244"/>
      <c r="AD8" s="244"/>
      <c r="AE8" s="244"/>
      <c r="AF8" s="244"/>
      <c r="AG8" s="244"/>
      <c r="AH8" s="244"/>
      <c r="AI8" s="244"/>
      <c r="AJ8" s="244"/>
      <c r="AK8" s="244"/>
      <c r="AL8" s="244"/>
      <c r="AM8" s="244"/>
      <c r="AN8" s="244"/>
      <c r="AO8" s="244"/>
      <c r="AP8" s="244"/>
      <c r="AQ8" s="244"/>
      <c r="AR8" s="244"/>
      <c r="AS8" s="244"/>
      <c r="AT8" s="244"/>
      <c r="AU8" s="244"/>
      <c r="AV8" s="244"/>
    </row>
    <row r="9" ht="8.1" customHeight="1">
      <c r="F9" s="218"/>
      <c r="I9" s="218"/>
      <c r="L9" s="218"/>
      <c r="O9" s="218"/>
      <c r="R9" s="218"/>
      <c r="U9" s="218"/>
      <c r="X9" s="218"/>
      <c r="Z9" s="215"/>
      <c r="AA9" s="218"/>
      <c r="AC9" s="244"/>
      <c r="AD9" s="244"/>
      <c r="AE9" s="244"/>
      <c r="AF9" s="244"/>
      <c r="AG9" s="244"/>
      <c r="AH9" s="244"/>
      <c r="AI9" s="244"/>
      <c r="AJ9" s="244"/>
      <c r="AK9" s="244"/>
      <c r="AL9" s="244"/>
      <c r="AM9" s="244"/>
      <c r="AN9" s="244"/>
      <c r="AO9" s="244"/>
      <c r="AP9" s="244"/>
      <c r="AQ9" s="244"/>
      <c r="AR9" s="244"/>
      <c r="AS9" s="244"/>
      <c r="AT9" s="244"/>
      <c r="AU9" s="244"/>
      <c r="AV9" s="244"/>
    </row>
    <row r="10" ht="12.75" customHeight="1">
      <c r="B10" s="216" t="s">
        <v>21</v>
      </c>
      <c r="C10" s="216"/>
      <c r="D10" s="217" t="s">
        <v>32</v>
      </c>
      <c r="E10" s="221">
        <v>0.7215909090909090909090909091</v>
      </c>
      <c r="F10" s="219">
        <v>-4.0302267002596247676211377600</v>
      </c>
      <c r="G10" s="217"/>
      <c r="H10" s="221">
        <v>0.6515151515151515151515151515</v>
      </c>
      <c r="I10" s="219">
        <v>-20.000000000005953488372092580</v>
      </c>
      <c r="J10" s="217"/>
      <c r="K10" s="221">
        <v>0.6117424242424242424242424242</v>
      </c>
      <c r="L10" s="219">
        <v>-24.708624708624708624708624710</v>
      </c>
      <c r="M10" s="217"/>
      <c r="N10" s="221">
        <v>0.6723484848484848484848484848</v>
      </c>
      <c r="O10" s="219">
        <v>-18.390804597737170035671803370</v>
      </c>
      <c r="P10" s="217"/>
      <c r="Q10" s="221">
        <v>0.7253787878787878787878787879</v>
      </c>
      <c r="R10" s="219">
        <v>-2.0460358055865150018641786200</v>
      </c>
      <c r="S10" s="217"/>
      <c r="T10" s="221">
        <v>0.75</v>
      </c>
      <c r="U10" s="219">
        <v>4.4854881266534875140106238900</v>
      </c>
      <c r="V10" s="217"/>
      <c r="W10" s="221">
        <v>0.8428030303030303030303030303</v>
      </c>
      <c r="X10" s="219">
        <v>16.797900262452476904953811760</v>
      </c>
      <c r="Y10" s="217"/>
      <c r="Z10" s="222">
        <v>0.7107683982683982683982683983</v>
      </c>
      <c r="AA10" s="219">
        <v>-7.5650950034712930254486467900</v>
      </c>
      <c r="AC10" s="244"/>
      <c r="AD10" s="244"/>
      <c r="AE10" s="244"/>
      <c r="AF10" s="244"/>
      <c r="AG10" s="244"/>
      <c r="AH10" s="244"/>
      <c r="AI10" s="244"/>
      <c r="AJ10" s="244"/>
      <c r="AK10" s="244"/>
      <c r="AL10" s="244"/>
      <c r="AM10" s="244"/>
      <c r="AN10" s="244"/>
      <c r="AO10" s="244"/>
      <c r="AP10" s="244"/>
      <c r="AQ10" s="244"/>
      <c r="AR10" s="244"/>
      <c r="AS10" s="244"/>
      <c r="AT10" s="244"/>
      <c r="AU10" s="244"/>
      <c r="AV10" s="244"/>
    </row>
    <row r="11">
      <c r="D11" s="217" t="s">
        <v>26</v>
      </c>
      <c r="E11" s="221">
        <v>0.7143483011710374402111166089</v>
      </c>
      <c r="F11" s="219">
        <v>-10.35951094774325541699669100</v>
      </c>
      <c r="G11" s="217"/>
      <c r="H11" s="221">
        <v>0.6938273427161291196755296806</v>
      </c>
      <c r="I11" s="219">
        <v>-0.1397987230649032395815956900</v>
      </c>
      <c r="J11" s="217"/>
      <c r="K11" s="221">
        <v>0.65867272094852096061944226</v>
      </c>
      <c r="L11" s="219">
        <v>2.469996013582975097078464600</v>
      </c>
      <c r="M11" s="217"/>
      <c r="N11" s="221">
        <v>0.6474739537501799929311867025</v>
      </c>
      <c r="O11" s="219">
        <v>-3.298640992385186025105711300</v>
      </c>
      <c r="P11" s="217"/>
      <c r="Q11" s="221">
        <v>0.6776921987495911359518044119</v>
      </c>
      <c r="R11" s="219">
        <v>-12.581944259303045537749160900</v>
      </c>
      <c r="S11" s="217"/>
      <c r="T11" s="221">
        <v>0.7951875366204763233524834863</v>
      </c>
      <c r="U11" s="219">
        <v>-7.0540383547928297255012670700</v>
      </c>
      <c r="V11" s="217"/>
      <c r="W11" s="221">
        <v>0.8425474046470257900064039653</v>
      </c>
      <c r="X11" s="219">
        <v>-4.0618308017879224281928773400</v>
      </c>
      <c r="Y11" s="217"/>
      <c r="Z11" s="222">
        <v>0.7185356369432801089639953022</v>
      </c>
      <c r="AA11" s="219">
        <v>-5.3320991620679198778400683100</v>
      </c>
      <c r="AC11" s="244"/>
      <c r="AD11" s="244"/>
      <c r="AE11" s="244"/>
      <c r="AF11" s="244"/>
      <c r="AG11" s="244"/>
      <c r="AH11" s="244"/>
      <c r="AI11" s="244"/>
      <c r="AJ11" s="244"/>
      <c r="AK11" s="244"/>
      <c r="AL11" s="244"/>
      <c r="AM11" s="244"/>
      <c r="AN11" s="244"/>
      <c r="AO11" s="244"/>
      <c r="AP11" s="244"/>
      <c r="AQ11" s="244"/>
      <c r="AR11" s="244"/>
      <c r="AS11" s="244"/>
      <c r="AT11" s="244"/>
      <c r="AU11" s="244"/>
      <c r="AV11" s="244"/>
    </row>
    <row r="12">
      <c r="D12" t="s">
        <v>22</v>
      </c>
      <c r="E12" s="223">
        <v>101.0138762712862</v>
      </c>
      <c r="F12" s="218">
        <v>7.0607426559814</v>
      </c>
      <c r="H12" s="223">
        <v>93.9016252897707</v>
      </c>
      <c r="I12" s="218">
        <v>-19.8880044531709</v>
      </c>
      <c r="K12" s="223">
        <v>92.8750204443020</v>
      </c>
      <c r="L12" s="218">
        <v>-26.5234915386165</v>
      </c>
      <c r="N12" s="223">
        <v>103.8417809634531</v>
      </c>
      <c r="O12" s="218">
        <v>-15.6069819081983</v>
      </c>
      <c r="Q12" s="223">
        <v>107.0366147370068</v>
      </c>
      <c r="R12" s="218">
        <v>12.0523253054768</v>
      </c>
      <c r="T12" s="223">
        <v>94.3173736333856</v>
      </c>
      <c r="U12" s="218">
        <v>12.4153069991255</v>
      </c>
      <c r="W12" s="223">
        <v>100.0303396170495</v>
      </c>
      <c r="X12" s="218">
        <v>21.7428904872085</v>
      </c>
      <c r="Z12" s="224">
        <v>98.9190183095654</v>
      </c>
      <c r="AA12" s="218">
        <v>-2.3587676727642</v>
      </c>
      <c r="AC12" s="244"/>
      <c r="AD12" s="244"/>
      <c r="AE12" s="244"/>
      <c r="AF12" s="244"/>
      <c r="AG12" s="244"/>
      <c r="AH12" s="244"/>
      <c r="AI12" s="244"/>
      <c r="AJ12" s="244"/>
      <c r="AK12" s="244"/>
      <c r="AL12" s="244"/>
      <c r="AM12" s="244"/>
      <c r="AN12" s="244"/>
      <c r="AO12" s="244"/>
      <c r="AP12" s="244"/>
      <c r="AQ12" s="244"/>
      <c r="AR12" s="244"/>
      <c r="AS12" s="244"/>
      <c r="AT12" s="244"/>
      <c r="AU12" s="244"/>
      <c r="AV12" s="244"/>
    </row>
    <row r="13">
      <c r="D13" t="s">
        <v>55</v>
      </c>
      <c r="E13" s="231" t="s">
        <v>170</v>
      </c>
      <c r="F13" s="232" t="s">
        <v>176</v>
      </c>
      <c r="G13" s="176"/>
      <c r="H13" s="231" t="s">
        <v>171</v>
      </c>
      <c r="I13" s="232" t="s">
        <v>180</v>
      </c>
      <c r="J13" s="176"/>
      <c r="K13" s="231" t="s">
        <v>180</v>
      </c>
      <c r="L13" s="232" t="s">
        <v>180</v>
      </c>
      <c r="M13" s="176"/>
      <c r="N13" s="231" t="s">
        <v>171</v>
      </c>
      <c r="O13" s="232" t="s">
        <v>171</v>
      </c>
      <c r="P13" s="176"/>
      <c r="Q13" s="231" t="s">
        <v>171</v>
      </c>
      <c r="R13" s="232" t="s">
        <v>171</v>
      </c>
      <c r="S13" s="176"/>
      <c r="T13" s="231" t="s">
        <v>171</v>
      </c>
      <c r="U13" s="232" t="s">
        <v>176</v>
      </c>
      <c r="V13" s="176"/>
      <c r="W13" s="231" t="s">
        <v>171</v>
      </c>
      <c r="X13" s="232" t="s">
        <v>176</v>
      </c>
      <c r="Y13" s="176"/>
      <c r="Z13" s="233" t="s">
        <v>171</v>
      </c>
      <c r="AA13" s="232" t="s">
        <v>171</v>
      </c>
      <c r="AC13" s="244"/>
      <c r="AD13" s="244"/>
      <c r="AE13" s="244"/>
      <c r="AF13" s="244"/>
      <c r="AG13" s="244"/>
      <c r="AH13" s="244"/>
      <c r="AI13" s="244"/>
      <c r="AJ13" s="244"/>
      <c r="AK13" s="244"/>
      <c r="AL13" s="244"/>
      <c r="AM13" s="244"/>
      <c r="AN13" s="244"/>
      <c r="AO13" s="244"/>
      <c r="AP13" s="244"/>
      <c r="AQ13" s="244"/>
      <c r="AR13" s="244"/>
      <c r="AS13" s="244"/>
      <c r="AT13" s="244"/>
      <c r="AU13" s="244"/>
      <c r="AV13" s="244"/>
    </row>
    <row r="14" ht="8.1" customHeight="1">
      <c r="F14" s="218"/>
      <c r="I14" s="218"/>
      <c r="L14" s="218"/>
      <c r="O14" s="218"/>
      <c r="R14" s="218"/>
      <c r="U14" s="218"/>
      <c r="X14" s="218"/>
      <c r="Z14" s="215"/>
      <c r="AA14" s="218"/>
      <c r="AC14" s="244"/>
      <c r="AD14" s="244"/>
      <c r="AE14" s="244"/>
      <c r="AF14" s="244"/>
      <c r="AG14" s="244"/>
      <c r="AH14" s="244"/>
      <c r="AI14" s="244"/>
      <c r="AJ14" s="244"/>
      <c r="AK14" s="244"/>
      <c r="AL14" s="244"/>
      <c r="AM14" s="244"/>
      <c r="AN14" s="244"/>
      <c r="AO14" s="244"/>
      <c r="AP14" s="244"/>
      <c r="AQ14" s="244"/>
      <c r="AR14" s="244"/>
      <c r="AS14" s="244"/>
      <c r="AT14" s="244"/>
      <c r="AU14" s="244"/>
      <c r="AV14" s="244"/>
    </row>
    <row r="15" ht="12.75" customHeight="1">
      <c r="B15" s="216" t="s">
        <v>24</v>
      </c>
      <c r="C15" s="216"/>
      <c r="D15" s="217" t="s">
        <v>32</v>
      </c>
      <c r="E15" s="221">
        <v>0.0965909090909090909090909091</v>
      </c>
      <c r="F15" s="219">
        <v>-1.9230769232278106508873418200</v>
      </c>
      <c r="G15" s="217"/>
      <c r="H15" s="221">
        <v>0.1287878787878787878787878788</v>
      </c>
      <c r="I15" s="219">
        <v>325.00000000042500000000042504</v>
      </c>
      <c r="J15" s="217"/>
      <c r="K15" s="221">
        <v>0.1571969696969696969696969697</v>
      </c>
      <c r="L15" s="219">
        <v>245.83333332987500000003458334</v>
      </c>
      <c r="M15" s="217"/>
      <c r="N15" s="221">
        <v>0.1893939393939393939393939394</v>
      </c>
      <c r="O15" s="219">
        <v>185.71428571376326530612340432</v>
      </c>
      <c r="P15" s="217"/>
      <c r="Q15" s="221">
        <v>0.1647727272727272727272727273</v>
      </c>
      <c r="R15" s="219">
        <v>33.846153846219739644970446660</v>
      </c>
      <c r="S15" s="217"/>
      <c r="T15" s="221">
        <v>0.0909090909090909090909090909</v>
      </c>
      <c r="U15" s="219">
        <v>-53.398058252485097558676523380</v>
      </c>
      <c r="V15" s="217"/>
      <c r="W15" s="221">
        <v>0.0871212121212121212121212121</v>
      </c>
      <c r="X15" s="219">
        <v>-48.314606741693826537053120060</v>
      </c>
      <c r="Y15" s="217"/>
      <c r="Z15" s="222">
        <v>0.1306818181818181818181818182</v>
      </c>
      <c r="AA15" s="219">
        <v>25.781250000125781250000125800</v>
      </c>
      <c r="AC15" s="244"/>
      <c r="AD15" s="244"/>
      <c r="AE15" s="244"/>
      <c r="AF15" s="244"/>
      <c r="AG15" s="244"/>
      <c r="AH15" s="244"/>
      <c r="AI15" s="244"/>
      <c r="AJ15" s="244"/>
      <c r="AK15" s="244"/>
      <c r="AL15" s="244"/>
      <c r="AM15" s="244"/>
      <c r="AN15" s="244"/>
      <c r="AO15" s="244"/>
      <c r="AP15" s="244"/>
      <c r="AQ15" s="244"/>
      <c r="AR15" s="244"/>
      <c r="AS15" s="244"/>
      <c r="AT15" s="244"/>
      <c r="AU15" s="244"/>
      <c r="AV15" s="244"/>
    </row>
    <row r="16">
      <c r="D16" s="217" t="s">
        <v>26</v>
      </c>
      <c r="E16" s="221">
        <v>0.0232970476661718621144647864</v>
      </c>
      <c r="F16" s="219">
        <v>1852.2925951358365498215936045</v>
      </c>
      <c r="G16" s="217"/>
      <c r="H16" s="221">
        <v>0.043812642695352902121432475</v>
      </c>
      <c r="I16" s="219">
        <v>0</v>
      </c>
      <c r="J16" s="217"/>
      <c r="K16" s="221">
        <v>0.0754703108887741565177756238</v>
      </c>
      <c r="L16" s="219">
        <v>1976.9429557919891365398724717</v>
      </c>
      <c r="M16" s="217"/>
      <c r="N16" s="221">
        <v>0.0910536786191669563522596203</v>
      </c>
      <c r="O16" s="219">
        <v>393.48046705411559619000029903</v>
      </c>
      <c r="P16" s="217"/>
      <c r="Q16" s="221">
        <v>0.0821925948657868782934543198</v>
      </c>
      <c r="R16" s="219">
        <v>345.45635846743450205546536898</v>
      </c>
      <c r="S16" s="217"/>
      <c r="T16" s="221">
        <v>0.0356714696440049261111739409</v>
      </c>
      <c r="U16" s="219">
        <v>215.28701202999975448023522246</v>
      </c>
      <c r="V16" s="217"/>
      <c r="W16" s="221">
        <v>0.0312753234058361339616729248</v>
      </c>
      <c r="X16" s="219">
        <v>363.53727655756801913599105190</v>
      </c>
      <c r="Y16" s="217"/>
      <c r="Z16" s="222">
        <v>0.0546818668264419736388905273</v>
      </c>
      <c r="AA16" s="219">
        <v>540.18773380954644268726963845</v>
      </c>
      <c r="AC16" s="244"/>
      <c r="AD16" s="244"/>
      <c r="AE16" s="244"/>
      <c r="AF16" s="244"/>
      <c r="AG16" s="244"/>
      <c r="AH16" s="244"/>
      <c r="AI16" s="244"/>
      <c r="AJ16" s="244"/>
      <c r="AK16" s="244"/>
      <c r="AL16" s="244"/>
      <c r="AM16" s="244"/>
      <c r="AN16" s="244"/>
      <c r="AO16" s="244"/>
      <c r="AP16" s="244"/>
      <c r="AQ16" s="244"/>
      <c r="AR16" s="244"/>
      <c r="AS16" s="244"/>
      <c r="AT16" s="244"/>
      <c r="AU16" s="244"/>
      <c r="AV16" s="244"/>
    </row>
    <row r="17">
      <c r="D17" t="s">
        <v>22</v>
      </c>
      <c r="E17" s="223">
        <v>414.6057924407094</v>
      </c>
      <c r="F17" s="218">
        <v>-94.9763204899713</v>
      </c>
      <c r="H17" s="223">
        <v>293.9514050417606</v>
      </c>
      <c r="I17" s="218">
        <v>0</v>
      </c>
      <c r="K17" s="223">
        <v>208.2898133653794</v>
      </c>
      <c r="L17" s="218">
        <v>-83.3489248047047</v>
      </c>
      <c r="N17" s="223">
        <v>208.0025126567692</v>
      </c>
      <c r="O17" s="218">
        <v>-42.1022097550522</v>
      </c>
      <c r="Q17" s="223">
        <v>200.4714993380597</v>
      </c>
      <c r="R17" s="218">
        <v>-69.9530265307490</v>
      </c>
      <c r="T17" s="223">
        <v>254.8509826378347</v>
      </c>
      <c r="U17" s="218">
        <v>-85.2192002938751</v>
      </c>
      <c r="W17" s="223">
        <v>278.5621462334691</v>
      </c>
      <c r="X17" s="218">
        <v>-88.8497870889707</v>
      </c>
      <c r="Z17" s="224">
        <v>238.9856560633770</v>
      </c>
      <c r="AA17" s="218">
        <v>-80.3524429853510</v>
      </c>
      <c r="AC17" s="244"/>
      <c r="AD17" s="244"/>
      <c r="AE17" s="244"/>
      <c r="AF17" s="244"/>
      <c r="AG17" s="244"/>
      <c r="AH17" s="244"/>
      <c r="AI17" s="244"/>
      <c r="AJ17" s="244"/>
      <c r="AK17" s="244"/>
      <c r="AL17" s="244"/>
      <c r="AM17" s="244"/>
      <c r="AN17" s="244"/>
      <c r="AO17" s="244"/>
      <c r="AP17" s="244"/>
      <c r="AQ17" s="244"/>
      <c r="AR17" s="244"/>
      <c r="AS17" s="244"/>
      <c r="AT17" s="244"/>
      <c r="AU17" s="244"/>
      <c r="AV17" s="244"/>
    </row>
    <row r="18">
      <c r="D18" t="s">
        <v>55</v>
      </c>
      <c r="E18" s="231" t="s">
        <v>176</v>
      </c>
      <c r="F18" s="232" t="s">
        <v>179</v>
      </c>
      <c r="G18" s="176"/>
      <c r="H18" s="231" t="s">
        <v>176</v>
      </c>
      <c r="I18" s="232" t="s">
        <v>176</v>
      </c>
      <c r="J18" s="176"/>
      <c r="K18" s="231" t="s">
        <v>176</v>
      </c>
      <c r="L18" s="232" t="s">
        <v>170</v>
      </c>
      <c r="M18" s="176"/>
      <c r="N18" s="231" t="s">
        <v>170</v>
      </c>
      <c r="O18" s="232" t="s">
        <v>170</v>
      </c>
      <c r="P18" s="176"/>
      <c r="Q18" s="231" t="s">
        <v>170</v>
      </c>
      <c r="R18" s="232" t="s">
        <v>171</v>
      </c>
      <c r="S18" s="176"/>
      <c r="T18" s="231" t="s">
        <v>176</v>
      </c>
      <c r="U18" s="232" t="s">
        <v>179</v>
      </c>
      <c r="V18" s="176"/>
      <c r="W18" s="231" t="s">
        <v>176</v>
      </c>
      <c r="X18" s="232" t="s">
        <v>179</v>
      </c>
      <c r="Y18" s="176"/>
      <c r="Z18" s="233" t="s">
        <v>176</v>
      </c>
      <c r="AA18" s="232" t="s">
        <v>171</v>
      </c>
      <c r="AC18" s="244"/>
      <c r="AD18" s="244"/>
      <c r="AE18" s="244"/>
      <c r="AF18" s="244"/>
      <c r="AG18" s="244"/>
      <c r="AH18" s="244"/>
      <c r="AI18" s="244"/>
      <c r="AJ18" s="244"/>
      <c r="AK18" s="244"/>
      <c r="AL18" s="244"/>
      <c r="AM18" s="244"/>
      <c r="AN18" s="244"/>
      <c r="AO18" s="244"/>
      <c r="AP18" s="244"/>
      <c r="AQ18" s="244"/>
      <c r="AR18" s="244"/>
      <c r="AS18" s="244"/>
      <c r="AT18" s="244"/>
      <c r="AU18" s="244"/>
      <c r="AV18" s="244"/>
    </row>
    <row r="19" ht="8.1" customHeight="1">
      <c r="F19" s="218"/>
      <c r="I19" s="218"/>
      <c r="L19" s="218"/>
      <c r="O19" s="218"/>
      <c r="R19" s="218"/>
      <c r="U19" s="218"/>
      <c r="X19" s="218"/>
      <c r="Z19" s="215"/>
      <c r="AA19" s="218"/>
      <c r="AC19" s="244"/>
      <c r="AD19" s="244"/>
      <c r="AE19" s="244"/>
      <c r="AF19" s="244"/>
      <c r="AG19" s="244"/>
      <c r="AH19" s="244"/>
      <c r="AI19" s="244"/>
      <c r="AJ19" s="244"/>
      <c r="AK19" s="244"/>
      <c r="AL19" s="244"/>
      <c r="AM19" s="244"/>
      <c r="AN19" s="244"/>
      <c r="AO19" s="244"/>
      <c r="AP19" s="244"/>
      <c r="AQ19" s="244"/>
      <c r="AR19" s="244"/>
      <c r="AS19" s="244"/>
      <c r="AT19" s="244"/>
      <c r="AU19" s="244"/>
      <c r="AV19" s="244"/>
    </row>
    <row r="20" ht="12.75" customHeight="1">
      <c r="B20" s="216" t="s">
        <v>25</v>
      </c>
      <c r="C20" s="216"/>
      <c r="D20" s="217" t="s">
        <v>32</v>
      </c>
      <c r="E20" s="221">
        <v>0</v>
      </c>
      <c r="F20" s="219">
        <v>0</v>
      </c>
      <c r="G20" s="217"/>
      <c r="H20" s="221">
        <v>0</v>
      </c>
      <c r="I20" s="219">
        <v>0</v>
      </c>
      <c r="J20" s="217"/>
      <c r="K20" s="221">
        <v>0</v>
      </c>
      <c r="L20" s="219">
        <v>0</v>
      </c>
      <c r="M20" s="217"/>
      <c r="N20" s="221">
        <v>0</v>
      </c>
      <c r="O20" s="219">
        <v>0</v>
      </c>
      <c r="P20" s="217"/>
      <c r="Q20" s="221">
        <v>0</v>
      </c>
      <c r="R20" s="219">
        <v>0</v>
      </c>
      <c r="S20" s="217"/>
      <c r="T20" s="221">
        <v>0</v>
      </c>
      <c r="U20" s="219">
        <v>0</v>
      </c>
      <c r="V20" s="217"/>
      <c r="W20" s="221">
        <v>0</v>
      </c>
      <c r="X20" s="219">
        <v>0</v>
      </c>
      <c r="Y20" s="217"/>
      <c r="Z20" s="222">
        <v>0</v>
      </c>
      <c r="AA20" s="219">
        <v>0</v>
      </c>
      <c r="AC20" s="244"/>
      <c r="AD20" s="244"/>
      <c r="AE20" s="244"/>
      <c r="AF20" s="244"/>
      <c r="AG20" s="244"/>
      <c r="AH20" s="244"/>
      <c r="AI20" s="244"/>
      <c r="AJ20" s="244"/>
      <c r="AK20" s="244"/>
      <c r="AL20" s="244"/>
      <c r="AM20" s="244"/>
      <c r="AN20" s="244"/>
      <c r="AO20" s="244"/>
      <c r="AP20" s="244"/>
      <c r="AQ20" s="244"/>
      <c r="AR20" s="244"/>
      <c r="AS20" s="244"/>
      <c r="AT20" s="244"/>
      <c r="AU20" s="244"/>
      <c r="AV20" s="244"/>
    </row>
    <row r="21">
      <c r="D21" s="217" t="s">
        <v>26</v>
      </c>
      <c r="E21" s="221">
        <v>0</v>
      </c>
      <c r="F21" s="219">
        <v>0</v>
      </c>
      <c r="G21" s="217"/>
      <c r="H21" s="221">
        <v>0</v>
      </c>
      <c r="I21" s="219">
        <v>0</v>
      </c>
      <c r="J21" s="217"/>
      <c r="K21" s="221">
        <v>0</v>
      </c>
      <c r="L21" s="219">
        <v>0</v>
      </c>
      <c r="M21" s="217"/>
      <c r="N21" s="221">
        <v>0</v>
      </c>
      <c r="O21" s="219">
        <v>0</v>
      </c>
      <c r="P21" s="217"/>
      <c r="Q21" s="221">
        <v>0</v>
      </c>
      <c r="R21" s="219">
        <v>0</v>
      </c>
      <c r="S21" s="217"/>
      <c r="T21" s="221">
        <v>0</v>
      </c>
      <c r="U21" s="219">
        <v>0</v>
      </c>
      <c r="V21" s="217"/>
      <c r="W21" s="221">
        <v>0</v>
      </c>
      <c r="X21" s="219">
        <v>0</v>
      </c>
      <c r="Y21" s="217"/>
      <c r="Z21" s="222">
        <v>0</v>
      </c>
      <c r="AA21" s="219">
        <v>0</v>
      </c>
      <c r="AC21" s="244"/>
      <c r="AD21" s="244"/>
      <c r="AE21" s="244"/>
      <c r="AF21" s="244"/>
      <c r="AG21" s="244"/>
      <c r="AH21" s="244"/>
      <c r="AI21" s="244"/>
      <c r="AJ21" s="244"/>
      <c r="AK21" s="244"/>
      <c r="AL21" s="244"/>
      <c r="AM21" s="244"/>
      <c r="AN21" s="244"/>
      <c r="AO21" s="244"/>
      <c r="AP21" s="244"/>
      <c r="AQ21" s="244"/>
      <c r="AR21" s="244"/>
      <c r="AS21" s="244"/>
      <c r="AT21" s="244"/>
      <c r="AU21" s="244"/>
      <c r="AV21" s="244"/>
    </row>
    <row r="22">
      <c r="D22" t="s">
        <v>22</v>
      </c>
      <c r="E22" s="223">
        <v>0</v>
      </c>
      <c r="F22" s="218">
        <v>0</v>
      </c>
      <c r="H22" s="223">
        <v>0</v>
      </c>
      <c r="I22" s="218">
        <v>0</v>
      </c>
      <c r="K22" s="223">
        <v>0</v>
      </c>
      <c r="L22" s="218">
        <v>0</v>
      </c>
      <c r="N22" s="223">
        <v>0</v>
      </c>
      <c r="O22" s="218">
        <v>0</v>
      </c>
      <c r="Q22" s="223">
        <v>0</v>
      </c>
      <c r="R22" s="218">
        <v>0</v>
      </c>
      <c r="T22" s="223">
        <v>0</v>
      </c>
      <c r="U22" s="218">
        <v>0</v>
      </c>
      <c r="W22" s="223">
        <v>0</v>
      </c>
      <c r="X22" s="218">
        <v>0</v>
      </c>
      <c r="Z22" s="224">
        <v>0</v>
      </c>
      <c r="AA22" s="218">
        <v>0</v>
      </c>
      <c r="AC22" s="244"/>
      <c r="AD22" s="244"/>
      <c r="AE22" s="244"/>
      <c r="AF22" s="244"/>
      <c r="AG22" s="244"/>
      <c r="AH22" s="244"/>
      <c r="AI22" s="244"/>
      <c r="AJ22" s="244"/>
      <c r="AK22" s="244"/>
      <c r="AL22" s="244"/>
      <c r="AM22" s="244"/>
      <c r="AN22" s="244"/>
      <c r="AO22" s="244"/>
      <c r="AP22" s="244"/>
      <c r="AQ22" s="244"/>
      <c r="AR22" s="244"/>
      <c r="AS22" s="244"/>
      <c r="AT22" s="244"/>
      <c r="AU22" s="244"/>
      <c r="AV22" s="244"/>
    </row>
    <row r="23">
      <c r="D23" t="s">
        <v>55</v>
      </c>
      <c r="E23" s="231" t="s">
        <v>177</v>
      </c>
      <c r="F23" s="232"/>
      <c r="G23" s="176"/>
      <c r="H23" s="231" t="s">
        <v>177</v>
      </c>
      <c r="I23" s="232"/>
      <c r="J23" s="176"/>
      <c r="K23" s="231" t="s">
        <v>177</v>
      </c>
      <c r="L23" s="232"/>
      <c r="M23" s="176"/>
      <c r="N23" s="231" t="s">
        <v>177</v>
      </c>
      <c r="O23" s="232"/>
      <c r="P23" s="176"/>
      <c r="Q23" s="231" t="s">
        <v>177</v>
      </c>
      <c r="R23" s="232"/>
      <c r="S23" s="176"/>
      <c r="T23" s="231" t="s">
        <v>177</v>
      </c>
      <c r="U23" s="232"/>
      <c r="V23" s="176"/>
      <c r="W23" s="231" t="s">
        <v>177</v>
      </c>
      <c r="X23" s="232"/>
      <c r="Y23" s="176"/>
      <c r="Z23" s="233" t="s">
        <v>177</v>
      </c>
      <c r="AA23" s="232"/>
      <c r="AC23" s="244"/>
      <c r="AD23" s="244"/>
      <c r="AE23" s="244"/>
      <c r="AF23" s="244"/>
      <c r="AG23" s="244"/>
      <c r="AH23" s="244"/>
      <c r="AI23" s="244"/>
      <c r="AJ23" s="244"/>
      <c r="AK23" s="244"/>
      <c r="AL23" s="244"/>
      <c r="AM23" s="244"/>
      <c r="AN23" s="244"/>
      <c r="AO23" s="244"/>
      <c r="AP23" s="244"/>
      <c r="AQ23" s="244"/>
      <c r="AR23" s="244"/>
      <c r="AS23" s="244"/>
      <c r="AT23" s="244"/>
      <c r="AU23" s="244"/>
      <c r="AV23" s="244"/>
    </row>
    <row r="24" ht="15">
      <c r="B24" s="612"/>
      <c r="C24" s="612"/>
      <c r="D24" s="612"/>
      <c r="E24" s="612"/>
      <c r="F24" s="612"/>
      <c r="G24" s="612"/>
      <c r="H24" s="612"/>
      <c r="I24" s="612"/>
      <c r="J24" s="612"/>
      <c r="K24" s="612"/>
      <c r="L24" s="612"/>
      <c r="M24" s="612"/>
      <c r="N24" s="612"/>
      <c r="O24" s="612"/>
      <c r="P24" s="612"/>
      <c r="Q24" s="612"/>
      <c r="R24" s="612"/>
      <c r="S24" s="612"/>
      <c r="T24" s="612"/>
      <c r="U24" s="612"/>
      <c r="V24" s="612"/>
      <c r="W24" s="612"/>
      <c r="X24" s="612"/>
      <c r="Y24" s="612"/>
      <c r="Z24" s="612"/>
      <c r="AA24" s="612"/>
      <c r="AC24" s="244"/>
      <c r="AD24" s="244"/>
      <c r="AE24" s="244"/>
      <c r="AF24" s="244"/>
      <c r="AG24" s="244"/>
      <c r="AH24" s="244"/>
      <c r="AI24" s="244"/>
      <c r="AJ24" s="244"/>
      <c r="AK24" s="244"/>
      <c r="AL24" s="244"/>
      <c r="AM24" s="244"/>
      <c r="AN24" s="244"/>
      <c r="AO24" s="244"/>
      <c r="AP24" s="244"/>
      <c r="AQ24" s="244"/>
      <c r="AR24" s="244"/>
      <c r="AS24" s="244"/>
      <c r="AT24" s="244"/>
      <c r="AU24" s="244"/>
      <c r="AV24" s="244"/>
    </row>
    <row r="25" ht="18">
      <c r="B25" s="220" t="s">
        <v>12</v>
      </c>
      <c r="C25" s="57"/>
      <c r="E25" s="648" t="s">
        <v>40</v>
      </c>
      <c r="F25" s="648"/>
      <c r="H25" s="648" t="s">
        <v>39</v>
      </c>
      <c r="I25" s="648"/>
      <c r="K25" s="648" t="s">
        <v>41</v>
      </c>
      <c r="L25" s="648"/>
      <c r="N25" s="648" t="s">
        <v>42</v>
      </c>
      <c r="O25" s="648"/>
      <c r="Q25" s="648" t="s">
        <v>43</v>
      </c>
      <c r="R25" s="648"/>
      <c r="T25" s="648" t="s">
        <v>44</v>
      </c>
      <c r="U25" s="648"/>
      <c r="W25" s="648" t="s">
        <v>45</v>
      </c>
      <c r="X25" s="648"/>
      <c r="Z25" s="649" t="s">
        <v>23</v>
      </c>
      <c r="AA25" s="649"/>
      <c r="AC25" s="244"/>
      <c r="AD25" s="244"/>
      <c r="AE25" s="244"/>
      <c r="AF25" s="244"/>
      <c r="AG25" s="244"/>
      <c r="AH25" s="244"/>
      <c r="AI25" s="244"/>
      <c r="AJ25" s="244"/>
      <c r="AK25" s="244"/>
      <c r="AL25" s="244"/>
      <c r="AM25" s="244"/>
      <c r="AN25" s="244"/>
      <c r="AO25" s="244"/>
      <c r="AP25" s="244"/>
      <c r="AQ25" s="244"/>
      <c r="AR25" s="244"/>
      <c r="AS25" s="244"/>
      <c r="AT25" s="244"/>
      <c r="AU25" s="244"/>
      <c r="AV25" s="244"/>
    </row>
    <row r="26">
      <c r="E26" s="176"/>
      <c r="F26" s="176" t="s">
        <v>57</v>
      </c>
      <c r="G26" s="176"/>
      <c r="H26" s="176"/>
      <c r="I26" s="176" t="s">
        <v>57</v>
      </c>
      <c r="J26" s="176"/>
      <c r="K26" s="176"/>
      <c r="L26" s="176" t="s">
        <v>57</v>
      </c>
      <c r="M26" s="176"/>
      <c r="N26" s="176"/>
      <c r="O26" s="176" t="s">
        <v>57</v>
      </c>
      <c r="P26" s="176"/>
      <c r="Q26" s="176"/>
      <c r="R26" s="176" t="s">
        <v>57</v>
      </c>
      <c r="S26" s="176"/>
      <c r="T26" s="176"/>
      <c r="U26" s="176" t="s">
        <v>57</v>
      </c>
      <c r="V26" s="176"/>
      <c r="W26" s="176"/>
      <c r="X26" s="176" t="s">
        <v>57</v>
      </c>
      <c r="Y26" s="176"/>
      <c r="Z26" s="226"/>
      <c r="AA26" s="176" t="s">
        <v>57</v>
      </c>
      <c r="AC26" s="244"/>
      <c r="AD26" s="244"/>
      <c r="AE26" s="244"/>
      <c r="AF26" s="244"/>
      <c r="AG26" s="244"/>
      <c r="AH26" s="244"/>
      <c r="AI26" s="244"/>
      <c r="AJ26" s="244"/>
      <c r="AK26" s="244"/>
      <c r="AL26" s="244"/>
      <c r="AM26" s="244"/>
      <c r="AN26" s="244"/>
      <c r="AO26" s="244"/>
      <c r="AP26" s="244"/>
      <c r="AQ26" s="244"/>
      <c r="AR26" s="244"/>
      <c r="AS26" s="244"/>
      <c r="AT26" s="244"/>
      <c r="AU26" s="244"/>
      <c r="AV26" s="244"/>
    </row>
    <row r="27">
      <c r="B27" s="216" t="s">
        <v>23</v>
      </c>
      <c r="C27" s="216"/>
      <c r="D27" s="217" t="s">
        <v>32</v>
      </c>
      <c r="E27" s="598">
        <v>231.12731481481481481481481481</v>
      </c>
      <c r="F27" s="219">
        <v>-7.5729527767070975985476121300</v>
      </c>
      <c r="G27" s="217"/>
      <c r="H27" s="598">
        <v>211.76699029126213592233009709</v>
      </c>
      <c r="I27" s="219">
        <v>23.048161952519678637312651770</v>
      </c>
      <c r="J27" s="217"/>
      <c r="K27" s="225">
        <v>222.12068965517241379310344828</v>
      </c>
      <c r="L27" s="219">
        <v>28.967793403953768948637518890</v>
      </c>
      <c r="M27" s="217"/>
      <c r="N27" s="598">
        <v>200.93846153846153846153846154</v>
      </c>
      <c r="O27" s="219">
        <v>14.244159537252919774719173100</v>
      </c>
      <c r="P27" s="217"/>
      <c r="Q27" s="598">
        <v>217.25319148936170212765957447</v>
      </c>
      <c r="R27" s="219">
        <v>-5.5673015221557471453010238600</v>
      </c>
      <c r="S27" s="217"/>
      <c r="T27" s="598">
        <v>307.17342342342342342342342342</v>
      </c>
      <c r="U27" s="219">
        <v>-0.817541707367192144290714800</v>
      </c>
      <c r="V27" s="217"/>
      <c r="W27" s="598">
        <v>311.4236252545824847250509165</v>
      </c>
      <c r="X27" s="219">
        <v>-3.1879939217579074539169516900</v>
      </c>
      <c r="Y27" s="217"/>
      <c r="Z27" s="599">
        <v>244.40707395498392282958199357</v>
      </c>
      <c r="AA27" s="219">
        <v>4.4180046509130757163499552500</v>
      </c>
      <c r="AC27" s="244"/>
      <c r="AD27" s="244"/>
      <c r="AE27" s="244"/>
      <c r="AF27" s="244"/>
      <c r="AG27" s="244"/>
      <c r="AH27" s="244"/>
      <c r="AI27" s="244"/>
      <c r="AJ27" s="244"/>
      <c r="AK27" s="244"/>
      <c r="AL27" s="244"/>
      <c r="AM27" s="244"/>
      <c r="AN27" s="244"/>
      <c r="AO27" s="244"/>
      <c r="AP27" s="244"/>
      <c r="AQ27" s="244"/>
      <c r="AR27" s="244"/>
      <c r="AS27" s="244"/>
      <c r="AT27" s="244"/>
      <c r="AU27" s="244"/>
      <c r="AV27" s="244"/>
    </row>
    <row r="28">
      <c r="D28" s="217" t="s">
        <v>26</v>
      </c>
      <c r="E28" s="598">
        <v>293.19211822660098522167487685</v>
      </c>
      <c r="F28" s="219">
        <v>16.455419398643718944796138880</v>
      </c>
      <c r="G28" s="217"/>
      <c r="H28" s="598">
        <v>284.74213907359404936323678576</v>
      </c>
      <c r="I28" s="219">
        <v>22.074243609621759188563087050</v>
      </c>
      <c r="J28" s="217"/>
      <c r="K28" s="598">
        <v>270.93788697357895082901384064</v>
      </c>
      <c r="L28" s="219">
        <v>18.635480498293095713484027280</v>
      </c>
      <c r="M28" s="217"/>
      <c r="N28" s="598">
        <v>262.32782486183431737801114041</v>
      </c>
      <c r="O28" s="219">
        <v>16.718512387183269893579767960</v>
      </c>
      <c r="P28" s="217"/>
      <c r="Q28" s="598">
        <v>291.60482499170660436620811834</v>
      </c>
      <c r="R28" s="219">
        <v>9.377626711104108604494134480</v>
      </c>
      <c r="S28" s="217"/>
      <c r="T28" s="598">
        <v>353.28353516835364594092129726</v>
      </c>
      <c r="U28" s="219">
        <v>4.162588805985203723053285200</v>
      </c>
      <c r="V28" s="217"/>
      <c r="W28" s="598">
        <v>375.3650232472494590986511992</v>
      </c>
      <c r="X28" s="219">
        <v>4.4891259896450175344375939800</v>
      </c>
      <c r="Y28" s="217"/>
      <c r="Z28" s="599">
        <v>307.07860495028509028354443425</v>
      </c>
      <c r="AA28" s="219">
        <v>10.821368893772325814611272390</v>
      </c>
      <c r="AC28" s="244"/>
      <c r="AD28" s="244"/>
      <c r="AE28" s="244"/>
      <c r="AF28" s="244"/>
      <c r="AG28" s="244"/>
      <c r="AH28" s="244"/>
      <c r="AI28" s="244"/>
      <c r="AJ28" s="244"/>
      <c r="AK28" s="244"/>
      <c r="AL28" s="244"/>
      <c r="AM28" s="244"/>
      <c r="AN28" s="244"/>
      <c r="AO28" s="244"/>
      <c r="AP28" s="244"/>
      <c r="AQ28" s="244"/>
      <c r="AR28" s="244"/>
      <c r="AS28" s="244"/>
      <c r="AT28" s="244"/>
      <c r="AU28" s="244"/>
      <c r="AV28" s="244"/>
    </row>
    <row r="29">
      <c r="D29" t="s">
        <v>92</v>
      </c>
      <c r="E29" s="223">
        <v>78.8313533845350</v>
      </c>
      <c r="F29" s="218">
        <v>-20.6331077587102</v>
      </c>
      <c r="H29" s="223">
        <v>74.3714966039939</v>
      </c>
      <c r="I29" s="218">
        <v>0.7978082141687</v>
      </c>
      <c r="K29" s="223">
        <v>81.9821443712727</v>
      </c>
      <c r="L29" s="218">
        <v>8.7092941018138</v>
      </c>
      <c r="N29" s="223">
        <v>76.5982265298469</v>
      </c>
      <c r="O29" s="218">
        <v>-2.1199317908809</v>
      </c>
      <c r="Q29" s="223">
        <v>74.5026051937054</v>
      </c>
      <c r="R29" s="218">
        <v>-13.6636062443695</v>
      </c>
      <c r="T29" s="223">
        <v>86.9481288668046</v>
      </c>
      <c r="U29" s="218">
        <v>-4.7811124612609</v>
      </c>
      <c r="W29" s="223">
        <v>82.9655417972952</v>
      </c>
      <c r="X29" s="218">
        <v>-7.3472907717627</v>
      </c>
      <c r="Z29" s="224">
        <v>79.5910460758218</v>
      </c>
      <c r="AA29" s="218">
        <v>-5.7780952416882</v>
      </c>
      <c r="AC29" s="244"/>
      <c r="AD29" s="244"/>
      <c r="AE29" s="244"/>
      <c r="AF29" s="244"/>
      <c r="AG29" s="244"/>
      <c r="AH29" s="244"/>
      <c r="AI29" s="244"/>
      <c r="AJ29" s="244"/>
      <c r="AK29" s="244"/>
      <c r="AL29" s="244"/>
      <c r="AM29" s="244"/>
      <c r="AN29" s="244"/>
      <c r="AO29" s="244"/>
      <c r="AP29" s="244"/>
      <c r="AQ29" s="244"/>
      <c r="AR29" s="244"/>
      <c r="AS29" s="244"/>
      <c r="AT29" s="244"/>
      <c r="AU29" s="244"/>
      <c r="AV29" s="244"/>
    </row>
    <row r="30">
      <c r="D30" s="214" t="s">
        <v>55</v>
      </c>
      <c r="E30" s="227" t="s">
        <v>170</v>
      </c>
      <c r="F30" s="228" t="s">
        <v>179</v>
      </c>
      <c r="G30" s="229"/>
      <c r="H30" s="227" t="s">
        <v>170</v>
      </c>
      <c r="I30" s="228" t="s">
        <v>170</v>
      </c>
      <c r="J30" s="229"/>
      <c r="K30" s="227" t="s">
        <v>170</v>
      </c>
      <c r="L30" s="228" t="s">
        <v>170</v>
      </c>
      <c r="M30" s="229"/>
      <c r="N30" s="227" t="s">
        <v>170</v>
      </c>
      <c r="O30" s="228" t="s">
        <v>176</v>
      </c>
      <c r="P30" s="229"/>
      <c r="Q30" s="227" t="s">
        <v>170</v>
      </c>
      <c r="R30" s="228" t="s">
        <v>179</v>
      </c>
      <c r="S30" s="229"/>
      <c r="T30" s="227" t="s">
        <v>170</v>
      </c>
      <c r="U30" s="228" t="s">
        <v>171</v>
      </c>
      <c r="V30" s="229"/>
      <c r="W30" s="227" t="s">
        <v>170</v>
      </c>
      <c r="X30" s="228" t="s">
        <v>170</v>
      </c>
      <c r="Y30" s="229"/>
      <c r="Z30" s="230" t="s">
        <v>170</v>
      </c>
      <c r="AA30" s="228" t="s">
        <v>170</v>
      </c>
      <c r="AC30" s="244"/>
      <c r="AD30" s="244"/>
      <c r="AE30" s="244"/>
      <c r="AF30" s="244"/>
      <c r="AG30" s="244"/>
      <c r="AH30" s="244"/>
      <c r="AI30" s="244"/>
      <c r="AJ30" s="244"/>
      <c r="AK30" s="244"/>
      <c r="AL30" s="244"/>
      <c r="AM30" s="244"/>
      <c r="AN30" s="244"/>
      <c r="AO30" s="244"/>
      <c r="AP30" s="244"/>
      <c r="AQ30" s="244"/>
      <c r="AR30" s="244"/>
      <c r="AS30" s="244"/>
      <c r="AT30" s="244"/>
      <c r="AU30" s="244"/>
      <c r="AV30" s="244"/>
    </row>
    <row r="31" ht="8.1" customHeight="1">
      <c r="F31" s="218"/>
      <c r="I31" s="218"/>
      <c r="L31" s="218"/>
      <c r="O31" s="218"/>
      <c r="R31" s="218"/>
      <c r="U31" s="218"/>
      <c r="X31" s="218"/>
      <c r="Z31" s="215"/>
      <c r="AA31" s="218"/>
      <c r="AC31" s="244"/>
      <c r="AD31" s="244"/>
      <c r="AE31" s="244"/>
      <c r="AF31" s="244"/>
      <c r="AG31" s="244"/>
      <c r="AH31" s="244"/>
      <c r="AI31" s="244"/>
      <c r="AJ31" s="244"/>
      <c r="AK31" s="244"/>
      <c r="AL31" s="244"/>
      <c r="AM31" s="244"/>
      <c r="AN31" s="244"/>
      <c r="AO31" s="244"/>
      <c r="AP31" s="244"/>
      <c r="AQ31" s="244"/>
      <c r="AR31" s="244"/>
      <c r="AS31" s="244"/>
      <c r="AT31" s="244"/>
      <c r="AU31" s="244"/>
      <c r="AV31" s="244"/>
    </row>
    <row r="32">
      <c r="B32" s="216" t="s">
        <v>21</v>
      </c>
      <c r="C32" s="216"/>
      <c r="D32" s="217" t="s">
        <v>32</v>
      </c>
      <c r="E32" s="598">
        <v>218.24934383202099737532808399</v>
      </c>
      <c r="F32" s="219">
        <v>-2.9905173750317923157768507900</v>
      </c>
      <c r="G32" s="217"/>
      <c r="H32" s="598">
        <v>216.98546511627906976744186047</v>
      </c>
      <c r="I32" s="219">
        <v>27.234699721828739326589980620</v>
      </c>
      <c r="J32" s="217"/>
      <c r="K32" s="598">
        <v>227.99690402476780185758513932</v>
      </c>
      <c r="L32" s="219">
        <v>33.796607335607047327544279660</v>
      </c>
      <c r="M32" s="217"/>
      <c r="N32" s="598">
        <v>198.70985915492957746478873239</v>
      </c>
      <c r="O32" s="219">
        <v>16.599609799118306616496303120</v>
      </c>
      <c r="P32" s="217"/>
      <c r="Q32" s="598">
        <v>211.36292428198433420365535248</v>
      </c>
      <c r="R32" s="219">
        <v>3.7132967650607610247439155800</v>
      </c>
      <c r="S32" s="217"/>
      <c r="T32" s="598">
        <v>294.47979797979797979797979798</v>
      </c>
      <c r="U32" s="219">
        <v>2.3765499273890255116959536800</v>
      </c>
      <c r="V32" s="217"/>
      <c r="W32" s="598">
        <v>300.93033707865168539325842697</v>
      </c>
      <c r="X32" s="219">
        <v>0.9637710698731214586973791500</v>
      </c>
      <c r="Y32" s="217"/>
      <c r="Z32" s="599">
        <v>241.13475447278264179672630377</v>
      </c>
      <c r="AA32" s="219">
        <v>11.951229316486039428071224390</v>
      </c>
      <c r="AC32" s="244"/>
      <c r="AD32" s="244"/>
      <c r="AE32" s="244"/>
      <c r="AF32" s="244"/>
      <c r="AG32" s="244"/>
      <c r="AH32" s="244"/>
      <c r="AI32" s="244"/>
      <c r="AJ32" s="244"/>
      <c r="AK32" s="244"/>
      <c r="AL32" s="244"/>
      <c r="AM32" s="244"/>
      <c r="AN32" s="244"/>
      <c r="AO32" s="244"/>
      <c r="AP32" s="244"/>
      <c r="AQ32" s="244"/>
      <c r="AR32" s="244"/>
      <c r="AS32" s="244"/>
      <c r="AT32" s="244"/>
      <c r="AU32" s="244"/>
      <c r="AV32" s="244"/>
    </row>
    <row r="33">
      <c r="D33" s="217" t="s">
        <v>26</v>
      </c>
      <c r="E33" s="598">
        <v>287.30438024920405226902124699</v>
      </c>
      <c r="F33" s="219">
        <v>14.095264091976568183801237330</v>
      </c>
      <c r="G33" s="217"/>
      <c r="H33" s="598">
        <v>277.77936233811608848430815101</v>
      </c>
      <c r="I33" s="219">
        <v>19.089171901684424331458003390</v>
      </c>
      <c r="J33" s="217"/>
      <c r="K33" s="598">
        <v>257.50343577983838669444839536</v>
      </c>
      <c r="L33" s="219">
        <v>13.096213846422552206385361360</v>
      </c>
      <c r="M33" s="217"/>
      <c r="N33" s="598">
        <v>243.94605039233127258192304263</v>
      </c>
      <c r="O33" s="219">
        <v>9.965567584646920078312653160</v>
      </c>
      <c r="P33" s="217"/>
      <c r="Q33" s="598">
        <v>275.54817820762219663529405445</v>
      </c>
      <c r="R33" s="219">
        <v>3.9478691934222934553596567200</v>
      </c>
      <c r="S33" s="217"/>
      <c r="T33" s="598">
        <v>348.27584541051737033060627861</v>
      </c>
      <c r="U33" s="219">
        <v>2.6070608411565206580545444900</v>
      </c>
      <c r="V33" s="217"/>
      <c r="W33" s="598">
        <v>371.468648312336892401273564</v>
      </c>
      <c r="X33" s="219">
        <v>3.3966039448474855791784869200</v>
      </c>
      <c r="Y33" s="217"/>
      <c r="Z33" s="599">
        <v>298.66038765245458345611747594</v>
      </c>
      <c r="AA33" s="219">
        <v>8.016637350211616721461204810</v>
      </c>
      <c r="AC33" s="244"/>
      <c r="AD33" s="244"/>
      <c r="AE33" s="244"/>
      <c r="AF33" s="244"/>
      <c r="AG33" s="244"/>
      <c r="AH33" s="244"/>
      <c r="AI33" s="244"/>
      <c r="AJ33" s="244"/>
      <c r="AK33" s="244"/>
      <c r="AL33" s="244"/>
      <c r="AM33" s="244"/>
      <c r="AN33" s="244"/>
      <c r="AO33" s="244"/>
      <c r="AP33" s="244"/>
      <c r="AQ33" s="244"/>
      <c r="AR33" s="244"/>
      <c r="AS33" s="244"/>
      <c r="AT33" s="244"/>
      <c r="AU33" s="244"/>
      <c r="AV33" s="244"/>
    </row>
    <row r="34">
      <c r="D34" t="s">
        <v>22</v>
      </c>
      <c r="E34" s="223">
        <v>75.9645027488678</v>
      </c>
      <c r="F34" s="218">
        <v>-14.9750137334377</v>
      </c>
      <c r="H34" s="223">
        <v>78.1143218451825</v>
      </c>
      <c r="I34" s="218">
        <v>6.8398559583611</v>
      </c>
      <c r="K34" s="223">
        <v>88.5413056079515</v>
      </c>
      <c r="L34" s="218">
        <v>18.3033479062964</v>
      </c>
      <c r="N34" s="223">
        <v>81.4564772970810</v>
      </c>
      <c r="O34" s="218">
        <v>6.0328358777826</v>
      </c>
      <c r="Q34" s="223">
        <v>76.7063406685788</v>
      </c>
      <c r="R34" s="218">
        <v>-0.2256635274889</v>
      </c>
      <c r="T34" s="223">
        <v>84.5536094048398</v>
      </c>
      <c r="U34" s="218">
        <v>-0.2246540461377</v>
      </c>
      <c r="W34" s="223">
        <v>81.0109651099423</v>
      </c>
      <c r="X34" s="218">
        <v>-2.3529137148511</v>
      </c>
      <c r="Z34" s="224">
        <v>80.7387803813306</v>
      </c>
      <c r="AA34" s="218">
        <v>3.6425795717777</v>
      </c>
      <c r="AC34" s="244"/>
      <c r="AD34" s="244"/>
      <c r="AE34" s="244"/>
      <c r="AF34" s="244"/>
      <c r="AG34" s="244"/>
      <c r="AH34" s="244"/>
      <c r="AI34" s="244"/>
      <c r="AJ34" s="244"/>
      <c r="AK34" s="244"/>
      <c r="AL34" s="244"/>
      <c r="AM34" s="244"/>
      <c r="AN34" s="244"/>
      <c r="AO34" s="244"/>
      <c r="AP34" s="244"/>
      <c r="AQ34" s="244"/>
      <c r="AR34" s="244"/>
      <c r="AS34" s="244"/>
      <c r="AT34" s="244"/>
      <c r="AU34" s="244"/>
      <c r="AV34" s="244"/>
    </row>
    <row r="35">
      <c r="D35" t="s">
        <v>55</v>
      </c>
      <c r="E35" s="231" t="s">
        <v>170</v>
      </c>
      <c r="F35" s="232" t="s">
        <v>180</v>
      </c>
      <c r="G35" s="176"/>
      <c r="H35" s="231" t="s">
        <v>170</v>
      </c>
      <c r="I35" s="232" t="s">
        <v>170</v>
      </c>
      <c r="J35" s="176"/>
      <c r="K35" s="231" t="s">
        <v>170</v>
      </c>
      <c r="L35" s="232" t="s">
        <v>176</v>
      </c>
      <c r="M35" s="176"/>
      <c r="N35" s="231" t="s">
        <v>170</v>
      </c>
      <c r="O35" s="232" t="s">
        <v>176</v>
      </c>
      <c r="P35" s="176"/>
      <c r="Q35" s="231" t="s">
        <v>170</v>
      </c>
      <c r="R35" s="232" t="s">
        <v>171</v>
      </c>
      <c r="S35" s="176"/>
      <c r="T35" s="231" t="s">
        <v>170</v>
      </c>
      <c r="U35" s="232" t="s">
        <v>170</v>
      </c>
      <c r="V35" s="176"/>
      <c r="W35" s="231" t="s">
        <v>170</v>
      </c>
      <c r="X35" s="232" t="s">
        <v>170</v>
      </c>
      <c r="Y35" s="176"/>
      <c r="Z35" s="233" t="s">
        <v>170</v>
      </c>
      <c r="AA35" s="232" t="s">
        <v>176</v>
      </c>
      <c r="AC35" s="244"/>
      <c r="AD35" s="244"/>
      <c r="AE35" s="244"/>
      <c r="AF35" s="244"/>
      <c r="AG35" s="244"/>
      <c r="AH35" s="244"/>
      <c r="AI35" s="244"/>
      <c r="AJ35" s="244"/>
      <c r="AK35" s="244"/>
      <c r="AL35" s="244"/>
      <c r="AM35" s="244"/>
      <c r="AN35" s="244"/>
      <c r="AO35" s="244"/>
      <c r="AP35" s="244"/>
      <c r="AQ35" s="244"/>
      <c r="AR35" s="244"/>
      <c r="AS35" s="244"/>
      <c r="AT35" s="244"/>
      <c r="AU35" s="244"/>
      <c r="AV35" s="244"/>
    </row>
    <row r="36" ht="8.1" customHeight="1">
      <c r="F36" s="218"/>
      <c r="I36" s="218"/>
      <c r="L36" s="218"/>
      <c r="O36" s="218"/>
      <c r="R36" s="218"/>
      <c r="U36" s="218"/>
      <c r="X36" s="218"/>
      <c r="Z36" s="215"/>
      <c r="AA36" s="218"/>
      <c r="AC36" s="244"/>
      <c r="AD36" s="244"/>
      <c r="AE36" s="244"/>
      <c r="AF36" s="244"/>
      <c r="AG36" s="244"/>
      <c r="AH36" s="244"/>
      <c r="AI36" s="244"/>
      <c r="AJ36" s="244"/>
      <c r="AK36" s="244"/>
      <c r="AL36" s="244"/>
      <c r="AM36" s="244"/>
      <c r="AN36" s="244"/>
      <c r="AO36" s="244"/>
      <c r="AP36" s="244"/>
      <c r="AQ36" s="244"/>
      <c r="AR36" s="244"/>
      <c r="AS36" s="244"/>
      <c r="AT36" s="244"/>
      <c r="AU36" s="244"/>
      <c r="AV36" s="244"/>
    </row>
    <row r="37">
      <c r="B37" s="216" t="s">
        <v>24</v>
      </c>
      <c r="C37" s="216"/>
      <c r="D37" s="217" t="s">
        <v>32</v>
      </c>
      <c r="E37" s="598">
        <v>327.33333333333333333333333333</v>
      </c>
      <c r="F37" s="219">
        <v>-25.874958266204092094535895870</v>
      </c>
      <c r="G37" s="217"/>
      <c r="H37" s="598">
        <v>185.36764705882352941176470588</v>
      </c>
      <c r="I37" s="219">
        <v>-13.404894804637183340489480460</v>
      </c>
      <c r="J37" s="217"/>
      <c r="K37" s="598">
        <v>199.2530120481927710843373494</v>
      </c>
      <c r="L37" s="219">
        <v>-2.7243228405735412644147315400</v>
      </c>
      <c r="M37" s="217"/>
      <c r="N37" s="598">
        <v>208.85</v>
      </c>
      <c r="O37" s="219">
        <v>-14.335520918785890073831009020</v>
      </c>
      <c r="P37" s="217"/>
      <c r="Q37" s="598">
        <v>243.18390804597701149425287356</v>
      </c>
      <c r="R37" s="219">
        <v>-37.333674187321311428513504010</v>
      </c>
      <c r="S37" s="217"/>
      <c r="T37" s="598">
        <v>411.89583333333333333333333333</v>
      </c>
      <c r="U37" s="219">
        <v>5.3756012849574162404670822100</v>
      </c>
      <c r="V37" s="217"/>
      <c r="W37" s="598">
        <v>412.93478260869565217391304348</v>
      </c>
      <c r="X37" s="219">
        <v>-2.3327868075874023456739835100</v>
      </c>
      <c r="Y37" s="217"/>
      <c r="Z37" s="599">
        <v>262.20496894409937888198757764</v>
      </c>
      <c r="AA37" s="219">
        <v>-29.565579761928810651976721600</v>
      </c>
      <c r="AC37" s="244"/>
      <c r="AD37" s="244"/>
      <c r="AE37" s="244"/>
      <c r="AF37" s="244"/>
      <c r="AG37" s="244"/>
      <c r="AH37" s="244"/>
      <c r="AI37" s="244"/>
      <c r="AJ37" s="244"/>
      <c r="AK37" s="244"/>
      <c r="AL37" s="244"/>
      <c r="AM37" s="244"/>
      <c r="AN37" s="244"/>
      <c r="AO37" s="244"/>
      <c r="AP37" s="244"/>
      <c r="AQ37" s="244"/>
      <c r="AR37" s="244"/>
      <c r="AS37" s="244"/>
      <c r="AT37" s="244"/>
      <c r="AU37" s="244"/>
      <c r="AV37" s="244"/>
    </row>
    <row r="38">
      <c r="D38" s="217" t="s">
        <v>26</v>
      </c>
      <c r="E38" s="598">
        <v>473.72553525698326897676997221</v>
      </c>
      <c r="F38" s="219">
        <v>115.33039053740815786681497441</v>
      </c>
      <c r="G38" s="217"/>
      <c r="H38" s="598">
        <v>395.00631359267108010741810357</v>
      </c>
      <c r="I38" s="219">
        <v>0</v>
      </c>
      <c r="J38" s="217"/>
      <c r="K38" s="598">
        <v>388.18805353606272777905236955</v>
      </c>
      <c r="L38" s="219">
        <v>10.594887047311318455570475660</v>
      </c>
      <c r="M38" s="217"/>
      <c r="N38" s="598">
        <v>393.0388556867648894710467739</v>
      </c>
      <c r="O38" s="219">
        <v>18.924535003775631924469943850</v>
      </c>
      <c r="P38" s="217"/>
      <c r="Q38" s="598">
        <v>423.99466231732172997262837797</v>
      </c>
      <c r="R38" s="219">
        <v>28.290843085042984538396034020</v>
      </c>
      <c r="S38" s="217"/>
      <c r="T38" s="598">
        <v>464.91483386262136326198725083</v>
      </c>
      <c r="U38" s="219">
        <v>45.556223992771558952947079530</v>
      </c>
      <c r="V38" s="217"/>
      <c r="W38" s="598">
        <v>480.33214209500228333032664238</v>
      </c>
      <c r="X38" s="219">
        <v>35.051738969338242158997423020</v>
      </c>
      <c r="Y38" s="217"/>
      <c r="Z38" s="599">
        <v>417.69642908606656992457892965</v>
      </c>
      <c r="AA38" s="219">
        <v>26.468293994541424263521486810</v>
      </c>
      <c r="AC38" s="244"/>
      <c r="AD38" s="244"/>
      <c r="AE38" s="244"/>
      <c r="AF38" s="244"/>
      <c r="AG38" s="244"/>
      <c r="AH38" s="244"/>
      <c r="AI38" s="244"/>
      <c r="AJ38" s="244"/>
      <c r="AK38" s="244"/>
      <c r="AL38" s="244"/>
      <c r="AM38" s="244"/>
      <c r="AN38" s="244"/>
      <c r="AO38" s="244"/>
      <c r="AP38" s="244"/>
      <c r="AQ38" s="244"/>
      <c r="AR38" s="244"/>
      <c r="AS38" s="244"/>
      <c r="AT38" s="244"/>
      <c r="AU38" s="244"/>
      <c r="AV38" s="244"/>
    </row>
    <row r="39">
      <c r="D39" t="s">
        <v>22</v>
      </c>
      <c r="E39" s="223">
        <v>69.0976755466121</v>
      </c>
      <c r="F39" s="218">
        <v>-65.5761355613589</v>
      </c>
      <c r="H39" s="223">
        <v>46.9277681596655</v>
      </c>
      <c r="I39" s="218">
        <v>0</v>
      </c>
      <c r="K39" s="223">
        <v>51.3289912538906</v>
      </c>
      <c r="L39" s="218">
        <v>-12.0432420010002</v>
      </c>
      <c r="N39" s="223">
        <v>53.1372399899377</v>
      </c>
      <c r="O39" s="218">
        <v>-27.9673625980848</v>
      </c>
      <c r="Q39" s="223">
        <v>57.3554173340013</v>
      </c>
      <c r="R39" s="218">
        <v>-51.1529238519693</v>
      </c>
      <c r="T39" s="223">
        <v>88.5959757212359</v>
      </c>
      <c r="U39" s="218">
        <v>-27.6048811968601</v>
      </c>
      <c r="W39" s="223">
        <v>85.9685926508382</v>
      </c>
      <c r="X39" s="218">
        <v>-27.6816322856738</v>
      </c>
      <c r="Z39" s="224">
        <v>62.7740508861403</v>
      </c>
      <c r="AA39" s="218">
        <v>-44.3066574132060</v>
      </c>
      <c r="AC39" s="244"/>
      <c r="AD39" s="244"/>
      <c r="AE39" s="244"/>
      <c r="AF39" s="244"/>
      <c r="AG39" s="244"/>
      <c r="AH39" s="244"/>
      <c r="AI39" s="244"/>
      <c r="AJ39" s="244"/>
      <c r="AK39" s="244"/>
      <c r="AL39" s="244"/>
      <c r="AM39" s="244"/>
      <c r="AN39" s="244"/>
      <c r="AO39" s="244"/>
      <c r="AP39" s="244"/>
      <c r="AQ39" s="244"/>
      <c r="AR39" s="244"/>
      <c r="AS39" s="244"/>
      <c r="AT39" s="244"/>
      <c r="AU39" s="244"/>
      <c r="AV39" s="244"/>
    </row>
    <row r="40">
      <c r="D40" t="s">
        <v>55</v>
      </c>
      <c r="E40" s="231" t="s">
        <v>170</v>
      </c>
      <c r="F40" s="232" t="s">
        <v>179</v>
      </c>
      <c r="G40" s="176"/>
      <c r="H40" s="231" t="s">
        <v>171</v>
      </c>
      <c r="I40" s="232" t="s">
        <v>179</v>
      </c>
      <c r="J40" s="176"/>
      <c r="K40" s="231" t="s">
        <v>171</v>
      </c>
      <c r="L40" s="232" t="s">
        <v>179</v>
      </c>
      <c r="M40" s="176"/>
      <c r="N40" s="231" t="s">
        <v>171</v>
      </c>
      <c r="O40" s="232" t="s">
        <v>179</v>
      </c>
      <c r="P40" s="176"/>
      <c r="Q40" s="231" t="s">
        <v>171</v>
      </c>
      <c r="R40" s="232" t="s">
        <v>179</v>
      </c>
      <c r="S40" s="176"/>
      <c r="T40" s="231" t="s">
        <v>170</v>
      </c>
      <c r="U40" s="232" t="s">
        <v>171</v>
      </c>
      <c r="V40" s="176"/>
      <c r="W40" s="231" t="s">
        <v>170</v>
      </c>
      <c r="X40" s="232" t="s">
        <v>179</v>
      </c>
      <c r="Y40" s="176"/>
      <c r="Z40" s="233" t="s">
        <v>171</v>
      </c>
      <c r="AA40" s="232" t="s">
        <v>179</v>
      </c>
      <c r="AC40" s="244"/>
      <c r="AD40" s="244"/>
      <c r="AE40" s="244"/>
      <c r="AF40" s="244"/>
      <c r="AG40" s="244"/>
      <c r="AH40" s="244"/>
      <c r="AI40" s="244"/>
      <c r="AJ40" s="244"/>
      <c r="AK40" s="244"/>
      <c r="AL40" s="244"/>
      <c r="AM40" s="244"/>
      <c r="AN40" s="244"/>
      <c r="AO40" s="244"/>
      <c r="AP40" s="244"/>
      <c r="AQ40" s="244"/>
      <c r="AR40" s="244"/>
      <c r="AS40" s="244"/>
      <c r="AT40" s="244"/>
      <c r="AU40" s="244"/>
      <c r="AV40" s="244"/>
    </row>
    <row r="41" ht="8.1" customHeight="1">
      <c r="F41" s="218"/>
      <c r="I41" s="218"/>
      <c r="L41" s="218"/>
      <c r="O41" s="218"/>
      <c r="R41" s="218"/>
      <c r="U41" s="218"/>
      <c r="X41" s="218"/>
      <c r="Z41" s="215"/>
      <c r="AA41" s="218"/>
      <c r="AC41" s="244"/>
      <c r="AD41" s="244"/>
      <c r="AE41" s="244"/>
      <c r="AF41" s="244"/>
      <c r="AG41" s="244"/>
      <c r="AH41" s="244"/>
      <c r="AI41" s="244"/>
      <c r="AJ41" s="244"/>
      <c r="AK41" s="244"/>
      <c r="AL41" s="244"/>
      <c r="AM41" s="244"/>
      <c r="AN41" s="244"/>
      <c r="AO41" s="244"/>
      <c r="AP41" s="244"/>
      <c r="AQ41" s="244"/>
      <c r="AR41" s="244"/>
      <c r="AS41" s="244"/>
      <c r="AT41" s="244"/>
      <c r="AU41" s="244"/>
      <c r="AV41" s="244"/>
    </row>
    <row r="42">
      <c r="B42" s="216" t="s">
        <v>25</v>
      </c>
      <c r="C42" s="216"/>
      <c r="D42" s="217" t="s">
        <v>32</v>
      </c>
      <c r="E42" s="598">
        <v>0</v>
      </c>
      <c r="F42" s="219">
        <v>0</v>
      </c>
      <c r="G42" s="217"/>
      <c r="H42" s="598">
        <v>0</v>
      </c>
      <c r="I42" s="219">
        <v>0</v>
      </c>
      <c r="J42" s="217"/>
      <c r="K42" s="598">
        <v>0</v>
      </c>
      <c r="L42" s="219">
        <v>0</v>
      </c>
      <c r="M42" s="217"/>
      <c r="N42" s="598">
        <v>0</v>
      </c>
      <c r="O42" s="219">
        <v>0</v>
      </c>
      <c r="P42" s="217"/>
      <c r="Q42" s="598">
        <v>0</v>
      </c>
      <c r="R42" s="219">
        <v>0</v>
      </c>
      <c r="S42" s="217"/>
      <c r="T42" s="598">
        <v>0</v>
      </c>
      <c r="U42" s="219">
        <v>0</v>
      </c>
      <c r="V42" s="217"/>
      <c r="W42" s="598">
        <v>0</v>
      </c>
      <c r="X42" s="219">
        <v>0</v>
      </c>
      <c r="Y42" s="217"/>
      <c r="Z42" s="599">
        <v>0</v>
      </c>
      <c r="AA42" s="219">
        <v>0</v>
      </c>
      <c r="AC42" s="244"/>
      <c r="AD42" s="244"/>
      <c r="AE42" s="244"/>
      <c r="AF42" s="244"/>
      <c r="AG42" s="244"/>
      <c r="AH42" s="244"/>
      <c r="AI42" s="244"/>
      <c r="AJ42" s="244"/>
      <c r="AK42" s="244"/>
      <c r="AL42" s="244"/>
      <c r="AM42" s="244"/>
      <c r="AN42" s="244"/>
      <c r="AO42" s="244"/>
      <c r="AP42" s="244"/>
      <c r="AQ42" s="244"/>
      <c r="AR42" s="244"/>
      <c r="AS42" s="244"/>
      <c r="AT42" s="244"/>
      <c r="AU42" s="244"/>
      <c r="AV42" s="244"/>
    </row>
    <row r="43">
      <c r="D43" s="217" t="s">
        <v>26</v>
      </c>
      <c r="E43" s="598">
        <v>0</v>
      </c>
      <c r="F43" s="219">
        <v>0</v>
      </c>
      <c r="G43" s="217"/>
      <c r="H43" s="598">
        <v>0</v>
      </c>
      <c r="I43" s="219">
        <v>0</v>
      </c>
      <c r="J43" s="217"/>
      <c r="K43" s="598">
        <v>0</v>
      </c>
      <c r="L43" s="219">
        <v>0</v>
      </c>
      <c r="M43" s="217"/>
      <c r="N43" s="598">
        <v>0</v>
      </c>
      <c r="O43" s="219">
        <v>0</v>
      </c>
      <c r="P43" s="217"/>
      <c r="Q43" s="598">
        <v>0</v>
      </c>
      <c r="R43" s="219">
        <v>0</v>
      </c>
      <c r="S43" s="217"/>
      <c r="T43" s="598">
        <v>0</v>
      </c>
      <c r="U43" s="219">
        <v>0</v>
      </c>
      <c r="V43" s="217"/>
      <c r="W43" s="598">
        <v>0</v>
      </c>
      <c r="X43" s="219">
        <v>0</v>
      </c>
      <c r="Y43" s="217"/>
      <c r="Z43" s="599">
        <v>0</v>
      </c>
      <c r="AA43" s="219">
        <v>0</v>
      </c>
      <c r="AC43" s="244"/>
      <c r="AD43" s="244"/>
      <c r="AE43" s="244"/>
      <c r="AF43" s="244"/>
      <c r="AG43" s="244"/>
      <c r="AH43" s="244"/>
      <c r="AI43" s="244"/>
      <c r="AJ43" s="244"/>
      <c r="AK43" s="244"/>
      <c r="AL43" s="244"/>
      <c r="AM43" s="244"/>
      <c r="AN43" s="244"/>
      <c r="AO43" s="244"/>
      <c r="AP43" s="244"/>
      <c r="AQ43" s="244"/>
      <c r="AR43" s="244"/>
      <c r="AS43" s="244"/>
      <c r="AT43" s="244"/>
      <c r="AU43" s="244"/>
      <c r="AV43" s="244"/>
    </row>
    <row r="44">
      <c r="D44" t="s">
        <v>22</v>
      </c>
      <c r="E44" s="223">
        <v>0</v>
      </c>
      <c r="F44" s="218">
        <v>0</v>
      </c>
      <c r="H44" s="223">
        <v>0</v>
      </c>
      <c r="I44" s="218">
        <v>0</v>
      </c>
      <c r="K44" s="223">
        <v>0</v>
      </c>
      <c r="L44" s="218">
        <v>0</v>
      </c>
      <c r="N44" s="223">
        <v>0</v>
      </c>
      <c r="O44" s="218">
        <v>0</v>
      </c>
      <c r="Q44" s="223">
        <v>0</v>
      </c>
      <c r="R44" s="218">
        <v>0</v>
      </c>
      <c r="T44" s="223">
        <v>0</v>
      </c>
      <c r="U44" s="218">
        <v>0</v>
      </c>
      <c r="W44" s="223">
        <v>0</v>
      </c>
      <c r="X44" s="218">
        <v>0</v>
      </c>
      <c r="Z44" s="224">
        <v>0</v>
      </c>
      <c r="AA44" s="218">
        <v>0</v>
      </c>
      <c r="AC44" s="244"/>
      <c r="AD44" s="244"/>
      <c r="AE44" s="244"/>
      <c r="AF44" s="244"/>
      <c r="AG44" s="244"/>
      <c r="AH44" s="244"/>
      <c r="AI44" s="244"/>
      <c r="AJ44" s="244"/>
      <c r="AK44" s="244"/>
      <c r="AL44" s="244"/>
      <c r="AM44" s="244"/>
      <c r="AN44" s="244"/>
      <c r="AO44" s="244"/>
      <c r="AP44" s="244"/>
      <c r="AQ44" s="244"/>
      <c r="AR44" s="244"/>
      <c r="AS44" s="244"/>
      <c r="AT44" s="244"/>
      <c r="AU44" s="244"/>
      <c r="AV44" s="244"/>
    </row>
    <row r="45">
      <c r="D45" t="s">
        <v>55</v>
      </c>
      <c r="E45" s="231" t="s">
        <v>177</v>
      </c>
      <c r="F45" s="232"/>
      <c r="G45" s="176"/>
      <c r="H45" s="231" t="s">
        <v>177</v>
      </c>
      <c r="I45" s="232"/>
      <c r="J45" s="176"/>
      <c r="K45" s="231" t="s">
        <v>177</v>
      </c>
      <c r="L45" s="232"/>
      <c r="M45" s="176"/>
      <c r="N45" s="231" t="s">
        <v>177</v>
      </c>
      <c r="O45" s="232"/>
      <c r="P45" s="176"/>
      <c r="Q45" s="231" t="s">
        <v>177</v>
      </c>
      <c r="R45" s="232"/>
      <c r="S45" s="176"/>
      <c r="T45" s="231" t="s">
        <v>177</v>
      </c>
      <c r="U45" s="232"/>
      <c r="V45" s="176"/>
      <c r="W45" s="231" t="s">
        <v>177</v>
      </c>
      <c r="X45" s="232"/>
      <c r="Y45" s="176"/>
      <c r="Z45" s="233" t="s">
        <v>177</v>
      </c>
      <c r="AA45" s="232"/>
      <c r="AC45" s="244"/>
      <c r="AD45" s="244"/>
      <c r="AE45" s="244"/>
      <c r="AF45" s="244"/>
      <c r="AG45" s="244"/>
      <c r="AH45" s="244"/>
      <c r="AI45" s="244"/>
      <c r="AJ45" s="244"/>
      <c r="AK45" s="244"/>
      <c r="AL45" s="244"/>
      <c r="AM45" s="244"/>
      <c r="AN45" s="244"/>
      <c r="AO45" s="244"/>
      <c r="AP45" s="244"/>
      <c r="AQ45" s="244"/>
      <c r="AR45" s="244"/>
      <c r="AS45" s="244"/>
      <c r="AT45" s="244"/>
      <c r="AU45" s="244"/>
      <c r="AV45" s="244"/>
    </row>
    <row r="46" ht="15">
      <c r="B46" s="612"/>
      <c r="C46" s="612"/>
      <c r="D46" s="612"/>
      <c r="E46" s="612"/>
      <c r="F46" s="612"/>
      <c r="G46" s="612"/>
      <c r="H46" s="612"/>
      <c r="I46" s="612"/>
      <c r="J46" s="612"/>
      <c r="K46" s="612"/>
      <c r="L46" s="612"/>
      <c r="M46" s="612"/>
      <c r="N46" s="612"/>
      <c r="O46" s="612"/>
      <c r="P46" s="612"/>
      <c r="Q46" s="612"/>
      <c r="R46" s="612"/>
      <c r="S46" s="612"/>
      <c r="T46" s="612"/>
      <c r="U46" s="612"/>
      <c r="V46" s="612"/>
      <c r="W46" s="612"/>
      <c r="X46" s="612"/>
      <c r="Y46" s="612"/>
      <c r="Z46" s="612"/>
      <c r="AA46" s="612"/>
      <c r="AC46" s="244"/>
      <c r="AD46" s="244"/>
      <c r="AE46" s="244"/>
      <c r="AF46" s="244"/>
      <c r="AG46" s="244"/>
      <c r="AH46" s="244"/>
      <c r="AI46" s="244"/>
      <c r="AJ46" s="244"/>
      <c r="AK46" s="244"/>
      <c r="AL46" s="244"/>
      <c r="AM46" s="244"/>
      <c r="AN46" s="244"/>
      <c r="AO46" s="244"/>
      <c r="AP46" s="244"/>
      <c r="AQ46" s="244"/>
      <c r="AR46" s="244"/>
      <c r="AS46" s="244"/>
      <c r="AT46" s="244"/>
      <c r="AU46" s="244"/>
      <c r="AV46" s="244"/>
    </row>
    <row r="47" ht="18">
      <c r="B47" s="220" t="s">
        <v>13</v>
      </c>
      <c r="C47" s="57"/>
      <c r="E47" s="648" t="s">
        <v>40</v>
      </c>
      <c r="F47" s="648"/>
      <c r="H47" s="648" t="s">
        <v>39</v>
      </c>
      <c r="I47" s="648"/>
      <c r="K47" s="648" t="s">
        <v>41</v>
      </c>
      <c r="L47" s="648"/>
      <c r="N47" s="648" t="s">
        <v>42</v>
      </c>
      <c r="O47" s="648"/>
      <c r="Q47" s="648" t="s">
        <v>43</v>
      </c>
      <c r="R47" s="648"/>
      <c r="T47" s="648" t="s">
        <v>44</v>
      </c>
      <c r="U47" s="648"/>
      <c r="W47" s="648" t="s">
        <v>45</v>
      </c>
      <c r="X47" s="648"/>
      <c r="Z47" s="649" t="s">
        <v>23</v>
      </c>
      <c r="AA47" s="649"/>
      <c r="AC47" s="244"/>
      <c r="AD47" s="244"/>
      <c r="AE47" s="244"/>
      <c r="AF47" s="244"/>
      <c r="AG47" s="244"/>
      <c r="AH47" s="244"/>
      <c r="AI47" s="244"/>
      <c r="AJ47" s="244"/>
      <c r="AK47" s="244"/>
      <c r="AL47" s="244"/>
      <c r="AM47" s="244"/>
      <c r="AN47" s="244"/>
      <c r="AO47" s="244"/>
      <c r="AP47" s="244"/>
      <c r="AQ47" s="244"/>
      <c r="AR47" s="244"/>
      <c r="AS47" s="244"/>
      <c r="AT47" s="244"/>
      <c r="AU47" s="244"/>
      <c r="AV47" s="244"/>
    </row>
    <row r="48">
      <c r="E48" s="176"/>
      <c r="F48" s="176" t="s">
        <v>57</v>
      </c>
      <c r="G48" s="176"/>
      <c r="H48" s="176"/>
      <c r="I48" s="176" t="s">
        <v>57</v>
      </c>
      <c r="J48" s="176"/>
      <c r="K48" s="176"/>
      <c r="L48" s="176" t="s">
        <v>57</v>
      </c>
      <c r="M48" s="176"/>
      <c r="N48" s="176"/>
      <c r="O48" s="176" t="s">
        <v>57</v>
      </c>
      <c r="P48" s="176"/>
      <c r="Q48" s="176"/>
      <c r="R48" s="176" t="s">
        <v>57</v>
      </c>
      <c r="S48" s="176"/>
      <c r="T48" s="176"/>
      <c r="U48" s="176" t="s">
        <v>57</v>
      </c>
      <c r="V48" s="176"/>
      <c r="W48" s="176"/>
      <c r="X48" s="176" t="s">
        <v>57</v>
      </c>
      <c r="Y48" s="176"/>
      <c r="Z48" s="226"/>
      <c r="AA48" s="176" t="s">
        <v>57</v>
      </c>
      <c r="AC48" s="244"/>
      <c r="AD48" s="244"/>
      <c r="AE48" s="244"/>
      <c r="AF48" s="244"/>
      <c r="AG48" s="244"/>
      <c r="AH48" s="244"/>
      <c r="AI48" s="244"/>
      <c r="AJ48" s="244"/>
      <c r="AK48" s="244"/>
      <c r="AL48" s="244"/>
      <c r="AM48" s="244"/>
      <c r="AN48" s="244"/>
      <c r="AO48" s="244"/>
      <c r="AP48" s="244"/>
      <c r="AQ48" s="244"/>
      <c r="AR48" s="244"/>
      <c r="AS48" s="244"/>
      <c r="AT48" s="244"/>
      <c r="AU48" s="244"/>
      <c r="AV48" s="244"/>
    </row>
    <row r="49">
      <c r="B49" s="216" t="s">
        <v>23</v>
      </c>
      <c r="C49" s="216"/>
      <c r="D49" s="217" t="s">
        <v>32</v>
      </c>
      <c r="E49" s="598">
        <v>189.10416666666666666666666667</v>
      </c>
      <c r="F49" s="219">
        <v>-11.072417816323658129120697770</v>
      </c>
      <c r="G49" s="217"/>
      <c r="H49" s="598">
        <v>165.24242424242424242424242424</v>
      </c>
      <c r="I49" s="219">
        <v>13.667808799202206143910750120</v>
      </c>
      <c r="J49" s="217"/>
      <c r="K49" s="598">
        <v>170.79734848484848484848484848</v>
      </c>
      <c r="L49" s="219">
        <v>15.587028966893629480369745230</v>
      </c>
      <c r="M49" s="217"/>
      <c r="N49" s="598">
        <v>173.15719696969696969696969697</v>
      </c>
      <c r="O49" s="219">
        <v>10.598069339264583821378975070</v>
      </c>
      <c r="P49" s="217"/>
      <c r="Q49" s="598">
        <v>193.38825757575757575757575758</v>
      </c>
      <c r="R49" s="219">
        <v>-2.6680520074761835344642551200</v>
      </c>
      <c r="S49" s="217"/>
      <c r="T49" s="598">
        <v>258.30492424242424242424242424</v>
      </c>
      <c r="U49" s="219">
        <v>-8.636905639147971601675309260</v>
      </c>
      <c r="V49" s="217"/>
      <c r="W49" s="598">
        <v>289.60037878787878787878787879</v>
      </c>
      <c r="X49" s="219">
        <v>1.1376489030297298099613387700</v>
      </c>
      <c r="Y49" s="217"/>
      <c r="Z49" s="599">
        <v>205.65638528138528138528138528</v>
      </c>
      <c r="AA49" s="219">
        <v>0.6633584824380565084751226300</v>
      </c>
      <c r="AC49" s="244"/>
      <c r="AD49" s="244"/>
      <c r="AE49" s="244"/>
      <c r="AF49" s="244"/>
      <c r="AG49" s="244"/>
      <c r="AH49" s="244"/>
      <c r="AI49" s="244"/>
      <c r="AJ49" s="244"/>
      <c r="AK49" s="244"/>
      <c r="AL49" s="244"/>
      <c r="AM49" s="244"/>
      <c r="AN49" s="244"/>
      <c r="AO49" s="244"/>
      <c r="AP49" s="244"/>
      <c r="AQ49" s="244"/>
      <c r="AR49" s="244"/>
      <c r="AS49" s="244"/>
      <c r="AT49" s="244"/>
      <c r="AU49" s="244"/>
      <c r="AV49" s="244"/>
    </row>
    <row r="50">
      <c r="D50" s="217" t="s">
        <v>26</v>
      </c>
      <c r="E50" s="598">
        <v>216.2718023255813953488372093</v>
      </c>
      <c r="F50" s="219">
        <v>7.6345423306532905564770289400</v>
      </c>
      <c r="G50" s="217"/>
      <c r="H50" s="598">
        <v>210.03718731228009954518149833</v>
      </c>
      <c r="I50" s="219">
        <v>29.601348061882884024583170030</v>
      </c>
      <c r="J50" s="217"/>
      <c r="K50" s="598">
        <v>198.90716178237363768986527074</v>
      </c>
      <c r="L50" s="219">
        <v>34.733057415793953346378261960</v>
      </c>
      <c r="M50" s="217"/>
      <c r="N50" s="598">
        <v>193.73634739981120741439972539</v>
      </c>
      <c r="O50" s="219">
        <v>25.288349637016904979389466430</v>
      </c>
      <c r="P50" s="217"/>
      <c r="Q50" s="598">
        <v>221.58607225607139792328155839</v>
      </c>
      <c r="R50" s="219">
        <v>4.7199278039063770709485581600</v>
      </c>
      <c r="S50" s="217"/>
      <c r="T50" s="598">
        <v>293.52880695958122371921393632</v>
      </c>
      <c r="U50" s="219">
        <v>-0.1623341128005936053328180100</v>
      </c>
      <c r="V50" s="217"/>
      <c r="W50" s="598">
        <v>328.00248862953745816527932721</v>
      </c>
      <c r="X50" s="219">
        <v>3.1733920232343870324212065700</v>
      </c>
      <c r="Y50" s="217"/>
      <c r="Z50" s="599">
        <v>237.43855238074805997229407509</v>
      </c>
      <c r="AA50" s="219">
        <v>11.639929337138115210622596960</v>
      </c>
      <c r="AC50" s="244"/>
      <c r="AD50" s="244"/>
      <c r="AE50" s="244"/>
      <c r="AF50" s="244"/>
      <c r="AG50" s="244"/>
      <c r="AH50" s="244"/>
      <c r="AI50" s="244"/>
      <c r="AJ50" s="244"/>
      <c r="AK50" s="244"/>
      <c r="AL50" s="244"/>
      <c r="AM50" s="244"/>
      <c r="AN50" s="244"/>
      <c r="AO50" s="244"/>
      <c r="AP50" s="244"/>
      <c r="AQ50" s="244"/>
      <c r="AR50" s="244"/>
      <c r="AS50" s="244"/>
      <c r="AT50" s="244"/>
      <c r="AU50" s="244"/>
      <c r="AV50" s="244"/>
    </row>
    <row r="51">
      <c r="D51" t="s">
        <v>93</v>
      </c>
      <c r="E51" s="223">
        <v>87.4381979681142</v>
      </c>
      <c r="F51" s="218">
        <v>-17.3800712503083</v>
      </c>
      <c r="H51" s="223">
        <v>78.6729370912441</v>
      </c>
      <c r="I51" s="218">
        <v>-12.2942696978118</v>
      </c>
      <c r="K51" s="223">
        <v>85.8678727072165</v>
      </c>
      <c r="L51" s="218">
        <v>-14.2103421507340</v>
      </c>
      <c r="N51" s="223">
        <v>89.3777545069355</v>
      </c>
      <c r="O51" s="218">
        <v>-11.7251766348132</v>
      </c>
      <c r="Q51" s="223">
        <v>87.2745545813220</v>
      </c>
      <c r="R51" s="218">
        <v>-7.0549894049060</v>
      </c>
      <c r="T51" s="223">
        <v>87.9998549096328</v>
      </c>
      <c r="U51" s="218">
        <v>-8.4883510156784</v>
      </c>
      <c r="W51" s="223">
        <v>88.2921285133910</v>
      </c>
      <c r="X51" s="218">
        <v>-1.9731280326054</v>
      </c>
      <c r="Z51" s="224">
        <v>86.6145717362881</v>
      </c>
      <c r="AA51" s="218">
        <v>-9.8321191350250</v>
      </c>
      <c r="AC51" s="244"/>
      <c r="AD51" s="244"/>
      <c r="AE51" s="244"/>
      <c r="AF51" s="244"/>
      <c r="AG51" s="244"/>
      <c r="AH51" s="244"/>
      <c r="AI51" s="244"/>
      <c r="AJ51" s="244"/>
      <c r="AK51" s="244"/>
      <c r="AL51" s="244"/>
      <c r="AM51" s="244"/>
      <c r="AN51" s="244"/>
      <c r="AO51" s="244"/>
      <c r="AP51" s="244"/>
      <c r="AQ51" s="244"/>
      <c r="AR51" s="244"/>
      <c r="AS51" s="244"/>
      <c r="AT51" s="244"/>
      <c r="AU51" s="244"/>
      <c r="AV51" s="244"/>
    </row>
    <row r="52">
      <c r="D52" s="214" t="s">
        <v>55</v>
      </c>
      <c r="E52" s="227" t="s">
        <v>170</v>
      </c>
      <c r="F52" s="228" t="s">
        <v>180</v>
      </c>
      <c r="G52" s="229"/>
      <c r="H52" s="227" t="s">
        <v>170</v>
      </c>
      <c r="I52" s="228" t="s">
        <v>171</v>
      </c>
      <c r="J52" s="229"/>
      <c r="K52" s="227" t="s">
        <v>170</v>
      </c>
      <c r="L52" s="228" t="s">
        <v>171</v>
      </c>
      <c r="M52" s="229"/>
      <c r="N52" s="227" t="s">
        <v>170</v>
      </c>
      <c r="O52" s="228" t="s">
        <v>180</v>
      </c>
      <c r="P52" s="229"/>
      <c r="Q52" s="227" t="s">
        <v>170</v>
      </c>
      <c r="R52" s="228" t="s">
        <v>171</v>
      </c>
      <c r="S52" s="229"/>
      <c r="T52" s="227" t="s">
        <v>170</v>
      </c>
      <c r="U52" s="228" t="s">
        <v>171</v>
      </c>
      <c r="V52" s="229"/>
      <c r="W52" s="227" t="s">
        <v>170</v>
      </c>
      <c r="X52" s="228" t="s">
        <v>176</v>
      </c>
      <c r="Y52" s="229"/>
      <c r="Z52" s="230" t="s">
        <v>170</v>
      </c>
      <c r="AA52" s="228" t="s">
        <v>180</v>
      </c>
      <c r="AC52" s="244"/>
      <c r="AD52" s="244"/>
      <c r="AE52" s="244"/>
      <c r="AF52" s="244"/>
      <c r="AG52" s="244"/>
      <c r="AH52" s="244"/>
      <c r="AI52" s="244"/>
      <c r="AJ52" s="244"/>
      <c r="AK52" s="244"/>
      <c r="AL52" s="244"/>
      <c r="AM52" s="244"/>
      <c r="AN52" s="244"/>
      <c r="AO52" s="244"/>
      <c r="AP52" s="244"/>
      <c r="AQ52" s="244"/>
      <c r="AR52" s="244"/>
      <c r="AS52" s="244"/>
      <c r="AT52" s="244"/>
      <c r="AU52" s="244"/>
      <c r="AV52" s="244"/>
    </row>
    <row r="53" ht="8.1" customHeight="1">
      <c r="F53" s="218"/>
      <c r="I53" s="218"/>
      <c r="L53" s="218"/>
      <c r="O53" s="218"/>
      <c r="R53" s="218"/>
      <c r="U53" s="218"/>
      <c r="X53" s="218"/>
      <c r="Z53" s="215"/>
      <c r="AA53" s="218"/>
      <c r="AC53" s="244"/>
      <c r="AD53" s="244"/>
      <c r="AE53" s="244"/>
      <c r="AF53" s="244"/>
      <c r="AG53" s="244"/>
      <c r="AH53" s="244"/>
      <c r="AI53" s="244"/>
      <c r="AJ53" s="244"/>
      <c r="AK53" s="244"/>
      <c r="AL53" s="244"/>
      <c r="AM53" s="244"/>
      <c r="AN53" s="244"/>
      <c r="AO53" s="244"/>
      <c r="AP53" s="244"/>
      <c r="AQ53" s="244"/>
      <c r="AR53" s="244"/>
      <c r="AS53" s="244"/>
      <c r="AT53" s="244"/>
      <c r="AU53" s="244"/>
      <c r="AV53" s="244"/>
    </row>
    <row r="54">
      <c r="B54" s="216" t="s">
        <v>21</v>
      </c>
      <c r="C54" s="216"/>
      <c r="D54" s="217" t="s">
        <v>32</v>
      </c>
      <c r="E54" s="598">
        <v>157.48674242424242424242424242</v>
      </c>
      <c r="F54" s="219">
        <v>-6.9002194455690680163314665800</v>
      </c>
      <c r="G54" s="217"/>
      <c r="H54" s="598">
        <v>141.36931818181818181818181818</v>
      </c>
      <c r="I54" s="219">
        <v>1.7877597774238487292351696700</v>
      </c>
      <c r="J54" s="217"/>
      <c r="K54" s="598">
        <v>139.47537878787878787878787879</v>
      </c>
      <c r="L54" s="219">
        <v>0.7373057562160442019335355800</v>
      </c>
      <c r="M54" s="217"/>
      <c r="N54" s="598">
        <v>133.60227272727272727272727273</v>
      </c>
      <c r="O54" s="219">
        <v>-4.8439966006979786489644739900</v>
      </c>
      <c r="P54" s="217"/>
      <c r="Q54" s="598">
        <v>153.31818181818181818181818182</v>
      </c>
      <c r="R54" s="219">
        <v>1.5912855780107925477363963900</v>
      </c>
      <c r="S54" s="217"/>
      <c r="T54" s="598">
        <v>220.85984848484848484848484848</v>
      </c>
      <c r="U54" s="219">
        <v>6.9686379188519822645824918200</v>
      </c>
      <c r="V54" s="217"/>
      <c r="W54" s="598">
        <v>253.625</v>
      </c>
      <c r="X54" s="219">
        <v>17.923564635411751604016967040</v>
      </c>
      <c r="Y54" s="217"/>
      <c r="Z54" s="599">
        <v>171.3909632034632034632034632</v>
      </c>
      <c r="AA54" s="219">
        <v>3.4820124610906359267518656400</v>
      </c>
      <c r="AC54" s="244"/>
      <c r="AD54" s="244"/>
      <c r="AE54" s="244"/>
      <c r="AF54" s="244"/>
      <c r="AG54" s="244"/>
      <c r="AH54" s="244"/>
      <c r="AI54" s="244"/>
      <c r="AJ54" s="244"/>
      <c r="AK54" s="244"/>
      <c r="AL54" s="244"/>
      <c r="AM54" s="244"/>
      <c r="AN54" s="244"/>
      <c r="AO54" s="244"/>
      <c r="AP54" s="244"/>
      <c r="AQ54" s="244"/>
      <c r="AR54" s="244"/>
      <c r="AS54" s="244"/>
      <c r="AT54" s="244"/>
      <c r="AU54" s="244"/>
      <c r="AV54" s="244"/>
    </row>
    <row r="55">
      <c r="D55" s="217" t="s">
        <v>26</v>
      </c>
      <c r="E55" s="598">
        <v>205.23539595001667709995567235</v>
      </c>
      <c r="F55" s="219">
        <v>2.2755527174692810120345993400</v>
      </c>
      <c r="G55" s="217"/>
      <c r="H55" s="598">
        <v>192.73091683243588117572939161</v>
      </c>
      <c r="I55" s="219">
        <v>18.922686759983777723358083770</v>
      </c>
      <c r="J55" s="217"/>
      <c r="K55" s="598">
        <v>169.61048869869887759314329889</v>
      </c>
      <c r="L55" s="219">
        <v>15.889685819982628542339817150</v>
      </c>
      <c r="M55" s="217"/>
      <c r="N55" s="598">
        <v>157.94871374926337630304821793</v>
      </c>
      <c r="O55" s="219">
        <v>6.3381982949076517012887767900</v>
      </c>
      <c r="P55" s="217"/>
      <c r="Q55" s="598">
        <v>186.73685075096765870346239188</v>
      </c>
      <c r="R55" s="219">
        <v>-9.130793767229951628816253840</v>
      </c>
      <c r="S55" s="217"/>
      <c r="T55" s="598">
        <v>276.94461157640313227119003974</v>
      </c>
      <c r="U55" s="219">
        <v>-4.6308805852514006520387364200</v>
      </c>
      <c r="V55" s="217"/>
      <c r="W55" s="598">
        <v>312.97994554329822550302118451</v>
      </c>
      <c r="X55" s="219">
        <v>-0.8031911621742680928261893200</v>
      </c>
      <c r="Y55" s="217"/>
      <c r="Z55" s="599">
        <v>214.59813187158340409279288527</v>
      </c>
      <c r="AA55" s="219">
        <v>2.2570831351156102023943253400</v>
      </c>
      <c r="AC55" s="244"/>
      <c r="AD55" s="244"/>
      <c r="AE55" s="244"/>
      <c r="AF55" s="244"/>
      <c r="AG55" s="244"/>
      <c r="AH55" s="244"/>
      <c r="AI55" s="244"/>
      <c r="AJ55" s="244"/>
      <c r="AK55" s="244"/>
      <c r="AL55" s="244"/>
      <c r="AM55" s="244"/>
      <c r="AN55" s="244"/>
      <c r="AO55" s="244"/>
      <c r="AP55" s="244"/>
      <c r="AQ55" s="244"/>
      <c r="AR55" s="244"/>
      <c r="AS55" s="244"/>
      <c r="AT55" s="244"/>
      <c r="AU55" s="244"/>
      <c r="AV55" s="244"/>
    </row>
    <row r="56">
      <c r="D56" t="s">
        <v>22</v>
      </c>
      <c r="E56" s="223">
        <v>76.7346888168402</v>
      </c>
      <c r="F56" s="218">
        <v>-8.9716182598868</v>
      </c>
      <c r="H56" s="223">
        <v>73.3506177967045</v>
      </c>
      <c r="I56" s="218">
        <v>-14.4084593523635</v>
      </c>
      <c r="K56" s="223">
        <v>82.2327556850839</v>
      </c>
      <c r="L56" s="218">
        <v>-13.0748305654441</v>
      </c>
      <c r="N56" s="223">
        <v>84.5858567353258</v>
      </c>
      <c r="O56" s="218">
        <v>-10.5156896345375</v>
      </c>
      <c r="Q56" s="223">
        <v>82.1038703403114</v>
      </c>
      <c r="R56" s="218">
        <v>11.7994640756593</v>
      </c>
      <c r="T56" s="223">
        <v>79.7487437028254</v>
      </c>
      <c r="U56" s="218">
        <v>12.1627614633892</v>
      </c>
      <c r="W56" s="223">
        <v>81.0355435265138</v>
      </c>
      <c r="X56" s="218">
        <v>18.8783853201432</v>
      </c>
      <c r="Z56" s="224">
        <v>79.8660089483030</v>
      </c>
      <c r="AA56" s="218">
        <v>1.1978919096671</v>
      </c>
      <c r="AC56" s="244"/>
      <c r="AD56" s="244"/>
      <c r="AE56" s="244"/>
      <c r="AF56" s="244"/>
      <c r="AG56" s="244"/>
      <c r="AH56" s="244"/>
      <c r="AI56" s="244"/>
      <c r="AJ56" s="244"/>
      <c r="AK56" s="244"/>
      <c r="AL56" s="244"/>
      <c r="AM56" s="244"/>
      <c r="AN56" s="244"/>
      <c r="AO56" s="244"/>
      <c r="AP56" s="244"/>
      <c r="AQ56" s="244"/>
      <c r="AR56" s="244"/>
      <c r="AS56" s="244"/>
      <c r="AT56" s="244"/>
      <c r="AU56" s="244"/>
      <c r="AV56" s="244"/>
    </row>
    <row r="57">
      <c r="D57" t="s">
        <v>55</v>
      </c>
      <c r="E57" s="231" t="s">
        <v>171</v>
      </c>
      <c r="F57" s="232" t="s">
        <v>171</v>
      </c>
      <c r="G57" s="176"/>
      <c r="H57" s="231" t="s">
        <v>170</v>
      </c>
      <c r="I57" s="232" t="s">
        <v>170</v>
      </c>
      <c r="J57" s="176"/>
      <c r="K57" s="231" t="s">
        <v>171</v>
      </c>
      <c r="L57" s="232" t="s">
        <v>171</v>
      </c>
      <c r="M57" s="176"/>
      <c r="N57" s="231" t="s">
        <v>171</v>
      </c>
      <c r="O57" s="232" t="s">
        <v>171</v>
      </c>
      <c r="P57" s="176"/>
      <c r="Q57" s="231" t="s">
        <v>171</v>
      </c>
      <c r="R57" s="232" t="s">
        <v>170</v>
      </c>
      <c r="S57" s="176"/>
      <c r="T57" s="231" t="s">
        <v>171</v>
      </c>
      <c r="U57" s="232" t="s">
        <v>176</v>
      </c>
      <c r="V57" s="176"/>
      <c r="W57" s="231" t="s">
        <v>170</v>
      </c>
      <c r="X57" s="232" t="s">
        <v>176</v>
      </c>
      <c r="Y57" s="176"/>
      <c r="Z57" s="233" t="s">
        <v>171</v>
      </c>
      <c r="AA57" s="232" t="s">
        <v>176</v>
      </c>
      <c r="AC57" s="244"/>
      <c r="AD57" s="244"/>
      <c r="AE57" s="244"/>
      <c r="AF57" s="244"/>
      <c r="AG57" s="244"/>
      <c r="AH57" s="244"/>
      <c r="AI57" s="244"/>
      <c r="AJ57" s="244"/>
      <c r="AK57" s="244"/>
      <c r="AL57" s="244"/>
      <c r="AM57" s="244"/>
      <c r="AN57" s="244"/>
      <c r="AO57" s="244"/>
      <c r="AP57" s="244"/>
      <c r="AQ57" s="244"/>
      <c r="AR57" s="244"/>
      <c r="AS57" s="244"/>
      <c r="AT57" s="244"/>
      <c r="AU57" s="244"/>
      <c r="AV57" s="244"/>
    </row>
    <row r="58" ht="8.1" customHeight="1">
      <c r="F58" s="218"/>
      <c r="I58" s="218"/>
      <c r="L58" s="218"/>
      <c r="O58" s="218"/>
      <c r="R58" s="218"/>
      <c r="U58" s="218"/>
      <c r="X58" s="218"/>
      <c r="Z58" s="215"/>
      <c r="AA58" s="218"/>
      <c r="AC58" s="244"/>
      <c r="AD58" s="244"/>
      <c r="AE58" s="244"/>
      <c r="AF58" s="244"/>
      <c r="AG58" s="244"/>
      <c r="AH58" s="244"/>
      <c r="AI58" s="244"/>
      <c r="AJ58" s="244"/>
      <c r="AK58" s="244"/>
      <c r="AL58" s="244"/>
      <c r="AM58" s="244"/>
      <c r="AN58" s="244"/>
      <c r="AO58" s="244"/>
      <c r="AP58" s="244"/>
      <c r="AQ58" s="244"/>
      <c r="AR58" s="244"/>
      <c r="AS58" s="244"/>
      <c r="AT58" s="244"/>
      <c r="AU58" s="244"/>
      <c r="AV58" s="244"/>
    </row>
    <row r="59">
      <c r="B59" s="216" t="s">
        <v>24</v>
      </c>
      <c r="C59" s="216"/>
      <c r="D59" s="217" t="s">
        <v>32</v>
      </c>
      <c r="E59" s="598">
        <v>31.617424242424242424242424242</v>
      </c>
      <c r="F59" s="219">
        <v>-27.300439837949606194199677470</v>
      </c>
      <c r="G59" s="217"/>
      <c r="H59" s="598">
        <v>23.873106060606060606060606061</v>
      </c>
      <c r="I59" s="219">
        <v>268.02919708269893547873064414</v>
      </c>
      <c r="J59" s="217"/>
      <c r="K59" s="598">
        <v>31.321969696969696969696969697</v>
      </c>
      <c r="L59" s="219">
        <v>236.41171684318073992959686297</v>
      </c>
      <c r="M59" s="217"/>
      <c r="N59" s="598">
        <v>39.554924242424242424242424242</v>
      </c>
      <c r="O59" s="219">
        <v>144.75565451752513239937417074</v>
      </c>
      <c r="P59" s="217"/>
      <c r="Q59" s="598">
        <v>40.070075757575757575757575758</v>
      </c>
      <c r="R59" s="219">
        <v>-16.123533142990492343690892130</v>
      </c>
      <c r="S59" s="217"/>
      <c r="T59" s="598">
        <v>37.445075757575757575757575758</v>
      </c>
      <c r="U59" s="219">
        <v>-50.892923673037359793453870510</v>
      </c>
      <c r="V59" s="217"/>
      <c r="W59" s="598">
        <v>35.975378787878787878787878788</v>
      </c>
      <c r="X59" s="219">
        <v>-49.520316776921748853348378160</v>
      </c>
      <c r="Y59" s="217"/>
      <c r="Z59" s="599">
        <v>34.265422077922077922077922078</v>
      </c>
      <c r="AA59" s="219">
        <v>-11.406705794250510883859815150</v>
      </c>
      <c r="AC59" s="244"/>
      <c r="AD59" s="244"/>
      <c r="AE59" s="244"/>
      <c r="AF59" s="244"/>
      <c r="AG59" s="244"/>
      <c r="AH59" s="244"/>
      <c r="AI59" s="244"/>
      <c r="AJ59" s="244"/>
      <c r="AK59" s="244"/>
      <c r="AL59" s="244"/>
      <c r="AM59" s="244"/>
      <c r="AN59" s="244"/>
      <c r="AO59" s="244"/>
      <c r="AP59" s="244"/>
      <c r="AQ59" s="244"/>
      <c r="AR59" s="244"/>
      <c r="AS59" s="244"/>
      <c r="AT59" s="244"/>
      <c r="AU59" s="244"/>
      <c r="AV59" s="244"/>
    </row>
    <row r="60">
      <c r="D60" s="217" t="s">
        <v>26</v>
      </c>
      <c r="E60" s="598">
        <v>11.036406375564718248881536958</v>
      </c>
      <c r="F60" s="219">
        <v>4103.8792686965949292685254290</v>
      </c>
      <c r="G60" s="217"/>
      <c r="H60" s="598">
        <v>17.306270479844218369452106713</v>
      </c>
      <c r="I60" s="219">
        <v>0</v>
      </c>
      <c r="J60" s="217"/>
      <c r="K60" s="598">
        <v>29.296673083674760096721971855</v>
      </c>
      <c r="L60" s="219">
        <v>2196.9927158691731468734188590</v>
      </c>
      <c r="M60" s="217"/>
      <c r="N60" s="598">
        <v>35.787633650547831111351507461</v>
      </c>
      <c r="O60" s="219">
        <v>486.86935078773707168226148848</v>
      </c>
      <c r="P60" s="217"/>
      <c r="Q60" s="598">
        <v>34.84922150510373921981916652</v>
      </c>
      <c r="R60" s="219">
        <v>471.47971785703657403892694985</v>
      </c>
      <c r="S60" s="217"/>
      <c r="T60" s="598">
        <v>16.584195383178091448023896591</v>
      </c>
      <c r="U60" s="219">
        <v>358.91986944732435578862075845</v>
      </c>
      <c r="V60" s="217"/>
      <c r="W60" s="598">
        <v>15.022543086239232662258142698</v>
      </c>
      <c r="X60" s="219">
        <v>526.01515275043842076146478637</v>
      </c>
      <c r="Y60" s="217"/>
      <c r="Z60" s="599">
        <v>22.840420509164655879501189828</v>
      </c>
      <c r="AA60" s="219">
        <v>709.63450528925827263176617265</v>
      </c>
      <c r="AC60" s="244"/>
      <c r="AD60" s="244"/>
      <c r="AE60" s="244"/>
      <c r="AF60" s="244"/>
      <c r="AG60" s="244"/>
      <c r="AH60" s="244"/>
      <c r="AI60" s="244"/>
      <c r="AJ60" s="244"/>
      <c r="AK60" s="244"/>
      <c r="AL60" s="244"/>
      <c r="AM60" s="244"/>
      <c r="AN60" s="244"/>
      <c r="AO60" s="244"/>
      <c r="AP60" s="244"/>
      <c r="AQ60" s="244"/>
      <c r="AR60" s="244"/>
      <c r="AS60" s="244"/>
      <c r="AT60" s="244"/>
      <c r="AU60" s="244"/>
      <c r="AV60" s="244"/>
    </row>
    <row r="61">
      <c r="D61" t="s">
        <v>22</v>
      </c>
      <c r="E61" s="223">
        <v>286.4829652551222</v>
      </c>
      <c r="F61" s="218">
        <v>-98.2706553753075</v>
      </c>
      <c r="H61" s="223">
        <v>137.9448338593281</v>
      </c>
      <c r="I61" s="218">
        <v>0</v>
      </c>
      <c r="K61" s="223">
        <v>106.9130600852986</v>
      </c>
      <c r="L61" s="218">
        <v>-85.3542540854177</v>
      </c>
      <c r="N61" s="223">
        <v>110.5267943354830</v>
      </c>
      <c r="O61" s="218">
        <v>-58.2946946897931</v>
      </c>
      <c r="Q61" s="223">
        <v>114.9812650813784</v>
      </c>
      <c r="R61" s="218">
        <v>-85.3229319893453</v>
      </c>
      <c r="T61" s="223">
        <v>225.7877147028073</v>
      </c>
      <c r="U61" s="218">
        <v>-89.2994224926367</v>
      </c>
      <c r="W61" s="223">
        <v>239.4759567767622</v>
      </c>
      <c r="X61" s="218">
        <v>-91.9363480258598</v>
      </c>
      <c r="Z61" s="224">
        <v>150.0209773463678</v>
      </c>
      <c r="AA61" s="218">
        <v>-89.0576187617007</v>
      </c>
      <c r="AC61" s="244"/>
      <c r="AD61" s="244"/>
      <c r="AE61" s="244"/>
      <c r="AF61" s="244"/>
      <c r="AG61" s="244"/>
      <c r="AH61" s="244"/>
      <c r="AI61" s="244"/>
      <c r="AJ61" s="244"/>
      <c r="AK61" s="244"/>
      <c r="AL61" s="244"/>
      <c r="AM61" s="244"/>
      <c r="AN61" s="244"/>
      <c r="AO61" s="244"/>
      <c r="AP61" s="244"/>
      <c r="AQ61" s="244"/>
      <c r="AR61" s="244"/>
      <c r="AS61" s="244"/>
      <c r="AT61" s="244"/>
      <c r="AU61" s="244"/>
      <c r="AV61" s="244"/>
    </row>
    <row r="62">
      <c r="D62" t="s">
        <v>55</v>
      </c>
      <c r="E62" s="231" t="s">
        <v>176</v>
      </c>
      <c r="F62" s="232" t="s">
        <v>179</v>
      </c>
      <c r="G62" s="176"/>
      <c r="H62" s="231" t="s">
        <v>170</v>
      </c>
      <c r="I62" s="232" t="s">
        <v>176</v>
      </c>
      <c r="J62" s="176"/>
      <c r="K62" s="231" t="s">
        <v>170</v>
      </c>
      <c r="L62" s="232" t="s">
        <v>170</v>
      </c>
      <c r="M62" s="176"/>
      <c r="N62" s="231" t="s">
        <v>170</v>
      </c>
      <c r="O62" s="232" t="s">
        <v>171</v>
      </c>
      <c r="P62" s="176"/>
      <c r="Q62" s="231" t="s">
        <v>170</v>
      </c>
      <c r="R62" s="232" t="s">
        <v>179</v>
      </c>
      <c r="S62" s="176"/>
      <c r="T62" s="231" t="s">
        <v>176</v>
      </c>
      <c r="U62" s="232" t="s">
        <v>179</v>
      </c>
      <c r="V62" s="176"/>
      <c r="W62" s="231" t="s">
        <v>176</v>
      </c>
      <c r="X62" s="232" t="s">
        <v>179</v>
      </c>
      <c r="Y62" s="176"/>
      <c r="Z62" s="233" t="s">
        <v>170</v>
      </c>
      <c r="AA62" s="232" t="s">
        <v>179</v>
      </c>
      <c r="AC62" s="244"/>
      <c r="AD62" s="244"/>
      <c r="AE62" s="244"/>
      <c r="AF62" s="244"/>
      <c r="AG62" s="244"/>
      <c r="AH62" s="244"/>
      <c r="AI62" s="244"/>
      <c r="AJ62" s="244"/>
      <c r="AK62" s="244"/>
      <c r="AL62" s="244"/>
      <c r="AM62" s="244"/>
      <c r="AN62" s="244"/>
      <c r="AO62" s="244"/>
      <c r="AP62" s="244"/>
      <c r="AQ62" s="244"/>
      <c r="AR62" s="244"/>
      <c r="AS62" s="244"/>
      <c r="AT62" s="244"/>
      <c r="AU62" s="244"/>
      <c r="AV62" s="244"/>
    </row>
    <row r="63" ht="8.1" customHeight="1">
      <c r="F63" s="218"/>
      <c r="I63" s="218"/>
      <c r="L63" s="218"/>
      <c r="O63" s="218"/>
      <c r="R63" s="218"/>
      <c r="U63" s="218"/>
      <c r="X63" s="218"/>
      <c r="Z63" s="215"/>
      <c r="AA63" s="218"/>
      <c r="AC63" s="244"/>
      <c r="AD63" s="244"/>
      <c r="AE63" s="244"/>
      <c r="AF63" s="244"/>
      <c r="AG63" s="244"/>
      <c r="AH63" s="244"/>
      <c r="AI63" s="244"/>
      <c r="AJ63" s="244"/>
      <c r="AK63" s="244"/>
      <c r="AL63" s="244"/>
      <c r="AM63" s="244"/>
      <c r="AN63" s="244"/>
      <c r="AO63" s="244"/>
      <c r="AP63" s="244"/>
      <c r="AQ63" s="244"/>
      <c r="AR63" s="244"/>
      <c r="AS63" s="244"/>
      <c r="AT63" s="244"/>
      <c r="AU63" s="244"/>
      <c r="AV63" s="244"/>
    </row>
    <row r="64">
      <c r="B64" s="216" t="s">
        <v>25</v>
      </c>
      <c r="C64" s="216"/>
      <c r="D64" s="217" t="s">
        <v>32</v>
      </c>
      <c r="E64" s="598">
        <v>0</v>
      </c>
      <c r="F64" s="219">
        <v>0</v>
      </c>
      <c r="G64" s="217"/>
      <c r="H64" s="598">
        <v>0</v>
      </c>
      <c r="I64" s="219">
        <v>0</v>
      </c>
      <c r="J64" s="217"/>
      <c r="K64" s="598">
        <v>0</v>
      </c>
      <c r="L64" s="219">
        <v>0</v>
      </c>
      <c r="M64" s="217"/>
      <c r="N64" s="598">
        <v>0</v>
      </c>
      <c r="O64" s="219">
        <v>0</v>
      </c>
      <c r="P64" s="217"/>
      <c r="Q64" s="598">
        <v>0</v>
      </c>
      <c r="R64" s="219">
        <v>0</v>
      </c>
      <c r="S64" s="217"/>
      <c r="T64" s="598">
        <v>0</v>
      </c>
      <c r="U64" s="219">
        <v>0</v>
      </c>
      <c r="V64" s="217"/>
      <c r="W64" s="598">
        <v>0</v>
      </c>
      <c r="X64" s="219">
        <v>0</v>
      </c>
      <c r="Y64" s="217"/>
      <c r="Z64" s="599">
        <v>0</v>
      </c>
      <c r="AA64" s="219">
        <v>0</v>
      </c>
      <c r="AC64" s="244"/>
      <c r="AD64" s="244"/>
      <c r="AE64" s="244"/>
      <c r="AF64" s="244"/>
      <c r="AG64" s="244"/>
      <c r="AH64" s="244"/>
      <c r="AI64" s="244"/>
      <c r="AJ64" s="244"/>
      <c r="AK64" s="244"/>
      <c r="AL64" s="244"/>
      <c r="AM64" s="244"/>
      <c r="AN64" s="244"/>
      <c r="AO64" s="244"/>
      <c r="AP64" s="244"/>
      <c r="AQ64" s="244"/>
      <c r="AR64" s="244"/>
      <c r="AS64" s="244"/>
      <c r="AT64" s="244"/>
      <c r="AU64" s="244"/>
      <c r="AV64" s="244"/>
    </row>
    <row r="65">
      <c r="D65" s="217" t="s">
        <v>26</v>
      </c>
      <c r="E65" s="598">
        <v>0</v>
      </c>
      <c r="F65" s="219">
        <v>0</v>
      </c>
      <c r="G65" s="217"/>
      <c r="H65" s="598">
        <v>0</v>
      </c>
      <c r="I65" s="219">
        <v>0</v>
      </c>
      <c r="J65" s="217"/>
      <c r="K65" s="598">
        <v>0</v>
      </c>
      <c r="L65" s="219">
        <v>0</v>
      </c>
      <c r="M65" s="217"/>
      <c r="N65" s="598">
        <v>0</v>
      </c>
      <c r="O65" s="219">
        <v>0</v>
      </c>
      <c r="P65" s="217"/>
      <c r="Q65" s="598">
        <v>0</v>
      </c>
      <c r="R65" s="219">
        <v>0</v>
      </c>
      <c r="S65" s="217"/>
      <c r="T65" s="598">
        <v>0</v>
      </c>
      <c r="U65" s="219">
        <v>0</v>
      </c>
      <c r="V65" s="217"/>
      <c r="W65" s="598">
        <v>0</v>
      </c>
      <c r="X65" s="219">
        <v>0</v>
      </c>
      <c r="Y65" s="217"/>
      <c r="Z65" s="599">
        <v>0</v>
      </c>
      <c r="AA65" s="219">
        <v>0</v>
      </c>
      <c r="AC65" s="244"/>
      <c r="AD65" s="244"/>
      <c r="AE65" s="244"/>
      <c r="AF65" s="244"/>
      <c r="AG65" s="244"/>
      <c r="AH65" s="244"/>
      <c r="AI65" s="244"/>
      <c r="AJ65" s="244"/>
      <c r="AK65" s="244"/>
      <c r="AL65" s="244"/>
      <c r="AM65" s="244"/>
      <c r="AN65" s="244"/>
      <c r="AO65" s="244"/>
      <c r="AP65" s="244"/>
      <c r="AQ65" s="244"/>
      <c r="AR65" s="244"/>
      <c r="AS65" s="244"/>
      <c r="AT65" s="244"/>
      <c r="AU65" s="244"/>
      <c r="AV65" s="244"/>
    </row>
    <row r="66">
      <c r="D66" t="s">
        <v>22</v>
      </c>
      <c r="E66" s="223">
        <v>0</v>
      </c>
      <c r="F66" s="218">
        <v>0</v>
      </c>
      <c r="H66" s="223">
        <v>0</v>
      </c>
      <c r="I66" s="218">
        <v>0</v>
      </c>
      <c r="K66" s="223">
        <v>0</v>
      </c>
      <c r="L66" s="218">
        <v>0</v>
      </c>
      <c r="N66" s="223">
        <v>0</v>
      </c>
      <c r="O66" s="218">
        <v>0</v>
      </c>
      <c r="Q66" s="223">
        <v>0</v>
      </c>
      <c r="R66" s="218">
        <v>0</v>
      </c>
      <c r="T66" s="223">
        <v>0</v>
      </c>
      <c r="U66" s="218">
        <v>0</v>
      </c>
      <c r="W66" s="223">
        <v>0</v>
      </c>
      <c r="X66" s="218">
        <v>0</v>
      </c>
      <c r="Z66" s="224">
        <v>0</v>
      </c>
      <c r="AA66" s="218">
        <v>0</v>
      </c>
      <c r="AC66" s="244"/>
      <c r="AD66" s="244"/>
      <c r="AE66" s="244"/>
      <c r="AF66" s="244"/>
      <c r="AG66" s="244"/>
      <c r="AH66" s="244"/>
      <c r="AI66" s="244"/>
      <c r="AJ66" s="244"/>
      <c r="AK66" s="244"/>
      <c r="AL66" s="244"/>
      <c r="AM66" s="244"/>
      <c r="AN66" s="244"/>
      <c r="AO66" s="244"/>
      <c r="AP66" s="244"/>
      <c r="AQ66" s="244"/>
      <c r="AR66" s="244"/>
      <c r="AS66" s="244"/>
      <c r="AT66" s="244"/>
      <c r="AU66" s="244"/>
      <c r="AV66" s="244"/>
    </row>
    <row r="67">
      <c r="D67" t="s">
        <v>55</v>
      </c>
      <c r="E67" s="231" t="s">
        <v>177</v>
      </c>
      <c r="F67" s="232"/>
      <c r="G67" s="176"/>
      <c r="H67" s="231" t="s">
        <v>177</v>
      </c>
      <c r="I67" s="232"/>
      <c r="J67" s="176"/>
      <c r="K67" s="231" t="s">
        <v>177</v>
      </c>
      <c r="L67" s="232"/>
      <c r="M67" s="176"/>
      <c r="N67" s="231" t="s">
        <v>177</v>
      </c>
      <c r="O67" s="232"/>
      <c r="P67" s="176"/>
      <c r="Q67" s="231" t="s">
        <v>177</v>
      </c>
      <c r="R67" s="232"/>
      <c r="S67" s="176"/>
      <c r="T67" s="231" t="s">
        <v>177</v>
      </c>
      <c r="U67" s="232"/>
      <c r="V67" s="176"/>
      <c r="W67" s="231" t="s">
        <v>177</v>
      </c>
      <c r="X67" s="232"/>
      <c r="Y67" s="176"/>
      <c r="Z67" s="233" t="s">
        <v>177</v>
      </c>
      <c r="AA67" s="232"/>
      <c r="AC67" s="244"/>
      <c r="AD67" s="244"/>
      <c r="AE67" s="244"/>
      <c r="AF67" s="244"/>
      <c r="AG67" s="244"/>
      <c r="AH67" s="244"/>
      <c r="AI67" s="244"/>
      <c r="AJ67" s="244"/>
      <c r="AK67" s="244"/>
      <c r="AL67" s="244"/>
      <c r="AM67" s="244"/>
      <c r="AN67" s="244"/>
      <c r="AO67" s="244"/>
      <c r="AP67" s="244"/>
      <c r="AQ67" s="244"/>
      <c r="AR67" s="244"/>
      <c r="AS67" s="244"/>
      <c r="AT67" s="244"/>
      <c r="AU67" s="244"/>
      <c r="AV67" s="244"/>
    </row>
    <row r="68" ht="15">
      <c r="B68" s="612"/>
      <c r="C68" s="612"/>
      <c r="D68" s="612"/>
      <c r="E68" s="612"/>
      <c r="F68" s="612"/>
      <c r="G68" s="612"/>
      <c r="H68" s="612"/>
      <c r="I68" s="612"/>
      <c r="J68" s="612"/>
      <c r="K68" s="612"/>
      <c r="L68" s="612"/>
      <c r="M68" s="612"/>
      <c r="N68" s="612"/>
      <c r="O68" s="612"/>
      <c r="P68" s="612"/>
      <c r="Q68" s="612"/>
      <c r="R68" s="612"/>
      <c r="S68" s="612"/>
      <c r="T68" s="612"/>
      <c r="U68" s="612"/>
      <c r="V68" s="612"/>
      <c r="W68" s="612"/>
      <c r="X68" s="612"/>
      <c r="Y68" s="612"/>
      <c r="Z68" s="612"/>
      <c r="AA68" s="612"/>
      <c r="AC68" s="244"/>
      <c r="AD68" s="244"/>
      <c r="AE68" s="244"/>
      <c r="AF68" s="244"/>
      <c r="AG68" s="244"/>
      <c r="AH68" s="244"/>
      <c r="AI68" s="244"/>
      <c r="AJ68" s="244"/>
      <c r="AK68" s="244"/>
      <c r="AL68" s="244"/>
      <c r="AM68" s="244"/>
      <c r="AN68" s="244"/>
      <c r="AO68" s="244"/>
      <c r="AP68" s="244"/>
      <c r="AQ68" s="244"/>
      <c r="AR68" s="244"/>
      <c r="AS68" s="244"/>
      <c r="AT68" s="244"/>
      <c r="AU68" s="244"/>
      <c r="AV68" s="244"/>
    </row>
    <row r="69" ht="15.75">
      <c r="B69" t="s">
        <v>168</v>
      </c>
      <c r="Y69" s="80"/>
      <c r="Z69" s="242"/>
      <c r="AC69" s="244"/>
      <c r="AD69" s="244"/>
      <c r="AE69" s="244"/>
      <c r="AF69" s="244"/>
      <c r="AG69" s="244"/>
      <c r="AH69" s="244"/>
      <c r="AI69" s="244"/>
      <c r="AJ69" s="244"/>
      <c r="AK69" s="244"/>
      <c r="AL69" s="244"/>
      <c r="AM69" s="244"/>
      <c r="AN69" s="244"/>
      <c r="AO69" s="244"/>
      <c r="AP69" s="244"/>
      <c r="AQ69" s="244"/>
      <c r="AR69" s="244"/>
      <c r="AS69" s="244"/>
      <c r="AT69" s="244"/>
      <c r="AU69" s="244"/>
      <c r="AV69" s="244"/>
    </row>
    <row r="70" ht="6" customHeight="1">
      <c r="Y70" s="80"/>
      <c r="AC70" s="244"/>
      <c r="AD70" s="244"/>
      <c r="AE70" s="244"/>
      <c r="AF70" s="244"/>
      <c r="AG70" s="244"/>
      <c r="AH70" s="244"/>
      <c r="AI70" s="244"/>
      <c r="AJ70" s="244"/>
      <c r="AK70" s="244"/>
      <c r="AL70" s="244"/>
      <c r="AM70" s="244"/>
      <c r="AN70" s="244"/>
      <c r="AO70" s="244"/>
      <c r="AP70" s="244"/>
      <c r="AQ70" s="244"/>
      <c r="AR70" s="244"/>
      <c r="AS70" s="244"/>
      <c r="AT70" s="244"/>
      <c r="AU70" s="244"/>
      <c r="AV70" s="244"/>
    </row>
    <row r="71" ht="34.5" customHeight="1">
      <c r="B71" s="650" t="s">
        <v>114</v>
      </c>
      <c r="C71" s="650"/>
      <c r="D71" s="650"/>
      <c r="E71" s="650"/>
      <c r="F71" s="650"/>
      <c r="G71" s="650"/>
      <c r="H71" s="650"/>
      <c r="I71" s="650"/>
      <c r="J71" s="650"/>
      <c r="K71" s="650"/>
      <c r="L71" s="650"/>
      <c r="M71" s="650"/>
      <c r="N71" s="650"/>
      <c r="O71" s="650"/>
      <c r="P71" s="650"/>
      <c r="Q71" s="650"/>
      <c r="R71" s="650"/>
      <c r="S71" s="650"/>
      <c r="T71" s="650"/>
      <c r="U71" s="650"/>
      <c r="V71" s="650"/>
      <c r="W71" s="650"/>
      <c r="X71" s="650"/>
      <c r="Y71" s="650"/>
      <c r="Z71" s="650"/>
      <c r="AA71" s="650"/>
      <c r="AC71" s="244"/>
      <c r="AD71" s="244"/>
      <c r="AE71" s="244"/>
      <c r="AF71" s="244"/>
      <c r="AG71" s="244"/>
      <c r="AH71" s="244"/>
      <c r="AI71" s="244"/>
      <c r="AJ71" s="244"/>
      <c r="AK71" s="244"/>
      <c r="AL71" s="244"/>
      <c r="AM71" s="244"/>
      <c r="AN71" s="244"/>
      <c r="AO71" s="244"/>
      <c r="AP71" s="244"/>
      <c r="AQ71" s="244"/>
      <c r="AR71" s="244"/>
      <c r="AS71" s="244"/>
      <c r="AT71" s="244"/>
      <c r="AU71" s="244"/>
      <c r="AV71" s="244"/>
    </row>
    <row r="72">
      <c r="AC72" s="244"/>
      <c r="AD72" s="244"/>
      <c r="AE72" s="244"/>
      <c r="AF72" s="244"/>
      <c r="AG72" s="244"/>
      <c r="AH72" s="244"/>
      <c r="AI72" s="244"/>
      <c r="AJ72" s="244"/>
      <c r="AK72" s="244"/>
      <c r="AL72" s="244"/>
      <c r="AM72" s="244"/>
      <c r="AN72" s="244"/>
      <c r="AO72" s="244"/>
      <c r="AP72" s="244"/>
      <c r="AQ72" s="244"/>
      <c r="AR72" s="244"/>
      <c r="AS72" s="244"/>
      <c r="AT72" s="244"/>
      <c r="AU72" s="244"/>
      <c r="AV72" s="244"/>
    </row>
    <row r="73">
      <c r="A73" s="244"/>
      <c r="B73" s="244"/>
      <c r="C73" s="244"/>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row>
    <row r="74">
      <c r="A74" s="244"/>
      <c r="B74" s="244"/>
      <c r="C74" s="244"/>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row>
    <row r="75">
      <c r="A75" s="244"/>
      <c r="B75" s="244"/>
      <c r="C75" s="244"/>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row>
    <row r="76">
      <c r="A76" s="244"/>
      <c r="B76" s="244"/>
      <c r="C76" s="244"/>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row>
    <row r="77">
      <c r="A77" s="244"/>
      <c r="B77" s="244"/>
      <c r="C77" s="244"/>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row>
    <row r="78">
      <c r="A78" s="244"/>
      <c r="B78" s="244"/>
      <c r="C78" s="244"/>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row>
    <row r="79">
      <c r="A79" s="244"/>
      <c r="B79" s="244"/>
      <c r="C79" s="244"/>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row>
    <row r="87">
      <c r="A87" s="244"/>
      <c r="B87" s="244"/>
      <c r="C87" s="244"/>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row>
    <row r="88">
      <c r="A88" s="244"/>
      <c r="B88" s="244"/>
      <c r="C88" s="244"/>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row>
    <row r="89">
      <c r="A89" s="244"/>
      <c r="B89" s="244"/>
      <c r="C89" s="244"/>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row>
    <row r="90">
      <c r="A90" s="244"/>
      <c r="B90" s="244"/>
      <c r="C90" s="244"/>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row>
    <row r="91">
      <c r="A91" s="244"/>
      <c r="B91" s="244"/>
      <c r="C91" s="244"/>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row>
    <row r="92">
      <c r="A92" s="244"/>
      <c r="B92" s="244"/>
      <c r="C92" s="244"/>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row>
    <row r="93">
      <c r="A93" s="244"/>
      <c r="B93" s="244"/>
      <c r="C93" s="244"/>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row>
    <row r="94">
      <c r="A94" s="244"/>
      <c r="B94" s="244"/>
      <c r="C94" s="244"/>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row>
  </sheetData>
  <mergeCells count="29">
    <mergeCell ref="B71:AA71"/>
    <mergeCell ref="B2:AA2"/>
    <mergeCell ref="B24:AA24"/>
    <mergeCell ref="B46:AA46"/>
    <mergeCell ref="B68:AA68"/>
    <mergeCell ref="E3:F3"/>
    <mergeCell ref="H3:I3"/>
    <mergeCell ref="K3:L3"/>
    <mergeCell ref="N3:O3"/>
    <mergeCell ref="Q3:R3"/>
    <mergeCell ref="T3:U3"/>
    <mergeCell ref="W3:X3"/>
    <mergeCell ref="Z3:AA3"/>
    <mergeCell ref="E25:F25"/>
    <mergeCell ref="H25:I25"/>
    <mergeCell ref="K25:L25"/>
    <mergeCell ref="N25:O25"/>
    <mergeCell ref="Q25:R25"/>
    <mergeCell ref="T25:U25"/>
    <mergeCell ref="W25:X25"/>
    <mergeCell ref="Z25:AA25"/>
    <mergeCell ref="T47:U47"/>
    <mergeCell ref="W47:X47"/>
    <mergeCell ref="Z47:AA47"/>
    <mergeCell ref="E47:F47"/>
    <mergeCell ref="H47:I47"/>
    <mergeCell ref="K47:L47"/>
    <mergeCell ref="N47:O47"/>
    <mergeCell ref="Q47:R47"/>
  </mergeCells>
  <phoneticPr fontId="39" type="noConversion"/>
  <printOptions horizontalCentered="1" verticalCentered="1"/>
  <pageMargins left="0" right="0" top="0" bottom="0" header="0" footer="0"/>
  <pageSetup scale="64" orientation="landscape" horizontalDpi="1200" verticalDpi="1200" r:id="rId1"/>
  <headerFooter alignWithMargins="0">
    <oddHeader/>
    <oddFooter/>
  </headerFooter>
  <drawing r:id="rId22"/>
</worksheet>
</file>

<file path=xl/worksheets/sheet25.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G86"/>
  <sheetViews>
    <sheetView showGridLines="0" zoomScaleNormal="100" workbookViewId="0"/>
  </sheetViews>
  <sheetFormatPr defaultRowHeight="12.75"/>
  <cols>
    <col min="1" max="1" width="2" customWidth="1"/>
    <col min="2" max="2" width="16.5703125" customWidth="1"/>
    <col min="3" max="3" width="2.7109375" customWidth="1"/>
    <col min="4" max="4" width="14.42578125" customWidth="1"/>
    <col min="5" max="5" width="8.7109375" customWidth="1"/>
    <col min="6" max="6" width="5.7109375" customWidth="1"/>
    <col min="7" max="7" width="4.7109375" customWidth="1"/>
    <col min="8" max="8" width="8.7109375" customWidth="1"/>
    <col min="9" max="9" width="5.7109375" customWidth="1"/>
    <col min="10" max="10" width="4.7109375" customWidth="1"/>
    <col min="11" max="11" width="8.7109375" customWidth="1"/>
    <col min="12" max="12" width="5.7109375" customWidth="1"/>
    <col min="13" max="13" width="4.7109375" customWidth="1"/>
    <col min="14" max="14" width="8.7109375" customWidth="1"/>
    <col min="15" max="15" width="5.7109375" customWidth="1"/>
    <col min="16" max="16" width="4.7109375" customWidth="1"/>
    <col min="17" max="17" width="8.7109375" customWidth="1"/>
    <col min="18" max="18" width="5.7109375" customWidth="1"/>
    <col min="19" max="19" width="4.7109375" customWidth="1"/>
    <col min="20" max="20" width="8.7109375" customWidth="1"/>
    <col min="21" max="21" width="5.7109375" customWidth="1"/>
    <col min="22" max="22" width="4.7109375" customWidth="1"/>
    <col min="23" max="23" width="8.7109375" customWidth="1"/>
    <col min="24" max="24" width="5.7109375" customWidth="1"/>
    <col min="25" max="25" width="4.7109375" customWidth="1"/>
    <col min="26" max="26" width="8.7109375" customWidth="1"/>
    <col min="27" max="29" width="5.7109375" customWidth="1"/>
  </cols>
  <sheetData>
    <row r="1" ht="48" customHeight="1">
      <c r="A1" s="72"/>
      <c r="B1" s="20" t="s">
        <v>119</v>
      </c>
      <c r="C1" s="11"/>
      <c r="D1" s="11"/>
      <c r="E1" s="11"/>
      <c r="F1" s="11"/>
      <c r="G1" s="11"/>
      <c r="H1" s="11"/>
      <c r="I1" s="11"/>
      <c r="J1" s="11"/>
      <c r="K1" s="1"/>
      <c r="L1" s="1"/>
      <c r="M1" s="1"/>
      <c r="N1" s="1"/>
      <c r="O1" s="1"/>
      <c r="P1" s="1"/>
      <c r="Q1" s="1"/>
      <c r="R1" s="1"/>
      <c r="S1" s="1"/>
      <c r="T1" s="1"/>
      <c r="U1" s="1"/>
      <c r="V1" s="1"/>
      <c r="W1" s="1"/>
      <c r="X1" s="1"/>
      <c r="Y1" s="1"/>
      <c r="Z1" s="1"/>
      <c r="AA1" s="1"/>
      <c r="AB1" s="175"/>
      <c r="AC1" s="1"/>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row>
    <row r="2" ht="18" customHeight="1">
      <c r="B2" s="10" t="s">
        <v>168</v>
      </c>
      <c r="C2" s="12"/>
      <c r="D2" s="1"/>
      <c r="E2" s="1"/>
      <c r="F2" s="1"/>
      <c r="G2" s="1"/>
      <c r="H2" s="1"/>
      <c r="I2" s="1"/>
      <c r="J2" s="1"/>
      <c r="K2" s="1"/>
      <c r="L2" s="1"/>
      <c r="M2" s="1"/>
      <c r="N2" s="1"/>
      <c r="O2" s="1"/>
      <c r="P2" s="1"/>
      <c r="Q2" s="1"/>
      <c r="R2" s="1"/>
      <c r="S2" s="1"/>
      <c r="T2" s="1"/>
      <c r="U2" s="1"/>
      <c r="V2" s="80"/>
      <c r="W2" s="1"/>
      <c r="X2" s="1"/>
      <c r="Y2" s="80"/>
      <c r="Z2" s="234"/>
      <c r="AA2" s="1"/>
      <c r="AB2" s="175"/>
      <c r="AC2" s="1"/>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row>
    <row r="3" ht="15" customHeight="1">
      <c r="A3" s="1"/>
      <c r="B3" s="432" t="s">
        <v>181</v>
      </c>
      <c r="C3" s="12"/>
      <c r="D3" s="1"/>
      <c r="E3" s="1"/>
      <c r="F3" s="1"/>
      <c r="G3" s="1"/>
      <c r="H3" s="1"/>
      <c r="I3" s="1"/>
      <c r="J3" s="1"/>
      <c r="K3" s="1"/>
      <c r="L3" s="1"/>
      <c r="M3" s="1"/>
      <c r="N3" s="1"/>
      <c r="O3" s="1"/>
      <c r="P3" s="1"/>
      <c r="Q3" s="1"/>
      <c r="R3" s="1"/>
      <c r="S3" s="1"/>
      <c r="T3" s="1"/>
      <c r="U3" s="1"/>
      <c r="V3" s="1"/>
      <c r="W3" s="1"/>
      <c r="X3" s="1"/>
      <c r="Y3" s="1"/>
      <c r="Z3" s="1"/>
      <c r="AA3" s="1"/>
      <c r="AB3" s="175"/>
      <c r="AC3" s="1"/>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row>
    <row r="4" ht="15" customHeight="1">
      <c r="B4" s="175" t="s">
        <v>182</v>
      </c>
      <c r="C4" s="12"/>
      <c r="D4" s="1"/>
      <c r="E4" s="1"/>
      <c r="F4" s="1"/>
      <c r="G4" s="1"/>
      <c r="H4" s="1"/>
      <c r="I4" s="1"/>
      <c r="J4" s="1"/>
      <c r="K4" s="1"/>
      <c r="L4" s="1"/>
      <c r="M4" s="1"/>
      <c r="N4" s="1"/>
      <c r="O4" s="1"/>
      <c r="P4" s="1"/>
      <c r="Q4" s="1"/>
      <c r="R4" s="1"/>
      <c r="S4" s="1"/>
      <c r="T4" s="1"/>
      <c r="U4" s="1"/>
      <c r="V4" s="1"/>
      <c r="W4" s="1"/>
      <c r="X4" s="1"/>
      <c r="Y4" s="1"/>
      <c r="Z4" s="1"/>
      <c r="AA4" s="1"/>
      <c r="AB4" s="175"/>
      <c r="AC4" s="1"/>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row>
    <row r="5" ht="30.75" customHeight="1">
      <c r="A5" s="13"/>
      <c r="B5" s="12"/>
      <c r="C5" s="12"/>
      <c r="D5" s="1"/>
      <c r="E5" s="1"/>
      <c r="F5" s="1"/>
      <c r="G5" s="1"/>
      <c r="H5" s="1"/>
      <c r="I5" s="1"/>
      <c r="J5" s="1"/>
      <c r="K5" s="1"/>
      <c r="L5" s="1"/>
      <c r="M5" s="1"/>
      <c r="N5" s="1"/>
      <c r="O5" s="1"/>
      <c r="P5" s="1"/>
      <c r="Q5" s="1"/>
      <c r="R5" s="1"/>
      <c r="S5" s="1"/>
      <c r="T5" s="1"/>
      <c r="U5" s="1"/>
      <c r="V5" s="1"/>
      <c r="W5" s="1"/>
      <c r="X5" s="1"/>
      <c r="Y5" s="1"/>
      <c r="Z5" s="1"/>
      <c r="AA5" s="1"/>
      <c r="AB5" s="175"/>
      <c r="AC5" s="1"/>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row>
    <row r="6" s="6" customFormat="1" ht="18" customHeight="1">
      <c r="A6" s="78"/>
      <c r="B6" s="607" t="s">
        <v>167</v>
      </c>
      <c r="C6" s="607"/>
      <c r="D6" s="607"/>
      <c r="E6" s="607"/>
      <c r="F6" s="607"/>
      <c r="G6" s="607"/>
      <c r="H6" s="607"/>
      <c r="I6" s="607"/>
      <c r="J6" s="607"/>
      <c r="K6" s="607"/>
      <c r="L6" s="607"/>
      <c r="M6" s="607"/>
      <c r="N6" s="607"/>
      <c r="O6" s="607"/>
      <c r="P6" s="607"/>
      <c r="Q6" s="607"/>
      <c r="R6" s="607"/>
      <c r="S6" s="607"/>
      <c r="T6" s="607"/>
      <c r="U6" s="607"/>
      <c r="V6" s="607"/>
      <c r="W6" s="607"/>
      <c r="X6" s="607"/>
      <c r="Y6" s="607"/>
      <c r="Z6" s="607"/>
      <c r="AA6" s="607"/>
      <c r="AB6" s="607"/>
      <c r="AC6" s="78"/>
      <c r="AD6" s="245"/>
      <c r="AE6" s="245"/>
      <c r="AF6" s="245"/>
      <c r="AG6" s="245"/>
      <c r="AH6" s="245"/>
      <c r="AI6" s="245"/>
      <c r="AJ6" s="245"/>
      <c r="AK6" s="245"/>
      <c r="AL6" s="245"/>
      <c r="AM6" s="245"/>
      <c r="AN6" s="245"/>
      <c r="AO6" s="245"/>
      <c r="AP6" s="245"/>
      <c r="AQ6" s="245"/>
      <c r="AR6" s="245"/>
      <c r="AS6" s="245"/>
      <c r="AT6" s="245"/>
      <c r="AU6" s="245"/>
      <c r="AV6" s="245"/>
      <c r="AW6" s="245"/>
      <c r="AX6" s="245"/>
      <c r="AY6" s="245"/>
      <c r="AZ6" s="245"/>
      <c r="BA6" s="245"/>
      <c r="BB6" s="245"/>
      <c r="BC6" s="245"/>
      <c r="BD6" s="245"/>
      <c r="BE6" s="245"/>
      <c r="BF6" s="245"/>
      <c r="BG6" s="245"/>
    </row>
    <row r="7" ht="21" customHeight="1">
      <c r="A7" s="13"/>
      <c r="B7" s="12"/>
      <c r="C7" s="12"/>
      <c r="D7" s="1"/>
      <c r="E7" s="1"/>
      <c r="F7" s="1"/>
      <c r="G7" s="1"/>
      <c r="H7" s="1"/>
      <c r="I7" s="1"/>
      <c r="J7" s="1"/>
      <c r="K7" s="1"/>
      <c r="L7" s="1"/>
      <c r="M7" s="1"/>
      <c r="N7" s="1"/>
      <c r="O7" s="1"/>
      <c r="P7" s="1"/>
      <c r="Q7" s="1"/>
      <c r="R7" s="1"/>
      <c r="S7" s="1"/>
      <c r="T7" s="1"/>
      <c r="U7" s="1"/>
      <c r="V7" s="1"/>
      <c r="W7" s="1"/>
      <c r="X7" s="1"/>
      <c r="Y7" s="1"/>
      <c r="Z7" s="1"/>
      <c r="AA7" s="1"/>
      <c r="AB7" s="1"/>
      <c r="AC7" s="1"/>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row>
    <row r="8" ht="18" customHeight="1">
      <c r="A8" s="1"/>
      <c r="B8" s="1"/>
      <c r="C8" s="3"/>
      <c r="D8" s="3"/>
      <c r="E8" s="651" t="s">
        <v>40</v>
      </c>
      <c r="F8" s="651"/>
      <c r="G8" s="64"/>
      <c r="H8" s="651" t="s">
        <v>39</v>
      </c>
      <c r="I8" s="651"/>
      <c r="J8" s="1"/>
      <c r="K8" s="651" t="s">
        <v>41</v>
      </c>
      <c r="L8" s="651"/>
      <c r="M8" s="64"/>
      <c r="N8" s="651" t="s">
        <v>42</v>
      </c>
      <c r="O8" s="651"/>
      <c r="P8" s="64"/>
      <c r="Q8" s="651" t="s">
        <v>43</v>
      </c>
      <c r="R8" s="651"/>
      <c r="S8" s="64"/>
      <c r="T8" s="651" t="s">
        <v>44</v>
      </c>
      <c r="U8" s="651"/>
      <c r="V8" s="64"/>
      <c r="W8" s="651" t="s">
        <v>45</v>
      </c>
      <c r="X8" s="651"/>
      <c r="Y8" s="64"/>
      <c r="Z8" s="651" t="s">
        <v>23</v>
      </c>
      <c r="AA8" s="651"/>
      <c r="AB8" s="1"/>
      <c r="AC8" s="1"/>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row>
    <row r="9" ht="18" customHeight="1">
      <c r="A9" s="1"/>
      <c r="B9" s="1"/>
      <c r="C9" s="1"/>
      <c r="D9" s="1"/>
      <c r="E9" s="652" t="s">
        <v>57</v>
      </c>
      <c r="F9" s="652"/>
      <c r="G9" s="65"/>
      <c r="H9" s="652" t="s">
        <v>57</v>
      </c>
      <c r="I9" s="652"/>
      <c r="J9" s="3"/>
      <c r="K9" s="652" t="s">
        <v>57</v>
      </c>
      <c r="L9" s="652"/>
      <c r="M9" s="79"/>
      <c r="N9" s="652" t="s">
        <v>57</v>
      </c>
      <c r="O9" s="652"/>
      <c r="P9" s="65"/>
      <c r="Q9" s="652" t="s">
        <v>57</v>
      </c>
      <c r="R9" s="652"/>
      <c r="S9" s="65"/>
      <c r="T9" s="652" t="s">
        <v>57</v>
      </c>
      <c r="U9" s="652"/>
      <c r="V9" s="65"/>
      <c r="W9" s="652" t="s">
        <v>57</v>
      </c>
      <c r="X9" s="652"/>
      <c r="Y9" s="1"/>
      <c r="Z9" s="652" t="s">
        <v>57</v>
      </c>
      <c r="AA9" s="652"/>
      <c r="AB9" s="1"/>
      <c r="AC9" s="1"/>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row>
    <row r="10" ht="18" customHeight="1">
      <c r="A10" s="1"/>
      <c r="B10" s="653" t="s">
        <v>28</v>
      </c>
      <c r="C10" s="1"/>
      <c r="D10" s="17" t="s">
        <v>32</v>
      </c>
      <c r="E10" s="67">
        <v>0.8939393939393939393939393939</v>
      </c>
      <c r="F10" s="73">
        <v>8.256880733889335914485341250</v>
      </c>
      <c r="G10" s="66"/>
      <c r="H10" s="67">
        <v>0.9015151515151515151515151515</v>
      </c>
      <c r="I10" s="73">
        <v>1.7094017093599824676747924800</v>
      </c>
      <c r="J10" s="66"/>
      <c r="K10" s="67">
        <v>0.8939393939393939393939393939</v>
      </c>
      <c r="L10" s="73">
        <v>12.380952380888163265306159140</v>
      </c>
      <c r="M10" s="67"/>
      <c r="N10" s="67">
        <v>0.9545454545454545454545454545</v>
      </c>
      <c r="O10" s="73">
        <v>4.1322314049208114199849874700</v>
      </c>
      <c r="P10" s="66"/>
      <c r="Q10" s="67">
        <v>0.9545454545454545454545454545</v>
      </c>
      <c r="R10" s="73">
        <v>5.8823529411942659416707889500</v>
      </c>
      <c r="S10" s="66"/>
      <c r="T10" s="67">
        <v>0.7348484848484848484848484848</v>
      </c>
      <c r="U10" s="73">
        <v>-17.09401709405110672802979100</v>
      </c>
      <c r="V10" s="66"/>
      <c r="W10" s="67">
        <v>0.9090909090909090909090909091</v>
      </c>
      <c r="X10" s="73">
        <v>-2.4390243902248661511005316800</v>
      </c>
      <c r="Y10" s="177"/>
      <c r="Z10" s="67">
        <v>0.8917748917748917748917748918</v>
      </c>
      <c r="AA10" s="73">
        <v>1.6029593094513546017232413500</v>
      </c>
      <c r="AB10" s="1"/>
      <c r="AC10" s="1"/>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row>
    <row r="11" ht="18" customHeight="1">
      <c r="A11" s="1"/>
      <c r="B11" s="653"/>
      <c r="C11" s="15"/>
      <c r="D11" s="187" t="s">
        <v>26</v>
      </c>
      <c r="E11" s="180">
        <v>0.7906976744186046511627906977</v>
      </c>
      <c r="F11" s="81">
        <v>-2.1582733813287510998395411500</v>
      </c>
      <c r="G11" s="181"/>
      <c r="H11" s="180">
        <v>0.8081180811808118081180811808</v>
      </c>
      <c r="I11" s="81">
        <v>-1.421056763703195637660283300</v>
      </c>
      <c r="J11" s="181"/>
      <c r="K11" s="180">
        <v>0.7011070110701107011070110701</v>
      </c>
      <c r="L11" s="81">
        <v>-1.5588523232749690089153779300</v>
      </c>
      <c r="M11" s="180"/>
      <c r="N11" s="180">
        <v>0.5645756457564575645756457565</v>
      </c>
      <c r="O11" s="81">
        <v>-18.738902870145849385175771180</v>
      </c>
      <c r="P11" s="181"/>
      <c r="Q11" s="180">
        <v>0.6383763837638376383763837638</v>
      </c>
      <c r="R11" s="81">
        <v>-17.752256174281636656033254610</v>
      </c>
      <c r="S11" s="182"/>
      <c r="T11" s="180">
        <v>0.8118081180811808118081180812</v>
      </c>
      <c r="U11" s="81">
        <v>-7.5291415165611322478735030400</v>
      </c>
      <c r="V11" s="181"/>
      <c r="W11" s="180">
        <v>0.8819188191881918819188191882</v>
      </c>
      <c r="X11" s="81">
        <v>-5.7825857761776839107073982600</v>
      </c>
      <c r="Y11" s="183"/>
      <c r="Z11" s="180">
        <v>0.7423716762084564367238356769</v>
      </c>
      <c r="AA11" s="81">
        <v>-7.6159691828983719468202171200</v>
      </c>
      <c r="AB11" s="1"/>
      <c r="AC11" s="1"/>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row>
    <row r="12" ht="18" customHeight="1">
      <c r="A12" s="1"/>
      <c r="B12" s="57"/>
      <c r="C12" s="15"/>
      <c r="D12" s="406" t="s">
        <v>91</v>
      </c>
      <c r="E12" s="68">
        <v>113.05704099816094028520501935</v>
      </c>
      <c r="F12" s="73">
        <v>10.644900161866136040299797300</v>
      </c>
      <c r="G12" s="68"/>
      <c r="H12" s="68">
        <v>111.55735436554756454581469260</v>
      </c>
      <c r="I12" s="73">
        <v>3.1755853433675979632637345200</v>
      </c>
      <c r="J12" s="68"/>
      <c r="K12" s="68">
        <v>127.50398724084947830101570031</v>
      </c>
      <c r="L12" s="73">
        <v>14.160546715758460885997257580</v>
      </c>
      <c r="M12" s="68"/>
      <c r="N12" s="68">
        <v>169.07308377910315845886791247</v>
      </c>
      <c r="O12" s="73">
        <v>28.145244259504632426674396090</v>
      </c>
      <c r="P12" s="68"/>
      <c r="Q12" s="68">
        <v>149.52706253280484965934530869</v>
      </c>
      <c r="R12" s="73">
        <v>28.735875315348324225159536190</v>
      </c>
      <c r="S12" s="68"/>
      <c r="T12" s="68">
        <v>90.51997245181079487540696667</v>
      </c>
      <c r="U12" s="73">
        <v>-10.343664733214665838729142970</v>
      </c>
      <c r="V12" s="68"/>
      <c r="W12" s="68">
        <v>103.08101939903345847968666685</v>
      </c>
      <c r="X12" s="73">
        <v>3.548772181381243554954773600</v>
      </c>
      <c r="Y12" s="174"/>
      <c r="Z12" s="68">
        <v>120.12512335196251726604031373</v>
      </c>
      <c r="AA12" s="73">
        <v>9.978919961557793781057963400</v>
      </c>
      <c r="AB12" s="1"/>
      <c r="AC12" s="1"/>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row>
    <row r="13" ht="21" customHeight="1">
      <c r="A13" s="1"/>
      <c r="B13" s="16"/>
      <c r="C13" s="16"/>
      <c r="D13" s="1"/>
      <c r="E13" s="3"/>
      <c r="F13" s="66"/>
      <c r="G13" s="66"/>
      <c r="H13" s="66"/>
      <c r="I13" s="66"/>
      <c r="J13" s="66"/>
      <c r="K13" s="66"/>
      <c r="L13" s="66"/>
      <c r="M13" s="66"/>
      <c r="N13" s="66"/>
      <c r="O13" s="66"/>
      <c r="P13" s="66"/>
      <c r="Q13" s="66"/>
      <c r="R13" s="66"/>
      <c r="S13" s="66"/>
      <c r="T13" s="66"/>
      <c r="U13" s="66"/>
      <c r="V13" s="66"/>
      <c r="W13" s="66"/>
      <c r="X13" s="66"/>
      <c r="Y13" s="66"/>
      <c r="Z13" s="66"/>
      <c r="AA13" s="175"/>
      <c r="AB13" s="1"/>
      <c r="AC13" s="1"/>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row>
    <row r="14" ht="18" customHeight="1">
      <c r="A14" s="1"/>
      <c r="B14" s="653" t="s">
        <v>12</v>
      </c>
      <c r="C14" s="1"/>
      <c r="D14" s="17" t="s">
        <v>32</v>
      </c>
      <c r="E14" s="237">
        <v>193.83898305084745762711864407</v>
      </c>
      <c r="F14" s="73">
        <v>2.7348495212432164566381889200</v>
      </c>
      <c r="G14" s="70"/>
      <c r="H14" s="237">
        <v>194.1680672268907563025210084</v>
      </c>
      <c r="I14" s="73">
        <v>30.149893242918501765251645500</v>
      </c>
      <c r="J14" s="70"/>
      <c r="K14" s="237">
        <v>202.45762711864406779661016949</v>
      </c>
      <c r="L14" s="73">
        <v>52.093087554234426002223326040</v>
      </c>
      <c r="M14" s="70"/>
      <c r="N14" s="237">
        <v>183.62698412698412698412698413</v>
      </c>
      <c r="O14" s="73">
        <v>28.084770158360033982627156980</v>
      </c>
      <c r="P14" s="70"/>
      <c r="Q14" s="237">
        <v>188.01587301587301587301587302</v>
      </c>
      <c r="R14" s="73">
        <v>18.839373712704043760919382560</v>
      </c>
      <c r="S14" s="70"/>
      <c r="T14" s="237">
        <v>245.53608247422680412371134021</v>
      </c>
      <c r="U14" s="73">
        <v>5.1488658888293241654974514400</v>
      </c>
      <c r="V14" s="70"/>
      <c r="W14" s="237">
        <v>275.00833333333333333333333333</v>
      </c>
      <c r="X14" s="73">
        <v>3.1910463697184421786804367700</v>
      </c>
      <c r="Y14" s="178"/>
      <c r="Z14" s="237">
        <v>210.57524271844660194174757282</v>
      </c>
      <c r="AA14" s="73">
        <v>15.177086755297531024134062630</v>
      </c>
      <c r="AB14" s="1"/>
      <c r="AC14" s="1"/>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row>
    <row r="15" ht="18" customHeight="1">
      <c r="A15" s="1"/>
      <c r="B15" s="653"/>
      <c r="C15" s="15"/>
      <c r="D15" s="187" t="s">
        <v>26</v>
      </c>
      <c r="E15" s="238">
        <v>250.86029411764705882352941176</v>
      </c>
      <c r="F15" s="81">
        <v>16.790584570693831754439823930</v>
      </c>
      <c r="G15" s="184"/>
      <c r="H15" s="238">
        <v>278.93607305936073059360730593</v>
      </c>
      <c r="I15" s="81">
        <v>23.788198103284908280906095070</v>
      </c>
      <c r="J15" s="184"/>
      <c r="K15" s="238">
        <v>264.75263157894736842105263158</v>
      </c>
      <c r="L15" s="81">
        <v>14.987404248958528216606871820</v>
      </c>
      <c r="M15" s="184"/>
      <c r="N15" s="238">
        <v>247.20261437908496732026143789</v>
      </c>
      <c r="O15" s="81">
        <v>17.218072012791471363242537190</v>
      </c>
      <c r="P15" s="184"/>
      <c r="Q15" s="238">
        <v>271.50289017341040462427745666</v>
      </c>
      <c r="R15" s="81">
        <v>14.415340882452836510420285240</v>
      </c>
      <c r="S15" s="184"/>
      <c r="T15" s="238">
        <v>325.93636363636363636363636362</v>
      </c>
      <c r="U15" s="81">
        <v>-1.8635901396056014515054280800</v>
      </c>
      <c r="V15" s="184"/>
      <c r="W15" s="238">
        <v>412.77405857740585774058577404</v>
      </c>
      <c r="X15" s="81">
        <v>5.3637794493175315815023591700</v>
      </c>
      <c r="Y15" s="186"/>
      <c r="Z15" s="238">
        <v>298.44589718607569852698328818</v>
      </c>
      <c r="AA15" s="81">
        <v>11.082585122079371342682848580</v>
      </c>
      <c r="AB15" s="1"/>
      <c r="AC15" s="1"/>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row>
    <row r="16" ht="18" customHeight="1">
      <c r="A16" s="1"/>
      <c r="B16" s="57"/>
      <c r="C16" s="15"/>
      <c r="D16" s="406" t="s">
        <v>92</v>
      </c>
      <c r="E16" s="68">
        <v>77.269694565525103314301753380</v>
      </c>
      <c r="F16" s="73">
        <v>-12.034989893266480616770595140</v>
      </c>
      <c r="G16" s="68"/>
      <c r="H16" s="68">
        <v>69.610239040521042365306228870</v>
      </c>
      <c r="I16" s="73">
        <v>5.139177431349691467579536500</v>
      </c>
      <c r="J16" s="68"/>
      <c r="K16" s="68">
        <v>76.470487152951623611314827840</v>
      </c>
      <c r="L16" s="73">
        <v>32.269345975587837911316952650</v>
      </c>
      <c r="M16" s="68"/>
      <c r="N16" s="68">
        <v>74.281974965435098469534195880</v>
      </c>
      <c r="O16" s="73">
        <v>9.270497252664628938583305020</v>
      </c>
      <c r="P16" s="68"/>
      <c r="Q16" s="68">
        <v>69.250044776979515109298981610</v>
      </c>
      <c r="R16" s="73">
        <v>3.8666430533866962208407055200</v>
      </c>
      <c r="S16" s="68"/>
      <c r="T16" s="68">
        <v>75.332521887044138991807563270</v>
      </c>
      <c r="U16" s="73">
        <v>7.1456211189297466935473893400</v>
      </c>
      <c r="V16" s="68"/>
      <c r="W16" s="68">
        <v>66.624422639623325604475911930</v>
      </c>
      <c r="X16" s="73">
        <v>-2.0621252302122914760655770700</v>
      </c>
      <c r="Y16" s="174"/>
      <c r="Z16" s="68">
        <v>70.557258351968411932543458020</v>
      </c>
      <c r="AA16" s="73">
        <v>3.6859977905223263056675319700</v>
      </c>
      <c r="AB16" s="1"/>
      <c r="AC16" s="1"/>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row>
    <row r="17" ht="21" customHeight="1">
      <c r="A17" s="1"/>
      <c r="B17" s="16"/>
      <c r="C17" s="16"/>
      <c r="D17" s="1"/>
      <c r="E17" s="3"/>
      <c r="F17" s="66"/>
      <c r="G17" s="66"/>
      <c r="H17" s="66"/>
      <c r="I17" s="66"/>
      <c r="J17" s="66"/>
      <c r="K17" s="66"/>
      <c r="L17" s="66"/>
      <c r="M17" s="66"/>
      <c r="N17" s="66"/>
      <c r="O17" s="66"/>
      <c r="P17" s="66"/>
      <c r="Q17" s="66"/>
      <c r="R17" s="66"/>
      <c r="S17" s="66"/>
      <c r="T17" s="66"/>
      <c r="U17" s="66"/>
      <c r="V17" s="66"/>
      <c r="W17" s="66"/>
      <c r="X17" s="66"/>
      <c r="Y17" s="66"/>
      <c r="Z17" s="66"/>
      <c r="AA17" s="175"/>
      <c r="AB17" s="1"/>
      <c r="AC17" s="1"/>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row>
    <row r="18" ht="18" customHeight="1">
      <c r="A18" s="1"/>
      <c r="B18" s="653" t="s">
        <v>13</v>
      </c>
      <c r="C18" s="1"/>
      <c r="D18" s="17" t="s">
        <v>32</v>
      </c>
      <c r="E18" s="237">
        <v>173.28030303030303030303030303</v>
      </c>
      <c r="F18" s="73">
        <v>11.217543518450105522419225930</v>
      </c>
      <c r="G18" s="70"/>
      <c r="H18" s="237">
        <v>175.04545454545454545454545455</v>
      </c>
      <c r="I18" s="73">
        <v>32.374677742815651557579720440</v>
      </c>
      <c r="J18" s="70"/>
      <c r="K18" s="237">
        <v>180.98484848484848484848484848</v>
      </c>
      <c r="L18" s="73">
        <v>70.923660299004047108146582280</v>
      </c>
      <c r="M18" s="70"/>
      <c r="N18" s="237">
        <v>175.28030303030303030303030303</v>
      </c>
      <c r="O18" s="73">
        <v>33.377529255745266551638595770</v>
      </c>
      <c r="P18" s="70"/>
      <c r="Q18" s="237">
        <v>179.46969696969696969696969697</v>
      </c>
      <c r="R18" s="73">
        <v>25.829925107547600367548091770</v>
      </c>
      <c r="S18" s="70"/>
      <c r="T18" s="237">
        <v>180.43181818181818181818181818</v>
      </c>
      <c r="U18" s="73">
        <v>-12.825299220391414257267544780</v>
      </c>
      <c r="V18" s="70"/>
      <c r="W18" s="237">
        <v>250.00757575757575757575757576</v>
      </c>
      <c r="X18" s="73">
        <v>0.6741915802453620025306003500</v>
      </c>
      <c r="Y18" s="178"/>
      <c r="Z18" s="237">
        <v>187.78571428571428571428571429</v>
      </c>
      <c r="AA18" s="73">
        <v>17.023328589841653687919053680</v>
      </c>
      <c r="AB18" s="1"/>
      <c r="AC18" s="1"/>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row>
    <row r="19" ht="18" customHeight="1">
      <c r="A19" s="1"/>
      <c r="B19" s="653" t="s"/>
      <c r="C19" s="15"/>
      <c r="D19" s="187" t="s">
        <v>26</v>
      </c>
      <c r="E19" s="238">
        <v>198.35465116279069767441860465</v>
      </c>
      <c r="F19" s="81">
        <v>14.269924472045763443192921260</v>
      </c>
      <c r="G19" s="184"/>
      <c r="H19" s="238">
        <v>225.41328413284132841328413284</v>
      </c>
      <c r="I19" s="81">
        <v>22.029097541356925569878802560</v>
      </c>
      <c r="J19" s="184"/>
      <c r="K19" s="238">
        <v>185.61992619926199261992619926</v>
      </c>
      <c r="L19" s="81">
        <v>13.194920426448695003910275460</v>
      </c>
      <c r="M19" s="184"/>
      <c r="N19" s="238">
        <v>139.56457564575645756457564576</v>
      </c>
      <c r="O19" s="81">
        <v>-4.7473086480104964221627962500</v>
      </c>
      <c r="P19" s="184"/>
      <c r="Q19" s="238">
        <v>173.32103321033210332103321033</v>
      </c>
      <c r="R19" s="81">
        <v>-5.8959635336231546270481208300</v>
      </c>
      <c r="S19" s="184"/>
      <c r="T19" s="238">
        <v>264.59778597785977859778597785</v>
      </c>
      <c r="U19" s="81">
        <v>-9.252419317262856741447751570</v>
      </c>
      <c r="V19" s="184"/>
      <c r="W19" s="238">
        <v>364.03321033210332103321033209</v>
      </c>
      <c r="X19" s="81">
        <v>-0.728971474346398148924954300</v>
      </c>
      <c r="Y19" s="186"/>
      <c r="Z19" s="238">
        <v>221.55778095156366846060487182</v>
      </c>
      <c r="AA19" s="81">
        <v>2.6225696715508856085893434400</v>
      </c>
      <c r="AB19" s="1"/>
      <c r="AC19" s="1"/>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row>
    <row r="20" ht="18" customHeight="1">
      <c r="A20" s="1"/>
      <c r="B20" s="57"/>
      <c r="C20" s="15"/>
      <c r="D20" s="406" t="s">
        <v>93</v>
      </c>
      <c r="E20" s="68">
        <v>87.35883026412264698196496221</v>
      </c>
      <c r="F20" s="73">
        <v>-2.6712023900282101846995840600</v>
      </c>
      <c r="G20" s="68"/>
      <c r="H20" s="68">
        <v>77.655341041182050544925156860</v>
      </c>
      <c r="I20" s="73">
        <v>8.477961740189978203616967560</v>
      </c>
      <c r="J20" s="68"/>
      <c r="K20" s="68">
        <v>97.50292018246207302379699092</v>
      </c>
      <c r="L20" s="73">
        <v>50.999408502719697173371845700</v>
      </c>
      <c r="M20" s="68"/>
      <c r="N20" s="68">
        <v>125.59082576594918696705840547</v>
      </c>
      <c r="O20" s="73">
        <v>40.024945607931291095622737750</v>
      </c>
      <c r="P20" s="68"/>
      <c r="Q20" s="68">
        <v>103.54755775771106541495360601</v>
      </c>
      <c r="R20" s="73">
        <v>33.713632095355844522969629330</v>
      </c>
      <c r="S20" s="68"/>
      <c r="T20" s="68">
        <v>68.190978059388746347751651680</v>
      </c>
      <c r="U20" s="73">
        <v>-3.9371627058328088192374684400</v>
      </c>
      <c r="V20" s="68"/>
      <c r="W20" s="68">
        <v>68.677134025628869266252961080</v>
      </c>
      <c r="X20" s="73">
        <v>1.4134668244886409565234764800</v>
      </c>
      <c r="Y20" s="174"/>
      <c r="Z20" s="68">
        <v>84.75699362900582156973513466</v>
      </c>
      <c r="AA20" s="73">
        <v>14.032740521197970271386102820</v>
      </c>
      <c r="AB20" s="1"/>
      <c r="AC20" s="1"/>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row>
    <row r="21" ht="23.1" customHeight="1">
      <c r="A21" s="1"/>
      <c r="B21" s="16"/>
      <c r="C21" s="16"/>
      <c r="D21" s="1"/>
      <c r="E21" s="1"/>
      <c r="F21" s="1"/>
      <c r="G21" s="1"/>
      <c r="H21" s="1"/>
      <c r="I21" s="1"/>
      <c r="J21" s="1"/>
      <c r="K21" s="1"/>
      <c r="L21" s="1"/>
      <c r="M21" s="1"/>
      <c r="N21" s="1"/>
      <c r="O21" s="1"/>
      <c r="P21" s="1"/>
      <c r="Q21" s="1"/>
      <c r="R21" s="1"/>
      <c r="S21" s="1"/>
      <c r="T21" s="1"/>
      <c r="U21" s="1"/>
      <c r="V21" s="1"/>
      <c r="W21" s="1"/>
      <c r="X21" s="1"/>
      <c r="Y21" s="1"/>
      <c r="Z21" s="1"/>
      <c r="AA21" s="1"/>
      <c r="AB21" s="1"/>
      <c r="AC21" s="1"/>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row>
    <row r="22" ht="23.1"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row>
    <row r="23" s="6" customFormat="1" ht="18" customHeight="1">
      <c r="A23" s="78"/>
      <c r="B23" s="607" t="s">
        <v>69</v>
      </c>
      <c r="C23" s="607"/>
      <c r="D23" s="607"/>
      <c r="E23" s="607"/>
      <c r="F23" s="607"/>
      <c r="G23" s="607"/>
      <c r="H23" s="607"/>
      <c r="I23" s="607"/>
      <c r="J23" s="607"/>
      <c r="K23" s="607"/>
      <c r="L23" s="607"/>
      <c r="M23" s="607"/>
      <c r="N23" s="607"/>
      <c r="O23" s="607"/>
      <c r="P23" s="607"/>
      <c r="Q23" s="607"/>
      <c r="R23" s="607"/>
      <c r="S23" s="607"/>
      <c r="T23" s="607"/>
      <c r="U23" s="607"/>
      <c r="V23" s="607"/>
      <c r="W23" s="607"/>
      <c r="X23" s="607"/>
      <c r="Y23" s="607"/>
      <c r="Z23" s="607"/>
      <c r="AA23" s="607"/>
      <c r="AB23" s="607"/>
      <c r="AC23" s="78"/>
      <c r="AD23" s="245"/>
      <c r="AE23" s="245"/>
      <c r="AF23" s="245"/>
      <c r="AG23" s="245"/>
      <c r="AH23" s="245"/>
      <c r="AI23" s="245"/>
      <c r="AJ23" s="245"/>
      <c r="AK23" s="245"/>
      <c r="AL23" s="245"/>
      <c r="AM23" s="245"/>
      <c r="AN23" s="245"/>
      <c r="AO23" s="245"/>
      <c r="AP23" s="245"/>
      <c r="AQ23" s="245"/>
      <c r="AR23" s="245"/>
      <c r="AS23" s="245"/>
      <c r="AT23" s="245"/>
      <c r="AU23" s="245"/>
      <c r="AV23" s="245"/>
      <c r="AW23" s="245"/>
      <c r="AX23" s="245"/>
      <c r="AY23" s="245"/>
      <c r="AZ23" s="245"/>
      <c r="BA23" s="245"/>
      <c r="BB23" s="245"/>
      <c r="BC23" s="245"/>
      <c r="BD23" s="245"/>
      <c r="BE23" s="245"/>
      <c r="BF23" s="245"/>
      <c r="BG23" s="245"/>
    </row>
    <row r="24" ht="21" customHeight="1">
      <c r="A24" s="1"/>
      <c r="B24" s="16"/>
      <c r="C24" s="16"/>
      <c r="D24" s="1"/>
      <c r="E24" s="1"/>
      <c r="F24" s="1"/>
      <c r="G24" s="1"/>
      <c r="H24" s="1"/>
      <c r="I24" s="1"/>
      <c r="J24" s="1"/>
      <c r="K24" s="1"/>
      <c r="L24" s="1"/>
      <c r="M24" s="1"/>
      <c r="N24" s="1"/>
      <c r="O24" s="1"/>
      <c r="P24" s="1"/>
      <c r="Q24" s="1"/>
      <c r="R24" s="1"/>
      <c r="S24" s="1"/>
      <c r="T24" s="1"/>
      <c r="U24" s="1"/>
      <c r="V24" s="1"/>
      <c r="W24" s="1"/>
      <c r="X24" s="1"/>
      <c r="Y24" s="1"/>
      <c r="Z24" s="1"/>
      <c r="AA24" s="1"/>
      <c r="AB24" s="1"/>
      <c r="AC24" s="1"/>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c r="BB24" s="244"/>
      <c r="BC24" s="244"/>
      <c r="BD24" s="244"/>
      <c r="BE24" s="244"/>
      <c r="BF24" s="244"/>
      <c r="BG24" s="244"/>
    </row>
    <row r="25" ht="18" customHeight="1">
      <c r="A25" s="1"/>
      <c r="B25" s="1"/>
      <c r="C25" s="1"/>
      <c r="D25" s="3"/>
      <c r="E25" s="651" t="s">
        <v>40</v>
      </c>
      <c r="F25" s="651"/>
      <c r="G25" s="64"/>
      <c r="H25" s="651" t="s">
        <v>39</v>
      </c>
      <c r="I25" s="651"/>
      <c r="J25" s="1"/>
      <c r="K25" s="651" t="s">
        <v>41</v>
      </c>
      <c r="L25" s="651"/>
      <c r="M25" s="64"/>
      <c r="N25" s="651" t="s">
        <v>42</v>
      </c>
      <c r="O25" s="651"/>
      <c r="P25" s="64"/>
      <c r="Q25" s="651" t="s">
        <v>43</v>
      </c>
      <c r="R25" s="651"/>
      <c r="S25" s="64"/>
      <c r="T25" s="651" t="s">
        <v>44</v>
      </c>
      <c r="U25" s="651"/>
      <c r="V25" s="64"/>
      <c r="W25" s="651" t="s">
        <v>45</v>
      </c>
      <c r="X25" s="651"/>
      <c r="Y25" s="64"/>
      <c r="Z25" s="651" t="s">
        <v>23</v>
      </c>
      <c r="AA25" s="651"/>
      <c r="AB25" s="1"/>
      <c r="AC25" s="1"/>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c r="BB25" s="244"/>
      <c r="BC25" s="244"/>
      <c r="BD25" s="244"/>
      <c r="BE25" s="244"/>
      <c r="BF25" s="244"/>
      <c r="BG25" s="244"/>
    </row>
    <row r="26" ht="18" customHeight="1">
      <c r="A26" s="1"/>
      <c r="B26" s="16"/>
      <c r="C26" s="16"/>
      <c r="D26" s="1"/>
      <c r="E26" s="652" t="s">
        <v>57</v>
      </c>
      <c r="F26" s="652"/>
      <c r="G26" s="65"/>
      <c r="H26" s="652" t="s">
        <v>57</v>
      </c>
      <c r="I26" s="652"/>
      <c r="J26" s="3"/>
      <c r="K26" s="652" t="s">
        <v>57</v>
      </c>
      <c r="L26" s="652"/>
      <c r="M26" s="65"/>
      <c r="N26" s="652" t="s">
        <v>57</v>
      </c>
      <c r="O26" s="652"/>
      <c r="P26" s="65"/>
      <c r="Q26" s="652" t="s">
        <v>57</v>
      </c>
      <c r="R26" s="652"/>
      <c r="S26" s="65"/>
      <c r="T26" s="652" t="s">
        <v>57</v>
      </c>
      <c r="U26" s="652"/>
      <c r="V26" s="65"/>
      <c r="W26" s="652" t="s">
        <v>57</v>
      </c>
      <c r="X26" s="652"/>
      <c r="Y26" s="1"/>
      <c r="Z26" s="652" t="s">
        <v>57</v>
      </c>
      <c r="AA26" s="652"/>
      <c r="AB26" s="1"/>
      <c r="AC26" s="1"/>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row>
    <row r="27" ht="18" customHeight="1">
      <c r="A27" s="1"/>
      <c r="B27" s="653" t="s">
        <v>28</v>
      </c>
      <c r="C27" s="1"/>
      <c r="D27" s="17" t="s">
        <v>32</v>
      </c>
      <c r="E27" s="67">
        <v>0.8181818181818181818181818182</v>
      </c>
      <c r="F27" s="73">
        <v>-3.786191536772329502333811800</v>
      </c>
      <c r="G27" s="66"/>
      <c r="H27" s="67">
        <v>0.7803030303030303030303030303</v>
      </c>
      <c r="I27" s="73">
        <v>-7.6233183856535381769189003200</v>
      </c>
      <c r="J27" s="66"/>
      <c r="K27" s="67">
        <v>0.7689393939393939393939393939</v>
      </c>
      <c r="L27" s="73">
        <v>-10.375275938237328772129852190</v>
      </c>
      <c r="M27" s="67"/>
      <c r="N27" s="67">
        <v>0.8617424242424242424242424242</v>
      </c>
      <c r="O27" s="73">
        <v>-3.1914893617548574015391292700</v>
      </c>
      <c r="P27" s="66"/>
      <c r="Q27" s="67">
        <v>0.8901515151515151515151515152</v>
      </c>
      <c r="R27" s="73">
        <v>3.0701754386398891966759185600</v>
      </c>
      <c r="S27" s="66"/>
      <c r="T27" s="67">
        <v>0.8409090909090909090909090909</v>
      </c>
      <c r="U27" s="73">
        <v>-7.8838174274072967063239219600</v>
      </c>
      <c r="V27" s="66"/>
      <c r="W27" s="67">
        <v>0.9299242424242424242424242424</v>
      </c>
      <c r="X27" s="73">
        <v>4.4680851063260769578995330300</v>
      </c>
      <c r="Y27" s="177"/>
      <c r="Z27" s="67">
        <v>0.8414502164502164502164502165</v>
      </c>
      <c r="AA27" s="73">
        <v>-3.5957842528898376450791436100</v>
      </c>
      <c r="AB27" s="1"/>
      <c r="AC27" s="1"/>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row>
    <row r="28" ht="18" customHeight="1">
      <c r="A28" s="1"/>
      <c r="B28" s="653"/>
      <c r="C28" s="15"/>
      <c r="D28" s="187" t="s">
        <v>26</v>
      </c>
      <c r="E28" s="180">
        <v>0.7376453488372093023255813953</v>
      </c>
      <c r="F28" s="81">
        <v>-7.5744667904096123556836690600</v>
      </c>
      <c r="G28" s="181"/>
      <c r="H28" s="180">
        <v>0.7376399854114820217969621557</v>
      </c>
      <c r="I28" s="81">
        <v>6.1660053994780377977921745500</v>
      </c>
      <c r="J28" s="181"/>
      <c r="K28" s="180">
        <v>0.7341430318372951171372178838</v>
      </c>
      <c r="L28" s="81">
        <v>13.568939789244803625081409410</v>
      </c>
      <c r="M28" s="180"/>
      <c r="N28" s="180">
        <v>0.7385276323693469492834463228</v>
      </c>
      <c r="O28" s="81">
        <v>7.3423119217675657796448684300</v>
      </c>
      <c r="P28" s="181"/>
      <c r="Q28" s="180">
        <v>0.7598847936153780142452587317</v>
      </c>
      <c r="R28" s="81">
        <v>-4.2583653049735370430764185100</v>
      </c>
      <c r="S28" s="182"/>
      <c r="T28" s="180">
        <v>0.8308590062644812494636574273</v>
      </c>
      <c r="U28" s="81">
        <v>-4.1520885457986808453492141200</v>
      </c>
      <c r="V28" s="181"/>
      <c r="W28" s="180">
        <v>0.87382272805286192396807689</v>
      </c>
      <c r="X28" s="81">
        <v>-1.2592065958609987194413422900</v>
      </c>
      <c r="Y28" s="183"/>
      <c r="Z28" s="180">
        <v>0.7732175037697220826028858295</v>
      </c>
      <c r="AA28" s="81">
        <v>0.7386305109479998903631621300</v>
      </c>
      <c r="AB28" s="1"/>
      <c r="AC28" s="1"/>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row>
    <row r="29" ht="18" customHeight="1">
      <c r="A29" s="1"/>
      <c r="B29" s="57"/>
      <c r="C29" s="15"/>
      <c r="D29" s="406" t="s">
        <v>91</v>
      </c>
      <c r="E29" s="68">
        <v>110.91804746980308001561883889</v>
      </c>
      <c r="F29" s="73">
        <v>4.0987323763806473848723090600</v>
      </c>
      <c r="G29" s="68"/>
      <c r="H29" s="68">
        <v>105.78372183393220017659992870</v>
      </c>
      <c r="I29" s="73">
        <v>-12.988454951430110294425098240</v>
      </c>
      <c r="J29" s="68"/>
      <c r="K29" s="68">
        <v>104.73972517525981114666670106</v>
      </c>
      <c r="L29" s="73">
        <v>-21.083419262174864336935866190</v>
      </c>
      <c r="M29" s="68"/>
      <c r="N29" s="68">
        <v>116.68384315942031823204435632</v>
      </c>
      <c r="O29" s="73">
        <v>-9.813279679599008191112245340</v>
      </c>
      <c r="P29" s="68"/>
      <c r="Q29" s="68">
        <v>117.14295675227257344109993112</v>
      </c>
      <c r="R29" s="73">
        <v>7.6544971964885637504996967500</v>
      </c>
      <c r="S29" s="68"/>
      <c r="T29" s="68">
        <v>101.20960169767932450009883798</v>
      </c>
      <c r="U29" s="73">
        <v>-3.8933857033491881091062550400</v>
      </c>
      <c r="V29" s="68"/>
      <c r="W29" s="68">
        <v>106.42023977749405679916720961</v>
      </c>
      <c r="X29" s="73">
        <v>5.8003298381558475653077334700</v>
      </c>
      <c r="Y29" s="174"/>
      <c r="Z29" s="68">
        <v>108.82451733794593973570027689</v>
      </c>
      <c r="AA29" s="73">
        <v>-4.3026341949532748319867333800</v>
      </c>
      <c r="AB29" s="1"/>
      <c r="AC29" s="1"/>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row>
    <row r="30" ht="21" customHeight="1">
      <c r="A30" s="1"/>
      <c r="B30" s="16"/>
      <c r="C30" s="16"/>
      <c r="D30" s="1"/>
      <c r="E30" s="66"/>
      <c r="F30" s="66"/>
      <c r="G30" s="66"/>
      <c r="H30" s="66"/>
      <c r="I30" s="66"/>
      <c r="J30" s="66"/>
      <c r="K30" s="66"/>
      <c r="L30" s="66"/>
      <c r="M30" s="66"/>
      <c r="N30" s="66"/>
      <c r="O30" s="66"/>
      <c r="P30" s="66"/>
      <c r="Q30" s="66"/>
      <c r="R30" s="66"/>
      <c r="S30" s="66"/>
      <c r="T30" s="66"/>
      <c r="U30" s="66"/>
      <c r="V30" s="66"/>
      <c r="W30" s="66"/>
      <c r="X30" s="66"/>
      <c r="Y30" s="66"/>
      <c r="Z30" s="66"/>
      <c r="AA30" s="19"/>
      <c r="AB30" s="1"/>
      <c r="AC30" s="1"/>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row>
    <row r="31" ht="18" customHeight="1">
      <c r="A31" s="1"/>
      <c r="B31" s="653" t="s">
        <v>12</v>
      </c>
      <c r="C31" s="1"/>
      <c r="D31" s="17" t="s">
        <v>32</v>
      </c>
      <c r="E31" s="237">
        <v>231.12731481481481481481481481</v>
      </c>
      <c r="F31" s="73">
        <v>-7.5729527767070975985476121300</v>
      </c>
      <c r="G31" s="70"/>
      <c r="H31" s="237">
        <v>211.76699029126213592233009709</v>
      </c>
      <c r="I31" s="73">
        <v>23.048161952519678637312651770</v>
      </c>
      <c r="J31" s="70"/>
      <c r="K31" s="237">
        <v>222.12068965517241379310344828</v>
      </c>
      <c r="L31" s="73">
        <v>28.967793403953768948637518890</v>
      </c>
      <c r="M31" s="70"/>
      <c r="N31" s="237">
        <v>200.93846153846153846153846154</v>
      </c>
      <c r="O31" s="73">
        <v>14.244159537252919774719173100</v>
      </c>
      <c r="P31" s="70"/>
      <c r="Q31" s="237">
        <v>217.25319148936170212765957447</v>
      </c>
      <c r="R31" s="73">
        <v>-5.5673015221557471453010238600</v>
      </c>
      <c r="S31" s="70"/>
      <c r="T31" s="237">
        <v>307.17342342342342342342342342</v>
      </c>
      <c r="U31" s="73">
        <v>-0.817541707367192144290714800</v>
      </c>
      <c r="V31" s="70"/>
      <c r="W31" s="237">
        <v>311.4236252545824847250509165</v>
      </c>
      <c r="X31" s="73">
        <v>-3.1879939217579074539169516900</v>
      </c>
      <c r="Y31" s="178"/>
      <c r="Z31" s="237">
        <v>244.40707395498392282958199357</v>
      </c>
      <c r="AA31" s="73">
        <v>4.4180046509130757163499552500</v>
      </c>
      <c r="AB31" s="1"/>
      <c r="AC31" s="1"/>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row>
    <row r="32" ht="18" customHeight="1">
      <c r="A32" s="1"/>
      <c r="B32" s="653"/>
      <c r="C32" s="15"/>
      <c r="D32" s="187" t="s">
        <v>26</v>
      </c>
      <c r="E32" s="238">
        <v>293.19211822660098522167487685</v>
      </c>
      <c r="F32" s="81">
        <v>16.455419398643718944796138880</v>
      </c>
      <c r="G32" s="184"/>
      <c r="H32" s="238">
        <v>284.74213907359404936323678576</v>
      </c>
      <c r="I32" s="81">
        <v>22.074243609621759188563087050</v>
      </c>
      <c r="J32" s="184"/>
      <c r="K32" s="238">
        <v>270.93788697357895082901384064</v>
      </c>
      <c r="L32" s="81">
        <v>18.635480498293095713484027280</v>
      </c>
      <c r="M32" s="184"/>
      <c r="N32" s="238">
        <v>262.32782486183431737801114041</v>
      </c>
      <c r="O32" s="81">
        <v>16.718512387183269893579767960</v>
      </c>
      <c r="P32" s="184"/>
      <c r="Q32" s="238">
        <v>291.60482499170660436620811834</v>
      </c>
      <c r="R32" s="81">
        <v>9.377626711104108604494134480</v>
      </c>
      <c r="S32" s="184"/>
      <c r="T32" s="238">
        <v>353.28353516835364594092129726</v>
      </c>
      <c r="U32" s="81">
        <v>4.162588805985203723053285200</v>
      </c>
      <c r="V32" s="184"/>
      <c r="W32" s="238">
        <v>375.3650232472494590986511992</v>
      </c>
      <c r="X32" s="81">
        <v>4.4891259896450175344375939800</v>
      </c>
      <c r="Y32" s="186"/>
      <c r="Z32" s="238">
        <v>307.07860495028509028354443425</v>
      </c>
      <c r="AA32" s="81">
        <v>10.821368893772325814611272390</v>
      </c>
      <c r="AB32" s="1"/>
      <c r="AC32" s="1"/>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row>
    <row r="33" ht="18" customHeight="1">
      <c r="A33" s="1"/>
      <c r="B33" s="57"/>
      <c r="C33" s="15"/>
      <c r="D33" s="406" t="s">
        <v>92</v>
      </c>
      <c r="E33" s="68">
        <v>78.83135338453503993768973500</v>
      </c>
      <c r="F33" s="73">
        <v>-20.633107758710166335573519810</v>
      </c>
      <c r="G33" s="68"/>
      <c r="H33" s="68">
        <v>74.371496603993943594625646400</v>
      </c>
      <c r="I33" s="73">
        <v>0.7978082141686715409246164300</v>
      </c>
      <c r="J33" s="68"/>
      <c r="K33" s="68">
        <v>81.98214437127270425162776965</v>
      </c>
      <c r="L33" s="73">
        <v>8.709294101813798869977789210</v>
      </c>
      <c r="M33" s="68"/>
      <c r="N33" s="68">
        <v>76.598226529846876718391137180</v>
      </c>
      <c r="O33" s="73">
        <v>-2.1199317908808599289179173400</v>
      </c>
      <c r="P33" s="68"/>
      <c r="Q33" s="68">
        <v>74.502605193705357364624237320</v>
      </c>
      <c r="R33" s="73">
        <v>-13.663606244369549913345961970</v>
      </c>
      <c r="S33" s="68"/>
      <c r="T33" s="68">
        <v>86.94812886680461188538674949</v>
      </c>
      <c r="U33" s="73">
        <v>-4.7811124612608880856533259600</v>
      </c>
      <c r="V33" s="68"/>
      <c r="W33" s="68">
        <v>82.96554179729517989803147743</v>
      </c>
      <c r="X33" s="73">
        <v>-7.3472907717626798420159797900</v>
      </c>
      <c r="Y33" s="174"/>
      <c r="Z33" s="68">
        <v>79.59104607582175017672279819</v>
      </c>
      <c r="AA33" s="73">
        <v>-5.7780952416882298221727599100</v>
      </c>
      <c r="AB33" s="1"/>
      <c r="AC33" s="1"/>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row>
    <row r="34" ht="21" customHeight="1">
      <c r="A34" s="1"/>
      <c r="B34" s="16"/>
      <c r="C34" s="16"/>
      <c r="D34" s="1"/>
      <c r="E34" s="66"/>
      <c r="F34" s="66"/>
      <c r="G34" s="66"/>
      <c r="H34" s="66"/>
      <c r="I34" s="66"/>
      <c r="J34" s="66"/>
      <c r="K34" s="66"/>
      <c r="L34" s="66"/>
      <c r="M34" s="66"/>
      <c r="N34" s="66"/>
      <c r="O34" s="66"/>
      <c r="P34" s="66"/>
      <c r="Q34" s="66"/>
      <c r="R34" s="66"/>
      <c r="S34" s="66"/>
      <c r="T34" s="66"/>
      <c r="U34" s="66"/>
      <c r="V34" s="66"/>
      <c r="W34" s="66"/>
      <c r="X34" s="66"/>
      <c r="Y34" s="66"/>
      <c r="Z34" s="66"/>
      <c r="AA34" s="18"/>
      <c r="AB34" s="1"/>
      <c r="AC34" s="1"/>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row>
    <row r="35" ht="18" customHeight="1">
      <c r="A35" s="1"/>
      <c r="B35" s="653" t="s">
        <v>13</v>
      </c>
      <c r="C35" s="1"/>
      <c r="D35" s="17" t="s">
        <v>32</v>
      </c>
      <c r="E35" s="237">
        <v>189.10416666666666666666666667</v>
      </c>
      <c r="F35" s="73">
        <v>-11.072417816323658129120697770</v>
      </c>
      <c r="G35" s="70"/>
      <c r="H35" s="237">
        <v>165.24242424242424242424242424</v>
      </c>
      <c r="I35" s="73">
        <v>13.667808799202206143910750120</v>
      </c>
      <c r="J35" s="70"/>
      <c r="K35" s="237">
        <v>170.79734848484848484848484848</v>
      </c>
      <c r="L35" s="73">
        <v>15.587028966893629480369745230</v>
      </c>
      <c r="M35" s="70"/>
      <c r="N35" s="237">
        <v>173.15719696969696969696969697</v>
      </c>
      <c r="O35" s="73">
        <v>10.598069339264583821378975070</v>
      </c>
      <c r="P35" s="70"/>
      <c r="Q35" s="237">
        <v>193.38825757575757575757575758</v>
      </c>
      <c r="R35" s="73">
        <v>-2.6680520074761835344642551200</v>
      </c>
      <c r="S35" s="70"/>
      <c r="T35" s="237">
        <v>258.30492424242424242424242424</v>
      </c>
      <c r="U35" s="73">
        <v>-8.636905639147971601675309260</v>
      </c>
      <c r="V35" s="70"/>
      <c r="W35" s="237">
        <v>289.60037878787878787878787879</v>
      </c>
      <c r="X35" s="73">
        <v>1.1376489030297298099613387700</v>
      </c>
      <c r="Y35" s="178"/>
      <c r="Z35" s="237">
        <v>205.65638528138528138528138528</v>
      </c>
      <c r="AA35" s="73">
        <v>0.6633584824380565084751226300</v>
      </c>
      <c r="AB35" s="1"/>
      <c r="AC35" s="1"/>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row>
    <row r="36" ht="18" customHeight="1">
      <c r="A36" s="1"/>
      <c r="B36" s="653" t="s"/>
      <c r="C36" s="15"/>
      <c r="D36" s="187" t="s">
        <v>26</v>
      </c>
      <c r="E36" s="238">
        <v>216.2718023255813953488372093</v>
      </c>
      <c r="F36" s="81">
        <v>7.6345423306532905564770289400</v>
      </c>
      <c r="G36" s="184"/>
      <c r="H36" s="238">
        <v>210.03718731228009954518149833</v>
      </c>
      <c r="I36" s="81">
        <v>29.601348061882884024583170030</v>
      </c>
      <c r="J36" s="184"/>
      <c r="K36" s="238">
        <v>198.90716178237363768986527074</v>
      </c>
      <c r="L36" s="81">
        <v>34.733057415793953346378261960</v>
      </c>
      <c r="M36" s="184"/>
      <c r="N36" s="238">
        <v>193.73634739981120741439972539</v>
      </c>
      <c r="O36" s="81">
        <v>25.288349637016904979389466430</v>
      </c>
      <c r="P36" s="184"/>
      <c r="Q36" s="238">
        <v>221.58607225607139792328155839</v>
      </c>
      <c r="R36" s="81">
        <v>4.7199278039063770709485581600</v>
      </c>
      <c r="S36" s="184"/>
      <c r="T36" s="238">
        <v>293.52880695958122371921393632</v>
      </c>
      <c r="U36" s="81">
        <v>-0.1623341128005936053328180100</v>
      </c>
      <c r="V36" s="184"/>
      <c r="W36" s="238">
        <v>328.00248862953745816527932721</v>
      </c>
      <c r="X36" s="81">
        <v>3.1733920232343870324212065700</v>
      </c>
      <c r="Y36" s="186"/>
      <c r="Z36" s="238">
        <v>237.43855238074805997229407509</v>
      </c>
      <c r="AA36" s="81">
        <v>11.639929337138115210622596960</v>
      </c>
      <c r="AB36" s="1"/>
      <c r="AC36" s="1"/>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row>
    <row r="37" ht="18" customHeight="1">
      <c r="A37" s="1"/>
      <c r="B37" s="57"/>
      <c r="C37" s="15"/>
      <c r="D37" s="406" t="s">
        <v>93</v>
      </c>
      <c r="E37" s="68">
        <v>87.43819796811416685864897883</v>
      </c>
      <c r="F37" s="73">
        <v>-17.380071250308275469947692170</v>
      </c>
      <c r="G37" s="68"/>
      <c r="H37" s="68">
        <v>78.672937091244066170190712750</v>
      </c>
      <c r="I37" s="73">
        <v>-12.294269697811803789277208500</v>
      </c>
      <c r="J37" s="68"/>
      <c r="K37" s="68">
        <v>85.86787270721653343954906221</v>
      </c>
      <c r="L37" s="73">
        <v>-14.210342150733979848970347800</v>
      </c>
      <c r="M37" s="68"/>
      <c r="N37" s="68">
        <v>89.37775450693550404263664154</v>
      </c>
      <c r="O37" s="73">
        <v>-11.725176634813242457124890130</v>
      </c>
      <c r="P37" s="68"/>
      <c r="Q37" s="68">
        <v>87.27455458132198917033474167</v>
      </c>
      <c r="R37" s="73">
        <v>-7.0549894049060218251436113300</v>
      </c>
      <c r="S37" s="68"/>
      <c r="T37" s="68">
        <v>87.99985490963283334835823760</v>
      </c>
      <c r="U37" s="73">
        <v>-8.488351015678427934093726870</v>
      </c>
      <c r="V37" s="68"/>
      <c r="W37" s="68">
        <v>88.29212851339098345101322462</v>
      </c>
      <c r="X37" s="73">
        <v>-1.9731280326053973397513747400</v>
      </c>
      <c r="Y37" s="174"/>
      <c r="Z37" s="68">
        <v>86.61457173628805097549313526</v>
      </c>
      <c r="AA37" s="73">
        <v>-9.832119135024997534920205710</v>
      </c>
      <c r="AB37" s="1"/>
      <c r="AC37" s="1"/>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row>
    <row r="38" ht="23.1" customHeight="1">
      <c r="A38" s="1"/>
      <c r="B38" s="1"/>
      <c r="C38" s="1"/>
      <c r="D38" s="1"/>
      <c r="E38" s="175"/>
      <c r="F38" s="175"/>
      <c r="G38" s="175"/>
      <c r="H38" s="175"/>
      <c r="I38" s="175"/>
      <c r="J38" s="175"/>
      <c r="K38" s="175"/>
      <c r="L38" s="175"/>
      <c r="M38" s="175"/>
      <c r="N38" s="175"/>
      <c r="O38" s="175"/>
      <c r="P38" s="175"/>
      <c r="Q38" s="175"/>
      <c r="R38" s="175"/>
      <c r="S38" s="175"/>
      <c r="T38" s="175"/>
      <c r="U38" s="175"/>
      <c r="V38" s="175"/>
      <c r="W38" s="175"/>
      <c r="X38" s="175"/>
      <c r="Y38" s="175"/>
      <c r="Z38" s="175"/>
      <c r="AA38" s="175"/>
      <c r="AB38" s="1"/>
      <c r="AC38" s="1"/>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row>
    <row r="39" ht="9"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row>
    <row r="40" ht="33.95" customHeight="1">
      <c r="A40" s="1"/>
      <c r="B40" s="654" t="s">
        <v>114</v>
      </c>
      <c r="C40" s="654"/>
      <c r="D40" s="654"/>
      <c r="E40" s="654"/>
      <c r="F40" s="654"/>
      <c r="G40" s="654"/>
      <c r="H40" s="654"/>
      <c r="I40" s="654"/>
      <c r="J40" s="654"/>
      <c r="K40" s="654"/>
      <c r="L40" s="654"/>
      <c r="M40" s="654"/>
      <c r="N40" s="654"/>
      <c r="O40" s="654"/>
      <c r="P40" s="654"/>
      <c r="Q40" s="654"/>
      <c r="R40" s="654"/>
      <c r="S40" s="654"/>
      <c r="T40" s="654"/>
      <c r="U40" s="654"/>
      <c r="V40" s="654"/>
      <c r="W40" s="654"/>
      <c r="X40" s="654"/>
      <c r="Y40" s="654"/>
      <c r="Z40" s="654"/>
      <c r="AA40" s="654"/>
      <c r="AB40" s="654"/>
      <c r="AC40" s="1"/>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row>
    <row r="41" ht="9.75" customHeight="1">
      <c r="A41" s="1"/>
      <c r="B41" s="1"/>
      <c r="C41" s="1"/>
      <c r="D41" s="1"/>
      <c r="E41" s="1"/>
      <c r="F41" s="1"/>
      <c r="G41" s="1"/>
      <c r="H41" s="1"/>
      <c r="I41" s="1"/>
      <c r="J41" s="1"/>
      <c r="K41" s="1"/>
      <c r="L41" s="1"/>
      <c r="M41" s="1"/>
      <c r="N41" s="1"/>
      <c r="O41" s="1"/>
      <c r="P41" s="1"/>
      <c r="Q41" s="1"/>
      <c r="R41" s="1"/>
      <c r="S41" s="1"/>
      <c r="T41" s="1"/>
      <c r="U41" s="1"/>
      <c r="V41" s="1"/>
      <c r="W41" s="1"/>
      <c r="X41" s="1"/>
      <c r="Y41" s="80"/>
      <c r="Z41" s="241"/>
      <c r="AA41" s="1"/>
      <c r="AB41" s="1"/>
      <c r="AC41" s="1"/>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row>
    <row r="42" ht="9"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row>
    <row r="43" ht="18" customHeight="1">
      <c r="A43" s="244"/>
      <c r="B43" s="244"/>
      <c r="C43" s="244"/>
      <c r="D43" s="244"/>
      <c r="E43" s="244"/>
      <c r="F43" s="244"/>
      <c r="G43" s="244"/>
      <c r="H43" s="244"/>
      <c r="I43" s="244"/>
      <c r="J43" s="244"/>
      <c r="K43" s="244"/>
      <c r="L43" s="244"/>
      <c r="M43" s="244"/>
      <c r="N43" s="244"/>
      <c r="O43" s="244"/>
      <c r="P43" s="244"/>
      <c r="Q43" s="244"/>
      <c r="R43" s="244"/>
      <c r="S43" s="244"/>
      <c r="T43" s="244"/>
      <c r="U43" s="244"/>
      <c r="V43" s="244"/>
      <c r="W43" s="244"/>
      <c r="X43" s="244"/>
      <c r="Y43" s="244"/>
      <c r="Z43" s="244"/>
      <c r="AA43" s="244"/>
      <c r="AB43" s="244"/>
      <c r="AC43" s="244"/>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row>
    <row r="44">
      <c r="A44" s="244"/>
      <c r="B44" s="244"/>
      <c r="C44" s="244"/>
      <c r="D44" s="244"/>
      <c r="E44" s="244"/>
      <c r="F44" s="244"/>
      <c r="G44" s="244"/>
      <c r="H44" s="244"/>
      <c r="I44" s="244"/>
      <c r="J44" s="244"/>
      <c r="K44" s="244"/>
      <c r="L44" s="244"/>
      <c r="M44" s="244"/>
      <c r="N44" s="244"/>
      <c r="O44" s="244"/>
      <c r="P44" s="244"/>
      <c r="Q44" s="244"/>
      <c r="R44" s="244"/>
      <c r="S44" s="244"/>
      <c r="T44" s="244"/>
      <c r="U44" s="244"/>
      <c r="V44" s="244"/>
      <c r="W44" s="244"/>
      <c r="X44" s="244"/>
      <c r="Y44" s="244"/>
      <c r="Z44" s="244"/>
      <c r="AA44" s="244"/>
      <c r="AB44" s="244"/>
      <c r="AC44" s="244"/>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row>
    <row r="45">
      <c r="A45" s="244"/>
      <c r="B45" s="244"/>
      <c r="C45" s="244"/>
      <c r="D45" s="244"/>
      <c r="E45" s="244"/>
      <c r="F45" s="244"/>
      <c r="G45" s="244"/>
      <c r="H45" s="244"/>
      <c r="I45" s="244"/>
      <c r="J45" s="244"/>
      <c r="K45" s="244"/>
      <c r="L45" s="244"/>
      <c r="M45" s="244"/>
      <c r="N45" s="244"/>
      <c r="O45" s="244"/>
      <c r="P45" s="244"/>
      <c r="Q45" s="244"/>
      <c r="R45" s="244"/>
      <c r="S45" s="244"/>
      <c r="T45" s="244"/>
      <c r="U45" s="244"/>
      <c r="V45" s="244"/>
      <c r="W45" s="244"/>
      <c r="X45" s="244"/>
      <c r="Y45" s="244"/>
      <c r="Z45" s="244"/>
      <c r="AA45" s="244"/>
      <c r="AB45" s="244"/>
      <c r="AC45" s="244"/>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row>
    <row r="46">
      <c r="A46" s="244"/>
      <c r="B46" s="244"/>
      <c r="C46" s="244"/>
      <c r="D46" s="244"/>
      <c r="E46" s="244"/>
      <c r="F46" s="244"/>
      <c r="G46" s="244"/>
      <c r="H46" s="244"/>
      <c r="I46" s="244"/>
      <c r="J46" s="244"/>
      <c r="K46" s="244"/>
      <c r="L46" s="244"/>
      <c r="M46" s="244"/>
      <c r="N46" s="244"/>
      <c r="O46" s="244"/>
      <c r="P46" s="244"/>
      <c r="Q46" s="244"/>
      <c r="R46" s="244"/>
      <c r="S46" s="244"/>
      <c r="T46" s="244"/>
      <c r="U46" s="244"/>
      <c r="V46" s="244"/>
      <c r="W46" s="244"/>
      <c r="X46" s="244"/>
      <c r="Y46" s="244"/>
      <c r="Z46" s="244"/>
      <c r="AA46" s="244"/>
      <c r="AB46" s="244"/>
      <c r="AC46" s="24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row>
    <row r="47">
      <c r="A47" s="244"/>
      <c r="B47" s="244"/>
      <c r="C47" s="244"/>
      <c r="D47" s="244"/>
      <c r="E47" s="244"/>
      <c r="F47" s="244"/>
      <c r="G47" s="244"/>
      <c r="H47" s="244"/>
      <c r="I47" s="244"/>
      <c r="J47" s="244"/>
      <c r="K47" s="244"/>
      <c r="L47" s="244"/>
      <c r="M47" s="244"/>
      <c r="N47" s="244"/>
      <c r="O47" s="244"/>
      <c r="P47" s="244"/>
      <c r="Q47" s="244"/>
      <c r="R47" s="244"/>
      <c r="S47" s="244"/>
      <c r="T47" s="244"/>
      <c r="U47" s="244"/>
      <c r="V47" s="244"/>
      <c r="W47" s="244"/>
      <c r="X47" s="244"/>
      <c r="Y47" s="244"/>
      <c r="Z47" s="244"/>
      <c r="AA47" s="244"/>
      <c r="AB47" s="244"/>
      <c r="AC47" s="244"/>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row>
    <row r="48">
      <c r="A48" s="244"/>
      <c r="B48" s="244"/>
      <c r="C48" s="244"/>
      <c r="D48" s="244"/>
      <c r="E48" s="244"/>
      <c r="F48" s="244"/>
      <c r="G48" s="244"/>
      <c r="H48" s="244"/>
      <c r="I48" s="244"/>
      <c r="J48" s="244"/>
      <c r="K48" s="244"/>
      <c r="L48" s="244"/>
      <c r="M48" s="244"/>
      <c r="N48" s="244"/>
      <c r="O48" s="244"/>
      <c r="P48" s="244"/>
      <c r="Q48" s="244"/>
      <c r="R48" s="244"/>
      <c r="S48" s="244"/>
      <c r="T48" s="244"/>
      <c r="U48" s="244"/>
      <c r="V48" s="244"/>
      <c r="W48" s="244"/>
      <c r="X48" s="244"/>
      <c r="Y48" s="244"/>
      <c r="Z48" s="244"/>
      <c r="AA48" s="244"/>
      <c r="AB48" s="244"/>
      <c r="AC48" s="244"/>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row>
    <row r="49">
      <c r="A49" s="244"/>
      <c r="B49" s="244"/>
      <c r="C49" s="244"/>
      <c r="D49" s="244"/>
      <c r="E49" s="244"/>
      <c r="F49" s="244"/>
      <c r="G49" s="244"/>
      <c r="H49" s="244"/>
      <c r="I49" s="244"/>
      <c r="J49" s="244"/>
      <c r="K49" s="244"/>
      <c r="L49" s="244"/>
      <c r="M49" s="244"/>
      <c r="N49" s="244"/>
      <c r="O49" s="244"/>
      <c r="P49" s="244"/>
      <c r="Q49" s="244"/>
      <c r="R49" s="244"/>
      <c r="S49" s="244"/>
      <c r="T49" s="244"/>
      <c r="U49" s="244"/>
      <c r="V49" s="244"/>
      <c r="W49" s="244"/>
      <c r="X49" s="244"/>
      <c r="Y49" s="244"/>
      <c r="Z49" s="244"/>
      <c r="AA49" s="244"/>
      <c r="AB49" s="244"/>
      <c r="AC49" s="244"/>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row>
    <row r="50">
      <c r="A50" s="244"/>
      <c r="B50" s="244"/>
      <c r="C50" s="244"/>
      <c r="D50" s="244"/>
      <c r="E50" s="244"/>
      <c r="F50" s="244"/>
      <c r="G50" s="244"/>
      <c r="H50" s="244"/>
      <c r="I50" s="244"/>
      <c r="J50" s="244"/>
      <c r="K50" s="244"/>
      <c r="L50" s="244"/>
      <c r="M50" s="244"/>
      <c r="N50" s="244"/>
      <c r="O50" s="244"/>
      <c r="P50" s="244"/>
      <c r="Q50" s="244"/>
      <c r="R50" s="244"/>
      <c r="S50" s="244"/>
      <c r="T50" s="244"/>
      <c r="U50" s="244"/>
      <c r="V50" s="244"/>
      <c r="W50" s="244"/>
      <c r="X50" s="244"/>
      <c r="Y50" s="244"/>
      <c r="Z50" s="244"/>
      <c r="AA50" s="244"/>
      <c r="AB50" s="244"/>
      <c r="AC50" s="244"/>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row>
    <row r="51">
      <c r="A51" s="244"/>
      <c r="B51" s="244"/>
      <c r="C51" s="244"/>
      <c r="D51" s="244"/>
      <c r="E51" s="244"/>
      <c r="F51" s="244"/>
      <c r="G51" s="244"/>
      <c r="H51" s="244"/>
      <c r="I51" s="244"/>
      <c r="J51" s="244"/>
      <c r="K51" s="244"/>
      <c r="L51" s="244"/>
      <c r="M51" s="244"/>
      <c r="N51" s="244"/>
      <c r="O51" s="244"/>
      <c r="P51" s="244"/>
      <c r="Q51" s="244"/>
      <c r="R51" s="244"/>
      <c r="S51" s="244"/>
      <c r="T51" s="244"/>
      <c r="U51" s="244"/>
      <c r="V51" s="244"/>
      <c r="W51" s="244"/>
      <c r="X51" s="244"/>
      <c r="Y51" s="244"/>
      <c r="Z51" s="244"/>
      <c r="AA51" s="244"/>
      <c r="AB51" s="244"/>
      <c r="AC51" s="244"/>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row>
    <row r="52">
      <c r="A52" s="244"/>
      <c r="B52" s="244"/>
      <c r="C52" s="244"/>
      <c r="D52" s="244"/>
      <c r="E52" s="244"/>
      <c r="F52" s="244"/>
      <c r="G52" s="244"/>
      <c r="H52" s="244"/>
      <c r="I52" s="244"/>
      <c r="J52" s="244"/>
      <c r="K52" s="244"/>
      <c r="L52" s="244"/>
      <c r="M52" s="244"/>
      <c r="N52" s="244"/>
      <c r="O52" s="244"/>
      <c r="P52" s="244"/>
      <c r="Q52" s="244"/>
      <c r="R52" s="244"/>
      <c r="S52" s="244"/>
      <c r="T52" s="244"/>
      <c r="U52" s="244"/>
      <c r="V52" s="244"/>
      <c r="W52" s="244"/>
      <c r="X52" s="244"/>
      <c r="Y52" s="244"/>
      <c r="Z52" s="244"/>
      <c r="AA52" s="244"/>
      <c r="AB52" s="244"/>
      <c r="AC52" s="244"/>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row>
    <row r="53">
      <c r="A53" s="244"/>
      <c r="B53" s="244"/>
      <c r="C53" s="244"/>
      <c r="D53" s="244"/>
      <c r="E53" s="244"/>
      <c r="F53" s="244"/>
      <c r="G53" s="244"/>
      <c r="H53" s="244"/>
      <c r="I53" s="244"/>
      <c r="J53" s="244"/>
      <c r="K53" s="244"/>
      <c r="L53" s="244"/>
      <c r="M53" s="244"/>
      <c r="N53" s="244"/>
      <c r="O53" s="244"/>
      <c r="P53" s="244"/>
      <c r="Q53" s="244"/>
      <c r="R53" s="244"/>
      <c r="S53" s="244"/>
      <c r="T53" s="244"/>
      <c r="U53" s="244"/>
      <c r="V53" s="244"/>
      <c r="W53" s="244"/>
      <c r="X53" s="244"/>
      <c r="Y53" s="244"/>
      <c r="Z53" s="244"/>
      <c r="AA53" s="244"/>
      <c r="AB53" s="244"/>
      <c r="AC53" s="244"/>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row>
    <row r="54">
      <c r="A54" s="244"/>
      <c r="B54" s="244"/>
      <c r="C54" s="244"/>
      <c r="D54" s="244"/>
      <c r="E54" s="244"/>
      <c r="F54" s="244"/>
      <c r="G54" s="244"/>
      <c r="H54" s="244"/>
      <c r="I54" s="244"/>
      <c r="J54" s="244"/>
      <c r="K54" s="244"/>
      <c r="L54" s="244"/>
      <c r="M54" s="244"/>
      <c r="N54" s="244"/>
      <c r="O54" s="244"/>
      <c r="P54" s="244"/>
      <c r="Q54" s="244"/>
      <c r="R54" s="244"/>
      <c r="S54" s="244"/>
      <c r="T54" s="244"/>
      <c r="U54" s="244"/>
      <c r="V54" s="244"/>
      <c r="W54" s="244"/>
      <c r="X54" s="244"/>
      <c r="Y54" s="244"/>
      <c r="Z54" s="244"/>
      <c r="AA54" s="244"/>
      <c r="AB54" s="244"/>
      <c r="AC54" s="244"/>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row>
    <row r="55">
      <c r="A55" s="244"/>
      <c r="B55" s="244"/>
      <c r="C55" s="244"/>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row>
    <row r="56">
      <c r="A56" s="244"/>
      <c r="B56" s="244"/>
      <c r="C56" s="244"/>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row>
    <row r="57">
      <c r="A57" s="244"/>
      <c r="B57" s="244"/>
      <c r="C57" s="244"/>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row>
    <row r="58">
      <c r="A58" s="244"/>
      <c r="B58" s="244"/>
      <c r="C58" s="244"/>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row>
    <row r="70">
      <c r="A70" s="244"/>
      <c r="B70" s="244"/>
      <c r="C70" s="244"/>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c r="BB70" s="244"/>
      <c r="BC70" s="244"/>
      <c r="BD70" s="244"/>
      <c r="BE70" s="244"/>
      <c r="BF70" s="244"/>
      <c r="BG70" s="244"/>
    </row>
    <row r="71">
      <c r="A71" s="244"/>
      <c r="B71" s="244"/>
      <c r="C71" s="244"/>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c r="AZ71" s="244"/>
      <c r="BA71" s="244"/>
      <c r="BB71" s="244"/>
      <c r="BC71" s="244"/>
      <c r="BD71" s="244"/>
      <c r="BE71" s="244"/>
      <c r="BF71" s="244"/>
      <c r="BG71" s="244"/>
    </row>
    <row r="72">
      <c r="A72" s="244"/>
      <c r="B72" s="244"/>
      <c r="C72" s="244"/>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c r="BB72" s="244"/>
      <c r="BC72" s="244"/>
      <c r="BD72" s="244"/>
      <c r="BE72" s="244"/>
      <c r="BF72" s="244"/>
      <c r="BG72" s="244"/>
    </row>
    <row r="73">
      <c r="A73" s="244"/>
      <c r="B73" s="244"/>
      <c r="C73" s="244"/>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c r="BB73" s="244"/>
      <c r="BC73" s="244"/>
      <c r="BD73" s="244"/>
      <c r="BE73" s="244"/>
      <c r="BF73" s="244"/>
      <c r="BG73" s="244"/>
    </row>
    <row r="74">
      <c r="A74" s="244"/>
      <c r="B74" s="244"/>
      <c r="C74" s="244"/>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c r="BB74" s="244"/>
      <c r="BC74" s="244"/>
      <c r="BD74" s="244"/>
      <c r="BE74" s="244"/>
      <c r="BF74" s="244"/>
      <c r="BG74" s="244"/>
    </row>
    <row r="75">
      <c r="A75" s="244"/>
      <c r="B75" s="244"/>
      <c r="C75" s="244"/>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row>
    <row r="76">
      <c r="A76" s="244"/>
      <c r="B76" s="244"/>
      <c r="C76" s="244"/>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row>
    <row r="77">
      <c r="A77" s="244"/>
      <c r="B77" s="244"/>
      <c r="C77" s="244"/>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row>
    <row r="78">
      <c r="A78" s="244"/>
      <c r="B78" s="244"/>
      <c r="C78" s="244"/>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row>
    <row r="79">
      <c r="A79" s="244"/>
      <c r="B79" s="244"/>
      <c r="C79" s="244"/>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row>
  </sheetData>
  <mergeCells count="41">
    <mergeCell ref="H26:I26"/>
    <mergeCell ref="K26:L26"/>
    <mergeCell ref="N26:O26"/>
    <mergeCell ref="Z8:AA8"/>
    <mergeCell ref="Z25:AA25"/>
    <mergeCell ref="Z9:AA9"/>
    <mergeCell ref="Q26:R26"/>
    <mergeCell ref="T26:U26"/>
    <mergeCell ref="W26:X26"/>
    <mergeCell ref="K9:L9"/>
    <mergeCell ref="B10:B11"/>
    <mergeCell ref="B6:AB6"/>
    <mergeCell ref="E8:F8"/>
    <mergeCell ref="H8:I8"/>
    <mergeCell ref="K8:L8"/>
    <mergeCell ref="N8:O8"/>
    <mergeCell ref="Q8:R8"/>
    <mergeCell ref="T8:U8"/>
    <mergeCell ref="T9:U9"/>
    <mergeCell ref="W9:X9"/>
    <mergeCell ref="E9:F9"/>
    <mergeCell ref="H9:I9"/>
    <mergeCell ref="N9:O9"/>
    <mergeCell ref="Q9:R9"/>
    <mergeCell ref="W8:X8"/>
    <mergeCell ref="B40:AB40"/>
    <mergeCell ref="B31:B32"/>
    <mergeCell ref="B35:B36"/>
    <mergeCell ref="B14:B15"/>
    <mergeCell ref="B18:B19"/>
    <mergeCell ref="B27:B28"/>
    <mergeCell ref="B23:AB23"/>
    <mergeCell ref="E25:F25"/>
    <mergeCell ref="T25:U25"/>
    <mergeCell ref="N25:O25"/>
    <mergeCell ref="Q25:R25"/>
    <mergeCell ref="H25:I25"/>
    <mergeCell ref="K25:L25"/>
    <mergeCell ref="Z26:AA26"/>
    <mergeCell ref="W25:X25"/>
    <mergeCell ref="E26:F26"/>
  </mergeCells>
  <phoneticPr fontId="0" type="noConversion"/>
  <printOptions horizontalCentered="1" verticalCentered="1"/>
  <pageMargins left="0.25" right="0.25" top="0.25" bottom="0.25" header="0.5" footer="0.5"/>
  <pageSetup scale="69" orientation="landscape" r:id="rId1"/>
  <headerFooter alignWithMargins="0">
    <oddHeader/>
    <oddFooter/>
  </headerFooter>
  <drawing r:id="rId29"/>
</worksheet>
</file>

<file path=xl/worksheets/sheet2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
    <pageSetUpPr fitToPage="1"/>
  </sheetPr>
  <dimension ref="A1:AV84"/>
  <sheetViews>
    <sheetView showGridLines="0" workbookViewId="0"/>
  </sheetViews>
  <sheetFormatPr defaultRowHeight="12.75"/>
  <cols>
    <col min="1" max="1" width="2.7109375" customWidth="1"/>
    <col min="2" max="2" width="14.28515625" customWidth="1"/>
    <col min="3" max="3" width="4.42578125" customWidth="1"/>
    <col min="4" max="4" width="12.28515625" customWidth="1"/>
    <col min="5" max="5" width="8.7109375" customWidth="1"/>
    <col min="6" max="6" width="6.7109375" customWidth="1"/>
    <col min="7" max="7" width="4.7109375" customWidth="1"/>
    <col min="8" max="8" width="12.28515625" customWidth="1"/>
    <col min="9" max="9" width="8.7109375" customWidth="1"/>
    <col min="10" max="10" width="6.7109375" customWidth="1"/>
    <col min="11" max="11" width="4.7109375" customWidth="1"/>
    <col min="12" max="12" width="12.28515625" customWidth="1"/>
    <col min="13" max="13" width="8.7109375" customWidth="1"/>
    <col min="14" max="14" width="6.7109375" customWidth="1"/>
    <col min="15" max="15" width="3.7109375" customWidth="1"/>
    <col min="16" max="16" width="12.28515625" customWidth="1"/>
    <col min="17" max="17" width="8.7109375" customWidth="1"/>
    <col min="18" max="18" width="6.7109375" customWidth="1"/>
    <col min="19" max="19" width="4.7109375" customWidth="1"/>
    <col min="20" max="20" width="2.7109375" customWidth="1"/>
  </cols>
  <sheetData>
    <row r="1" ht="26.25" customHeight="1">
      <c r="B1" s="20" t="s">
        <v>121</v>
      </c>
      <c r="C1" s="11"/>
      <c r="D1" s="11"/>
      <c r="E1" s="11"/>
      <c r="F1" s="11"/>
      <c r="G1" s="11"/>
      <c r="H1" s="1"/>
      <c r="I1" s="1"/>
      <c r="J1" s="1"/>
      <c r="K1" s="1"/>
      <c r="L1" s="1"/>
      <c r="M1" s="1"/>
      <c r="N1" s="1"/>
      <c r="O1" s="1"/>
      <c r="P1" s="1"/>
      <c r="Q1" s="1"/>
      <c r="R1" s="1"/>
      <c r="S1" s="175"/>
      <c r="T1" s="1"/>
      <c r="U1" s="244"/>
      <c r="V1" s="244"/>
      <c r="W1" s="244"/>
      <c r="X1" s="244"/>
      <c r="Y1" s="244"/>
      <c r="Z1" s="244"/>
      <c r="AA1" s="244"/>
      <c r="AB1" s="244"/>
      <c r="AC1" s="244"/>
      <c r="AD1" s="244"/>
      <c r="AE1" s="244"/>
      <c r="AF1" s="244"/>
      <c r="AG1" s="244"/>
      <c r="AH1" s="244"/>
      <c r="AI1" s="244"/>
      <c r="AJ1" s="244"/>
      <c r="AK1" s="244"/>
      <c r="AL1" s="244"/>
      <c r="AM1" s="244"/>
      <c r="AN1" s="244"/>
      <c r="AO1" s="244"/>
      <c r="AP1" s="244"/>
      <c r="AQ1" s="244"/>
      <c r="AR1" s="244"/>
      <c r="AS1" s="244"/>
      <c r="AT1" s="244"/>
      <c r="AU1" s="244"/>
      <c r="AV1" s="244"/>
    </row>
    <row r="2" ht="14.25" customHeight="1">
      <c r="B2" s="10" t="s">
        <v>168</v>
      </c>
      <c r="C2" s="1"/>
      <c r="D2" s="1"/>
      <c r="E2" s="1"/>
      <c r="F2" s="1"/>
      <c r="G2" s="1"/>
      <c r="H2" s="1"/>
      <c r="I2" s="1"/>
      <c r="J2" s="1"/>
      <c r="K2" s="1"/>
      <c r="L2" s="1"/>
      <c r="M2" s="1"/>
      <c r="N2" s="1"/>
      <c r="O2" s="1"/>
      <c r="P2" s="1"/>
      <c r="Q2" s="1"/>
      <c r="R2" s="234"/>
      <c r="S2" s="175"/>
      <c r="T2" s="1"/>
      <c r="U2" s="244"/>
      <c r="V2" s="244"/>
      <c r="W2" s="244"/>
      <c r="X2" s="244"/>
      <c r="Y2" s="244"/>
      <c r="Z2" s="244"/>
      <c r="AA2" s="244"/>
      <c r="AB2" s="244"/>
      <c r="AC2" s="244"/>
      <c r="AD2" s="244"/>
      <c r="AE2" s="244"/>
      <c r="AF2" s="244"/>
      <c r="AG2" s="244"/>
      <c r="AH2" s="244"/>
      <c r="AI2" s="244"/>
      <c r="AJ2" s="244"/>
      <c r="AK2" s="244"/>
      <c r="AL2" s="244"/>
      <c r="AM2" s="244"/>
      <c r="AN2" s="244"/>
      <c r="AO2" s="244"/>
      <c r="AP2" s="244"/>
      <c r="AQ2" s="244"/>
      <c r="AR2" s="244"/>
      <c r="AS2" s="244"/>
      <c r="AT2" s="244"/>
      <c r="AU2" s="244"/>
      <c r="AV2" s="244"/>
    </row>
    <row r="3" ht="14.25" customHeight="1">
      <c r="B3" s="432" t="s">
        <v>181</v>
      </c>
      <c r="C3" s="1"/>
      <c r="D3" s="1"/>
      <c r="E3" s="1"/>
      <c r="F3" s="1"/>
      <c r="G3" s="1"/>
      <c r="H3" s="1"/>
      <c r="I3" s="1"/>
      <c r="J3" s="1"/>
      <c r="K3" s="1"/>
      <c r="L3" s="1"/>
      <c r="M3" s="1"/>
      <c r="N3" s="1"/>
      <c r="O3" s="1"/>
      <c r="P3" s="1"/>
      <c r="Q3" s="1"/>
      <c r="R3" s="1"/>
      <c r="S3" s="175"/>
      <c r="T3" s="1"/>
      <c r="U3" s="244"/>
      <c r="V3" s="244"/>
      <c r="W3" s="244"/>
      <c r="X3" s="244"/>
      <c r="Y3" s="244"/>
      <c r="Z3" s="244"/>
      <c r="AA3" s="244"/>
      <c r="AB3" s="244"/>
      <c r="AC3" s="244"/>
      <c r="AD3" s="244"/>
      <c r="AE3" s="244"/>
      <c r="AF3" s="244"/>
      <c r="AG3" s="244"/>
      <c r="AH3" s="244"/>
      <c r="AI3" s="244"/>
      <c r="AJ3" s="244"/>
      <c r="AK3" s="244"/>
      <c r="AL3" s="244"/>
      <c r="AM3" s="244"/>
      <c r="AN3" s="244"/>
      <c r="AO3" s="244"/>
      <c r="AP3" s="244"/>
      <c r="AQ3" s="244"/>
      <c r="AR3" s="244"/>
      <c r="AS3" s="244"/>
      <c r="AT3" s="244"/>
      <c r="AU3" s="244"/>
      <c r="AV3" s="244"/>
    </row>
    <row r="4" ht="14.25" customHeight="1">
      <c r="B4" s="175" t="s">
        <v>182</v>
      </c>
      <c r="C4" s="1"/>
      <c r="D4" s="1"/>
      <c r="E4" s="1"/>
      <c r="F4" s="1"/>
      <c r="G4" s="1"/>
      <c r="H4" s="1"/>
      <c r="I4" s="1"/>
      <c r="J4" s="1"/>
      <c r="K4" s="1"/>
      <c r="L4" s="1"/>
      <c r="M4" s="1"/>
      <c r="N4" s="1"/>
      <c r="O4" s="1"/>
      <c r="P4" s="1"/>
      <c r="Q4" s="1"/>
      <c r="R4" s="1"/>
      <c r="S4" s="175"/>
      <c r="T4" s="1"/>
      <c r="U4" s="244"/>
      <c r="V4" s="244"/>
      <c r="W4" s="244"/>
      <c r="X4" s="244"/>
      <c r="Y4" s="244"/>
      <c r="Z4" s="244"/>
      <c r="AA4" s="244"/>
      <c r="AB4" s="244"/>
      <c r="AC4" s="244"/>
      <c r="AD4" s="244"/>
      <c r="AE4" s="244"/>
      <c r="AF4" s="244"/>
      <c r="AG4" s="244"/>
      <c r="AH4" s="244"/>
      <c r="AI4" s="244"/>
      <c r="AJ4" s="244"/>
      <c r="AK4" s="244"/>
      <c r="AL4" s="244"/>
      <c r="AM4" s="244"/>
      <c r="AN4" s="244"/>
      <c r="AO4" s="244"/>
      <c r="AP4" s="244"/>
      <c r="AQ4" s="244"/>
      <c r="AR4" s="244"/>
      <c r="AS4" s="244"/>
      <c r="AT4" s="244"/>
      <c r="AU4" s="244"/>
      <c r="AV4" s="244"/>
    </row>
    <row r="5" ht="14.25" customHeight="1">
      <c r="A5" s="13"/>
      <c r="B5" s="12"/>
      <c r="C5" s="1"/>
      <c r="D5" s="1"/>
      <c r="E5" s="1"/>
      <c r="F5" s="1"/>
      <c r="G5" s="1"/>
      <c r="H5" s="1"/>
      <c r="I5" s="1"/>
      <c r="J5" s="1"/>
      <c r="K5" s="1"/>
      <c r="L5" s="1"/>
      <c r="M5" s="1"/>
      <c r="N5" s="1"/>
      <c r="O5" s="1"/>
      <c r="P5" s="1"/>
      <c r="Q5" s="1"/>
      <c r="R5" s="1"/>
      <c r="S5" s="1"/>
      <c r="T5" s="1"/>
      <c r="U5" s="244"/>
      <c r="V5" s="244"/>
      <c r="W5" s="244"/>
      <c r="X5" s="244"/>
      <c r="Y5" s="244"/>
      <c r="Z5" s="244"/>
      <c r="AA5" s="244"/>
      <c r="AB5" s="244"/>
      <c r="AC5" s="244"/>
      <c r="AD5" s="244"/>
      <c r="AE5" s="244"/>
      <c r="AF5" s="244"/>
      <c r="AG5" s="244"/>
      <c r="AH5" s="244"/>
      <c r="AI5" s="244"/>
      <c r="AJ5" s="244"/>
      <c r="AK5" s="244"/>
      <c r="AL5" s="244"/>
      <c r="AM5" s="244"/>
      <c r="AN5" s="244"/>
      <c r="AO5" s="244"/>
      <c r="AP5" s="244"/>
      <c r="AQ5" s="244"/>
      <c r="AR5" s="244"/>
      <c r="AS5" s="244"/>
      <c r="AT5" s="244"/>
      <c r="AU5" s="244"/>
      <c r="AV5" s="244"/>
    </row>
    <row r="6" ht="15" customHeight="1">
      <c r="A6" s="13"/>
      <c r="B6" s="612" t="s">
        <v>167</v>
      </c>
      <c r="C6" s="612"/>
      <c r="D6" s="612"/>
      <c r="E6" s="612"/>
      <c r="F6" s="612"/>
      <c r="G6" s="612"/>
      <c r="H6" s="612"/>
      <c r="I6" s="612"/>
      <c r="J6" s="612"/>
      <c r="K6" s="612"/>
      <c r="L6" s="612"/>
      <c r="M6" s="612"/>
      <c r="N6" s="612"/>
      <c r="O6" s="612"/>
      <c r="P6" s="612"/>
      <c r="Q6" s="612"/>
      <c r="R6" s="612"/>
      <c r="S6" s="612"/>
      <c r="T6" s="1"/>
      <c r="U6" s="244"/>
      <c r="V6" s="244"/>
      <c r="W6" s="244"/>
      <c r="X6" s="244"/>
      <c r="Y6" s="244"/>
      <c r="Z6" s="244"/>
      <c r="AA6" s="244"/>
      <c r="AB6" s="244"/>
      <c r="AC6" s="244"/>
      <c r="AD6" s="244"/>
      <c r="AE6" s="244"/>
      <c r="AF6" s="244"/>
      <c r="AG6" s="244"/>
      <c r="AH6" s="244"/>
      <c r="AI6" s="244"/>
      <c r="AJ6" s="244"/>
      <c r="AK6" s="244"/>
      <c r="AL6" s="244"/>
      <c r="AM6" s="244"/>
      <c r="AN6" s="244"/>
      <c r="AO6" s="244"/>
      <c r="AP6" s="244"/>
      <c r="AQ6" s="244"/>
      <c r="AR6" s="244"/>
      <c r="AS6" s="244"/>
      <c r="AT6" s="244"/>
      <c r="AU6" s="244"/>
      <c r="AV6" s="244"/>
    </row>
    <row r="7" ht="14.25" customHeight="1">
      <c r="A7" s="13"/>
      <c r="B7" s="12"/>
      <c r="C7" s="1"/>
      <c r="D7" s="1"/>
      <c r="E7" s="1"/>
      <c r="F7" s="1"/>
      <c r="G7" s="1"/>
      <c r="H7" s="1"/>
      <c r="I7" s="1"/>
      <c r="J7" s="1"/>
      <c r="K7" s="1"/>
      <c r="L7" s="1"/>
      <c r="M7" s="1"/>
      <c r="N7" s="1"/>
      <c r="O7" s="1"/>
      <c r="P7" s="1"/>
      <c r="Q7" s="1"/>
      <c r="R7" s="1"/>
      <c r="S7" s="1"/>
      <c r="T7" s="1"/>
      <c r="U7" s="244"/>
      <c r="V7" s="244"/>
      <c r="W7" s="244"/>
      <c r="X7" s="244"/>
      <c r="Y7" s="244"/>
      <c r="Z7" s="244"/>
      <c r="AA7" s="244"/>
      <c r="AB7" s="244"/>
      <c r="AC7" s="244"/>
      <c r="AD7" s="244"/>
      <c r="AE7" s="244"/>
      <c r="AF7" s="244"/>
      <c r="AG7" s="244"/>
      <c r="AH7" s="244"/>
      <c r="AI7" s="244"/>
      <c r="AJ7" s="244"/>
      <c r="AK7" s="244"/>
      <c r="AL7" s="244"/>
      <c r="AM7" s="244"/>
      <c r="AN7" s="244"/>
      <c r="AO7" s="244"/>
      <c r="AP7" s="244"/>
      <c r="AQ7" s="244"/>
      <c r="AR7" s="244"/>
      <c r="AS7" s="244"/>
      <c r="AT7" s="244"/>
      <c r="AU7" s="244"/>
      <c r="AV7" s="244"/>
    </row>
    <row r="8" ht="15" customHeight="1">
      <c r="A8" s="1"/>
      <c r="B8" s="1"/>
      <c r="C8" s="14"/>
      <c r="D8" s="651" t="s">
        <v>21</v>
      </c>
      <c r="E8" s="651"/>
      <c r="F8" s="651"/>
      <c r="G8" s="1"/>
      <c r="H8" s="651" t="s">
        <v>24</v>
      </c>
      <c r="I8" s="651"/>
      <c r="J8" s="651"/>
      <c r="K8" s="1"/>
      <c r="L8" s="651" t="s">
        <v>25</v>
      </c>
      <c r="M8" s="651"/>
      <c r="N8" s="651"/>
      <c r="O8" s="1"/>
      <c r="P8" s="651" t="s">
        <v>23</v>
      </c>
      <c r="Q8" s="651"/>
      <c r="R8" s="651"/>
      <c r="S8" s="2"/>
      <c r="T8" s="1"/>
      <c r="U8" s="244"/>
      <c r="V8" s="244"/>
      <c r="W8" s="244"/>
      <c r="X8" s="244"/>
      <c r="Y8" s="244"/>
      <c r="Z8" s="244"/>
      <c r="AA8" s="244"/>
      <c r="AB8" s="244"/>
      <c r="AC8" s="244"/>
      <c r="AD8" s="244"/>
      <c r="AE8" s="244"/>
      <c r="AF8" s="244"/>
      <c r="AG8" s="244"/>
      <c r="AH8" s="244"/>
      <c r="AI8" s="244"/>
      <c r="AJ8" s="244"/>
      <c r="AK8" s="244"/>
      <c r="AL8" s="244"/>
      <c r="AM8" s="244"/>
      <c r="AN8" s="244"/>
      <c r="AO8" s="244"/>
      <c r="AP8" s="244"/>
      <c r="AQ8" s="244"/>
      <c r="AR8" s="244"/>
      <c r="AS8" s="244"/>
      <c r="AT8" s="244"/>
      <c r="AU8" s="244"/>
      <c r="AV8" s="244"/>
    </row>
    <row r="9" ht="15" customHeight="1">
      <c r="A9" s="1"/>
      <c r="B9" s="1"/>
      <c r="C9" s="1"/>
      <c r="D9" s="2"/>
      <c r="E9" s="2"/>
      <c r="F9" s="66" t="s">
        <v>57</v>
      </c>
      <c r="G9" s="65"/>
      <c r="H9" s="1"/>
      <c r="I9" s="1"/>
      <c r="J9" s="66" t="s">
        <v>57</v>
      </c>
      <c r="K9" s="1"/>
      <c r="L9" s="1"/>
      <c r="M9" s="1"/>
      <c r="N9" s="66" t="s">
        <v>57</v>
      </c>
      <c r="O9" s="1"/>
      <c r="P9" s="1"/>
      <c r="Q9" s="1"/>
      <c r="R9" s="66" t="s">
        <v>57</v>
      </c>
      <c r="S9" s="1"/>
      <c r="T9" s="1"/>
      <c r="U9" s="244"/>
      <c r="V9" s="244"/>
      <c r="W9" s="244"/>
      <c r="X9" s="244"/>
      <c r="Y9" s="244"/>
      <c r="Z9" s="244"/>
      <c r="AA9" s="244"/>
      <c r="AB9" s="244"/>
      <c r="AC9" s="244"/>
      <c r="AD9" s="244"/>
      <c r="AE9" s="244"/>
      <c r="AF9" s="244"/>
      <c r="AG9" s="244"/>
      <c r="AH9" s="244"/>
      <c r="AI9" s="244"/>
      <c r="AJ9" s="244"/>
      <c r="AK9" s="244"/>
      <c r="AL9" s="244"/>
      <c r="AM9" s="244"/>
      <c r="AN9" s="244"/>
      <c r="AO9" s="244"/>
      <c r="AP9" s="244"/>
      <c r="AQ9" s="244"/>
      <c r="AR9" s="244"/>
      <c r="AS9" s="244"/>
      <c r="AT9" s="244"/>
      <c r="AU9" s="244"/>
      <c r="AV9" s="244"/>
    </row>
    <row r="10" ht="15" customHeight="1">
      <c r="A10" s="1"/>
      <c r="B10" s="57" t="s">
        <v>28</v>
      </c>
      <c r="C10" s="58"/>
      <c r="D10" s="17" t="s">
        <v>32</v>
      </c>
      <c r="E10" s="19">
        <v>0.6807359307359307359307359307</v>
      </c>
      <c r="F10" s="73">
        <v>-22.441430332955215965432137370</v>
      </c>
      <c r="G10" s="66"/>
      <c r="H10" s="17" t="s">
        <v>32</v>
      </c>
      <c r="I10" s="19">
        <v>0.211038961038961038961038961</v>
      </c>
      <c r="J10" s="73">
        <v>0</v>
      </c>
      <c r="K10" s="1"/>
      <c r="L10" s="17" t="s">
        <v>32</v>
      </c>
      <c r="M10" s="19">
        <v>0</v>
      </c>
      <c r="N10" s="73">
        <v>0</v>
      </c>
      <c r="O10" s="1"/>
      <c r="P10" s="17" t="s">
        <v>32</v>
      </c>
      <c r="Q10" s="19">
        <v>0.8917748917748917748917748918</v>
      </c>
      <c r="R10" s="73">
        <v>1.6029593094513546017232413500</v>
      </c>
      <c r="S10" s="19"/>
      <c r="T10" s="1"/>
      <c r="U10" s="244"/>
      <c r="V10" s="244"/>
      <c r="W10" s="244"/>
      <c r="X10" s="244"/>
      <c r="Y10" s="244"/>
      <c r="Z10" s="244"/>
      <c r="AA10" s="244"/>
      <c r="AB10" s="244"/>
      <c r="AC10" s="244"/>
      <c r="AD10" s="244"/>
      <c r="AE10" s="244"/>
      <c r="AF10" s="244"/>
      <c r="AG10" s="244"/>
      <c r="AH10" s="244"/>
      <c r="AI10" s="244"/>
      <c r="AJ10" s="244"/>
      <c r="AK10" s="244"/>
      <c r="AL10" s="244"/>
      <c r="AM10" s="244"/>
      <c r="AN10" s="244"/>
      <c r="AO10" s="244"/>
      <c r="AP10" s="244"/>
      <c r="AQ10" s="244"/>
      <c r="AR10" s="244"/>
      <c r="AS10" s="244"/>
      <c r="AT10" s="244"/>
      <c r="AU10" s="244"/>
      <c r="AV10" s="244"/>
    </row>
    <row r="11" ht="15" customHeight="1">
      <c r="A11" s="1"/>
      <c r="B11" s="57"/>
      <c r="C11" s="58"/>
      <c r="D11" s="187" t="s">
        <v>27</v>
      </c>
      <c r="E11" s="190">
        <v>0.7166532836424709762047786591</v>
      </c>
      <c r="F11" s="81">
        <v>-8.158536082440773869448338170</v>
      </c>
      <c r="G11" s="181"/>
      <c r="H11" s="187" t="s">
        <v>27</v>
      </c>
      <c r="I11" s="190">
        <v>0.0257183925659854605190570178</v>
      </c>
      <c r="J11" s="81">
        <v>10.589088036059851080702433410</v>
      </c>
      <c r="K11" s="191"/>
      <c r="L11" s="187" t="s">
        <v>27</v>
      </c>
      <c r="M11" s="190">
        <v>0</v>
      </c>
      <c r="N11" s="81">
        <v>0</v>
      </c>
      <c r="O11" s="191"/>
      <c r="P11" s="187" t="s">
        <v>27</v>
      </c>
      <c r="Q11" s="190">
        <v>0.7423716762084564367238356769</v>
      </c>
      <c r="R11" s="81">
        <v>-7.6159691828983719468202171200</v>
      </c>
      <c r="S11" s="19"/>
      <c r="T11" s="1"/>
      <c r="U11" s="244"/>
      <c r="V11" s="244"/>
      <c r="W11" s="244"/>
      <c r="X11" s="244"/>
      <c r="Y11" s="244"/>
      <c r="Z11" s="244"/>
      <c r="AA11" s="244"/>
      <c r="AB11" s="244"/>
      <c r="AC11" s="244"/>
      <c r="AD11" s="244"/>
      <c r="AE11" s="244"/>
      <c r="AF11" s="244"/>
      <c r="AG11" s="244"/>
      <c r="AH11" s="244"/>
      <c r="AI11" s="244"/>
      <c r="AJ11" s="244"/>
      <c r="AK11" s="244"/>
      <c r="AL11" s="244"/>
      <c r="AM11" s="244"/>
      <c r="AN11" s="244"/>
      <c r="AO11" s="244"/>
      <c r="AP11" s="244"/>
      <c r="AQ11" s="244"/>
      <c r="AR11" s="244"/>
      <c r="AS11" s="244"/>
      <c r="AT11" s="244"/>
      <c r="AU11" s="244"/>
      <c r="AV11" s="244"/>
    </row>
    <row r="12" ht="15" customHeight="1">
      <c r="A12" s="1"/>
      <c r="B12" s="57"/>
      <c r="C12" s="58"/>
      <c r="D12" s="406" t="s">
        <v>91</v>
      </c>
      <c r="E12" s="74">
        <v>94.98818274807325520730303168</v>
      </c>
      <c r="F12" s="73">
        <v>-15.551684001085034322053392530</v>
      </c>
      <c r="G12" s="68"/>
      <c r="H12" s="406" t="s">
        <v>91</v>
      </c>
      <c r="I12" s="74">
        <v>820.5760157730731753581047698</v>
      </c>
      <c r="J12" s="73">
        <v>0</v>
      </c>
      <c r="K12" s="1"/>
      <c r="L12" s="406" t="s">
        <v>91</v>
      </c>
      <c r="M12" s="74">
        <v>0</v>
      </c>
      <c r="N12" s="73">
        <v>0</v>
      </c>
      <c r="O12" s="1"/>
      <c r="P12" s="406" t="s">
        <v>91</v>
      </c>
      <c r="Q12" s="74">
        <v>120.12512335196251726604031373</v>
      </c>
      <c r="R12" s="73">
        <v>9.978919961557793781057963400</v>
      </c>
      <c r="S12" s="74"/>
      <c r="T12" s="1"/>
      <c r="U12" s="244"/>
      <c r="V12" s="244"/>
      <c r="W12" s="244"/>
      <c r="X12" s="244"/>
      <c r="Y12" s="244"/>
      <c r="Z12" s="244"/>
      <c r="AA12" s="244"/>
      <c r="AB12" s="244"/>
      <c r="AC12" s="244"/>
      <c r="AD12" s="244"/>
      <c r="AE12" s="244"/>
      <c r="AF12" s="244"/>
      <c r="AG12" s="244"/>
      <c r="AH12" s="244"/>
      <c r="AI12" s="244"/>
      <c r="AJ12" s="244"/>
      <c r="AK12" s="244"/>
      <c r="AL12" s="244"/>
      <c r="AM12" s="244"/>
      <c r="AN12" s="244"/>
      <c r="AO12" s="244"/>
      <c r="AP12" s="244"/>
      <c r="AQ12" s="244"/>
      <c r="AR12" s="244"/>
      <c r="AS12" s="244"/>
      <c r="AT12" s="244"/>
      <c r="AU12" s="244"/>
      <c r="AV12" s="244"/>
    </row>
    <row r="13" ht="15" customHeight="1">
      <c r="A13" s="1"/>
      <c r="B13" s="16"/>
      <c r="C13" s="1"/>
      <c r="D13" s="1"/>
      <c r="E13" s="3"/>
      <c r="F13" s="66"/>
      <c r="G13" s="3"/>
      <c r="H13" s="1"/>
      <c r="I13" s="1"/>
      <c r="J13" s="66"/>
      <c r="K13" s="1"/>
      <c r="L13" s="1"/>
      <c r="M13" s="1"/>
      <c r="N13" s="66"/>
      <c r="O13" s="1"/>
      <c r="P13" s="1"/>
      <c r="Q13" s="19"/>
      <c r="R13" s="66"/>
      <c r="S13" s="19"/>
      <c r="T13" s="1"/>
      <c r="U13" s="244"/>
      <c r="V13" s="244"/>
      <c r="W13" s="244"/>
      <c r="X13" s="244"/>
      <c r="Y13" s="244"/>
      <c r="Z13" s="244"/>
      <c r="AA13" s="244"/>
      <c r="AB13" s="244"/>
      <c r="AC13" s="244"/>
      <c r="AD13" s="244"/>
      <c r="AE13" s="244"/>
      <c r="AF13" s="244"/>
      <c r="AG13" s="244"/>
      <c r="AH13" s="244"/>
      <c r="AI13" s="244"/>
      <c r="AJ13" s="244"/>
      <c r="AK13" s="244"/>
      <c r="AL13" s="244"/>
      <c r="AM13" s="244"/>
      <c r="AN13" s="244"/>
      <c r="AO13" s="244"/>
      <c r="AP13" s="244"/>
      <c r="AQ13" s="244"/>
      <c r="AR13" s="244"/>
      <c r="AS13" s="244"/>
      <c r="AT13" s="244"/>
      <c r="AU13" s="244"/>
      <c r="AV13" s="244"/>
    </row>
    <row r="14" ht="15" customHeight="1">
      <c r="A14" s="1"/>
      <c r="B14" s="57" t="s">
        <v>12</v>
      </c>
      <c r="C14" s="58"/>
      <c r="D14" s="17" t="s">
        <v>32</v>
      </c>
      <c r="E14" s="239">
        <v>225.32273449920508744038155803</v>
      </c>
      <c r="F14" s="73">
        <v>23.243434528794176049300258340</v>
      </c>
      <c r="G14" s="70"/>
      <c r="H14" s="76" t="s">
        <v>32</v>
      </c>
      <c r="I14" s="239">
        <v>163.00512820512820512820512821</v>
      </c>
      <c r="J14" s="73">
        <v>0</v>
      </c>
      <c r="K14" s="77"/>
      <c r="L14" s="76" t="s">
        <v>32</v>
      </c>
      <c r="M14" s="239">
        <v>0</v>
      </c>
      <c r="N14" s="73">
        <v>0</v>
      </c>
      <c r="O14" s="77"/>
      <c r="P14" s="76" t="s">
        <v>32</v>
      </c>
      <c r="Q14" s="239">
        <v>210.57524271844660194174757282</v>
      </c>
      <c r="R14" s="73">
        <v>15.177086755297531024134062630</v>
      </c>
      <c r="S14" s="18"/>
      <c r="T14" s="1"/>
      <c r="U14" s="244"/>
      <c r="V14" s="244"/>
      <c r="W14" s="244"/>
      <c r="X14" s="244"/>
      <c r="Y14" s="244"/>
      <c r="Z14" s="244"/>
      <c r="AA14" s="244"/>
      <c r="AB14" s="244"/>
      <c r="AC14" s="244"/>
      <c r="AD14" s="244"/>
      <c r="AE14" s="244"/>
      <c r="AF14" s="244"/>
      <c r="AG14" s="244"/>
      <c r="AH14" s="244"/>
      <c r="AI14" s="244"/>
      <c r="AJ14" s="244"/>
      <c r="AK14" s="244"/>
      <c r="AL14" s="244"/>
      <c r="AM14" s="244"/>
      <c r="AN14" s="244"/>
      <c r="AO14" s="244"/>
      <c r="AP14" s="244"/>
      <c r="AQ14" s="244"/>
      <c r="AR14" s="244"/>
      <c r="AS14" s="244"/>
      <c r="AT14" s="244"/>
      <c r="AU14" s="244"/>
      <c r="AV14" s="244"/>
    </row>
    <row r="15" ht="15" customHeight="1">
      <c r="A15" s="1"/>
      <c r="B15" s="57"/>
      <c r="C15" s="58"/>
      <c r="D15" s="187" t="s">
        <v>27</v>
      </c>
      <c r="E15" s="240">
        <v>296.99054023713555643462735077</v>
      </c>
      <c r="F15" s="81">
        <v>12.004870232533736246002420420</v>
      </c>
      <c r="G15" s="184"/>
      <c r="H15" s="189" t="s">
        <v>27</v>
      </c>
      <c r="I15" s="240">
        <v>338.99999999999999999999999997</v>
      </c>
      <c r="J15" s="81">
        <v>-12.289780077619663648124191470</v>
      </c>
      <c r="K15" s="188"/>
      <c r="L15" s="189" t="s">
        <v>27</v>
      </c>
      <c r="M15" s="240">
        <v>0</v>
      </c>
      <c r="N15" s="81">
        <v>0</v>
      </c>
      <c r="O15" s="188"/>
      <c r="P15" s="189" t="s">
        <v>27</v>
      </c>
      <c r="Q15" s="240">
        <v>298.44589718607569852698328818</v>
      </c>
      <c r="R15" s="81">
        <v>11.082585122079371342682848580</v>
      </c>
      <c r="S15" s="18"/>
      <c r="T15" s="1"/>
      <c r="U15" s="244"/>
      <c r="V15" s="244"/>
      <c r="W15" s="244"/>
      <c r="X15" s="244"/>
      <c r="Y15" s="244"/>
      <c r="Z15" s="244"/>
      <c r="AA15" s="244"/>
      <c r="AB15" s="244"/>
      <c r="AC15" s="244"/>
      <c r="AD15" s="244"/>
      <c r="AE15" s="244"/>
      <c r="AF15" s="244"/>
      <c r="AG15" s="244"/>
      <c r="AH15" s="244"/>
      <c r="AI15" s="244"/>
      <c r="AJ15" s="244"/>
      <c r="AK15" s="244"/>
      <c r="AL15" s="244"/>
      <c r="AM15" s="244"/>
      <c r="AN15" s="244"/>
      <c r="AO15" s="244"/>
      <c r="AP15" s="244"/>
      <c r="AQ15" s="244"/>
      <c r="AR15" s="244"/>
      <c r="AS15" s="244"/>
      <c r="AT15" s="244"/>
      <c r="AU15" s="244"/>
      <c r="AV15" s="244"/>
    </row>
    <row r="16" ht="15" customHeight="1">
      <c r="A16" s="1"/>
      <c r="B16" s="57"/>
      <c r="C16" s="58"/>
      <c r="D16" s="406" t="s">
        <v>92</v>
      </c>
      <c r="E16" s="74">
        <v>75.868657068780878182282201940</v>
      </c>
      <c r="F16" s="73">
        <v>10.033996086901553273834886210</v>
      </c>
      <c r="G16" s="68"/>
      <c r="H16" s="406" t="s">
        <v>92</v>
      </c>
      <c r="I16" s="74">
        <v>48.084108615082066409500037820</v>
      </c>
      <c r="J16" s="73">
        <v>0</v>
      </c>
      <c r="K16" s="1"/>
      <c r="L16" s="406" t="s">
        <v>92</v>
      </c>
      <c r="M16" s="74">
        <v>0</v>
      </c>
      <c r="N16" s="73">
        <v>0</v>
      </c>
      <c r="O16" s="1"/>
      <c r="P16" s="406" t="s">
        <v>92</v>
      </c>
      <c r="Q16" s="74">
        <v>70.557258351968411932543458020</v>
      </c>
      <c r="R16" s="73">
        <v>3.6859977905223263056675319700</v>
      </c>
      <c r="S16" s="74"/>
      <c r="T16" s="1"/>
      <c r="U16" s="244"/>
      <c r="V16" s="244"/>
      <c r="W16" s="244"/>
      <c r="X16" s="244"/>
      <c r="Y16" s="244"/>
      <c r="Z16" s="244"/>
      <c r="AA16" s="244"/>
      <c r="AB16" s="244"/>
      <c r="AC16" s="244"/>
      <c r="AD16" s="244"/>
      <c r="AE16" s="244"/>
      <c r="AF16" s="244"/>
      <c r="AG16" s="244"/>
      <c r="AH16" s="244"/>
      <c r="AI16" s="244"/>
      <c r="AJ16" s="244"/>
      <c r="AK16" s="244"/>
      <c r="AL16" s="244"/>
      <c r="AM16" s="244"/>
      <c r="AN16" s="244"/>
      <c r="AO16" s="244"/>
      <c r="AP16" s="244"/>
      <c r="AQ16" s="244"/>
      <c r="AR16" s="244"/>
      <c r="AS16" s="244"/>
      <c r="AT16" s="244"/>
      <c r="AU16" s="244"/>
      <c r="AV16" s="244"/>
    </row>
    <row r="17" ht="15" customHeight="1">
      <c r="A17" s="1"/>
      <c r="B17" s="16"/>
      <c r="C17" s="1"/>
      <c r="D17" s="1"/>
      <c r="E17" s="3"/>
      <c r="F17" s="68"/>
      <c r="G17" s="3"/>
      <c r="H17" s="1"/>
      <c r="I17" s="1"/>
      <c r="J17" s="68"/>
      <c r="K17" s="1"/>
      <c r="L17" s="1"/>
      <c r="M17" s="1"/>
      <c r="N17" s="68"/>
      <c r="O17" s="1"/>
      <c r="P17" s="1"/>
      <c r="Q17" s="18"/>
      <c r="R17" s="68"/>
      <c r="S17" s="18"/>
      <c r="T17" s="1"/>
      <c r="U17" s="244"/>
      <c r="V17" s="244"/>
      <c r="W17" s="244"/>
      <c r="X17" s="244"/>
      <c r="Y17" s="244"/>
      <c r="Z17" s="244"/>
      <c r="AA17" s="244"/>
      <c r="AB17" s="244"/>
      <c r="AC17" s="244"/>
      <c r="AD17" s="244"/>
      <c r="AE17" s="244"/>
      <c r="AF17" s="244"/>
      <c r="AG17" s="244"/>
      <c r="AH17" s="244"/>
      <c r="AI17" s="244"/>
      <c r="AJ17" s="244"/>
      <c r="AK17" s="244"/>
      <c r="AL17" s="244"/>
      <c r="AM17" s="244"/>
      <c r="AN17" s="244"/>
      <c r="AO17" s="244"/>
      <c r="AP17" s="244"/>
      <c r="AQ17" s="244"/>
      <c r="AR17" s="244"/>
      <c r="AS17" s="244"/>
      <c r="AT17" s="244"/>
      <c r="AU17" s="244"/>
      <c r="AV17" s="244"/>
    </row>
    <row r="18" ht="15" customHeight="1">
      <c r="A18" s="1"/>
      <c r="B18" s="57" t="s">
        <v>13</v>
      </c>
      <c r="C18" s="58"/>
      <c r="D18" s="17" t="s">
        <v>32</v>
      </c>
      <c r="E18" s="239">
        <v>153.38528138528138528138528139</v>
      </c>
      <c r="F18" s="73">
        <v>-4.4141549708895080864864412100</v>
      </c>
      <c r="G18" s="70"/>
      <c r="H18" s="76" t="s">
        <v>32</v>
      </c>
      <c r="I18" s="239">
        <v>34.4004329004329004329004329</v>
      </c>
      <c r="J18" s="73">
        <v>0</v>
      </c>
      <c r="K18" s="77"/>
      <c r="L18" s="76" t="s">
        <v>32</v>
      </c>
      <c r="M18" s="239">
        <v>0</v>
      </c>
      <c r="N18" s="73">
        <v>0</v>
      </c>
      <c r="O18" s="77"/>
      <c r="P18" s="76" t="s">
        <v>32</v>
      </c>
      <c r="Q18" s="239">
        <v>187.78571428571428571428571429</v>
      </c>
      <c r="R18" s="73">
        <v>17.023328589841653687919053680</v>
      </c>
      <c r="S18" s="18"/>
      <c r="T18" s="1"/>
      <c r="U18" s="244"/>
      <c r="V18" s="244"/>
      <c r="W18" s="244"/>
      <c r="X18" s="244"/>
      <c r="Y18" s="244"/>
      <c r="Z18" s="244"/>
      <c r="AA18" s="244"/>
      <c r="AB18" s="244"/>
      <c r="AC18" s="244"/>
      <c r="AD18" s="244"/>
      <c r="AE18" s="244"/>
      <c r="AF18" s="244"/>
      <c r="AG18" s="244"/>
      <c r="AH18" s="244"/>
      <c r="AI18" s="244"/>
      <c r="AJ18" s="244"/>
      <c r="AK18" s="244"/>
      <c r="AL18" s="244"/>
      <c r="AM18" s="244"/>
      <c r="AN18" s="244"/>
      <c r="AO18" s="244"/>
      <c r="AP18" s="244"/>
      <c r="AQ18" s="244"/>
      <c r="AR18" s="244"/>
      <c r="AS18" s="244"/>
      <c r="AT18" s="244"/>
      <c r="AU18" s="244"/>
      <c r="AV18" s="244"/>
    </row>
    <row r="19" ht="15" customHeight="1">
      <c r="A19" s="1"/>
      <c r="B19" s="57"/>
      <c r="C19" s="58"/>
      <c r="D19" s="187" t="s">
        <v>27</v>
      </c>
      <c r="E19" s="240">
        <v>212.83924587169459734464454278</v>
      </c>
      <c r="F19" s="81">
        <v>2.8669124805033541889265370300</v>
      </c>
      <c r="G19" s="184"/>
      <c r="H19" s="189" t="s">
        <v>27</v>
      </c>
      <c r="I19" s="240">
        <v>8.718535079869071115960329038</v>
      </c>
      <c r="J19" s="81">
        <v>-3.0020676752030951333655581700</v>
      </c>
      <c r="K19" s="188"/>
      <c r="L19" s="189" t="s">
        <v>27</v>
      </c>
      <c r="M19" s="240">
        <v>0</v>
      </c>
      <c r="N19" s="81">
        <v>0</v>
      </c>
      <c r="O19" s="188"/>
      <c r="P19" s="189" t="s">
        <v>27</v>
      </c>
      <c r="Q19" s="240">
        <v>221.55778095156366846060487182</v>
      </c>
      <c r="R19" s="81">
        <v>2.6225696715508856085893434400</v>
      </c>
      <c r="S19" s="18"/>
      <c r="T19" s="1"/>
      <c r="U19" s="244"/>
      <c r="V19" s="244"/>
      <c r="W19" s="244"/>
      <c r="X19" s="244"/>
      <c r="Y19" s="244"/>
      <c r="Z19" s="244"/>
      <c r="AA19" s="244"/>
      <c r="AB19" s="244"/>
      <c r="AC19" s="244"/>
      <c r="AD19" s="244"/>
      <c r="AE19" s="244"/>
      <c r="AF19" s="244"/>
      <c r="AG19" s="244"/>
      <c r="AH19" s="244"/>
      <c r="AI19" s="244"/>
      <c r="AJ19" s="244"/>
      <c r="AK19" s="244"/>
      <c r="AL19" s="244"/>
      <c r="AM19" s="244"/>
      <c r="AN19" s="244"/>
      <c r="AO19" s="244"/>
      <c r="AP19" s="244"/>
      <c r="AQ19" s="244"/>
      <c r="AR19" s="244"/>
      <c r="AS19" s="244"/>
      <c r="AT19" s="244"/>
      <c r="AU19" s="244"/>
      <c r="AV19" s="244"/>
    </row>
    <row r="20" ht="15" customHeight="1">
      <c r="A20" s="1"/>
      <c r="B20" s="57"/>
      <c r="C20" s="58"/>
      <c r="D20" s="406" t="s">
        <v>93</v>
      </c>
      <c r="E20" s="74">
        <v>72.066258624944759998440047320</v>
      </c>
      <c r="F20" s="73">
        <v>-7.078143278364944821905756400</v>
      </c>
      <c r="G20" s="68"/>
      <c r="H20" s="406" t="s">
        <v>93</v>
      </c>
      <c r="I20" s="74">
        <v>394.56666269246079693003762849</v>
      </c>
      <c r="J20" s="73">
        <v>0</v>
      </c>
      <c r="K20" s="1"/>
      <c r="L20" s="406" t="s">
        <v>93</v>
      </c>
      <c r="M20" s="74">
        <v>0</v>
      </c>
      <c r="N20" s="73">
        <v>0</v>
      </c>
      <c r="O20" s="1"/>
      <c r="P20" s="406" t="s">
        <v>93</v>
      </c>
      <c r="Q20" s="74">
        <v>84.75699362900582156973513466</v>
      </c>
      <c r="R20" s="73">
        <v>14.032740521197970271386102820</v>
      </c>
      <c r="S20" s="74"/>
      <c r="T20" s="1"/>
      <c r="U20" s="244"/>
      <c r="V20" s="244"/>
      <c r="W20" s="244"/>
      <c r="X20" s="244"/>
      <c r="Y20" s="244"/>
      <c r="Z20" s="244"/>
      <c r="AA20" s="244"/>
      <c r="AB20" s="244"/>
      <c r="AC20" s="244"/>
      <c r="AD20" s="244"/>
      <c r="AE20" s="244"/>
      <c r="AF20" s="244"/>
      <c r="AG20" s="244"/>
      <c r="AH20" s="244"/>
      <c r="AI20" s="244"/>
      <c r="AJ20" s="244"/>
      <c r="AK20" s="244"/>
      <c r="AL20" s="244"/>
      <c r="AM20" s="244"/>
      <c r="AN20" s="244"/>
      <c r="AO20" s="244"/>
      <c r="AP20" s="244"/>
      <c r="AQ20" s="244"/>
      <c r="AR20" s="244"/>
      <c r="AS20" s="244"/>
      <c r="AT20" s="244"/>
      <c r="AU20" s="244"/>
      <c r="AV20" s="244"/>
    </row>
    <row r="21" ht="15" customHeight="1">
      <c r="A21" s="1"/>
      <c r="B21" s="16"/>
      <c r="C21" s="1"/>
      <c r="D21" s="1"/>
      <c r="E21" s="1"/>
      <c r="F21" s="1"/>
      <c r="G21" s="1"/>
      <c r="H21" s="1"/>
      <c r="I21" s="1"/>
      <c r="J21" s="1"/>
      <c r="K21" s="1"/>
      <c r="L21" s="1"/>
      <c r="M21" s="1"/>
      <c r="N21" s="1"/>
      <c r="O21" s="1"/>
      <c r="P21" s="1"/>
      <c r="Q21" s="1"/>
      <c r="R21" s="1"/>
      <c r="S21" s="1"/>
      <c r="T21" s="1"/>
      <c r="U21" s="244"/>
      <c r="V21" s="244"/>
      <c r="W21" s="244"/>
      <c r="X21" s="244"/>
      <c r="Y21" s="244"/>
      <c r="Z21" s="244"/>
      <c r="AA21" s="244"/>
      <c r="AB21" s="244"/>
      <c r="AC21" s="244"/>
      <c r="AD21" s="244"/>
      <c r="AE21" s="244"/>
      <c r="AF21" s="244"/>
      <c r="AG21" s="244"/>
      <c r="AH21" s="244"/>
      <c r="AI21" s="244"/>
      <c r="AJ21" s="244"/>
      <c r="AK21" s="244"/>
      <c r="AL21" s="244"/>
      <c r="AM21" s="244"/>
      <c r="AN21" s="244"/>
      <c r="AO21" s="244"/>
      <c r="AP21" s="244"/>
      <c r="AQ21" s="244"/>
      <c r="AR21" s="244"/>
      <c r="AS21" s="244"/>
      <c r="AT21" s="244"/>
      <c r="AU21" s="244"/>
      <c r="AV21" s="244"/>
    </row>
    <row r="22" ht="15" customHeight="1">
      <c r="A22" s="1"/>
      <c r="T22" s="1"/>
      <c r="U22" s="244"/>
      <c r="V22" s="244"/>
      <c r="W22" s="244"/>
      <c r="X22" s="244"/>
      <c r="Y22" s="244"/>
      <c r="Z22" s="244"/>
      <c r="AA22" s="244"/>
      <c r="AB22" s="244"/>
      <c r="AC22" s="244"/>
      <c r="AD22" s="244"/>
      <c r="AE22" s="244"/>
      <c r="AF22" s="244"/>
      <c r="AG22" s="244"/>
      <c r="AH22" s="244"/>
      <c r="AI22" s="244"/>
      <c r="AJ22" s="244"/>
      <c r="AK22" s="244"/>
      <c r="AL22" s="244"/>
      <c r="AM22" s="244"/>
      <c r="AN22" s="244"/>
      <c r="AO22" s="244"/>
      <c r="AP22" s="244"/>
      <c r="AQ22" s="244"/>
      <c r="AR22" s="244"/>
      <c r="AS22" s="244"/>
      <c r="AT22" s="244"/>
      <c r="AU22" s="244"/>
      <c r="AV22" s="244"/>
    </row>
    <row r="23" ht="15" customHeight="1">
      <c r="A23" s="1"/>
      <c r="B23" s="612" t="s">
        <v>61</v>
      </c>
      <c r="C23" s="612"/>
      <c r="D23" s="612"/>
      <c r="E23" s="612"/>
      <c r="F23" s="612"/>
      <c r="G23" s="612"/>
      <c r="H23" s="612"/>
      <c r="I23" s="612"/>
      <c r="J23" s="612"/>
      <c r="K23" s="612"/>
      <c r="L23" s="612"/>
      <c r="M23" s="612"/>
      <c r="N23" s="612"/>
      <c r="O23" s="612"/>
      <c r="P23" s="612"/>
      <c r="Q23" s="612"/>
      <c r="R23" s="612"/>
      <c r="S23" s="612"/>
      <c r="T23" s="1"/>
      <c r="U23" s="244"/>
      <c r="V23" s="244"/>
      <c r="W23" s="244"/>
      <c r="X23" s="244"/>
      <c r="Y23" s="244"/>
      <c r="Z23" s="244"/>
      <c r="AA23" s="244"/>
      <c r="AB23" s="244"/>
      <c r="AC23" s="244"/>
      <c r="AD23" s="244"/>
      <c r="AE23" s="244"/>
      <c r="AF23" s="244"/>
      <c r="AG23" s="244"/>
      <c r="AH23" s="244"/>
      <c r="AI23" s="244"/>
      <c r="AJ23" s="244"/>
      <c r="AK23" s="244"/>
      <c r="AL23" s="244"/>
      <c r="AM23" s="244"/>
      <c r="AN23" s="244"/>
      <c r="AO23" s="244"/>
      <c r="AP23" s="244"/>
      <c r="AQ23" s="244"/>
      <c r="AR23" s="244"/>
      <c r="AS23" s="244"/>
      <c r="AT23" s="244"/>
      <c r="AU23" s="244"/>
      <c r="AV23" s="244"/>
    </row>
    <row r="24" ht="15" customHeight="1">
      <c r="A24" s="1"/>
      <c r="B24" s="16"/>
      <c r="C24" s="1"/>
      <c r="D24" s="1"/>
      <c r="E24" s="1"/>
      <c r="F24" s="1"/>
      <c r="G24" s="1"/>
      <c r="H24" s="1"/>
      <c r="I24" s="1"/>
      <c r="J24" s="1"/>
      <c r="K24" s="1"/>
      <c r="L24" s="1"/>
      <c r="M24" s="1"/>
      <c r="N24" s="1"/>
      <c r="O24" s="1"/>
      <c r="P24" s="1"/>
      <c r="Q24" s="1"/>
      <c r="R24" s="1"/>
      <c r="S24" s="1"/>
      <c r="T24" s="1"/>
      <c r="U24" s="244"/>
      <c r="V24" s="244"/>
      <c r="W24" s="244"/>
      <c r="X24" s="244"/>
      <c r="Y24" s="244"/>
      <c r="Z24" s="244"/>
      <c r="AA24" s="244"/>
      <c r="AB24" s="244"/>
      <c r="AC24" s="244"/>
      <c r="AD24" s="244"/>
      <c r="AE24" s="244"/>
      <c r="AF24" s="244"/>
      <c r="AG24" s="244"/>
      <c r="AH24" s="244"/>
      <c r="AI24" s="244"/>
      <c r="AJ24" s="244"/>
      <c r="AK24" s="244"/>
      <c r="AL24" s="244"/>
      <c r="AM24" s="244"/>
      <c r="AN24" s="244"/>
      <c r="AO24" s="244"/>
      <c r="AP24" s="244"/>
      <c r="AQ24" s="244"/>
      <c r="AR24" s="244"/>
      <c r="AS24" s="244"/>
      <c r="AT24" s="244"/>
      <c r="AU24" s="244"/>
      <c r="AV24" s="244"/>
    </row>
    <row r="25" ht="15" customHeight="1">
      <c r="A25" s="1"/>
      <c r="B25" s="1"/>
      <c r="C25" s="14"/>
      <c r="D25" s="651" t="s">
        <v>21</v>
      </c>
      <c r="E25" s="651"/>
      <c r="F25" s="651"/>
      <c r="G25" s="1"/>
      <c r="H25" s="651" t="s">
        <v>24</v>
      </c>
      <c r="I25" s="651"/>
      <c r="J25" s="651"/>
      <c r="K25" s="1"/>
      <c r="L25" s="651" t="s">
        <v>25</v>
      </c>
      <c r="M25" s="651"/>
      <c r="N25" s="651"/>
      <c r="O25" s="1"/>
      <c r="P25" s="651" t="s">
        <v>23</v>
      </c>
      <c r="Q25" s="651"/>
      <c r="R25" s="651"/>
      <c r="S25" s="2"/>
      <c r="T25" s="1"/>
      <c r="U25" s="244"/>
      <c r="V25" s="244"/>
      <c r="W25" s="244"/>
      <c r="X25" s="244"/>
      <c r="Y25" s="244"/>
      <c r="Z25" s="244"/>
      <c r="AA25" s="244"/>
      <c r="AB25" s="244"/>
      <c r="AC25" s="244"/>
      <c r="AD25" s="244"/>
      <c r="AE25" s="244"/>
      <c r="AF25" s="244"/>
      <c r="AG25" s="244"/>
      <c r="AH25" s="244"/>
      <c r="AI25" s="244"/>
      <c r="AJ25" s="244"/>
      <c r="AK25" s="244"/>
      <c r="AL25" s="244"/>
      <c r="AM25" s="244"/>
      <c r="AN25" s="244"/>
      <c r="AO25" s="244"/>
      <c r="AP25" s="244"/>
      <c r="AQ25" s="244"/>
      <c r="AR25" s="244"/>
      <c r="AS25" s="244"/>
      <c r="AT25" s="244"/>
      <c r="AU25" s="244"/>
      <c r="AV25" s="244"/>
    </row>
    <row r="26" ht="15" customHeight="1">
      <c r="A26" s="1"/>
      <c r="B26" s="16"/>
      <c r="C26" s="1"/>
      <c r="D26" s="1"/>
      <c r="E26" s="1"/>
      <c r="F26" s="66" t="s">
        <v>57</v>
      </c>
      <c r="G26" s="1"/>
      <c r="H26" s="1"/>
      <c r="I26" s="1"/>
      <c r="J26" s="66" t="s">
        <v>57</v>
      </c>
      <c r="K26" s="1"/>
      <c r="L26" s="1"/>
      <c r="M26" s="1"/>
      <c r="N26" s="66" t="s">
        <v>57</v>
      </c>
      <c r="O26" s="1"/>
      <c r="P26" s="1"/>
      <c r="Q26" s="1"/>
      <c r="R26" s="66" t="s">
        <v>57</v>
      </c>
      <c r="S26" s="1"/>
      <c r="T26" s="1"/>
      <c r="U26" s="244"/>
      <c r="V26" s="244"/>
      <c r="W26" s="244"/>
      <c r="X26" s="244"/>
      <c r="Y26" s="244"/>
      <c r="Z26" s="244"/>
      <c r="AA26" s="244"/>
      <c r="AB26" s="244"/>
      <c r="AC26" s="244"/>
      <c r="AD26" s="244"/>
      <c r="AE26" s="244"/>
      <c r="AF26" s="244"/>
      <c r="AG26" s="244"/>
      <c r="AH26" s="244"/>
      <c r="AI26" s="244"/>
      <c r="AJ26" s="244"/>
      <c r="AK26" s="244"/>
      <c r="AL26" s="244"/>
      <c r="AM26" s="244"/>
      <c r="AN26" s="244"/>
      <c r="AO26" s="244"/>
      <c r="AP26" s="244"/>
      <c r="AQ26" s="244"/>
      <c r="AR26" s="244"/>
      <c r="AS26" s="244"/>
      <c r="AT26" s="244"/>
      <c r="AU26" s="244"/>
      <c r="AV26" s="244"/>
    </row>
    <row r="27" ht="15" customHeight="1">
      <c r="A27" s="1"/>
      <c r="B27" s="57" t="s">
        <v>28</v>
      </c>
      <c r="C27" s="58"/>
      <c r="D27" s="17" t="s">
        <v>32</v>
      </c>
      <c r="E27" s="19">
        <v>0.7107683982683982683982683983</v>
      </c>
      <c r="F27" s="73">
        <v>-7.5650950034712930254486467900</v>
      </c>
      <c r="G27" s="1"/>
      <c r="H27" s="17" t="s">
        <v>32</v>
      </c>
      <c r="I27" s="19">
        <v>0.1306818181818181818181818182</v>
      </c>
      <c r="J27" s="73">
        <v>25.781250000125781250000125800</v>
      </c>
      <c r="K27" s="1"/>
      <c r="L27" s="17" t="s">
        <v>32</v>
      </c>
      <c r="M27" s="19">
        <v>0</v>
      </c>
      <c r="N27" s="73">
        <v>0</v>
      </c>
      <c r="O27" s="1"/>
      <c r="P27" s="17" t="s">
        <v>32</v>
      </c>
      <c r="Q27" s="19">
        <v>0.8414502164502164502164502165</v>
      </c>
      <c r="R27" s="73">
        <v>-3.5957842528898376450791436100</v>
      </c>
      <c r="S27" s="19"/>
      <c r="T27" s="1"/>
      <c r="U27" s="244"/>
      <c r="V27" s="244"/>
      <c r="W27" s="244"/>
      <c r="X27" s="244"/>
      <c r="Y27" s="244"/>
      <c r="Z27" s="244"/>
      <c r="AA27" s="244"/>
      <c r="AB27" s="244"/>
      <c r="AC27" s="244"/>
      <c r="AD27" s="244"/>
      <c r="AE27" s="244"/>
      <c r="AF27" s="244"/>
      <c r="AG27" s="244"/>
      <c r="AH27" s="244"/>
      <c r="AI27" s="244"/>
      <c r="AJ27" s="244"/>
      <c r="AK27" s="244"/>
      <c r="AL27" s="244"/>
      <c r="AM27" s="244"/>
      <c r="AN27" s="244"/>
      <c r="AO27" s="244"/>
      <c r="AP27" s="244"/>
      <c r="AQ27" s="244"/>
      <c r="AR27" s="244"/>
      <c r="AS27" s="244"/>
      <c r="AT27" s="244"/>
      <c r="AU27" s="244"/>
      <c r="AV27" s="244"/>
    </row>
    <row r="28" ht="15" customHeight="1">
      <c r="A28" s="1"/>
      <c r="B28" s="57"/>
      <c r="C28" s="58"/>
      <c r="D28" s="187" t="s">
        <v>27</v>
      </c>
      <c r="E28" s="190">
        <v>0.7185356369432801089639953022</v>
      </c>
      <c r="F28" s="81">
        <v>-5.3320991620679198778400683100</v>
      </c>
      <c r="G28" s="191"/>
      <c r="H28" s="187" t="s">
        <v>27</v>
      </c>
      <c r="I28" s="190">
        <v>0.0546818668264419736388905273</v>
      </c>
      <c r="J28" s="81">
        <v>540.18773380954644268726963845</v>
      </c>
      <c r="K28" s="191"/>
      <c r="L28" s="187" t="s">
        <v>27</v>
      </c>
      <c r="M28" s="190">
        <v>0</v>
      </c>
      <c r="N28" s="81">
        <v>0</v>
      </c>
      <c r="O28" s="191"/>
      <c r="P28" s="187" t="s">
        <v>27</v>
      </c>
      <c r="Q28" s="190">
        <v>0.7732175037697220826028858295</v>
      </c>
      <c r="R28" s="81">
        <v>0.7386305109479998903631621300</v>
      </c>
      <c r="S28" s="19"/>
      <c r="T28" s="1"/>
      <c r="U28" s="244"/>
      <c r="V28" s="244"/>
      <c r="W28" s="244"/>
      <c r="X28" s="244"/>
      <c r="Y28" s="244"/>
      <c r="Z28" s="244"/>
      <c r="AA28" s="244"/>
      <c r="AB28" s="244"/>
      <c r="AC28" s="244"/>
      <c r="AD28" s="244"/>
      <c r="AE28" s="244"/>
      <c r="AF28" s="244"/>
      <c r="AG28" s="244"/>
      <c r="AH28" s="244"/>
      <c r="AI28" s="244"/>
      <c r="AJ28" s="244"/>
      <c r="AK28" s="244"/>
      <c r="AL28" s="244"/>
      <c r="AM28" s="244"/>
      <c r="AN28" s="244"/>
      <c r="AO28" s="244"/>
      <c r="AP28" s="244"/>
      <c r="AQ28" s="244"/>
      <c r="AR28" s="244"/>
      <c r="AS28" s="244"/>
      <c r="AT28" s="244"/>
      <c r="AU28" s="244"/>
      <c r="AV28" s="244"/>
    </row>
    <row r="29" ht="15" customHeight="1">
      <c r="A29" s="1"/>
      <c r="B29" s="57"/>
      <c r="C29" s="58"/>
      <c r="D29" s="406" t="s">
        <v>91</v>
      </c>
      <c r="E29" s="74">
        <v>98.91901830956536242540196442</v>
      </c>
      <c r="F29" s="73">
        <v>-2.3587676727642352406092959800</v>
      </c>
      <c r="G29" s="75"/>
      <c r="H29" s="406" t="s">
        <v>91</v>
      </c>
      <c r="I29" s="74">
        <v>238.98565606337695706047806211</v>
      </c>
      <c r="J29" s="73">
        <v>-80.35244298535102376770566148</v>
      </c>
      <c r="K29" s="75"/>
      <c r="L29" s="406" t="s">
        <v>91</v>
      </c>
      <c r="M29" s="74">
        <v>0</v>
      </c>
      <c r="N29" s="73">
        <v>0</v>
      </c>
      <c r="O29" s="75"/>
      <c r="P29" s="406" t="s">
        <v>91</v>
      </c>
      <c r="Q29" s="74">
        <v>108.82451733794593973570027689</v>
      </c>
      <c r="R29" s="73">
        <v>-4.3026341949532748319867333800</v>
      </c>
      <c r="S29" s="74"/>
      <c r="T29" s="1"/>
      <c r="U29" s="244"/>
      <c r="V29" s="244"/>
      <c r="W29" s="244"/>
      <c r="X29" s="244"/>
      <c r="Y29" s="244"/>
      <c r="Z29" s="244"/>
      <c r="AA29" s="244"/>
      <c r="AB29" s="244"/>
      <c r="AC29" s="244"/>
      <c r="AD29" s="244"/>
      <c r="AE29" s="244"/>
      <c r="AF29" s="244"/>
      <c r="AG29" s="244"/>
      <c r="AH29" s="244"/>
      <c r="AI29" s="244"/>
      <c r="AJ29" s="244"/>
      <c r="AK29" s="244"/>
      <c r="AL29" s="244"/>
      <c r="AM29" s="244"/>
      <c r="AN29" s="244"/>
      <c r="AO29" s="244"/>
      <c r="AP29" s="244"/>
      <c r="AQ29" s="244"/>
      <c r="AR29" s="244"/>
      <c r="AS29" s="244"/>
      <c r="AT29" s="244"/>
      <c r="AU29" s="244"/>
      <c r="AV29" s="244"/>
    </row>
    <row r="30" ht="15" customHeight="1">
      <c r="A30" s="1"/>
      <c r="B30" s="16"/>
      <c r="C30" s="1"/>
      <c r="D30" s="1"/>
      <c r="E30" s="1"/>
      <c r="F30" s="66"/>
      <c r="G30" s="1"/>
      <c r="H30" s="1"/>
      <c r="I30" s="1"/>
      <c r="J30" s="66"/>
      <c r="K30" s="1"/>
      <c r="L30" s="1"/>
      <c r="M30" s="1"/>
      <c r="N30" s="66"/>
      <c r="O30" s="1"/>
      <c r="P30" s="1"/>
      <c r="Q30" s="19"/>
      <c r="R30" s="66"/>
      <c r="S30" s="19"/>
      <c r="T30" s="1"/>
      <c r="U30" s="244"/>
      <c r="V30" s="244"/>
      <c r="W30" s="244"/>
      <c r="X30" s="244"/>
      <c r="Y30" s="244"/>
      <c r="Z30" s="244"/>
      <c r="AA30" s="244"/>
      <c r="AB30" s="244"/>
      <c r="AC30" s="244"/>
      <c r="AD30" s="244"/>
      <c r="AE30" s="244"/>
      <c r="AF30" s="244"/>
      <c r="AG30" s="244"/>
      <c r="AH30" s="244"/>
      <c r="AI30" s="244"/>
      <c r="AJ30" s="244"/>
      <c r="AK30" s="244"/>
      <c r="AL30" s="244"/>
      <c r="AM30" s="244"/>
      <c r="AN30" s="244"/>
      <c r="AO30" s="244"/>
      <c r="AP30" s="244"/>
      <c r="AQ30" s="244"/>
      <c r="AR30" s="244"/>
      <c r="AS30" s="244"/>
      <c r="AT30" s="244"/>
      <c r="AU30" s="244"/>
      <c r="AV30" s="244"/>
    </row>
    <row r="31" ht="15" customHeight="1">
      <c r="A31" s="1"/>
      <c r="B31" s="57" t="s">
        <v>12</v>
      </c>
      <c r="C31" s="58"/>
      <c r="D31" s="17" t="s">
        <v>32</v>
      </c>
      <c r="E31" s="239">
        <v>241.13475447278264179672630377</v>
      </c>
      <c r="F31" s="73">
        <v>11.951229316486039428071224390</v>
      </c>
      <c r="G31" s="77"/>
      <c r="H31" s="76" t="s">
        <v>32</v>
      </c>
      <c r="I31" s="239">
        <v>262.20496894409937888198757764</v>
      </c>
      <c r="J31" s="73">
        <v>-29.565579761928810651976721600</v>
      </c>
      <c r="K31" s="77"/>
      <c r="L31" s="76" t="s">
        <v>32</v>
      </c>
      <c r="M31" s="239">
        <v>0</v>
      </c>
      <c r="N31" s="73">
        <v>0</v>
      </c>
      <c r="O31" s="77"/>
      <c r="P31" s="76" t="s">
        <v>32</v>
      </c>
      <c r="Q31" s="239">
        <v>244.40707395498392282958199357</v>
      </c>
      <c r="R31" s="73">
        <v>4.4180046509130757163499552500</v>
      </c>
      <c r="S31" s="18"/>
      <c r="T31" s="1"/>
      <c r="U31" s="244"/>
      <c r="V31" s="244"/>
      <c r="W31" s="244"/>
      <c r="X31" s="244"/>
      <c r="Y31" s="244"/>
      <c r="Z31" s="244"/>
      <c r="AA31" s="244"/>
      <c r="AB31" s="244"/>
      <c r="AC31" s="244"/>
      <c r="AD31" s="244"/>
      <c r="AE31" s="244"/>
      <c r="AF31" s="244"/>
      <c r="AG31" s="244"/>
      <c r="AH31" s="244"/>
      <c r="AI31" s="244"/>
      <c r="AJ31" s="244"/>
      <c r="AK31" s="244"/>
      <c r="AL31" s="244"/>
      <c r="AM31" s="244"/>
      <c r="AN31" s="244"/>
      <c r="AO31" s="244"/>
      <c r="AP31" s="244"/>
      <c r="AQ31" s="244"/>
      <c r="AR31" s="244"/>
      <c r="AS31" s="244"/>
      <c r="AT31" s="244"/>
      <c r="AU31" s="244"/>
      <c r="AV31" s="244"/>
    </row>
    <row r="32" ht="15" customHeight="1">
      <c r="A32" s="1"/>
      <c r="B32" s="57"/>
      <c r="C32" s="58"/>
      <c r="D32" s="187" t="s">
        <v>27</v>
      </c>
      <c r="E32" s="240">
        <v>298.66038765245458345611747594</v>
      </c>
      <c r="F32" s="81">
        <v>8.016637350211616721461204810</v>
      </c>
      <c r="G32" s="188"/>
      <c r="H32" s="189" t="s">
        <v>27</v>
      </c>
      <c r="I32" s="240">
        <v>417.69642908606656992457892965</v>
      </c>
      <c r="J32" s="81">
        <v>26.468293994541424263521486810</v>
      </c>
      <c r="K32" s="188"/>
      <c r="L32" s="189" t="s">
        <v>27</v>
      </c>
      <c r="M32" s="240">
        <v>0</v>
      </c>
      <c r="N32" s="81">
        <v>0</v>
      </c>
      <c r="O32" s="188"/>
      <c r="P32" s="189" t="s">
        <v>27</v>
      </c>
      <c r="Q32" s="240">
        <v>307.07860495028509028354443425</v>
      </c>
      <c r="R32" s="81">
        <v>10.821368893772325814611272390</v>
      </c>
      <c r="S32" s="18"/>
      <c r="T32" s="1"/>
      <c r="U32" s="244"/>
      <c r="V32" s="244"/>
      <c r="W32" s="244"/>
      <c r="X32" s="244"/>
      <c r="Y32" s="244"/>
      <c r="Z32" s="244"/>
      <c r="AA32" s="244"/>
      <c r="AB32" s="244"/>
      <c r="AC32" s="244"/>
      <c r="AD32" s="244"/>
      <c r="AE32" s="244"/>
      <c r="AF32" s="244"/>
      <c r="AG32" s="244"/>
      <c r="AH32" s="244"/>
      <c r="AI32" s="244"/>
      <c r="AJ32" s="244"/>
      <c r="AK32" s="244"/>
      <c r="AL32" s="244"/>
      <c r="AM32" s="244"/>
      <c r="AN32" s="244"/>
      <c r="AO32" s="244"/>
      <c r="AP32" s="244"/>
      <c r="AQ32" s="244"/>
      <c r="AR32" s="244"/>
      <c r="AS32" s="244"/>
      <c r="AT32" s="244"/>
      <c r="AU32" s="244"/>
      <c r="AV32" s="244"/>
    </row>
    <row r="33" ht="15" customHeight="1">
      <c r="A33" s="1"/>
      <c r="B33" s="57"/>
      <c r="C33" s="58"/>
      <c r="D33" s="406" t="s">
        <v>92</v>
      </c>
      <c r="E33" s="74">
        <v>80.73878038133061811392617682</v>
      </c>
      <c r="F33" s="73">
        <v>3.6425795717776622018300447200</v>
      </c>
      <c r="G33" s="75"/>
      <c r="H33" s="406" t="s">
        <v>92</v>
      </c>
      <c r="I33" s="74">
        <v>62.774050886140307670435164950</v>
      </c>
      <c r="J33" s="73">
        <v>-44.306657413205996418028699220</v>
      </c>
      <c r="K33" s="75"/>
      <c r="L33" s="406" t="s">
        <v>92</v>
      </c>
      <c r="M33" s="74">
        <v>0</v>
      </c>
      <c r="N33" s="73">
        <v>0</v>
      </c>
      <c r="O33" s="75"/>
      <c r="P33" s="406" t="s">
        <v>92</v>
      </c>
      <c r="Q33" s="74">
        <v>79.59104607582175017672279819</v>
      </c>
      <c r="R33" s="73">
        <v>-5.7780952416882298221727599100</v>
      </c>
      <c r="S33" s="74"/>
      <c r="T33" s="1"/>
      <c r="U33" s="244"/>
      <c r="V33" s="244"/>
      <c r="W33" s="244"/>
      <c r="X33" s="244"/>
      <c r="Y33" s="244"/>
      <c r="Z33" s="244"/>
      <c r="AA33" s="244"/>
      <c r="AB33" s="244"/>
      <c r="AC33" s="244"/>
      <c r="AD33" s="244"/>
      <c r="AE33" s="244"/>
      <c r="AF33" s="244"/>
      <c r="AG33" s="244"/>
      <c r="AH33" s="244"/>
      <c r="AI33" s="244"/>
      <c r="AJ33" s="244"/>
      <c r="AK33" s="244"/>
      <c r="AL33" s="244"/>
      <c r="AM33" s="244"/>
      <c r="AN33" s="244"/>
      <c r="AO33" s="244"/>
      <c r="AP33" s="244"/>
      <c r="AQ33" s="244"/>
      <c r="AR33" s="244"/>
      <c r="AS33" s="244"/>
      <c r="AT33" s="244"/>
      <c r="AU33" s="244"/>
      <c r="AV33" s="244"/>
    </row>
    <row r="34" ht="15" customHeight="1">
      <c r="A34" s="1"/>
      <c r="B34" s="16"/>
      <c r="C34" s="1"/>
      <c r="D34" s="1"/>
      <c r="E34" s="1"/>
      <c r="F34" s="68"/>
      <c r="G34" s="1"/>
      <c r="H34" s="1"/>
      <c r="I34" s="1"/>
      <c r="J34" s="68"/>
      <c r="K34" s="1"/>
      <c r="L34" s="1"/>
      <c r="M34" s="1"/>
      <c r="N34" s="68"/>
      <c r="O34" s="1"/>
      <c r="P34" s="1"/>
      <c r="Q34" s="18"/>
      <c r="R34" s="68"/>
      <c r="S34" s="18"/>
      <c r="T34" s="1"/>
      <c r="U34" s="244"/>
      <c r="V34" s="244"/>
      <c r="W34" s="244"/>
      <c r="X34" s="244"/>
      <c r="Y34" s="244"/>
      <c r="Z34" s="244"/>
      <c r="AA34" s="244"/>
      <c r="AB34" s="244"/>
      <c r="AC34" s="244"/>
      <c r="AD34" s="244"/>
      <c r="AE34" s="244"/>
      <c r="AF34" s="244"/>
      <c r="AG34" s="244"/>
      <c r="AH34" s="244"/>
      <c r="AI34" s="244"/>
      <c r="AJ34" s="244"/>
      <c r="AK34" s="244"/>
      <c r="AL34" s="244"/>
      <c r="AM34" s="244"/>
      <c r="AN34" s="244"/>
      <c r="AO34" s="244"/>
      <c r="AP34" s="244"/>
      <c r="AQ34" s="244"/>
      <c r="AR34" s="244"/>
      <c r="AS34" s="244"/>
      <c r="AT34" s="244"/>
      <c r="AU34" s="244"/>
      <c r="AV34" s="244"/>
    </row>
    <row r="35" ht="15" customHeight="1">
      <c r="A35" s="1"/>
      <c r="B35" s="57" t="s">
        <v>13</v>
      </c>
      <c r="C35" s="58"/>
      <c r="D35" s="17" t="s">
        <v>32</v>
      </c>
      <c r="E35" s="239">
        <v>171.3909632034632034632034632</v>
      </c>
      <c r="F35" s="73">
        <v>3.4820124610906359267518656400</v>
      </c>
      <c r="G35" s="77"/>
      <c r="H35" s="76" t="s">
        <v>32</v>
      </c>
      <c r="I35" s="239">
        <v>34.265422077922077922077922078</v>
      </c>
      <c r="J35" s="73">
        <v>-11.406705794250510883859815150</v>
      </c>
      <c r="K35" s="77"/>
      <c r="L35" s="76" t="s">
        <v>32</v>
      </c>
      <c r="M35" s="239">
        <v>0</v>
      </c>
      <c r="N35" s="73">
        <v>0</v>
      </c>
      <c r="O35" s="77"/>
      <c r="P35" s="76" t="s">
        <v>32</v>
      </c>
      <c r="Q35" s="239">
        <v>205.65638528138528138528138528</v>
      </c>
      <c r="R35" s="73">
        <v>0.6633584824380565084751226300</v>
      </c>
      <c r="S35" s="18"/>
      <c r="T35" s="1"/>
      <c r="U35" s="244"/>
      <c r="V35" s="244"/>
      <c r="W35" s="244"/>
      <c r="X35" s="244"/>
      <c r="Y35" s="244"/>
      <c r="Z35" s="244"/>
      <c r="AA35" s="244"/>
      <c r="AB35" s="244"/>
      <c r="AC35" s="244"/>
      <c r="AD35" s="244"/>
      <c r="AE35" s="244"/>
      <c r="AF35" s="244"/>
      <c r="AG35" s="244"/>
      <c r="AH35" s="244"/>
      <c r="AI35" s="244"/>
      <c r="AJ35" s="244"/>
      <c r="AK35" s="244"/>
      <c r="AL35" s="244"/>
      <c r="AM35" s="244"/>
      <c r="AN35" s="244"/>
      <c r="AO35" s="244"/>
      <c r="AP35" s="244"/>
      <c r="AQ35" s="244"/>
      <c r="AR35" s="244"/>
      <c r="AS35" s="244"/>
      <c r="AT35" s="244"/>
      <c r="AU35" s="244"/>
      <c r="AV35" s="244"/>
    </row>
    <row r="36" ht="15" customHeight="1">
      <c r="A36" s="1"/>
      <c r="B36" s="57"/>
      <c r="C36" s="58"/>
      <c r="D36" s="187" t="s">
        <v>27</v>
      </c>
      <c r="E36" s="240">
        <v>214.59813187158340409279288527</v>
      </c>
      <c r="F36" s="81">
        <v>2.2570831351156102023943253400</v>
      </c>
      <c r="G36" s="188"/>
      <c r="H36" s="189" t="s">
        <v>27</v>
      </c>
      <c r="I36" s="240">
        <v>22.840420509164655879501189828</v>
      </c>
      <c r="J36" s="81">
        <v>709.63450528925827263176617265</v>
      </c>
      <c r="K36" s="188"/>
      <c r="L36" s="189" t="s">
        <v>27</v>
      </c>
      <c r="M36" s="240">
        <v>0</v>
      </c>
      <c r="N36" s="81">
        <v>0</v>
      </c>
      <c r="O36" s="188"/>
      <c r="P36" s="189" t="s">
        <v>27</v>
      </c>
      <c r="Q36" s="240">
        <v>237.43855238074805997229407509</v>
      </c>
      <c r="R36" s="81">
        <v>11.639929337138115210622596960</v>
      </c>
      <c r="S36" s="18"/>
      <c r="T36" s="1"/>
      <c r="U36" s="244"/>
      <c r="V36" s="244"/>
      <c r="W36" s="244"/>
      <c r="X36" s="244"/>
      <c r="Y36" s="244"/>
      <c r="Z36" s="244"/>
      <c r="AA36" s="244"/>
      <c r="AB36" s="244"/>
      <c r="AC36" s="244"/>
      <c r="AD36" s="244"/>
      <c r="AE36" s="244"/>
      <c r="AF36" s="244"/>
      <c r="AG36" s="244"/>
      <c r="AH36" s="244"/>
      <c r="AI36" s="244"/>
      <c r="AJ36" s="244"/>
      <c r="AK36" s="244"/>
      <c r="AL36" s="244"/>
      <c r="AM36" s="244"/>
      <c r="AN36" s="244"/>
      <c r="AO36" s="244"/>
      <c r="AP36" s="244"/>
      <c r="AQ36" s="244"/>
      <c r="AR36" s="244"/>
      <c r="AS36" s="244"/>
      <c r="AT36" s="244"/>
      <c r="AU36" s="244"/>
      <c r="AV36" s="244"/>
    </row>
    <row r="37" ht="15" customHeight="1">
      <c r="A37" s="1"/>
      <c r="B37" s="57"/>
      <c r="C37" s="58"/>
      <c r="D37" s="406" t="s">
        <v>93</v>
      </c>
      <c r="E37" s="74">
        <v>79.86600894830303506687773043</v>
      </c>
      <c r="F37" s="73">
        <v>1.1978919096670873645324511800</v>
      </c>
      <c r="G37" s="75"/>
      <c r="H37" s="406" t="s">
        <v>93</v>
      </c>
      <c r="I37" s="74">
        <v>150.02097734636780442029114162</v>
      </c>
      <c r="J37" s="73">
        <v>-89.05761876170065873947731556</v>
      </c>
      <c r="K37" s="75"/>
      <c r="L37" s="406" t="s">
        <v>93</v>
      </c>
      <c r="M37" s="74">
        <v>0</v>
      </c>
      <c r="N37" s="73">
        <v>0</v>
      </c>
      <c r="O37" s="75"/>
      <c r="P37" s="406" t="s">
        <v>93</v>
      </c>
      <c r="Q37" s="74">
        <v>86.61457173628805097549313526</v>
      </c>
      <c r="R37" s="73">
        <v>-9.832119135024997534920205710</v>
      </c>
      <c r="S37" s="74"/>
      <c r="T37" s="1"/>
      <c r="U37" s="244"/>
      <c r="V37" s="244"/>
      <c r="W37" s="244"/>
      <c r="X37" s="244"/>
      <c r="Y37" s="244"/>
      <c r="Z37" s="244"/>
      <c r="AA37" s="244"/>
      <c r="AB37" s="244"/>
      <c r="AC37" s="244"/>
      <c r="AD37" s="244"/>
      <c r="AE37" s="244"/>
      <c r="AF37" s="244"/>
      <c r="AG37" s="244"/>
      <c r="AH37" s="244"/>
      <c r="AI37" s="244"/>
      <c r="AJ37" s="244"/>
      <c r="AK37" s="244"/>
      <c r="AL37" s="244"/>
      <c r="AM37" s="244"/>
      <c r="AN37" s="244"/>
      <c r="AO37" s="244"/>
      <c r="AP37" s="244"/>
      <c r="AQ37" s="244"/>
      <c r="AR37" s="244"/>
      <c r="AS37" s="244"/>
      <c r="AT37" s="244"/>
      <c r="AU37" s="244"/>
      <c r="AV37" s="244"/>
    </row>
    <row r="38" ht="18" customHeight="1">
      <c r="A38" s="1"/>
      <c r="B38" s="1"/>
      <c r="C38" s="1"/>
      <c r="D38" s="1"/>
      <c r="E38" s="1"/>
      <c r="F38" s="1"/>
      <c r="G38" s="1"/>
      <c r="H38" s="1"/>
      <c r="I38" s="1"/>
      <c r="J38" s="1"/>
      <c r="K38" s="1"/>
      <c r="L38" s="1"/>
      <c r="M38" s="1"/>
      <c r="N38" s="1"/>
      <c r="O38" s="1"/>
      <c r="P38" s="1"/>
      <c r="Q38" s="1"/>
      <c r="R38" s="1"/>
      <c r="S38" s="1"/>
      <c r="T38" s="1"/>
      <c r="U38" s="244"/>
      <c r="V38" s="244"/>
      <c r="W38" s="244"/>
      <c r="X38" s="244"/>
      <c r="Y38" s="244"/>
      <c r="Z38" s="244"/>
      <c r="AA38" s="244"/>
      <c r="AB38" s="244"/>
      <c r="AC38" s="244"/>
      <c r="AD38" s="244"/>
      <c r="AE38" s="244"/>
      <c r="AF38" s="244"/>
      <c r="AG38" s="244"/>
      <c r="AH38" s="244"/>
      <c r="AI38" s="244"/>
      <c r="AJ38" s="244"/>
      <c r="AK38" s="244"/>
      <c r="AL38" s="244"/>
      <c r="AM38" s="244"/>
      <c r="AN38" s="244"/>
      <c r="AO38" s="244"/>
      <c r="AP38" s="244"/>
      <c r="AQ38" s="244"/>
      <c r="AR38" s="244"/>
      <c r="AS38" s="244"/>
      <c r="AT38" s="244"/>
      <c r="AU38" s="244"/>
      <c r="AV38" s="244"/>
    </row>
    <row r="39" ht="9" customHeight="1">
      <c r="A39" s="1"/>
      <c r="B39" s="1"/>
      <c r="C39" s="1"/>
      <c r="D39" s="1"/>
      <c r="E39" s="1"/>
      <c r="F39" s="1"/>
      <c r="G39" s="1"/>
      <c r="H39" s="1"/>
      <c r="I39" s="1"/>
      <c r="J39" s="1"/>
      <c r="K39" s="1"/>
      <c r="L39" s="1"/>
      <c r="M39" s="1"/>
      <c r="N39" s="1"/>
      <c r="O39" s="1"/>
      <c r="P39" s="1"/>
      <c r="Q39" s="1"/>
      <c r="R39" s="1"/>
      <c r="S39" s="1"/>
      <c r="T39" s="1"/>
      <c r="U39" s="244"/>
      <c r="V39" s="244"/>
      <c r="W39" s="244"/>
      <c r="X39" s="244"/>
      <c r="Y39" s="244"/>
      <c r="Z39" s="244"/>
      <c r="AA39" s="244"/>
      <c r="AB39" s="244"/>
      <c r="AC39" s="244"/>
      <c r="AD39" s="244"/>
      <c r="AE39" s="244"/>
      <c r="AF39" s="244"/>
      <c r="AG39" s="244"/>
      <c r="AH39" s="244"/>
      <c r="AI39" s="244"/>
      <c r="AJ39" s="244"/>
      <c r="AK39" s="244"/>
      <c r="AL39" s="244"/>
      <c r="AM39" s="244"/>
      <c r="AN39" s="244"/>
      <c r="AO39" s="244"/>
      <c r="AP39" s="244"/>
      <c r="AQ39" s="244"/>
      <c r="AR39" s="244"/>
      <c r="AS39" s="244"/>
      <c r="AT39" s="244"/>
      <c r="AU39" s="244"/>
      <c r="AV39" s="244"/>
    </row>
    <row r="40" ht="33.95" customHeight="1">
      <c r="A40" s="1"/>
      <c r="B40" s="654" t="s">
        <v>114</v>
      </c>
      <c r="C40" s="654"/>
      <c r="D40" s="654"/>
      <c r="E40" s="654"/>
      <c r="F40" s="654"/>
      <c r="G40" s="654"/>
      <c r="H40" s="654"/>
      <c r="I40" s="654"/>
      <c r="J40" s="654"/>
      <c r="K40" s="654"/>
      <c r="L40" s="654"/>
      <c r="M40" s="654"/>
      <c r="N40" s="654"/>
      <c r="O40" s="654"/>
      <c r="P40" s="654"/>
      <c r="Q40" s="654"/>
      <c r="R40" s="654"/>
      <c r="S40" s="654"/>
      <c r="T40" s="1"/>
      <c r="U40" s="244"/>
      <c r="V40" s="244"/>
      <c r="W40" s="244"/>
      <c r="X40" s="244"/>
      <c r="Y40" s="244"/>
      <c r="Z40" s="244"/>
      <c r="AA40" s="244"/>
      <c r="AB40" s="244"/>
      <c r="AC40" s="244"/>
      <c r="AD40" s="244"/>
      <c r="AE40" s="244"/>
      <c r="AF40" s="244"/>
      <c r="AG40" s="244"/>
      <c r="AH40" s="244"/>
      <c r="AI40" s="244"/>
      <c r="AJ40" s="244"/>
      <c r="AK40" s="244"/>
      <c r="AL40" s="244"/>
      <c r="AM40" s="244"/>
      <c r="AN40" s="244"/>
      <c r="AO40" s="244"/>
      <c r="AP40" s="244"/>
      <c r="AQ40" s="244"/>
      <c r="AR40" s="244"/>
      <c r="AS40" s="244"/>
      <c r="AT40" s="244"/>
      <c r="AU40" s="244"/>
      <c r="AV40" s="244"/>
    </row>
    <row r="41" ht="9" customHeight="1">
      <c r="A41" s="1"/>
      <c r="B41" s="1"/>
      <c r="C41" s="1"/>
      <c r="D41" s="1"/>
      <c r="E41" s="1"/>
      <c r="F41" s="1"/>
      <c r="G41" s="1"/>
      <c r="H41" s="1"/>
      <c r="I41" s="1"/>
      <c r="J41" s="1"/>
      <c r="K41" s="1"/>
      <c r="L41" s="1"/>
      <c r="M41" s="1"/>
      <c r="N41" s="1"/>
      <c r="O41" s="1"/>
      <c r="P41" s="1"/>
      <c r="Q41" s="80"/>
      <c r="R41" s="241"/>
      <c r="S41" s="1"/>
      <c r="T41" s="1"/>
      <c r="U41" s="244"/>
      <c r="V41" s="244"/>
      <c r="W41" s="244"/>
      <c r="X41" s="244"/>
      <c r="Y41" s="244"/>
      <c r="Z41" s="244"/>
      <c r="AA41" s="244"/>
      <c r="AB41" s="244"/>
      <c r="AC41" s="244"/>
      <c r="AD41" s="244"/>
      <c r="AE41" s="244"/>
      <c r="AF41" s="244"/>
      <c r="AG41" s="244"/>
      <c r="AH41" s="244"/>
      <c r="AI41" s="244"/>
      <c r="AJ41" s="244"/>
      <c r="AK41" s="244"/>
      <c r="AL41" s="244"/>
      <c r="AM41" s="244"/>
      <c r="AN41" s="244"/>
      <c r="AO41" s="244"/>
      <c r="AP41" s="244"/>
      <c r="AQ41" s="244"/>
      <c r="AR41" s="244"/>
      <c r="AS41" s="244"/>
      <c r="AT41" s="244"/>
      <c r="AU41" s="244"/>
      <c r="AV41" s="244"/>
    </row>
    <row r="42" ht="9" customHeight="1">
      <c r="A42" s="1"/>
      <c r="B42" s="1"/>
      <c r="C42" s="1"/>
      <c r="D42" s="1"/>
      <c r="E42" s="1"/>
      <c r="F42" s="1"/>
      <c r="G42" s="1"/>
      <c r="H42" s="1"/>
      <c r="I42" s="1"/>
      <c r="J42" s="1"/>
      <c r="K42" s="1"/>
      <c r="L42" s="1"/>
      <c r="M42" s="1"/>
      <c r="N42" s="1"/>
      <c r="O42" s="1"/>
      <c r="P42" s="1"/>
      <c r="Q42" s="1"/>
      <c r="R42" s="1"/>
      <c r="S42" s="1"/>
      <c r="T42" s="1"/>
      <c r="U42" s="244"/>
      <c r="V42" s="244"/>
      <c r="W42" s="244"/>
      <c r="X42" s="244"/>
      <c r="Y42" s="244"/>
      <c r="Z42" s="244"/>
      <c r="AA42" s="244"/>
      <c r="AB42" s="244"/>
      <c r="AC42" s="244"/>
      <c r="AD42" s="244"/>
      <c r="AE42" s="244"/>
      <c r="AF42" s="244"/>
      <c r="AG42" s="244"/>
      <c r="AH42" s="244"/>
      <c r="AI42" s="244"/>
      <c r="AJ42" s="244"/>
      <c r="AK42" s="244"/>
      <c r="AL42" s="244"/>
      <c r="AM42" s="244"/>
      <c r="AN42" s="244"/>
      <c r="AO42" s="244"/>
      <c r="AP42" s="244"/>
      <c r="AQ42" s="244"/>
      <c r="AR42" s="244"/>
      <c r="AS42" s="244"/>
      <c r="AT42" s="244"/>
      <c r="AU42" s="244"/>
      <c r="AV42" s="244"/>
    </row>
    <row r="43" ht="18" customHeight="1">
      <c r="A43" s="244"/>
      <c r="B43" s="244"/>
      <c r="C43" s="244"/>
      <c r="D43" s="244"/>
      <c r="E43" s="244"/>
      <c r="F43" s="244"/>
      <c r="G43" s="244"/>
      <c r="H43" s="244"/>
      <c r="I43" s="244"/>
      <c r="J43" s="244"/>
      <c r="K43" s="244"/>
      <c r="L43" s="244"/>
      <c r="M43" s="244"/>
      <c r="N43" s="244"/>
      <c r="O43" s="244"/>
      <c r="P43" s="244"/>
      <c r="Q43" s="244"/>
      <c r="R43" s="244"/>
      <c r="S43" s="244"/>
      <c r="T43" s="244"/>
      <c r="U43" s="244"/>
      <c r="V43" s="244"/>
      <c r="W43" s="244"/>
      <c r="X43" s="244"/>
      <c r="Y43" s="244"/>
      <c r="Z43" s="244"/>
      <c r="AA43" s="244"/>
      <c r="AB43" s="244"/>
      <c r="AC43" s="244"/>
      <c r="AD43" s="244"/>
      <c r="AE43" s="244"/>
      <c r="AF43" s="244"/>
      <c r="AG43" s="244"/>
      <c r="AH43" s="244"/>
      <c r="AI43" s="244"/>
      <c r="AJ43" s="244"/>
      <c r="AK43" s="244"/>
      <c r="AL43" s="244"/>
      <c r="AM43" s="244"/>
      <c r="AN43" s="244"/>
      <c r="AO43" s="244"/>
      <c r="AP43" s="244"/>
      <c r="AQ43" s="244"/>
      <c r="AR43" s="244"/>
      <c r="AS43" s="244"/>
      <c r="AT43" s="244"/>
      <c r="AU43" s="244"/>
      <c r="AV43" s="244"/>
    </row>
    <row r="44">
      <c r="A44" s="244"/>
      <c r="B44" s="244"/>
      <c r="C44" s="244"/>
      <c r="D44" s="244"/>
      <c r="E44" s="244"/>
      <c r="F44" s="244"/>
      <c r="G44" s="244"/>
      <c r="H44" s="244"/>
      <c r="I44" s="244"/>
      <c r="J44" s="244"/>
      <c r="K44" s="244"/>
      <c r="L44" s="244"/>
      <c r="M44" s="244"/>
      <c r="N44" s="244"/>
      <c r="O44" s="244"/>
      <c r="P44" s="244"/>
      <c r="Q44" s="244"/>
      <c r="R44" s="244"/>
      <c r="S44" s="244"/>
      <c r="T44" s="244"/>
      <c r="U44" s="244"/>
      <c r="V44" s="244"/>
      <c r="W44" s="244"/>
      <c r="X44" s="244"/>
      <c r="Y44" s="244"/>
      <c r="Z44" s="244"/>
      <c r="AA44" s="244"/>
      <c r="AB44" s="244"/>
      <c r="AC44" s="244"/>
      <c r="AD44" s="244"/>
      <c r="AE44" s="244"/>
      <c r="AF44" s="244"/>
      <c r="AG44" s="244"/>
      <c r="AH44" s="244"/>
      <c r="AI44" s="244"/>
      <c r="AJ44" s="244"/>
      <c r="AK44" s="244"/>
      <c r="AL44" s="244"/>
      <c r="AM44" s="244"/>
      <c r="AN44" s="244"/>
      <c r="AO44" s="244"/>
      <c r="AP44" s="244"/>
      <c r="AQ44" s="244"/>
      <c r="AR44" s="244"/>
      <c r="AS44" s="244"/>
      <c r="AT44" s="244"/>
      <c r="AU44" s="244"/>
      <c r="AV44" s="244"/>
    </row>
    <row r="45">
      <c r="A45" s="244"/>
      <c r="B45" s="244"/>
      <c r="C45" s="244"/>
      <c r="D45" s="244"/>
      <c r="E45" s="244"/>
      <c r="F45" s="244"/>
      <c r="G45" s="244"/>
      <c r="H45" s="244"/>
      <c r="I45" s="244"/>
      <c r="J45" s="244"/>
      <c r="K45" s="244"/>
      <c r="L45" s="244"/>
      <c r="M45" s="244"/>
      <c r="N45" s="244"/>
      <c r="O45" s="244"/>
      <c r="P45" s="244"/>
      <c r="Q45" s="244"/>
      <c r="R45" s="244"/>
      <c r="S45" s="244"/>
      <c r="T45" s="244"/>
      <c r="U45" s="244"/>
      <c r="V45" s="244"/>
      <c r="W45" s="244"/>
      <c r="X45" s="244"/>
      <c r="Y45" s="244"/>
      <c r="Z45" s="244"/>
      <c r="AA45" s="244"/>
      <c r="AB45" s="244"/>
      <c r="AC45" s="244"/>
      <c r="AD45" s="244"/>
      <c r="AE45" s="244"/>
      <c r="AF45" s="244"/>
      <c r="AG45" s="244"/>
      <c r="AH45" s="244"/>
      <c r="AI45" s="244"/>
      <c r="AJ45" s="244"/>
      <c r="AK45" s="244"/>
      <c r="AL45" s="244"/>
      <c r="AM45" s="244"/>
      <c r="AN45" s="244"/>
      <c r="AO45" s="244"/>
      <c r="AP45" s="244"/>
      <c r="AQ45" s="244"/>
      <c r="AR45" s="244"/>
      <c r="AS45" s="244"/>
      <c r="AT45" s="244"/>
      <c r="AU45" s="244"/>
      <c r="AV45" s="244"/>
    </row>
    <row r="46">
      <c r="A46" s="244"/>
      <c r="B46" s="244"/>
      <c r="C46" s="244"/>
      <c r="D46" s="244"/>
      <c r="E46" s="244"/>
      <c r="F46" s="244"/>
      <c r="G46" s="244"/>
      <c r="H46" s="244"/>
      <c r="I46" s="244"/>
      <c r="J46" s="244"/>
      <c r="K46" s="244"/>
      <c r="L46" s="244"/>
      <c r="M46" s="244"/>
      <c r="N46" s="244"/>
      <c r="O46" s="244"/>
      <c r="P46" s="244"/>
      <c r="Q46" s="244"/>
      <c r="R46" s="244"/>
      <c r="S46" s="244"/>
      <c r="T46" s="244"/>
      <c r="U46" s="244"/>
      <c r="V46" s="244"/>
      <c r="W46" s="244"/>
      <c r="X46" s="244"/>
      <c r="Y46" s="244"/>
      <c r="Z46" s="244"/>
      <c r="AA46" s="244"/>
      <c r="AB46" s="244"/>
      <c r="AC46" s="244"/>
      <c r="AD46" s="244"/>
      <c r="AE46" s="244"/>
      <c r="AF46" s="244"/>
      <c r="AG46" s="244"/>
      <c r="AH46" s="244"/>
      <c r="AI46" s="244"/>
      <c r="AJ46" s="244"/>
      <c r="AK46" s="244"/>
      <c r="AL46" s="244"/>
      <c r="AM46" s="244"/>
      <c r="AN46" s="244"/>
      <c r="AO46" s="244"/>
      <c r="AP46" s="244"/>
      <c r="AQ46" s="244"/>
      <c r="AR46" s="244"/>
      <c r="AS46" s="244"/>
      <c r="AT46" s="244"/>
      <c r="AU46" s="244"/>
      <c r="AV46" s="244"/>
    </row>
    <row r="47">
      <c r="A47" s="244"/>
      <c r="B47" s="244"/>
      <c r="C47" s="244"/>
      <c r="D47" s="244"/>
      <c r="E47" s="244"/>
      <c r="F47" s="244"/>
      <c r="G47" s="244"/>
      <c r="H47" s="244"/>
      <c r="I47" s="244"/>
      <c r="J47" s="244"/>
      <c r="K47" s="244"/>
      <c r="L47" s="244"/>
      <c r="M47" s="244"/>
      <c r="N47" s="244"/>
      <c r="O47" s="244"/>
      <c r="P47" s="244"/>
      <c r="Q47" s="244"/>
      <c r="R47" s="244"/>
      <c r="S47" s="244"/>
      <c r="T47" s="244"/>
      <c r="U47" s="244"/>
      <c r="V47" s="244"/>
      <c r="W47" s="244"/>
      <c r="X47" s="244"/>
      <c r="Y47" s="244"/>
      <c r="Z47" s="244"/>
      <c r="AA47" s="244"/>
      <c r="AB47" s="244"/>
      <c r="AC47" s="244"/>
      <c r="AD47" s="244"/>
      <c r="AE47" s="244"/>
      <c r="AF47" s="244"/>
      <c r="AG47" s="244"/>
      <c r="AH47" s="244"/>
      <c r="AI47" s="244"/>
      <c r="AJ47" s="244"/>
      <c r="AK47" s="244"/>
      <c r="AL47" s="244"/>
      <c r="AM47" s="244"/>
      <c r="AN47" s="244"/>
      <c r="AO47" s="244"/>
      <c r="AP47" s="244"/>
      <c r="AQ47" s="244"/>
      <c r="AR47" s="244"/>
      <c r="AS47" s="244"/>
      <c r="AT47" s="244"/>
      <c r="AU47" s="244"/>
      <c r="AV47" s="244"/>
    </row>
    <row r="48">
      <c r="A48" s="244"/>
      <c r="B48" s="244"/>
      <c r="C48" s="244"/>
      <c r="D48" s="244"/>
      <c r="E48" s="244"/>
      <c r="F48" s="244"/>
      <c r="G48" s="244"/>
      <c r="H48" s="244"/>
      <c r="I48" s="244"/>
      <c r="J48" s="244"/>
      <c r="K48" s="244"/>
      <c r="L48" s="244"/>
      <c r="M48" s="244"/>
      <c r="N48" s="244"/>
      <c r="O48" s="244"/>
      <c r="P48" s="244"/>
      <c r="Q48" s="244"/>
      <c r="R48" s="244"/>
      <c r="S48" s="244"/>
      <c r="T48" s="244"/>
      <c r="U48" s="244"/>
      <c r="V48" s="244"/>
      <c r="W48" s="244"/>
      <c r="X48" s="244"/>
      <c r="Y48" s="244"/>
      <c r="Z48" s="244"/>
      <c r="AA48" s="244"/>
      <c r="AB48" s="244"/>
      <c r="AC48" s="244"/>
      <c r="AD48" s="244"/>
      <c r="AE48" s="244"/>
      <c r="AF48" s="244"/>
      <c r="AG48" s="244"/>
      <c r="AH48" s="244"/>
      <c r="AI48" s="244"/>
      <c r="AJ48" s="244"/>
      <c r="AK48" s="244"/>
      <c r="AL48" s="244"/>
      <c r="AM48" s="244"/>
      <c r="AN48" s="244"/>
      <c r="AO48" s="244"/>
      <c r="AP48" s="244"/>
      <c r="AQ48" s="244"/>
      <c r="AR48" s="244"/>
      <c r="AS48" s="244"/>
      <c r="AT48" s="244"/>
      <c r="AU48" s="244"/>
      <c r="AV48" s="244"/>
    </row>
    <row r="49">
      <c r="A49" s="244"/>
      <c r="B49" s="244"/>
      <c r="C49" s="244"/>
      <c r="D49" s="244"/>
      <c r="E49" s="244"/>
      <c r="F49" s="244"/>
      <c r="G49" s="244"/>
      <c r="H49" s="244"/>
      <c r="I49" s="244"/>
      <c r="J49" s="244"/>
      <c r="K49" s="244"/>
      <c r="L49" s="244"/>
      <c r="M49" s="244"/>
      <c r="N49" s="244"/>
      <c r="O49" s="244"/>
      <c r="P49" s="244"/>
      <c r="Q49" s="244"/>
      <c r="R49" s="244"/>
      <c r="S49" s="244"/>
      <c r="T49" s="244"/>
      <c r="U49" s="244"/>
      <c r="V49" s="244"/>
      <c r="W49" s="244"/>
      <c r="X49" s="244"/>
      <c r="Y49" s="244"/>
      <c r="Z49" s="244"/>
      <c r="AA49" s="244"/>
      <c r="AB49" s="244"/>
      <c r="AC49" s="244"/>
      <c r="AD49" s="244"/>
      <c r="AE49" s="244"/>
      <c r="AF49" s="244"/>
      <c r="AG49" s="244"/>
      <c r="AH49" s="244"/>
      <c r="AI49" s="244"/>
      <c r="AJ49" s="244"/>
      <c r="AK49" s="244"/>
      <c r="AL49" s="244"/>
      <c r="AM49" s="244"/>
      <c r="AN49" s="244"/>
      <c r="AO49" s="244"/>
      <c r="AP49" s="244"/>
      <c r="AQ49" s="244"/>
      <c r="AR49" s="244"/>
      <c r="AS49" s="244"/>
      <c r="AT49" s="244"/>
      <c r="AU49" s="244"/>
      <c r="AV49" s="244"/>
    </row>
    <row r="50">
      <c r="A50" s="244"/>
      <c r="B50" s="244"/>
      <c r="C50" s="244"/>
      <c r="D50" s="244"/>
      <c r="E50" s="244"/>
      <c r="F50" s="244"/>
      <c r="G50" s="244"/>
      <c r="H50" s="244"/>
      <c r="I50" s="244"/>
      <c r="J50" s="244"/>
      <c r="K50" s="244"/>
      <c r="L50" s="244"/>
      <c r="M50" s="244"/>
      <c r="N50" s="244"/>
      <c r="O50" s="244"/>
      <c r="P50" s="244"/>
      <c r="Q50" s="244"/>
      <c r="R50" s="244"/>
      <c r="S50" s="244"/>
      <c r="T50" s="244"/>
      <c r="U50" s="244"/>
      <c r="V50" s="244"/>
      <c r="W50" s="244"/>
      <c r="X50" s="244"/>
      <c r="Y50" s="244"/>
      <c r="Z50" s="244"/>
      <c r="AA50" s="244"/>
      <c r="AB50" s="244"/>
      <c r="AC50" s="244"/>
      <c r="AD50" s="244"/>
      <c r="AE50" s="244"/>
      <c r="AF50" s="244"/>
      <c r="AG50" s="244"/>
      <c r="AH50" s="244"/>
      <c r="AI50" s="244"/>
      <c r="AJ50" s="244"/>
      <c r="AK50" s="244"/>
      <c r="AL50" s="244"/>
      <c r="AM50" s="244"/>
      <c r="AN50" s="244"/>
      <c r="AO50" s="244"/>
      <c r="AP50" s="244"/>
      <c r="AQ50" s="244"/>
      <c r="AR50" s="244"/>
      <c r="AS50" s="244"/>
      <c r="AT50" s="244"/>
      <c r="AU50" s="244"/>
      <c r="AV50" s="244"/>
    </row>
    <row r="51">
      <c r="A51" s="244"/>
      <c r="B51" s="244"/>
      <c r="C51" s="244"/>
      <c r="D51" s="244"/>
      <c r="E51" s="244"/>
      <c r="F51" s="244"/>
      <c r="G51" s="244"/>
      <c r="H51" s="244"/>
      <c r="I51" s="244"/>
      <c r="J51" s="244"/>
      <c r="K51" s="244"/>
      <c r="L51" s="244"/>
      <c r="M51" s="244"/>
      <c r="N51" s="244"/>
      <c r="O51" s="244"/>
      <c r="P51" s="244"/>
      <c r="Q51" s="244"/>
      <c r="R51" s="244"/>
      <c r="S51" s="244"/>
      <c r="T51" s="244"/>
      <c r="U51" s="244"/>
      <c r="V51" s="244"/>
      <c r="W51" s="244"/>
      <c r="X51" s="244"/>
      <c r="Y51" s="244"/>
      <c r="Z51" s="244"/>
      <c r="AA51" s="244"/>
      <c r="AB51" s="244"/>
      <c r="AC51" s="244"/>
      <c r="AD51" s="244"/>
      <c r="AE51" s="244"/>
      <c r="AF51" s="244"/>
      <c r="AG51" s="244"/>
      <c r="AH51" s="244"/>
      <c r="AI51" s="244"/>
      <c r="AJ51" s="244"/>
      <c r="AK51" s="244"/>
      <c r="AL51" s="244"/>
      <c r="AM51" s="244"/>
      <c r="AN51" s="244"/>
      <c r="AO51" s="244"/>
      <c r="AP51" s="244"/>
      <c r="AQ51" s="244"/>
      <c r="AR51" s="244"/>
      <c r="AS51" s="244"/>
      <c r="AT51" s="244"/>
      <c r="AU51" s="244"/>
      <c r="AV51" s="244"/>
    </row>
    <row r="52">
      <c r="A52" s="244"/>
      <c r="B52" s="244"/>
      <c r="C52" s="244"/>
      <c r="D52" s="244"/>
      <c r="E52" s="244"/>
      <c r="F52" s="244"/>
      <c r="G52" s="244"/>
      <c r="H52" s="244"/>
      <c r="I52" s="244"/>
      <c r="J52" s="244"/>
      <c r="K52" s="244"/>
      <c r="L52" s="244"/>
      <c r="M52" s="244"/>
      <c r="N52" s="244"/>
      <c r="O52" s="244"/>
      <c r="P52" s="244"/>
      <c r="Q52" s="244"/>
      <c r="R52" s="244"/>
      <c r="S52" s="244"/>
      <c r="T52" s="244"/>
      <c r="U52" s="244"/>
      <c r="V52" s="244"/>
      <c r="W52" s="244"/>
      <c r="X52" s="244"/>
      <c r="Y52" s="244"/>
      <c r="Z52" s="244"/>
      <c r="AA52" s="244"/>
      <c r="AB52" s="244"/>
      <c r="AC52" s="244"/>
      <c r="AD52" s="244"/>
      <c r="AE52" s="244"/>
      <c r="AF52" s="244"/>
      <c r="AG52" s="244"/>
      <c r="AH52" s="244"/>
      <c r="AI52" s="244"/>
      <c r="AJ52" s="244"/>
      <c r="AK52" s="244"/>
      <c r="AL52" s="244"/>
      <c r="AM52" s="244"/>
      <c r="AN52" s="244"/>
      <c r="AO52" s="244"/>
      <c r="AP52" s="244"/>
      <c r="AQ52" s="244"/>
      <c r="AR52" s="244"/>
      <c r="AS52" s="244"/>
      <c r="AT52" s="244"/>
      <c r="AU52" s="244"/>
      <c r="AV52" s="244"/>
    </row>
    <row r="53">
      <c r="A53" s="244"/>
      <c r="B53" s="244"/>
      <c r="C53" s="244"/>
      <c r="D53" s="244"/>
      <c r="E53" s="244"/>
      <c r="F53" s="244"/>
      <c r="G53" s="244"/>
      <c r="H53" s="244"/>
      <c r="I53" s="244"/>
      <c r="J53" s="244"/>
      <c r="K53" s="244"/>
      <c r="L53" s="244"/>
      <c r="M53" s="244"/>
      <c r="N53" s="244"/>
      <c r="O53" s="244"/>
      <c r="P53" s="244"/>
      <c r="Q53" s="244"/>
      <c r="R53" s="244"/>
      <c r="S53" s="244"/>
      <c r="T53" s="244"/>
      <c r="U53" s="244"/>
      <c r="V53" s="244"/>
      <c r="W53" s="244"/>
      <c r="X53" s="244"/>
      <c r="Y53" s="244"/>
      <c r="Z53" s="244"/>
      <c r="AA53" s="244"/>
      <c r="AB53" s="244"/>
      <c r="AC53" s="244"/>
      <c r="AD53" s="244"/>
      <c r="AE53" s="244"/>
      <c r="AF53" s="244"/>
      <c r="AG53" s="244"/>
      <c r="AH53" s="244"/>
      <c r="AI53" s="244"/>
      <c r="AJ53" s="244"/>
      <c r="AK53" s="244"/>
      <c r="AL53" s="244"/>
      <c r="AM53" s="244"/>
      <c r="AN53" s="244"/>
      <c r="AO53" s="244"/>
      <c r="AP53" s="244"/>
      <c r="AQ53" s="244"/>
      <c r="AR53" s="244"/>
      <c r="AS53" s="244"/>
      <c r="AT53" s="244"/>
      <c r="AU53" s="244"/>
      <c r="AV53" s="244"/>
    </row>
    <row r="54">
      <c r="A54" s="244"/>
      <c r="B54" s="244"/>
      <c r="C54" s="244"/>
      <c r="D54" s="244"/>
      <c r="E54" s="244"/>
      <c r="F54" s="244"/>
      <c r="G54" s="244"/>
      <c r="H54" s="244"/>
      <c r="I54" s="244"/>
      <c r="J54" s="244"/>
      <c r="K54" s="244"/>
      <c r="L54" s="244"/>
      <c r="M54" s="244"/>
      <c r="N54" s="244"/>
      <c r="O54" s="244"/>
      <c r="P54" s="244"/>
      <c r="Q54" s="244"/>
      <c r="R54" s="244"/>
      <c r="S54" s="244"/>
      <c r="T54" s="244"/>
      <c r="U54" s="244"/>
      <c r="V54" s="244"/>
      <c r="W54" s="244"/>
      <c r="X54" s="244"/>
      <c r="Y54" s="244"/>
      <c r="Z54" s="244"/>
      <c r="AA54" s="244"/>
      <c r="AB54" s="244"/>
      <c r="AC54" s="244"/>
      <c r="AD54" s="244"/>
      <c r="AE54" s="244"/>
      <c r="AF54" s="244"/>
      <c r="AG54" s="244"/>
      <c r="AH54" s="244"/>
      <c r="AI54" s="244"/>
      <c r="AJ54" s="244"/>
      <c r="AK54" s="244"/>
      <c r="AL54" s="244"/>
      <c r="AM54" s="244"/>
      <c r="AN54" s="244"/>
      <c r="AO54" s="244"/>
      <c r="AP54" s="244"/>
      <c r="AQ54" s="244"/>
      <c r="AR54" s="244"/>
      <c r="AS54" s="244"/>
      <c r="AT54" s="244"/>
      <c r="AU54" s="244"/>
      <c r="AV54" s="244"/>
    </row>
    <row r="55">
      <c r="A55" s="244"/>
      <c r="B55" s="244"/>
      <c r="C55" s="244"/>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row>
    <row r="56">
      <c r="A56" s="244"/>
      <c r="B56" s="244"/>
      <c r="C56" s="244"/>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row>
    <row r="57">
      <c r="A57" s="244"/>
      <c r="B57" s="244"/>
      <c r="C57" s="244"/>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row>
    <row r="58">
      <c r="A58" s="244"/>
      <c r="B58" s="244"/>
      <c r="C58" s="244"/>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row>
    <row r="70">
      <c r="A70" s="244"/>
      <c r="B70" s="244"/>
      <c r="C70" s="244"/>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row>
    <row r="71">
      <c r="A71" s="244"/>
      <c r="B71" s="244"/>
      <c r="C71" s="244"/>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row>
    <row r="72">
      <c r="A72" s="244"/>
      <c r="B72" s="244"/>
      <c r="C72" s="244"/>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row>
    <row r="73">
      <c r="A73" s="244"/>
      <c r="B73" s="244"/>
      <c r="C73" s="244"/>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row>
    <row r="74">
      <c r="A74" s="244"/>
      <c r="B74" s="244"/>
      <c r="C74" s="244"/>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row>
    <row r="75">
      <c r="A75" s="244"/>
      <c r="B75" s="244"/>
      <c r="C75" s="244"/>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row>
    <row r="76">
      <c r="A76" s="244"/>
      <c r="B76" s="244"/>
      <c r="C76" s="244"/>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row>
    <row r="77">
      <c r="A77" s="244"/>
      <c r="B77" s="244"/>
      <c r="C77" s="244"/>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row>
    <row r="78">
      <c r="A78" s="244"/>
      <c r="B78" s="244"/>
      <c r="C78" s="244"/>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row>
    <row r="79">
      <c r="A79" s="244"/>
      <c r="B79" s="244"/>
      <c r="C79" s="244"/>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row>
  </sheetData>
  <mergeCells count="11">
    <mergeCell ref="B40:S40"/>
    <mergeCell ref="D25:F25"/>
    <mergeCell ref="H25:J25"/>
    <mergeCell ref="L25:N25"/>
    <mergeCell ref="P25:R25"/>
    <mergeCell ref="B6:S6"/>
    <mergeCell ref="B23:S23"/>
    <mergeCell ref="D8:F8"/>
    <mergeCell ref="H8:J8"/>
    <mergeCell ref="L8:N8"/>
    <mergeCell ref="P8:R8"/>
  </mergeCells>
  <phoneticPr fontId="0" type="noConversion"/>
  <printOptions horizontalCentered="1" verticalCentered="1"/>
  <pageMargins left="0.25" right="0.25" top="0.3" bottom="0.3" header="0" footer="0"/>
  <pageSetup scale="89" orientation="landscape" r:id="rId1"/>
  <headerFooter alignWithMargins="0">
    <oddHeader/>
    <oddFooter/>
  </headerFooter>
  <drawing r:id="rId33"/>
</worksheet>
</file>

<file path=xl/worksheets/sheet3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5">
    <pageSetUpPr fitToPage="1"/>
  </sheetPr>
  <dimension ref="A1:BM103"/>
  <sheetViews>
    <sheetView showGridLines="0" zoomScale="65" zoomScaleNormal="75" workbookViewId="0"/>
  </sheetViews>
  <sheetFormatPr defaultRowHeight="12.75"/>
  <cols>
    <col min="1" max="1" width="1" customWidth="1"/>
    <col min="2" max="2" width="20.28515625" customWidth="1"/>
    <col min="3" max="33" width="8.28515625" customWidth="1"/>
    <col min="34" max="34" width="1.7109375" customWidth="1"/>
    <col min="35" max="37" width="8.28515625" customWidth="1"/>
    <col min="38" max="38" width="3.7109375" customWidth="1"/>
    <col min="39" max="40" width="9.28515625" customWidth="1"/>
  </cols>
  <sheetData>
    <row r="1" ht="36" customHeight="1">
      <c r="A1" s="6"/>
      <c r="B1" s="39" t="s">
        <v>123</v>
      </c>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c r="BL1" s="244"/>
      <c r="BM1" s="244"/>
    </row>
    <row r="2" ht="15" customHeight="1">
      <c r="A2" s="5"/>
      <c r="B2" s="10" t="s">
        <v>168</v>
      </c>
      <c r="AD2" s="9"/>
      <c r="AE2" s="9"/>
      <c r="AF2" s="216"/>
      <c r="AG2" s="176"/>
      <c r="AI2" s="216"/>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c r="BL2" s="244"/>
      <c r="BM2" s="244"/>
    </row>
    <row r="3" ht="15" customHeight="1">
      <c r="A3" s="5"/>
      <c r="B3" s="10" t="s">
        <v>181</v>
      </c>
      <c r="AF3" s="176"/>
      <c r="AG3" s="176"/>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c r="BL3" s="244"/>
      <c r="BM3" s="244"/>
    </row>
    <row r="4" ht="15" customHeight="1">
      <c r="A4" s="5"/>
      <c r="B4" s="4" t="s">
        <v>182</v>
      </c>
      <c r="T4" s="655"/>
      <c r="U4" s="655"/>
      <c r="V4" s="655"/>
      <c r="W4" s="655"/>
      <c r="X4" s="655"/>
      <c r="Y4" s="655"/>
      <c r="Z4" s="655"/>
      <c r="AA4" s="655"/>
      <c r="AB4" s="655"/>
      <c r="AC4" s="655"/>
      <c r="AD4" s="655"/>
      <c r="AE4" s="655"/>
      <c r="AF4" s="655"/>
      <c r="AG4" s="655"/>
      <c r="AH4" s="655"/>
      <c r="AI4" s="655"/>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c r="BL4" s="244"/>
      <c r="BM4" s="244"/>
    </row>
    <row r="5" ht="24" customHeight="1">
      <c r="A5" s="5"/>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c r="BL5" s="244"/>
      <c r="BM5" s="244"/>
    </row>
    <row r="6" ht="24" customHeight="1">
      <c r="A6" s="5"/>
      <c r="B6" t="s">
        <v>167</v>
      </c>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c r="BL6" s="244"/>
      <c r="BM6" s="244"/>
    </row>
    <row r="7" ht="24" customHeight="1">
      <c r="A7" s="5"/>
      <c r="Y7" s="26"/>
      <c r="Z7" s="26"/>
      <c r="AA7" s="26"/>
      <c r="AB7" s="26"/>
      <c r="AC7" s="26"/>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c r="BL7" s="244"/>
      <c r="BM7" s="244"/>
    </row>
    <row r="8" ht="24" customHeight="1">
      <c r="A8" s="5"/>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c r="BL8" s="244"/>
      <c r="BM8" s="244"/>
    </row>
    <row r="9" ht="24" customHeight="1">
      <c r="A9" s="5"/>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c r="BL9" s="244"/>
      <c r="BM9" s="244"/>
    </row>
    <row r="10" ht="24" customHeight="1">
      <c r="A10" s="5"/>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c r="BL10" s="244"/>
      <c r="BM10" s="244"/>
    </row>
    <row r="11" ht="24" customHeight="1">
      <c r="A11" s="5"/>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c r="BL11" s="244"/>
      <c r="BM11" s="244"/>
    </row>
    <row r="12" ht="24" customHeight="1">
      <c r="A12" s="5"/>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c r="BL12" s="244"/>
      <c r="BM12" s="244"/>
    </row>
    <row r="13" ht="24" customHeight="1">
      <c r="A13" s="5"/>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c r="BL13" s="244"/>
      <c r="BM13" s="244"/>
    </row>
    <row r="14" ht="24" customHeight="1">
      <c r="A14" s="5"/>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c r="BL14" s="244"/>
      <c r="BM14" s="244"/>
    </row>
    <row r="15" ht="24" customHeight="1">
      <c r="A15" s="5"/>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c r="BL15" s="244"/>
      <c r="BM15" s="244"/>
    </row>
    <row r="16" ht="24" customHeight="1">
      <c r="A16" s="5"/>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c r="BL16" s="244"/>
      <c r="BM16" s="244"/>
    </row>
    <row r="17" ht="24" customHeight="1">
      <c r="A17" s="5"/>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c r="BL17" s="244"/>
      <c r="BM17" s="244"/>
    </row>
    <row r="18" ht="24" customHeight="1">
      <c r="A18" s="5"/>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c r="BL18" s="244"/>
      <c r="BM18" s="244"/>
    </row>
    <row r="19" ht="15" customHeight="1">
      <c r="A19" s="5"/>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c r="BL19" s="244"/>
      <c r="BM19" s="244"/>
    </row>
    <row r="20" ht="15" customHeight="1">
      <c r="A20" s="5"/>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c r="BL20" s="244"/>
      <c r="BM20" s="244"/>
    </row>
    <row r="21" ht="30.75" customHeight="1">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c r="BL21" s="244"/>
      <c r="BM21" s="244"/>
    </row>
    <row r="22" ht="18" customHeight="1">
      <c r="A22" s="8"/>
      <c r="B22" s="29"/>
      <c r="X22" s="656"/>
      <c r="Y22" s="656"/>
      <c r="Z22" s="656"/>
      <c r="AA22" s="656"/>
      <c r="AB22" s="656"/>
      <c r="AC22" s="656"/>
      <c r="AD22" s="656"/>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c r="BL22" s="244"/>
      <c r="BM22" s="244"/>
    </row>
    <row r="23" s="21" customFormat="1" ht="16.5">
      <c r="C23" s="50" t="s">
        <v>51</v>
      </c>
      <c r="D23" s="50" t="s">
        <v>52</v>
      </c>
      <c r="E23" s="50" t="s">
        <v>53</v>
      </c>
      <c r="F23" s="50" t="s">
        <v>49</v>
      </c>
      <c r="G23" s="50" t="s">
        <v>47</v>
      </c>
      <c r="H23" s="50" t="s">
        <v>48</v>
      </c>
      <c r="I23" s="50" t="s">
        <v>50</v>
      </c>
      <c r="J23" s="50" t="s">
        <v>51</v>
      </c>
      <c r="K23" s="50" t="s">
        <v>52</v>
      </c>
      <c r="L23" s="50" t="s">
        <v>53</v>
      </c>
      <c r="M23" s="50" t="s">
        <v>49</v>
      </c>
      <c r="N23" s="50" t="s">
        <v>47</v>
      </c>
      <c r="O23" s="50" t="s">
        <v>48</v>
      </c>
      <c r="P23" s="50" t="s">
        <v>50</v>
      </c>
      <c r="Q23" s="50" t="s">
        <v>51</v>
      </c>
      <c r="R23" s="50" t="s">
        <v>52</v>
      </c>
      <c r="S23" s="50" t="s">
        <v>53</v>
      </c>
      <c r="T23" s="50" t="s">
        <v>49</v>
      </c>
      <c r="U23" s="50" t="s">
        <v>47</v>
      </c>
      <c r="V23" s="50" t="s">
        <v>48</v>
      </c>
      <c r="W23" s="50" t="s">
        <v>50</v>
      </c>
      <c r="X23" s="50" t="s">
        <v>51</v>
      </c>
      <c r="Y23" s="50" t="s">
        <v>52</v>
      </c>
      <c r="Z23" s="50" t="s">
        <v>53</v>
      </c>
      <c r="AA23" s="50" t="s">
        <v>49</v>
      </c>
      <c r="AB23" s="50" t="s">
        <v>47</v>
      </c>
      <c r="AC23" s="50" t="s">
        <v>48</v>
      </c>
      <c r="AD23" s="50" t="s">
        <v>50</v>
      </c>
      <c r="AE23" s="50" t="s">
        <v>51</v>
      </c>
      <c r="AF23" s="50" t="s">
        <v>52</v>
      </c>
      <c r="AG23" s="50" t="s">
        <v>53</v>
      </c>
      <c r="AH23" s="0"/>
      <c r="AJ23" s="0"/>
      <c r="AK23" s="0"/>
      <c r="AL23" s="0"/>
      <c r="AM23" s="244"/>
      <c r="AN23" s="244"/>
      <c r="AO23" s="246"/>
      <c r="AP23" s="246"/>
      <c r="AQ23" s="246"/>
      <c r="AR23" s="246"/>
      <c r="AS23" s="246"/>
      <c r="AT23" s="246"/>
      <c r="AU23" s="246"/>
      <c r="AV23" s="246"/>
      <c r="AW23" s="246"/>
      <c r="AX23" s="246"/>
      <c r="AY23" s="246"/>
      <c r="AZ23" s="246"/>
      <c r="BA23" s="246"/>
      <c r="BB23" s="246"/>
      <c r="BC23" s="246"/>
      <c r="BD23" s="246"/>
      <c r="BE23" s="246"/>
      <c r="BF23" s="246"/>
      <c r="BG23" s="246"/>
      <c r="BH23" s="246"/>
      <c r="BI23" s="246"/>
      <c r="BJ23" s="246"/>
      <c r="BK23" s="246"/>
      <c r="BL23" s="246"/>
      <c r="BM23" s="246"/>
    </row>
    <row r="24" s="41" customFormat="1" ht="18">
      <c r="B24" s="615" t="s">
        <v>54</v>
      </c>
      <c r="C24" s="275" t="s">
        <v>183</v>
      </c>
      <c r="D24" s="276"/>
      <c r="E24" s="276"/>
      <c r="F24" s="276"/>
      <c r="G24" s="276"/>
      <c r="H24" s="276"/>
      <c r="I24" s="276"/>
      <c r="J24" s="276"/>
      <c r="K24" s="276"/>
      <c r="L24" s="276"/>
      <c r="M24" s="276"/>
      <c r="N24" s="276"/>
      <c r="O24" s="276"/>
      <c r="P24" s="276"/>
      <c r="Q24" s="276"/>
      <c r="R24" s="276"/>
      <c r="S24" s="277"/>
      <c r="T24" s="277"/>
      <c r="U24" s="277"/>
      <c r="V24" s="277"/>
      <c r="W24" s="277"/>
      <c r="X24" s="277"/>
      <c r="Y24" s="277"/>
      <c r="Z24" s="277"/>
      <c r="AA24" s="277"/>
      <c r="AB24" s="277"/>
      <c r="AC24" s="277"/>
      <c r="AD24" s="277"/>
      <c r="AE24" s="277"/>
      <c r="AF24" s="277"/>
      <c r="AG24" s="278"/>
      <c r="AH24" s="25"/>
      <c r="AI24" s="307" t="s">
        <v>59</v>
      </c>
      <c r="AJ24" s="307" t="s">
        <v>31</v>
      </c>
      <c r="AK24" s="307" t="s">
        <v>31</v>
      </c>
      <c r="AL24" s="25"/>
      <c r="AM24" s="248"/>
      <c r="AN24" s="248"/>
      <c r="AO24" s="253"/>
      <c r="AP24" s="253"/>
      <c r="AQ24" s="253"/>
      <c r="AR24" s="253"/>
      <c r="AS24" s="253"/>
      <c r="AT24" s="253"/>
      <c r="AU24" s="253"/>
      <c r="AV24" s="253"/>
      <c r="AW24" s="253"/>
      <c r="AX24" s="253"/>
      <c r="AY24" s="253"/>
      <c r="AZ24" s="253"/>
      <c r="BA24" s="253"/>
      <c r="BB24" s="253"/>
      <c r="BC24" s="253"/>
      <c r="BD24" s="253"/>
      <c r="BE24" s="253"/>
      <c r="BF24" s="253"/>
      <c r="BG24" s="253"/>
      <c r="BH24" s="253"/>
      <c r="BI24" s="253"/>
      <c r="BJ24" s="253"/>
      <c r="BK24" s="253"/>
      <c r="BL24" s="253"/>
      <c r="BM24" s="253"/>
    </row>
    <row r="25" s="42" customFormat="1">
      <c r="B25" s="615"/>
      <c r="C25" s="284">
        <v>1</v>
      </c>
      <c r="D25">
        <v>2</v>
      </c>
      <c r="E25">
        <v>3</v>
      </c>
      <c r="F25">
        <v>4</v>
      </c>
      <c r="G25">
        <v>5</v>
      </c>
      <c r="H25">
        <v>6</v>
      </c>
      <c r="I25">
        <v>7</v>
      </c>
      <c r="J25">
        <v>8</v>
      </c>
      <c r="K25">
        <v>9</v>
      </c>
      <c r="L25">
        <v>10</v>
      </c>
      <c r="M25">
        <v>11</v>
      </c>
      <c r="N25">
        <v>12</v>
      </c>
      <c r="O25">
        <v>13</v>
      </c>
      <c r="P25">
        <v>14</v>
      </c>
      <c r="Q25">
        <v>15</v>
      </c>
      <c r="R25">
        <v>16</v>
      </c>
      <c r="S25">
        <v>17</v>
      </c>
      <c r="T25">
        <v>18</v>
      </c>
      <c r="U25">
        <v>19</v>
      </c>
      <c r="V25">
        <v>20</v>
      </c>
      <c r="W25">
        <v>21</v>
      </c>
      <c r="X25">
        <v>22</v>
      </c>
      <c r="Y25">
        <v>23</v>
      </c>
      <c r="Z25">
        <v>24</v>
      </c>
      <c r="AA25">
        <v>25</v>
      </c>
      <c r="AB25">
        <v>26</v>
      </c>
      <c r="AC25">
        <v>27</v>
      </c>
      <c r="AD25">
        <v>28</v>
      </c>
      <c r="AE25">
        <v>29</v>
      </c>
      <c r="AF25">
        <v>30</v>
      </c>
      <c r="AG25" s="285">
        <v>31</v>
      </c>
      <c r="AH25" s="25"/>
      <c r="AI25" s="308" t="s">
        <v>31</v>
      </c>
      <c r="AJ25" s="308" t="s">
        <v>88</v>
      </c>
      <c r="AK25" s="308" t="s">
        <v>89</v>
      </c>
      <c r="AL25" s="25"/>
      <c r="AM25" s="248"/>
      <c r="AN25" s="248"/>
      <c r="AO25" s="254"/>
      <c r="AP25" s="254"/>
      <c r="AQ25" s="254"/>
      <c r="AR25" s="254"/>
      <c r="AS25" s="254"/>
      <c r="AT25" s="254"/>
      <c r="AU25" s="254"/>
      <c r="AV25" s="254"/>
      <c r="AW25" s="254"/>
      <c r="AX25" s="254"/>
      <c r="AY25" s="254"/>
      <c r="AZ25" s="254"/>
      <c r="BA25" s="254"/>
      <c r="BB25" s="254"/>
      <c r="BC25" s="254"/>
      <c r="BD25" s="254"/>
      <c r="BE25" s="254"/>
      <c r="BF25" s="254"/>
      <c r="BG25" s="254"/>
      <c r="BH25" s="254"/>
      <c r="BI25" s="254"/>
      <c r="BJ25" s="254"/>
      <c r="BK25" s="254"/>
      <c r="BL25" s="254"/>
      <c r="BM25" s="254"/>
    </row>
    <row r="26" ht="14.25">
      <c r="B26" s="404" t="s">
        <v>32</v>
      </c>
      <c r="C26" s="286">
        <v>93.93939393939393939393939394</v>
      </c>
      <c r="D26" s="287">
        <v>96.96969696969696969696969697</v>
      </c>
      <c r="E26" s="287">
        <v>99.24242424242424242424242424</v>
      </c>
      <c r="F26" s="287">
        <v>97.72727272727272727272727273</v>
      </c>
      <c r="G26" s="287">
        <v>64.393939393939393939393939390</v>
      </c>
      <c r="H26" s="287">
        <v>51.515151515151515151515151520</v>
      </c>
      <c r="I26" s="287">
        <v>82.57575757575757575757575758</v>
      </c>
      <c r="J26" s="287">
        <v>85.60606060606060606060606061</v>
      </c>
      <c r="K26" s="287">
        <v>79.54545454545454545454545455</v>
      </c>
      <c r="L26" s="287">
        <v>85.60606060606060606060606061</v>
      </c>
      <c r="M26" s="287">
        <v>58.333333333333333333333333330</v>
      </c>
      <c r="N26" s="287">
        <v>63.636363636363636363636363640</v>
      </c>
      <c r="O26" s="287">
        <v>69.696969696969696969696969700</v>
      </c>
      <c r="P26" s="287">
        <v>71.212121212121212121212121210</v>
      </c>
      <c r="Q26" s="287">
        <v>81.06060606060606060606060606</v>
      </c>
      <c r="R26" s="287">
        <v>86.36363636363636363636363636</v>
      </c>
      <c r="S26" s="287">
        <v>96.21212121212121212121212121</v>
      </c>
      <c r="T26" s="287">
        <v>89.39393939393939393939393939</v>
      </c>
      <c r="U26" s="287">
        <v>90.15151515151515151515151515</v>
      </c>
      <c r="V26" s="287">
        <v>89.39393939393939393939393939</v>
      </c>
      <c r="W26" s="287">
        <v>95.45454545454545454545454545</v>
      </c>
      <c r="X26" s="287">
        <v>95.45454545454545454545454545</v>
      </c>
      <c r="Y26" s="287">
        <v>73.484848484848484848484848480</v>
      </c>
      <c r="Z26" s="287">
        <v>90.90909090909090909090909091</v>
      </c>
      <c r="AA26" s="287"/>
      <c r="AB26" s="287"/>
      <c r="AC26" s="287"/>
      <c r="AD26" s="287"/>
      <c r="AE26" s="287"/>
      <c r="AF26" s="287"/>
      <c r="AG26" s="288"/>
      <c r="AH26" s="218"/>
      <c r="AI26" s="302">
        <v>82.82828282828282828282828283</v>
      </c>
      <c r="AJ26" s="302">
        <v>79.97159090909090909090909091</v>
      </c>
      <c r="AK26" s="302">
        <v>88.54166666666666666666666667</v>
      </c>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c r="BL26" s="244"/>
      <c r="BM26" s="244"/>
    </row>
    <row r="27" ht="14.25">
      <c r="B27" s="201" t="s">
        <v>26</v>
      </c>
      <c r="C27" s="289">
        <v>88.37209302325581395348837209</v>
      </c>
      <c r="D27" s="202">
        <v>97.09302325581395348837209302</v>
      </c>
      <c r="E27" s="202">
        <v>99.12790697674418604651162791</v>
      </c>
      <c r="F27" s="202">
        <v>68.313953488372093023255813950</v>
      </c>
      <c r="G27" s="202">
        <v>65.697674418604651162790697670</v>
      </c>
      <c r="H27" s="202">
        <v>71.220930232558139534883720930</v>
      </c>
      <c r="I27" s="202">
        <v>82.55813953488372093023255814</v>
      </c>
      <c r="J27" s="202">
        <v>79.94186046511627906976744186</v>
      </c>
      <c r="K27" s="202">
        <v>74.418604651162790697674418600</v>
      </c>
      <c r="L27" s="202">
        <v>72.093023255813953488372093020</v>
      </c>
      <c r="M27" s="202">
        <v>57.267441860465116279069767440</v>
      </c>
      <c r="N27" s="202">
        <v>51.453488372093023255813953490</v>
      </c>
      <c r="O27" s="202">
        <v>55.232558139534883720930232560</v>
      </c>
      <c r="P27" s="202">
        <v>62.500</v>
      </c>
      <c r="Q27" s="202">
        <v>71.802325581395348837209302330</v>
      </c>
      <c r="R27" s="202">
        <v>79.65116279069767441860465116</v>
      </c>
      <c r="S27" s="202">
        <v>90.11627906976744186046511628</v>
      </c>
      <c r="T27" s="202">
        <v>79.069767441860465116279069770</v>
      </c>
      <c r="U27" s="202">
        <v>80.81180811808118081180811808</v>
      </c>
      <c r="V27" s="202">
        <v>70.110701107011070110701107010</v>
      </c>
      <c r="W27" s="202">
        <v>56.457564575645756457564575650</v>
      </c>
      <c r="X27" s="202">
        <v>63.837638376383763837638376380</v>
      </c>
      <c r="Y27" s="202">
        <v>81.18081180811808118081180812</v>
      </c>
      <c r="Z27" s="202">
        <v>88.19188191881918819188191882</v>
      </c>
      <c r="AA27" s="202"/>
      <c r="AB27" s="202"/>
      <c r="AC27" s="202"/>
      <c r="AD27" s="202"/>
      <c r="AE27" s="202"/>
      <c r="AF27" s="202"/>
      <c r="AG27" s="290"/>
      <c r="AH27" s="218"/>
      <c r="AI27" s="303">
        <v>74.438359935924940644755284760</v>
      </c>
      <c r="AJ27" s="303">
        <v>69.040496545953831631339569210</v>
      </c>
      <c r="AK27" s="303">
        <v>85.23408671586715867158671586</v>
      </c>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c r="BL27" s="244"/>
      <c r="BM27" s="244"/>
    </row>
    <row r="28" ht="14.25">
      <c r="A28" s="24"/>
      <c r="B28" s="49" t="s">
        <v>91</v>
      </c>
      <c r="C28" s="291">
        <v>106.29984051031367623604468367</v>
      </c>
      <c r="D28" s="292">
        <v>99.87298131012141161335467541</v>
      </c>
      <c r="E28" s="292">
        <v>100.11552474900046027478370090</v>
      </c>
      <c r="F28" s="292">
        <v>143.05609284326844594427756616</v>
      </c>
      <c r="G28" s="292">
        <v>98.01555376777309630093716602</v>
      </c>
      <c r="H28" s="292">
        <v>72.331478045721246854214809240</v>
      </c>
      <c r="I28" s="292">
        <v>100.02134016216551008998936387</v>
      </c>
      <c r="J28" s="292">
        <v>107.08539944905761915351866210</v>
      </c>
      <c r="K28" s="292">
        <v>106.88920454540110085227275400</v>
      </c>
      <c r="L28" s="292">
        <v>118.74389051810704915965062092</v>
      </c>
      <c r="M28" s="292">
        <v>101.86125211499717419498917261</v>
      </c>
      <c r="N28" s="292">
        <v>123.67745249099504322164477520</v>
      </c>
      <c r="O28" s="292">
        <v>126.18819776722483337530433977</v>
      </c>
      <c r="P28" s="292">
        <v>113.93939393939393939393939394</v>
      </c>
      <c r="Q28" s="292">
        <v>112.89412342043189693323935860</v>
      </c>
      <c r="R28" s="292">
        <v>108.42733908427022508100882024</v>
      </c>
      <c r="S28" s="292">
        <v>106.76441837728303017689907741</v>
      </c>
      <c r="T28" s="292">
        <v>113.05704099816094028520501935</v>
      </c>
      <c r="U28" s="292">
        <v>111.55735436554756454581469260</v>
      </c>
      <c r="V28" s="292">
        <v>127.50398724084947830101570031</v>
      </c>
      <c r="W28" s="292">
        <v>169.07308377910315845886791247</v>
      </c>
      <c r="X28" s="292">
        <v>149.52706253280484965934530869</v>
      </c>
      <c r="Y28" s="292">
        <v>90.51997245181079487540696667</v>
      </c>
      <c r="Z28" s="292">
        <v>103.08101939903345847968666685</v>
      </c>
      <c r="AA28" s="292"/>
      <c r="AB28" s="292"/>
      <c r="AC28" s="292"/>
      <c r="AD28" s="292"/>
      <c r="AE28" s="292"/>
      <c r="AF28" s="292"/>
      <c r="AG28" s="293"/>
      <c r="AH28" s="218"/>
      <c r="AI28" s="304">
        <v>111.27096687730293635053145318</v>
      </c>
      <c r="AJ28" s="304">
        <v>115.83287332791383874255412559</v>
      </c>
      <c r="AK28" s="304">
        <v>103.88058355314042906465182837</v>
      </c>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c r="BL28" s="244"/>
      <c r="BM28" s="244"/>
    </row>
    <row r="29" ht="12" customHeight="1">
      <c r="B29" s="0"/>
      <c r="AI29" s="22"/>
      <c r="AJ29" s="22"/>
      <c r="AK29" s="22"/>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c r="BL29" s="244"/>
      <c r="BM29" s="244"/>
    </row>
    <row r="30" ht="18">
      <c r="B30" s="29" t="s">
        <v>87</v>
      </c>
      <c r="AI30" s="22"/>
      <c r="AJ30" s="22"/>
      <c r="AK30" s="22"/>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c r="BL30" s="244"/>
      <c r="BM30" s="244"/>
    </row>
    <row r="31" ht="14.25">
      <c r="B31" s="46" t="s">
        <v>32</v>
      </c>
      <c r="C31" s="286">
        <v>5.0847457627581729388107069900</v>
      </c>
      <c r="D31" s="287">
        <v>1.5873015873499622071050872800</v>
      </c>
      <c r="E31" s="287">
        <v>3.9682539683034769463341127600</v>
      </c>
      <c r="F31" s="287">
        <v>8.403361344556034178377236310</v>
      </c>
      <c r="G31" s="287">
        <v>-16.666666666637254901960773940</v>
      </c>
      <c r="H31" s="287">
        <v>-39.285714285725127551020406220</v>
      </c>
      <c r="I31" s="287">
        <v>-6.0344827586336504161712229400</v>
      </c>
      <c r="J31" s="287">
        <v>-2.5862068965651605231866806600</v>
      </c>
      <c r="K31" s="287">
        <v>-17.968750000002563476562499920</v>
      </c>
      <c r="L31" s="287">
        <v>0.892857142839126275510207300</v>
      </c>
      <c r="M31" s="287">
        <v>-16.304347826123345935727772460</v>
      </c>
      <c r="N31" s="287">
        <v>-20.000000000045714285714259590</v>
      </c>
      <c r="O31" s="287">
        <v>-15.596330275272721151418208510</v>
      </c>
      <c r="P31" s="287">
        <v>-13.761467889952562915579473920</v>
      </c>
      <c r="Q31" s="287">
        <v>3.8834951456351022716561411700</v>
      </c>
      <c r="R31" s="287">
        <v>2.7027027027138056975894825700</v>
      </c>
      <c r="S31" s="287">
        <v>16.513761467830047975759646950</v>
      </c>
      <c r="T31" s="287">
        <v>8.256880733889335914485341250</v>
      </c>
      <c r="U31" s="287">
        <v>1.7094017093599824676747924800</v>
      </c>
      <c r="V31" s="287">
        <v>12.380952380888163265306159140</v>
      </c>
      <c r="W31" s="287">
        <v>4.1322314049208114199849874700</v>
      </c>
      <c r="X31" s="287">
        <v>5.8823529411942659416707889500</v>
      </c>
      <c r="Y31" s="287">
        <v>-17.09401709405110672802979100</v>
      </c>
      <c r="Z31" s="287">
        <v>-2.4390243902248661511005316800</v>
      </c>
      <c r="AA31" s="287"/>
      <c r="AB31" s="287"/>
      <c r="AC31" s="287"/>
      <c r="AD31" s="287"/>
      <c r="AE31" s="287"/>
      <c r="AF31" s="287"/>
      <c r="AG31" s="288"/>
      <c r="AH31" s="218"/>
      <c r="AI31" s="302">
        <v>-3.7064220183327928356198947100</v>
      </c>
      <c r="AJ31" s="302">
        <v>-5.3500791138952962265662466700</v>
      </c>
      <c r="AK31" s="302">
        <v>-1.3118214716364033868759258700</v>
      </c>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c r="BK31" s="244"/>
      <c r="BL31" s="244"/>
      <c r="BM31" s="244"/>
    </row>
    <row r="32" ht="14.25">
      <c r="B32" s="201" t="s">
        <v>26</v>
      </c>
      <c r="C32" s="289">
        <v>4.0109746538088182209199671400</v>
      </c>
      <c r="D32" s="202">
        <v>5.1213869359040741812158214900</v>
      </c>
      <c r="E32" s="202">
        <v>4.0967243690212299943920695800</v>
      </c>
      <c r="F32" s="202">
        <v>-16.792015954585760297147575230</v>
      </c>
      <c r="G32" s="202">
        <v>-2.0379872548040889187862216100</v>
      </c>
      <c r="H32" s="202">
        <v>11.349140923259362983384457530</v>
      </c>
      <c r="I32" s="202">
        <v>11.227847154741189486999655010</v>
      </c>
      <c r="J32" s="202">
        <v>3.3816035027903923028475550800</v>
      </c>
      <c r="K32" s="202">
        <v>-10.140071040766014902308712920</v>
      </c>
      <c r="L32" s="202">
        <v>-13.198342689087132374403536500</v>
      </c>
      <c r="M32" s="202">
        <v>-20.546165100838404648459911270</v>
      </c>
      <c r="N32" s="202">
        <v>-13.763953488345532320930224370</v>
      </c>
      <c r="O32" s="202">
        <v>-7.4302325581110233953488284200</v>
      </c>
      <c r="P32" s="202">
        <v>-3.7224264705443440473615716900</v>
      </c>
      <c r="Q32" s="202">
        <v>-7.4302325580990890161001612100</v>
      </c>
      <c r="R32" s="202">
        <v>-4.9178427085487805284350032800</v>
      </c>
      <c r="S32" s="202">
        <v>9.763723634376231097379794380</v>
      </c>
      <c r="T32" s="202">
        <v>-2.1582733813287510998395411500</v>
      </c>
      <c r="U32" s="202">
        <v>-1.421056763703195637660283300</v>
      </c>
      <c r="V32" s="202">
        <v>-1.5588523232749690089153779300</v>
      </c>
      <c r="W32" s="202">
        <v>-18.738902870145849385175771180</v>
      </c>
      <c r="X32" s="202">
        <v>-17.752256174281636656033254610</v>
      </c>
      <c r="Y32" s="202">
        <v>-7.5291415165611322478735030400</v>
      </c>
      <c r="Z32" s="202">
        <v>-5.7825857761776839107073982600</v>
      </c>
      <c r="AA32" s="202"/>
      <c r="AB32" s="202"/>
      <c r="AC32" s="202"/>
      <c r="AD32" s="202"/>
      <c r="AE32" s="202"/>
      <c r="AF32" s="202"/>
      <c r="AG32" s="290"/>
      <c r="AH32" s="218"/>
      <c r="AI32" s="303">
        <v>-2.8191522401220588065587865600</v>
      </c>
      <c r="AJ32" s="303">
        <v>-4.6730361350108810776050833200</v>
      </c>
      <c r="AK32" s="303">
        <v>-1.726807019034093267176559600</v>
      </c>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c r="BK32" s="244"/>
      <c r="BL32" s="244"/>
      <c r="BM32" s="244"/>
    </row>
    <row r="33" ht="14.25">
      <c r="A33" s="24"/>
      <c r="B33" s="49" t="s">
        <v>91</v>
      </c>
      <c r="C33" s="291">
        <v>1.0323632794217034156653774100</v>
      </c>
      <c r="D33" s="292">
        <v>-3.3619089812685938288010085300</v>
      </c>
      <c r="E33" s="292">
        <v>-0.1234144508172767360642496700</v>
      </c>
      <c r="F33" s="292">
        <v>30.279999675652157679877357470</v>
      </c>
      <c r="G33" s="292">
        <v>-14.933012299271171291558969650</v>
      </c>
      <c r="H33" s="292">
        <v>-45.473952281221402212874417620</v>
      </c>
      <c r="I33" s="292">
        <v>-15.519791450584906483388717260</v>
      </c>
      <c r="J33" s="292">
        <v>-5.7726038261658987997775389800</v>
      </c>
      <c r="K33" s="292">
        <v>-8.712091195625183201856841500</v>
      </c>
      <c r="L33" s="292">
        <v>16.233791229915769431674151330</v>
      </c>
      <c r="M33" s="292">
        <v>5.3387193709165856403859320100</v>
      </c>
      <c r="N33" s="292">
        <v>-7.231368741850669064058900200</v>
      </c>
      <c r="O33" s="292">
        <v>-8.821560151573039412612840910</v>
      </c>
      <c r="P33" s="292">
        <v>-10.427185741534127670327159650</v>
      </c>
      <c r="Q33" s="292">
        <v>12.221838745393991586009396100</v>
      </c>
      <c r="R33" s="292">
        <v>8.014695531051588322104234150</v>
      </c>
      <c r="S33" s="292">
        <v>6.1496071834865967218211188900</v>
      </c>
      <c r="T33" s="292">
        <v>10.644900161866136040299797300</v>
      </c>
      <c r="U33" s="292">
        <v>3.1755853433675979632637345200</v>
      </c>
      <c r="V33" s="292">
        <v>14.160546715758460885997257580</v>
      </c>
      <c r="W33" s="292">
        <v>28.145244259504632426674396090</v>
      </c>
      <c r="X33" s="292">
        <v>28.735875315348324225159536190</v>
      </c>
      <c r="Y33" s="292">
        <v>-10.343664733214665838729142970</v>
      </c>
      <c r="Z33" s="292">
        <v>3.548772181381243554954773600</v>
      </c>
      <c r="AA33" s="292"/>
      <c r="AB33" s="292"/>
      <c r="AC33" s="292"/>
      <c r="AD33" s="292"/>
      <c r="AE33" s="292"/>
      <c r="AF33" s="292"/>
      <c r="AG33" s="293"/>
      <c r="AH33" s="218"/>
      <c r="AI33" s="304">
        <v>-0.9130088887192192552285311300</v>
      </c>
      <c r="AJ33" s="304">
        <v>-0.7102323954762929083271458900</v>
      </c>
      <c r="AK33" s="304">
        <v>0.4222774642780793496071848600</v>
      </c>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c r="BL33" s="244"/>
      <c r="BM33" s="244"/>
    </row>
    <row r="34" ht="13.5" customHeight="1">
      <c r="B34" s="176"/>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43"/>
      <c r="AF34" s="43"/>
      <c r="AG34" s="43"/>
      <c r="AI34" s="43"/>
      <c r="AJ34" s="43"/>
      <c r="AK34" s="43"/>
      <c r="AM34" s="244"/>
      <c r="AN34" s="244"/>
      <c r="AO34" s="244"/>
      <c r="AP34" s="244"/>
      <c r="AQ34" s="244"/>
      <c r="AR34" s="244"/>
      <c r="AS34" s="244"/>
      <c r="AT34" s="244"/>
      <c r="AU34" s="244"/>
      <c r="AV34" s="244"/>
      <c r="AW34" s="244"/>
      <c r="AX34" s="244"/>
      <c r="AY34" s="244"/>
      <c r="AZ34" s="244"/>
      <c r="BA34" s="244"/>
      <c r="BB34" s="244"/>
      <c r="BC34" s="244"/>
      <c r="BD34" s="244"/>
      <c r="BE34" s="244"/>
      <c r="BF34" s="244"/>
      <c r="BG34" s="244"/>
      <c r="BH34" s="244"/>
      <c r="BI34" s="244"/>
      <c r="BJ34" s="244"/>
      <c r="BK34" s="244"/>
      <c r="BL34" s="244"/>
      <c r="BM34" s="244"/>
    </row>
    <row r="35" ht="18" customHeight="1">
      <c r="A35" s="8"/>
      <c r="B35" s="29"/>
      <c r="X35" s="656"/>
      <c r="Y35" s="656"/>
      <c r="Z35" s="656"/>
      <c r="AA35" s="656"/>
      <c r="AB35" s="656"/>
      <c r="AC35" s="656"/>
      <c r="AD35" s="656"/>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c r="BL35" s="244"/>
      <c r="BM35" s="244"/>
    </row>
    <row r="36" s="41" customFormat="1" ht="18">
      <c r="B36" s="615" t="s">
        <v>12</v>
      </c>
      <c r="C36" s="275" t="s">
        <v>183</v>
      </c>
      <c r="D36" s="276"/>
      <c r="E36" s="276"/>
      <c r="F36" s="276"/>
      <c r="G36" s="276"/>
      <c r="H36" s="276"/>
      <c r="I36" s="276"/>
      <c r="J36" s="276"/>
      <c r="K36" s="276"/>
      <c r="L36" s="276"/>
      <c r="M36" s="276"/>
      <c r="N36" s="276"/>
      <c r="O36" s="276"/>
      <c r="P36" s="276"/>
      <c r="Q36" s="276"/>
      <c r="R36" s="276"/>
      <c r="S36" s="277"/>
      <c r="T36" s="277"/>
      <c r="U36" s="277"/>
      <c r="V36" s="277"/>
      <c r="W36" s="277"/>
      <c r="X36" s="277"/>
      <c r="Y36" s="277"/>
      <c r="Z36" s="277"/>
      <c r="AA36" s="277"/>
      <c r="AB36" s="277"/>
      <c r="AC36" s="277"/>
      <c r="AD36" s="277"/>
      <c r="AE36" s="277"/>
      <c r="AF36" s="277"/>
      <c r="AG36" s="278"/>
      <c r="AH36" s="25"/>
      <c r="AI36" s="307" t="s">
        <v>59</v>
      </c>
      <c r="AJ36" s="307" t="s">
        <v>31</v>
      </c>
      <c r="AK36" s="307" t="s">
        <v>31</v>
      </c>
      <c r="AL36" s="25"/>
      <c r="AM36" s="248"/>
      <c r="AN36" s="248"/>
      <c r="AO36" s="253"/>
      <c r="AP36" s="253"/>
      <c r="AQ36" s="253"/>
      <c r="AR36" s="253"/>
      <c r="AS36" s="253"/>
      <c r="AT36" s="253"/>
      <c r="AU36" s="253"/>
      <c r="AV36" s="253"/>
      <c r="AW36" s="253"/>
      <c r="AX36" s="253"/>
      <c r="AY36" s="253"/>
      <c r="AZ36" s="253"/>
      <c r="BA36" s="253"/>
      <c r="BB36" s="253"/>
      <c r="BC36" s="253"/>
      <c r="BD36" s="253"/>
      <c r="BE36" s="253"/>
      <c r="BF36" s="253"/>
      <c r="BG36" s="253"/>
      <c r="BH36" s="253"/>
      <c r="BI36" s="253"/>
      <c r="BJ36" s="253"/>
      <c r="BK36" s="253"/>
      <c r="BL36" s="253"/>
      <c r="BM36" s="253"/>
    </row>
    <row r="37" s="42" customFormat="1">
      <c r="B37" s="615"/>
      <c r="C37" s="279">
        <v>1</v>
      </c>
      <c r="D37" s="280">
        <v>2</v>
      </c>
      <c r="E37" s="280">
        <v>3</v>
      </c>
      <c r="F37" s="280">
        <v>4</v>
      </c>
      <c r="G37" s="280">
        <v>5</v>
      </c>
      <c r="H37" s="280">
        <v>6</v>
      </c>
      <c r="I37" s="280">
        <v>7</v>
      </c>
      <c r="J37" s="280">
        <v>8</v>
      </c>
      <c r="K37" s="280">
        <v>9</v>
      </c>
      <c r="L37" s="280">
        <v>10</v>
      </c>
      <c r="M37" s="280">
        <v>11</v>
      </c>
      <c r="N37" s="280">
        <v>12</v>
      </c>
      <c r="O37" s="280">
        <v>13</v>
      </c>
      <c r="P37" s="280">
        <v>14</v>
      </c>
      <c r="Q37" s="280">
        <v>15</v>
      </c>
      <c r="R37" s="280">
        <v>16</v>
      </c>
      <c r="S37" s="280">
        <v>17</v>
      </c>
      <c r="T37" s="280">
        <v>18</v>
      </c>
      <c r="U37" s="280">
        <v>19</v>
      </c>
      <c r="V37" s="280">
        <v>20</v>
      </c>
      <c r="W37" s="280">
        <v>21</v>
      </c>
      <c r="X37" s="280">
        <v>22</v>
      </c>
      <c r="Y37" s="280">
        <v>23</v>
      </c>
      <c r="Z37" s="280">
        <v>24</v>
      </c>
      <c r="AA37" s="280">
        <v>25</v>
      </c>
      <c r="AB37" s="280">
        <v>26</v>
      </c>
      <c r="AC37" s="280">
        <v>27</v>
      </c>
      <c r="AD37" s="280">
        <v>28</v>
      </c>
      <c r="AE37" s="280">
        <v>29</v>
      </c>
      <c r="AF37" s="280">
        <v>30</v>
      </c>
      <c r="AG37" s="281">
        <v>31</v>
      </c>
      <c r="AH37" s="25"/>
      <c r="AI37" s="308" t="s">
        <v>31</v>
      </c>
      <c r="AJ37" s="308" t="s">
        <v>88</v>
      </c>
      <c r="AK37" s="308" t="s">
        <v>89</v>
      </c>
      <c r="AL37" s="25"/>
      <c r="AM37" s="248"/>
      <c r="AN37" s="248"/>
      <c r="AO37" s="254"/>
      <c r="AP37" s="254"/>
      <c r="AQ37" s="254"/>
      <c r="AR37" s="254"/>
      <c r="AS37" s="254"/>
      <c r="AT37" s="254"/>
      <c r="AU37" s="254"/>
      <c r="AV37" s="254"/>
      <c r="AW37" s="254"/>
      <c r="AX37" s="254"/>
      <c r="AY37" s="254"/>
      <c r="AZ37" s="254"/>
      <c r="BA37" s="254"/>
      <c r="BB37" s="254"/>
      <c r="BC37" s="254"/>
      <c r="BD37" s="254"/>
      <c r="BE37" s="254"/>
      <c r="BF37" s="254"/>
      <c r="BG37" s="254"/>
      <c r="BH37" s="254"/>
      <c r="BI37" s="254"/>
      <c r="BJ37" s="254"/>
      <c r="BK37" s="254"/>
      <c r="BL37" s="254"/>
      <c r="BM37" s="254"/>
    </row>
    <row r="38" ht="14.25">
      <c r="B38" s="404" t="s">
        <v>32</v>
      </c>
      <c r="C38" s="294">
        <v>297.04838709677419354838709677</v>
      </c>
      <c r="D38" s="295">
        <v>420.132812500</v>
      </c>
      <c r="E38" s="295">
        <v>408.95419847328244274809160305</v>
      </c>
      <c r="F38" s="295">
        <v>289.93023255813953488372093023</v>
      </c>
      <c r="G38" s="295">
        <v>191.56470588235294117647058824</v>
      </c>
      <c r="H38" s="295">
        <v>173.10294117647058823529411765</v>
      </c>
      <c r="I38" s="295">
        <v>185.79816513761467889908256881</v>
      </c>
      <c r="J38" s="295">
        <v>208.4867256637168141592920354</v>
      </c>
      <c r="K38" s="295">
        <v>277.38095238095238095238095238</v>
      </c>
      <c r="L38" s="295">
        <v>262.84070796460176991150442478</v>
      </c>
      <c r="M38" s="295">
        <v>165.72727272727272727272727273</v>
      </c>
      <c r="N38" s="295">
        <v>148.4047619047619047619047619</v>
      </c>
      <c r="O38" s="295">
        <v>159.23913043478260869565217391</v>
      </c>
      <c r="P38" s="295">
        <v>152.77659574468085106382978723</v>
      </c>
      <c r="Q38" s="295">
        <v>168.46728971962616822429906542</v>
      </c>
      <c r="R38" s="295">
        <v>260.22807017543859649122807018</v>
      </c>
      <c r="S38" s="295">
        <v>288.45669291338582677165354331</v>
      </c>
      <c r="T38" s="295">
        <v>193.83898305084745762711864407</v>
      </c>
      <c r="U38" s="295">
        <v>194.1680672268907563025210084</v>
      </c>
      <c r="V38" s="295">
        <v>202.45762711864406779661016949</v>
      </c>
      <c r="W38" s="295">
        <v>183.62698412698412698412698413</v>
      </c>
      <c r="X38" s="295">
        <v>188.01587301587301587301587302</v>
      </c>
      <c r="Y38" s="295">
        <v>245.53608247422680412371134021</v>
      </c>
      <c r="Z38" s="295">
        <v>275.00833333333333333333333333</v>
      </c>
      <c r="AA38" s="295"/>
      <c r="AB38" s="295"/>
      <c r="AC38" s="295"/>
      <c r="AD38" s="295"/>
      <c r="AE38" s="295"/>
      <c r="AF38" s="295"/>
      <c r="AG38" s="296"/>
      <c r="AH38" s="218"/>
      <c r="AI38" s="305">
        <v>237.93978658536585365853658537</v>
      </c>
      <c r="AJ38" s="305">
        <v>198.37773830669034931912374186</v>
      </c>
      <c r="AK38" s="305">
        <v>309.40534759358288770053475936</v>
      </c>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c r="BK38" s="244"/>
      <c r="BL38" s="244"/>
      <c r="BM38" s="244"/>
    </row>
    <row r="39" ht="14.25">
      <c r="B39" s="201" t="s">
        <v>26</v>
      </c>
      <c r="C39" s="297">
        <v>388.5888157894736842105263158</v>
      </c>
      <c r="D39" s="207">
        <v>494.47904191616766467065868265</v>
      </c>
      <c r="E39" s="207">
        <v>493.2463343108504398826979472</v>
      </c>
      <c r="F39" s="207">
        <v>366.80425531914893617021276597</v>
      </c>
      <c r="G39" s="207">
        <v>240.5309734513274336283185841</v>
      </c>
      <c r="H39" s="207">
        <v>264.41632653061224489795918368</v>
      </c>
      <c r="I39" s="207">
        <v>276.52816901408450704225352112</v>
      </c>
      <c r="J39" s="207">
        <v>278.13818181818181818181818182</v>
      </c>
      <c r="K39" s="207">
        <v>267.42968750000000000000000002</v>
      </c>
      <c r="L39" s="207">
        <v>271.5120967741935483870967742</v>
      </c>
      <c r="M39" s="207">
        <v>226.47208121827411167512690357</v>
      </c>
      <c r="N39" s="207">
        <v>212.20338983050847457627118643</v>
      </c>
      <c r="O39" s="207">
        <v>205.21578947368421052631578946</v>
      </c>
      <c r="P39" s="207">
        <v>193.48837209302325581395348837</v>
      </c>
      <c r="Q39" s="207">
        <v>205.10526315789473684210526314</v>
      </c>
      <c r="R39" s="207">
        <v>289.25547445255474452554744527</v>
      </c>
      <c r="S39" s="207">
        <v>292.16774193548387096774193548</v>
      </c>
      <c r="T39" s="207">
        <v>250.86029411764705882352941176</v>
      </c>
      <c r="U39" s="207">
        <v>278.93607305936073059360730593</v>
      </c>
      <c r="V39" s="207">
        <v>264.75263157894736842105263158</v>
      </c>
      <c r="W39" s="207">
        <v>247.20261437908496732026143789</v>
      </c>
      <c r="X39" s="207">
        <v>271.50289017341040462427745666</v>
      </c>
      <c r="Y39" s="207">
        <v>325.93636363636363636363636362</v>
      </c>
      <c r="Z39" s="207">
        <v>412.77405857740585774058577404</v>
      </c>
      <c r="AA39" s="207"/>
      <c r="AB39" s="207"/>
      <c r="AC39" s="207"/>
      <c r="AD39" s="207"/>
      <c r="AE39" s="207"/>
      <c r="AF39" s="207"/>
      <c r="AG39" s="298"/>
      <c r="AH39" s="218"/>
      <c r="AI39" s="306">
        <v>303.37163712738656928451256285</v>
      </c>
      <c r="AJ39" s="306">
        <v>265.57526677587912957602323564</v>
      </c>
      <c r="AK39" s="306">
        <v>364.60254314745567268499800997</v>
      </c>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c r="BL39" s="244"/>
      <c r="BM39" s="244"/>
    </row>
    <row r="40" ht="14.25">
      <c r="A40" s="24"/>
      <c r="B40" s="49" t="s">
        <v>92</v>
      </c>
      <c r="C40" s="291">
        <v>76.442855539539358348161375310</v>
      </c>
      <c r="D40" s="292">
        <v>84.9647359920262199426680600</v>
      </c>
      <c r="E40" s="292">
        <v>82.91074256935337792089336666</v>
      </c>
      <c r="F40" s="292">
        <v>79.042221662863699756569853400</v>
      </c>
      <c r="G40" s="292">
        <v>79.64242739039128501909594776</v>
      </c>
      <c r="H40" s="292">
        <v>65.466056293781078230582372040</v>
      </c>
      <c r="I40" s="292">
        <v>67.189598007333909472364997140</v>
      </c>
      <c r="J40" s="292">
        <v>74.957966684340518768265731500</v>
      </c>
      <c r="K40" s="292">
        <v>103.72107710777337723672916919</v>
      </c>
      <c r="L40" s="292">
        <v>96.80626060031141314009577837</v>
      </c>
      <c r="M40" s="292">
        <v>73.177793852446475860676449530</v>
      </c>
      <c r="N40" s="292">
        <v>69.935151376847460516847166050</v>
      </c>
      <c r="O40" s="292">
        <v>77.595944660579025349014120370</v>
      </c>
      <c r="P40" s="292">
        <v>78.959057896899833970236176070</v>
      </c>
      <c r="Q40" s="292">
        <v>82.13699011220977827230100162</v>
      </c>
      <c r="R40" s="292">
        <v>89.96478654998866938157905097</v>
      </c>
      <c r="S40" s="292">
        <v>98.72982246515994988306467830</v>
      </c>
      <c r="T40" s="292">
        <v>77.269694565525103314301753380</v>
      </c>
      <c r="U40" s="292">
        <v>69.610239040521042365306228870</v>
      </c>
      <c r="V40" s="292">
        <v>76.470487152951623611314827840</v>
      </c>
      <c r="W40" s="292">
        <v>74.281974965435098469534195880</v>
      </c>
      <c r="X40" s="292">
        <v>69.250044776979515109298981610</v>
      </c>
      <c r="Y40" s="292">
        <v>75.332521887044138991807563270</v>
      </c>
      <c r="Z40" s="292">
        <v>66.624422639623325604475911930</v>
      </c>
      <c r="AA40" s="292"/>
      <c r="AB40" s="292"/>
      <c r="AC40" s="292"/>
      <c r="AD40" s="292"/>
      <c r="AE40" s="292"/>
      <c r="AF40" s="292"/>
      <c r="AG40" s="293"/>
      <c r="AH40" s="218"/>
      <c r="AI40" s="304">
        <v>78.431783814201378713344922510</v>
      </c>
      <c r="AJ40" s="304">
        <v>74.697369493405104758435423740</v>
      </c>
      <c r="AK40" s="304">
        <v>84.86099546168357893064708560</v>
      </c>
      <c r="AM40" s="244"/>
      <c r="AN40" s="244"/>
      <c r="AO40" s="244"/>
      <c r="AP40" s="244"/>
      <c r="AQ40" s="244"/>
      <c r="AR40" s="244"/>
      <c r="AS40" s="244"/>
      <c r="AT40" s="244"/>
      <c r="AU40" s="244"/>
      <c r="AV40" s="244"/>
      <c r="AW40" s="244"/>
      <c r="AX40" s="244"/>
      <c r="AY40" s="244"/>
      <c r="AZ40" s="244"/>
      <c r="BA40" s="244"/>
      <c r="BB40" s="244"/>
      <c r="BC40" s="244"/>
      <c r="BD40" s="244"/>
      <c r="BE40" s="244"/>
      <c r="BF40" s="244"/>
      <c r="BG40" s="244"/>
      <c r="BH40" s="244"/>
      <c r="BI40" s="244"/>
      <c r="BJ40" s="244"/>
      <c r="BK40" s="244"/>
      <c r="BL40" s="244"/>
      <c r="BM40" s="244"/>
    </row>
    <row r="41" ht="12" customHeight="1">
      <c r="B41" s="0"/>
      <c r="AI41" s="22"/>
      <c r="AJ41" s="22"/>
      <c r="AK41" s="22"/>
      <c r="AM41" s="244"/>
      <c r="AN41" s="244"/>
      <c r="AO41" s="244"/>
      <c r="AP41" s="244"/>
      <c r="AQ41" s="244"/>
      <c r="AR41" s="244"/>
      <c r="AS41" s="244"/>
      <c r="AT41" s="244"/>
      <c r="AU41" s="244"/>
      <c r="AV41" s="244"/>
      <c r="AW41" s="244"/>
      <c r="AX41" s="244"/>
      <c r="AY41" s="244"/>
      <c r="AZ41" s="244"/>
      <c r="BA41" s="244"/>
      <c r="BB41" s="244"/>
      <c r="BC41" s="244"/>
      <c r="BD41" s="244"/>
      <c r="BE41" s="244"/>
      <c r="BF41" s="244"/>
      <c r="BG41" s="244"/>
      <c r="BH41" s="244"/>
      <c r="BI41" s="244"/>
      <c r="BJ41" s="244"/>
      <c r="BK41" s="244"/>
      <c r="BL41" s="244"/>
      <c r="BM41" s="244"/>
    </row>
    <row r="42" ht="18">
      <c r="B42" s="29" t="s">
        <v>87</v>
      </c>
      <c r="AI42" s="22"/>
      <c r="AJ42" s="22"/>
      <c r="AK42" s="22"/>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c r="BL42" s="244"/>
      <c r="BM42" s="244"/>
    </row>
    <row r="43" ht="14.25">
      <c r="B43" s="46" t="s">
        <v>32</v>
      </c>
      <c r="C43" s="286">
        <v>-18.605541339827349489056864450</v>
      </c>
      <c r="D43" s="287">
        <v>-7.643786637713167064868609800</v>
      </c>
      <c r="E43" s="287">
        <v>-11.568365670199479265071261270</v>
      </c>
      <c r="F43" s="287">
        <v>-27.102415697730294398365331180</v>
      </c>
      <c r="G43" s="287">
        <v>7.2720285479295284184869419500</v>
      </c>
      <c r="H43" s="287">
        <v>-10.759358288763481092656750470</v>
      </c>
      <c r="I43" s="287">
        <v>-10.130151130147710847990950290</v>
      </c>
      <c r="J43" s="287">
        <v>5.3743199729271664520023846900</v>
      </c>
      <c r="K43" s="287">
        <v>-1.3866184180593690648129043900</v>
      </c>
      <c r="L43" s="287">
        <v>-1.3763968908889604831385067200</v>
      </c>
      <c r="M43" s="287">
        <v>-11.632612200610776502651407250</v>
      </c>
      <c r="N43" s="287">
        <v>-3.5437944908428317595301016900</v>
      </c>
      <c r="O43" s="287">
        <v>4.4851024403320540846857472300</v>
      </c>
      <c r="P43" s="287">
        <v>-1.8758533016759899506322162300</v>
      </c>
      <c r="Q43" s="287">
        <v>-13.524714237416830599227164150</v>
      </c>
      <c r="R43" s="287">
        <v>0.8741602565764204145926959900</v>
      </c>
      <c r="S43" s="287">
        <v>3.7990806759759846514002311900</v>
      </c>
      <c r="T43" s="287">
        <v>2.7348495212432164566381889200</v>
      </c>
      <c r="U43" s="287">
        <v>30.149893242918501765251645500</v>
      </c>
      <c r="V43" s="287">
        <v>52.093087554234426002223326040</v>
      </c>
      <c r="W43" s="287">
        <v>28.084770158360033982627156980</v>
      </c>
      <c r="X43" s="287">
        <v>18.839373712704043760919382560</v>
      </c>
      <c r="Y43" s="287">
        <v>5.1488658888293241654974514400</v>
      </c>
      <c r="Z43" s="287">
        <v>3.1910463697184421786804367700</v>
      </c>
      <c r="AA43" s="287"/>
      <c r="AB43" s="287"/>
      <c r="AC43" s="287"/>
      <c r="AD43" s="287"/>
      <c r="AE43" s="287"/>
      <c r="AF43" s="287"/>
      <c r="AG43" s="288"/>
      <c r="AH43" s="218"/>
      <c r="AI43" s="302">
        <v>0.5952873164071157629201997900</v>
      </c>
      <c r="AJ43" s="302">
        <v>-0.1957767486392398343591528900</v>
      </c>
      <c r="AK43" s="302">
        <v>-4.1802429124039930061157869400</v>
      </c>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c r="BL43" s="244"/>
      <c r="BM43" s="244"/>
    </row>
    <row r="44" ht="14.25">
      <c r="B44" s="201" t="s">
        <v>26</v>
      </c>
      <c r="C44" s="289">
        <v>12.453426150085141885801436530</v>
      </c>
      <c r="D44" s="202">
        <v>18.021078392077350218754626480</v>
      </c>
      <c r="E44" s="202">
        <v>14.096371386480780907905046280</v>
      </c>
      <c r="F44" s="202">
        <v>6.9293224707851701097041461700</v>
      </c>
      <c r="G44" s="202">
        <v>-10.632334208318821090528630060</v>
      </c>
      <c r="H44" s="202">
        <v>13.791369747404807417920895540</v>
      </c>
      <c r="I44" s="202">
        <v>24.025731170403492495097790470</v>
      </c>
      <c r="J44" s="202">
        <v>13.647052106614023228617310140</v>
      </c>
      <c r="K44" s="202">
        <v>-11.407863283410108352217935280</v>
      </c>
      <c r="L44" s="202">
        <v>-6.9201065093784093299276318800</v>
      </c>
      <c r="M44" s="202">
        <v>4.5345276810198486059934950600</v>
      </c>
      <c r="N44" s="202">
        <v>-2.0154980051983251399506694100</v>
      </c>
      <c r="O44" s="202">
        <v>-5.3654450554555433845225429400</v>
      </c>
      <c r="P44" s="202">
        <v>-3.1509534969113085612125012500</v>
      </c>
      <c r="Q44" s="202">
        <v>-11.30436876222708946200350200</v>
      </c>
      <c r="R44" s="202">
        <v>-2.0873031108786410878297339800</v>
      </c>
      <c r="S44" s="202">
        <v>-4.4371331608523442113013897200</v>
      </c>
      <c r="T44" s="202">
        <v>16.790584570693831754439823930</v>
      </c>
      <c r="U44" s="202">
        <v>23.788198103284908280906095070</v>
      </c>
      <c r="V44" s="202">
        <v>14.987404248958528216606871820</v>
      </c>
      <c r="W44" s="202">
        <v>17.218072012791471363242537190</v>
      </c>
      <c r="X44" s="202">
        <v>14.415340882452836510420285240</v>
      </c>
      <c r="Y44" s="202">
        <v>-1.8635901396056014515054280800</v>
      </c>
      <c r="Z44" s="202">
        <v>5.3637794493175315815023591700</v>
      </c>
      <c r="AA44" s="202"/>
      <c r="AB44" s="202"/>
      <c r="AC44" s="202"/>
      <c r="AD44" s="202"/>
      <c r="AE44" s="202"/>
      <c r="AF44" s="202"/>
      <c r="AG44" s="290"/>
      <c r="AH44" s="218"/>
      <c r="AI44" s="303">
        <v>9.488551141208170563474108270</v>
      </c>
      <c r="AJ44" s="303">
        <v>8.533676820063521302500776650</v>
      </c>
      <c r="AK44" s="303">
        <v>6.3725273045838858327497864400</v>
      </c>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c r="BL44" s="244"/>
      <c r="BM44" s="244"/>
    </row>
    <row r="45" ht="14.25">
      <c r="A45" s="24"/>
      <c r="B45" s="49" t="s">
        <v>92</v>
      </c>
      <c r="C45" s="291">
        <v>-27.619405253585317501784961390</v>
      </c>
      <c r="D45" s="292">
        <v>-21.746001120680804512711152620</v>
      </c>
      <c r="E45" s="292">
        <v>-22.493911721112300001234497650</v>
      </c>
      <c r="F45" s="292">
        <v>-31.826385300284431032861525990</v>
      </c>
      <c r="G45" s="292">
        <v>20.034497485817269269378350810</v>
      </c>
      <c r="H45" s="292">
        <v>-21.575210923916089150468849400</v>
      </c>
      <c r="I45" s="292">
        <v>-27.539351695981784322914584320</v>
      </c>
      <c r="J45" s="292">
        <v>-7.2793195954154882917775963900</v>
      </c>
      <c r="K45" s="292">
        <v>11.311664033386548944540392740</v>
      </c>
      <c r="L45" s="292">
        <v>5.9558615835765060247369304700</v>
      </c>
      <c r="M45" s="292">
        <v>-15.465837212128275781386284230</v>
      </c>
      <c r="N45" s="292">
        <v>-1.5597328705140617900904191600</v>
      </c>
      <c r="O45" s="292">
        <v>10.409038750788431626126345760</v>
      </c>
      <c r="P45" s="292">
        <v>1.3165851820770867925400773100</v>
      </c>
      <c r="Q45" s="292">
        <v>-2.5033312737466228094698624700</v>
      </c>
      <c r="R45" s="292">
        <v>3.0245958507472736396135445800</v>
      </c>
      <c r="S45" s="292">
        <v>8.618634108916652824386875920</v>
      </c>
      <c r="T45" s="292">
        <v>-12.034989893266480616770595140</v>
      </c>
      <c r="U45" s="292">
        <v>5.139177431349691467579536500</v>
      </c>
      <c r="V45" s="292">
        <v>32.269345975587837911316952650</v>
      </c>
      <c r="W45" s="292">
        <v>9.270497252664628938583305020</v>
      </c>
      <c r="X45" s="292">
        <v>3.8666430533866962208407055200</v>
      </c>
      <c r="Y45" s="292">
        <v>7.1456211189297466935473893400</v>
      </c>
      <c r="Z45" s="292">
        <v>-2.0621252302122914760655770700</v>
      </c>
      <c r="AA45" s="292"/>
      <c r="AB45" s="292"/>
      <c r="AC45" s="292"/>
      <c r="AD45" s="292"/>
      <c r="AE45" s="292"/>
      <c r="AF45" s="292"/>
      <c r="AG45" s="293"/>
      <c r="AH45" s="218"/>
      <c r="AI45" s="304">
        <v>-8.122551382848084004276921020</v>
      </c>
      <c r="AJ45" s="304">
        <v>-8.043082870214826681769095550</v>
      </c>
      <c r="AK45" s="304">
        <v>-9.920578634692884306524812330</v>
      </c>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c r="BK45" s="244"/>
      <c r="BL45" s="244"/>
      <c r="BM45" s="244"/>
    </row>
    <row r="46" ht="13.5" customHeight="1">
      <c r="B46" s="176"/>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43"/>
      <c r="AF46" s="43"/>
      <c r="AG46" s="43"/>
      <c r="AI46" s="43"/>
      <c r="AJ46" s="43"/>
      <c r="AK46" s="43"/>
      <c r="AM46" s="244"/>
      <c r="AN46" s="244"/>
      <c r="AO46" s="244"/>
      <c r="AP46" s="244"/>
      <c r="AQ46" s="244"/>
      <c r="AR46" s="244"/>
      <c r="AS46" s="244"/>
      <c r="AT46" s="244"/>
      <c r="AU46" s="244"/>
      <c r="AV46" s="244"/>
      <c r="AW46" s="244"/>
      <c r="AX46" s="244"/>
      <c r="AY46" s="244"/>
      <c r="AZ46" s="244"/>
      <c r="BA46" s="244"/>
      <c r="BB46" s="244"/>
      <c r="BC46" s="244"/>
      <c r="BD46" s="244"/>
      <c r="BE46" s="244"/>
      <c r="BF46" s="244"/>
      <c r="BG46" s="244"/>
      <c r="BH46" s="244"/>
      <c r="BI46" s="244"/>
      <c r="BJ46" s="244"/>
      <c r="BK46" s="244"/>
      <c r="BL46" s="244"/>
      <c r="BM46" s="244"/>
    </row>
    <row r="47" ht="18" customHeight="1">
      <c r="A47" s="8"/>
      <c r="B47" s="29"/>
      <c r="X47" s="656"/>
      <c r="Y47" s="656"/>
      <c r="Z47" s="656"/>
      <c r="AA47" s="656"/>
      <c r="AB47" s="656"/>
      <c r="AC47" s="656"/>
      <c r="AD47" s="656"/>
      <c r="AM47" s="244"/>
      <c r="AN47" s="244"/>
      <c r="AO47" s="244"/>
      <c r="AP47" s="244"/>
      <c r="AQ47" s="244"/>
      <c r="AR47" s="244"/>
      <c r="AS47" s="244"/>
      <c r="AT47" s="244"/>
      <c r="AU47" s="244"/>
      <c r="AV47" s="244"/>
      <c r="AW47" s="244"/>
      <c r="AX47" s="244"/>
      <c r="AY47" s="244"/>
      <c r="AZ47" s="244"/>
      <c r="BA47" s="244"/>
      <c r="BB47" s="244"/>
      <c r="BC47" s="244"/>
      <c r="BD47" s="244"/>
      <c r="BE47" s="244"/>
      <c r="BF47" s="244"/>
      <c r="BG47" s="244"/>
      <c r="BH47" s="244"/>
      <c r="BI47" s="244"/>
      <c r="BJ47" s="244"/>
      <c r="BK47" s="244"/>
      <c r="BL47" s="244"/>
      <c r="BM47" s="244"/>
    </row>
    <row r="48" s="41" customFormat="1" ht="18">
      <c r="B48" s="615" t="s">
        <v>13</v>
      </c>
      <c r="C48" s="275" t="s">
        <v>183</v>
      </c>
      <c r="D48" s="276"/>
      <c r="E48" s="276"/>
      <c r="F48" s="276"/>
      <c r="G48" s="276"/>
      <c r="H48" s="276"/>
      <c r="I48" s="276"/>
      <c r="J48" s="276"/>
      <c r="K48" s="276"/>
      <c r="L48" s="276"/>
      <c r="M48" s="276"/>
      <c r="N48" s="276"/>
      <c r="O48" s="276"/>
      <c r="P48" s="276"/>
      <c r="Q48" s="276"/>
      <c r="R48" s="276"/>
      <c r="S48" s="277"/>
      <c r="T48" s="277"/>
      <c r="U48" s="277"/>
      <c r="V48" s="277"/>
      <c r="W48" s="277"/>
      <c r="X48" s="277"/>
      <c r="Y48" s="277"/>
      <c r="Z48" s="277"/>
      <c r="AA48" s="277"/>
      <c r="AB48" s="277"/>
      <c r="AC48" s="277"/>
      <c r="AD48" s="277"/>
      <c r="AE48" s="277"/>
      <c r="AF48" s="277"/>
      <c r="AG48" s="278"/>
      <c r="AH48" s="25"/>
      <c r="AI48" s="307" t="s">
        <v>59</v>
      </c>
      <c r="AJ48" s="307" t="s">
        <v>31</v>
      </c>
      <c r="AK48" s="307" t="s">
        <v>31</v>
      </c>
      <c r="AL48" s="25"/>
      <c r="AM48" s="248"/>
      <c r="AN48" s="248"/>
      <c r="AO48" s="253"/>
      <c r="AP48" s="253"/>
      <c r="AQ48" s="253"/>
      <c r="AR48" s="253"/>
      <c r="AS48" s="253"/>
      <c r="AT48" s="253"/>
      <c r="AU48" s="253"/>
      <c r="AV48" s="253"/>
      <c r="AW48" s="253"/>
      <c r="AX48" s="253"/>
      <c r="AY48" s="253"/>
      <c r="AZ48" s="253"/>
      <c r="BA48" s="253"/>
      <c r="BB48" s="253"/>
      <c r="BC48" s="253"/>
      <c r="BD48" s="253"/>
      <c r="BE48" s="253"/>
      <c r="BF48" s="253"/>
      <c r="BG48" s="253"/>
      <c r="BH48" s="253"/>
      <c r="BI48" s="253"/>
      <c r="BJ48" s="253"/>
      <c r="BK48" s="253"/>
      <c r="BL48" s="253"/>
      <c r="BM48" s="253"/>
    </row>
    <row r="49" s="42" customFormat="1">
      <c r="B49" s="615"/>
      <c r="C49" s="279">
        <v>1</v>
      </c>
      <c r="D49" s="280">
        <v>2</v>
      </c>
      <c r="E49" s="280">
        <v>3</v>
      </c>
      <c r="F49" s="280">
        <v>4</v>
      </c>
      <c r="G49" s="280">
        <v>5</v>
      </c>
      <c r="H49" s="280">
        <v>6</v>
      </c>
      <c r="I49" s="280">
        <v>7</v>
      </c>
      <c r="J49" s="280">
        <v>8</v>
      </c>
      <c r="K49" s="280">
        <v>9</v>
      </c>
      <c r="L49" s="280">
        <v>10</v>
      </c>
      <c r="M49" s="280">
        <v>11</v>
      </c>
      <c r="N49" s="280">
        <v>12</v>
      </c>
      <c r="O49" s="280">
        <v>13</v>
      </c>
      <c r="P49" s="280">
        <v>14</v>
      </c>
      <c r="Q49" s="280">
        <v>15</v>
      </c>
      <c r="R49" s="280">
        <v>16</v>
      </c>
      <c r="S49" s="280">
        <v>17</v>
      </c>
      <c r="T49" s="280">
        <v>18</v>
      </c>
      <c r="U49" s="280">
        <v>19</v>
      </c>
      <c r="V49" s="280">
        <v>20</v>
      </c>
      <c r="W49" s="280">
        <v>21</v>
      </c>
      <c r="X49" s="280">
        <v>22</v>
      </c>
      <c r="Y49" s="280">
        <v>23</v>
      </c>
      <c r="Z49" s="280">
        <v>24</v>
      </c>
      <c r="AA49" s="280">
        <v>25</v>
      </c>
      <c r="AB49" s="280">
        <v>26</v>
      </c>
      <c r="AC49" s="280">
        <v>27</v>
      </c>
      <c r="AD49" s="280">
        <v>28</v>
      </c>
      <c r="AE49" s="280">
        <v>29</v>
      </c>
      <c r="AF49" s="280">
        <v>30</v>
      </c>
      <c r="AG49" s="281">
        <v>31</v>
      </c>
      <c r="AH49" s="25"/>
      <c r="AI49" s="308" t="s">
        <v>31</v>
      </c>
      <c r="AJ49" s="308" t="s">
        <v>88</v>
      </c>
      <c r="AK49" s="308" t="s">
        <v>89</v>
      </c>
      <c r="AL49" s="25"/>
      <c r="AM49" s="248"/>
      <c r="AN49" s="248"/>
      <c r="AO49" s="254"/>
      <c r="AP49" s="254"/>
      <c r="AQ49" s="254"/>
      <c r="AR49" s="254"/>
      <c r="AS49" s="254"/>
      <c r="AT49" s="254"/>
      <c r="AU49" s="254"/>
      <c r="AV49" s="254"/>
      <c r="AW49" s="254"/>
      <c r="AX49" s="254"/>
      <c r="AY49" s="254"/>
      <c r="AZ49" s="254"/>
      <c r="BA49" s="254"/>
      <c r="BB49" s="254"/>
      <c r="BC49" s="254"/>
      <c r="BD49" s="254"/>
      <c r="BE49" s="254"/>
      <c r="BF49" s="254"/>
      <c r="BG49" s="254"/>
      <c r="BH49" s="254"/>
      <c r="BI49" s="254"/>
      <c r="BJ49" s="254"/>
      <c r="BK49" s="254"/>
      <c r="BL49" s="254"/>
      <c r="BM49" s="254"/>
    </row>
    <row r="50" ht="14.25">
      <c r="B50" s="404" t="s">
        <v>32</v>
      </c>
      <c r="C50" s="294">
        <v>279.04545454545454545454545455</v>
      </c>
      <c r="D50" s="295">
        <v>407.40151515151515151515151515</v>
      </c>
      <c r="E50" s="295">
        <v>405.85606060606060606060606061</v>
      </c>
      <c r="F50" s="295">
        <v>283.34090909090909090909090909</v>
      </c>
      <c r="G50" s="295">
        <v>123.35606060606060606060606061</v>
      </c>
      <c r="H50" s="295">
        <v>89.17424242424242424242424242</v>
      </c>
      <c r="I50" s="295">
        <v>153.42424242424242424242424242</v>
      </c>
      <c r="J50" s="295">
        <v>178.47727272727272727272727273</v>
      </c>
      <c r="K50" s="295">
        <v>220.64393939393939393939393939</v>
      </c>
      <c r="L50" s="295">
        <v>225.00757575757575757575757576</v>
      </c>
      <c r="M50" s="295">
        <v>96.67424242424242424242424242</v>
      </c>
      <c r="N50" s="295">
        <v>94.43939393939393939393939394</v>
      </c>
      <c r="O50" s="295">
        <v>110.98484848484848484848484848</v>
      </c>
      <c r="P50" s="295">
        <v>108.79545454545454545454545455</v>
      </c>
      <c r="Q50" s="295">
        <v>136.56060606060606060606060606</v>
      </c>
      <c r="R50" s="295">
        <v>224.74242424242424242424242424</v>
      </c>
      <c r="S50" s="295">
        <v>277.53030303030303030303030303</v>
      </c>
      <c r="T50" s="295">
        <v>173.28030303030303030303030303</v>
      </c>
      <c r="U50" s="295">
        <v>175.04545454545454545454545455</v>
      </c>
      <c r="V50" s="295">
        <v>180.98484848484848484848484848</v>
      </c>
      <c r="W50" s="295">
        <v>175.28030303030303030303030303</v>
      </c>
      <c r="X50" s="295">
        <v>179.46969696969696969696969697</v>
      </c>
      <c r="Y50" s="295">
        <v>180.43181818181818181818181818</v>
      </c>
      <c r="Z50" s="295">
        <v>250.00757575757575757575757576</v>
      </c>
      <c r="AA50" s="295"/>
      <c r="AB50" s="295"/>
      <c r="AC50" s="295"/>
      <c r="AD50" s="295"/>
      <c r="AE50" s="295"/>
      <c r="AF50" s="295"/>
      <c r="AG50" s="296"/>
      <c r="AH50" s="218"/>
      <c r="AI50" s="305">
        <v>197.08143939393939393939393939</v>
      </c>
      <c r="AJ50" s="305">
        <v>158.64583333333333333333333333</v>
      </c>
      <c r="AK50" s="305">
        <v>273.95265151515151515151515152</v>
      </c>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c r="BK50" s="244"/>
      <c r="BL50" s="244"/>
      <c r="BM50" s="244"/>
    </row>
    <row r="51" ht="14.25">
      <c r="B51" s="201" t="s">
        <v>26</v>
      </c>
      <c r="C51" s="297">
        <v>343.40406976744186046511627907</v>
      </c>
      <c r="D51" s="207">
        <v>480.10465116279069767441860465</v>
      </c>
      <c r="E51" s="207">
        <v>488.94476744186046511627906977</v>
      </c>
      <c r="F51" s="207">
        <v>250.57848837209302325581395349</v>
      </c>
      <c r="G51" s="207">
        <v>158.02325581395348837209302326</v>
      </c>
      <c r="H51" s="207">
        <v>188.31976744186046511627906977</v>
      </c>
      <c r="I51" s="207">
        <v>228.29651162790697674418604651</v>
      </c>
      <c r="J51" s="207">
        <v>222.34883720930232558139534884</v>
      </c>
      <c r="K51" s="207">
        <v>199.01744186046511627906976744</v>
      </c>
      <c r="L51" s="207">
        <v>195.74127906976744186046511628</v>
      </c>
      <c r="M51" s="207">
        <v>129.69476744186046511627906977</v>
      </c>
      <c r="N51" s="207">
        <v>109.18604651162790697674418605</v>
      </c>
      <c r="O51" s="207">
        <v>113.34593023255813953488372093</v>
      </c>
      <c r="P51" s="207">
        <v>120.93023255813953488372093023</v>
      </c>
      <c r="Q51" s="207">
        <v>147.27034883720930232558139535</v>
      </c>
      <c r="R51" s="207">
        <v>230.39534883720930232558139535</v>
      </c>
      <c r="S51" s="207">
        <v>263.2906976744186046511627907</v>
      </c>
      <c r="T51" s="207">
        <v>198.35465116279069767441860465</v>
      </c>
      <c r="U51" s="207">
        <v>225.41328413284132841328413284</v>
      </c>
      <c r="V51" s="207">
        <v>185.61992619926199261992619926</v>
      </c>
      <c r="W51" s="207">
        <v>139.56457564575645756457564576</v>
      </c>
      <c r="X51" s="207">
        <v>173.32103321033210332103321033</v>
      </c>
      <c r="Y51" s="207">
        <v>264.59778597785977859778597785</v>
      </c>
      <c r="Z51" s="207">
        <v>364.03321033210332103321033209</v>
      </c>
      <c r="AA51" s="207"/>
      <c r="AB51" s="207"/>
      <c r="AC51" s="207"/>
      <c r="AD51" s="207"/>
      <c r="AE51" s="207"/>
      <c r="AF51" s="207"/>
      <c r="AG51" s="298"/>
      <c r="AH51" s="218"/>
      <c r="AI51" s="306">
        <v>225.82487118839211647930432792</v>
      </c>
      <c r="AJ51" s="306">
        <v>183.354482885308504247833176</v>
      </c>
      <c r="AK51" s="306">
        <v>310.76564779455934094224663176</v>
      </c>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c r="BK51" s="244"/>
      <c r="BL51" s="244"/>
      <c r="BM51" s="244"/>
    </row>
    <row r="52" ht="14.25">
      <c r="A52" s="24"/>
      <c r="B52" s="49" t="s">
        <v>93</v>
      </c>
      <c r="C52" s="291">
        <v>81.25863352011585856345119659</v>
      </c>
      <c r="D52" s="292">
        <v>84.85681489750205666347901447</v>
      </c>
      <c r="E52" s="292">
        <v>83.00652499656566977856260927</v>
      </c>
      <c r="F52" s="292">
        <v>113.07471400743629680111265126</v>
      </c>
      <c r="G52" s="292">
        <v>78.061966240751211497884408860</v>
      </c>
      <c r="H52" s="292">
        <v>47.352566135551471072828107180</v>
      </c>
      <c r="I52" s="292">
        <v>67.203936376526099312230341020</v>
      </c>
      <c r="J52" s="292">
        <v>80.26903804280731661714585854</v>
      </c>
      <c r="K52" s="292">
        <v>110.86663426645708205871803380</v>
      </c>
      <c r="L52" s="292">
        <v>114.95152010186854687132872471</v>
      </c>
      <c r="M52" s="292">
        <v>74.539817088264611732085476650</v>
      </c>
      <c r="N52" s="292">
        <v>86.49401361863636468802593346</v>
      </c>
      <c r="O52" s="292">
        <v>97.91692410754732823166192471</v>
      </c>
      <c r="P52" s="292">
        <v>89.96547202800143976096020327</v>
      </c>
      <c r="Q52" s="292">
        <v>92.72783499112029399183704296</v>
      </c>
      <c r="R52" s="292">
        <v>97.54642416901819531582820546</v>
      </c>
      <c r="S52" s="292">
        <v>105.40832071990348955170306283</v>
      </c>
      <c r="T52" s="292">
        <v>87.35883026412264698196496221</v>
      </c>
      <c r="U52" s="292">
        <v>77.655341041182050544925156860</v>
      </c>
      <c r="V52" s="292">
        <v>97.50292018246207302379699092</v>
      </c>
      <c r="W52" s="292">
        <v>125.59082576594918696705840547</v>
      </c>
      <c r="X52" s="292">
        <v>103.54755775771106541495360601</v>
      </c>
      <c r="Y52" s="292">
        <v>68.190978059388746347751651680</v>
      </c>
      <c r="Z52" s="292">
        <v>68.677134025628869266252961080</v>
      </c>
      <c r="AA52" s="292"/>
      <c r="AB52" s="292"/>
      <c r="AC52" s="292"/>
      <c r="AD52" s="292"/>
      <c r="AE52" s="292"/>
      <c r="AF52" s="292"/>
      <c r="AG52" s="293"/>
      <c r="AH52" s="218"/>
      <c r="AI52" s="304">
        <v>87.27180418914943821534891867</v>
      </c>
      <c r="AJ52" s="304">
        <v>86.52410938464836270053184647</v>
      </c>
      <c r="AK52" s="304">
        <v>88.15409729463406811125196419</v>
      </c>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c r="BL52" s="244"/>
      <c r="BM52" s="244"/>
    </row>
    <row r="53" ht="12" customHeight="1">
      <c r="B53" s="0"/>
      <c r="AI53" s="22"/>
      <c r="AJ53" s="22"/>
      <c r="AK53" s="22"/>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c r="BL53" s="244"/>
      <c r="BM53" s="244"/>
    </row>
    <row r="54" ht="18">
      <c r="B54" s="29" t="s">
        <v>87</v>
      </c>
      <c r="AI54" s="22"/>
      <c r="AJ54" s="22"/>
      <c r="AK54" s="22"/>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c r="BL54" s="244"/>
      <c r="BM54" s="244"/>
    </row>
    <row r="55" ht="14.25">
      <c r="B55" s="46" t="s">
        <v>32</v>
      </c>
      <c r="C55" s="286">
        <v>-14.466840052009248882782984150</v>
      </c>
      <c r="D55" s="287">
        <v>-6.1778149970399832489970106400</v>
      </c>
      <c r="E55" s="287">
        <v>-8.059173831707757847520913330</v>
      </c>
      <c r="F55" s="287">
        <v>-20.976568277370827743521086090</v>
      </c>
      <c r="G55" s="287">
        <v>-10.606642876734226805226766370</v>
      </c>
      <c r="H55" s="287">
        <v>-45.818181818170844649021861990</v>
      </c>
      <c r="I55" s="287">
        <v>-15.553331665407277457926652390</v>
      </c>
      <c r="J55" s="287">
        <v>2.6491220426196783841779526600</v>
      </c>
      <c r="K55" s="287">
        <v>-19.106210421071515946190772450</v>
      </c>
      <c r="L55" s="287">
        <v>-0.4958290060021845513615329300</v>
      </c>
      <c r="M55" s="287">
        <v>-26.040338472226319285251085760</v>
      </c>
      <c r="N55" s="287">
        <v>-22.835035592718687207004329950</v>
      </c>
      <c r="O55" s="287">
        <v>-11.810739224667492085332931920</v>
      </c>
      <c r="P55" s="287">
        <v>-15.379176241836255375465181360</v>
      </c>
      <c r="Q55" s="287">
        <v>-10.166450712676912923125628810</v>
      </c>
      <c r="R55" s="287">
        <v>3.6004889121791039348136626400</v>
      </c>
      <c r="S55" s="287">
        <v>20.940213264651699027177949020</v>
      </c>
      <c r="T55" s="287">
        <v>11.217543518450105522419225930</v>
      </c>
      <c r="U55" s="287">
        <v>32.374677742815651557579720440</v>
      </c>
      <c r="V55" s="287">
        <v>70.923660299004047108146582280</v>
      </c>
      <c r="W55" s="287">
        <v>33.377529255745266551638595770</v>
      </c>
      <c r="X55" s="287">
        <v>25.829925107547600367548091770</v>
      </c>
      <c r="Y55" s="287">
        <v>-12.825299220391414257267544780</v>
      </c>
      <c r="Z55" s="287">
        <v>0.6741915802453620025306003500</v>
      </c>
      <c r="AA55" s="287"/>
      <c r="AB55" s="287"/>
      <c r="AC55" s="287"/>
      <c r="AD55" s="287"/>
      <c r="AE55" s="287"/>
      <c r="AF55" s="287"/>
      <c r="AG55" s="288"/>
      <c r="AH55" s="218"/>
      <c r="AI55" s="302">
        <v>-3.1331985621078604076332949500</v>
      </c>
      <c r="AJ55" s="302">
        <v>-5.5353816516472831951266669800</v>
      </c>
      <c r="AK55" s="302">
        <v>-5.4372270599469842149096436200</v>
      </c>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c r="BL55" s="244"/>
      <c r="BM55" s="244"/>
    </row>
    <row r="56" ht="14.25">
      <c r="B56" s="201" t="s">
        <v>26</v>
      </c>
      <c r="C56" s="289">
        <v>16.963904570287324698354993850</v>
      </c>
      <c r="D56" s="202">
        <v>24.065394482417242627717000240</v>
      </c>
      <c r="E56" s="202">
        <v>18.770585237301587570480287270</v>
      </c>
      <c r="F56" s="202">
        <v>-11.026266418611184210614581800</v>
      </c>
      <c r="G56" s="202">
        <v>-12.453635847070145344232619940</v>
      </c>
      <c r="H56" s="202">
        <v>26.705712658594601838853869810</v>
      </c>
      <c r="I56" s="202">
        <v>37.951150698725019541350452160</v>
      </c>
      <c r="J56" s="202">
        <v>17.490144801403647001301675720</v>
      </c>
      <c r="K56" s="202">
        <v>-20.391168883048236229913415740</v>
      </c>
      <c r="L56" s="202">
        <v>-19.205109826911923347741837300</v>
      </c>
      <c r="M56" s="202">
        <v>-16.943308963757680099871438060</v>
      </c>
      <c r="N56" s="202">
        <v>-15.502039285595049591578413420</v>
      </c>
      <c r="O56" s="202">
        <v>-12.397012568185190820025722350</v>
      </c>
      <c r="P56" s="202">
        <v>-6.7560880404352019786134688200</v>
      </c>
      <c r="Q56" s="202">
        <v>-17.894660432117127999857594130</v>
      </c>
      <c r="R56" s="202">
        <v>-6.9024955355962818087792871600</v>
      </c>
      <c r="S56" s="202">
        <v>4.893361054411667034694743900</v>
      </c>
      <c r="T56" s="202">
        <v>14.269924472045763443192921260</v>
      </c>
      <c r="U56" s="202">
        <v>22.029097541356925569878802560</v>
      </c>
      <c r="V56" s="202">
        <v>13.194920426448695003910275460</v>
      </c>
      <c r="W56" s="202">
        <v>-4.7473086480104964221627962500</v>
      </c>
      <c r="X56" s="202">
        <v>-5.8959635336231546270481208300</v>
      </c>
      <c r="Y56" s="202">
        <v>-9.252419317262856741447751570</v>
      </c>
      <c r="Z56" s="202">
        <v>-0.728971474346398148924954300</v>
      </c>
      <c r="AA56" s="202"/>
      <c r="AB56" s="202"/>
      <c r="AC56" s="202"/>
      <c r="AD56" s="202"/>
      <c r="AE56" s="202"/>
      <c r="AF56" s="202"/>
      <c r="AG56" s="290"/>
      <c r="AH56" s="218"/>
      <c r="AI56" s="303">
        <v>6.401902198979339115370688500</v>
      </c>
      <c r="AJ56" s="303">
        <v>3.4618588836301014997350418300</v>
      </c>
      <c r="AK56" s="303">
        <v>4.5356790367442498484104787300</v>
      </c>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c r="BL56" s="244"/>
      <c r="BM56" s="244"/>
    </row>
    <row r="57" ht="14.25">
      <c r="A57" s="24"/>
      <c r="B57" s="49" t="s">
        <v>93</v>
      </c>
      <c r="C57" s="291">
        <v>-26.872174571937355231785076060</v>
      </c>
      <c r="D57" s="292">
        <v>-24.376829337131957946375114960</v>
      </c>
      <c r="E57" s="292">
        <v>-22.589565434451485718250298550</v>
      </c>
      <c r="F57" s="292">
        <v>-11.183414990265685606739497800</v>
      </c>
      <c r="G57" s="292">
        <v>2.1097312128761160077606928700</v>
      </c>
      <c r="H57" s="292">
        <v>-57.238062085002496488448100820</v>
      </c>
      <c r="I57" s="292">
        <v>-38.785093196519790452675660530</v>
      </c>
      <c r="J57" s="292">
        <v>-12.631717140063084440520875870</v>
      </c>
      <c r="K57" s="292">
        <v>1.6140903514388129351212809500</v>
      </c>
      <c r="L57" s="292">
        <v>23.156514948980974863180813780</v>
      </c>
      <c r="M57" s="292">
        <v>-10.952795488226637400431650470</v>
      </c>
      <c r="N57" s="292">
        <v>-8.678311577045359397795105910</v>
      </c>
      <c r="O57" s="292">
        <v>0.6692389844676247717185084300</v>
      </c>
      <c r="P57" s="292">
        <v>-9.247883341852773055157378750</v>
      </c>
      <c r="Q57" s="292">
        <v>9.412554360228533635457998220</v>
      </c>
      <c r="R57" s="292">
        <v>11.281703530282249515315061380</v>
      </c>
      <c r="S57" s="292">
        <v>15.298253434714359757578121470</v>
      </c>
      <c r="T57" s="292">
        <v>-2.6712023900282101846995840600</v>
      </c>
      <c r="U57" s="292">
        <v>8.477961740189978203616967560</v>
      </c>
      <c r="V57" s="292">
        <v>50.999408502719697173371845700</v>
      </c>
      <c r="W57" s="292">
        <v>40.024945607931291095622737750</v>
      </c>
      <c r="X57" s="292">
        <v>33.713632095355844522969629330</v>
      </c>
      <c r="Y57" s="292">
        <v>-3.9371627058328088192374684400</v>
      </c>
      <c r="Z57" s="292">
        <v>1.4134668244886409565234764800</v>
      </c>
      <c r="AA57" s="292"/>
      <c r="AB57" s="292"/>
      <c r="AC57" s="292"/>
      <c r="AD57" s="292"/>
      <c r="AE57" s="292"/>
      <c r="AF57" s="292"/>
      <c r="AG57" s="293"/>
      <c r="AH57" s="218"/>
      <c r="AI57" s="304">
        <v>-8.961400655422905426841186490</v>
      </c>
      <c r="AJ57" s="304">
        <v>-8.696190685475795035441404580</v>
      </c>
      <c r="AK57" s="304">
        <v>-9.540193538323082151449638850</v>
      </c>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c r="BL57" s="244"/>
      <c r="BM57" s="244"/>
    </row>
    <row r="58" ht="13.5" customHeight="1">
      <c r="A58" s="0"/>
      <c r="B58" s="176"/>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0"/>
      <c r="AI58" s="43"/>
      <c r="AJ58" s="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c r="BL58" s="244"/>
      <c r="BM58" s="244"/>
    </row>
    <row r="59">
      <c r="A59" s="4"/>
      <c r="U59" s="4"/>
      <c r="V59" s="4"/>
      <c r="W59" s="4"/>
      <c r="X59" s="4"/>
      <c r="Y59" s="4"/>
      <c r="Z59" s="4"/>
      <c r="AA59" s="4"/>
      <c r="AB59" s="4"/>
      <c r="AC59" s="4"/>
      <c r="AD59" s="4"/>
      <c r="AE59" s="4"/>
      <c r="AF59" s="4"/>
      <c r="AG59" s="4"/>
      <c r="AH59" s="4"/>
      <c r="AI59" s="4"/>
      <c r="AJ59" s="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c r="BL59" s="244"/>
      <c r="BM59" s="244"/>
    </row>
    <row r="60" ht="15">
      <c r="A60" s="9"/>
      <c r="B60" s="657" t="s">
        <v>82</v>
      </c>
      <c r="C60" s="657"/>
      <c r="D60" s="657"/>
      <c r="E60" s="657"/>
      <c r="F60" s="657"/>
      <c r="G60" s="657"/>
      <c r="H60" s="657"/>
      <c r="I60" s="657"/>
      <c r="J60" s="657"/>
      <c r="K60" s="657"/>
      <c r="L60" s="657"/>
      <c r="M60" s="657"/>
      <c r="N60" s="657"/>
      <c r="O60" s="657"/>
      <c r="P60" s="657"/>
      <c r="Q60" s="657"/>
      <c r="R60" s="657"/>
      <c r="S60" s="657"/>
      <c r="T60" s="657"/>
      <c r="U60" s="657"/>
      <c r="V60" s="657"/>
      <c r="W60" s="657"/>
      <c r="X60" s="657"/>
      <c r="Y60" s="657"/>
      <c r="Z60" s="657"/>
      <c r="AA60" s="657"/>
      <c r="AB60" s="657"/>
      <c r="AC60" s="657"/>
      <c r="AD60" s="657"/>
      <c r="AE60" s="657"/>
      <c r="AF60" s="657"/>
      <c r="AG60" s="657"/>
      <c r="AH60" s="657"/>
      <c r="AI60" s="4"/>
      <c r="AJ60" s="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c r="BL60" s="244"/>
      <c r="BM60" s="244"/>
    </row>
    <row r="61" ht="14.25">
      <c r="A61" s="4"/>
      <c r="B61" s="53"/>
      <c r="C61" s="84">
        <v>100</v>
      </c>
      <c r="D61" s="84">
        <v>100</v>
      </c>
      <c r="E61" s="84">
        <v>100</v>
      </c>
      <c r="F61" s="84">
        <v>100</v>
      </c>
      <c r="G61" s="84">
        <v>100</v>
      </c>
      <c r="H61" s="84">
        <v>100</v>
      </c>
      <c r="I61" s="84">
        <v>100</v>
      </c>
      <c r="J61" s="84">
        <v>100</v>
      </c>
      <c r="K61" s="84">
        <v>100</v>
      </c>
      <c r="L61" s="84">
        <v>100</v>
      </c>
      <c r="M61" s="84">
        <v>100</v>
      </c>
      <c r="N61" s="84">
        <v>100</v>
      </c>
      <c r="O61" s="84">
        <v>100</v>
      </c>
      <c r="P61" s="84">
        <v>100</v>
      </c>
      <c r="Q61" s="84">
        <v>100</v>
      </c>
      <c r="R61" s="84">
        <v>100</v>
      </c>
      <c r="S61" s="84">
        <v>100</v>
      </c>
      <c r="T61" s="84">
        <v>100</v>
      </c>
      <c r="U61" s="84">
        <v>100</v>
      </c>
      <c r="V61" s="84">
        <v>100</v>
      </c>
      <c r="W61" s="84">
        <v>100</v>
      </c>
      <c r="X61" s="84">
        <v>100</v>
      </c>
      <c r="Y61" s="84">
        <v>100</v>
      </c>
      <c r="Z61" s="84">
        <v>100</v>
      </c>
      <c r="AA61" s="84">
        <v>100</v>
      </c>
      <c r="AB61" s="84">
        <v>100</v>
      </c>
      <c r="AC61" s="84">
        <v>100</v>
      </c>
      <c r="AD61" s="84">
        <v>100</v>
      </c>
      <c r="AE61" s="84">
        <v>100</v>
      </c>
      <c r="AF61" s="84">
        <v>100</v>
      </c>
      <c r="AG61" s="84">
        <v>100</v>
      </c>
      <c r="AH61" s="4"/>
      <c r="AI61" s="4"/>
      <c r="AJ61" s="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c r="BL61" s="244"/>
      <c r="BM61" s="244"/>
    </row>
    <row r="62" ht="26.1" customHeight="1">
      <c r="A62" s="4"/>
      <c r="B62" s="650" t="s">
        <v>114</v>
      </c>
      <c r="C62" s="650"/>
      <c r="D62" s="650"/>
      <c r="E62" s="650"/>
      <c r="F62" s="650"/>
      <c r="G62" s="650"/>
      <c r="H62" s="650"/>
      <c r="I62" s="650"/>
      <c r="J62" s="650"/>
      <c r="K62" s="650"/>
      <c r="L62" s="650"/>
      <c r="M62" s="650"/>
      <c r="N62" s="650"/>
      <c r="O62" s="650"/>
      <c r="P62" s="650"/>
      <c r="Q62" s="650"/>
      <c r="R62" s="650"/>
      <c r="S62" s="650"/>
      <c r="T62" s="650"/>
      <c r="U62" s="650"/>
      <c r="V62" s="650"/>
      <c r="W62" s="650"/>
      <c r="X62" s="650"/>
      <c r="Y62" s="650"/>
      <c r="Z62" s="650"/>
      <c r="AA62" s="650"/>
      <c r="AB62" s="650"/>
      <c r="AC62" s="650"/>
      <c r="AD62" s="650"/>
      <c r="AE62" s="650"/>
      <c r="AF62" s="650"/>
      <c r="AG62" s="650"/>
      <c r="AH62" s="650"/>
      <c r="AI62" s="650"/>
      <c r="AJ62" s="650"/>
      <c r="AK62" s="650"/>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c r="BL62" s="244"/>
      <c r="BM62" s="24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c r="BL63" s="244"/>
      <c r="BM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c r="BL64" s="244"/>
      <c r="BM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c r="BK65" s="244"/>
      <c r="BL65" s="244"/>
      <c r="BM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c r="BK66" s="244"/>
      <c r="BL66" s="244"/>
      <c r="BM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c r="BK67" s="244"/>
      <c r="BL67" s="244"/>
      <c r="BM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c r="BH68" s="244"/>
      <c r="BI68" s="244"/>
      <c r="BJ68" s="244"/>
      <c r="BK68" s="244"/>
      <c r="BL68" s="244"/>
      <c r="BM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c r="BH69" s="244"/>
      <c r="BI69" s="244"/>
      <c r="BJ69" s="244"/>
      <c r="BK69" s="244"/>
      <c r="BL69" s="244"/>
      <c r="BM69" s="244"/>
    </row>
    <row r="70" s="25" customFormat="1">
      <c r="A70" s="248"/>
      <c r="B70" s="248"/>
      <c r="C70" s="248"/>
      <c r="D70" s="248"/>
      <c r="E70" s="248"/>
      <c r="F70" s="248"/>
      <c r="G70" s="248"/>
      <c r="H70" s="248"/>
      <c r="I70" s="248"/>
      <c r="J70" s="248"/>
      <c r="K70" s="248"/>
      <c r="L70" s="248"/>
      <c r="M70" s="248"/>
      <c r="N70" s="248"/>
      <c r="O70" s="248"/>
      <c r="P70" s="248"/>
      <c r="Q70" s="248"/>
      <c r="R70" s="248"/>
      <c r="S70" s="248"/>
      <c r="T70" s="248"/>
      <c r="U70" s="248"/>
      <c r="V70" s="248"/>
      <c r="W70" s="248"/>
      <c r="X70" s="248"/>
      <c r="Y70" s="248"/>
      <c r="Z70" s="248"/>
      <c r="AA70" s="248"/>
      <c r="AB70" s="248"/>
      <c r="AC70" s="248"/>
      <c r="AD70" s="248"/>
      <c r="AE70" s="248"/>
      <c r="AF70" s="248"/>
      <c r="AG70" s="248"/>
      <c r="AH70" s="248"/>
      <c r="AI70" s="248"/>
      <c r="AJ70" s="248"/>
      <c r="AK70" s="248"/>
      <c r="AL70" s="248"/>
      <c r="AM70" s="248"/>
      <c r="AN70" s="248"/>
      <c r="AO70" s="248"/>
      <c r="AP70" s="248"/>
      <c r="AQ70" s="248"/>
      <c r="AR70" s="248"/>
      <c r="AS70" s="248"/>
      <c r="AT70" s="248"/>
      <c r="AU70" s="248"/>
      <c r="AV70" s="248"/>
      <c r="AW70" s="248"/>
      <c r="AX70" s="248"/>
      <c r="AY70" s="248"/>
      <c r="AZ70" s="248"/>
      <c r="BA70" s="248"/>
      <c r="BB70" s="248"/>
      <c r="BC70" s="248"/>
      <c r="BD70" s="248"/>
      <c r="BE70" s="248"/>
      <c r="BF70" s="248"/>
      <c r="BG70" s="248"/>
      <c r="BH70" s="248"/>
      <c r="BI70" s="248"/>
      <c r="BJ70" s="248"/>
      <c r="BK70" s="248"/>
      <c r="BL70" s="248"/>
      <c r="BM70" s="248"/>
    </row>
    <row r="71" s="25" customFormat="1" ht="10.5" customHeight="1">
      <c r="A71" s="248"/>
      <c r="B71" s="248"/>
      <c r="C71" s="248"/>
      <c r="D71" s="248"/>
      <c r="E71" s="248"/>
      <c r="F71" s="248"/>
      <c r="G71" s="248"/>
      <c r="H71" s="248"/>
      <c r="I71" s="248"/>
      <c r="J71" s="248"/>
      <c r="K71" s="248"/>
      <c r="L71" s="248"/>
      <c r="M71" s="248"/>
      <c r="N71" s="248"/>
      <c r="O71" s="248"/>
      <c r="P71" s="248"/>
      <c r="Q71" s="248"/>
      <c r="R71" s="248"/>
      <c r="S71" s="248"/>
      <c r="T71" s="248"/>
      <c r="U71" s="248"/>
      <c r="V71" s="248"/>
      <c r="W71" s="248"/>
      <c r="X71" s="248"/>
      <c r="Y71" s="248"/>
      <c r="Z71" s="248"/>
      <c r="AA71" s="248"/>
      <c r="AB71" s="248"/>
      <c r="AC71" s="248"/>
      <c r="AD71" s="248"/>
      <c r="AE71" s="248"/>
      <c r="AF71" s="248"/>
      <c r="AG71" s="248"/>
      <c r="AH71" s="248"/>
      <c r="AI71" s="248"/>
      <c r="AJ71" s="248"/>
      <c r="AK71" s="248"/>
      <c r="AL71" s="248"/>
      <c r="AM71" s="248"/>
      <c r="AN71" s="248"/>
      <c r="AO71" s="248"/>
      <c r="AP71" s="248"/>
      <c r="AQ71" s="248"/>
      <c r="AR71" s="248"/>
      <c r="AS71" s="248"/>
      <c r="AT71" s="248"/>
      <c r="AU71" s="248"/>
      <c r="AV71" s="248"/>
      <c r="AW71" s="248"/>
      <c r="AX71" s="248"/>
      <c r="AY71" s="248"/>
      <c r="AZ71" s="248"/>
      <c r="BA71" s="248"/>
      <c r="BB71" s="248"/>
      <c r="BC71" s="248"/>
      <c r="BD71" s="248"/>
      <c r="BE71" s="248"/>
      <c r="BF71" s="248"/>
      <c r="BG71" s="248"/>
      <c r="BH71" s="248"/>
      <c r="BI71" s="248"/>
      <c r="BJ71" s="248"/>
      <c r="BK71" s="248"/>
      <c r="BL71" s="248"/>
      <c r="BM71" s="248"/>
    </row>
    <row r="72" s="25" customFormat="1">
      <c r="A72" s="248"/>
      <c r="B72" s="248"/>
      <c r="C72" s="248"/>
      <c r="D72" s="248"/>
      <c r="E72" s="248"/>
      <c r="F72" s="248"/>
      <c r="G72" s="248"/>
      <c r="H72" s="248"/>
      <c r="I72" s="248"/>
      <c r="J72" s="248"/>
      <c r="K72" s="248"/>
      <c r="L72" s="248"/>
      <c r="M72" s="248"/>
      <c r="N72" s="248"/>
      <c r="O72" s="248"/>
      <c r="P72" s="248"/>
      <c r="Q72" s="248"/>
      <c r="R72" s="248"/>
      <c r="S72" s="248"/>
      <c r="T72" s="248"/>
      <c r="U72" s="248"/>
      <c r="V72" s="248"/>
      <c r="W72" s="248"/>
      <c r="X72" s="248"/>
      <c r="Y72" s="248"/>
      <c r="Z72" s="248"/>
      <c r="AA72" s="248"/>
      <c r="AB72" s="248"/>
      <c r="AC72" s="248"/>
      <c r="AD72" s="248"/>
      <c r="AE72" s="248"/>
      <c r="AF72" s="248"/>
      <c r="AG72" s="248"/>
      <c r="AH72" s="248"/>
      <c r="AI72" s="248"/>
      <c r="AJ72" s="248"/>
      <c r="AK72" s="248"/>
      <c r="AL72" s="248"/>
      <c r="AM72" s="248"/>
      <c r="AN72" s="248"/>
      <c r="AO72" s="248"/>
      <c r="AP72" s="248"/>
      <c r="AQ72" s="248"/>
      <c r="AR72" s="248"/>
      <c r="AS72" s="248"/>
      <c r="AT72" s="248"/>
      <c r="AU72" s="248"/>
      <c r="AV72" s="248"/>
      <c r="AW72" s="248"/>
      <c r="AX72" s="248"/>
      <c r="AY72" s="248"/>
      <c r="AZ72" s="248"/>
      <c r="BA72" s="248"/>
      <c r="BB72" s="248"/>
      <c r="BC72" s="248"/>
      <c r="BD72" s="248"/>
      <c r="BE72" s="248"/>
      <c r="BF72" s="248"/>
      <c r="BG72" s="248"/>
      <c r="BH72" s="248"/>
      <c r="BI72" s="248"/>
      <c r="BJ72" s="248"/>
      <c r="BK72" s="248"/>
      <c r="BL72" s="248"/>
      <c r="BM72" s="248"/>
    </row>
    <row r="73" s="84" customFormat="1">
      <c r="A73" s="249"/>
      <c r="B73" s="249"/>
      <c r="C73" s="249"/>
      <c r="D73" s="249"/>
      <c r="E73" s="249"/>
      <c r="F73" s="249"/>
      <c r="G73" s="249"/>
      <c r="H73" s="249"/>
      <c r="I73" s="249"/>
      <c r="J73" s="249"/>
      <c r="K73" s="249"/>
      <c r="L73" s="249"/>
      <c r="M73" s="249"/>
      <c r="N73" s="249"/>
      <c r="O73" s="249"/>
      <c r="P73" s="249"/>
      <c r="Q73" s="249"/>
      <c r="R73" s="249"/>
      <c r="S73" s="249"/>
      <c r="T73" s="249"/>
      <c r="U73" s="249"/>
      <c r="V73" s="249"/>
      <c r="W73" s="249"/>
      <c r="X73" s="249"/>
      <c r="Y73" s="249"/>
      <c r="Z73" s="249"/>
      <c r="AA73" s="249"/>
      <c r="AB73" s="249"/>
      <c r="AC73" s="249"/>
      <c r="AD73" s="249"/>
      <c r="AE73" s="249"/>
      <c r="AF73" s="249"/>
      <c r="AG73" s="249"/>
      <c r="AH73" s="249"/>
      <c r="AI73" s="249"/>
      <c r="AJ73" s="249"/>
      <c r="AK73" s="249"/>
      <c r="AL73" s="249"/>
      <c r="AM73" s="249"/>
      <c r="AN73" s="249"/>
      <c r="AO73" s="249"/>
      <c r="AP73" s="249"/>
      <c r="AQ73" s="249"/>
      <c r="AR73" s="249"/>
      <c r="AS73" s="249"/>
      <c r="AT73" s="249"/>
      <c r="AU73" s="249"/>
      <c r="AV73" s="249"/>
      <c r="AW73" s="249"/>
      <c r="AX73" s="249"/>
      <c r="AY73" s="249"/>
      <c r="AZ73" s="249"/>
      <c r="BA73" s="249"/>
      <c r="BB73" s="249"/>
      <c r="BC73" s="249"/>
      <c r="BD73" s="249"/>
      <c r="BE73" s="249"/>
      <c r="BF73" s="249"/>
      <c r="BG73" s="249"/>
      <c r="BH73" s="249"/>
      <c r="BI73" s="249"/>
      <c r="BJ73" s="249"/>
      <c r="BK73" s="249"/>
      <c r="BL73" s="249"/>
      <c r="BM73" s="249"/>
    </row>
    <row r="74" s="84" customFormat="1">
      <c r="A74" s="249"/>
      <c r="B74" s="249"/>
      <c r="C74" s="249"/>
      <c r="D74" s="249"/>
      <c r="E74" s="249"/>
      <c r="F74" s="249"/>
      <c r="G74" s="249"/>
      <c r="H74" s="249"/>
      <c r="I74" s="249"/>
      <c r="J74" s="249"/>
      <c r="K74" s="249"/>
      <c r="L74" s="249"/>
      <c r="M74" s="249"/>
      <c r="N74" s="249"/>
      <c r="O74" s="249"/>
      <c r="P74" s="249"/>
      <c r="Q74" s="249"/>
      <c r="R74" s="249"/>
      <c r="S74" s="249"/>
      <c r="T74" s="249"/>
      <c r="U74" s="249"/>
      <c r="V74" s="249"/>
      <c r="W74" s="249"/>
      <c r="X74" s="249"/>
      <c r="Y74" s="249"/>
      <c r="Z74" s="249"/>
      <c r="AA74" s="249"/>
      <c r="AB74" s="249"/>
      <c r="AC74" s="249"/>
      <c r="AD74" s="249"/>
      <c r="AE74" s="249"/>
      <c r="AF74" s="249"/>
      <c r="AG74" s="249"/>
      <c r="AH74" s="249"/>
      <c r="AI74" s="249"/>
      <c r="AJ74" s="249"/>
      <c r="AK74" s="249"/>
      <c r="AL74" s="249"/>
      <c r="AM74" s="249"/>
      <c r="AN74" s="249"/>
      <c r="AO74" s="249"/>
      <c r="AP74" s="249"/>
      <c r="AQ74" s="249"/>
      <c r="AR74" s="249"/>
      <c r="AS74" s="249"/>
      <c r="AT74" s="249"/>
      <c r="AU74" s="249"/>
      <c r="AV74" s="249"/>
      <c r="AW74" s="249"/>
      <c r="AX74" s="249"/>
      <c r="AY74" s="249"/>
      <c r="AZ74" s="249"/>
      <c r="BA74" s="249"/>
      <c r="BB74" s="249"/>
      <c r="BC74" s="249"/>
      <c r="BD74" s="249"/>
      <c r="BE74" s="249"/>
      <c r="BF74" s="249"/>
      <c r="BG74" s="249"/>
      <c r="BH74" s="249"/>
      <c r="BI74" s="249"/>
      <c r="BJ74" s="249"/>
      <c r="BK74" s="249"/>
      <c r="BL74" s="249"/>
      <c r="BM74" s="249"/>
    </row>
    <row r="75" s="84" customFormat="1">
      <c r="A75" s="249"/>
      <c r="B75" s="249"/>
      <c r="C75" s="249"/>
      <c r="D75" s="249"/>
      <c r="E75" s="249"/>
      <c r="F75" s="249"/>
      <c r="G75" s="249"/>
      <c r="H75" s="249"/>
      <c r="I75" s="249"/>
      <c r="J75" s="249"/>
      <c r="K75" s="249"/>
      <c r="L75" s="249"/>
      <c r="M75" s="249"/>
      <c r="N75" s="249"/>
      <c r="O75" s="249"/>
      <c r="P75" s="249"/>
      <c r="Q75" s="249"/>
      <c r="R75" s="249"/>
      <c r="S75" s="249"/>
      <c r="T75" s="249"/>
      <c r="U75" s="249"/>
      <c r="V75" s="249"/>
      <c r="W75" s="249"/>
      <c r="X75" s="249"/>
      <c r="Y75" s="249"/>
      <c r="Z75" s="249"/>
      <c r="AA75" s="249"/>
      <c r="AB75" s="249"/>
      <c r="AC75" s="249"/>
      <c r="AD75" s="249"/>
      <c r="AE75" s="249"/>
      <c r="AF75" s="249"/>
      <c r="AG75" s="249"/>
      <c r="AH75" s="249"/>
      <c r="AI75" s="249"/>
      <c r="AJ75" s="249"/>
      <c r="AK75" s="249"/>
      <c r="AL75" s="249"/>
      <c r="AM75" s="249"/>
      <c r="AN75" s="249"/>
      <c r="AO75" s="249"/>
      <c r="AP75" s="249"/>
      <c r="AQ75" s="249"/>
      <c r="AR75" s="249"/>
      <c r="AS75" s="249"/>
      <c r="AT75" s="249"/>
      <c r="AU75" s="249"/>
      <c r="AV75" s="249"/>
      <c r="AW75" s="249"/>
      <c r="AX75" s="249"/>
      <c r="AY75" s="249"/>
      <c r="AZ75" s="249"/>
      <c r="BA75" s="249"/>
      <c r="BB75" s="249"/>
      <c r="BC75" s="249"/>
      <c r="BD75" s="249"/>
      <c r="BE75" s="249"/>
      <c r="BF75" s="249"/>
      <c r="BG75" s="249"/>
      <c r="BH75" s="249"/>
      <c r="BI75" s="249"/>
      <c r="BJ75" s="249"/>
      <c r="BK75" s="249"/>
      <c r="BL75" s="249"/>
      <c r="BM75" s="249"/>
    </row>
    <row r="76" s="84" customFormat="1">
      <c r="A76" s="250"/>
      <c r="B76" s="250"/>
      <c r="C76" s="250"/>
      <c r="D76" s="250"/>
      <c r="E76" s="250"/>
      <c r="F76" s="250"/>
      <c r="G76" s="250"/>
      <c r="H76" s="250"/>
      <c r="I76" s="249"/>
      <c r="J76" s="249"/>
      <c r="K76" s="249"/>
      <c r="L76" s="249"/>
      <c r="M76" s="249"/>
      <c r="N76" s="249"/>
      <c r="O76" s="249"/>
      <c r="P76" s="249"/>
      <c r="Q76" s="249"/>
      <c r="R76" s="249"/>
      <c r="S76" s="249"/>
      <c r="T76" s="249"/>
      <c r="U76" s="249"/>
      <c r="V76" s="249"/>
      <c r="W76" s="249"/>
      <c r="X76" s="249"/>
      <c r="Y76" s="249"/>
      <c r="Z76" s="249"/>
      <c r="AA76" s="249"/>
      <c r="AB76" s="249"/>
      <c r="AC76" s="249"/>
      <c r="AD76" s="249"/>
      <c r="AE76" s="249"/>
      <c r="AF76" s="249"/>
      <c r="AG76" s="249"/>
      <c r="AH76" s="249"/>
      <c r="AI76" s="249"/>
      <c r="AJ76" s="249"/>
      <c r="AK76" s="249"/>
      <c r="AL76" s="249"/>
      <c r="AM76" s="249"/>
      <c r="AN76" s="249"/>
      <c r="AO76" s="249"/>
      <c r="AP76" s="249"/>
      <c r="AQ76" s="249"/>
      <c r="AR76" s="249"/>
      <c r="AS76" s="249"/>
      <c r="AT76" s="249"/>
      <c r="AU76" s="249"/>
      <c r="AV76" s="249"/>
      <c r="AW76" s="249"/>
      <c r="AX76" s="249"/>
      <c r="AY76" s="249"/>
      <c r="AZ76" s="249"/>
      <c r="BA76" s="249"/>
      <c r="BB76" s="249"/>
      <c r="BC76" s="249"/>
      <c r="BD76" s="249"/>
      <c r="BE76" s="249"/>
      <c r="BF76" s="249"/>
      <c r="BG76" s="249"/>
      <c r="BH76" s="249"/>
      <c r="BI76" s="249"/>
      <c r="BJ76" s="249"/>
      <c r="BK76" s="249"/>
      <c r="BL76" s="249"/>
      <c r="BM76" s="249"/>
    </row>
    <row r="77" s="84" customFormat="1">
      <c r="A77" s="250"/>
      <c r="B77" s="250"/>
      <c r="C77" s="250"/>
      <c r="D77" s="250"/>
      <c r="E77" s="250"/>
      <c r="F77" s="250"/>
      <c r="G77" s="250"/>
      <c r="H77" s="250"/>
      <c r="I77" s="249"/>
      <c r="J77" s="249"/>
      <c r="K77" s="249"/>
      <c r="L77" s="249"/>
      <c r="M77" s="249"/>
      <c r="N77" s="249"/>
      <c r="O77" s="249"/>
      <c r="P77" s="249"/>
      <c r="Q77" s="249"/>
      <c r="R77" s="249"/>
      <c r="S77" s="249"/>
      <c r="T77" s="249"/>
      <c r="U77" s="249"/>
      <c r="V77" s="249"/>
      <c r="W77" s="249"/>
      <c r="X77" s="249"/>
      <c r="Y77" s="249"/>
      <c r="Z77" s="249"/>
      <c r="AA77" s="249"/>
      <c r="AB77" s="249"/>
      <c r="AC77" s="249"/>
      <c r="AD77" s="249"/>
      <c r="AE77" s="249"/>
      <c r="AF77" s="249"/>
      <c r="AG77" s="249"/>
      <c r="AH77" s="249"/>
      <c r="AI77" s="249"/>
      <c r="AJ77" s="249"/>
      <c r="AK77" s="249"/>
      <c r="AL77" s="249"/>
      <c r="AM77" s="249"/>
      <c r="AN77" s="249"/>
      <c r="AO77" s="249"/>
      <c r="AP77" s="249"/>
      <c r="AQ77" s="249"/>
      <c r="AR77" s="249"/>
      <c r="AS77" s="249"/>
      <c r="AT77" s="249"/>
      <c r="AU77" s="249"/>
      <c r="AV77" s="249"/>
      <c r="AW77" s="249"/>
      <c r="AX77" s="249"/>
      <c r="AY77" s="249"/>
      <c r="AZ77" s="249"/>
      <c r="BA77" s="249"/>
      <c r="BB77" s="249"/>
      <c r="BC77" s="249"/>
      <c r="BD77" s="249"/>
      <c r="BE77" s="249"/>
      <c r="BF77" s="249"/>
      <c r="BG77" s="249"/>
      <c r="BH77" s="249"/>
      <c r="BI77" s="249"/>
      <c r="BJ77" s="249"/>
      <c r="BK77" s="249"/>
      <c r="BL77" s="249"/>
      <c r="BM77" s="249"/>
    </row>
    <row r="78" s="84" customFormat="1">
      <c r="A78" s="250"/>
      <c r="B78" s="250"/>
      <c r="C78" s="250"/>
      <c r="D78" s="250"/>
      <c r="E78" s="250"/>
      <c r="F78" s="250"/>
      <c r="G78" s="250"/>
      <c r="H78" s="250"/>
      <c r="I78" s="249"/>
      <c r="J78" s="249"/>
      <c r="K78" s="249"/>
      <c r="L78" s="249"/>
      <c r="M78" s="249"/>
      <c r="N78" s="249"/>
      <c r="O78" s="249"/>
      <c r="P78" s="249"/>
      <c r="Q78" s="249"/>
      <c r="R78" s="249"/>
      <c r="S78" s="249"/>
      <c r="T78" s="249"/>
      <c r="U78" s="249"/>
      <c r="V78" s="249"/>
      <c r="W78" s="249"/>
      <c r="X78" s="249"/>
      <c r="Y78" s="249"/>
      <c r="Z78" s="249"/>
      <c r="AA78" s="249"/>
      <c r="AB78" s="249"/>
      <c r="AC78" s="249"/>
      <c r="AD78" s="249"/>
      <c r="AE78" s="249"/>
      <c r="AF78" s="249"/>
      <c r="AG78" s="249"/>
      <c r="AH78" s="249"/>
      <c r="AI78" s="249"/>
      <c r="AJ78" s="249"/>
      <c r="AK78" s="249"/>
      <c r="AL78" s="249"/>
      <c r="AM78" s="249"/>
      <c r="AN78" s="249"/>
      <c r="AO78" s="249"/>
      <c r="AP78" s="249"/>
      <c r="AQ78" s="249"/>
      <c r="AR78" s="249"/>
      <c r="AS78" s="249"/>
      <c r="AT78" s="249"/>
      <c r="AU78" s="249"/>
      <c r="AV78" s="249"/>
      <c r="AW78" s="249"/>
      <c r="AX78" s="249"/>
      <c r="AY78" s="249"/>
      <c r="AZ78" s="249"/>
      <c r="BA78" s="249"/>
      <c r="BB78" s="249"/>
      <c r="BC78" s="249"/>
      <c r="BD78" s="249"/>
      <c r="BE78" s="249"/>
      <c r="BF78" s="249"/>
      <c r="BG78" s="249"/>
      <c r="BH78" s="249"/>
      <c r="BI78" s="249"/>
      <c r="BJ78" s="249"/>
      <c r="BK78" s="249"/>
      <c r="BL78" s="249"/>
      <c r="BM78" s="249"/>
    </row>
    <row r="79" s="84" customFormat="1">
      <c r="A79" s="249"/>
      <c r="B79" s="249"/>
      <c r="C79" s="249"/>
      <c r="D79" s="249"/>
      <c r="E79" s="249"/>
      <c r="F79" s="249"/>
      <c r="G79" s="249"/>
      <c r="H79" s="249"/>
      <c r="I79" s="249"/>
      <c r="J79" s="249"/>
      <c r="K79" s="249"/>
      <c r="L79" s="249"/>
      <c r="M79" s="249"/>
      <c r="N79" s="249"/>
      <c r="O79" s="249"/>
      <c r="P79" s="249"/>
      <c r="Q79" s="249"/>
      <c r="R79" s="249"/>
      <c r="S79" s="249"/>
      <c r="T79" s="249"/>
      <c r="U79" s="249"/>
      <c r="V79" s="249"/>
      <c r="W79" s="249"/>
      <c r="X79" s="249"/>
      <c r="Y79" s="249"/>
      <c r="Z79" s="249"/>
      <c r="AA79" s="249"/>
      <c r="AB79" s="249"/>
      <c r="AC79" s="249"/>
      <c r="AD79" s="249"/>
      <c r="AE79" s="249"/>
      <c r="AF79" s="249"/>
      <c r="AG79" s="249"/>
      <c r="AH79" s="249"/>
      <c r="AI79" s="249"/>
      <c r="AJ79" s="249"/>
      <c r="AK79" s="249"/>
      <c r="AL79" s="249"/>
      <c r="AM79" s="249"/>
      <c r="AN79" s="249"/>
      <c r="AO79" s="249"/>
      <c r="AP79" s="249"/>
      <c r="AQ79" s="249"/>
      <c r="AR79" s="249"/>
      <c r="AS79" s="249"/>
      <c r="AT79" s="249"/>
      <c r="AU79" s="249"/>
      <c r="AV79" s="249"/>
      <c r="AW79" s="249"/>
      <c r="AX79" s="249"/>
      <c r="AY79" s="249"/>
      <c r="AZ79" s="249"/>
      <c r="BA79" s="249"/>
      <c r="BB79" s="249"/>
      <c r="BC79" s="249"/>
      <c r="BD79" s="249"/>
      <c r="BE79" s="249"/>
      <c r="BF79" s="249"/>
      <c r="BG79" s="249"/>
      <c r="BH79" s="249"/>
      <c r="BI79" s="249"/>
      <c r="BJ79" s="249"/>
      <c r="BK79" s="249"/>
      <c r="BL79" s="249"/>
      <c r="BM79" s="249"/>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c r="BL80" s="244"/>
      <c r="BM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c r="BL81" s="244"/>
      <c r="BM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c r="BL82" s="244"/>
      <c r="BM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c r="BL83" s="244"/>
      <c r="BM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c r="BL84" s="244"/>
      <c r="BM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c r="BL85" s="244"/>
      <c r="BM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c r="BL86" s="244"/>
      <c r="BM86" s="244"/>
    </row>
    <row r="87">
      <c r="A87" s="244"/>
      <c r="B87" s="244"/>
      <c r="C87" s="244"/>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c r="BL87" s="244"/>
      <c r="BM87" s="244"/>
    </row>
    <row r="88">
      <c r="A88" s="244"/>
      <c r="B88" s="244"/>
      <c r="C88" s="244"/>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c r="BL88" s="244"/>
      <c r="BM88" s="244"/>
    </row>
    <row r="89">
      <c r="A89" s="244"/>
      <c r="B89" s="244"/>
      <c r="C89" s="244"/>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c r="BL89" s="244"/>
      <c r="BM89" s="244"/>
    </row>
    <row r="90">
      <c r="A90" s="244"/>
      <c r="B90" s="244"/>
      <c r="C90" s="244"/>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c r="BL90" s="244"/>
      <c r="BM90" s="244"/>
    </row>
    <row r="91">
      <c r="A91" s="244"/>
      <c r="B91" s="244"/>
      <c r="C91" s="244"/>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c r="BL91" s="244"/>
      <c r="BM91" s="244"/>
    </row>
    <row r="92">
      <c r="A92" s="244"/>
      <c r="B92" s="244"/>
      <c r="C92" s="244"/>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c r="BL92" s="244"/>
      <c r="BM92" s="244"/>
    </row>
    <row r="93">
      <c r="A93" s="244"/>
      <c r="B93" s="244"/>
      <c r="C93" s="244"/>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c r="BL93" s="244"/>
      <c r="BM93" s="244"/>
    </row>
    <row r="94">
      <c r="A94" s="244"/>
      <c r="B94" s="244"/>
      <c r="C94" s="244"/>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c r="BL94" s="244"/>
      <c r="BM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c r="BL95" s="244"/>
      <c r="BM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c r="BL96" s="244"/>
      <c r="BM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c r="BL97" s="244"/>
      <c r="BM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c r="BL98" s="244"/>
      <c r="BM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c r="BL99" s="244"/>
      <c r="BM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c r="BL100" s="244"/>
      <c r="BM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c r="BL101" s="244"/>
      <c r="BM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c r="BL102" s="244"/>
      <c r="BM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c r="BL103" s="244"/>
      <c r="BM103" s="244"/>
    </row>
  </sheetData>
  <mergeCells count="8">
    <mergeCell ref="B62:AK62"/>
    <mergeCell ref="T4:AI4"/>
    <mergeCell ref="B48:B49"/>
    <mergeCell ref="X22:AD22"/>
    <mergeCell ref="X35:AD35"/>
    <mergeCell ref="X47:AD47"/>
    <mergeCell ref="B24:B25"/>
    <mergeCell ref="B36:B37"/>
  </mergeCells>
  <phoneticPr fontId="0" type="noConversion"/>
  <printOptions horizontalCentered="1" verticalCentered="1"/>
  <pageMargins left="0.25" right="0.25" top="0.25" bottom="0.25" header="0" footer="0"/>
  <pageSetup scale="45" orientation="landscape" r:id="rId1"/>
  <headerFooter alignWithMargins="0">
    <oddHeader/>
    <oddFooter/>
  </headerFooter>
  <drawing r:id="rId37"/>
</worksheet>
</file>

<file path=xl/worksheets/sheet37.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G105"/>
  <sheetViews>
    <sheetView showGridLines="0" zoomScale="75" workbookViewId="0"/>
  </sheetViews>
  <sheetFormatPr defaultRowHeight="12.75"/>
  <cols>
    <col min="1" max="1" width="13.28515625" customWidth="1"/>
    <col min="2" max="2" width="3.85546875" customWidth="1"/>
    <col min="3" max="3" width="4.28515625" style="30" customWidth="1"/>
    <col min="4" max="15" width="7.7109375" customWidth="1"/>
    <col min="16" max="16" width="1.42578125" customWidth="1"/>
    <col min="17" max="28" width="7.7109375" customWidth="1"/>
    <col min="29" max="29" width="2.28515625" customWidth="1"/>
    <col min="30" max="32" width="9.140625" customWidth="1"/>
  </cols>
  <sheetData>
    <row r="1" ht="23.25">
      <c r="A1" s="39" t="s">
        <v>127</v>
      </c>
      <c r="B1" s="39"/>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row>
    <row r="2" ht="15" customHeight="1">
      <c r="A2" s="10" t="s">
        <v>168</v>
      </c>
      <c r="AA2" s="216"/>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row>
    <row r="3" ht="17.1" customHeight="1">
      <c r="A3" s="10" t="s">
        <v>181</v>
      </c>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row>
    <row r="4" ht="17.1" customHeight="1">
      <c r="A4" t="s">
        <v>182</v>
      </c>
      <c r="B4" s="442"/>
      <c r="C4" s="211"/>
      <c r="D4" s="212"/>
      <c r="E4" s="212"/>
      <c r="F4" s="212"/>
      <c r="G4" s="212"/>
      <c r="H4" s="212"/>
      <c r="I4" s="212"/>
      <c r="J4" s="212"/>
      <c r="K4" s="212"/>
      <c r="L4" s="212"/>
      <c r="M4" s="212"/>
      <c r="N4" s="212"/>
      <c r="O4" s="212"/>
      <c r="P4" s="212"/>
      <c r="Q4" s="212"/>
      <c r="R4" s="667" t="s">
        <v>184</v>
      </c>
      <c r="S4" s="667"/>
      <c r="T4" s="667"/>
      <c r="U4" s="667"/>
      <c r="V4" s="667"/>
      <c r="W4" s="667"/>
      <c r="X4" s="667"/>
      <c r="Y4" s="667"/>
      <c r="Z4" s="667"/>
      <c r="AA4" s="667"/>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row>
    <row r="7" ht="15.75">
      <c r="D7" s="621" t="s">
        <v>54</v>
      </c>
      <c r="E7" s="621"/>
      <c r="F7" s="621"/>
      <c r="G7" s="621"/>
      <c r="H7" s="621"/>
      <c r="I7" s="621"/>
      <c r="J7" s="621"/>
      <c r="K7" s="621"/>
      <c r="L7" s="621"/>
      <c r="M7" s="621"/>
      <c r="N7" s="621"/>
      <c r="O7" s="621"/>
      <c r="Q7" s="621" t="s">
        <v>86</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row>
    <row r="8" ht="15.75">
      <c r="D8" s="619" t="s">
        <v>21</v>
      </c>
      <c r="E8" s="619"/>
      <c r="F8" s="619"/>
      <c r="G8" s="619" t="s">
        <v>24</v>
      </c>
      <c r="H8" s="619"/>
      <c r="I8" s="619"/>
      <c r="J8" s="619" t="s">
        <v>25</v>
      </c>
      <c r="K8" s="619"/>
      <c r="L8" s="619"/>
      <c r="M8" s="619" t="s">
        <v>23</v>
      </c>
      <c r="N8" s="619"/>
      <c r="O8" s="619"/>
      <c r="Q8" s="619" t="s">
        <v>21</v>
      </c>
      <c r="R8" s="619"/>
      <c r="S8" s="619"/>
      <c r="T8" s="619" t="s">
        <v>24</v>
      </c>
      <c r="U8" s="619"/>
      <c r="V8" s="619"/>
      <c r="W8" s="619" t="s">
        <v>25</v>
      </c>
      <c r="X8" s="619"/>
      <c r="Y8" s="619"/>
      <c r="Z8" s="619" t="s">
        <v>23</v>
      </c>
      <c r="AA8" s="619"/>
      <c r="AB8" s="619"/>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row>
    <row r="9" ht="27" customHeight="1">
      <c r="A9" s="92"/>
      <c r="D9" s="339" t="s">
        <v>63</v>
      </c>
      <c r="E9" s="340" t="s">
        <v>26</v>
      </c>
      <c r="F9" s="341" t="s">
        <v>185</v>
      </c>
      <c r="G9" s="339" t="s">
        <v>63</v>
      </c>
      <c r="H9" s="340" t="s">
        <v>26</v>
      </c>
      <c r="I9" s="341" t="s">
        <v>185</v>
      </c>
      <c r="J9" s="340" t="s">
        <v>63</v>
      </c>
      <c r="K9" s="340" t="s">
        <v>26</v>
      </c>
      <c r="L9" s="341" t="s">
        <v>185</v>
      </c>
      <c r="M9" s="339" t="s">
        <v>63</v>
      </c>
      <c r="N9" s="340" t="s">
        <v>26</v>
      </c>
      <c r="O9" s="341" t="s">
        <v>185</v>
      </c>
      <c r="P9" s="96"/>
      <c r="Q9" s="339" t="s">
        <v>63</v>
      </c>
      <c r="R9" s="340" t="s">
        <v>26</v>
      </c>
      <c r="S9" s="341" t="s">
        <v>185</v>
      </c>
      <c r="T9" s="339" t="s">
        <v>63</v>
      </c>
      <c r="U9" s="340" t="s">
        <v>26</v>
      </c>
      <c r="V9" s="341" t="s">
        <v>185</v>
      </c>
      <c r="W9" s="340" t="s">
        <v>63</v>
      </c>
      <c r="X9" s="340" t="s">
        <v>26</v>
      </c>
      <c r="Y9" s="341" t="s">
        <v>185</v>
      </c>
      <c r="Z9" s="339" t="s">
        <v>63</v>
      </c>
      <c r="AA9" s="340" t="s">
        <v>26</v>
      </c>
      <c r="AB9" s="341" t="s">
        <v>185</v>
      </c>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row>
    <row r="10" ht="15.6" customHeight="1">
      <c r="A10" s="92" t="s">
        <v>186</v>
      </c>
      <c r="B10" s="342">
        <v>27</v>
      </c>
      <c r="C10" s="350" t="s">
        <v>49</v>
      </c>
      <c r="D10" s="354">
        <v>78.030303030303030303030303030</v>
      </c>
      <c r="E10" s="355">
        <v>83.99513442190334817746989939</v>
      </c>
      <c r="F10" s="356">
        <v>57.002132688529009529541966710</v>
      </c>
      <c r="G10" s="354">
        <v>3.7878787878787878787878787900</v>
      </c>
      <c r="H10" s="355">
        <v>6.4118423222826983341580075900</v>
      </c>
      <c r="I10" s="356">
        <v>18.500131629292767106280716770</v>
      </c>
      <c r="J10" s="355">
        <v>0</v>
      </c>
      <c r="K10" s="355">
        <v>0</v>
      </c>
      <c r="L10" s="356">
        <v>7.2211221903629799067693298600</v>
      </c>
      <c r="M10" s="354">
        <v>81.81818181818181818181818182</v>
      </c>
      <c r="N10" s="355">
        <v>90.40697674418604651162790698</v>
      </c>
      <c r="O10" s="356">
        <v>82.72338650818475654259201335</v>
      </c>
      <c r="P10" s="4"/>
      <c r="Q10" s="354">
        <v>-17.600000000026367999999991560</v>
      </c>
      <c r="R10" s="355">
        <v>-0.3003928533613449242146974700</v>
      </c>
      <c r="S10" s="356">
        <v>11.891654121136714243778896710</v>
      </c>
      <c r="T10" s="354">
        <v>25.000000000125000000000125070</v>
      </c>
      <c r="U10" s="355">
        <v>0</v>
      </c>
      <c r="V10" s="356">
        <v>63.867428097075340808009007350</v>
      </c>
      <c r="W10" s="355">
        <v>0</v>
      </c>
      <c r="X10" s="355">
        <v>0</v>
      </c>
      <c r="Y10" s="356">
        <v>12.775229353701075023496448100</v>
      </c>
      <c r="Z10" s="354">
        <v>-16.279069767465224445646288770</v>
      </c>
      <c r="AA10" s="355">
        <v>7.3102641807332088983643332600</v>
      </c>
      <c r="AB10" s="356">
        <v>20.523289264886880503267437580</v>
      </c>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row>
    <row r="11" ht="15.6" customHeight="1">
      <c r="A11" s="92"/>
      <c r="B11" s="344">
        <v>28</v>
      </c>
      <c r="C11" s="351" t="s">
        <v>47</v>
      </c>
      <c r="D11" s="327">
        <v>76.515151515151515151515151520</v>
      </c>
      <c r="E11" s="171">
        <v>87.83085985312117503059975520</v>
      </c>
      <c r="F11" s="328">
        <v>55.331492607082184886226474620</v>
      </c>
      <c r="G11" s="327">
        <v>17.424242424242424242424242420</v>
      </c>
      <c r="H11" s="171">
        <v>9.262163402692778457772337820</v>
      </c>
      <c r="I11" s="328">
        <v>25.873195996598148904644541990</v>
      </c>
      <c r="J11" s="171">
        <v>0</v>
      </c>
      <c r="K11" s="171">
        <v>0</v>
      </c>
      <c r="L11" s="328">
        <v>7.159402731946816662679186700</v>
      </c>
      <c r="M11" s="327">
        <v>93.93939393939393939393939394</v>
      </c>
      <c r="N11" s="171">
        <v>97.09302325581395348837209302</v>
      </c>
      <c r="O11" s="328">
        <v>88.36409133562715045355020332</v>
      </c>
      <c r="P11" s="4"/>
      <c r="Q11" s="327">
        <v>-4.7169811320395158419366186800</v>
      </c>
      <c r="R11" s="171">
        <v>26.900449236049031466354096740</v>
      </c>
      <c r="S11" s="328">
        <v>22.957329091590720161011101240</v>
      </c>
      <c r="T11" s="327">
        <v>43.750000000143750000000143720</v>
      </c>
      <c r="U11" s="171">
        <v>0</v>
      </c>
      <c r="V11" s="328">
        <v>38.373782381617063722885315540</v>
      </c>
      <c r="W11" s="171">
        <v>0</v>
      </c>
      <c r="X11" s="171">
        <v>0</v>
      </c>
      <c r="Y11" s="328">
        <v>11.728039479801472761196980790</v>
      </c>
      <c r="Z11" s="327">
        <v>1.6393442623417360924482880100</v>
      </c>
      <c r="AA11" s="171">
        <v>40.282678428214202057351437850</v>
      </c>
      <c r="AB11" s="328">
        <v>26.042658004238101892864731910</v>
      </c>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row>
    <row r="12" ht="15.6" customHeight="1">
      <c r="A12" s="92"/>
      <c r="B12" s="346">
        <v>29</v>
      </c>
      <c r="C12" s="352" t="s">
        <v>48</v>
      </c>
      <c r="D12" s="359">
        <v>78.787878787878787878787878790</v>
      </c>
      <c r="E12" s="170">
        <v>91.04460541364849409073579870</v>
      </c>
      <c r="F12" s="360">
        <v>56.099839876039360845703593070</v>
      </c>
      <c r="G12" s="359">
        <v>18.181818181818181818181818180</v>
      </c>
      <c r="H12" s="170">
        <v>6.0484178421654593976362943200</v>
      </c>
      <c r="I12" s="360">
        <v>28.087672185580945134053481320</v>
      </c>
      <c r="J12" s="170">
        <v>0</v>
      </c>
      <c r="K12" s="170">
        <v>0</v>
      </c>
      <c r="L12" s="360">
        <v>7.0542771157334631788291001500</v>
      </c>
      <c r="M12" s="359">
        <v>96.96969696969696969696969697</v>
      </c>
      <c r="N12" s="170">
        <v>97.09302325581395348837209302</v>
      </c>
      <c r="O12" s="360">
        <v>91.24178917735376915858617454</v>
      </c>
      <c r="P12" s="4"/>
      <c r="Q12" s="359">
        <v>-4.5871559633517717363858009200</v>
      </c>
      <c r="R12" s="170">
        <v>42.875242203430192955708730530</v>
      </c>
      <c r="S12" s="360">
        <v>27.730062409212217000355188240</v>
      </c>
      <c r="T12" s="359">
        <v>33.333333332977777777778725910</v>
      </c>
      <c r="U12" s="170">
        <v>0</v>
      </c>
      <c r="V12" s="360">
        <v>25.108482819442185908859691870</v>
      </c>
      <c r="W12" s="170">
        <v>0</v>
      </c>
      <c r="X12" s="170">
        <v>0</v>
      </c>
      <c r="Y12" s="360">
        <v>4.3576393370229574586886735100</v>
      </c>
      <c r="Z12" s="359">
        <v>0.7874015748253704507409063800</v>
      </c>
      <c r="AA12" s="170">
        <v>52.366954098063667312906163680</v>
      </c>
      <c r="AB12" s="360">
        <v>24.764875546201741580703805260</v>
      </c>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row>
    <row r="13" ht="15.6" customHeight="1">
      <c r="A13" s="92"/>
      <c r="B13" s="344">
        <v>30</v>
      </c>
      <c r="C13" s="351" t="s">
        <v>50</v>
      </c>
      <c r="D13" s="327">
        <v>76.515151515151515151515151520</v>
      </c>
      <c r="E13" s="171">
        <v>88.80271974773354355538037052</v>
      </c>
      <c r="F13" s="328">
        <v>54.094301968981529039563151340</v>
      </c>
      <c r="G13" s="327">
        <v>18.939393939393939393939393940</v>
      </c>
      <c r="H13" s="171">
        <v>5.0926290894757587702010248300</v>
      </c>
      <c r="I13" s="328">
        <v>29.427644958036148414194848560</v>
      </c>
      <c r="J13" s="171">
        <v>0</v>
      </c>
      <c r="K13" s="171">
        <v>0</v>
      </c>
      <c r="L13" s="328">
        <v>6.9691384655378433469927038900</v>
      </c>
      <c r="M13" s="327">
        <v>95.45454545454545454545454545</v>
      </c>
      <c r="N13" s="171">
        <v>93.89534883720930232558139535</v>
      </c>
      <c r="O13" s="328">
        <v>90.49108539255552080075070378</v>
      </c>
      <c r="P13" s="4"/>
      <c r="Q13" s="327">
        <v>-4.7169811320395158419366186800</v>
      </c>
      <c r="R13" s="171">
        <v>33.363224280721957487959603290</v>
      </c>
      <c r="S13" s="328">
        <v>9.194223034537472993413783400</v>
      </c>
      <c r="T13" s="327">
        <v>38.888888888518518518519506180</v>
      </c>
      <c r="U13" s="171">
        <v>0</v>
      </c>
      <c r="V13" s="328">
        <v>102.55605171858691488397314761</v>
      </c>
      <c r="W13" s="171">
        <v>0</v>
      </c>
      <c r="X13" s="171">
        <v>0</v>
      </c>
      <c r="Y13" s="328">
        <v>6.5723025201884735766304479700</v>
      </c>
      <c r="Z13" s="327">
        <v>1.6129032257998959417273677400</v>
      </c>
      <c r="AA13" s="171">
        <v>41.011294490369094834939365480</v>
      </c>
      <c r="AB13" s="328">
        <v>28.161582479037623434323029550</v>
      </c>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row>
    <row r="14" ht="15.6" customHeight="1">
      <c r="A14" s="92" t="s">
        <v>183</v>
      </c>
      <c r="B14" s="668">
        <v>1</v>
      </c>
      <c r="C14" s="669" t="s">
        <v>51</v>
      </c>
      <c r="D14" s="670">
        <v>79.54545454545454545454545455</v>
      </c>
      <c r="E14" s="671">
        <v>79.086619480957195820694304010</v>
      </c>
      <c r="F14" s="672">
        <v>55.421713648655821470073403580</v>
      </c>
      <c r="G14" s="670">
        <v>14.393939393939393939393939390</v>
      </c>
      <c r="H14" s="671">
        <v>9.285473542298618132794068080</v>
      </c>
      <c r="I14" s="672">
        <v>23.089690834792349616536114170</v>
      </c>
      <c r="J14" s="671">
        <v>0</v>
      </c>
      <c r="K14" s="671">
        <v>0</v>
      </c>
      <c r="L14" s="672">
        <v>7.402473110129140976783246300</v>
      </c>
      <c r="M14" s="670">
        <v>93.93939393939393939393939394</v>
      </c>
      <c r="N14" s="671">
        <v>88.37209302325581395348837209</v>
      </c>
      <c r="O14" s="672">
        <v>85.91387759357731206339276405</v>
      </c>
      <c r="P14" s="4"/>
      <c r="Q14" s="670">
        <v>52.173913043557655954631421390</v>
      </c>
      <c r="R14" s="671">
        <v>-6.9177147119899344182346670900</v>
      </c>
      <c r="S14" s="672">
        <v>-6.343027383753841513965360500</v>
      </c>
      <c r="T14" s="670">
        <v>-61.224489795905705955851724320</v>
      </c>
      <c r="U14" s="671">
        <v>0</v>
      </c>
      <c r="V14" s="672">
        <v>48.337916226513847333659003220</v>
      </c>
      <c r="W14" s="671">
        <v>0</v>
      </c>
      <c r="X14" s="671">
        <v>0</v>
      </c>
      <c r="Y14" s="672">
        <v>28.998526925245137038348084360</v>
      </c>
      <c r="Z14" s="670">
        <v>5.0847457627581729388107069900</v>
      </c>
      <c r="AA14" s="671">
        <v>4.0109746538088182209199671400</v>
      </c>
      <c r="AB14" s="672">
        <v>6.752853063922516898758833500</v>
      </c>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row>
    <row r="15" ht="15.6" customHeight="1">
      <c r="A15" s="92"/>
      <c r="B15" s="344">
        <v>2</v>
      </c>
      <c r="C15" s="351" t="s">
        <v>52</v>
      </c>
      <c r="D15" s="327">
        <v>72.727272727272727272727272730</v>
      </c>
      <c r="E15" s="171">
        <v>85.51902048359772062220853226</v>
      </c>
      <c r="F15" s="328">
        <v>65.084777030796203292524099460</v>
      </c>
      <c r="G15" s="327">
        <v>24.242424242424242424242424240</v>
      </c>
      <c r="H15" s="171">
        <v>11.574002772216232866163560760</v>
      </c>
      <c r="I15" s="328">
        <v>21.374824817308898992455278680</v>
      </c>
      <c r="J15" s="171">
        <v>0</v>
      </c>
      <c r="K15" s="171">
        <v>0</v>
      </c>
      <c r="L15" s="328">
        <v>7.0134458007323494927288900300</v>
      </c>
      <c r="M15" s="327">
        <v>96.96969696969696969696969697</v>
      </c>
      <c r="N15" s="171">
        <v>97.09302325581395348837209302</v>
      </c>
      <c r="O15" s="328">
        <v>93.47304764883745177770826817</v>
      </c>
      <c r="P15" s="4"/>
      <c r="Q15" s="327">
        <v>88.23529411746989619377179305</v>
      </c>
      <c r="R15" s="171">
        <v>-7.1697679206208592151181121300</v>
      </c>
      <c r="S15" s="328">
        <v>-4.3469495924426234777671395400</v>
      </c>
      <c r="T15" s="327">
        <v>-57.333333333346986666666662300</v>
      </c>
      <c r="U15" s="171">
        <v>4749.5071612918786770514786312</v>
      </c>
      <c r="V15" s="328">
        <v>23.713978480494478430257603450</v>
      </c>
      <c r="W15" s="171">
        <v>0</v>
      </c>
      <c r="X15" s="171">
        <v>0</v>
      </c>
      <c r="Y15" s="328">
        <v>3.6394335904529051607346582700</v>
      </c>
      <c r="Z15" s="327">
        <v>1.5873015873499622071050872800</v>
      </c>
      <c r="AA15" s="171">
        <v>5.1213869359040741812158214900</v>
      </c>
      <c r="AB15" s="328">
        <v>1.5047898024949222668993360300</v>
      </c>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row>
    <row r="16" ht="15.6" customHeight="1">
      <c r="A16" s="92"/>
      <c r="B16" s="346">
        <v>3</v>
      </c>
      <c r="C16" s="352" t="s">
        <v>53</v>
      </c>
      <c r="D16" s="359">
        <v>75.757575757575757575757575760</v>
      </c>
      <c r="E16" s="170">
        <v>88.14957200212105143549731081</v>
      </c>
      <c r="F16" s="360">
        <v>67.933844282203036923196286260</v>
      </c>
      <c r="G16" s="359">
        <v>23.484848484848484848484848480</v>
      </c>
      <c r="H16" s="170">
        <v>10.978334974623134611014317100</v>
      </c>
      <c r="I16" s="360">
        <v>20.250549766157503057391579770</v>
      </c>
      <c r="J16" s="170">
        <v>0</v>
      </c>
      <c r="K16" s="170">
        <v>0</v>
      </c>
      <c r="L16" s="360">
        <v>6.9985899991840330566345299700</v>
      </c>
      <c r="M16" s="359">
        <v>99.24242424242424242424242424</v>
      </c>
      <c r="N16" s="170">
        <v>99.12790697674418604651162791</v>
      </c>
      <c r="O16" s="360">
        <v>95.18298404754457303722239600</v>
      </c>
      <c r="P16" s="4"/>
      <c r="Q16" s="359">
        <v>96.07843137236447520184561776</v>
      </c>
      <c r="R16" s="170">
        <v>-7.1993199274390580851608743400</v>
      </c>
      <c r="S16" s="360">
        <v>1.1665911086107765816596473100</v>
      </c>
      <c r="T16" s="359">
        <v>-58.666666666679893333333329110</v>
      </c>
      <c r="U16" s="170">
        <v>4499.9223541140976725387234929</v>
      </c>
      <c r="V16" s="360">
        <v>11.224958666332641373032404970</v>
      </c>
      <c r="W16" s="170">
        <v>0</v>
      </c>
      <c r="X16" s="170">
        <v>0</v>
      </c>
      <c r="Y16" s="360">
        <v>21.484348854461645308436164870</v>
      </c>
      <c r="Z16" s="359">
        <v>3.9682539683034769463341127600</v>
      </c>
      <c r="AA16" s="170">
        <v>4.0967243690212299943920695800</v>
      </c>
      <c r="AB16" s="360">
        <v>4.4609888039548665566495622400</v>
      </c>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row>
    <row r="17" ht="15.6" customHeight="1">
      <c r="A17" s="92"/>
      <c r="B17" s="344">
        <v>4</v>
      </c>
      <c r="C17" s="351" t="s">
        <v>49</v>
      </c>
      <c r="D17" s="327">
        <v>76.515151515151515151515151520</v>
      </c>
      <c r="E17" s="171">
        <v>65.697674418604651162790697670</v>
      </c>
      <c r="F17" s="328">
        <v>54.630372745427696619627655140</v>
      </c>
      <c r="G17" s="327">
        <v>21.212121212121212121212121210</v>
      </c>
      <c r="H17" s="171">
        <v>2.6162790697674418604651162800</v>
      </c>
      <c r="I17" s="328">
        <v>18.191350924508397946535806810</v>
      </c>
      <c r="J17" s="171">
        <v>0</v>
      </c>
      <c r="K17" s="171">
        <v>0</v>
      </c>
      <c r="L17" s="328">
        <v>7.8059481056868853108045288700</v>
      </c>
      <c r="M17" s="327">
        <v>97.72727272727272727272727273</v>
      </c>
      <c r="N17" s="171">
        <v>68.313953488372093023255813950</v>
      </c>
      <c r="O17" s="328">
        <v>80.62767177562297987696799082</v>
      </c>
      <c r="P17" s="4"/>
      <c r="Q17" s="327">
        <v>42.253521126704463400119046140</v>
      </c>
      <c r="R17" s="171">
        <v>-19.745406468237474369463601460</v>
      </c>
      <c r="S17" s="328">
        <v>-2.7610339571731079166450604900</v>
      </c>
      <c r="T17" s="327">
        <v>-41.666666666608333333333275010</v>
      </c>
      <c r="U17" s="171">
        <v>996.2209301722659883754090920</v>
      </c>
      <c r="V17" s="328">
        <v>3.1766299910856962556518867700</v>
      </c>
      <c r="W17" s="171">
        <v>0</v>
      </c>
      <c r="X17" s="171">
        <v>0</v>
      </c>
      <c r="Y17" s="328">
        <v>12.424374272302030043702754700</v>
      </c>
      <c r="Z17" s="327">
        <v>8.403361344556034178377236310</v>
      </c>
      <c r="AA17" s="171">
        <v>-16.792015954585760297147575230</v>
      </c>
      <c r="AB17" s="328">
        <v>-0.1590613249535624750779269100</v>
      </c>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row>
    <row r="18" ht="15.6" customHeight="1">
      <c r="A18" s="92"/>
      <c r="B18" s="346">
        <v>5</v>
      </c>
      <c r="C18" s="352" t="s">
        <v>47</v>
      </c>
      <c r="D18" s="359">
        <v>64.393939393939393939393939390</v>
      </c>
      <c r="E18" s="170">
        <v>60.755813953488372093023255810</v>
      </c>
      <c r="F18" s="360">
        <v>45.532573829738610979336179670</v>
      </c>
      <c r="G18" s="359">
        <v>0</v>
      </c>
      <c r="H18" s="170">
        <v>4.9418604651162790697674418600</v>
      </c>
      <c r="I18" s="360">
        <v>16.837444311202878017834814770</v>
      </c>
      <c r="J18" s="170">
        <v>0</v>
      </c>
      <c r="K18" s="170">
        <v>0</v>
      </c>
      <c r="L18" s="360">
        <v>6.3506574924648294263510574800</v>
      </c>
      <c r="M18" s="359">
        <v>64.393939393939393939393939390</v>
      </c>
      <c r="N18" s="170">
        <v>65.697674418604651162790697670</v>
      </c>
      <c r="O18" s="360">
        <v>68.720675633406318423522051920</v>
      </c>
      <c r="P18" s="4"/>
      <c r="Q18" s="359">
        <v>-16.666666666637254901960773940</v>
      </c>
      <c r="R18" s="170">
        <v>-9.406811222363073380647435030</v>
      </c>
      <c r="S18" s="360">
        <v>-7.1269800707140811215025947500</v>
      </c>
      <c r="T18" s="359">
        <v>0</v>
      </c>
      <c r="U18" s="170">
        <v>0</v>
      </c>
      <c r="V18" s="360">
        <v>-2.9342764217110140689054386700</v>
      </c>
      <c r="W18" s="170">
        <v>0</v>
      </c>
      <c r="X18" s="170">
        <v>0</v>
      </c>
      <c r="Y18" s="360">
        <v>9.304881543958475809066861830</v>
      </c>
      <c r="Z18" s="359">
        <v>-16.666666666637254901960773940</v>
      </c>
      <c r="AA18" s="170">
        <v>-2.0379872548040889187862216100</v>
      </c>
      <c r="AB18" s="360">
        <v>-4.796821452065012499889814300</v>
      </c>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row>
    <row r="19" ht="15.6" customHeight="1">
      <c r="A19" s="92"/>
      <c r="B19" s="344">
        <v>6</v>
      </c>
      <c r="C19" s="351" t="s">
        <v>48</v>
      </c>
      <c r="D19" s="327">
        <v>51.515151515151515151515151520</v>
      </c>
      <c r="E19" s="171">
        <v>54.069767441860465116279069770</v>
      </c>
      <c r="F19" s="328">
        <v>44.128863729599232217048569410</v>
      </c>
      <c r="G19" s="327">
        <v>0</v>
      </c>
      <c r="H19" s="171">
        <v>17.151162790697674418604651160</v>
      </c>
      <c r="I19" s="328">
        <v>15.235234958573719503212398130</v>
      </c>
      <c r="J19" s="171">
        <v>0</v>
      </c>
      <c r="K19" s="171">
        <v>0</v>
      </c>
      <c r="L19" s="328">
        <v>7.3964059515934959911351329700</v>
      </c>
      <c r="M19" s="327">
        <v>51.515151515151515151515151520</v>
      </c>
      <c r="N19" s="171">
        <v>71.220930232558139534883720930</v>
      </c>
      <c r="O19" s="328">
        <v>66.760504639766447711396100510</v>
      </c>
      <c r="P19" s="4"/>
      <c r="Q19" s="327">
        <v>-35.849056603749377002491980890</v>
      </c>
      <c r="R19" s="171">
        <v>-15.465550156219422388124452650</v>
      </c>
      <c r="S19" s="328">
        <v>-15.153466849451690153924618550</v>
      </c>
      <c r="T19" s="327">
        <v>-100</v>
      </c>
      <c r="U19" s="171">
        <v>0</v>
      </c>
      <c r="V19" s="328">
        <v>-21.746444429033624673654089570</v>
      </c>
      <c r="W19" s="171">
        <v>0</v>
      </c>
      <c r="X19" s="171">
        <v>0</v>
      </c>
      <c r="Y19" s="328">
        <v>18.297998196259905064356037850</v>
      </c>
      <c r="Z19" s="327">
        <v>-39.285714285725127551020406220</v>
      </c>
      <c r="AA19" s="171">
        <v>11.349140923259362983384457530</v>
      </c>
      <c r="AB19" s="328">
        <v>-14.114106238227832292526017410</v>
      </c>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row>
    <row r="20" ht="15.6" customHeight="1">
      <c r="A20" s="92"/>
      <c r="B20" s="346">
        <v>7</v>
      </c>
      <c r="C20" s="352" t="s">
        <v>50</v>
      </c>
      <c r="D20" s="359">
        <v>71.969696969696969696969696970</v>
      </c>
      <c r="E20" s="170">
        <v>58.139534883720930232558139530</v>
      </c>
      <c r="F20" s="360">
        <v>48.818980811561675825111934450</v>
      </c>
      <c r="G20" s="359">
        <v>10.606060606060606060606060610</v>
      </c>
      <c r="H20" s="170">
        <v>24.418604651162790697674418600</v>
      </c>
      <c r="I20" s="360">
        <v>14.899226813686404838869668390</v>
      </c>
      <c r="J20" s="170">
        <v>0</v>
      </c>
      <c r="K20" s="170">
        <v>0</v>
      </c>
      <c r="L20" s="360">
        <v>7.0251976505312958348193563900</v>
      </c>
      <c r="M20" s="359">
        <v>82.57575757575757575757575758</v>
      </c>
      <c r="N20" s="170">
        <v>82.55813953488372093023255814</v>
      </c>
      <c r="O20" s="360">
        <v>70.743405275779376498800959230</v>
      </c>
      <c r="P20" s="4"/>
      <c r="Q20" s="359">
        <v>-4.0404040404040404040404040400</v>
      </c>
      <c r="R20" s="170">
        <v>-19.336208224201426039045595200</v>
      </c>
      <c r="S20" s="360">
        <v>-9.905746601475595587775346070</v>
      </c>
      <c r="T20" s="359">
        <v>-17.647058823606920415224840510</v>
      </c>
      <c r="U20" s="170">
        <v>1036.8217054167567614126564311</v>
      </c>
      <c r="V20" s="360">
        <v>-24.088827054326355027925042130</v>
      </c>
      <c r="W20" s="170">
        <v>0</v>
      </c>
      <c r="X20" s="170">
        <v>0</v>
      </c>
      <c r="Y20" s="360">
        <v>28.118146626324980601430496620</v>
      </c>
      <c r="Z20" s="359">
        <v>-6.0344827586336504161712229400</v>
      </c>
      <c r="AA20" s="170">
        <v>11.227847154741189486999655010</v>
      </c>
      <c r="AB20" s="360">
        <v>-10.786922436221479292556481790</v>
      </c>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row>
    <row r="21" ht="15.6" customHeight="1">
      <c r="A21" s="92"/>
      <c r="B21" s="344">
        <v>8</v>
      </c>
      <c r="C21" s="351" t="s">
        <v>51</v>
      </c>
      <c r="D21" s="327">
        <v>75.00</v>
      </c>
      <c r="E21" s="171">
        <v>60.755813953488372093023255810</v>
      </c>
      <c r="F21" s="328">
        <v>58.694602607898433429052249110</v>
      </c>
      <c r="G21" s="327">
        <v>10.606060606060606060606060610</v>
      </c>
      <c r="H21" s="171">
        <v>19.186046511627906976744186050</v>
      </c>
      <c r="I21" s="328">
        <v>11.316786424782253423199056450</v>
      </c>
      <c r="J21" s="171">
        <v>0</v>
      </c>
      <c r="K21" s="171">
        <v>0</v>
      </c>
      <c r="L21" s="328">
        <v>7.7802906670377992284493513100</v>
      </c>
      <c r="M21" s="327">
        <v>85.60606060606060606060606061</v>
      </c>
      <c r="N21" s="171">
        <v>79.94186046511627906976744186</v>
      </c>
      <c r="O21" s="328">
        <v>77.791679699718486080700656870</v>
      </c>
      <c r="P21" s="4"/>
      <c r="Q21" s="327">
        <v>-1.0000000000316799999999898600</v>
      </c>
      <c r="R21" s="171">
        <v>-19.185123661905304968154341720</v>
      </c>
      <c r="S21" s="328">
        <v>-1.6750224231396102845063871300</v>
      </c>
      <c r="T21" s="327">
        <v>-12.499999999912499999999912470</v>
      </c>
      <c r="U21" s="171">
        <v>793.2170542560231696813729105</v>
      </c>
      <c r="V21" s="328">
        <v>-12.894544596529780303369486530</v>
      </c>
      <c r="W21" s="171">
        <v>0</v>
      </c>
      <c r="X21" s="171">
        <v>0</v>
      </c>
      <c r="Y21" s="328">
        <v>44.172479393039617629806445560</v>
      </c>
      <c r="Z21" s="327">
        <v>-2.5862068965651605231866806600</v>
      </c>
      <c r="AA21" s="171">
        <v>3.3816035027903923028475550800</v>
      </c>
      <c r="AB21" s="328">
        <v>-0.3731761620423793254510065500</v>
      </c>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row>
    <row r="22" ht="15.6" customHeight="1">
      <c r="A22" s="92"/>
      <c r="B22" s="346">
        <v>9</v>
      </c>
      <c r="C22" s="352" t="s">
        <v>52</v>
      </c>
      <c r="D22" s="359">
        <v>68.939393939393939393939393940</v>
      </c>
      <c r="E22" s="170">
        <v>72.093023255813953488372093020</v>
      </c>
      <c r="F22" s="360">
        <v>64.551952042989916037634500740</v>
      </c>
      <c r="G22" s="359">
        <v>10.606060606060606060606060610</v>
      </c>
      <c r="H22" s="170">
        <v>2.3255813953488372093023255800</v>
      </c>
      <c r="I22" s="360">
        <v>5.7802425469734607109326626700</v>
      </c>
      <c r="J22" s="170">
        <v>0</v>
      </c>
      <c r="K22" s="170">
        <v>0</v>
      </c>
      <c r="L22" s="360">
        <v>7.553323082854890376862927300</v>
      </c>
      <c r="M22" s="359">
        <v>79.54545454545454545454545455</v>
      </c>
      <c r="N22" s="170">
        <v>74.418604651162790697674418600</v>
      </c>
      <c r="O22" s="360">
        <v>77.885517672818267125430090710</v>
      </c>
      <c r="P22" s="4"/>
      <c r="Q22" s="359">
        <v>-9.000000000029119999999990680</v>
      </c>
      <c r="R22" s="170">
        <v>-11.155950752353478413937375920</v>
      </c>
      <c r="S22" s="360">
        <v>-4.6014087689421342320544162900</v>
      </c>
      <c r="T22" s="359">
        <v>-49.999999999949999999999949980</v>
      </c>
      <c r="U22" s="170">
        <v>39.202657807985097294735130190</v>
      </c>
      <c r="V22" s="360">
        <v>-16.163280289690347996717801900</v>
      </c>
      <c r="W22" s="170">
        <v>0</v>
      </c>
      <c r="X22" s="170">
        <v>0</v>
      </c>
      <c r="Y22" s="360">
        <v>16.119211528213652699822374790</v>
      </c>
      <c r="Z22" s="359">
        <v>-17.968750000002563476562499920</v>
      </c>
      <c r="AA22" s="170">
        <v>-10.140071040766014902308712920</v>
      </c>
      <c r="AB22" s="360">
        <v>-3.9220952512079818961073919700</v>
      </c>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row>
    <row r="23" ht="15.6" customHeight="1">
      <c r="A23" s="92"/>
      <c r="B23" s="344">
        <v>10</v>
      </c>
      <c r="C23" s="351" t="s">
        <v>53</v>
      </c>
      <c r="D23" s="327">
        <v>75.00</v>
      </c>
      <c r="E23" s="171">
        <v>71.220930232558139534883720930</v>
      </c>
      <c r="F23" s="328">
        <v>64.058230076381679399078763130</v>
      </c>
      <c r="G23" s="327">
        <v>10.606060606060606060606060610</v>
      </c>
      <c r="H23" s="171">
        <v>0.8720930232558139534883720900</v>
      </c>
      <c r="I23" s="328">
        <v>4.3465147860372678117841816200</v>
      </c>
      <c r="J23" s="171">
        <v>0</v>
      </c>
      <c r="K23" s="171">
        <v>0</v>
      </c>
      <c r="L23" s="328">
        <v>8.187894069913447742739390780</v>
      </c>
      <c r="M23" s="327">
        <v>85.60606060606060606060606061</v>
      </c>
      <c r="N23" s="171">
        <v>72.093023255813953488372093020</v>
      </c>
      <c r="O23" s="328">
        <v>76.592638932332394953602335520</v>
      </c>
      <c r="P23" s="4"/>
      <c r="Q23" s="327">
        <v>1.0204081632982923781757708700</v>
      </c>
      <c r="R23" s="171">
        <v>-13.502696326285562931375555540</v>
      </c>
      <c r="S23" s="328">
        <v>-1.7123993363613729025004380800</v>
      </c>
      <c r="T23" s="327">
        <v>-0.000000000371428571427191800</v>
      </c>
      <c r="U23" s="171">
        <v>21.802325574696220930601009750</v>
      </c>
      <c r="V23" s="328">
        <v>-37.734119028300964872150185170</v>
      </c>
      <c r="W23" s="171">
        <v>0</v>
      </c>
      <c r="X23" s="171">
        <v>0</v>
      </c>
      <c r="Y23" s="328">
        <v>30.166816724891238832587291200</v>
      </c>
      <c r="Z23" s="327">
        <v>0.892857142839126275510207300</v>
      </c>
      <c r="AA23" s="171">
        <v>-13.198342689087132374403536500</v>
      </c>
      <c r="AB23" s="328">
        <v>-2.3615422787729802208894120800</v>
      </c>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c r="AZ23" s="244"/>
      <c r="BA23" s="244"/>
      <c r="BB23" s="244"/>
      <c r="BC23" s="244"/>
      <c r="BD23" s="244"/>
      <c r="BE23" s="244"/>
      <c r="BF23" s="244"/>
      <c r="BG23" s="244"/>
    </row>
    <row r="24" ht="15.6" customHeight="1">
      <c r="A24" s="92"/>
      <c r="B24" s="346">
        <v>11</v>
      </c>
      <c r="C24" s="352" t="s">
        <v>49</v>
      </c>
      <c r="D24" s="359">
        <v>57.575757575757575757575757580</v>
      </c>
      <c r="E24" s="170">
        <v>57.267441860465116279069767440</v>
      </c>
      <c r="F24" s="360">
        <v>41.469043044180449783917320450</v>
      </c>
      <c r="G24" s="359">
        <v>0.7575757575757575757575757600</v>
      </c>
      <c r="H24" s="170">
        <v>0</v>
      </c>
      <c r="I24" s="360">
        <v>5.1793988455180480138280408400</v>
      </c>
      <c r="J24" s="170">
        <v>0</v>
      </c>
      <c r="K24" s="170">
        <v>0</v>
      </c>
      <c r="L24" s="360">
        <v>7.537774354697289919906604100</v>
      </c>
      <c r="M24" s="359">
        <v>58.333333333333333333333333330</v>
      </c>
      <c r="N24" s="170">
        <v>57.267441860465116279069767440</v>
      </c>
      <c r="O24" s="360">
        <v>54.186216244395787717651965380</v>
      </c>
      <c r="P24" s="4"/>
      <c r="Q24" s="359">
        <v>-17.391304347862003780718320860</v>
      </c>
      <c r="R24" s="170">
        <v>-20.282198871922837640659507060</v>
      </c>
      <c r="S24" s="360">
        <v>-11.562718309595615238385441230</v>
      </c>
      <c r="T24" s="359">
        <v>0</v>
      </c>
      <c r="U24" s="170">
        <v>-100</v>
      </c>
      <c r="V24" s="360">
        <v>-29.647020560631500979855597320</v>
      </c>
      <c r="W24" s="170">
        <v>0</v>
      </c>
      <c r="X24" s="170">
        <v>0</v>
      </c>
      <c r="Y24" s="360">
        <v>14.967357420013159856086420640</v>
      </c>
      <c r="Z24" s="359">
        <v>-16.304347826123345935727772460</v>
      </c>
      <c r="AA24" s="170">
        <v>-20.546165100838404648459911270</v>
      </c>
      <c r="AB24" s="360">
        <v>-10.891668908090164622788366540</v>
      </c>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c r="BB24" s="244"/>
      <c r="BC24" s="244"/>
      <c r="BD24" s="244"/>
      <c r="BE24" s="244"/>
      <c r="BF24" s="244"/>
      <c r="BG24" s="244"/>
    </row>
    <row r="25" ht="15.6" customHeight="1">
      <c r="A25" s="92"/>
      <c r="B25" s="344">
        <v>12</v>
      </c>
      <c r="C25" s="351" t="s">
        <v>47</v>
      </c>
      <c r="D25" s="327">
        <v>55.303030303030303030303030300</v>
      </c>
      <c r="E25" s="171">
        <v>51.453488372093023255813953490</v>
      </c>
      <c r="F25" s="328">
        <v>42.471317495245241878968482690</v>
      </c>
      <c r="G25" s="327">
        <v>8.333333333333333333333333330</v>
      </c>
      <c r="H25" s="171">
        <v>0</v>
      </c>
      <c r="I25" s="328">
        <v>11.984258892381964348759566580</v>
      </c>
      <c r="J25" s="171">
        <v>0</v>
      </c>
      <c r="K25" s="171">
        <v>0</v>
      </c>
      <c r="L25" s="328">
        <v>7.268957029117658749855101600</v>
      </c>
      <c r="M25" s="327">
        <v>63.636363636363636363636363640</v>
      </c>
      <c r="N25" s="171">
        <v>51.453488372093023255813953490</v>
      </c>
      <c r="O25" s="328">
        <v>61.724533416744864977583150870</v>
      </c>
      <c r="P25" s="4"/>
      <c r="Q25" s="327">
        <v>-30.476190476230204081632630360</v>
      </c>
      <c r="R25" s="171">
        <v>-13.763953488345532320930224370</v>
      </c>
      <c r="S25" s="328">
        <v>-7.8522384825147394732672197800</v>
      </c>
      <c r="T25" s="327">
        <v>0</v>
      </c>
      <c r="U25" s="171">
        <v>0</v>
      </c>
      <c r="V25" s="328">
        <v>-9.300266566442021193520011680</v>
      </c>
      <c r="W25" s="171">
        <v>0</v>
      </c>
      <c r="X25" s="171">
        <v>0</v>
      </c>
      <c r="Y25" s="328">
        <v>19.245375837784633762839877730</v>
      </c>
      <c r="Z25" s="327">
        <v>-20.000000000045714285714259590</v>
      </c>
      <c r="AA25" s="171">
        <v>-13.763953488345532320930224370</v>
      </c>
      <c r="AB25" s="328">
        <v>-5.6190573550045331098813545200</v>
      </c>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c r="BB25" s="244"/>
      <c r="BC25" s="244"/>
      <c r="BD25" s="244"/>
      <c r="BE25" s="244"/>
      <c r="BF25" s="244"/>
      <c r="BG25" s="244"/>
    </row>
    <row r="26" ht="15.6" customHeight="1">
      <c r="A26" s="93"/>
      <c r="B26" s="346">
        <v>13</v>
      </c>
      <c r="C26" s="352" t="s">
        <v>48</v>
      </c>
      <c r="D26" s="359">
        <v>61.363636363636363636363636360</v>
      </c>
      <c r="E26" s="170">
        <v>53.779069767441860465116279080</v>
      </c>
      <c r="F26" s="360">
        <v>46.330214860579350469080715310</v>
      </c>
      <c r="G26" s="359">
        <v>8.333333333333333333333333330</v>
      </c>
      <c r="H26" s="170">
        <v>1.4534883720930232558139534900</v>
      </c>
      <c r="I26" s="360">
        <v>14.446572699792396348645648910</v>
      </c>
      <c r="J26" s="170">
        <v>0</v>
      </c>
      <c r="K26" s="170">
        <v>0</v>
      </c>
      <c r="L26" s="360">
        <v>6.8803910445703864321954374600</v>
      </c>
      <c r="M26" s="359">
        <v>69.696969696969696969696969700</v>
      </c>
      <c r="N26" s="170">
        <v>55.232558139534883720930232560</v>
      </c>
      <c r="O26" s="360">
        <v>67.657178604942133249921801690</v>
      </c>
      <c r="P26" s="4"/>
      <c r="Q26" s="359">
        <v>-25.688073394533591448531248800</v>
      </c>
      <c r="R26" s="170">
        <v>-9.866279069739680674418596080</v>
      </c>
      <c r="S26" s="360">
        <v>-6.3217224522492248700735419200</v>
      </c>
      <c r="T26" s="359">
        <v>0</v>
      </c>
      <c r="U26" s="170">
        <v>0</v>
      </c>
      <c r="V26" s="360">
        <v>-13.566994365605652329824352200</v>
      </c>
      <c r="W26" s="170">
        <v>0</v>
      </c>
      <c r="X26" s="170">
        <v>0</v>
      </c>
      <c r="Y26" s="360">
        <v>11.670170475368806550204936240</v>
      </c>
      <c r="Z26" s="359">
        <v>-15.596330275272721151418208510</v>
      </c>
      <c r="AA26" s="170">
        <v>-7.4302325581110233953488284200</v>
      </c>
      <c r="AB26" s="360">
        <v>-6.4633529004021841278192796800</v>
      </c>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row>
    <row r="27" ht="15.6" customHeight="1">
      <c r="A27" s="93"/>
      <c r="B27" s="344">
        <v>14</v>
      </c>
      <c r="C27" s="351" t="s">
        <v>50</v>
      </c>
      <c r="D27" s="327">
        <v>62.878787878787878787878787880</v>
      </c>
      <c r="E27" s="171">
        <v>60.755813953488372093023255810</v>
      </c>
      <c r="F27" s="328">
        <v>48.177356357835345998325219700</v>
      </c>
      <c r="G27" s="327">
        <v>8.333333333333333333333333330</v>
      </c>
      <c r="H27" s="171">
        <v>1.7441860465116279069767441900</v>
      </c>
      <c r="I27" s="328">
        <v>19.641106165906796471028512150</v>
      </c>
      <c r="J27" s="171">
        <v>0</v>
      </c>
      <c r="K27" s="171">
        <v>0</v>
      </c>
      <c r="L27" s="328">
        <v>7.1789308658939747238482283100</v>
      </c>
      <c r="M27" s="327">
        <v>71.212121212121212121212121210</v>
      </c>
      <c r="N27" s="171">
        <v>62.500</v>
      </c>
      <c r="O27" s="328">
        <v>74.997393389636117193201960170</v>
      </c>
      <c r="P27" s="4"/>
      <c r="Q27" s="327">
        <v>-23.853211009213433212692514200</v>
      </c>
      <c r="R27" s="171">
        <v>-6.4092424760175251437142720200</v>
      </c>
      <c r="S27" s="328">
        <v>-7.5353669267110327629870534700</v>
      </c>
      <c r="T27" s="327">
        <v>0</v>
      </c>
      <c r="U27" s="171">
        <v>0</v>
      </c>
      <c r="V27" s="328">
        <v>9.577375766273111295523648210</v>
      </c>
      <c r="W27" s="171">
        <v>0</v>
      </c>
      <c r="X27" s="171">
        <v>0</v>
      </c>
      <c r="Y27" s="328">
        <v>11.169305128507060129572938220</v>
      </c>
      <c r="Z27" s="327">
        <v>-13.761467889952562915579473920</v>
      </c>
      <c r="AA27" s="171">
        <v>-3.7224264705443440473615716900</v>
      </c>
      <c r="AB27" s="328">
        <v>-1.945763864016141129097586500</v>
      </c>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row>
    <row r="28" ht="15.6" customHeight="1">
      <c r="A28" s="92"/>
      <c r="B28" s="346">
        <v>15</v>
      </c>
      <c r="C28" s="352" t="s">
        <v>51</v>
      </c>
      <c r="D28" s="359">
        <v>72.727272727272727272727272730</v>
      </c>
      <c r="E28" s="170">
        <v>70.348837209302325581395348840</v>
      </c>
      <c r="F28" s="360">
        <v>52.125601303695363755734072020</v>
      </c>
      <c r="G28" s="359">
        <v>8.333333333333333333333333330</v>
      </c>
      <c r="H28" s="170">
        <v>1.4534883720930232558139534900</v>
      </c>
      <c r="I28" s="360">
        <v>17.513306216751782795696689290</v>
      </c>
      <c r="J28" s="170">
        <v>0</v>
      </c>
      <c r="K28" s="170">
        <v>0</v>
      </c>
      <c r="L28" s="360">
        <v>7.8608318185164651678894347100</v>
      </c>
      <c r="M28" s="359">
        <v>81.06060606060606060606060606</v>
      </c>
      <c r="N28" s="170">
        <v>71.802325581395348837209302330</v>
      </c>
      <c r="O28" s="360">
        <v>77.499739338963611719320196020</v>
      </c>
      <c r="P28" s="4"/>
      <c r="Q28" s="359">
        <v>-6.7961165048507493637477611900</v>
      </c>
      <c r="R28" s="170">
        <v>-9.304114490121374663547526370</v>
      </c>
      <c r="S28" s="360">
        <v>-6.5311930171450046555337125400</v>
      </c>
      <c r="T28" s="359">
        <v>0</v>
      </c>
      <c r="U28" s="170">
        <v>0</v>
      </c>
      <c r="V28" s="360">
        <v>6.6672092473718251060830492900</v>
      </c>
      <c r="W28" s="170">
        <v>0</v>
      </c>
      <c r="X28" s="170">
        <v>0</v>
      </c>
      <c r="Y28" s="360">
        <v>30.254912600647531804066524570</v>
      </c>
      <c r="Z28" s="359">
        <v>3.8834951456351022716561411700</v>
      </c>
      <c r="AA28" s="170">
        <v>-7.4302325580990890161001612100</v>
      </c>
      <c r="AB28" s="360">
        <v>-0.9227294223823286335516883500</v>
      </c>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row>
    <row r="29" ht="15.6" customHeight="1">
      <c r="A29" s="92"/>
      <c r="B29" s="344">
        <v>16</v>
      </c>
      <c r="C29" s="351" t="s">
        <v>52</v>
      </c>
      <c r="D29" s="327">
        <v>86.36363636363636363636363636</v>
      </c>
      <c r="E29" s="171">
        <v>79.65116279069767441860465116</v>
      </c>
      <c r="F29" s="328">
        <v>63.147706006453600571261060450</v>
      </c>
      <c r="G29" s="327">
        <v>0</v>
      </c>
      <c r="H29" s="171">
        <v>0</v>
      </c>
      <c r="I29" s="328">
        <v>15.605798042388915675687717910</v>
      </c>
      <c r="J29" s="171">
        <v>0</v>
      </c>
      <c r="K29" s="171">
        <v>0</v>
      </c>
      <c r="L29" s="328">
        <v>7.9006508880775129470872971300</v>
      </c>
      <c r="M29" s="327">
        <v>86.36363636363636363636363636</v>
      </c>
      <c r="N29" s="171">
        <v>79.65116279069767441860465116</v>
      </c>
      <c r="O29" s="328">
        <v>86.65415493692002919403607549</v>
      </c>
      <c r="P29" s="4"/>
      <c r="Q29" s="327">
        <v>2.7027027027138056975894825700</v>
      </c>
      <c r="R29" s="171">
        <v>-4.9178427085487805284350032800</v>
      </c>
      <c r="S29" s="328">
        <v>-5.0103212846524275495575256200</v>
      </c>
      <c r="T29" s="327">
        <v>0</v>
      </c>
      <c r="U29" s="171">
        <v>0</v>
      </c>
      <c r="V29" s="328">
        <v>31.653372332006689447088947450</v>
      </c>
      <c r="W29" s="171">
        <v>0</v>
      </c>
      <c r="X29" s="171">
        <v>0</v>
      </c>
      <c r="Y29" s="328">
        <v>24.766629001841445389688639980</v>
      </c>
      <c r="Z29" s="327">
        <v>2.7027027027138056975894825700</v>
      </c>
      <c r="AA29" s="171">
        <v>-4.9178427085487805284350032800</v>
      </c>
      <c r="AB29" s="328">
        <v>2.3500018689074435389265039800</v>
      </c>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row>
    <row r="30" ht="15.6" customHeight="1">
      <c r="A30" s="92"/>
      <c r="B30" s="346">
        <v>17</v>
      </c>
      <c r="C30" s="352" t="s">
        <v>53</v>
      </c>
      <c r="D30" s="359">
        <v>96.21212121212121212121212121</v>
      </c>
      <c r="E30" s="170">
        <v>89.82558139534883720930232558</v>
      </c>
      <c r="F30" s="360">
        <v>68.321201766443064289642165150</v>
      </c>
      <c r="G30" s="359">
        <v>0</v>
      </c>
      <c r="H30" s="170">
        <v>0.290697674418604651162790700</v>
      </c>
      <c r="I30" s="360">
        <v>10.679735619398112949749078410</v>
      </c>
      <c r="J30" s="170">
        <v>0</v>
      </c>
      <c r="K30" s="170">
        <v>0</v>
      </c>
      <c r="L30" s="360">
        <v>7.9034521460116014072566555100</v>
      </c>
      <c r="M30" s="359">
        <v>96.21212121212121212121212121</v>
      </c>
      <c r="N30" s="170">
        <v>90.11627906976744186046511628</v>
      </c>
      <c r="O30" s="360">
        <v>86.90438953185277864664789907</v>
      </c>
      <c r="P30" s="4"/>
      <c r="Q30" s="359">
        <v>16.513761467830047975759646950</v>
      </c>
      <c r="R30" s="170">
        <v>9.409647106523404545452762780</v>
      </c>
      <c r="S30" s="360">
        <v>3.1559733572898358928082489300</v>
      </c>
      <c r="T30" s="359">
        <v>0</v>
      </c>
      <c r="U30" s="170">
        <v>0</v>
      </c>
      <c r="V30" s="360">
        <v>19.172482088503922287872911080</v>
      </c>
      <c r="W30" s="170">
        <v>0</v>
      </c>
      <c r="X30" s="170">
        <v>0</v>
      </c>
      <c r="Y30" s="360">
        <v>20.589927431149097739928009940</v>
      </c>
      <c r="Z30" s="359">
        <v>16.513761467830047975759646950</v>
      </c>
      <c r="AA30" s="170">
        <v>9.763723634376231097379794380</v>
      </c>
      <c r="AB30" s="360">
        <v>6.3095645784903595592248529800</v>
      </c>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row>
    <row r="31" ht="15.6" customHeight="1">
      <c r="A31" s="92"/>
      <c r="B31" s="344">
        <v>18</v>
      </c>
      <c r="C31" s="351" t="s">
        <v>49</v>
      </c>
      <c r="D31" s="327">
        <v>76.515151515151515151515151520</v>
      </c>
      <c r="E31" s="171">
        <v>78.779069767441860465116279070</v>
      </c>
      <c r="F31" s="328">
        <v>51.360170456002707932990188950</v>
      </c>
      <c r="G31" s="327">
        <v>12.878787878787878787878787880</v>
      </c>
      <c r="H31" s="171">
        <v>0.290697674418604651162790700</v>
      </c>
      <c r="I31" s="328">
        <v>10.627795026406522641109762900</v>
      </c>
      <c r="J31" s="171">
        <v>0</v>
      </c>
      <c r="K31" s="171">
        <v>0</v>
      </c>
      <c r="L31" s="328">
        <v>7.4417081699732112984889335600</v>
      </c>
      <c r="M31" s="327">
        <v>89.39393939393939393939393939</v>
      </c>
      <c r="N31" s="171">
        <v>79.069767441860465116279069770</v>
      </c>
      <c r="O31" s="328">
        <v>69.429673652382441872588885410</v>
      </c>
      <c r="P31" s="4"/>
      <c r="Q31" s="327">
        <v>-7.3394495413320090901439028200</v>
      </c>
      <c r="R31" s="171">
        <v>-2.5179856115444542207960134300</v>
      </c>
      <c r="S31" s="328">
        <v>-0.4774097644422424337060265600</v>
      </c>
      <c r="T31" s="327">
        <v>0</v>
      </c>
      <c r="U31" s="171">
        <v>0</v>
      </c>
      <c r="V31" s="328">
        <v>37.135243128540572518552306850</v>
      </c>
      <c r="W31" s="171">
        <v>0</v>
      </c>
      <c r="X31" s="171">
        <v>0</v>
      </c>
      <c r="Y31" s="328">
        <v>27.181327397318631115488918910</v>
      </c>
      <c r="Z31" s="327">
        <v>8.256880733889335914485341250</v>
      </c>
      <c r="AA31" s="171">
        <v>-2.1582733813287510998395411500</v>
      </c>
      <c r="AB31" s="328">
        <v>6.474707757008819104527025700</v>
      </c>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row>
    <row r="32" ht="15.6" customHeight="1">
      <c r="A32" s="92"/>
      <c r="B32" s="346">
        <v>19</v>
      </c>
      <c r="C32" s="352" t="s">
        <v>47</v>
      </c>
      <c r="D32" s="359">
        <v>64.393939393939393939393939390</v>
      </c>
      <c r="E32" s="170">
        <v>77.490774907749077490774907750</v>
      </c>
      <c r="F32" s="360">
        <v>47.818761277622852857778923440</v>
      </c>
      <c r="G32" s="359">
        <v>25.757575757575757575757575760</v>
      </c>
      <c r="H32" s="170">
        <v>3.3210332103321033210332103300</v>
      </c>
      <c r="I32" s="360">
        <v>13.529593263499949226286723060</v>
      </c>
      <c r="J32" s="170">
        <v>0</v>
      </c>
      <c r="K32" s="170">
        <v>0</v>
      </c>
      <c r="L32" s="360">
        <v>7.4765855068388286113779985800</v>
      </c>
      <c r="M32" s="359">
        <v>90.15151515151515151515151515</v>
      </c>
      <c r="N32" s="170">
        <v>80.81180811808118081180811808</v>
      </c>
      <c r="O32" s="360">
        <v>68.824940047961630695443645080</v>
      </c>
      <c r="P32" s="4"/>
      <c r="Q32" s="359">
        <v>-27.350427350457155380232291090</v>
      </c>
      <c r="R32" s="170">
        <v>-5.4722462117701875977564360400</v>
      </c>
      <c r="S32" s="360">
        <v>-4.313570330591294784865963700</v>
      </c>
      <c r="T32" s="359">
        <v>0</v>
      </c>
      <c r="U32" s="170">
        <v>0</v>
      </c>
      <c r="V32" s="360">
        <v>20.024630822130956604257132110</v>
      </c>
      <c r="W32" s="170">
        <v>0</v>
      </c>
      <c r="X32" s="170">
        <v>0</v>
      </c>
      <c r="Y32" s="360">
        <v>26.058222490159264591022911770</v>
      </c>
      <c r="Z32" s="359">
        <v>1.7094017093599824676747924800</v>
      </c>
      <c r="AA32" s="170">
        <v>-1.421056763703195637660283300</v>
      </c>
      <c r="AB32" s="360">
        <v>2.4518368817836191343540000400</v>
      </c>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row>
    <row r="33" ht="15.6" customHeight="1">
      <c r="A33" s="92"/>
      <c r="B33" s="344">
        <v>20</v>
      </c>
      <c r="C33" s="351" t="s">
        <v>48</v>
      </c>
      <c r="D33" s="327">
        <v>53.030303030303030303030303030</v>
      </c>
      <c r="E33" s="171">
        <v>64.575645756457564575645756460</v>
      </c>
      <c r="F33" s="328">
        <v>46.795833750623280192993364980</v>
      </c>
      <c r="G33" s="327">
        <v>36.363636363636363636363636360</v>
      </c>
      <c r="H33" s="171">
        <v>5.5350553505535055350553505500</v>
      </c>
      <c r="I33" s="328">
        <v>16.030252210375722890538757660</v>
      </c>
      <c r="J33" s="171">
        <v>0</v>
      </c>
      <c r="K33" s="171">
        <v>0</v>
      </c>
      <c r="L33" s="328">
        <v>7.3230121518150934653157555900</v>
      </c>
      <c r="M33" s="327">
        <v>89.39393939393939393939393939</v>
      </c>
      <c r="N33" s="171">
        <v>70.110701107011070110701107010</v>
      </c>
      <c r="O33" s="328">
        <v>70.149098112814096548847878220</v>
      </c>
      <c r="P33" s="4"/>
      <c r="Q33" s="327">
        <v>-33.333333333371428571428549660</v>
      </c>
      <c r="R33" s="171">
        <v>-7.4415744157904366543665205200</v>
      </c>
      <c r="S33" s="328">
        <v>-5.5696703396416486749454469900</v>
      </c>
      <c r="T33" s="327">
        <v>0</v>
      </c>
      <c r="U33" s="171">
        <v>280.81180811625328413285010208</v>
      </c>
      <c r="V33" s="328">
        <v>18.370727398132111033855810070</v>
      </c>
      <c r="W33" s="171">
        <v>0</v>
      </c>
      <c r="X33" s="171">
        <v>0</v>
      </c>
      <c r="Y33" s="328">
        <v>16.732577437079942276168693890</v>
      </c>
      <c r="Z33" s="327">
        <v>12.380952380888163265306159140</v>
      </c>
      <c r="AA33" s="171">
        <v>-1.5588523232749690089153779300</v>
      </c>
      <c r="AB33" s="328">
        <v>1.1206679888144447893617239400</v>
      </c>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row>
    <row r="34" ht="15.6" customHeight="1">
      <c r="A34" s="92"/>
      <c r="B34" s="346">
        <v>21</v>
      </c>
      <c r="C34" s="352" t="s">
        <v>50</v>
      </c>
      <c r="D34" s="359">
        <v>57.575757575757575757575757580</v>
      </c>
      <c r="E34" s="170">
        <v>51.291512915129151291512915140</v>
      </c>
      <c r="F34" s="360">
        <v>47.552894829618310627074095350</v>
      </c>
      <c r="G34" s="359">
        <v>37.878787878787878787878787880</v>
      </c>
      <c r="H34" s="170">
        <v>5.1660516605166051660516605200</v>
      </c>
      <c r="I34" s="360">
        <v>15.026670209687304060886145380</v>
      </c>
      <c r="J34" s="170">
        <v>0</v>
      </c>
      <c r="K34" s="170">
        <v>0</v>
      </c>
      <c r="L34" s="360">
        <v>7.0065052349097955925110344300</v>
      </c>
      <c r="M34" s="359">
        <v>95.45454545454545454545454545</v>
      </c>
      <c r="N34" s="170">
        <v>56.457564575645756457564575650</v>
      </c>
      <c r="O34" s="360">
        <v>69.586070274215410280471275150</v>
      </c>
      <c r="P34" s="4"/>
      <c r="Q34" s="359">
        <v>-37.190082644650939143501118660</v>
      </c>
      <c r="R34" s="170">
        <v>-20.161626955621621813564624690</v>
      </c>
      <c r="S34" s="360">
        <v>-7.0093631887345143215021038200</v>
      </c>
      <c r="T34" s="359">
        <v>0</v>
      </c>
      <c r="U34" s="170">
        <v>-1.2710127094689080224091694500</v>
      </c>
      <c r="V34" s="360">
        <v>29.023591571165427692681096780</v>
      </c>
      <c r="W34" s="170">
        <v>0</v>
      </c>
      <c r="X34" s="170">
        <v>0</v>
      </c>
      <c r="Y34" s="360">
        <v>12.155427325235936262898668990</v>
      </c>
      <c r="Z34" s="359">
        <v>4.1322314049208114199849874700</v>
      </c>
      <c r="AA34" s="170">
        <v>-18.738902870145849385175771180</v>
      </c>
      <c r="AB34" s="360">
        <v>0.8042579257221375614724627300</v>
      </c>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row>
    <row r="35" ht="15.6" customHeight="1">
      <c r="A35" s="92"/>
      <c r="B35" s="344">
        <v>22</v>
      </c>
      <c r="C35" s="351" t="s">
        <v>51</v>
      </c>
      <c r="D35" s="327">
        <v>62.878787878787878787878787880</v>
      </c>
      <c r="E35" s="171">
        <v>60.885608856088560885608856090</v>
      </c>
      <c r="F35" s="328">
        <v>52.902848087269477946870387400</v>
      </c>
      <c r="G35" s="327">
        <v>32.575757575757575757575757580</v>
      </c>
      <c r="H35" s="171">
        <v>2.952029520295202952029520300</v>
      </c>
      <c r="I35" s="328">
        <v>15.267810759207576108541113340</v>
      </c>
      <c r="J35" s="171">
        <v>0</v>
      </c>
      <c r="K35" s="171">
        <v>0</v>
      </c>
      <c r="L35" s="328">
        <v>6.1698687314605958246844225200</v>
      </c>
      <c r="M35" s="327">
        <v>95.45454545454545454545454545</v>
      </c>
      <c r="N35" s="171">
        <v>63.837638376383763837638376380</v>
      </c>
      <c r="O35" s="328">
        <v>74.340527577937649880095923260</v>
      </c>
      <c r="P35" s="4"/>
      <c r="Q35" s="327">
        <v>-30.252100840324412117788289820</v>
      </c>
      <c r="R35" s="171">
        <v>-15.884941981912105095793283780</v>
      </c>
      <c r="S35" s="328">
        <v>1.6719465405978521775198858500</v>
      </c>
      <c r="T35" s="327">
        <v>0</v>
      </c>
      <c r="U35" s="171">
        <v>-43.583435833982233155662382490</v>
      </c>
      <c r="V35" s="328">
        <v>29.101970458520542915054534970</v>
      </c>
      <c r="W35" s="171">
        <v>0</v>
      </c>
      <c r="X35" s="171">
        <v>0</v>
      </c>
      <c r="Y35" s="328">
        <v>2.7882349944191618014982341800</v>
      </c>
      <c r="Z35" s="327">
        <v>5.8823529411942659416707889500</v>
      </c>
      <c r="AA35" s="171">
        <v>-17.752256174281636656033254610</v>
      </c>
      <c r="AB35" s="328">
        <v>6.4112124933900511803525734300</v>
      </c>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row>
    <row r="36" ht="15.6" customHeight="1">
      <c r="A36" s="92"/>
      <c r="B36" s="346">
        <v>23</v>
      </c>
      <c r="C36" s="352" t="s">
        <v>52</v>
      </c>
      <c r="D36" s="359">
        <v>71.969696969696969696969696970</v>
      </c>
      <c r="E36" s="170">
        <v>80.81180811808118081180811808</v>
      </c>
      <c r="F36" s="360">
        <v>62.065939869818784243541889060</v>
      </c>
      <c r="G36" s="359">
        <v>1.5151515151515151515151515200</v>
      </c>
      <c r="H36" s="170">
        <v>0.3690036900369003690036900400</v>
      </c>
      <c r="I36" s="360">
        <v>10.263707980753153828527170400</v>
      </c>
      <c r="J36" s="170">
        <v>0</v>
      </c>
      <c r="K36" s="170">
        <v>0</v>
      </c>
      <c r="L36" s="360">
        <v>7.2553797794979190856829997700</v>
      </c>
      <c r="M36" s="359">
        <v>73.484848484848484848484848480</v>
      </c>
      <c r="N36" s="170">
        <v>81.18081180811808118081180812</v>
      </c>
      <c r="O36" s="360">
        <v>79.58502763006985715775205922</v>
      </c>
      <c r="P36" s="4"/>
      <c r="Q36" s="359">
        <v>-18.803418803452114836730207680</v>
      </c>
      <c r="R36" s="170">
        <v>-5.1219727214881000318115951500</v>
      </c>
      <c r="S36" s="360">
        <v>-3.311429212214393970292184400</v>
      </c>
      <c r="T36" s="359">
        <v>0</v>
      </c>
      <c r="U36" s="170">
        <v>-85.89585895876510409548321495</v>
      </c>
      <c r="V36" s="360">
        <v>43.433084091132956901804672080</v>
      </c>
      <c r="W36" s="170">
        <v>0</v>
      </c>
      <c r="X36" s="170">
        <v>0</v>
      </c>
      <c r="Y36" s="360">
        <v>13.834271266019175300453832450</v>
      </c>
      <c r="Z36" s="359">
        <v>-17.09401709405110672802979100</v>
      </c>
      <c r="AA36" s="170">
        <v>-7.5291415165611322478735030400</v>
      </c>
      <c r="AB36" s="360">
        <v>2.3983844130494389513962570800</v>
      </c>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row>
    <row r="37" ht="15.6" customHeight="1">
      <c r="A37" s="92"/>
      <c r="B37" s="348">
        <v>24</v>
      </c>
      <c r="C37" s="353" t="s">
        <v>53</v>
      </c>
      <c r="D37" s="329">
        <v>90.15151515151515151515151515</v>
      </c>
      <c r="E37" s="330">
        <v>87.82287822878228782287822878</v>
      </c>
      <c r="F37" s="332">
        <v>72.030917465516078186044514770</v>
      </c>
      <c r="G37" s="329">
        <v>0.7575757575757575757575757600</v>
      </c>
      <c r="H37" s="330">
        <v>0.3690036900369003690036900400</v>
      </c>
      <c r="I37" s="332">
        <v>9.291645967113777009083270470</v>
      </c>
      <c r="J37" s="330">
        <v>0</v>
      </c>
      <c r="K37" s="330">
        <v>0</v>
      </c>
      <c r="L37" s="332">
        <v>7.7922316877955436162578888300</v>
      </c>
      <c r="M37" s="329">
        <v>90.90909090909090909090909091</v>
      </c>
      <c r="N37" s="330">
        <v>88.19188191881918819188191882</v>
      </c>
      <c r="O37" s="332">
        <v>89.11479512042539881138567407</v>
      </c>
      <c r="P37" s="4"/>
      <c r="Q37" s="329">
        <v>-3.2520325203063255998413605900</v>
      </c>
      <c r="R37" s="330">
        <v>-4.3953477509676472275057583200</v>
      </c>
      <c r="S37" s="332">
        <v>-2.5432090833937065855581134100</v>
      </c>
      <c r="T37" s="329">
        <v>0</v>
      </c>
      <c r="U37" s="330">
        <v>-78.843788437743337433373393290</v>
      </c>
      <c r="V37" s="332">
        <v>48.441685126711295499700339240</v>
      </c>
      <c r="W37" s="330">
        <v>0</v>
      </c>
      <c r="X37" s="330">
        <v>0</v>
      </c>
      <c r="Y37" s="332">
        <v>28.135288752593823557968072820</v>
      </c>
      <c r="Z37" s="329">
        <v>-2.4390243902248661511005316800</v>
      </c>
      <c r="AA37" s="330">
        <v>-5.7825857761776839107073982600</v>
      </c>
      <c r="AB37" s="332">
        <v>3.319906924419181574272817600</v>
      </c>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row>
    <row r="38" ht="21" customHeight="1">
      <c r="B38" s="54"/>
      <c r="C38"/>
      <c r="D38" s="88"/>
      <c r="E38" s="88"/>
      <c r="F38" s="88"/>
      <c r="G38" s="88"/>
      <c r="H38" s="88"/>
      <c r="I38" s="88"/>
      <c r="J38" s="88"/>
      <c r="K38" s="88"/>
      <c r="L38" s="88"/>
      <c r="M38" s="88"/>
      <c r="N38" s="88"/>
      <c r="O38" s="88"/>
      <c r="P38" s="4"/>
      <c r="Q38" s="4"/>
      <c r="R38" s="4"/>
      <c r="S38" s="4"/>
      <c r="T38" s="4"/>
      <c r="U38" s="4"/>
      <c r="V38" s="4"/>
      <c r="W38" s="4"/>
      <c r="X38" s="4"/>
      <c r="Y38" s="4"/>
      <c r="Z38" s="4"/>
      <c r="AA38" s="4"/>
      <c r="AB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row>
    <row r="39" ht="15.6" customHeight="1">
      <c r="A39" s="54"/>
      <c r="B39" s="53"/>
      <c r="C39" s="53" t="s">
        <v>14</v>
      </c>
      <c r="D39" s="354">
        <v>72.159090909090909090909090910</v>
      </c>
      <c r="E39" s="355">
        <v>71.434830117103744021111660890</v>
      </c>
      <c r="F39" s="356">
        <v>51.115429733534965966519282810</v>
      </c>
      <c r="G39" s="354">
        <v>9.659090909090909090909090910</v>
      </c>
      <c r="H39" s="355">
        <v>2.3297047666171862114464786400</v>
      </c>
      <c r="I39" s="356">
        <v>13.124669106431433926938581830</v>
      </c>
      <c r="J39" s="355">
        <v>0</v>
      </c>
      <c r="K39" s="355">
        <v>0</v>
      </c>
      <c r="L39" s="356">
        <v>7.501638205180091608992349100</v>
      </c>
      <c r="M39" s="354">
        <v>81.81818181818181818181818182</v>
      </c>
      <c r="N39" s="355">
        <v>73.764534883720930232558139530</v>
      </c>
      <c r="O39" s="356">
        <v>71.741737045146491502450213740</v>
      </c>
      <c r="P39" s="4"/>
      <c r="Q39" s="354">
        <v>-4.0302267002596247676211377600</v>
      </c>
      <c r="R39" s="355">
        <v>-10.35951094774325541699669100</v>
      </c>
      <c r="S39" s="356">
        <v>-0.5647911168622281651147392500</v>
      </c>
      <c r="T39" s="354">
        <v>-1.9230769232278106508873418200</v>
      </c>
      <c r="U39" s="355">
        <v>1852.2925951358365498215936045</v>
      </c>
      <c r="V39" s="356">
        <v>19.226169033653424815814377980</v>
      </c>
      <c r="W39" s="355">
        <v>0</v>
      </c>
      <c r="X39" s="355">
        <v>0</v>
      </c>
      <c r="Y39" s="356">
        <v>16.511732367442640418031908160</v>
      </c>
      <c r="Z39" s="354">
        <v>-3.786191536772329502333811800</v>
      </c>
      <c r="AA39" s="355">
        <v>-7.5744667904096123556836690600</v>
      </c>
      <c r="AB39" s="356">
        <v>4.1962663244255428356916034700</v>
      </c>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row>
    <row r="40" ht="15.6" customHeight="1">
      <c r="A40" s="54"/>
      <c r="C40" s="53" t="s">
        <v>15</v>
      </c>
      <c r="D40" s="327">
        <v>65.151515151515151515151515150</v>
      </c>
      <c r="E40" s="171">
        <v>69.382734271612911967552968060</v>
      </c>
      <c r="F40" s="328">
        <v>47.788536302422222650577515110</v>
      </c>
      <c r="G40" s="327">
        <v>12.878787878787878787878787880</v>
      </c>
      <c r="H40" s="171">
        <v>4.381264269535290212143247500</v>
      </c>
      <c r="I40" s="328">
        <v>17.056123115920735124381411600</v>
      </c>
      <c r="J40" s="171">
        <v>0</v>
      </c>
      <c r="K40" s="171">
        <v>0</v>
      </c>
      <c r="L40" s="328">
        <v>7.0639006900920333625658360900</v>
      </c>
      <c r="M40" s="327">
        <v>78.030303030303030303030303030</v>
      </c>
      <c r="N40" s="171">
        <v>73.763998541148202179696215570</v>
      </c>
      <c r="O40" s="328">
        <v>71.908560108434991137524762800</v>
      </c>
      <c r="P40" s="4"/>
      <c r="Q40" s="327">
        <v>-20.000000000005953488372092580</v>
      </c>
      <c r="R40" s="171">
        <v>-0.1397987230649032395815956900</v>
      </c>
      <c r="S40" s="328">
        <v>0.5586711626343174992939544900</v>
      </c>
      <c r="T40" s="327">
        <v>325.00000000042500000000042504</v>
      </c>
      <c r="U40" s="171">
        <v>0</v>
      </c>
      <c r="V40" s="328">
        <v>12.711967357029883863973177420</v>
      </c>
      <c r="W40" s="171">
        <v>0</v>
      </c>
      <c r="X40" s="171">
        <v>0</v>
      </c>
      <c r="Y40" s="328">
        <v>16.543041325788990722888092580</v>
      </c>
      <c r="Z40" s="327">
        <v>-7.6233183856535381769189003200</v>
      </c>
      <c r="AA40" s="171">
        <v>6.1660053994780377977921745500</v>
      </c>
      <c r="AB40" s="328">
        <v>4.6449251326205141201696484200</v>
      </c>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row>
    <row r="41" ht="15.6" customHeight="1">
      <c r="A41" s="54"/>
      <c r="B41" s="22"/>
      <c r="C41" s="53" t="s">
        <v>16</v>
      </c>
      <c r="D41" s="359">
        <v>61.174242424242424242424242420</v>
      </c>
      <c r="E41" s="170">
        <v>65.86727209485209606194422600</v>
      </c>
      <c r="F41" s="360">
        <v>48.338688054210305931206560690</v>
      </c>
      <c r="G41" s="359">
        <v>15.719696969696969696969696970</v>
      </c>
      <c r="H41" s="170">
        <v>7.5470310888774156517775623800</v>
      </c>
      <c r="I41" s="360">
        <v>18.449933013580695969112571510</v>
      </c>
      <c r="J41" s="170">
        <v>0</v>
      </c>
      <c r="K41" s="170">
        <v>0</v>
      </c>
      <c r="L41" s="360">
        <v>7.1635215659281097668688565400</v>
      </c>
      <c r="M41" s="359">
        <v>76.893939393939393939393939390</v>
      </c>
      <c r="N41" s="170">
        <v>73.414303183729511713721788380</v>
      </c>
      <c r="O41" s="360">
        <v>73.952142633719111667187988740</v>
      </c>
      <c r="P41" s="4"/>
      <c r="Q41" s="359">
        <v>-24.708624708624708624708624710</v>
      </c>
      <c r="R41" s="170">
        <v>2.469996013582975097078464600</v>
      </c>
      <c r="S41" s="360">
        <v>-0.8149816878738260417227498600</v>
      </c>
      <c r="T41" s="359">
        <v>245.83333332987500000003458334</v>
      </c>
      <c r="U41" s="170">
        <v>1976.9429557919891365398724717</v>
      </c>
      <c r="V41" s="360">
        <v>2.2492370166053915294039025500</v>
      </c>
      <c r="W41" s="170">
        <v>0</v>
      </c>
      <c r="X41" s="170">
        <v>0</v>
      </c>
      <c r="Y41" s="360">
        <v>12.604160807223625375866482520</v>
      </c>
      <c r="Z41" s="359">
        <v>-10.375275938237328772129852190</v>
      </c>
      <c r="AA41" s="170">
        <v>13.568939789244803625081409410</v>
      </c>
      <c r="AB41" s="360">
        <v>1.1081274505836201830303046800</v>
      </c>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row>
    <row r="42" ht="15.6" customHeight="1">
      <c r="A42" s="54"/>
      <c r="B42" s="22"/>
      <c r="C42" s="53" t="s">
        <v>17</v>
      </c>
      <c r="D42" s="327">
        <v>67.234848484848484848484848480</v>
      </c>
      <c r="E42" s="171">
        <v>64.747395375017999293118670250</v>
      </c>
      <c r="F42" s="328">
        <v>49.660883491999215372518600210</v>
      </c>
      <c r="G42" s="327">
        <v>18.939393939393939393939393940</v>
      </c>
      <c r="H42" s="171">
        <v>9.105367861916695635225962030</v>
      </c>
      <c r="I42" s="328">
        <v>19.748662036829163446244793620</v>
      </c>
      <c r="J42" s="171">
        <v>0</v>
      </c>
      <c r="K42" s="171">
        <v>0</v>
      </c>
      <c r="L42" s="328">
        <v>7.0449430542182273745428307500</v>
      </c>
      <c r="M42" s="327">
        <v>86.17424242424242424242424242</v>
      </c>
      <c r="N42" s="171">
        <v>73.852763236934694928344632280</v>
      </c>
      <c r="O42" s="328">
        <v>76.454488583046606193306224590</v>
      </c>
      <c r="P42" s="4"/>
      <c r="Q42" s="327">
        <v>-18.390804597737170035671803370</v>
      </c>
      <c r="R42" s="171">
        <v>-3.298640992385186025105711300</v>
      </c>
      <c r="S42" s="328">
        <v>-4.0216092635789464860876513200</v>
      </c>
      <c r="T42" s="327">
        <v>185.71428571376326530612340432</v>
      </c>
      <c r="U42" s="171">
        <v>393.48046705411559619000029903</v>
      </c>
      <c r="V42" s="328">
        <v>23.959444755508671517559387620</v>
      </c>
      <c r="W42" s="171">
        <v>0</v>
      </c>
      <c r="X42" s="171">
        <v>0</v>
      </c>
      <c r="Y42" s="328">
        <v>13.961168689987894680922093530</v>
      </c>
      <c r="Z42" s="327">
        <v>-3.1914893617548574015391292700</v>
      </c>
      <c r="AA42" s="171">
        <v>7.3423119217675657796448684300</v>
      </c>
      <c r="AB42" s="328">
        <v>3.5194877858726883156815427500</v>
      </c>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row>
    <row r="43" ht="15.6" customHeight="1">
      <c r="A43" s="54"/>
      <c r="B43" s="22"/>
      <c r="C43" s="53" t="s">
        <v>18</v>
      </c>
      <c r="D43" s="359">
        <v>72.537878787878787878787878790</v>
      </c>
      <c r="E43" s="170">
        <v>67.769219874959113595180441190</v>
      </c>
      <c r="F43" s="360">
        <v>54.786191411879774150432528030</v>
      </c>
      <c r="G43" s="359">
        <v>16.477272727272727272727272730</v>
      </c>
      <c r="H43" s="170">
        <v>8.219259486578687829345431980</v>
      </c>
      <c r="I43" s="360">
        <v>16.796898558883490485993243310</v>
      </c>
      <c r="J43" s="170">
        <v>0</v>
      </c>
      <c r="K43" s="170">
        <v>0</v>
      </c>
      <c r="L43" s="360">
        <v>7.3033660817860002994516137100</v>
      </c>
      <c r="M43" s="359">
        <v>89.01515151515151515151515152</v>
      </c>
      <c r="N43" s="170">
        <v>75.988479361537801424525873170</v>
      </c>
      <c r="O43" s="360">
        <v>78.886456052549264935877385050</v>
      </c>
      <c r="P43" s="4"/>
      <c r="Q43" s="359">
        <v>-2.0460358055865150018641786200</v>
      </c>
      <c r="R43" s="170">
        <v>-12.581944259303045537749160900</v>
      </c>
      <c r="S43" s="360">
        <v>-3.3201249428338151588230911500</v>
      </c>
      <c r="T43" s="359">
        <v>33.846153846219739644970446660</v>
      </c>
      <c r="U43" s="170">
        <v>345.45635846743450205546536898</v>
      </c>
      <c r="V43" s="360">
        <v>18.282894623380959478679857130</v>
      </c>
      <c r="W43" s="170">
        <v>0</v>
      </c>
      <c r="X43" s="170">
        <v>0</v>
      </c>
      <c r="Y43" s="360">
        <v>26.070099193351693556814573480</v>
      </c>
      <c r="Z43" s="359">
        <v>3.0701754386398891966759185600</v>
      </c>
      <c r="AA43" s="170">
        <v>-4.2583653049735370430764185100</v>
      </c>
      <c r="AB43" s="360">
        <v>2.9025244611762417279447839400</v>
      </c>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row>
    <row r="44" ht="15.6" customHeight="1">
      <c r="A44" s="54"/>
      <c r="B44" s="22"/>
      <c r="C44" s="53" t="s">
        <v>19</v>
      </c>
      <c r="D44" s="327">
        <v>75.00</v>
      </c>
      <c r="E44" s="171">
        <v>79.51875366204763233524834863</v>
      </c>
      <c r="F44" s="328">
        <v>63.712593737514626036240387430</v>
      </c>
      <c r="G44" s="327">
        <v>9.090909090909090909090909090</v>
      </c>
      <c r="H44" s="171">
        <v>3.5671469644004926111173940900</v>
      </c>
      <c r="I44" s="328">
        <v>13.256143346856107301900707420</v>
      </c>
      <c r="J44" s="171">
        <v>0</v>
      </c>
      <c r="K44" s="171">
        <v>0</v>
      </c>
      <c r="L44" s="328">
        <v>7.4306998877906679755905285600</v>
      </c>
      <c r="M44" s="327">
        <v>84.09090909090909090909090909</v>
      </c>
      <c r="N44" s="171">
        <v>83.08590062644812494636574273</v>
      </c>
      <c r="O44" s="328">
        <v>84.39943697216140131373162340</v>
      </c>
      <c r="P44" s="4"/>
      <c r="Q44" s="327">
        <v>4.4854881266534875140106238900</v>
      </c>
      <c r="R44" s="171">
        <v>-7.0540383547928297255012670700</v>
      </c>
      <c r="S44" s="328">
        <v>-4.3276024839397555220884075400</v>
      </c>
      <c r="T44" s="327">
        <v>-53.398058252485097558676523380</v>
      </c>
      <c r="U44" s="171">
        <v>215.28701202999975448023522246</v>
      </c>
      <c r="V44" s="328">
        <v>22.794067275376124934879473780</v>
      </c>
      <c r="W44" s="171">
        <v>0</v>
      </c>
      <c r="X44" s="171">
        <v>0</v>
      </c>
      <c r="Y44" s="328">
        <v>14.415550165429914956221667660</v>
      </c>
      <c r="Z44" s="327">
        <v>-7.8838174274072967063239219600</v>
      </c>
      <c r="AA44" s="171">
        <v>-4.1520885457986808453492141200</v>
      </c>
      <c r="AB44" s="328">
        <v>0.6139223878575967303053363200</v>
      </c>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row>
    <row r="45" ht="15.6" customHeight="1">
      <c r="A45" s="54"/>
      <c r="B45" s="22"/>
      <c r="C45" s="53" t="s">
        <v>20</v>
      </c>
      <c r="D45" s="364">
        <v>84.28030303030303030303030303</v>
      </c>
      <c r="E45" s="365">
        <v>84.25474046470257900064039653</v>
      </c>
      <c r="F45" s="366">
        <v>68.086048397635964699490432330</v>
      </c>
      <c r="G45" s="364">
        <v>8.712121212121212121212121210</v>
      </c>
      <c r="H45" s="365">
        <v>3.1275323405836133961672924800</v>
      </c>
      <c r="I45" s="366">
        <v>11.142111534676665207002027570</v>
      </c>
      <c r="J45" s="365">
        <v>0</v>
      </c>
      <c r="K45" s="365">
        <v>0</v>
      </c>
      <c r="L45" s="366">
        <v>7.7205419757261564557221162700</v>
      </c>
      <c r="M45" s="364">
        <v>92.99242424242424242424242424</v>
      </c>
      <c r="N45" s="365">
        <v>87.38227280528619239680768900</v>
      </c>
      <c r="O45" s="366">
        <v>86.94870190803878636221457617</v>
      </c>
      <c r="P45" s="4"/>
      <c r="Q45" s="364">
        <v>16.797900262452476904953811760</v>
      </c>
      <c r="R45" s="365">
        <v>-4.0618308017879224281928773400</v>
      </c>
      <c r="S45" s="366">
        <v>-0.0448283630719131132758181100</v>
      </c>
      <c r="T45" s="364">
        <v>-48.314606741693826537053120060</v>
      </c>
      <c r="U45" s="365">
        <v>363.53727655756801913599105190</v>
      </c>
      <c r="V45" s="366">
        <v>10.294869523961202247236219130</v>
      </c>
      <c r="W45" s="365">
        <v>0</v>
      </c>
      <c r="X45" s="365">
        <v>0</v>
      </c>
      <c r="Y45" s="366">
        <v>25.097643585380680806497611330</v>
      </c>
      <c r="Z45" s="364">
        <v>4.4680851063260769578995330300</v>
      </c>
      <c r="AA45" s="365">
        <v>-1.2592065958609987194413422900</v>
      </c>
      <c r="AB45" s="366">
        <v>3.0316195118015630647726264100</v>
      </c>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row>
    <row r="46" ht="20.25" customHeight="1">
      <c r="B46" s="54"/>
      <c r="C46"/>
      <c r="D46" s="88"/>
      <c r="E46" s="88"/>
      <c r="F46" s="88"/>
      <c r="G46" s="88"/>
      <c r="H46" s="88"/>
      <c r="I46" s="88"/>
      <c r="J46" s="88"/>
      <c r="K46" s="88"/>
      <c r="L46" s="88"/>
      <c r="M46" s="88"/>
      <c r="N46" s="88"/>
      <c r="O46" s="88"/>
      <c r="P46" s="4"/>
      <c r="Q46" s="4"/>
      <c r="R46" s="4"/>
      <c r="S46" s="4"/>
      <c r="T46" s="4"/>
      <c r="U46" s="4"/>
      <c r="V46" s="4"/>
      <c r="W46" s="4"/>
      <c r="X46" s="4"/>
      <c r="Y46" s="4"/>
      <c r="Z46" s="4"/>
      <c r="AA46" s="4"/>
      <c r="AB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row>
    <row r="47" ht="15.6" customHeight="1">
      <c r="A47" s="22"/>
      <c r="B47" s="22"/>
      <c r="C47" s="53" t="s">
        <v>72</v>
      </c>
      <c r="D47" s="354">
        <v>68.073593073593073593073593070</v>
      </c>
      <c r="E47" s="355">
        <v>71.665328364247097620477865910</v>
      </c>
      <c r="F47" s="356">
        <v>54.361052248067355998184766280</v>
      </c>
      <c r="G47" s="354">
        <v>21.103896103896103896103896100</v>
      </c>
      <c r="H47" s="355">
        <v>2.5718392565985460519057017800</v>
      </c>
      <c r="I47" s="356">
        <v>12.862496488149143680710420460</v>
      </c>
      <c r="J47" s="355">
        <v>0</v>
      </c>
      <c r="K47" s="355">
        <v>0</v>
      </c>
      <c r="L47" s="356">
        <v>7.2093273231844267849027190400</v>
      </c>
      <c r="M47" s="354">
        <v>89.17748917748917748917748918</v>
      </c>
      <c r="N47" s="355">
        <v>74.237167620845643672383567690</v>
      </c>
      <c r="O47" s="356">
        <v>74.432876059400926463797905770</v>
      </c>
      <c r="P47" s="4"/>
      <c r="Q47" s="354">
        <v>-22.441430332955215965432137370</v>
      </c>
      <c r="R47" s="355">
        <v>-8.158536082440773869448338170</v>
      </c>
      <c r="S47" s="356">
        <v>-3.0279497917431426049442889900</v>
      </c>
      <c r="T47" s="354">
        <v>0</v>
      </c>
      <c r="U47" s="355">
        <v>10.589088036059851080702433410</v>
      </c>
      <c r="V47" s="356">
        <v>29.639029341211756116709725370</v>
      </c>
      <c r="W47" s="355">
        <v>0</v>
      </c>
      <c r="X47" s="355">
        <v>0</v>
      </c>
      <c r="Y47" s="356">
        <v>18.019387862528785325576388600</v>
      </c>
      <c r="Z47" s="354">
        <v>1.6029593094513546017232413500</v>
      </c>
      <c r="AA47" s="355">
        <v>-7.6159691828983719468202171200</v>
      </c>
      <c r="AB47" s="356">
        <v>3.2515816179107657321427495300</v>
      </c>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row>
    <row r="48" ht="15.6" customHeight="1">
      <c r="A48" s="22"/>
      <c r="B48" s="22"/>
      <c r="C48" s="53" t="s">
        <v>61</v>
      </c>
      <c r="D48" s="327">
        <v>71.076839826839826839826839830</v>
      </c>
      <c r="E48" s="171">
        <v>71.853563694328010896399530220</v>
      </c>
      <c r="F48" s="328">
        <v>54.784053018456724972426472370</v>
      </c>
      <c r="G48" s="327">
        <v>13.068181818181818181818181820</v>
      </c>
      <c r="H48" s="171">
        <v>5.4681866826441973638890527300</v>
      </c>
      <c r="I48" s="328">
        <v>15.653505816168327351653333840</v>
      </c>
      <c r="J48" s="171">
        <v>0</v>
      </c>
      <c r="K48" s="171">
        <v>0</v>
      </c>
      <c r="L48" s="328">
        <v>7.3183730658173266919620187200</v>
      </c>
      <c r="M48" s="327">
        <v>84.14502164502164502164502165</v>
      </c>
      <c r="N48" s="171">
        <v>77.321750376972208260288582950</v>
      </c>
      <c r="O48" s="328">
        <v>77.755931900442379016041824930</v>
      </c>
      <c r="P48" s="4"/>
      <c r="Q48" s="327">
        <v>-7.5650950034712930254486467900</v>
      </c>
      <c r="R48" s="171">
        <v>-5.3320991620679198778400683100</v>
      </c>
      <c r="S48" s="328">
        <v>-1.8672139385015382543586034700</v>
      </c>
      <c r="T48" s="327">
        <v>25.781250000125781250000125800</v>
      </c>
      <c r="U48" s="171">
        <v>540.18773380954644268726963845</v>
      </c>
      <c r="V48" s="328">
        <v>15.081801262065539605820717140</v>
      </c>
      <c r="W48" s="171">
        <v>0</v>
      </c>
      <c r="X48" s="171">
        <v>0</v>
      </c>
      <c r="Y48" s="328">
        <v>17.760204051055746702723966340</v>
      </c>
      <c r="Z48" s="327">
        <v>-3.5957842528898376450791436100</v>
      </c>
      <c r="AA48" s="171">
        <v>0.7386305109479998903631621300</v>
      </c>
      <c r="AB48" s="328">
        <v>2.7930753328382419133843599900</v>
      </c>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row>
    <row r="49" ht="15.6" customHeight="1">
      <c r="A49" s="54"/>
      <c r="B49" s="22"/>
      <c r="C49" s="53" t="s">
        <v>31</v>
      </c>
      <c r="D49" s="364">
        <v>70.012626262626262626262626260</v>
      </c>
      <c r="E49" s="365">
        <v>69.176102666865739343541709270</v>
      </c>
      <c r="F49" s="366">
        <v>54.642738224006508955287751690</v>
      </c>
      <c r="G49" s="364">
        <v>12.815656565656565656565656570</v>
      </c>
      <c r="H49" s="365">
        <v>5.262257269059201301213575500</v>
      </c>
      <c r="I49" s="366">
        <v>14.017063253466881511963323280</v>
      </c>
      <c r="J49" s="365">
        <v>0</v>
      </c>
      <c r="K49" s="365">
        <v>0</v>
      </c>
      <c r="L49" s="366">
        <v>7.3546043891376685116527584800</v>
      </c>
      <c r="M49" s="364">
        <v>82.82828282828282828282828283</v>
      </c>
      <c r="N49" s="365">
        <v>74.438359935924940644755284760</v>
      </c>
      <c r="O49" s="366">
        <v>76.014405866611058978903833450</v>
      </c>
      <c r="P49" s="4"/>
      <c r="Q49" s="364">
        <v>-6.7675493905039723897681847900</v>
      </c>
      <c r="R49" s="365">
        <v>-8.586612140801046791117230860</v>
      </c>
      <c r="S49" s="366">
        <v>-2.8116263599187703127497418400</v>
      </c>
      <c r="T49" s="364">
        <v>17.341040462612235624311159160</v>
      </c>
      <c r="U49" s="365">
        <v>469.60814596345388762224010440</v>
      </c>
      <c r="V49" s="366">
        <v>4.4230947743390342297962340700</v>
      </c>
      <c r="W49" s="365">
        <v>0</v>
      </c>
      <c r="X49" s="365">
        <v>0</v>
      </c>
      <c r="Y49" s="366">
        <v>18.976087835548677332856780110</v>
      </c>
      <c r="Z49" s="364">
        <v>-3.7064220183327928356198947100</v>
      </c>
      <c r="AA49" s="365">
        <v>-2.8191522401220588065587865600</v>
      </c>
      <c r="AB49" s="366">
        <v>0.2452293392296680388279814700</v>
      </c>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row>
    <row r="50" ht="9.95" customHeight="1">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row>
    <row r="51" ht="9.95" customHeight="1">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row>
    <row r="52" ht="24.95" customHeight="1">
      <c r="D52" s="650" t="s">
        <v>114</v>
      </c>
      <c r="E52" s="650"/>
      <c r="F52" s="650"/>
      <c r="G52" s="650"/>
      <c r="H52" s="650"/>
      <c r="I52" s="650"/>
      <c r="J52" s="650"/>
      <c r="K52" s="650"/>
      <c r="L52" s="650"/>
      <c r="M52" s="650"/>
      <c r="N52" s="650"/>
      <c r="O52" s="650"/>
      <c r="P52" s="650"/>
      <c r="Q52" s="650"/>
      <c r="R52" s="650"/>
      <c r="S52" s="650"/>
      <c r="T52" s="650"/>
      <c r="U52" s="650"/>
      <c r="V52" s="650"/>
      <c r="W52" s="650"/>
      <c r="X52" s="650"/>
      <c r="Y52" s="650"/>
      <c r="Z52" s="650"/>
      <c r="AA52" s="650"/>
      <c r="AB52" s="650"/>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row>
    <row r="53" ht="9.95" customHeight="1">
      <c r="A53" s="53"/>
      <c r="C53"/>
      <c r="Z53" s="80"/>
      <c r="AA53" s="242"/>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c r="BB70" s="244"/>
      <c r="BC70" s="244"/>
      <c r="BD70" s="244"/>
      <c r="BE70" s="244"/>
      <c r="BF70" s="244"/>
      <c r="BG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c r="AZ71" s="244"/>
      <c r="BA71" s="244"/>
      <c r="BB71" s="244"/>
      <c r="BC71" s="244"/>
      <c r="BD71" s="244"/>
      <c r="BE71" s="244"/>
      <c r="BF71" s="244"/>
      <c r="BG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c r="BB72" s="244"/>
      <c r="BC72" s="244"/>
      <c r="BD72" s="244"/>
      <c r="BE72" s="244"/>
      <c r="BF72" s="244"/>
      <c r="BG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c r="BB73" s="244"/>
      <c r="BC73" s="244"/>
      <c r="BD73" s="244"/>
      <c r="BE73" s="244"/>
      <c r="BF73" s="244"/>
      <c r="BG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c r="BB74" s="244"/>
      <c r="BC74" s="244"/>
      <c r="BD74" s="244"/>
      <c r="BE74" s="244"/>
      <c r="BF74" s="244"/>
      <c r="BG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row>
  </sheetData>
  <mergeCells count="12">
    <mergeCell ref="D8:F8"/>
    <mergeCell ref="M8:O8"/>
    <mergeCell ref="D52:AB52"/>
    <mergeCell ref="R4:AA4"/>
    <mergeCell ref="J8:L8"/>
    <mergeCell ref="G8:I8"/>
    <mergeCell ref="Q7:AB7"/>
    <mergeCell ref="D7:O7"/>
    <mergeCell ref="Q8:S8"/>
    <mergeCell ref="T8:V8"/>
    <mergeCell ref="W8:Y8"/>
    <mergeCell ref="Z8:AB8"/>
  </mergeCells>
  <phoneticPr fontId="0" type="noConversion"/>
  <printOptions horizontalCentered="1" verticalCentered="1"/>
  <pageMargins left="0.25" right="0.25" top="0.25" bottom="0.25" header="0.17" footer="0.28"/>
  <pageSetup scale="67" orientation="landscape" r:id="rId1"/>
  <headerFooter alignWithMargins="0">
    <oddHeader/>
    <oddFooter/>
  </headerFooter>
  <drawing r:id="rId41"/>
</worksheet>
</file>

<file path=xl/worksheets/sheet4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A105"/>
  <sheetViews>
    <sheetView showGridLines="0" zoomScaleNormal="100" workbookViewId="0"/>
  </sheetViews>
  <sheetFormatPr defaultRowHeight="12.75"/>
  <cols>
    <col min="1" max="1" width="13.28515625" customWidth="1"/>
    <col min="2" max="2" width="3.85546875" customWidth="1"/>
    <col min="3" max="3" width="4.28515625" style="30" customWidth="1"/>
    <col min="4" max="15" width="7.7109375" customWidth="1"/>
    <col min="16" max="16" width="1.42578125" customWidth="1"/>
    <col min="17" max="28" width="7.7109375" customWidth="1"/>
    <col min="29" max="29" width="2.28515625" customWidth="1"/>
    <col min="30" max="32" width="9.140625" customWidth="1"/>
  </cols>
  <sheetData>
    <row r="1" ht="23.25">
      <c r="A1" s="39" t="s">
        <v>131</v>
      </c>
      <c r="B1" s="39"/>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row>
    <row r="2" ht="15" customHeight="1">
      <c r="A2" s="10" t="s">
        <v>168</v>
      </c>
      <c r="AA2" s="216"/>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row>
    <row r="3" ht="17.1" customHeight="1">
      <c r="A3" s="10" t="s">
        <v>181</v>
      </c>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row>
    <row r="4" ht="17.1" customHeight="1">
      <c r="A4" t="s">
        <v>182</v>
      </c>
      <c r="B4" s="442"/>
      <c r="C4" s="211"/>
      <c r="D4" s="212"/>
      <c r="E4" s="212"/>
      <c r="F4" s="212"/>
      <c r="G4" s="212"/>
      <c r="H4" s="212"/>
      <c r="I4" s="212"/>
      <c r="J4" s="212"/>
      <c r="K4" s="212"/>
      <c r="L4" s="212"/>
      <c r="M4" s="212"/>
      <c r="N4" s="212"/>
      <c r="O4" s="212"/>
      <c r="P4" s="212"/>
      <c r="Q4" s="212"/>
      <c r="R4" s="677" t="s">
        <v>184</v>
      </c>
      <c r="S4" s="677"/>
      <c r="T4" s="677"/>
      <c r="U4" s="677"/>
      <c r="V4" s="677"/>
      <c r="W4" s="677"/>
      <c r="X4" s="677"/>
      <c r="Y4" s="677"/>
      <c r="Z4" s="677"/>
      <c r="AA4" s="677"/>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c r="AZ6" s="244"/>
      <c r="BA6" s="244"/>
    </row>
    <row r="7" ht="15.75">
      <c r="D7" s="621" t="s">
        <v>12</v>
      </c>
      <c r="E7" s="621"/>
      <c r="F7" s="621"/>
      <c r="G7" s="621"/>
      <c r="H7" s="621"/>
      <c r="I7" s="621"/>
      <c r="J7" s="621"/>
      <c r="K7" s="621"/>
      <c r="L7" s="621"/>
      <c r="M7" s="621"/>
      <c r="N7" s="621"/>
      <c r="O7" s="621"/>
      <c r="Q7" s="621" t="s">
        <v>86</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row>
    <row r="8" ht="15.75">
      <c r="D8" s="678" t="s">
        <v>21</v>
      </c>
      <c r="E8" s="678"/>
      <c r="F8" s="678"/>
      <c r="G8" s="678" t="s">
        <v>24</v>
      </c>
      <c r="H8" s="678"/>
      <c r="I8" s="678"/>
      <c r="J8" s="678" t="s">
        <v>25</v>
      </c>
      <c r="K8" s="678"/>
      <c r="L8" s="678"/>
      <c r="M8" s="678" t="s">
        <v>23</v>
      </c>
      <c r="N8" s="678"/>
      <c r="O8" s="678"/>
      <c r="Q8" s="678" t="s">
        <v>21</v>
      </c>
      <c r="R8" s="678"/>
      <c r="S8" s="678"/>
      <c r="T8" s="678" t="s">
        <v>24</v>
      </c>
      <c r="U8" s="678"/>
      <c r="V8" s="678"/>
      <c r="W8" s="678" t="s">
        <v>25</v>
      </c>
      <c r="X8" s="678"/>
      <c r="Y8" s="678"/>
      <c r="Z8" s="678" t="s">
        <v>23</v>
      </c>
      <c r="AA8" s="678"/>
      <c r="AB8" s="678"/>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row>
    <row r="9" ht="27" customHeight="1">
      <c r="A9" s="92"/>
      <c r="D9" s="339" t="s">
        <v>63</v>
      </c>
      <c r="E9" s="340" t="s">
        <v>26</v>
      </c>
      <c r="F9" s="341" t="s">
        <v>185</v>
      </c>
      <c r="G9" s="339" t="s">
        <v>63</v>
      </c>
      <c r="H9" s="340" t="s">
        <v>26</v>
      </c>
      <c r="I9" s="341" t="s">
        <v>185</v>
      </c>
      <c r="J9" s="339" t="s">
        <v>63</v>
      </c>
      <c r="K9" s="340" t="s">
        <v>26</v>
      </c>
      <c r="L9" s="341" t="s">
        <v>185</v>
      </c>
      <c r="M9" s="339" t="s">
        <v>63</v>
      </c>
      <c r="N9" s="340" t="s">
        <v>26</v>
      </c>
      <c r="O9" s="341" t="s">
        <v>185</v>
      </c>
      <c r="P9" s="96"/>
      <c r="Q9" s="339" t="s">
        <v>63</v>
      </c>
      <c r="R9" s="340" t="s">
        <v>26</v>
      </c>
      <c r="S9" s="341" t="s">
        <v>185</v>
      </c>
      <c r="T9" s="339" t="s">
        <v>63</v>
      </c>
      <c r="U9" s="340" t="s">
        <v>26</v>
      </c>
      <c r="V9" s="341" t="s">
        <v>185</v>
      </c>
      <c r="W9" s="339" t="s">
        <v>63</v>
      </c>
      <c r="X9" s="340" t="s">
        <v>26</v>
      </c>
      <c r="Y9" s="341" t="s">
        <v>185</v>
      </c>
      <c r="Z9" s="339" t="s">
        <v>63</v>
      </c>
      <c r="AA9" s="340" t="s">
        <v>26</v>
      </c>
      <c r="AB9" s="341" t="s">
        <v>185</v>
      </c>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row>
    <row r="10" ht="15.6" customHeight="1">
      <c r="A10" s="92" t="s">
        <v>186</v>
      </c>
      <c r="B10" s="342">
        <v>27</v>
      </c>
      <c r="C10" s="343" t="s">
        <v>49</v>
      </c>
      <c r="D10" s="374">
        <v>245.4077669902912621359223301</v>
      </c>
      <c r="E10" s="382">
        <v>311.08842641659349609054759887</v>
      </c>
      <c r="F10" s="375">
        <v>234.995784855727160445018738</v>
      </c>
      <c r="G10" s="374">
        <v>307</v>
      </c>
      <c r="H10" s="382">
        <v>392.40142101658018513665603678</v>
      </c>
      <c r="I10" s="375">
        <v>278.16967677006185376564652872</v>
      </c>
      <c r="J10" s="374">
        <v>0</v>
      </c>
      <c r="K10" s="382">
        <v>0</v>
      </c>
      <c r="L10" s="375">
        <v>170.00229574313269313956097592</v>
      </c>
      <c r="M10" s="374">
        <v>248.25925925925925925925925926</v>
      </c>
      <c r="N10" s="382">
        <v>316.85530546623794212218649517</v>
      </c>
      <c r="O10" s="375">
        <v>238.97769095034030753718174943</v>
      </c>
      <c r="P10" s="4"/>
      <c r="Q10" s="354">
        <v>17.155403581524624835740495200</v>
      </c>
      <c r="R10" s="355">
        <v>36.249304604426274880482253490</v>
      </c>
      <c r="S10" s="356">
        <v>16.012737872745144185434144960</v>
      </c>
      <c r="T10" s="354">
        <v>29.809725158562367864693446090</v>
      </c>
      <c r="U10" s="355">
        <v>0</v>
      </c>
      <c r="V10" s="356">
        <v>-22.452238607501781967428516030</v>
      </c>
      <c r="W10" s="354">
        <v>0</v>
      </c>
      <c r="X10" s="355">
        <v>0</v>
      </c>
      <c r="Y10" s="356">
        <v>-1.9569704835240355431075674800</v>
      </c>
      <c r="Z10" s="354">
        <v>18.044395298346388832166190340</v>
      </c>
      <c r="AA10" s="355">
        <v>38.775059963771200125371660080</v>
      </c>
      <c r="AB10" s="356">
        <v>5.9658298927888029846474207600</v>
      </c>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row>
    <row r="11" ht="15.6" customHeight="1">
      <c r="A11" s="92"/>
      <c r="B11" s="344">
        <v>28</v>
      </c>
      <c r="C11" s="345" t="s">
        <v>47</v>
      </c>
      <c r="D11" s="370">
        <v>290.85148514851485148514851485</v>
      </c>
      <c r="E11" s="172">
        <v>356.46086101384598044939528444</v>
      </c>
      <c r="F11" s="371">
        <v>270.05454251857947940088590076</v>
      </c>
      <c r="G11" s="370">
        <v>261.60869565217391304347826087</v>
      </c>
      <c r="H11" s="172">
        <v>371.87341687778718725201766715</v>
      </c>
      <c r="I11" s="371">
        <v>292.37700115467010649311947808</v>
      </c>
      <c r="J11" s="370">
        <v>0</v>
      </c>
      <c r="K11" s="172">
        <v>0</v>
      </c>
      <c r="L11" s="371">
        <v>182.09465331812984441421366685</v>
      </c>
      <c r="M11" s="370">
        <v>285.42741935483870967741935484</v>
      </c>
      <c r="N11" s="172">
        <v>357.93113772455089820359281438</v>
      </c>
      <c r="O11" s="371">
        <v>269.46395280235988200589970501</v>
      </c>
      <c r="P11" s="4"/>
      <c r="Q11" s="327">
        <v>43.349874114203348482731470470</v>
      </c>
      <c r="R11" s="171">
        <v>60.396795736805493525899217320</v>
      </c>
      <c r="S11" s="328">
        <v>30.017215450192671999135701380</v>
      </c>
      <c r="T11" s="327">
        <v>22.211361472548397334179625520</v>
      </c>
      <c r="U11" s="171">
        <v>0</v>
      </c>
      <c r="V11" s="328">
        <v>-9.11059789081282333835712100</v>
      </c>
      <c r="W11" s="327">
        <v>0</v>
      </c>
      <c r="X11" s="171">
        <v>0</v>
      </c>
      <c r="Y11" s="328">
        <v>13.731464248641815624985270420</v>
      </c>
      <c r="Z11" s="327">
        <v>39.668478907793841615267961070</v>
      </c>
      <c r="AA11" s="171">
        <v>61.058376569474690048677132970</v>
      </c>
      <c r="AB11" s="328">
        <v>15.276168032289406711044783640</v>
      </c>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row>
    <row r="12" ht="15.6" customHeight="1">
      <c r="A12" s="92"/>
      <c r="B12" s="346">
        <v>29</v>
      </c>
      <c r="C12" s="347" t="s">
        <v>48</v>
      </c>
      <c r="D12" s="378">
        <v>321.28846153846153846153846154</v>
      </c>
      <c r="E12" s="173">
        <v>314.23882045623955097263062552</v>
      </c>
      <c r="F12" s="379">
        <v>285.85712424495575532108601979</v>
      </c>
      <c r="G12" s="378">
        <v>269</v>
      </c>
      <c r="H12" s="173">
        <v>367.79087846488703638361678694</v>
      </c>
      <c r="I12" s="379">
        <v>298.66674273758086269555269833</v>
      </c>
      <c r="J12" s="378">
        <v>0</v>
      </c>
      <c r="K12" s="173">
        <v>0</v>
      </c>
      <c r="L12" s="379">
        <v>164.03871163353338702112055306</v>
      </c>
      <c r="M12" s="378">
        <v>311.484375000</v>
      </c>
      <c r="N12" s="173">
        <v>317.57485029940119760479041917</v>
      </c>
      <c r="O12" s="379">
        <v>280.38212775682779110958747572</v>
      </c>
      <c r="P12" s="4"/>
      <c r="Q12" s="359">
        <v>58.506573312646473477266207220</v>
      </c>
      <c r="R12" s="170">
        <v>34.820026381452568564377733300</v>
      </c>
      <c r="S12" s="360">
        <v>31.654865992023894901909847790</v>
      </c>
      <c r="T12" s="359">
        <v>34.053156146157134027218246320</v>
      </c>
      <c r="U12" s="170">
        <v>0</v>
      </c>
      <c r="V12" s="360">
        <v>-3.5337938587197017471659687200</v>
      </c>
      <c r="W12" s="359">
        <v>0</v>
      </c>
      <c r="X12" s="170">
        <v>0</v>
      </c>
      <c r="Y12" s="360">
        <v>14.095623756682989473296922140</v>
      </c>
      <c r="Z12" s="359">
        <v>53.888258091494352817341186950</v>
      </c>
      <c r="AA12" s="170">
        <v>36.251306039425316441811454860</v>
      </c>
      <c r="AB12" s="360">
        <v>17.443933770330888165260761730</v>
      </c>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row>
    <row r="13" ht="15.6" customHeight="1">
      <c r="A13" s="92"/>
      <c r="B13" s="344">
        <v>30</v>
      </c>
      <c r="C13" s="345" t="s">
        <v>50</v>
      </c>
      <c r="D13" s="370">
        <v>265.16831683168316831683168317</v>
      </c>
      <c r="E13" s="172">
        <v>301.94529751185567049514324042</v>
      </c>
      <c r="F13" s="371">
        <v>270.97507543314959946159568613</v>
      </c>
      <c r="G13" s="370">
        <v>275.8</v>
      </c>
      <c r="H13" s="172">
        <v>353.81397525621179218056822802</v>
      </c>
      <c r="I13" s="371">
        <v>280.58571078028909038352400715</v>
      </c>
      <c r="J13" s="370">
        <v>0</v>
      </c>
      <c r="K13" s="172">
        <v>0</v>
      </c>
      <c r="L13" s="371">
        <v>158.50999987250611728389647577</v>
      </c>
      <c r="M13" s="370">
        <v>267.27777777777777777777777778</v>
      </c>
      <c r="N13" s="172">
        <v>304.75851393188854489164086687</v>
      </c>
      <c r="O13" s="371">
        <v>265.43899066712754925682682337</v>
      </c>
      <c r="P13" s="4"/>
      <c r="Q13" s="327">
        <v>44.483610487083684448957858260</v>
      </c>
      <c r="R13" s="171">
        <v>13.703142682699348753863427650</v>
      </c>
      <c r="S13" s="328">
        <v>22.858003508841465035081860190</v>
      </c>
      <c r="T13" s="327">
        <v>1.0667752442955591703890759100</v>
      </c>
      <c r="U13" s="171">
        <v>0</v>
      </c>
      <c r="V13" s="328">
        <v>-10.220384439507148467838685340</v>
      </c>
      <c r="W13" s="327">
        <v>0</v>
      </c>
      <c r="X13" s="171">
        <v>0</v>
      </c>
      <c r="Y13" s="328">
        <v>-6.7359004485049173526320836700</v>
      </c>
      <c r="Z13" s="327">
        <v>36.019225332202431439072660450</v>
      </c>
      <c r="AA13" s="171">
        <v>14.762511881823077607020141140</v>
      </c>
      <c r="AB13" s="328">
        <v>13.050716780563929720899643760</v>
      </c>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row>
    <row r="14" ht="15.6" customHeight="1">
      <c r="A14" s="92" t="s">
        <v>183</v>
      </c>
      <c r="B14" s="668">
        <v>1</v>
      </c>
      <c r="C14" s="679" t="s">
        <v>51</v>
      </c>
      <c r="D14" s="680">
        <v>271.36190476190476190476190476</v>
      </c>
      <c r="E14" s="681">
        <v>376.27278323306866081699672307</v>
      </c>
      <c r="F14" s="682">
        <v>287.61067772488196313057946149</v>
      </c>
      <c r="G14" s="680">
        <v>439</v>
      </c>
      <c r="H14" s="681">
        <v>493.48743790781991794162319164</v>
      </c>
      <c r="I14" s="682">
        <v>315.83281662883884683339433985</v>
      </c>
      <c r="J14" s="680">
        <v>0</v>
      </c>
      <c r="K14" s="681">
        <v>0</v>
      </c>
      <c r="L14" s="682">
        <v>174.56831542144697997321428183</v>
      </c>
      <c r="M14" s="680">
        <v>297.04838709677419354838709677</v>
      </c>
      <c r="N14" s="681">
        <v>388.5888157894736842105263158</v>
      </c>
      <c r="O14" s="682">
        <v>285.45558252427184466019417476</v>
      </c>
      <c r="P14" s="4"/>
      <c r="Q14" s="670">
        <v>-11.583456445346171201054938020</v>
      </c>
      <c r="R14" s="671">
        <v>8.889298719577519569518098680</v>
      </c>
      <c r="S14" s="672">
        <v>7.1607550824925000133705870300</v>
      </c>
      <c r="T14" s="670">
        <v>-1.7179147439217901305598470400</v>
      </c>
      <c r="U14" s="671">
        <v>0</v>
      </c>
      <c r="V14" s="672">
        <v>-9.987041005605724899774343350</v>
      </c>
      <c r="W14" s="670">
        <v>0</v>
      </c>
      <c r="X14" s="671">
        <v>0</v>
      </c>
      <c r="Y14" s="672">
        <v>5.4662288473905528969546669600</v>
      </c>
      <c r="Z14" s="670">
        <v>-18.605541339827349489056864450</v>
      </c>
      <c r="AA14" s="671">
        <v>12.453426150085141885801436530</v>
      </c>
      <c r="AB14" s="672">
        <v>3.0488647524396100333251346100</v>
      </c>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row>
    <row r="15" ht="15.6" customHeight="1">
      <c r="A15" s="92"/>
      <c r="B15" s="344">
        <v>2</v>
      </c>
      <c r="C15" s="345" t="s">
        <v>52</v>
      </c>
      <c r="D15" s="370">
        <v>413.84375</v>
      </c>
      <c r="E15" s="172">
        <v>495.30482956381921262386442942</v>
      </c>
      <c r="F15" s="371">
        <v>342.7646888750623369586230871</v>
      </c>
      <c r="G15" s="370">
        <v>439</v>
      </c>
      <c r="H15" s="172">
        <v>488.37738874185344923863844297</v>
      </c>
      <c r="I15" s="371">
        <v>325.02014386094768885367235244</v>
      </c>
      <c r="J15" s="370">
        <v>0</v>
      </c>
      <c r="K15" s="172">
        <v>0</v>
      </c>
      <c r="L15" s="371">
        <v>192.55637311659555968999431193</v>
      </c>
      <c r="M15" s="370">
        <v>420.132812500</v>
      </c>
      <c r="N15" s="172">
        <v>494.47904191616766467065868265</v>
      </c>
      <c r="O15" s="371">
        <v>327.43658672615727830451756832</v>
      </c>
      <c r="P15" s="4"/>
      <c r="Q15" s="327">
        <v>-11.449417872881595379617817390</v>
      </c>
      <c r="R15" s="171">
        <v>18.088221616055489232218130110</v>
      </c>
      <c r="S15" s="328">
        <v>0.6842894925388782462408029600</v>
      </c>
      <c r="T15" s="327">
        <v>-1.6665173371561688020786667900</v>
      </c>
      <c r="U15" s="171">
        <v>102.64571947646261044879859818</v>
      </c>
      <c r="V15" s="328">
        <v>-17.413684488504970358120675140</v>
      </c>
      <c r="W15" s="327">
        <v>0</v>
      </c>
      <c r="X15" s="171">
        <v>0</v>
      </c>
      <c r="Y15" s="328">
        <v>10.522474322216078889851686720</v>
      </c>
      <c r="Z15" s="327">
        <v>-7.643786637713167064868609800</v>
      </c>
      <c r="AA15" s="171">
        <v>18.021078392077350218754626480</v>
      </c>
      <c r="AB15" s="328">
        <v>-3.1787710833697164835347548700</v>
      </c>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row>
    <row r="16" ht="15.6" customHeight="1">
      <c r="A16" s="92"/>
      <c r="B16" s="346">
        <v>3</v>
      </c>
      <c r="C16" s="347" t="s">
        <v>53</v>
      </c>
      <c r="D16" s="378">
        <v>399.64</v>
      </c>
      <c r="E16" s="173">
        <v>493.98166890473002277778557591</v>
      </c>
      <c r="F16" s="379">
        <v>367.31867601446806583499080709</v>
      </c>
      <c r="G16" s="378">
        <v>439</v>
      </c>
      <c r="H16" s="173">
        <v>487.3420300717584948721413992</v>
      </c>
      <c r="I16" s="379">
        <v>328.32634971813161790419995309</v>
      </c>
      <c r="J16" s="378">
        <v>0</v>
      </c>
      <c r="K16" s="173">
        <v>0</v>
      </c>
      <c r="L16" s="379">
        <v>193.63858031191453409363728067</v>
      </c>
      <c r="M16" s="378">
        <v>408.95419847328244274809160305</v>
      </c>
      <c r="N16" s="173">
        <v>493.2463343108504398826979472</v>
      </c>
      <c r="O16" s="379">
        <v>346.25260159929893745207580239</v>
      </c>
      <c r="P16" s="4"/>
      <c r="Q16" s="359">
        <v>-17.168007802975894074520812290</v>
      </c>
      <c r="R16" s="170">
        <v>14.139558606293894172871771370</v>
      </c>
      <c r="S16" s="360">
        <v>8.609527924082240432172053140</v>
      </c>
      <c r="T16" s="359">
        <v>-2.1923179752250245076196417400</v>
      </c>
      <c r="U16" s="170">
        <v>102.21614105408485546742203434</v>
      </c>
      <c r="V16" s="360">
        <v>-17.420989498981166940986183620</v>
      </c>
      <c r="W16" s="359">
        <v>0</v>
      </c>
      <c r="X16" s="170">
        <v>0</v>
      </c>
      <c r="Y16" s="360">
        <v>23.525826024655691034969333520</v>
      </c>
      <c r="Z16" s="359">
        <v>-11.568365670199479265071261270</v>
      </c>
      <c r="AA16" s="170">
        <v>14.096371386480780907905046280</v>
      </c>
      <c r="AB16" s="360">
        <v>2.261116179705005799017409300</v>
      </c>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row>
    <row r="17" ht="15.6" customHeight="1">
      <c r="A17" s="92"/>
      <c r="B17" s="344">
        <v>4</v>
      </c>
      <c r="C17" s="345" t="s">
        <v>49</v>
      </c>
      <c r="D17" s="370">
        <v>248.6039603960396039603960396</v>
      </c>
      <c r="E17" s="172">
        <v>354.0132743362831858407079646</v>
      </c>
      <c r="F17" s="371">
        <v>267.98587657662484908561926877</v>
      </c>
      <c r="G17" s="370">
        <v>439</v>
      </c>
      <c r="H17" s="172">
        <v>688.00000000000000000000000</v>
      </c>
      <c r="I17" s="371">
        <v>307.75891081915563345733828738</v>
      </c>
      <c r="J17" s="370">
        <v>0</v>
      </c>
      <c r="K17" s="172">
        <v>0</v>
      </c>
      <c r="L17" s="371">
        <v>177.40628189044187873778630321</v>
      </c>
      <c r="M17" s="370">
        <v>289.93023255813953488372093023</v>
      </c>
      <c r="N17" s="172">
        <v>366.80425531914893617021276597</v>
      </c>
      <c r="O17" s="371">
        <v>268.1900944006207164101900944</v>
      </c>
      <c r="P17" s="4"/>
      <c r="Q17" s="327">
        <v>-30.266746254267312421008593540</v>
      </c>
      <c r="R17" s="171">
        <v>3.111129045995790349527742700</v>
      </c>
      <c r="S17" s="328">
        <v>-4.5083773865382344906369575500</v>
      </c>
      <c r="T17" s="327">
        <v>-4.2921378934459735658809102100</v>
      </c>
      <c r="U17" s="171">
        <v>185.47766226724383419918501113</v>
      </c>
      <c r="V17" s="328">
        <v>-13.265110190931012626599577070</v>
      </c>
      <c r="W17" s="327">
        <v>0</v>
      </c>
      <c r="X17" s="171">
        <v>0</v>
      </c>
      <c r="Y17" s="328">
        <v>6.1466181173553332287032839300</v>
      </c>
      <c r="Z17" s="327">
        <v>-27.102415697730294398365331180</v>
      </c>
      <c r="AA17" s="171">
        <v>6.9293224707851701097041461700</v>
      </c>
      <c r="AB17" s="328">
        <v>-6.5789141707016189159927414400</v>
      </c>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row>
    <row r="18" ht="15.6" customHeight="1">
      <c r="A18" s="92"/>
      <c r="B18" s="346">
        <v>5</v>
      </c>
      <c r="C18" s="347" t="s">
        <v>47</v>
      </c>
      <c r="D18" s="378">
        <v>191.56470588235294117647058824</v>
      </c>
      <c r="E18" s="173">
        <v>221.37799043062200956937799045</v>
      </c>
      <c r="F18" s="379">
        <v>204.36043355944247882859579133</v>
      </c>
      <c r="G18" s="378">
        <v>0</v>
      </c>
      <c r="H18" s="173">
        <v>476.00000000000000000000000006</v>
      </c>
      <c r="I18" s="379">
        <v>235.97592317584102266589957522</v>
      </c>
      <c r="J18" s="378">
        <v>0</v>
      </c>
      <c r="K18" s="173">
        <v>0</v>
      </c>
      <c r="L18" s="379">
        <v>159.7648118154726102597893525</v>
      </c>
      <c r="M18" s="378">
        <v>191.56470588235294117647058824</v>
      </c>
      <c r="N18" s="173">
        <v>240.5309734513274336283185841</v>
      </c>
      <c r="O18" s="379">
        <v>207.9854346836595357305416477</v>
      </c>
      <c r="P18" s="4"/>
      <c r="Q18" s="359">
        <v>7.2720285479295284184869419500</v>
      </c>
      <c r="R18" s="170">
        <v>-17.748496259916339978113900970</v>
      </c>
      <c r="S18" s="360">
        <v>-4.9324414817187374309945664700</v>
      </c>
      <c r="T18" s="359">
        <v>0</v>
      </c>
      <c r="U18" s="170">
        <v>0</v>
      </c>
      <c r="V18" s="360">
        <v>-10.518032909167318195451736780</v>
      </c>
      <c r="W18" s="359">
        <v>0</v>
      </c>
      <c r="X18" s="170">
        <v>0</v>
      </c>
      <c r="Y18" s="360">
        <v>2.6389039971968656733020377100</v>
      </c>
      <c r="Z18" s="359">
        <v>7.2720285479295284184869419500</v>
      </c>
      <c r="AA18" s="170">
        <v>-10.632334208318821090528630060</v>
      </c>
      <c r="AB18" s="360">
        <v>-6.2727531470473605343944598500</v>
      </c>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row>
    <row r="19" ht="15.6" customHeight="1">
      <c r="A19" s="92"/>
      <c r="B19" s="344">
        <v>6</v>
      </c>
      <c r="C19" s="345" t="s">
        <v>48</v>
      </c>
      <c r="D19" s="370">
        <v>173.10294117647058823529411765</v>
      </c>
      <c r="E19" s="172">
        <v>212.51612903225806451612903226</v>
      </c>
      <c r="F19" s="371">
        <v>206.78136662622113498115123726</v>
      </c>
      <c r="G19" s="370">
        <v>0</v>
      </c>
      <c r="H19" s="172">
        <v>428.03389830508474576271186441</v>
      </c>
      <c r="I19" s="371">
        <v>231.76634845599134805947623898</v>
      </c>
      <c r="J19" s="370">
        <v>0</v>
      </c>
      <c r="K19" s="172">
        <v>0</v>
      </c>
      <c r="L19" s="371">
        <v>153.77178404155945853647182349</v>
      </c>
      <c r="M19" s="370">
        <v>173.10294117647058823529411765</v>
      </c>
      <c r="N19" s="172">
        <v>264.41632653061224489795918368</v>
      </c>
      <c r="O19" s="371">
        <v>206.61018272684679056692175543</v>
      </c>
      <c r="P19" s="4"/>
      <c r="Q19" s="327">
        <v>-10.146849984288731006602926470</v>
      </c>
      <c r="R19" s="171">
        <v>-8.543841701101658335514643820</v>
      </c>
      <c r="S19" s="328">
        <v>-1.5271835232108863842796894900</v>
      </c>
      <c r="T19" s="327">
        <v>-100</v>
      </c>
      <c r="U19" s="171">
        <v>0</v>
      </c>
      <c r="V19" s="328">
        <v>-8.679683249619497593735305770</v>
      </c>
      <c r="W19" s="327">
        <v>0</v>
      </c>
      <c r="X19" s="171">
        <v>0</v>
      </c>
      <c r="Y19" s="328">
        <v>8.431412422175032495582554190</v>
      </c>
      <c r="Z19" s="327">
        <v>-10.759358288763481092656750470</v>
      </c>
      <c r="AA19" s="171">
        <v>13.791369747404807417920895540</v>
      </c>
      <c r="AB19" s="328">
        <v>-4.1148726145950780202884622800</v>
      </c>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row>
    <row r="20" ht="15.6" customHeight="1">
      <c r="A20" s="92"/>
      <c r="B20" s="346">
        <v>7</v>
      </c>
      <c r="C20" s="347" t="s">
        <v>50</v>
      </c>
      <c r="D20" s="378">
        <v>173.47368421052631578947368421</v>
      </c>
      <c r="E20" s="173">
        <v>213.015</v>
      </c>
      <c r="F20" s="379">
        <v>216.09848507816169058799964395</v>
      </c>
      <c r="G20" s="378">
        <v>269.42857142857142857142857143</v>
      </c>
      <c r="H20" s="173">
        <v>427.75</v>
      </c>
      <c r="I20" s="379">
        <v>237.7385478014236947143204737</v>
      </c>
      <c r="J20" s="378">
        <v>0</v>
      </c>
      <c r="K20" s="173">
        <v>0</v>
      </c>
      <c r="L20" s="379">
        <v>157.02557296809858154633538918</v>
      </c>
      <c r="M20" s="378">
        <v>185.79816513761467889908256881</v>
      </c>
      <c r="N20" s="173">
        <v>276.52816901408450704225352112</v>
      </c>
      <c r="O20" s="379">
        <v>214.78983050847457627118644068</v>
      </c>
      <c r="P20" s="4"/>
      <c r="Q20" s="359">
        <v>-15.652989849028427818756875030</v>
      </c>
      <c r="R20" s="170">
        <v>-4.5961064308125872155332499200</v>
      </c>
      <c r="S20" s="360">
        <v>2.9790390150988596482063973400</v>
      </c>
      <c r="T20" s="359">
        <v>26.492287055667337357478202550</v>
      </c>
      <c r="U20" s="170">
        <v>101.45310709504119251740721230</v>
      </c>
      <c r="V20" s="360">
        <v>-6.0804400364298701392249092700</v>
      </c>
      <c r="W20" s="359">
        <v>0</v>
      </c>
      <c r="X20" s="170">
        <v>0</v>
      </c>
      <c r="Y20" s="360">
        <v>11.311527889844739427616864840</v>
      </c>
      <c r="Z20" s="359">
        <v>-10.130151130147710847990950290</v>
      </c>
      <c r="AA20" s="170">
        <v>24.025731170403492495097790470</v>
      </c>
      <c r="AB20" s="360">
        <v>-0.4700370553185834951649993700</v>
      </c>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row>
    <row r="21" ht="15.6" customHeight="1">
      <c r="A21" s="92"/>
      <c r="B21" s="344">
        <v>8</v>
      </c>
      <c r="C21" s="345" t="s">
        <v>51</v>
      </c>
      <c r="D21" s="370">
        <v>198.64646464646464646464646465</v>
      </c>
      <c r="E21" s="172">
        <v>231.75119617224880382775119617</v>
      </c>
      <c r="F21" s="371">
        <v>237.63680463590365211911536562</v>
      </c>
      <c r="G21" s="370">
        <v>278.07142857142857142857142857</v>
      </c>
      <c r="H21" s="172">
        <v>425.03030303030303030303030303</v>
      </c>
      <c r="I21" s="371">
        <v>235.23765522955526634054500534</v>
      </c>
      <c r="J21" s="370">
        <v>0</v>
      </c>
      <c r="K21" s="172">
        <v>0</v>
      </c>
      <c r="L21" s="371">
        <v>145.61124461224107174396161608</v>
      </c>
      <c r="M21" s="370">
        <v>208.4867256637168141592920354</v>
      </c>
      <c r="N21" s="172">
        <v>278.13818181818181818181818182</v>
      </c>
      <c r="O21" s="371">
        <v>228.08390296206942769065808873</v>
      </c>
      <c r="P21" s="4"/>
      <c r="Q21" s="327">
        <v>1.2778957104438903154106580200</v>
      </c>
      <c r="R21" s="171">
        <v>-5.6635084703923843660606791700</v>
      </c>
      <c r="S21" s="328">
        <v>9.751805979496211118976343120</v>
      </c>
      <c r="T21" s="327">
        <v>33.327625326426644976240421250</v>
      </c>
      <c r="U21" s="171">
        <v>100.17050000089157910865627761</v>
      </c>
      <c r="V21" s="328">
        <v>4.724917545408130602321763700</v>
      </c>
      <c r="W21" s="327">
        <v>0</v>
      </c>
      <c r="X21" s="171">
        <v>0</v>
      </c>
      <c r="Y21" s="328">
        <v>3.2867264136515885467880194700</v>
      </c>
      <c r="Z21" s="327">
        <v>5.3743199729271664520023846900</v>
      </c>
      <c r="AA21" s="171">
        <v>13.647052106614023228617310140</v>
      </c>
      <c r="AB21" s="328">
        <v>7.2583577335922920890111126900</v>
      </c>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row>
    <row r="22" ht="15.6" customHeight="1">
      <c r="A22" s="92"/>
      <c r="B22" s="346">
        <v>9</v>
      </c>
      <c r="C22" s="347" t="s">
        <v>52</v>
      </c>
      <c r="D22" s="378">
        <v>263.2967032967032967032967033</v>
      </c>
      <c r="E22" s="173">
        <v>264.18145161290322580645161292</v>
      </c>
      <c r="F22" s="379">
        <v>238.35865329929219841680014177</v>
      </c>
      <c r="G22" s="378">
        <v>368.92857142857142857142857143</v>
      </c>
      <c r="H22" s="173">
        <v>368.12500000000000000000000005</v>
      </c>
      <c r="I22" s="379">
        <v>235.28046526472130880710422786</v>
      </c>
      <c r="J22" s="378">
        <v>0</v>
      </c>
      <c r="K22" s="173">
        <v>0</v>
      </c>
      <c r="L22" s="379">
        <v>149.77614238515478413616448574</v>
      </c>
      <c r="M22" s="378">
        <v>277.38095238095238095238095238</v>
      </c>
      <c r="N22" s="173">
        <v>267.42968750000000000000000002</v>
      </c>
      <c r="O22" s="379">
        <v>229.53949129852744310575635877</v>
      </c>
      <c r="P22" s="4"/>
      <c r="Q22" s="359">
        <v>-9.910113153800281700096933110</v>
      </c>
      <c r="R22" s="170">
        <v>-13.093637607109201684187946220</v>
      </c>
      <c r="S22" s="360">
        <v>0.9333981454778491459141629900</v>
      </c>
      <c r="T22" s="359">
        <v>52.404839185618460293795882970</v>
      </c>
      <c r="U22" s="170">
        <v>84.98821423952087613422682490</v>
      </c>
      <c r="V22" s="360">
        <v>-3.8365588157447589314710925700</v>
      </c>
      <c r="W22" s="359">
        <v>0</v>
      </c>
      <c r="X22" s="170">
        <v>0</v>
      </c>
      <c r="Y22" s="360">
        <v>0.4608092567066733663980114500</v>
      </c>
      <c r="Z22" s="359">
        <v>-1.3866184180593690648129043900</v>
      </c>
      <c r="AA22" s="170">
        <v>-11.407863283410108352217935280</v>
      </c>
      <c r="AB22" s="360">
        <v>-0.1533991890990098200190237400</v>
      </c>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row>
    <row r="23" ht="15.6" customHeight="1">
      <c r="A23" s="92"/>
      <c r="B23" s="344">
        <v>10</v>
      </c>
      <c r="C23" s="345" t="s">
        <v>53</v>
      </c>
      <c r="D23" s="370">
        <v>248.42424242424242424242424242</v>
      </c>
      <c r="E23" s="172">
        <v>268.72653061224489795918367347</v>
      </c>
      <c r="F23" s="371">
        <v>231.80279202669823250145026396</v>
      </c>
      <c r="G23" s="370">
        <v>364.78571428571428571428571429</v>
      </c>
      <c r="H23" s="172">
        <v>499.000000000000000000000000</v>
      </c>
      <c r="I23" s="371">
        <v>250.11430412452578543842979315</v>
      </c>
      <c r="J23" s="370">
        <v>0</v>
      </c>
      <c r="K23" s="172">
        <v>0</v>
      </c>
      <c r="L23" s="371">
        <v>154.24919923031529511301786162</v>
      </c>
      <c r="M23" s="370">
        <v>262.84070796460176991150442478</v>
      </c>
      <c r="N23" s="172">
        <v>271.5120967741935483870967742</v>
      </c>
      <c r="O23" s="371">
        <v>224.55132044650149741355839913</v>
      </c>
      <c r="P23" s="4"/>
      <c r="Q23" s="327">
        <v>-5.9398997118881305422630634700</v>
      </c>
      <c r="R23" s="171">
        <v>-8.128929790505713898084437400</v>
      </c>
      <c r="S23" s="328">
        <v>0.1014242676445579675700400300</v>
      </c>
      <c r="T23" s="327">
        <v>28.769541099350921308174450380</v>
      </c>
      <c r="U23" s="171">
        <v>150.75408997225741787851829350</v>
      </c>
      <c r="V23" s="328">
        <v>12.204477078246008580817710750</v>
      </c>
      <c r="W23" s="327">
        <v>0</v>
      </c>
      <c r="X23" s="171">
        <v>0</v>
      </c>
      <c r="Y23" s="328">
        <v>4.0292300497948138822972516400</v>
      </c>
      <c r="Z23" s="327">
        <v>-1.3763968908889604831385067200</v>
      </c>
      <c r="AA23" s="171">
        <v>-6.9201065093784093299276318800</v>
      </c>
      <c r="AB23" s="328">
        <v>0.1931741114286224534999589500</v>
      </c>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c r="AZ23" s="244"/>
      <c r="BA23" s="244"/>
    </row>
    <row r="24" ht="15.6" customHeight="1">
      <c r="A24" s="92"/>
      <c r="B24" s="346">
        <v>11</v>
      </c>
      <c r="C24" s="347" t="s">
        <v>49</v>
      </c>
      <c r="D24" s="378">
        <v>164.05263157894736842105263158</v>
      </c>
      <c r="E24" s="173">
        <v>226.47208121827411167512690358</v>
      </c>
      <c r="F24" s="379">
        <v>187.84199950082201487085507164</v>
      </c>
      <c r="G24" s="378">
        <v>293</v>
      </c>
      <c r="H24" s="173">
        <v>0</v>
      </c>
      <c r="I24" s="379">
        <v>224.93190994914845541733450971</v>
      </c>
      <c r="J24" s="378">
        <v>0</v>
      </c>
      <c r="K24" s="173">
        <v>0</v>
      </c>
      <c r="L24" s="379">
        <v>153.61752639338226641721168602</v>
      </c>
      <c r="M24" s="378">
        <v>165.72727272727272727272727273</v>
      </c>
      <c r="N24" s="173">
        <v>226.47208121827411167512690357</v>
      </c>
      <c r="O24" s="379">
        <v>186.62632287858379834519915336</v>
      </c>
      <c r="P24" s="4"/>
      <c r="Q24" s="359">
        <v>-12.525547089018728352525010840</v>
      </c>
      <c r="R24" s="170">
        <v>4.5062437801421856951730057200</v>
      </c>
      <c r="S24" s="360">
        <v>-0.1053485405718306240675690300</v>
      </c>
      <c r="T24" s="359">
        <v>0</v>
      </c>
      <c r="U24" s="170">
        <v>-100</v>
      </c>
      <c r="V24" s="360">
        <v>7.7163165638728646033716266800</v>
      </c>
      <c r="W24" s="359">
        <v>0</v>
      </c>
      <c r="X24" s="170">
        <v>0</v>
      </c>
      <c r="Y24" s="360">
        <v>4.6413666160859727306090781300</v>
      </c>
      <c r="Z24" s="359">
        <v>-11.632612200610776502651407250</v>
      </c>
      <c r="AA24" s="170">
        <v>4.5345276810198486059934950600</v>
      </c>
      <c r="AB24" s="360">
        <v>0.2776270353172040724995801600</v>
      </c>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row>
    <row r="25" ht="15.6" customHeight="1">
      <c r="A25" s="92"/>
      <c r="B25" s="344">
        <v>12</v>
      </c>
      <c r="C25" s="345" t="s">
        <v>47</v>
      </c>
      <c r="D25" s="370">
        <v>145.3013698630136986301369863</v>
      </c>
      <c r="E25" s="172">
        <v>212.20338983050847457627118642</v>
      </c>
      <c r="F25" s="371">
        <v>188.29564370664706071655987994</v>
      </c>
      <c r="G25" s="370">
        <v>169</v>
      </c>
      <c r="H25" s="172">
        <v>0</v>
      </c>
      <c r="I25" s="371">
        <v>243.78164333414891242461059009</v>
      </c>
      <c r="J25" s="370">
        <v>0</v>
      </c>
      <c r="K25" s="172">
        <v>0</v>
      </c>
      <c r="L25" s="371">
        <v>150.93667761352747887950065976</v>
      </c>
      <c r="M25" s="370">
        <v>148.4047619047619047619047619</v>
      </c>
      <c r="N25" s="172">
        <v>212.20338983050847457627118643</v>
      </c>
      <c r="O25" s="371">
        <v>194.66908783783783783783783784</v>
      </c>
      <c r="P25" s="4"/>
      <c r="Q25" s="327">
        <v>-5.560855242211772716320123600</v>
      </c>
      <c r="R25" s="171">
        <v>-2.0154980051983251399506694100</v>
      </c>
      <c r="S25" s="328">
        <v>-0.766862885607548585582224100</v>
      </c>
      <c r="T25" s="327">
        <v>0</v>
      </c>
      <c r="U25" s="171">
        <v>0</v>
      </c>
      <c r="V25" s="328">
        <v>16.534687828711725011495124380</v>
      </c>
      <c r="W25" s="327">
        <v>0</v>
      </c>
      <c r="X25" s="171">
        <v>0</v>
      </c>
      <c r="Y25" s="328">
        <v>-2.2815088109889908444755347600</v>
      </c>
      <c r="Z25" s="327">
        <v>-3.5437944908428317595301016900</v>
      </c>
      <c r="AA25" s="171">
        <v>-2.0154980051983251399506694100</v>
      </c>
      <c r="AB25" s="328">
        <v>2.2478870604357677078297341800</v>
      </c>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row>
    <row r="26" ht="15.6" customHeight="1">
      <c r="A26" s="92"/>
      <c r="B26" s="346">
        <v>13</v>
      </c>
      <c r="C26" s="347" t="s">
        <v>48</v>
      </c>
      <c r="D26" s="378">
        <v>157.91358024691358024691358025</v>
      </c>
      <c r="E26" s="173">
        <v>205.6216216216216216216216216</v>
      </c>
      <c r="F26" s="379">
        <v>195.53921012670428353322416187</v>
      </c>
      <c r="G26" s="378">
        <v>169</v>
      </c>
      <c r="H26" s="173">
        <v>190.19999999999999999999999998</v>
      </c>
      <c r="I26" s="379">
        <v>253.56516064770909270492727967</v>
      </c>
      <c r="J26" s="378">
        <v>0</v>
      </c>
      <c r="K26" s="173">
        <v>0</v>
      </c>
      <c r="L26" s="379">
        <v>127.5696515850993970242286888</v>
      </c>
      <c r="M26" s="378">
        <v>159.23913043478260869565217391</v>
      </c>
      <c r="N26" s="173">
        <v>205.21578947368421052631578946</v>
      </c>
      <c r="O26" s="379">
        <v>201.01710587147480351363846509</v>
      </c>
      <c r="P26" s="4"/>
      <c r="Q26" s="359">
        <v>3.6153397959924425477974264900</v>
      </c>
      <c r="R26" s="170">
        <v>-5.1782969573450401743403198900</v>
      </c>
      <c r="S26" s="360">
        <v>-1.324275344365183582391715900</v>
      </c>
      <c r="T26" s="359">
        <v>0</v>
      </c>
      <c r="U26" s="170">
        <v>0</v>
      </c>
      <c r="V26" s="360">
        <v>17.156441850042490886624830480</v>
      </c>
      <c r="W26" s="359">
        <v>0</v>
      </c>
      <c r="X26" s="170">
        <v>0</v>
      </c>
      <c r="Y26" s="360">
        <v>-14.728150326619453080648695710</v>
      </c>
      <c r="Z26" s="359">
        <v>4.4851024403320540846857472300</v>
      </c>
      <c r="AA26" s="170">
        <v>-5.3654450554555433845225429400</v>
      </c>
      <c r="AB26" s="360">
        <v>1.3964436135615348876421496400</v>
      </c>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row>
    <row r="27" ht="15.6" customHeight="1">
      <c r="A27" s="92"/>
      <c r="B27" s="344">
        <v>14</v>
      </c>
      <c r="C27" s="345" t="s">
        <v>50</v>
      </c>
      <c r="D27" s="370">
        <v>150.6265060240963855421686747</v>
      </c>
      <c r="E27" s="172">
        <v>193.8277511961722488038277512</v>
      </c>
      <c r="F27" s="371">
        <v>194.08726720406395735916741168</v>
      </c>
      <c r="G27" s="370">
        <v>169</v>
      </c>
      <c r="H27" s="172">
        <v>181.66666666666666666666666667</v>
      </c>
      <c r="I27" s="371">
        <v>245.48855919358986067162367192</v>
      </c>
      <c r="J27" s="370">
        <v>0</v>
      </c>
      <c r="K27" s="172">
        <v>0</v>
      </c>
      <c r="L27" s="371">
        <v>154.66224334305620589593799182</v>
      </c>
      <c r="M27" s="370">
        <v>152.77659574468085106382978723</v>
      </c>
      <c r="N27" s="172">
        <v>193.48837209302325581395348837</v>
      </c>
      <c r="O27" s="371">
        <v>203.77492006117058251077436396</v>
      </c>
      <c r="P27" s="4"/>
      <c r="Q27" s="327">
        <v>-3.256795965889883560230957600</v>
      </c>
      <c r="R27" s="171">
        <v>-2.9810800198258164577388274600</v>
      </c>
      <c r="S27" s="328">
        <v>-0.6892960022878327361577152100</v>
      </c>
      <c r="T27" s="327">
        <v>0</v>
      </c>
      <c r="U27" s="171">
        <v>0</v>
      </c>
      <c r="V27" s="328">
        <v>14.855700888063992271447720650</v>
      </c>
      <c r="W27" s="327">
        <v>0</v>
      </c>
      <c r="X27" s="171">
        <v>0</v>
      </c>
      <c r="Y27" s="328">
        <v>1.8748744491473624438180246700</v>
      </c>
      <c r="Z27" s="327">
        <v>-1.8758533016759899506322162300</v>
      </c>
      <c r="AA27" s="171">
        <v>-3.1509534969113085612125012500</v>
      </c>
      <c r="AB27" s="328">
        <v>3.9451602759710328399811822500</v>
      </c>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row>
    <row r="28" ht="15.6" customHeight="1">
      <c r="A28" s="92"/>
      <c r="B28" s="346">
        <v>15</v>
      </c>
      <c r="C28" s="347" t="s">
        <v>51</v>
      </c>
      <c r="D28" s="378">
        <v>168.40625</v>
      </c>
      <c r="E28" s="173">
        <v>206.47107438016528925619834709</v>
      </c>
      <c r="F28" s="379">
        <v>206.90756696997973257420242109</v>
      </c>
      <c r="G28" s="378">
        <v>169</v>
      </c>
      <c r="H28" s="173">
        <v>138.99999999999999999999999999</v>
      </c>
      <c r="I28" s="379">
        <v>230.84071736084538410727403222</v>
      </c>
      <c r="J28" s="378">
        <v>0</v>
      </c>
      <c r="K28" s="173">
        <v>0</v>
      </c>
      <c r="L28" s="379">
        <v>152.46172035868126122871857145</v>
      </c>
      <c r="M28" s="378">
        <v>168.46728971962616822429906542</v>
      </c>
      <c r="N28" s="173">
        <v>205.10526315789473684210526314</v>
      </c>
      <c r="O28" s="379">
        <v>206.79348849724202879052872326</v>
      </c>
      <c r="P28" s="4"/>
      <c r="Q28" s="359">
        <v>-13.556046297226931083258496540</v>
      </c>
      <c r="R28" s="170">
        <v>-10.713737948342692396472464130</v>
      </c>
      <c r="S28" s="360">
        <v>0.3101857199340213592790827400</v>
      </c>
      <c r="T28" s="359">
        <v>0</v>
      </c>
      <c r="U28" s="170">
        <v>0</v>
      </c>
      <c r="V28" s="360">
        <v>8.266838636519646521080865400</v>
      </c>
      <c r="W28" s="359">
        <v>0</v>
      </c>
      <c r="X28" s="170">
        <v>0</v>
      </c>
      <c r="Y28" s="360">
        <v>4.3652820836512574182439799400</v>
      </c>
      <c r="Z28" s="359">
        <v>-13.524714237416830599227164150</v>
      </c>
      <c r="AA28" s="170">
        <v>-11.30436876222708946200350200</v>
      </c>
      <c r="AB28" s="360">
        <v>1.827259691795307511809331100</v>
      </c>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row>
    <row r="29" ht="15.6" customHeight="1">
      <c r="A29" s="92"/>
      <c r="B29" s="344">
        <v>16</v>
      </c>
      <c r="C29" s="345" t="s">
        <v>52</v>
      </c>
      <c r="D29" s="370">
        <v>260.22807017543859649122807018</v>
      </c>
      <c r="E29" s="172">
        <v>289.25547445255474452554744526</v>
      </c>
      <c r="F29" s="371">
        <v>238.68281856069878089601530152</v>
      </c>
      <c r="G29" s="370">
        <v>0</v>
      </c>
      <c r="H29" s="172">
        <v>0</v>
      </c>
      <c r="I29" s="371">
        <v>230.98545413598249011242638661</v>
      </c>
      <c r="J29" s="370">
        <v>0</v>
      </c>
      <c r="K29" s="172">
        <v>0</v>
      </c>
      <c r="L29" s="371">
        <v>157.92961030300557265519728834</v>
      </c>
      <c r="M29" s="370">
        <v>260.22807017543859649122807018</v>
      </c>
      <c r="N29" s="172">
        <v>289.25547445255474452554744527</v>
      </c>
      <c r="O29" s="371">
        <v>229.93394296715196727228973649</v>
      </c>
      <c r="P29" s="4"/>
      <c r="Q29" s="327">
        <v>0.8741602565764204145926959900</v>
      </c>
      <c r="R29" s="171">
        <v>-2.0873031108786410878297339900</v>
      </c>
      <c r="S29" s="328">
        <v>0.985744801247283101135031700</v>
      </c>
      <c r="T29" s="327">
        <v>0</v>
      </c>
      <c r="U29" s="171">
        <v>0</v>
      </c>
      <c r="V29" s="328">
        <v>2.5103137967663017370621772500</v>
      </c>
      <c r="W29" s="327">
        <v>0</v>
      </c>
      <c r="X29" s="171">
        <v>0</v>
      </c>
      <c r="Y29" s="328">
        <v>6.6928371286399081161654708500</v>
      </c>
      <c r="Z29" s="327">
        <v>0.8741602565764204145926959900</v>
      </c>
      <c r="AA29" s="171">
        <v>-2.0873031108786410878297339800</v>
      </c>
      <c r="AB29" s="328">
        <v>0.758501840965543143934138300</v>
      </c>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row>
    <row r="30" ht="15.6" customHeight="1">
      <c r="A30" s="92"/>
      <c r="B30" s="346">
        <v>17</v>
      </c>
      <c r="C30" s="347" t="s">
        <v>53</v>
      </c>
      <c r="D30" s="378">
        <v>288.45669291338582677165354331</v>
      </c>
      <c r="E30" s="173">
        <v>292.01618122977346278317152104</v>
      </c>
      <c r="F30" s="379">
        <v>235.5963581560384370826169704</v>
      </c>
      <c r="G30" s="378">
        <v>0</v>
      </c>
      <c r="H30" s="173">
        <v>339</v>
      </c>
      <c r="I30" s="379">
        <v>223.60731866065681965251565364</v>
      </c>
      <c r="J30" s="378">
        <v>0</v>
      </c>
      <c r="K30" s="173">
        <v>0</v>
      </c>
      <c r="L30" s="379">
        <v>154.21150956815024912693941911</v>
      </c>
      <c r="M30" s="378">
        <v>288.45669291338582677165354331</v>
      </c>
      <c r="N30" s="173">
        <v>292.16774193548387096774193548</v>
      </c>
      <c r="O30" s="379">
        <v>226.72153569286142771445710858</v>
      </c>
      <c r="P30" s="4"/>
      <c r="Q30" s="359">
        <v>3.7990806759759846514002311900</v>
      </c>
      <c r="R30" s="170">
        <v>-4.4867059694105498901727014700</v>
      </c>
      <c r="S30" s="360">
        <v>-1.3402236719979001901883561600</v>
      </c>
      <c r="T30" s="359">
        <v>0</v>
      </c>
      <c r="U30" s="170">
        <v>0</v>
      </c>
      <c r="V30" s="360">
        <v>3.6444508947373416065652718200</v>
      </c>
      <c r="W30" s="359">
        <v>0</v>
      </c>
      <c r="X30" s="170">
        <v>0</v>
      </c>
      <c r="Y30" s="360">
        <v>4.2721443088759654691376704300</v>
      </c>
      <c r="Z30" s="359">
        <v>3.7990806759759846514002311900</v>
      </c>
      <c r="AA30" s="170">
        <v>-4.4371331608523442113013897200</v>
      </c>
      <c r="AB30" s="360">
        <v>-0.9869640478045057455973823200</v>
      </c>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row>
    <row r="31" ht="15.6" customHeight="1">
      <c r="A31" s="92"/>
      <c r="B31" s="344">
        <v>18</v>
      </c>
      <c r="C31" s="345" t="s">
        <v>49</v>
      </c>
      <c r="D31" s="370">
        <v>200.98019801980198019801980198</v>
      </c>
      <c r="E31" s="172">
        <v>250.53505535055350553505535055</v>
      </c>
      <c r="F31" s="371">
        <v>194.86780927130498466063682727</v>
      </c>
      <c r="G31" s="370">
        <v>151.41176470588235294117647059</v>
      </c>
      <c r="H31" s="172">
        <v>339.000000000000000000000000</v>
      </c>
      <c r="I31" s="371">
        <v>236.68295785059769683809889761</v>
      </c>
      <c r="J31" s="370">
        <v>0</v>
      </c>
      <c r="K31" s="172">
        <v>0</v>
      </c>
      <c r="L31" s="371">
        <v>154.34653967064407027797848598</v>
      </c>
      <c r="M31" s="370">
        <v>193.83898305084745762711864407</v>
      </c>
      <c r="N31" s="172">
        <v>250.86029411764705882352941176</v>
      </c>
      <c r="O31" s="371">
        <v>196.92536416879411323021474696</v>
      </c>
      <c r="P31" s="4"/>
      <c r="Q31" s="327">
        <v>6.5197003994689982095233709500</v>
      </c>
      <c r="R31" s="171">
        <v>16.639166324663657213840552270</v>
      </c>
      <c r="S31" s="328">
        <v>1.3843074987284480329415069900</v>
      </c>
      <c r="T31" s="327">
        <v>0</v>
      </c>
      <c r="U31" s="171">
        <v>0</v>
      </c>
      <c r="V31" s="328">
        <v>9.834169348720196280078753340</v>
      </c>
      <c r="W31" s="327">
        <v>0</v>
      </c>
      <c r="X31" s="171">
        <v>0</v>
      </c>
      <c r="Y31" s="328">
        <v>5.647457638973306524925960100</v>
      </c>
      <c r="Z31" s="327">
        <v>2.7348495212432164566381889200</v>
      </c>
      <c r="AA31" s="171">
        <v>16.790584570693831754439823930</v>
      </c>
      <c r="AB31" s="328">
        <v>3.1905201662143469488623822600</v>
      </c>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row>
    <row r="32" ht="15.6" customHeight="1">
      <c r="A32" s="92"/>
      <c r="B32" s="346">
        <v>19</v>
      </c>
      <c r="C32" s="347" t="s">
        <v>47</v>
      </c>
      <c r="D32" s="378">
        <v>216.2</v>
      </c>
      <c r="E32" s="173">
        <v>276.36190476190476190476190476</v>
      </c>
      <c r="F32" s="379">
        <v>199.82553866087341320740127469</v>
      </c>
      <c r="G32" s="378">
        <v>139.08823529411764705882352941</v>
      </c>
      <c r="H32" s="173">
        <v>339.00000000000000000000000001</v>
      </c>
      <c r="I32" s="379">
        <v>222.96058778993412400207814136</v>
      </c>
      <c r="J32" s="378">
        <v>0</v>
      </c>
      <c r="K32" s="173">
        <v>0</v>
      </c>
      <c r="L32" s="379">
        <v>149.25936214978775693290860221</v>
      </c>
      <c r="M32" s="378">
        <v>194.1680672268907563025210084</v>
      </c>
      <c r="N32" s="173">
        <v>278.93607305936073059360730593</v>
      </c>
      <c r="O32" s="379">
        <v>198.88032116346008180578700197</v>
      </c>
      <c r="P32" s="4"/>
      <c r="Q32" s="359">
        <v>44.917788599288437190168842950</v>
      </c>
      <c r="R32" s="170">
        <v>22.645815722756942534024921780</v>
      </c>
      <c r="S32" s="360">
        <v>4.0373548991169996817593801200</v>
      </c>
      <c r="T32" s="359">
        <v>0</v>
      </c>
      <c r="U32" s="170">
        <v>0</v>
      </c>
      <c r="V32" s="360">
        <v>1.8469227205231275943869969600</v>
      </c>
      <c r="W32" s="359">
        <v>0</v>
      </c>
      <c r="X32" s="170">
        <v>0</v>
      </c>
      <c r="Y32" s="360">
        <v>4.4202701509295485396632966400</v>
      </c>
      <c r="Z32" s="359">
        <v>30.149893242918501765251645500</v>
      </c>
      <c r="AA32" s="170">
        <v>23.788198103284908280906095070</v>
      </c>
      <c r="AB32" s="360">
        <v>3.4551998122261788970432630100</v>
      </c>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row>
    <row r="33" ht="15.6" customHeight="1">
      <c r="A33" s="92"/>
      <c r="B33" s="344">
        <v>20</v>
      </c>
      <c r="C33" s="345" t="s">
        <v>48</v>
      </c>
      <c r="D33" s="370">
        <v>223.81428571428571428571428571</v>
      </c>
      <c r="E33" s="172">
        <v>258.38857142857142857142857143</v>
      </c>
      <c r="F33" s="371">
        <v>201.34402492074295956022813747</v>
      </c>
      <c r="G33" s="370">
        <v>171.3125</v>
      </c>
      <c r="H33" s="172">
        <v>338.99999999999999999999999999</v>
      </c>
      <c r="I33" s="371">
        <v>212.47071399844117714333084626</v>
      </c>
      <c r="J33" s="370">
        <v>0</v>
      </c>
      <c r="K33" s="172">
        <v>0</v>
      </c>
      <c r="L33" s="371">
        <v>142.90101210782211548667049355</v>
      </c>
      <c r="M33" s="370">
        <v>202.45762711864406779661016949</v>
      </c>
      <c r="N33" s="172">
        <v>264.75263157894736842105263158</v>
      </c>
      <c r="O33" s="371">
        <v>197.78567181926278240190249703</v>
      </c>
      <c r="P33" s="4"/>
      <c r="Q33" s="327">
        <v>68.136939257333318637126278890</v>
      </c>
      <c r="R33" s="171">
        <v>13.463099703317291755862394580</v>
      </c>
      <c r="S33" s="328">
        <v>2.7761311915379608460280167400</v>
      </c>
      <c r="T33" s="327">
        <v>0</v>
      </c>
      <c r="U33" s="171">
        <v>-3.4188034188034188034188034200</v>
      </c>
      <c r="V33" s="328">
        <v>1.2304207279588120631215457200</v>
      </c>
      <c r="W33" s="327">
        <v>0</v>
      </c>
      <c r="X33" s="171">
        <v>0</v>
      </c>
      <c r="Y33" s="328">
        <v>-2.3888661109253219630943569900</v>
      </c>
      <c r="Z33" s="327">
        <v>52.093087554234426002223326040</v>
      </c>
      <c r="AA33" s="171">
        <v>14.987404248958528216606871820</v>
      </c>
      <c r="AB33" s="328">
        <v>1.8683487617906800472776102300</v>
      </c>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row>
    <row r="34" ht="15.6" customHeight="1">
      <c r="A34" s="92"/>
      <c r="B34" s="346">
        <v>21</v>
      </c>
      <c r="C34" s="347" t="s">
        <v>50</v>
      </c>
      <c r="D34" s="378">
        <v>194.44736842105263157894736842</v>
      </c>
      <c r="E34" s="173">
        <v>237.95683453237410071942446041</v>
      </c>
      <c r="F34" s="379">
        <v>195.80573247660971195815247017</v>
      </c>
      <c r="G34" s="378">
        <v>167.18</v>
      </c>
      <c r="H34" s="173">
        <v>338.99999999999999999999999998</v>
      </c>
      <c r="I34" s="379">
        <v>206.6856389196271214049701596</v>
      </c>
      <c r="J34" s="378">
        <v>0</v>
      </c>
      <c r="K34" s="173">
        <v>0</v>
      </c>
      <c r="L34" s="379">
        <v>147.62126937959088665981766024</v>
      </c>
      <c r="M34" s="378">
        <v>183.62698412698412698412698413</v>
      </c>
      <c r="N34" s="173">
        <v>247.20261437908496732026143789</v>
      </c>
      <c r="O34" s="379">
        <v>193.30356607731495355109379682</v>
      </c>
      <c r="P34" s="4"/>
      <c r="Q34" s="359">
        <v>35.632279811802249618748780060</v>
      </c>
      <c r="R34" s="170">
        <v>20.668319753243827237235219290</v>
      </c>
      <c r="S34" s="360">
        <v>4.2035319754174500656320239200</v>
      </c>
      <c r="T34" s="359">
        <v>0</v>
      </c>
      <c r="U34" s="170">
        <v>-10.554089709762532981530343010</v>
      </c>
      <c r="V34" s="360">
        <v>1.5090938159961255169422505100</v>
      </c>
      <c r="W34" s="359">
        <v>0</v>
      </c>
      <c r="X34" s="170">
        <v>0</v>
      </c>
      <c r="Y34" s="360">
        <v>-6.0329201740663598027222647100</v>
      </c>
      <c r="Z34" s="359">
        <v>28.084770158360033982627156980</v>
      </c>
      <c r="AA34" s="170">
        <v>17.218072012791471363242537190</v>
      </c>
      <c r="AB34" s="360">
        <v>2.9476800762358427595465209100</v>
      </c>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row>
    <row r="35" ht="15.6" customHeight="1">
      <c r="A35" s="92"/>
      <c r="B35" s="344">
        <v>22</v>
      </c>
      <c r="C35" s="345" t="s">
        <v>51</v>
      </c>
      <c r="D35" s="370">
        <v>200.31325301204819277108433735</v>
      </c>
      <c r="E35" s="172">
        <v>268.23030303030303030303030303</v>
      </c>
      <c r="F35" s="371">
        <v>187.96261322848908653734984534</v>
      </c>
      <c r="G35" s="370">
        <v>164.27906976744186046511627907</v>
      </c>
      <c r="H35" s="172">
        <v>339.00000000000000000000000001</v>
      </c>
      <c r="I35" s="371">
        <v>199.27195494616608054254554335</v>
      </c>
      <c r="J35" s="370">
        <v>0</v>
      </c>
      <c r="K35" s="172">
        <v>0</v>
      </c>
      <c r="L35" s="371">
        <v>186.24718972440107944969256492</v>
      </c>
      <c r="M35" s="370">
        <v>188.01587301587301587301587302</v>
      </c>
      <c r="N35" s="172">
        <v>271.50289017341040462427745666</v>
      </c>
      <c r="O35" s="371">
        <v>190.14291725105189340813464236</v>
      </c>
      <c r="P35" s="4"/>
      <c r="Q35" s="327">
        <v>26.612190515938602723786536160</v>
      </c>
      <c r="R35" s="171">
        <v>18.135958423938061676051031330</v>
      </c>
      <c r="S35" s="328">
        <v>-4.399158133335085206704338700</v>
      </c>
      <c r="T35" s="327">
        <v>0</v>
      </c>
      <c r="U35" s="171">
        <v>-10.554089709762532981530343010</v>
      </c>
      <c r="V35" s="328">
        <v>-1.7648370761419699322640391700</v>
      </c>
      <c r="W35" s="327">
        <v>0</v>
      </c>
      <c r="X35" s="171">
        <v>0</v>
      </c>
      <c r="Y35" s="328">
        <v>24.947039402120672861735813330</v>
      </c>
      <c r="Z35" s="327">
        <v>18.839373712704043760919382560</v>
      </c>
      <c r="AA35" s="171">
        <v>14.415340882452836510420285240</v>
      </c>
      <c r="AB35" s="328">
        <v>-1.7768664694577891547314400700</v>
      </c>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row>
    <row r="36" ht="15.6" customHeight="1">
      <c r="A36" s="92"/>
      <c r="B36" s="346">
        <v>23</v>
      </c>
      <c r="C36" s="347" t="s">
        <v>52</v>
      </c>
      <c r="D36" s="378">
        <v>244.83157894736842105263157895</v>
      </c>
      <c r="E36" s="173">
        <v>325.87671232876712328767123286</v>
      </c>
      <c r="F36" s="379">
        <v>219.67020463500409789593586082</v>
      </c>
      <c r="G36" s="378">
        <v>279</v>
      </c>
      <c r="H36" s="173">
        <v>338.99999999999999999999999997</v>
      </c>
      <c r="I36" s="379">
        <v>202.35957351410096819162892632</v>
      </c>
      <c r="J36" s="378">
        <v>0</v>
      </c>
      <c r="K36" s="173">
        <v>0</v>
      </c>
      <c r="L36" s="379">
        <v>174.52166284558762166421575024</v>
      </c>
      <c r="M36" s="378">
        <v>245.53608247422680412371134021</v>
      </c>
      <c r="N36" s="173">
        <v>325.93636363636363636363636362</v>
      </c>
      <c r="O36" s="379">
        <v>213.32176077557971963841215774</v>
      </c>
      <c r="P36" s="4"/>
      <c r="Q36" s="359">
        <v>4.8471678812804128516051589100</v>
      </c>
      <c r="R36" s="170">
        <v>-1.2300723977884751791923263200</v>
      </c>
      <c r="S36" s="360">
        <v>-5.1890400535431233883316082600</v>
      </c>
      <c r="T36" s="359">
        <v>0</v>
      </c>
      <c r="U36" s="170">
        <v>-15.973561002469399455907735550</v>
      </c>
      <c r="V36" s="360">
        <v>-7.2452413447289842567037014900</v>
      </c>
      <c r="W36" s="359">
        <v>0</v>
      </c>
      <c r="X36" s="170">
        <v>0</v>
      </c>
      <c r="Y36" s="360">
        <v>11.505627544698014853717414120</v>
      </c>
      <c r="Z36" s="359">
        <v>5.1488658888293241654974514400</v>
      </c>
      <c r="AA36" s="170">
        <v>-1.8635901396056014515054280800</v>
      </c>
      <c r="AB36" s="360">
        <v>-4.8869259181652426601472199700</v>
      </c>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row>
    <row r="37" ht="15.6" customHeight="1">
      <c r="A37" s="92"/>
      <c r="B37" s="348">
        <v>24</v>
      </c>
      <c r="C37" s="349" t="s">
        <v>53</v>
      </c>
      <c r="D37" s="380">
        <v>274.97478991596638655462184874</v>
      </c>
      <c r="E37" s="383">
        <v>413.08403361344537815126050422</v>
      </c>
      <c r="F37" s="381">
        <v>245.60193011809133899693466905</v>
      </c>
      <c r="G37" s="380">
        <v>279</v>
      </c>
      <c r="H37" s="383">
        <v>339</v>
      </c>
      <c r="I37" s="381">
        <v>208.66949671809983829992745501</v>
      </c>
      <c r="J37" s="380">
        <v>0</v>
      </c>
      <c r="K37" s="383">
        <v>0</v>
      </c>
      <c r="L37" s="381">
        <v>160.86696661340560682604718867</v>
      </c>
      <c r="M37" s="380">
        <v>275.00833333333333333333333333</v>
      </c>
      <c r="N37" s="383">
        <v>412.77405857740585774058577404</v>
      </c>
      <c r="O37" s="381">
        <v>234.34187434187434187434187434</v>
      </c>
      <c r="P37" s="4"/>
      <c r="Q37" s="329">
        <v>3.1784599135374364251487541500</v>
      </c>
      <c r="R37" s="330">
        <v>5.6677605351119647413350035400</v>
      </c>
      <c r="S37" s="332">
        <v>-3.1258339944807900057234544700</v>
      </c>
      <c r="T37" s="329">
        <v>0</v>
      </c>
      <c r="U37" s="330">
        <v>-22.188217291513222018569891870</v>
      </c>
      <c r="V37" s="332">
        <v>-3.4621522532331823649118383800</v>
      </c>
      <c r="W37" s="329">
        <v>0</v>
      </c>
      <c r="X37" s="330">
        <v>0</v>
      </c>
      <c r="Y37" s="332">
        <v>8.084352988037450235589658910</v>
      </c>
      <c r="Z37" s="329">
        <v>3.1910463697184421786804367700</v>
      </c>
      <c r="AA37" s="330">
        <v>5.3637794493175315815023591700</v>
      </c>
      <c r="AB37" s="332">
        <v>-3.7345559010669700345649277300</v>
      </c>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row>
    <row r="38" ht="21" customHeight="1">
      <c r="B38" s="54"/>
      <c r="C38"/>
      <c r="D38" s="169"/>
      <c r="E38" s="169"/>
      <c r="F38" s="169"/>
      <c r="G38" s="169"/>
      <c r="H38" s="169"/>
      <c r="I38" s="169"/>
      <c r="J38" s="169"/>
      <c r="K38" s="169"/>
      <c r="L38" s="169"/>
      <c r="M38" s="169"/>
      <c r="N38" s="169"/>
      <c r="O38" s="169"/>
      <c r="P38" s="4"/>
      <c r="Q38" s="4"/>
      <c r="R38" s="4"/>
      <c r="S38" s="4"/>
      <c r="T38" s="4"/>
      <c r="U38" s="4"/>
      <c r="V38" s="4"/>
      <c r="W38" s="4"/>
      <c r="X38" s="4"/>
      <c r="Y38" s="4"/>
      <c r="Z38" s="4"/>
      <c r="AA38" s="4"/>
      <c r="AB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row>
    <row r="39" ht="15.6" customHeight="1">
      <c r="A39" s="54"/>
      <c r="B39" s="53"/>
      <c r="C39" s="53" t="s">
        <v>14</v>
      </c>
      <c r="D39" s="374">
        <v>218.24934383202099737532808399</v>
      </c>
      <c r="E39" s="382">
        <v>287.30438024920405226902124699</v>
      </c>
      <c r="F39" s="375">
        <v>224.16666229639093810813695833</v>
      </c>
      <c r="G39" s="374">
        <v>327.33333333333333333333333333</v>
      </c>
      <c r="H39" s="382">
        <v>473.72553525698326897676997221</v>
      </c>
      <c r="I39" s="375">
        <v>274.77180381449693649988752488</v>
      </c>
      <c r="J39" s="374">
        <v>0</v>
      </c>
      <c r="K39" s="382">
        <v>0</v>
      </c>
      <c r="L39" s="375">
        <v>163.92978446429694095075885045</v>
      </c>
      <c r="M39" s="374">
        <v>231.12731481481481481481481481</v>
      </c>
      <c r="N39" s="382">
        <v>293.19211822660098522167487685</v>
      </c>
      <c r="O39" s="375">
        <v>227.12589470624568542673400429</v>
      </c>
      <c r="P39" s="4"/>
      <c r="Q39" s="354">
        <v>-2.9905173750317923157768507900</v>
      </c>
      <c r="R39" s="355">
        <v>14.095264091976568183801237330</v>
      </c>
      <c r="S39" s="356">
        <v>2.8365065068517600973312588600</v>
      </c>
      <c r="T39" s="354">
        <v>-25.874958266204092094535895870</v>
      </c>
      <c r="U39" s="355">
        <v>115.33039053740815786681497441</v>
      </c>
      <c r="V39" s="356">
        <v>-10.464817216490435872095231260</v>
      </c>
      <c r="W39" s="354">
        <v>0</v>
      </c>
      <c r="X39" s="355">
        <v>0</v>
      </c>
      <c r="Y39" s="356">
        <v>3.2725214685683661036941415900</v>
      </c>
      <c r="Z39" s="354">
        <v>-7.5729527767070975985476121300</v>
      </c>
      <c r="AA39" s="355">
        <v>16.455419398643718944796138880</v>
      </c>
      <c r="AB39" s="356">
        <v>0.2068344211975676480859176900</v>
      </c>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row>
    <row r="40" ht="15.6" customHeight="1">
      <c r="A40" s="54"/>
      <c r="C40" s="53" t="s">
        <v>15</v>
      </c>
      <c r="D40" s="370">
        <v>216.98546511627906976744186047</v>
      </c>
      <c r="E40" s="172">
        <v>277.77936233811608848430815101</v>
      </c>
      <c r="F40" s="371">
        <v>218.67248132745719245755568104</v>
      </c>
      <c r="G40" s="370">
        <v>185.36764705882352941176470588</v>
      </c>
      <c r="H40" s="172">
        <v>395.00631359267108010741810357</v>
      </c>
      <c r="I40" s="371">
        <v>256.15532902422905346802267806</v>
      </c>
      <c r="J40" s="370">
        <v>0</v>
      </c>
      <c r="K40" s="172">
        <v>0</v>
      </c>
      <c r="L40" s="371">
        <v>160.37184566744954381964330042</v>
      </c>
      <c r="M40" s="370">
        <v>211.76699029126213592233009709</v>
      </c>
      <c r="N40" s="172">
        <v>284.74213907359404936323678576</v>
      </c>
      <c r="O40" s="371">
        <v>221.8359734657628593177946134</v>
      </c>
      <c r="P40" s="4"/>
      <c r="Q40" s="327">
        <v>27.234699721828739326589980620</v>
      </c>
      <c r="R40" s="171">
        <v>19.089171901684424331458003390</v>
      </c>
      <c r="S40" s="328">
        <v>8.730584327043177345725994090</v>
      </c>
      <c r="T40" s="327">
        <v>-13.404894804637183340489480460</v>
      </c>
      <c r="U40" s="171">
        <v>0</v>
      </c>
      <c r="V40" s="328">
        <v>-1.9978557672855335371571083900</v>
      </c>
      <c r="W40" s="327">
        <v>0</v>
      </c>
      <c r="X40" s="171">
        <v>0</v>
      </c>
      <c r="Y40" s="328">
        <v>4.5297158495181314544763271200</v>
      </c>
      <c r="Z40" s="327">
        <v>23.048161952519678637312651770</v>
      </c>
      <c r="AA40" s="171">
        <v>22.074243609621759188563087050</v>
      </c>
      <c r="AB40" s="328">
        <v>5.5465817406423952111818832200</v>
      </c>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row>
    <row r="41" ht="15.6" customHeight="1">
      <c r="A41" s="54"/>
      <c r="B41" s="22"/>
      <c r="C41" s="53" t="s">
        <v>16</v>
      </c>
      <c r="D41" s="378">
        <v>227.99690402476780185758513932</v>
      </c>
      <c r="E41" s="173">
        <v>257.50343577983838669444839536</v>
      </c>
      <c r="F41" s="379">
        <v>225.71465289874177761828506455</v>
      </c>
      <c r="G41" s="378">
        <v>199.2530120481927710843373494</v>
      </c>
      <c r="H41" s="173">
        <v>388.18805353606272777905236955</v>
      </c>
      <c r="I41" s="379">
        <v>257.3041184368246551482741314</v>
      </c>
      <c r="J41" s="378">
        <v>0</v>
      </c>
      <c r="K41" s="173">
        <v>0</v>
      </c>
      <c r="L41" s="379">
        <v>147.229542268912471868867957</v>
      </c>
      <c r="M41" s="378">
        <v>222.12068965517241379310344828</v>
      </c>
      <c r="N41" s="173">
        <v>270.93788697357895082901384064</v>
      </c>
      <c r="O41" s="379">
        <v>225.99312678439251348207676853</v>
      </c>
      <c r="P41" s="4"/>
      <c r="Q41" s="359">
        <v>33.796607335607047327544279660</v>
      </c>
      <c r="R41" s="170">
        <v>13.096213846422552206385361360</v>
      </c>
      <c r="S41" s="360">
        <v>10.095824352308346787687853080</v>
      </c>
      <c r="T41" s="359">
        <v>-2.7243228405735412644147315400</v>
      </c>
      <c r="U41" s="170">
        <v>10.594887047311318455570475660</v>
      </c>
      <c r="V41" s="360">
        <v>1.19511073034196216482385700</v>
      </c>
      <c r="W41" s="359">
        <v>0</v>
      </c>
      <c r="X41" s="170">
        <v>0</v>
      </c>
      <c r="Y41" s="360">
        <v>1.292568430323449280815701200</v>
      </c>
      <c r="Z41" s="359">
        <v>28.967793403953768948637518890</v>
      </c>
      <c r="AA41" s="170">
        <v>18.635480498293095713484027280</v>
      </c>
      <c r="AB41" s="360">
        <v>6.6122653123618884937400671600</v>
      </c>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row>
    <row r="42" ht="15.6" customHeight="1">
      <c r="A42" s="54"/>
      <c r="B42" s="22"/>
      <c r="C42" s="53" t="s">
        <v>17</v>
      </c>
      <c r="D42" s="370">
        <v>198.70985915492957746478873239</v>
      </c>
      <c r="E42" s="172">
        <v>243.94605039233127258192304263</v>
      </c>
      <c r="F42" s="371">
        <v>220.8461323496169436692229653</v>
      </c>
      <c r="G42" s="370">
        <v>208.85</v>
      </c>
      <c r="H42" s="172">
        <v>393.0388556867648894710467739</v>
      </c>
      <c r="I42" s="371">
        <v>249.72022121249272412126666091</v>
      </c>
      <c r="J42" s="370">
        <v>0</v>
      </c>
      <c r="K42" s="172">
        <v>0</v>
      </c>
      <c r="L42" s="371">
        <v>154.45236885849065432807616312</v>
      </c>
      <c r="M42" s="370">
        <v>200.93846153846153846153846154</v>
      </c>
      <c r="N42" s="172">
        <v>262.32782486183431737801114041</v>
      </c>
      <c r="O42" s="371">
        <v>222.18659438818996965667723569</v>
      </c>
      <c r="P42" s="4"/>
      <c r="Q42" s="327">
        <v>16.599609799118306616496303120</v>
      </c>
      <c r="R42" s="171">
        <v>9.965567584646920078312653160</v>
      </c>
      <c r="S42" s="328">
        <v>8.597596372881447238111166980</v>
      </c>
      <c r="T42" s="327">
        <v>-14.335520918785890073831009020</v>
      </c>
      <c r="U42" s="171">
        <v>18.924535003775631924469943850</v>
      </c>
      <c r="V42" s="328">
        <v>1.2894090106984928882867638100</v>
      </c>
      <c r="W42" s="327">
        <v>0</v>
      </c>
      <c r="X42" s="171">
        <v>0</v>
      </c>
      <c r="Y42" s="328">
        <v>-0.7153500201462743268181460400</v>
      </c>
      <c r="Z42" s="327">
        <v>14.244159537252919774719173100</v>
      </c>
      <c r="AA42" s="171">
        <v>16.718512387183269893579767960</v>
      </c>
      <c r="AB42" s="328">
        <v>6.474661291711518270367537900</v>
      </c>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row>
    <row r="43" ht="15.6" customHeight="1">
      <c r="A43" s="54"/>
      <c r="B43" s="22"/>
      <c r="C43" s="53" t="s">
        <v>18</v>
      </c>
      <c r="D43" s="378">
        <v>211.36292428198433420365535248</v>
      </c>
      <c r="E43" s="173">
        <v>275.54817820762219663529405445</v>
      </c>
      <c r="F43" s="379">
        <v>230.97432057310096848295541498</v>
      </c>
      <c r="G43" s="378">
        <v>243.18390804597701149425287356</v>
      </c>
      <c r="H43" s="173">
        <v>423.99466231732172997262837797</v>
      </c>
      <c r="I43" s="379">
        <v>253.61597266269653694971934165</v>
      </c>
      <c r="J43" s="378">
        <v>0</v>
      </c>
      <c r="K43" s="173">
        <v>0</v>
      </c>
      <c r="L43" s="379">
        <v>163.37438345269509480457054295</v>
      </c>
      <c r="M43" s="378">
        <v>217.25319148936170212765957447</v>
      </c>
      <c r="N43" s="173">
        <v>291.60482499170660436620811834</v>
      </c>
      <c r="O43" s="379">
        <v>229.5368424530795664816283373</v>
      </c>
      <c r="P43" s="4"/>
      <c r="Q43" s="359">
        <v>3.7132967650607610247439155800</v>
      </c>
      <c r="R43" s="170">
        <v>3.9478691934222934553596567200</v>
      </c>
      <c r="S43" s="360">
        <v>3.5898724355109373848338494100</v>
      </c>
      <c r="T43" s="359">
        <v>-37.333674187321311428513504010</v>
      </c>
      <c r="U43" s="170">
        <v>28.290843085042984538396034020</v>
      </c>
      <c r="V43" s="360">
        <v>0.8855106924774012952052646900</v>
      </c>
      <c r="W43" s="359">
        <v>0</v>
      </c>
      <c r="X43" s="170">
        <v>0</v>
      </c>
      <c r="Y43" s="360">
        <v>8.569262894208377165446729060</v>
      </c>
      <c r="Z43" s="359">
        <v>-5.5673015221557471453010238600</v>
      </c>
      <c r="AA43" s="170">
        <v>9.377626711104108604494134480</v>
      </c>
      <c r="AB43" s="360">
        <v>3.0438305151231360003574156400</v>
      </c>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row>
    <row r="44" ht="15.6" customHeight="1">
      <c r="A44" s="54"/>
      <c r="B44" s="22"/>
      <c r="C44" s="53" t="s">
        <v>19</v>
      </c>
      <c r="D44" s="370">
        <v>294.47979797979797979797979798</v>
      </c>
      <c r="E44" s="172">
        <v>348.27584541051737033060627861</v>
      </c>
      <c r="F44" s="371">
        <v>260.55127400386685666400579682</v>
      </c>
      <c r="G44" s="370">
        <v>411.89583333333333333333333333</v>
      </c>
      <c r="H44" s="172">
        <v>464.91483386262136326198725083</v>
      </c>
      <c r="I44" s="371">
        <v>263.81916566010385373787292593</v>
      </c>
      <c r="J44" s="370">
        <v>0</v>
      </c>
      <c r="K44" s="172">
        <v>0</v>
      </c>
      <c r="L44" s="371">
        <v>168.07834440247319141578999821</v>
      </c>
      <c r="M44" s="370">
        <v>307.17342342342342342342342342</v>
      </c>
      <c r="N44" s="172">
        <v>353.28353516835364594092129726</v>
      </c>
      <c r="O44" s="371">
        <v>252.92303653602643688810648877</v>
      </c>
      <c r="P44" s="4"/>
      <c r="Q44" s="327">
        <v>2.3765499273890255116959536800</v>
      </c>
      <c r="R44" s="171">
        <v>2.6070608411565206580545444900</v>
      </c>
      <c r="S44" s="328">
        <v>-0.4639961280584735096192574100</v>
      </c>
      <c r="T44" s="327">
        <v>5.3756012849574162404670822100</v>
      </c>
      <c r="U44" s="171">
        <v>45.556223992771558952947079530</v>
      </c>
      <c r="V44" s="328">
        <v>-10.429539919357755798920982700</v>
      </c>
      <c r="W44" s="327">
        <v>0</v>
      </c>
      <c r="X44" s="171">
        <v>0</v>
      </c>
      <c r="Y44" s="328">
        <v>6.9212439862825683840864805500</v>
      </c>
      <c r="Z44" s="327">
        <v>-0.817541707367192144290714800</v>
      </c>
      <c r="AA44" s="171">
        <v>4.162588805985203723053285200</v>
      </c>
      <c r="AB44" s="328">
        <v>-1.9251048256012012576685232100</v>
      </c>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row>
    <row r="45" ht="15.6" customHeight="1">
      <c r="A45" s="54"/>
      <c r="B45" s="22"/>
      <c r="C45" s="53" t="s">
        <v>20</v>
      </c>
      <c r="D45" s="384">
        <v>300.93033707865168539325842697</v>
      </c>
      <c r="E45" s="385">
        <v>371.468648312336892401273564</v>
      </c>
      <c r="F45" s="386">
        <v>270.2073579423153857753113269</v>
      </c>
      <c r="G45" s="384">
        <v>412.93478260869565217391304348</v>
      </c>
      <c r="H45" s="385">
        <v>480.33214209500228333032664238</v>
      </c>
      <c r="I45" s="386">
        <v>270.65930684549773901398338129</v>
      </c>
      <c r="J45" s="384">
        <v>0</v>
      </c>
      <c r="K45" s="385">
        <v>0</v>
      </c>
      <c r="L45" s="386">
        <v>164.83587267251992066804371321</v>
      </c>
      <c r="M45" s="384">
        <v>311.4236252545824847250509165</v>
      </c>
      <c r="N45" s="385">
        <v>375.3650232472494590986511992</v>
      </c>
      <c r="O45" s="386">
        <v>260.90889468477381059447792068</v>
      </c>
      <c r="P45" s="4"/>
      <c r="Q45" s="364">
        <v>0.9637710698731214586973791500</v>
      </c>
      <c r="R45" s="365">
        <v>3.3966039448474855791784869200</v>
      </c>
      <c r="S45" s="366">
        <v>1.7492628007962495488936594500</v>
      </c>
      <c r="T45" s="364">
        <v>-2.3327868075874023456739835100</v>
      </c>
      <c r="U45" s="365">
        <v>35.051738969338242158997423020</v>
      </c>
      <c r="V45" s="366">
        <v>-9.472420841073410871638055630</v>
      </c>
      <c r="W45" s="364">
        <v>0</v>
      </c>
      <c r="X45" s="365">
        <v>0</v>
      </c>
      <c r="Y45" s="366">
        <v>9.677458031946770922488358210</v>
      </c>
      <c r="Z45" s="364">
        <v>-3.1879939217579074539169516900</v>
      </c>
      <c r="AA45" s="365">
        <v>4.4891259896450175344375939800</v>
      </c>
      <c r="AB45" s="366">
        <v>-0.0855946309077226367519127800</v>
      </c>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row>
    <row r="46" ht="20.25" customHeight="1">
      <c r="B46" s="54"/>
      <c r="C46"/>
      <c r="D46" s="169"/>
      <c r="E46" s="169"/>
      <c r="F46" s="169"/>
      <c r="G46" s="169"/>
      <c r="H46" s="169"/>
      <c r="I46" s="169"/>
      <c r="J46" s="169"/>
      <c r="K46" s="169"/>
      <c r="L46" s="169"/>
      <c r="M46" s="169"/>
      <c r="N46" s="169"/>
      <c r="O46" s="169"/>
      <c r="P46" s="4"/>
      <c r="Q46" s="4"/>
      <c r="R46" s="4"/>
      <c r="S46" s="4"/>
      <c r="T46" s="4"/>
      <c r="U46" s="4"/>
      <c r="V46" s="4"/>
      <c r="W46" s="4"/>
      <c r="X46" s="4"/>
      <c r="Y46" s="4"/>
      <c r="Z46" s="4"/>
      <c r="AA46" s="4"/>
      <c r="AB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row>
    <row r="47" ht="15.6" customHeight="1">
      <c r="A47" s="22"/>
      <c r="B47" s="22"/>
      <c r="C47" s="53" t="s">
        <v>72</v>
      </c>
      <c r="D47" s="374">
        <v>225.32273449920508744038155803</v>
      </c>
      <c r="E47" s="382">
        <v>296.99054023713555643462735077</v>
      </c>
      <c r="F47" s="375">
        <v>209.09343022104079629446142132</v>
      </c>
      <c r="G47" s="374">
        <v>163.00512820512820512820512821</v>
      </c>
      <c r="H47" s="382">
        <v>338.99999999999999999999999997</v>
      </c>
      <c r="I47" s="375">
        <v>212.15642887876995033496734054</v>
      </c>
      <c r="J47" s="374">
        <v>0</v>
      </c>
      <c r="K47" s="382">
        <v>0</v>
      </c>
      <c r="L47" s="375">
        <v>158.80581413780099981738068898</v>
      </c>
      <c r="M47" s="374">
        <v>210.57524271844660194174757282</v>
      </c>
      <c r="N47" s="382">
        <v>298.44589718607569852698328818</v>
      </c>
      <c r="O47" s="375">
        <v>204.75204114304010245737613063</v>
      </c>
      <c r="P47" s="4"/>
      <c r="Q47" s="354">
        <v>23.243434528794176049300258340</v>
      </c>
      <c r="R47" s="355">
        <v>12.004870232533736246002420420</v>
      </c>
      <c r="S47" s="356">
        <v>-0.7574588809235676246396616600</v>
      </c>
      <c r="T47" s="354">
        <v>0</v>
      </c>
      <c r="U47" s="355">
        <v>-12.289780077619663648124191470</v>
      </c>
      <c r="V47" s="356">
        <v>0.4785538511146469190188981100</v>
      </c>
      <c r="W47" s="354">
        <v>0</v>
      </c>
      <c r="X47" s="355">
        <v>0</v>
      </c>
      <c r="Y47" s="356">
        <v>6.1048834155816543023596669600</v>
      </c>
      <c r="Z47" s="354">
        <v>15.177086755297531024134062630</v>
      </c>
      <c r="AA47" s="355">
        <v>11.082585122079371342682848580</v>
      </c>
      <c r="AB47" s="356">
        <v>-0.4034512379666573696387947600</v>
      </c>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row>
    <row r="48" ht="15.6" customHeight="1">
      <c r="A48" s="22"/>
      <c r="B48" s="22"/>
      <c r="C48" s="53" t="s">
        <v>61</v>
      </c>
      <c r="D48" s="370">
        <v>241.13475447278264179672630377</v>
      </c>
      <c r="E48" s="172">
        <v>298.66038765245458345611747594</v>
      </c>
      <c r="F48" s="371">
        <v>238.43885831280920213154993032</v>
      </c>
      <c r="G48" s="370">
        <v>262.20496894409937888198757764</v>
      </c>
      <c r="H48" s="172">
        <v>417.69642908606656992457892965</v>
      </c>
      <c r="I48" s="371">
        <v>259.43154567074292844001826223</v>
      </c>
      <c r="J48" s="370">
        <v>0</v>
      </c>
      <c r="K48" s="172">
        <v>0</v>
      </c>
      <c r="L48" s="371">
        <v>160.45970357359962131139354763</v>
      </c>
      <c r="M48" s="370">
        <v>244.40707395498392282958199357</v>
      </c>
      <c r="N48" s="172">
        <v>307.07860495028509028354443425</v>
      </c>
      <c r="O48" s="371">
        <v>235.32563741547420646323008256</v>
      </c>
      <c r="P48" s="4"/>
      <c r="Q48" s="327">
        <v>11.951229316486039428071224390</v>
      </c>
      <c r="R48" s="171">
        <v>8.016637350211616721461204810</v>
      </c>
      <c r="S48" s="328">
        <v>4.1871456066125758377216575300</v>
      </c>
      <c r="T48" s="327">
        <v>-29.565579761928810651976721600</v>
      </c>
      <c r="U48" s="171">
        <v>26.468293994541424263521486810</v>
      </c>
      <c r="V48" s="328">
        <v>-3.5816034663939407200167257300</v>
      </c>
      <c r="W48" s="327">
        <v>0</v>
      </c>
      <c r="X48" s="171">
        <v>0</v>
      </c>
      <c r="Y48" s="328">
        <v>4.8342194010642954955787465100</v>
      </c>
      <c r="Z48" s="327">
        <v>4.4180046509130757163499552500</v>
      </c>
      <c r="AA48" s="171">
        <v>10.821368893772325814611272390</v>
      </c>
      <c r="AB48" s="328">
        <v>2.3777950193218862164787897300</v>
      </c>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row>
    <row r="49" ht="15.6" customHeight="1">
      <c r="A49" s="54"/>
      <c r="B49" s="22"/>
      <c r="C49" s="53" t="s">
        <v>31</v>
      </c>
      <c r="D49" s="384">
        <v>233.8196573489630297565374211</v>
      </c>
      <c r="E49" s="385">
        <v>293.94380143434393650934817082</v>
      </c>
      <c r="F49" s="386">
        <v>233.88407380040659550437900529</v>
      </c>
      <c r="G49" s="384">
        <v>260.44827586206896551724137931</v>
      </c>
      <c r="H49" s="385">
        <v>427.30722151299318778740003548</v>
      </c>
      <c r="I49" s="386">
        <v>250.74093326181727141515551774</v>
      </c>
      <c r="J49" s="384">
        <v>0</v>
      </c>
      <c r="K49" s="385">
        <v>0</v>
      </c>
      <c r="L49" s="386">
        <v>159.12572573745088268700412793</v>
      </c>
      <c r="M49" s="384">
        <v>237.93978658536585365853658537</v>
      </c>
      <c r="N49" s="385">
        <v>303.37163712738656928451256285</v>
      </c>
      <c r="O49" s="386">
        <v>229.75940287930137792688014722</v>
      </c>
      <c r="P49" s="4"/>
      <c r="Q49" s="364">
        <v>9.159675269106049799155053950</v>
      </c>
      <c r="R49" s="365">
        <v>6.296306232161661125026081400</v>
      </c>
      <c r="S49" s="366">
        <v>1.8725782690427382277363656800</v>
      </c>
      <c r="T49" s="364">
        <v>-33.232245089003423747615592330</v>
      </c>
      <c r="U49" s="365">
        <v>32.709432741214539073134327270</v>
      </c>
      <c r="V49" s="366">
        <v>-3.9588138808890044877257913900</v>
      </c>
      <c r="W49" s="364">
        <v>0</v>
      </c>
      <c r="X49" s="365">
        <v>0</v>
      </c>
      <c r="Y49" s="366">
        <v>4.3620574088206274294354077700</v>
      </c>
      <c r="Z49" s="364">
        <v>0.5952873164071157629201997900</v>
      </c>
      <c r="AA49" s="365">
        <v>9.488551141208170563474108270</v>
      </c>
      <c r="AB49" s="366">
        <v>0.3870473435776669043687190400</v>
      </c>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row>
    <row r="50" ht="9.95" customHeight="1">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row>
    <row r="51" ht="9.95" customHeight="1">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row>
    <row r="52" ht="24.75" customHeight="1">
      <c r="D52" s="650" t="s">
        <v>114</v>
      </c>
      <c r="E52" s="650"/>
      <c r="F52" s="650"/>
      <c r="G52" s="650"/>
      <c r="H52" s="650"/>
      <c r="I52" s="650"/>
      <c r="J52" s="650"/>
      <c r="K52" s="650"/>
      <c r="L52" s="650"/>
      <c r="M52" s="650"/>
      <c r="N52" s="650"/>
      <c r="O52" s="650"/>
      <c r="P52" s="650"/>
      <c r="Q52" s="650"/>
      <c r="R52" s="650"/>
      <c r="S52" s="650"/>
      <c r="T52" s="650"/>
      <c r="U52" s="650"/>
      <c r="V52" s="650"/>
      <c r="W52" s="650"/>
      <c r="X52" s="650"/>
      <c r="Y52" s="650"/>
      <c r="Z52" s="650"/>
      <c r="AA52" s="650"/>
      <c r="AB52" s="650"/>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row>
    <row r="53" ht="9.95" customHeight="1">
      <c r="A53" s="53"/>
      <c r="C53"/>
      <c r="Z53" s="80"/>
      <c r="AA53" s="242"/>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c r="AZ71" s="244"/>
      <c r="BA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c r="AZ77" s="244"/>
      <c r="BA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c r="AZ88" s="244"/>
      <c r="BA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c r="AZ90" s="244"/>
      <c r="BA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c r="AZ91" s="244"/>
      <c r="BA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c r="AZ92" s="244"/>
      <c r="BA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c r="AZ93" s="244"/>
      <c r="BA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c r="AZ94" s="244"/>
      <c r="BA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row>
  </sheetData>
  <mergeCells count="12">
    <mergeCell ref="Q8:S8"/>
    <mergeCell ref="T8:V8"/>
    <mergeCell ref="D52:AB52"/>
    <mergeCell ref="R4:AA4"/>
    <mergeCell ref="D7:O7"/>
    <mergeCell ref="Q7:AB7"/>
    <mergeCell ref="W8:Y8"/>
    <mergeCell ref="Z8:AB8"/>
    <mergeCell ref="D8:F8"/>
    <mergeCell ref="G8:I8"/>
    <mergeCell ref="J8:L8"/>
    <mergeCell ref="M8:O8"/>
  </mergeCells>
  <phoneticPr fontId="0" type="noConversion"/>
  <printOptions horizontalCentered="1" verticalCentered="1"/>
  <pageMargins left="0.25" right="0.25" top="0.25" bottom="0.25" header="0.17" footer="0.28"/>
  <pageSetup scale="67" orientation="landscape" r:id="rId1"/>
  <headerFooter alignWithMargins="0">
    <oddHeader/>
    <oddFooter/>
  </headerFooter>
  <drawing r:id="rId45"/>
</worksheet>
</file>

<file path=xl/worksheets/sheet45.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AY105"/>
  <sheetViews>
    <sheetView showGridLines="0" zoomScaleNormal="100" workbookViewId="0"/>
  </sheetViews>
  <sheetFormatPr defaultRowHeight="12.75"/>
  <cols>
    <col min="1" max="1" width="13.28515625" customWidth="1"/>
    <col min="2" max="2" width="3.85546875" customWidth="1"/>
    <col min="3" max="3" width="4.28515625" style="30" customWidth="1"/>
    <col min="4" max="15" width="7.7109375" customWidth="1"/>
    <col min="16" max="16" width="1.42578125" customWidth="1"/>
    <col min="17" max="28" width="7.7109375" customWidth="1"/>
    <col min="29" max="29" width="2.28515625" customWidth="1"/>
    <col min="30" max="32" width="9.140625" customWidth="1"/>
  </cols>
  <sheetData>
    <row r="1" ht="23.25">
      <c r="A1" s="39" t="s">
        <v>135</v>
      </c>
      <c r="B1" s="39"/>
      <c r="AD1" s="244"/>
      <c r="AE1" s="244"/>
      <c r="AF1" s="244"/>
      <c r="AG1" s="244"/>
      <c r="AH1" s="244"/>
      <c r="AI1" s="244"/>
      <c r="AJ1" s="244"/>
      <c r="AK1" s="244"/>
      <c r="AL1" s="244"/>
      <c r="AM1" s="244"/>
      <c r="AN1" s="244"/>
      <c r="AO1" s="244"/>
      <c r="AP1" s="244"/>
      <c r="AQ1" s="244"/>
      <c r="AR1" s="244"/>
      <c r="AS1" s="244"/>
      <c r="AT1" s="244"/>
      <c r="AU1" s="244"/>
      <c r="AV1" s="244"/>
      <c r="AW1" s="244"/>
      <c r="AX1" s="244"/>
      <c r="AY1" s="244"/>
    </row>
    <row r="2" ht="15" customHeight="1">
      <c r="A2" s="10" t="s">
        <v>168</v>
      </c>
      <c r="AA2" s="216"/>
      <c r="AD2" s="244"/>
      <c r="AE2" s="244"/>
      <c r="AF2" s="244"/>
      <c r="AG2" s="244"/>
      <c r="AH2" s="244"/>
      <c r="AI2" s="244"/>
      <c r="AJ2" s="244"/>
      <c r="AK2" s="244"/>
      <c r="AL2" s="244"/>
      <c r="AM2" s="244"/>
      <c r="AN2" s="244"/>
      <c r="AO2" s="244"/>
      <c r="AP2" s="244"/>
      <c r="AQ2" s="244"/>
      <c r="AR2" s="244"/>
      <c r="AS2" s="244"/>
      <c r="AT2" s="244"/>
      <c r="AU2" s="244"/>
      <c r="AV2" s="244"/>
      <c r="AW2" s="244"/>
      <c r="AX2" s="244"/>
      <c r="AY2" s="244"/>
    </row>
    <row r="3" ht="17.1" customHeight="1">
      <c r="A3" s="10" t="s">
        <v>181</v>
      </c>
      <c r="AD3" s="244"/>
      <c r="AE3" s="244"/>
      <c r="AF3" s="244"/>
      <c r="AG3" s="244"/>
      <c r="AH3" s="244"/>
      <c r="AI3" s="244"/>
      <c r="AJ3" s="244"/>
      <c r="AK3" s="244"/>
      <c r="AL3" s="244"/>
      <c r="AM3" s="244"/>
      <c r="AN3" s="244"/>
      <c r="AO3" s="244"/>
      <c r="AP3" s="244"/>
      <c r="AQ3" s="244"/>
      <c r="AR3" s="244"/>
      <c r="AS3" s="244"/>
      <c r="AT3" s="244"/>
      <c r="AU3" s="244"/>
      <c r="AV3" s="244"/>
      <c r="AW3" s="244"/>
      <c r="AX3" s="244"/>
      <c r="AY3" s="244"/>
    </row>
    <row r="4" ht="17.1" customHeight="1">
      <c r="A4" t="s">
        <v>182</v>
      </c>
      <c r="B4" s="442"/>
      <c r="C4" s="211"/>
      <c r="D4" s="212"/>
      <c r="E4" s="212"/>
      <c r="F4" s="212"/>
      <c r="G4" s="212"/>
      <c r="H4" s="212"/>
      <c r="I4" s="212"/>
      <c r="J4" s="212"/>
      <c r="K4" s="212"/>
      <c r="L4" s="212"/>
      <c r="M4" s="212"/>
      <c r="N4" s="212"/>
      <c r="O4" s="212"/>
      <c r="P4" s="212"/>
      <c r="Q4" s="212"/>
      <c r="R4" s="677" t="s">
        <v>184</v>
      </c>
      <c r="S4" s="677"/>
      <c r="T4" s="677"/>
      <c r="U4" s="677"/>
      <c r="V4" s="677"/>
      <c r="W4" s="677"/>
      <c r="X4" s="677"/>
      <c r="Y4" s="677"/>
      <c r="Z4" s="677"/>
      <c r="AA4" s="677"/>
      <c r="AD4" s="244"/>
      <c r="AE4" s="244"/>
      <c r="AF4" s="244"/>
      <c r="AG4" s="244"/>
      <c r="AH4" s="244"/>
      <c r="AI4" s="244"/>
      <c r="AJ4" s="244"/>
      <c r="AK4" s="244"/>
      <c r="AL4" s="244"/>
      <c r="AM4" s="244"/>
      <c r="AN4" s="244"/>
      <c r="AO4" s="244"/>
      <c r="AP4" s="244"/>
      <c r="AQ4" s="244"/>
      <c r="AR4" s="244"/>
      <c r="AS4" s="244"/>
      <c r="AT4" s="244"/>
      <c r="AU4" s="244"/>
      <c r="AV4" s="244"/>
      <c r="AW4" s="244"/>
      <c r="AX4" s="244"/>
      <c r="AY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row>
    <row r="7" ht="15.75">
      <c r="D7" s="621" t="s">
        <v>13</v>
      </c>
      <c r="E7" s="621"/>
      <c r="F7" s="621"/>
      <c r="G7" s="621"/>
      <c r="H7" s="621"/>
      <c r="I7" s="621"/>
      <c r="J7" s="621"/>
      <c r="K7" s="621"/>
      <c r="L7" s="621"/>
      <c r="M7" s="621"/>
      <c r="N7" s="621"/>
      <c r="O7" s="621"/>
      <c r="Q7" s="621" t="s">
        <v>86</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row>
    <row r="8" ht="15.75">
      <c r="D8" s="619" t="s">
        <v>21</v>
      </c>
      <c r="E8" s="619"/>
      <c r="F8" s="619"/>
      <c r="G8" s="619" t="s">
        <v>24</v>
      </c>
      <c r="H8" s="619"/>
      <c r="I8" s="619"/>
      <c r="J8" s="619" t="s">
        <v>25</v>
      </c>
      <c r="K8" s="619"/>
      <c r="L8" s="619"/>
      <c r="M8" s="619" t="s">
        <v>23</v>
      </c>
      <c r="N8" s="619"/>
      <c r="O8" s="619"/>
      <c r="Q8" s="619" t="s">
        <v>21</v>
      </c>
      <c r="R8" s="619"/>
      <c r="S8" s="619"/>
      <c r="T8" s="619" t="s">
        <v>24</v>
      </c>
      <c r="U8" s="619"/>
      <c r="V8" s="619"/>
      <c r="W8" s="619" t="s">
        <v>25</v>
      </c>
      <c r="X8" s="619"/>
      <c r="Y8" s="619"/>
      <c r="Z8" s="619" t="s">
        <v>23</v>
      </c>
      <c r="AA8" s="619"/>
      <c r="AB8" s="619"/>
      <c r="AD8" s="244"/>
      <c r="AE8" s="244"/>
      <c r="AF8" s="244"/>
      <c r="AG8" s="244"/>
      <c r="AH8" s="244"/>
      <c r="AI8" s="244"/>
      <c r="AJ8" s="244"/>
      <c r="AK8" s="244"/>
      <c r="AL8" s="244"/>
      <c r="AM8" s="244"/>
      <c r="AN8" s="244"/>
      <c r="AO8" s="244"/>
      <c r="AP8" s="244"/>
      <c r="AQ8" s="244"/>
      <c r="AR8" s="244"/>
      <c r="AS8" s="244"/>
      <c r="AT8" s="244"/>
      <c r="AU8" s="244"/>
      <c r="AV8" s="244"/>
      <c r="AW8" s="244"/>
      <c r="AX8" s="244"/>
      <c r="AY8" s="244"/>
    </row>
    <row r="9" ht="27" customHeight="1">
      <c r="A9" s="92"/>
      <c r="D9" s="339" t="s">
        <v>63</v>
      </c>
      <c r="E9" s="340" t="s">
        <v>26</v>
      </c>
      <c r="F9" s="341" t="s">
        <v>185</v>
      </c>
      <c r="G9" s="339" t="s">
        <v>63</v>
      </c>
      <c r="H9" s="340" t="s">
        <v>26</v>
      </c>
      <c r="I9" s="341" t="s">
        <v>185</v>
      </c>
      <c r="J9" s="339" t="s">
        <v>63</v>
      </c>
      <c r="K9" s="340" t="s">
        <v>26</v>
      </c>
      <c r="L9" s="341" t="s">
        <v>185</v>
      </c>
      <c r="M9" s="339" t="s">
        <v>63</v>
      </c>
      <c r="N9" s="340" t="s">
        <v>26</v>
      </c>
      <c r="O9" s="341" t="s">
        <v>185</v>
      </c>
      <c r="P9" s="96"/>
      <c r="Q9" s="339" t="s">
        <v>63</v>
      </c>
      <c r="R9" s="340" t="s">
        <v>26</v>
      </c>
      <c r="S9" s="341" t="s">
        <v>185</v>
      </c>
      <c r="T9" s="339" t="s">
        <v>63</v>
      </c>
      <c r="U9" s="340" t="s">
        <v>26</v>
      </c>
      <c r="V9" s="341" t="s">
        <v>185</v>
      </c>
      <c r="W9" s="339" t="s">
        <v>63</v>
      </c>
      <c r="X9" s="340" t="s">
        <v>26</v>
      </c>
      <c r="Y9" s="341" t="s">
        <v>185</v>
      </c>
      <c r="Z9" s="339" t="s">
        <v>63</v>
      </c>
      <c r="AA9" s="340" t="s">
        <v>26</v>
      </c>
      <c r="AB9" s="341" t="s">
        <v>185</v>
      </c>
      <c r="AD9" s="244"/>
      <c r="AE9" s="244"/>
      <c r="AF9" s="244"/>
      <c r="AG9" s="244"/>
      <c r="AH9" s="244"/>
      <c r="AI9" s="244"/>
      <c r="AJ9" s="244"/>
      <c r="AK9" s="244"/>
      <c r="AL9" s="244"/>
      <c r="AM9" s="244"/>
      <c r="AN9" s="244"/>
      <c r="AO9" s="244"/>
      <c r="AP9" s="244"/>
      <c r="AQ9" s="244"/>
      <c r="AR9" s="244"/>
      <c r="AS9" s="244"/>
      <c r="AT9" s="244"/>
      <c r="AU9" s="244"/>
      <c r="AV9" s="244"/>
      <c r="AW9" s="244"/>
      <c r="AX9" s="244"/>
      <c r="AY9" s="244"/>
    </row>
    <row r="10" ht="15.6" customHeight="1">
      <c r="A10" s="92" t="s">
        <v>186</v>
      </c>
      <c r="B10" s="342">
        <v>27</v>
      </c>
      <c r="C10" s="343" t="s">
        <v>49</v>
      </c>
      <c r="D10" s="374">
        <v>191.49242424242424242424242424</v>
      </c>
      <c r="E10" s="382">
        <v>261.29914193960159212075292195</v>
      </c>
      <c r="F10" s="375">
        <v>133.95260909591175546003296682</v>
      </c>
      <c r="G10" s="374">
        <v>11.628787878787878787878787879</v>
      </c>
      <c r="H10" s="382">
        <v>25.160160385979803228084287366</v>
      </c>
      <c r="I10" s="375">
        <v>51.461756355239667924592234302</v>
      </c>
      <c r="J10" s="374">
        <v>0</v>
      </c>
      <c r="K10" s="382">
        <v>0</v>
      </c>
      <c r="L10" s="375">
        <v>12.276073502033854480039588781</v>
      </c>
      <c r="M10" s="374">
        <v>203.12121212121212121212121212</v>
      </c>
      <c r="N10" s="382">
        <v>286.4593023255813953488372093</v>
      </c>
      <c r="O10" s="375">
        <v>197.69043895318527786466478991</v>
      </c>
      <c r="P10" s="4"/>
      <c r="Q10" s="354">
        <v>-3.4639474488060123337822436900</v>
      </c>
      <c r="R10" s="355">
        <v>35.840021430693464827064160860</v>
      </c>
      <c r="S10" s="356">
        <v>29.808571396972960551124652690</v>
      </c>
      <c r="T10" s="354">
        <v>62.262156447448252126460071560</v>
      </c>
      <c r="U10" s="355">
        <v>0</v>
      </c>
      <c r="V10" s="356">
        <v>27.075522140449157322048773940</v>
      </c>
      <c r="W10" s="354">
        <v>0</v>
      </c>
      <c r="X10" s="355">
        <v>0</v>
      </c>
      <c r="Y10" s="356">
        <v>10.568251402073019145787195620</v>
      </c>
      <c r="Z10" s="354">
        <v>-1.172134168815350860806027500</v>
      </c>
      <c r="AA10" s="355">
        <v>48.919883464152357969630435060</v>
      </c>
      <c r="AB10" s="356">
        <v>27.713503683576703737326731090</v>
      </c>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row>
    <row r="11" ht="15.6" customHeight="1">
      <c r="A11" s="92"/>
      <c r="B11" s="344">
        <v>28</v>
      </c>
      <c r="C11" s="345" t="s">
        <v>47</v>
      </c>
      <c r="D11" s="370">
        <v>222.54545454545454545454545455</v>
      </c>
      <c r="E11" s="172">
        <v>313.08263926830011957119183058</v>
      </c>
      <c r="F11" s="371">
        <v>149.42520922875742026463859114</v>
      </c>
      <c r="G11" s="370">
        <v>45.583333333333333333333333333</v>
      </c>
      <c r="H11" s="172">
        <v>34.44352352239755484741282057</v>
      </c>
      <c r="I11" s="371">
        <v>75.64727455772382959002594396</v>
      </c>
      <c r="J11" s="370">
        <v>0</v>
      </c>
      <c r="K11" s="172">
        <v>0</v>
      </c>
      <c r="L11" s="371">
        <v>13.036889584387272718581216124</v>
      </c>
      <c r="M11" s="370">
        <v>268.12878787878787878787878788</v>
      </c>
      <c r="N11" s="172">
        <v>347.52616279069767441860465116</v>
      </c>
      <c r="O11" s="371">
        <v>238.10937337086852257324575123</v>
      </c>
      <c r="P11" s="4"/>
      <c r="Q11" s="327">
        <v>36.588087599401488418200519070</v>
      </c>
      <c r="R11" s="171">
        <v>103.54425435022060344340090536</v>
      </c>
      <c r="S11" s="328">
        <v>59.865695476560695738922028450</v>
      </c>
      <c r="T11" s="327">
        <v>75.678832116583148809206910190</v>
      </c>
      <c r="U11" s="171">
        <v>0</v>
      </c>
      <c r="V11" s="328">
        <v>25.767103482630151124688042900</v>
      </c>
      <c r="W11" s="327">
        <v>0</v>
      </c>
      <c r="X11" s="171">
        <v>0</v>
      </c>
      <c r="Y11" s="328">
        <v>27.069935276876150214731883740</v>
      </c>
      <c r="Z11" s="327">
        <v>41.958126102991050336845628680</v>
      </c>
      <c r="AA11" s="171">
        <v>125.93700448464347269415579572</v>
      </c>
      <c r="AB11" s="328">
        <v>45.297146233265573960991248430</v>
      </c>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row>
    <row r="12" ht="15.6" customHeight="1">
      <c r="A12" s="92"/>
      <c r="B12" s="346">
        <v>29</v>
      </c>
      <c r="C12" s="347" t="s">
        <v>48</v>
      </c>
      <c r="D12" s="378">
        <v>253.13636363636363636363636364</v>
      </c>
      <c r="E12" s="173">
        <v>286.09749414088664570253114631</v>
      </c>
      <c r="F12" s="379">
        <v>160.36538897567106852378239214</v>
      </c>
      <c r="G12" s="378">
        <v>48.909090909090909090909090909</v>
      </c>
      <c r="H12" s="173">
        <v>22.245529114927307785840946719</v>
      </c>
      <c r="I12" s="379">
        <v>83.88853562748409742219180181</v>
      </c>
      <c r="J12" s="378">
        <v>0</v>
      </c>
      <c r="K12" s="173">
        <v>0</v>
      </c>
      <c r="L12" s="379">
        <v>11.571745295708351935372902285</v>
      </c>
      <c r="M12" s="378">
        <v>302.04545454545454545454545455</v>
      </c>
      <c r="N12" s="173">
        <v>308.34302325581395348837209302</v>
      </c>
      <c r="O12" s="379">
        <v>255.82566989886351788134709624</v>
      </c>
      <c r="P12" s="4"/>
      <c r="Q12" s="359">
        <v>51.235629582681181451646044630</v>
      </c>
      <c r="R12" s="170">
        <v>92.62443923125007859302487603</v>
      </c>
      <c r="S12" s="360">
        <v>68.162842496326167826142216360</v>
      </c>
      <c r="T12" s="359">
        <v>78.737541528476727629938175050</v>
      </c>
      <c r="U12" s="170">
        <v>0</v>
      </c>
      <c r="V12" s="360">
        <v>20.687406936934949287245064270</v>
      </c>
      <c r="W12" s="359">
        <v>0</v>
      </c>
      <c r="X12" s="170">
        <v>0</v>
      </c>
      <c r="Y12" s="360">
        <v>19.067499539445447988320046800</v>
      </c>
      <c r="Z12" s="359">
        <v>55.099976659165032285276173970</v>
      </c>
      <c r="AA12" s="170">
        <v>107.60196493112631094974481971</v>
      </c>
      <c r="AB12" s="360">
        <v>46.528777805027615288280111940</v>
      </c>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row>
    <row r="13" ht="15.6" customHeight="1">
      <c r="A13" s="92"/>
      <c r="B13" s="344">
        <v>30</v>
      </c>
      <c r="C13" s="345" t="s">
        <v>50</v>
      </c>
      <c r="D13" s="370">
        <v>202.89393939393939393939393939</v>
      </c>
      <c r="E13" s="172">
        <v>268.13563634091345543960212256</v>
      </c>
      <c r="F13" s="371">
        <v>146.58207556548342736129259076</v>
      </c>
      <c r="G13" s="370">
        <v>52.234848484848484848484848485</v>
      </c>
      <c r="H13" s="172">
        <v>18.018433426528405025514156508</v>
      </c>
      <c r="I13" s="371">
        <v>82.56976677140563224897558409</v>
      </c>
      <c r="J13" s="370">
        <v>0</v>
      </c>
      <c r="K13" s="172">
        <v>0</v>
      </c>
      <c r="L13" s="371">
        <v>11.046781372838810267742460107</v>
      </c>
      <c r="M13" s="370">
        <v>255.12878787878787878787878788</v>
      </c>
      <c r="N13" s="172">
        <v>286.15406976744186046511627907</v>
      </c>
      <c r="O13" s="371">
        <v>240.19862370972786987801063497</v>
      </c>
      <c r="P13" s="4"/>
      <c r="Q13" s="327">
        <v>37.668345841460868235152342070</v>
      </c>
      <c r="R13" s="171">
        <v>51.638177190033278179195139500</v>
      </c>
      <c r="S13" s="328">
        <v>34.153842367169828520614152920</v>
      </c>
      <c r="T13" s="327">
        <v>40.370521172718452251482819970</v>
      </c>
      <c r="U13" s="171">
        <v>0</v>
      </c>
      <c r="V13" s="328">
        <v>81.85404452764313349064229845</v>
      </c>
      <c r="W13" s="327">
        <v>0</v>
      </c>
      <c r="X13" s="171">
        <v>0</v>
      </c>
      <c r="Y13" s="328">
        <v>-0.6063016828824075673864626300</v>
      </c>
      <c r="Z13" s="327">
        <v>38.213083805309277505563751590</v>
      </c>
      <c r="AA13" s="171">
        <v>61.828103594089655554566785130</v>
      </c>
      <c r="AB13" s="328">
        <v>44.887587629909773282147040240</v>
      </c>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row>
    <row r="14" ht="15.6" customHeight="1">
      <c r="A14" s="92" t="s">
        <v>183</v>
      </c>
      <c r="B14" s="668">
        <v>1</v>
      </c>
      <c r="C14" s="679" t="s">
        <v>51</v>
      </c>
      <c r="D14" s="680">
        <v>215.85606060606060606060606061</v>
      </c>
      <c r="E14" s="681">
        <v>297.58142428594392066298712863</v>
      </c>
      <c r="F14" s="682">
        <v>159.39876623164241542697408547</v>
      </c>
      <c r="G14" s="680">
        <v>63.189393939393939393939393939</v>
      </c>
      <c r="H14" s="681">
        <v>45.822645481497939802129150419</v>
      </c>
      <c r="I14" s="682">
        <v>72.924820914415531129375365373</v>
      </c>
      <c r="J14" s="680">
        <v>0</v>
      </c>
      <c r="K14" s="681">
        <v>0</v>
      </c>
      <c r="L14" s="682">
        <v>12.922372607878035093113587422</v>
      </c>
      <c r="M14" s="680">
        <v>279.04545454545454545454545455</v>
      </c>
      <c r="N14" s="681">
        <v>343.40406976744186046511627907</v>
      </c>
      <c r="O14" s="682">
        <v>245.24595975393598164946303827</v>
      </c>
      <c r="P14" s="4"/>
      <c r="Q14" s="670">
        <v>34.546914104940402917970055110</v>
      </c>
      <c r="R14" s="671">
        <v>1.356647682255603540879213400</v>
      </c>
      <c r="S14" s="672">
        <v>0.3635190429523231722759920300</v>
      </c>
      <c r="T14" s="670">
        <v>-61.890620002739960364417334120</v>
      </c>
      <c r="U14" s="671">
        <v>0</v>
      </c>
      <c r="V14" s="672">
        <v>33.523347706032949891391556120</v>
      </c>
      <c r="W14" s="670">
        <v>0</v>
      </c>
      <c r="X14" s="671">
        <v>0</v>
      </c>
      <c r="Y14" s="672">
        <v>36.049881616238781005782984520</v>
      </c>
      <c r="Z14" s="670">
        <v>-14.466840052009248882782984150</v>
      </c>
      <c r="AA14" s="671">
        <v>16.963904570287324698354993850</v>
      </c>
      <c r="AB14" s="672">
        <v>10.007603173137288004010262340</v>
      </c>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row>
    <row r="15" ht="15.6" customHeight="1">
      <c r="A15" s="92"/>
      <c r="B15" s="344">
        <v>2</v>
      </c>
      <c r="C15" s="345" t="s">
        <v>52</v>
      </c>
      <c r="D15" s="370">
        <v>300.97727272727272727272727273</v>
      </c>
      <c r="E15" s="172">
        <v>423.57983865093133110998971358</v>
      </c>
      <c r="F15" s="371">
        <v>223.08763349463664102146035157</v>
      </c>
      <c r="G15" s="370">
        <v>106.42424242424242424242424242</v>
      </c>
      <c r="H15" s="172">
        <v>56.524812511859366564428891093</v>
      </c>
      <c r="I15" s="371">
        <v>69.472486371242932518145865532</v>
      </c>
      <c r="J15" s="370">
        <v>0</v>
      </c>
      <c r="K15" s="172">
        <v>0</v>
      </c>
      <c r="L15" s="371">
        <v>13.504836864388386005800935441</v>
      </c>
      <c r="M15" s="370">
        <v>407.40151515151515151515151515</v>
      </c>
      <c r="N15" s="172">
        <v>480.10465116279069767441860465</v>
      </c>
      <c r="O15" s="371">
        <v>306.06495673026795954540715254</v>
      </c>
      <c r="P15" s="4"/>
      <c r="Q15" s="327">
        <v>66.683448709863644209066344760</v>
      </c>
      <c r="R15" s="171">
        <v>9.621570184565676519651704250</v>
      </c>
      <c r="S15" s="328">
        <v>-3.6924058192744684689746622400</v>
      </c>
      <c r="T15" s="327">
        <v>-58.044380730521469006454719540</v>
      </c>
      <c r="U15" s="171">
        <v>9727.318677848630802015537727</v>
      </c>
      <c r="V15" s="328">
        <v>2.1708165998125189855459625600</v>
      </c>
      <c r="W15" s="327">
        <v>0</v>
      </c>
      <c r="X15" s="171">
        <v>0</v>
      </c>
      <c r="Y15" s="328">
        <v>14.544866377260768381448896050</v>
      </c>
      <c r="Z15" s="327">
        <v>-6.1778149970399832489970106400</v>
      </c>
      <c r="AA15" s="171">
        <v>24.065394482417242627717000240</v>
      </c>
      <c r="AB15" s="328">
        <v>-1.7218151039373928131228459600</v>
      </c>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row>
    <row r="16" ht="15.6" customHeight="1">
      <c r="A16" s="92"/>
      <c r="B16" s="346">
        <v>3</v>
      </c>
      <c r="C16" s="347" t="s">
        <v>53</v>
      </c>
      <c r="D16" s="378">
        <v>302.75757575757575757575757576</v>
      </c>
      <c r="E16" s="173">
        <v>435.44272690845420811351784541</v>
      </c>
      <c r="F16" s="379">
        <v>249.53369738311861217306500905</v>
      </c>
      <c r="G16" s="378">
        <v>103.09848484848484848484848485</v>
      </c>
      <c r="H16" s="173">
        <v>53.50204053340625700276122436</v>
      </c>
      <c r="I16" s="379">
        <v>66.487890845078568048099205446</v>
      </c>
      <c r="J16" s="378">
        <v>0</v>
      </c>
      <c r="K16" s="173">
        <v>0</v>
      </c>
      <c r="L16" s="379">
        <v>13.551970316271592586676469491</v>
      </c>
      <c r="M16" s="378">
        <v>405.85606060606060606060606061</v>
      </c>
      <c r="N16" s="173">
        <v>488.94476744186046511627906977</v>
      </c>
      <c r="O16" s="379">
        <v>329.57355854446877280784068397</v>
      </c>
      <c r="P16" s="4"/>
      <c r="Q16" s="359">
        <v>62.415670974551129854296941340</v>
      </c>
      <c r="R16" s="170">
        <v>5.9222866184825293087742420300</v>
      </c>
      <c r="S16" s="360">
        <v>9.876557019952131025462208140</v>
      </c>
      <c r="T16" s="359">
        <v>-59.572824763088686753086389190</v>
      </c>
      <c r="U16" s="170">
        <v>9201.785477118325712408257144</v>
      </c>
      <c r="V16" s="360">
        <v>-8.151529702983414510697947220</v>
      </c>
      <c r="W16" s="359">
        <v>0</v>
      </c>
      <c r="X16" s="170">
        <v>0</v>
      </c>
      <c r="Y16" s="360">
        <v>50.064545411794389158880112280</v>
      </c>
      <c r="Z16" s="359">
        <v>-8.059173831707757847520913330</v>
      </c>
      <c r="AA16" s="170">
        <v>18.770585237301587570480287270</v>
      </c>
      <c r="AB16" s="360">
        <v>6.8229731232574810400620509200</v>
      </c>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row>
    <row r="17" ht="15.6" customHeight="1">
      <c r="A17" s="92"/>
      <c r="B17" s="344">
        <v>4</v>
      </c>
      <c r="C17" s="345" t="s">
        <v>49</v>
      </c>
      <c r="D17" s="370">
        <v>190.21969696969696969696969697</v>
      </c>
      <c r="E17" s="172">
        <v>232.57848837209302325581395349</v>
      </c>
      <c r="F17" s="371">
        <v>146.40168327891196713096529528</v>
      </c>
      <c r="G17" s="370">
        <v>93.12121212121212121212121212</v>
      </c>
      <c r="H17" s="172">
        <v>18.00000000000000000000000</v>
      </c>
      <c r="I17" s="371">
        <v>55.985503468557444278825113919</v>
      </c>
      <c r="J17" s="370">
        <v>0</v>
      </c>
      <c r="K17" s="172">
        <v>0</v>
      </c>
      <c r="L17" s="371">
        <v>13.848242300596483700208548166</v>
      </c>
      <c r="M17" s="370">
        <v>283.34090909090909090909090909</v>
      </c>
      <c r="N17" s="172">
        <v>250.57848837209302325581395349</v>
      </c>
      <c r="O17" s="371">
        <v>216.23542904806589510999895736</v>
      </c>
      <c r="P17" s="4"/>
      <c r="Q17" s="327">
        <v>-0.8019911504550187116118261700</v>
      </c>
      <c r="R17" s="171">
        <v>-17.248582498136803782340207320</v>
      </c>
      <c r="S17" s="328">
        <v>-7.1449335130798358902718252700</v>
      </c>
      <c r="T17" s="327">
        <v>-44.170413771192032407565646900</v>
      </c>
      <c r="U17" s="171">
        <v>3029.4658847316445137305409577</v>
      </c>
      <c r="V17" s="328">
        <v>-10.509863668396168681956858280</v>
      </c>
      <c r="W17" s="327">
        <v>0</v>
      </c>
      <c r="X17" s="171">
        <v>0</v>
      </c>
      <c r="Y17" s="328">
        <v>19.334671228825166308687491540</v>
      </c>
      <c r="Z17" s="327">
        <v>-20.976568277370827743521086090</v>
      </c>
      <c r="AA17" s="171">
        <v>-11.026266418611184210614581800</v>
      </c>
      <c r="AB17" s="328">
        <v>-6.7275109875757559529966191900</v>
      </c>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row>
    <row r="18" ht="15.6" customHeight="1">
      <c r="A18" s="92"/>
      <c r="B18" s="346">
        <v>5</v>
      </c>
      <c r="C18" s="347" t="s">
        <v>47</v>
      </c>
      <c r="D18" s="378">
        <v>123.35606060606060606060606061</v>
      </c>
      <c r="E18" s="173">
        <v>134.5</v>
      </c>
      <c r="F18" s="379">
        <v>93.05056528922706787310713393</v>
      </c>
      <c r="G18" s="378">
        <v>0</v>
      </c>
      <c r="H18" s="173">
        <v>23.523255813953488372093023256</v>
      </c>
      <c r="I18" s="379">
        <v>39.732314652579118072770280111</v>
      </c>
      <c r="J18" s="378">
        <v>0</v>
      </c>
      <c r="K18" s="173">
        <v>0</v>
      </c>
      <c r="L18" s="379">
        <v>10.14611599188164639694398102</v>
      </c>
      <c r="M18" s="378">
        <v>123.35606060606060606060606061</v>
      </c>
      <c r="N18" s="173">
        <v>158.02325581395348837209302326</v>
      </c>
      <c r="O18" s="379">
        <v>142.92899593368783234282139506</v>
      </c>
      <c r="P18" s="4"/>
      <c r="Q18" s="359">
        <v>-10.606642876734226805226766370</v>
      </c>
      <c r="R18" s="170">
        <v>-25.485739944301719734859360920</v>
      </c>
      <c r="S18" s="360">
        <v>-11.707887430946107994092906140</v>
      </c>
      <c r="T18" s="359">
        <v>0</v>
      </c>
      <c r="U18" s="170">
        <v>0</v>
      </c>
      <c r="V18" s="360">
        <v>-13.143681171415708818025840140</v>
      </c>
      <c r="W18" s="359">
        <v>0</v>
      </c>
      <c r="X18" s="170">
        <v>0</v>
      </c>
      <c r="Y18" s="360">
        <v>12.189332432341364010204499850</v>
      </c>
      <c r="Z18" s="359">
        <v>-10.606642876734226805226766370</v>
      </c>
      <c r="AA18" s="170">
        <v>-12.453635847070145344232619940</v>
      </c>
      <c r="AB18" s="360">
        <v>-10.768681830547460904920805670</v>
      </c>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row>
    <row r="19" ht="15.6" customHeight="1">
      <c r="A19" s="92"/>
      <c r="B19" s="344">
        <v>6</v>
      </c>
      <c r="C19" s="345" t="s">
        <v>48</v>
      </c>
      <c r="D19" s="370">
        <v>89.17424242424242424242424242</v>
      </c>
      <c r="E19" s="172">
        <v>114.90697674418604651162790698</v>
      </c>
      <c r="F19" s="371">
        <v>91.25026749668811000570701483</v>
      </c>
      <c r="G19" s="370">
        <v>0</v>
      </c>
      <c r="H19" s="172">
        <v>73.412790697674418604651162791</v>
      </c>
      <c r="I19" s="371">
        <v>35.310147742176975847988007712</v>
      </c>
      <c r="J19" s="370">
        <v>0</v>
      </c>
      <c r="K19" s="172">
        <v>0</v>
      </c>
      <c r="L19" s="371">
        <v>11.373585386721401478178608998</v>
      </c>
      <c r="M19" s="370">
        <v>89.17424242424242424242424242</v>
      </c>
      <c r="N19" s="172">
        <v>188.31976744186046511627906977</v>
      </c>
      <c r="O19" s="371">
        <v>137.93400062558648733187363153</v>
      </c>
      <c r="P19" s="4"/>
      <c r="Q19" s="327">
        <v>-42.358356593685625098651491790</v>
      </c>
      <c r="R19" s="171">
        <v>-22.688039733738887013580689610</v>
      </c>
      <c r="S19" s="328">
        <v>-16.449229123794272086769483510</v>
      </c>
      <c r="T19" s="327">
        <v>-100</v>
      </c>
      <c r="U19" s="171">
        <v>0</v>
      </c>
      <c r="V19" s="328">
        <v>-28.538605184255225037969385810</v>
      </c>
      <c r="W19" s="327">
        <v>0</v>
      </c>
      <c r="X19" s="171">
        <v>0</v>
      </c>
      <c r="Y19" s="328">
        <v>28.272190311635899284073876290</v>
      </c>
      <c r="Z19" s="327">
        <v>-45.818181818170844649021861990</v>
      </c>
      <c r="AA19" s="171">
        <v>26.705712658594601838853869810</v>
      </c>
      <c r="AB19" s="328">
        <v>-17.648201360369589279459656310</v>
      </c>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row>
    <row r="20" ht="15.6" customHeight="1">
      <c r="A20" s="92"/>
      <c r="B20" s="346">
        <v>7</v>
      </c>
      <c r="C20" s="347" t="s">
        <v>50</v>
      </c>
      <c r="D20" s="378">
        <v>124.84848484848484848484848485</v>
      </c>
      <c r="E20" s="173">
        <v>123.84593023255813953488372093</v>
      </c>
      <c r="F20" s="379">
        <v>105.49707796438322702882589446</v>
      </c>
      <c r="G20" s="378">
        <v>28.575757575757575757575757576</v>
      </c>
      <c r="H20" s="173">
        <v>104.45058139534883720930232558</v>
      </c>
      <c r="I20" s="379">
        <v>35.421205460498390014578751654</v>
      </c>
      <c r="J20" s="378">
        <v>0</v>
      </c>
      <c r="K20" s="173">
        <v>0</v>
      </c>
      <c r="L20" s="379">
        <v>11.031356862888167129257224396</v>
      </c>
      <c r="M20" s="378">
        <v>153.42424242424242424242424242</v>
      </c>
      <c r="N20" s="173">
        <v>228.29651162790697674418604651</v>
      </c>
      <c r="O20" s="379">
        <v>151.9496402877697841726618705</v>
      </c>
      <c r="P20" s="4"/>
      <c r="Q20" s="359">
        <v>-19.060949855115171160552035750</v>
      </c>
      <c r="R20" s="170">
        <v>-23.043601945386342699445967930</v>
      </c>
      <c r="S20" s="360">
        <v>-7.2218036423256350296026614200</v>
      </c>
      <c r="T20" s="359">
        <v>4.1701187517950865189186159100</v>
      </c>
      <c r="U20" s="170">
        <v>2190.1626476952143374744980614</v>
      </c>
      <c r="V20" s="360">
        <v>-28.704560406265792248341108880</v>
      </c>
      <c r="W20" s="359">
        <v>0</v>
      </c>
      <c r="X20" s="170">
        <v>0</v>
      </c>
      <c r="Y20" s="360">
        <v>42.610266515030846767903189460</v>
      </c>
      <c r="Z20" s="359">
        <v>-15.553331665407277457926652390</v>
      </c>
      <c r="AA20" s="170">
        <v>37.951150698725019541350452160</v>
      </c>
      <c r="AB20" s="360">
        <v>-11.206256959020344157826096150</v>
      </c>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row>
    <row r="21" ht="15.6" customHeight="1">
      <c r="A21" s="92"/>
      <c r="B21" s="344">
        <v>8</v>
      </c>
      <c r="C21" s="345" t="s">
        <v>51</v>
      </c>
      <c r="D21" s="370">
        <v>148.98484848484848484848484848</v>
      </c>
      <c r="E21" s="172">
        <v>140.80232558139534883720930233</v>
      </c>
      <c r="F21" s="371">
        <v>139.4799781311516103472950414</v>
      </c>
      <c r="G21" s="370">
        <v>29.492424242424242424242424242</v>
      </c>
      <c r="H21" s="172">
        <v>81.54651162790697674418604651</v>
      </c>
      <c r="I21" s="371">
        <v>26.621343032994391027490229068</v>
      </c>
      <c r="J21" s="370">
        <v>0</v>
      </c>
      <c r="K21" s="172">
        <v>0</v>
      </c>
      <c r="L21" s="371">
        <v>11.328978074723772371435144502</v>
      </c>
      <c r="M21" s="370">
        <v>178.47727272727272727272727273</v>
      </c>
      <c r="N21" s="172">
        <v>222.34883720930232558139534884</v>
      </c>
      <c r="O21" s="371">
        <v>177.43029923886977374622041497</v>
      </c>
      <c r="P21" s="4"/>
      <c r="Q21" s="327">
        <v>0.2651167533455857112319779100</v>
      </c>
      <c r="R21" s="171">
        <v>-23.762081028611644976855683320</v>
      </c>
      <c r="S21" s="328">
        <v>7.9134386195221202026307383400</v>
      </c>
      <c r="T21" s="327">
        <v>16.661672160637298372449581930</v>
      </c>
      <c r="U21" s="171">
        <v>1687.9570436239357777137344891</v>
      </c>
      <c r="V21" s="328">
        <v>-8.778883650892762458142384120</v>
      </c>
      <c r="W21" s="327">
        <v>0</v>
      </c>
      <c r="X21" s="171">
        <v>0</v>
      </c>
      <c r="Y21" s="328">
        <v>48.911034356387818116103335830</v>
      </c>
      <c r="Z21" s="327">
        <v>2.6491220426196783841779526600</v>
      </c>
      <c r="AA21" s="171">
        <v>17.490144801403647001301675720</v>
      </c>
      <c r="AB21" s="328">
        <v>6.8580951107555178857711238500</v>
      </c>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row>
    <row r="22" ht="15.6" customHeight="1">
      <c r="A22" s="92"/>
      <c r="B22" s="346">
        <v>9</v>
      </c>
      <c r="C22" s="347" t="s">
        <v>52</v>
      </c>
      <c r="D22" s="378">
        <v>181.51515151515151515151515152</v>
      </c>
      <c r="E22" s="173">
        <v>190.4563953488372093023255814</v>
      </c>
      <c r="F22" s="379">
        <v>153.86516356807570118355962128</v>
      </c>
      <c r="G22" s="378">
        <v>39.128787878787878787878787879</v>
      </c>
      <c r="H22" s="173">
        <v>8.561046511627906976744186047</v>
      </c>
      <c r="I22" s="379">
        <v>13.59978155794853550984791616</v>
      </c>
      <c r="J22" s="378">
        <v>0</v>
      </c>
      <c r="K22" s="173">
        <v>0</v>
      </c>
      <c r="L22" s="379">
        <v>11.313075935387503479671390731</v>
      </c>
      <c r="M22" s="378">
        <v>220.64393939393939393939393939</v>
      </c>
      <c r="N22" s="173">
        <v>199.01744186046511627906976744</v>
      </c>
      <c r="O22" s="379">
        <v>178.77802106141174017307892816</v>
      </c>
      <c r="P22" s="4"/>
      <c r="Q22" s="359">
        <v>-18.018202969961622464806543690</v>
      </c>
      <c r="R22" s="170">
        <v>-22.788868596372680977819699340</v>
      </c>
      <c r="S22" s="360">
        <v>-3.7109600876185630853517764100</v>
      </c>
      <c r="T22" s="359">
        <v>-23.797580407222249164825251620</v>
      </c>
      <c r="U22" s="170">
        <v>157.50851085196914041413919580</v>
      </c>
      <c r="V22" s="360">
        <v>-19.379725350219364184303316830</v>
      </c>
      <c r="W22" s="359">
        <v>0</v>
      </c>
      <c r="X22" s="170">
        <v>0</v>
      </c>
      <c r="Y22" s="360">
        <v>16.654299602506428244145111310</v>
      </c>
      <c r="Z22" s="359">
        <v>-19.106210421071515946190772450</v>
      </c>
      <c r="AA22" s="170">
        <v>-20.391168883048236229913415740</v>
      </c>
      <c r="AB22" s="360">
        <v>-4.0694779780098420630609922800</v>
      </c>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row>
    <row r="23" ht="15.6" customHeight="1">
      <c r="A23" s="92"/>
      <c r="B23" s="344">
        <v>10</v>
      </c>
      <c r="C23" s="345" t="s">
        <v>53</v>
      </c>
      <c r="D23" s="370">
        <v>186.31818181818181818181818182</v>
      </c>
      <c r="E23" s="172">
        <v>191.38953488372093023255813953</v>
      </c>
      <c r="F23" s="371">
        <v>148.48876583993888062565971698</v>
      </c>
      <c r="G23" s="370">
        <v>38.689393939393939393939393939</v>
      </c>
      <c r="H23" s="172">
        <v>4.3517441860465116279069767442</v>
      </c>
      <c r="I23" s="371">
        <v>10.871255210766733244570429754</v>
      </c>
      <c r="J23" s="370">
        <v>0</v>
      </c>
      <c r="K23" s="172">
        <v>0</v>
      </c>
      <c r="L23" s="371">
        <v>12.629761036667965527121537132</v>
      </c>
      <c r="M23" s="370">
        <v>225.00757575757575757575757576</v>
      </c>
      <c r="N23" s="172">
        <v>195.74127906976744186046511628</v>
      </c>
      <c r="O23" s="371">
        <v>171.98978208737357939735168387</v>
      </c>
      <c r="P23" s="4"/>
      <c r="Q23" s="327">
        <v>-4.9801027701418657980986989200</v>
      </c>
      <c r="R23" s="171">
        <v>-20.534001412550907344280711110</v>
      </c>
      <c r="S23" s="328">
        <v>-1.6127118572907976736037587800</v>
      </c>
      <c r="T23" s="327">
        <v>28.769541099149617436562053020</v>
      </c>
      <c r="U23" s="171">
        <v>205.42431307467876931756269862</v>
      </c>
      <c r="V23" s="328">
        <v>-30.134893857468505839296058750</v>
      </c>
      <c r="W23" s="327">
        <v>0</v>
      </c>
      <c r="X23" s="171">
        <v>0</v>
      </c>
      <c r="Y23" s="328">
        <v>35.411537219174844162752277510</v>
      </c>
      <c r="Z23" s="327">
        <v>-0.4958290060021845513615329300</v>
      </c>
      <c r="AA23" s="171">
        <v>-19.205109826911923347741837300</v>
      </c>
      <c r="AB23" s="328">
        <v>-2.1729300556385082744836692600</v>
      </c>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row>
    <row r="24" ht="15.6" customHeight="1">
      <c r="A24" s="92"/>
      <c r="B24" s="346">
        <v>11</v>
      </c>
      <c r="C24" s="347" t="s">
        <v>49</v>
      </c>
      <c r="D24" s="378">
        <v>94.45454545454545454545454545</v>
      </c>
      <c r="E24" s="173">
        <v>129.69476744186046511627906977</v>
      </c>
      <c r="F24" s="379">
        <v>77.896279628045106962828178144</v>
      </c>
      <c r="G24" s="378">
        <v>2.2196969696969696969696969697</v>
      </c>
      <c r="H24" s="173">
        <v>0</v>
      </c>
      <c r="I24" s="379">
        <v>11.650120747107890479177804484</v>
      </c>
      <c r="J24" s="378">
        <v>0</v>
      </c>
      <c r="K24" s="173">
        <v>0</v>
      </c>
      <c r="L24" s="379">
        <v>11.579342508800709157931458726</v>
      </c>
      <c r="M24" s="378">
        <v>96.67424242424242424242424242</v>
      </c>
      <c r="N24" s="173">
        <v>129.69476744186046511627906977</v>
      </c>
      <c r="O24" s="379">
        <v>101.12574288395370659993744135</v>
      </c>
      <c r="P24" s="4"/>
      <c r="Q24" s="359">
        <v>-27.738495421339843965873406260</v>
      </c>
      <c r="R24" s="170">
        <v>-16.689920417006559413489833680</v>
      </c>
      <c r="S24" s="360">
        <v>-11.655885695107062040090068400</v>
      </c>
      <c r="T24" s="359">
        <v>0</v>
      </c>
      <c r="U24" s="170">
        <v>-100</v>
      </c>
      <c r="V24" s="360">
        <v>-24.218361954635522175959891980</v>
      </c>
      <c r="W24" s="359">
        <v>0</v>
      </c>
      <c r="X24" s="170">
        <v>0</v>
      </c>
      <c r="Y24" s="360">
        <v>20.303413967047251890936654640</v>
      </c>
      <c r="Z24" s="359">
        <v>-26.040338472226319285251085760</v>
      </c>
      <c r="AA24" s="170">
        <v>-16.943308963757680099871438060</v>
      </c>
      <c r="AB24" s="360">
        <v>-10.644280090254273576497679370</v>
      </c>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row>
    <row r="25" ht="15.6" customHeight="1">
      <c r="A25" s="92"/>
      <c r="B25" s="344">
        <v>12</v>
      </c>
      <c r="C25" s="345" t="s">
        <v>47</v>
      </c>
      <c r="D25" s="370">
        <v>80.35606060606060606060606061</v>
      </c>
      <c r="E25" s="172">
        <v>109.18604651162790697674418605</v>
      </c>
      <c r="F25" s="371">
        <v>79.97164066836583935065754943</v>
      </c>
      <c r="G25" s="370">
        <v>14.083333333333333333333333333</v>
      </c>
      <c r="H25" s="172">
        <v>0</v>
      </c>
      <c r="I25" s="371">
        <v>29.215423269267625276124338687</v>
      </c>
      <c r="J25" s="370">
        <v>0</v>
      </c>
      <c r="K25" s="172">
        <v>0</v>
      </c>
      <c r="L25" s="371">
        <v>10.971522236905165338810855079</v>
      </c>
      <c r="M25" s="370">
        <v>94.43939393939393939393939394</v>
      </c>
      <c r="N25" s="172">
        <v>109.18604651162790697674418605</v>
      </c>
      <c r="O25" s="371">
        <v>120.1585861745386299655927432</v>
      </c>
      <c r="P25" s="4"/>
      <c r="Q25" s="327">
        <v>-34.342308882718363164182169720</v>
      </c>
      <c r="R25" s="171">
        <v>-15.502039285595049591578413420</v>
      </c>
      <c r="S25" s="328">
        <v>-8.558885465510543655969847310</v>
      </c>
      <c r="T25" s="327">
        <v>0</v>
      </c>
      <c r="U25" s="171">
        <v>0</v>
      </c>
      <c r="V25" s="328">
        <v>5.696651218201417255205075900</v>
      </c>
      <c r="W25" s="327">
        <v>0</v>
      </c>
      <c r="X25" s="171">
        <v>0</v>
      </c>
      <c r="Y25" s="328">
        <v>16.524782081086674767354557200</v>
      </c>
      <c r="Z25" s="327">
        <v>-22.835035592718687207004329950</v>
      </c>
      <c r="AA25" s="171">
        <v>-15.502039285595049591578413420</v>
      </c>
      <c r="AB25" s="328">
        <v>-3.4974803577480574960295121300</v>
      </c>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row>
    <row r="26" ht="15.6" customHeight="1">
      <c r="A26" s="92"/>
      <c r="B26" s="346">
        <v>13</v>
      </c>
      <c r="C26" s="347" t="s">
        <v>48</v>
      </c>
      <c r="D26" s="378">
        <v>96.90151515151515151515151515</v>
      </c>
      <c r="E26" s="173">
        <v>110.5813953488372093023255814</v>
      </c>
      <c r="F26" s="379">
        <v>90.59373618838183012887214053</v>
      </c>
      <c r="G26" s="378">
        <v>14.083333333333333333333333333</v>
      </c>
      <c r="H26" s="173">
        <v>2.7645348837209302325581395349</v>
      </c>
      <c r="I26" s="379">
        <v>36.631475274316674430060545716</v>
      </c>
      <c r="J26" s="378">
        <v>0</v>
      </c>
      <c r="K26" s="173">
        <v>0</v>
      </c>
      <c r="L26" s="379">
        <v>8.777290883250822935593431996</v>
      </c>
      <c r="M26" s="378">
        <v>110.98484848484848484848484848</v>
      </c>
      <c r="N26" s="173">
        <v>113.34593023255813953488372093</v>
      </c>
      <c r="O26" s="379">
        <v>136.00250234594932749452611824</v>
      </c>
      <c r="P26" s="4"/>
      <c r="Q26" s="359">
        <v>-23.001444738752347526518329840</v>
      </c>
      <c r="R26" s="170">
        <v>-14.533670798229454458561680340</v>
      </c>
      <c r="S26" s="360">
        <v>-7.5622807847893757553814919100</v>
      </c>
      <c r="T26" s="359">
        <v>0</v>
      </c>
      <c r="U26" s="170">
        <v>0</v>
      </c>
      <c r="V26" s="360">
        <v>1.2618339853655068891696089600</v>
      </c>
      <c r="W26" s="359">
        <v>0</v>
      </c>
      <c r="X26" s="170">
        <v>0</v>
      </c>
      <c r="Y26" s="360">
        <v>-4.7767801033501563730100865800</v>
      </c>
      <c r="Z26" s="359">
        <v>-11.810739224667492085332931920</v>
      </c>
      <c r="AA26" s="170">
        <v>-12.397012568185190820025722350</v>
      </c>
      <c r="AB26" s="360">
        <v>-5.1571663656474051223065020500</v>
      </c>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row>
    <row r="27" ht="15.6" customHeight="1">
      <c r="A27" s="92"/>
      <c r="B27" s="344">
        <v>14</v>
      </c>
      <c r="C27" s="345" t="s">
        <v>50</v>
      </c>
      <c r="D27" s="370">
        <v>94.71212121212121212121212121</v>
      </c>
      <c r="E27" s="172">
        <v>117.76162790697674418604651163</v>
      </c>
      <c r="F27" s="371">
        <v>93.50611436608598334297053513</v>
      </c>
      <c r="G27" s="370">
        <v>14.083333333333333333333333333</v>
      </c>
      <c r="H27" s="172">
        <v>3.1686046511627906976744186047</v>
      </c>
      <c r="I27" s="371">
        <v>48.21666853636793400073540042</v>
      </c>
      <c r="J27" s="370">
        <v>0</v>
      </c>
      <c r="K27" s="172">
        <v>0</v>
      </c>
      <c r="L27" s="371">
        <v>11.103095525238711162185003871</v>
      </c>
      <c r="M27" s="370">
        <v>108.79545454545454545454545455</v>
      </c>
      <c r="N27" s="172">
        <v>120.93023255813953488372093023</v>
      </c>
      <c r="O27" s="371">
        <v>152.82587842769262850589093942</v>
      </c>
      <c r="P27" s="4"/>
      <c r="Q27" s="327">
        <v>-26.333156561203040505818933050</v>
      </c>
      <c r="R27" s="171">
        <v>-9.199257848991106542154606290</v>
      </c>
      <c r="S27" s="328">
        <v>-8.172721946123898917288563270</v>
      </c>
      <c r="T27" s="327">
        <v>0</v>
      </c>
      <c r="U27" s="171">
        <v>0</v>
      </c>
      <c r="V27" s="328">
        <v>25.855862951152973548206354640</v>
      </c>
      <c r="W27" s="327">
        <v>0</v>
      </c>
      <c r="X27" s="171">
        <v>0</v>
      </c>
      <c r="Y27" s="328">
        <v>13.253590025554367648573095410</v>
      </c>
      <c r="Z27" s="327">
        <v>-15.379176241836255375465181360</v>
      </c>
      <c r="AA27" s="171">
        <v>-6.7560880404352019786134688200</v>
      </c>
      <c r="AB27" s="328">
        <v>1.9226329089460669425930896600</v>
      </c>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row>
    <row r="28" ht="15.6" customHeight="1">
      <c r="A28" s="92"/>
      <c r="B28" s="346">
        <v>15</v>
      </c>
      <c r="C28" s="347" t="s">
        <v>51</v>
      </c>
      <c r="D28" s="378">
        <v>122.47727272727272727272727273</v>
      </c>
      <c r="E28" s="173">
        <v>145.250000000000000000000000</v>
      </c>
      <c r="F28" s="379">
        <v>107.851813425948113330114814</v>
      </c>
      <c r="G28" s="378">
        <v>14.083333333333333333333333333</v>
      </c>
      <c r="H28" s="173">
        <v>2.0203488372093023255813953488</v>
      </c>
      <c r="I28" s="379">
        <v>40.42784170435134660358995541</v>
      </c>
      <c r="J28" s="378">
        <v>0</v>
      </c>
      <c r="K28" s="173">
        <v>0</v>
      </c>
      <c r="L28" s="379">
        <v>11.984759425012811987888390848</v>
      </c>
      <c r="M28" s="378">
        <v>136.56060606060606060606060606</v>
      </c>
      <c r="N28" s="173">
        <v>147.27034883720930232558139535</v>
      </c>
      <c r="O28" s="379">
        <v>160.26441455531227192159316025</v>
      </c>
      <c r="P28" s="4"/>
      <c r="Q28" s="359">
        <v>-19.430878102288230956849663870</v>
      </c>
      <c r="R28" s="170">
        <v>-19.021033993627532374822537020</v>
      </c>
      <c r="S28" s="360">
        <v>-6.2412661253418543978335219100</v>
      </c>
      <c r="T28" s="359">
        <v>0</v>
      </c>
      <c r="U28" s="170">
        <v>0</v>
      </c>
      <c r="V28" s="360">
        <v>15.485215313712714894309019150</v>
      </c>
      <c r="W28" s="359">
        <v>0</v>
      </c>
      <c r="X28" s="170">
        <v>0</v>
      </c>
      <c r="Y28" s="360">
        <v>35.940906964128043038834758450</v>
      </c>
      <c r="Z28" s="359">
        <v>-10.166450712676912923125628810</v>
      </c>
      <c r="AA28" s="170">
        <v>-17.894660432117127999857594130</v>
      </c>
      <c r="AB28" s="360">
        <v>0.887669606700246792140869300</v>
      </c>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row>
    <row r="29" ht="15.6" customHeight="1">
      <c r="A29" s="92"/>
      <c r="B29" s="344">
        <v>16</v>
      </c>
      <c r="C29" s="345" t="s">
        <v>52</v>
      </c>
      <c r="D29" s="370">
        <v>224.74242424242424242424242424</v>
      </c>
      <c r="E29" s="172">
        <v>230.39534883720930232558139535</v>
      </c>
      <c r="F29" s="371">
        <v>150.72272455262713344793516527</v>
      </c>
      <c r="G29" s="370">
        <v>0</v>
      </c>
      <c r="H29" s="172">
        <v>0</v>
      </c>
      <c r="I29" s="371">
        <v>36.047123479756302099121180693</v>
      </c>
      <c r="J29" s="370">
        <v>0</v>
      </c>
      <c r="K29" s="172">
        <v>0</v>
      </c>
      <c r="L29" s="371">
        <v>12.477467158941765161941673003</v>
      </c>
      <c r="M29" s="370">
        <v>224.74242424242424242424242424</v>
      </c>
      <c r="N29" s="172">
        <v>230.39534883720930232558139535</v>
      </c>
      <c r="O29" s="371">
        <v>199.24731519132520070899801898</v>
      </c>
      <c r="P29" s="4"/>
      <c r="Q29" s="327">
        <v>3.6004889121791039348136626400</v>
      </c>
      <c r="R29" s="171">
        <v>-6.9024955355962818087792871600</v>
      </c>
      <c r="S29" s="328">
        <v>-4.0739654649850289031229046700</v>
      </c>
      <c r="T29" s="327">
        <v>0</v>
      </c>
      <c r="U29" s="171">
        <v>0</v>
      </c>
      <c r="V29" s="328">
        <v>34.958285101507261263847231480</v>
      </c>
      <c r="W29" s="327">
        <v>0</v>
      </c>
      <c r="X29" s="171">
        <v>0</v>
      </c>
      <c r="Y29" s="328">
        <v>33.117056272147233558820578640</v>
      </c>
      <c r="Z29" s="327">
        <v>3.6004889121791039348136626400</v>
      </c>
      <c r="AA29" s="171">
        <v>-6.9024955355962818087792871600</v>
      </c>
      <c r="AB29" s="328">
        <v>3.1263285172797563496026946300</v>
      </c>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row>
    <row r="30" ht="15.6" customHeight="1">
      <c r="A30" s="92"/>
      <c r="B30" s="346">
        <v>17</v>
      </c>
      <c r="C30" s="347" t="s">
        <v>53</v>
      </c>
      <c r="D30" s="378">
        <v>277.53030303030303030303030303</v>
      </c>
      <c r="E30" s="173">
        <v>262.30523255813953488372093023</v>
      </c>
      <c r="F30" s="379">
        <v>160.96226321017886104241456738</v>
      </c>
      <c r="G30" s="378">
        <v>0</v>
      </c>
      <c r="H30" s="173">
        <v>0.9854651162790697674418604651</v>
      </c>
      <c r="I30" s="379">
        <v>23.880670458583209799957068611</v>
      </c>
      <c r="J30" s="378">
        <v>0</v>
      </c>
      <c r="K30" s="173">
        <v>0</v>
      </c>
      <c r="L30" s="379">
        <v>12.188032862360856902389077178</v>
      </c>
      <c r="M30" s="378">
        <v>277.53030303030303030303030303</v>
      </c>
      <c r="N30" s="173">
        <v>263.2906976744186046511627907</v>
      </c>
      <c r="O30" s="379">
        <v>197.03096653112292774476071317</v>
      </c>
      <c r="P30" s="4"/>
      <c r="Q30" s="359">
        <v>20.940213264651699027177949020</v>
      </c>
      <c r="R30" s="170">
        <v>4.5007579386866575933137263900</v>
      </c>
      <c r="S30" s="360">
        <v>1.7734525833293394648751663900</v>
      </c>
      <c r="T30" s="359">
        <v>0</v>
      </c>
      <c r="U30" s="170">
        <v>0</v>
      </c>
      <c r="V30" s="360">
        <v>23.515664677746984441127742020</v>
      </c>
      <c r="W30" s="359">
        <v>0</v>
      </c>
      <c r="X30" s="170">
        <v>0</v>
      </c>
      <c r="Y30" s="360">
        <v>25.741703153953362774878905110</v>
      </c>
      <c r="Z30" s="359">
        <v>20.940213264651699027177949020</v>
      </c>
      <c r="AA30" s="170">
        <v>4.893361054411667034694743900</v>
      </c>
      <c r="AB30" s="360">
        <v>5.2603273966897101148509983500</v>
      </c>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row>
    <row r="31" ht="15.6" customHeight="1">
      <c r="A31" s="92"/>
      <c r="B31" s="344">
        <v>18</v>
      </c>
      <c r="C31" s="345" t="s">
        <v>49</v>
      </c>
      <c r="D31" s="370">
        <v>153.78030303030303030303030303</v>
      </c>
      <c r="E31" s="172">
        <v>197.36918604651162790697674419</v>
      </c>
      <c r="F31" s="371">
        <v>100.08443900562048850702224377</v>
      </c>
      <c r="G31" s="370">
        <v>19.5</v>
      </c>
      <c r="H31" s="172">
        <v>0.9854651162790697674418604651</v>
      </c>
      <c r="I31" s="371">
        <v>25.154179622797668347140990592</v>
      </c>
      <c r="J31" s="370">
        <v>0</v>
      </c>
      <c r="K31" s="172">
        <v>0</v>
      </c>
      <c r="L31" s="371">
        <v>11.48601905274126343569183811</v>
      </c>
      <c r="M31" s="370">
        <v>173.28030303030303030303030303</v>
      </c>
      <c r="N31" s="172">
        <v>198.35465116279069767441860465</v>
      </c>
      <c r="O31" s="371">
        <v>136.72463768115942028985507246</v>
      </c>
      <c r="P31" s="4"/>
      <c r="Q31" s="327">
        <v>-1.2982592628418357015001151100</v>
      </c>
      <c r="R31" s="171">
        <v>13.702208899222485989031617510</v>
      </c>
      <c r="S31" s="328">
        <v>0.9002889151585558239699706100</v>
      </c>
      <c r="T31" s="327">
        <v>0</v>
      </c>
      <c r="U31" s="171">
        <v>0</v>
      </c>
      <c r="V31" s="328">
        <v>50.621355174755426910511484450</v>
      </c>
      <c r="W31" s="327">
        <v>0</v>
      </c>
      <c r="X31" s="171">
        <v>0</v>
      </c>
      <c r="Y31" s="328">
        <v>34.363838986502500179641360190</v>
      </c>
      <c r="Z31" s="327">
        <v>11.217543518450105522419225930</v>
      </c>
      <c r="AA31" s="171">
        <v>14.269924472045763443192921260</v>
      </c>
      <c r="AB31" s="328">
        <v>9.871804779823069288178691250</v>
      </c>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row>
    <row r="32" ht="15.6" customHeight="1">
      <c r="A32" s="92"/>
      <c r="B32" s="346">
        <v>19</v>
      </c>
      <c r="C32" s="347" t="s">
        <v>47</v>
      </c>
      <c r="D32" s="378">
        <v>139.21969696969696969696969697</v>
      </c>
      <c r="E32" s="173">
        <v>214.15498154981549815498154981</v>
      </c>
      <c r="F32" s="379">
        <v>95.55409730396701914293038199</v>
      </c>
      <c r="G32" s="378">
        <v>35.825757575757575757575757576</v>
      </c>
      <c r="H32" s="173">
        <v>11.258302583025830258302583026</v>
      </c>
      <c r="I32" s="379">
        <v>30.165660665886817566703335781</v>
      </c>
      <c r="J32" s="378">
        <v>0</v>
      </c>
      <c r="K32" s="173">
        <v>0</v>
      </c>
      <c r="L32" s="379">
        <v>11.159503838091111679481077344</v>
      </c>
      <c r="M32" s="378">
        <v>175.04545454545454545454545455</v>
      </c>
      <c r="N32" s="173">
        <v>225.41328413284132841328413284</v>
      </c>
      <c r="O32" s="379">
        <v>136.87926180794494838911479512</v>
      </c>
      <c r="P32" s="4"/>
      <c r="Q32" s="359">
        <v>5.2821541106086396898486333600</v>
      </c>
      <c r="R32" s="170">
        <v>15.934334717864529807872152590</v>
      </c>
      <c r="S32" s="360">
        <v>-0.4503695744916651384697493300</v>
      </c>
      <c r="T32" s="359">
        <v>0</v>
      </c>
      <c r="U32" s="170">
        <v>0</v>
      </c>
      <c r="V32" s="360">
        <v>22.241392999184458741141389660</v>
      </c>
      <c r="W32" s="359">
        <v>0</v>
      </c>
      <c r="X32" s="170">
        <v>0</v>
      </c>
      <c r="Y32" s="360">
        <v>31.630336471384452332422931870</v>
      </c>
      <c r="Z32" s="359">
        <v>32.374677742815651557579720440</v>
      </c>
      <c r="AA32" s="170">
        <v>22.029097541356925569878802560</v>
      </c>
      <c r="AB32" s="360">
        <v>5.9917525573285483037857343900</v>
      </c>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row>
    <row r="33" ht="15.6" customHeight="1">
      <c r="A33" s="92"/>
      <c r="B33" s="344">
        <v>20</v>
      </c>
      <c r="C33" s="345" t="s">
        <v>48</v>
      </c>
      <c r="D33" s="370">
        <v>118.68939393939393939393939394</v>
      </c>
      <c r="E33" s="172">
        <v>166.85608856088560885608856088</v>
      </c>
      <c r="F33" s="371">
        <v>94.22061516872438204774070592</v>
      </c>
      <c r="G33" s="370">
        <v>62.295454545454545454545454545</v>
      </c>
      <c r="H33" s="172">
        <v>18.763837638376383763837638376</v>
      </c>
      <c r="I33" s="371">
        <v>34.05959132713619727275208784</v>
      </c>
      <c r="J33" s="370">
        <v>0</v>
      </c>
      <c r="K33" s="172">
        <v>0</v>
      </c>
      <c r="L33" s="371">
        <v>10.464658481722571550115067776</v>
      </c>
      <c r="M33" s="370">
        <v>180.98484848484848484848484848</v>
      </c>
      <c r="N33" s="172">
        <v>185.61992619926199261992619926</v>
      </c>
      <c r="O33" s="371">
        <v>138.74486497758315087060786154</v>
      </c>
      <c r="P33" s="4"/>
      <c r="Q33" s="327">
        <v>12.091292838195747427514964610</v>
      </c>
      <c r="R33" s="171">
        <v>5.019658704492633171981127500</v>
      </c>
      <c r="S33" s="328">
        <v>-2.9481605036489110732961903700</v>
      </c>
      <c r="T33" s="327">
        <v>0</v>
      </c>
      <c r="U33" s="171">
        <v>267.79260100628620119208851245</v>
      </c>
      <c r="V33" s="328">
        <v>19.827185363680436102224378600</v>
      </c>
      <c r="W33" s="327">
        <v>0</v>
      </c>
      <c r="X33" s="171">
        <v>0</v>
      </c>
      <c r="Y33" s="328">
        <v>13.943992453774382933419620230</v>
      </c>
      <c r="Z33" s="327">
        <v>70.923660299004047108146582280</v>
      </c>
      <c r="AA33" s="171">
        <v>13.194920426448695003910275460</v>
      </c>
      <c r="AB33" s="328">
        <v>3.0099547371032174883433627900</v>
      </c>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row>
    <row r="34" ht="15.6" customHeight="1">
      <c r="A34" s="92"/>
      <c r="B34" s="346">
        <v>21</v>
      </c>
      <c r="C34" s="347" t="s">
        <v>50</v>
      </c>
      <c r="D34" s="378">
        <v>111.95454545454545454545454545</v>
      </c>
      <c r="E34" s="173">
        <v>122.05166051660516605166051661</v>
      </c>
      <c r="F34" s="379">
        <v>93.11129403496600100458323171</v>
      </c>
      <c r="G34" s="378">
        <v>63.325757575757575757575757576</v>
      </c>
      <c r="H34" s="173">
        <v>17.512915129151291512915129152</v>
      </c>
      <c r="I34" s="379">
        <v>31.057969331237476895607985798</v>
      </c>
      <c r="J34" s="378">
        <v>0</v>
      </c>
      <c r="K34" s="173">
        <v>0</v>
      </c>
      <c r="L34" s="379">
        <v>10.343091966921326604031491283</v>
      </c>
      <c r="M34" s="378">
        <v>175.28030303030303030303030303</v>
      </c>
      <c r="N34" s="173">
        <v>139.56457564575645756457564576</v>
      </c>
      <c r="O34" s="379">
        <v>134.51235533312480450422270879</v>
      </c>
      <c r="P34" s="4"/>
      <c r="Q34" s="359">
        <v>-14.809477143043456407480867520</v>
      </c>
      <c r="R34" s="170">
        <v>-3.6603767290724661711819171900</v>
      </c>
      <c r="S34" s="360">
        <v>-3.1004720363205985333613131900</v>
      </c>
      <c r="T34" s="359">
        <v>0</v>
      </c>
      <c r="U34" s="170">
        <v>-11.690958598074643246229098890</v>
      </c>
      <c r="V34" s="360">
        <v>30.970678612406805463768869310</v>
      </c>
      <c r="W34" s="359">
        <v>0</v>
      </c>
      <c r="X34" s="170">
        <v>0</v>
      </c>
      <c r="Y34" s="360">
        <v>5.3891799236404356569067032700</v>
      </c>
      <c r="Z34" s="359">
        <v>33.377529255745266551638595770</v>
      </c>
      <c r="AA34" s="170">
        <v>-4.7473086480104964221627962500</v>
      </c>
      <c r="AB34" s="360">
        <v>3.7756449525971233808423279700</v>
      </c>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row>
    <row r="35" ht="15.6" customHeight="1">
      <c r="A35" s="92"/>
      <c r="B35" s="344">
        <v>22</v>
      </c>
      <c r="C35" s="345" t="s">
        <v>51</v>
      </c>
      <c r="D35" s="370">
        <v>125.95454545454545454545454545</v>
      </c>
      <c r="E35" s="172">
        <v>163.31365313653136531365313653</v>
      </c>
      <c r="F35" s="371">
        <v>99.43757573712946544724021679</v>
      </c>
      <c r="G35" s="370">
        <v>53.515151515151515151515151515</v>
      </c>
      <c r="H35" s="172">
        <v>10.007380073800738007380073801</v>
      </c>
      <c r="I35" s="371">
        <v>30.424464977354018472574426223</v>
      </c>
      <c r="J35" s="370">
        <v>0</v>
      </c>
      <c r="K35" s="172">
        <v>0</v>
      </c>
      <c r="L35" s="371">
        <v>11.49120712202991405745571462</v>
      </c>
      <c r="M35" s="370">
        <v>179.46969696969696969696969697</v>
      </c>
      <c r="N35" s="172">
        <v>173.32103321033210332103321033</v>
      </c>
      <c r="O35" s="371">
        <v>141.35324783651339797727035763</v>
      </c>
      <c r="P35" s="4"/>
      <c r="Q35" s="327">
        <v>-11.690657035116656660580220610</v>
      </c>
      <c r="R35" s="171">
        <v>-0.6298700315416997507138343100</v>
      </c>
      <c r="S35" s="328">
        <v>-2.8007631649603938572462752800</v>
      </c>
      <c r="T35" s="327">
        <v>0</v>
      </c>
      <c r="U35" s="171">
        <v>-49.537690627471224712130913650</v>
      </c>
      <c r="V35" s="328">
        <v>26.823531018078610535547954710</v>
      </c>
      <c r="W35" s="327">
        <v>0</v>
      </c>
      <c r="X35" s="171">
        <v>0</v>
      </c>
      <c r="Y35" s="328">
        <v>28.430856478579142460276636990</v>
      </c>
      <c r="Z35" s="327">
        <v>25.829925107547600367548091770</v>
      </c>
      <c r="AA35" s="171">
        <v>-5.8959635336231546270481208300</v>
      </c>
      <c r="AB35" s="328">
        <v>4.5204273388423230732463287900</v>
      </c>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row>
    <row r="36" ht="15.6" customHeight="1">
      <c r="A36" s="92"/>
      <c r="B36" s="346">
        <v>23</v>
      </c>
      <c r="C36" s="347" t="s">
        <v>52</v>
      </c>
      <c r="D36" s="378">
        <v>176.20454545454545454545454545</v>
      </c>
      <c r="E36" s="173">
        <v>263.34686346863468634686346863</v>
      </c>
      <c r="F36" s="379">
        <v>136.34037712066951934908508359</v>
      </c>
      <c r="G36" s="378">
        <v>4.2272727272727272727272727273</v>
      </c>
      <c r="H36" s="173">
        <v>1.2509225092250922509225092251</v>
      </c>
      <c r="I36" s="379">
        <v>20.76959569658482637285418514</v>
      </c>
      <c r="J36" s="378">
        <v>0</v>
      </c>
      <c r="K36" s="173">
        <v>0</v>
      </c>
      <c r="L36" s="379">
        <v>12.66220943694229696391205022</v>
      </c>
      <c r="M36" s="378">
        <v>180.43181818181818181818181818</v>
      </c>
      <c r="N36" s="173">
        <v>264.59778597785977859778597785</v>
      </c>
      <c r="O36" s="379">
        <v>169.77218225419664268585131894</v>
      </c>
      <c r="P36" s="4"/>
      <c r="Q36" s="359">
        <v>-14.867684198979044556820163080</v>
      </c>
      <c r="R36" s="170">
        <v>-6.2890411465555018009492573400</v>
      </c>
      <c r="S36" s="360">
        <v>-8.328637877522671498209657960</v>
      </c>
      <c r="T36" s="359">
        <v>0</v>
      </c>
      <c r="U36" s="170">
        <v>-88.14879253167051780410256175</v>
      </c>
      <c r="V36" s="360">
        <v>33.041010981140667736289686350</v>
      </c>
      <c r="W36" s="359">
        <v>0</v>
      </c>
      <c r="X36" s="170">
        <v>0</v>
      </c>
      <c r="Y36" s="360">
        <v>26.931618536511800346371703460</v>
      </c>
      <c r="Z36" s="359">
        <v>-12.825299220391414257267544780</v>
      </c>
      <c r="AA36" s="170">
        <v>-9.252419317262856741447751570</v>
      </c>
      <c r="AB36" s="360">
        <v>-2.6057487746330535174026057400</v>
      </c>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row>
    <row r="37" ht="15.6" customHeight="1">
      <c r="A37" s="92"/>
      <c r="B37" s="348">
        <v>24</v>
      </c>
      <c r="C37" s="349" t="s">
        <v>53</v>
      </c>
      <c r="D37" s="380">
        <v>247.89393939393939393939393939</v>
      </c>
      <c r="E37" s="383">
        <v>362.78228782287822878228782288</v>
      </c>
      <c r="F37" s="381">
        <v>176.90932357707684741203913292</v>
      </c>
      <c r="G37" s="380">
        <v>2.1136363636363636363636363636</v>
      </c>
      <c r="H37" s="383">
        <v>1.2509225092250922509225092251</v>
      </c>
      <c r="I37" s="381">
        <v>19.388830876403938896663697962</v>
      </c>
      <c r="J37" s="380">
        <v>0</v>
      </c>
      <c r="K37" s="383">
        <v>0</v>
      </c>
      <c r="L37" s="381">
        <v>12.535126747645269368494541647</v>
      </c>
      <c r="M37" s="380">
        <v>250.00757575757575757575757576</v>
      </c>
      <c r="N37" s="383">
        <v>364.03321033210332103321033209</v>
      </c>
      <c r="O37" s="381">
        <v>208.83328120112605567719737254</v>
      </c>
      <c r="P37" s="4"/>
      <c r="Q37" s="329">
        <v>-0.176937156789529546171137100</v>
      </c>
      <c r="R37" s="330">
        <v>1.0232949989737426408383896800</v>
      </c>
      <c r="S37" s="332">
        <v>-5.5895465837597228330171396100</v>
      </c>
      <c r="T37" s="329">
        <v>0</v>
      </c>
      <c r="U37" s="330">
        <v>-83.53797462993253900075349223</v>
      </c>
      <c r="V37" s="332">
        <v>43.302407981110125794749322600</v>
      </c>
      <c r="W37" s="329">
        <v>0</v>
      </c>
      <c r="X37" s="330">
        <v>0</v>
      </c>
      <c r="Y37" s="332">
        <v>38.494197797237914531465917500</v>
      </c>
      <c r="Z37" s="329">
        <v>0.6741915802453620025306003500</v>
      </c>
      <c r="AA37" s="330">
        <v>-0.728971474346398148924954300</v>
      </c>
      <c r="AB37" s="332">
        <v>-0.5386327566065389347403530100</v>
      </c>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row>
    <row r="38" ht="21" customHeight="1">
      <c r="B38" s="54"/>
      <c r="C38"/>
      <c r="D38" s="169"/>
      <c r="E38" s="169"/>
      <c r="F38" s="169"/>
      <c r="G38" s="169"/>
      <c r="H38" s="169"/>
      <c r="I38" s="169"/>
      <c r="J38" s="169"/>
      <c r="K38" s="169"/>
      <c r="L38" s="169"/>
      <c r="M38" s="169"/>
      <c r="N38" s="169"/>
      <c r="O38" s="169"/>
      <c r="P38" s="4"/>
      <c r="Q38" s="4"/>
      <c r="R38" s="4"/>
      <c r="S38" s="4"/>
      <c r="T38" s="4"/>
      <c r="U38" s="4"/>
      <c r="V38" s="4"/>
      <c r="W38" s="4"/>
      <c r="X38" s="4"/>
      <c r="Y38" s="4"/>
      <c r="Z38" s="4"/>
      <c r="AA38" s="4"/>
      <c r="AB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row>
    <row r="39" ht="15.6" customHeight="1">
      <c r="A39" s="54"/>
      <c r="B39" s="53"/>
      <c r="C39" s="53" t="s">
        <v>14</v>
      </c>
      <c r="D39" s="374">
        <v>157.48674242424242424242424242</v>
      </c>
      <c r="E39" s="382">
        <v>205.23539595001667709995567235</v>
      </c>
      <c r="F39" s="375">
        <v>114.583752752122329515212171</v>
      </c>
      <c r="G39" s="374">
        <v>31.617424242424242424242424242</v>
      </c>
      <c r="H39" s="382">
        <v>11.036406375564718248881536958</v>
      </c>
      <c r="I39" s="375">
        <v>36.062890048425667757434035825</v>
      </c>
      <c r="J39" s="374">
        <v>0</v>
      </c>
      <c r="K39" s="382">
        <v>0</v>
      </c>
      <c r="L39" s="375">
        <v>12.297419341043077693467858446</v>
      </c>
      <c r="M39" s="374">
        <v>189.10416666666666666666666667</v>
      </c>
      <c r="N39" s="382">
        <v>216.2718023255813953488372093</v>
      </c>
      <c r="O39" s="375">
        <v>162.94406214159107496611406527</v>
      </c>
      <c r="P39" s="4"/>
      <c r="Q39" s="354">
        <v>-6.9002194455690680163314665800</v>
      </c>
      <c r="R39" s="355">
        <v>2.2755527174692810120345993400</v>
      </c>
      <c r="S39" s="356">
        <v>2.255695053145982272947260200</v>
      </c>
      <c r="T39" s="354">
        <v>-27.300439837949606194199677470</v>
      </c>
      <c r="U39" s="355">
        <v>4103.8792686965949292685254290</v>
      </c>
      <c r="V39" s="356">
        <v>6.7493683694918929421828502900</v>
      </c>
      <c r="W39" s="354">
        <v>0</v>
      </c>
      <c r="X39" s="355">
        <v>0</v>
      </c>
      <c r="Y39" s="356">
        <v>20.324603821481917153981696490</v>
      </c>
      <c r="Z39" s="354">
        <v>-11.072417816323658129120697770</v>
      </c>
      <c r="AA39" s="355">
        <v>7.6345423306532905564770289400</v>
      </c>
      <c r="AB39" s="356">
        <v>4.4117800688141873109399924100</v>
      </c>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row>
    <row r="40" ht="15.6" customHeight="1">
      <c r="A40" s="54"/>
      <c r="C40" s="53" t="s">
        <v>15</v>
      </c>
      <c r="D40" s="370">
        <v>141.36931818181818181818181818</v>
      </c>
      <c r="E40" s="172">
        <v>192.73091683243588117572939161</v>
      </c>
      <c r="F40" s="371">
        <v>104.50037812257933665783341412</v>
      </c>
      <c r="G40" s="370">
        <v>23.873106060606060606060606061</v>
      </c>
      <c r="H40" s="172">
        <v>17.306270479844218369452106713</v>
      </c>
      <c r="I40" s="371">
        <v>43.690168286364347626405974635</v>
      </c>
      <c r="J40" s="370">
        <v>0</v>
      </c>
      <c r="K40" s="172">
        <v>0</v>
      </c>
      <c r="L40" s="371">
        <v>11.328507912816299033454282392</v>
      </c>
      <c r="M40" s="370">
        <v>165.24242424242424242424242424</v>
      </c>
      <c r="N40" s="172">
        <v>210.03718731228009954518149833</v>
      </c>
      <c r="O40" s="371">
        <v>159.51905432175998331769367115</v>
      </c>
      <c r="P40" s="4"/>
      <c r="Q40" s="327">
        <v>1.7877597774238487292351696700</v>
      </c>
      <c r="R40" s="171">
        <v>18.922686759983777723358083770</v>
      </c>
      <c r="S40" s="328">
        <v>9.338030746553419394599439330</v>
      </c>
      <c r="T40" s="327">
        <v>268.02919708269893547873064414</v>
      </c>
      <c r="U40" s="171">
        <v>0</v>
      </c>
      <c r="V40" s="328">
        <v>10.460144816958773854629701840</v>
      </c>
      <c r="W40" s="327">
        <v>0</v>
      </c>
      <c r="X40" s="171">
        <v>0</v>
      </c>
      <c r="Y40" s="328">
        <v>21.822109940682311301250848550</v>
      </c>
      <c r="Z40" s="327">
        <v>13.667808799202206143910750120</v>
      </c>
      <c r="AA40" s="171">
        <v>29.601348061882884024583170030</v>
      </c>
      <c r="AB40" s="328">
        <v>10.449141442532082524744459480</v>
      </c>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row>
    <row r="41" ht="15.6" customHeight="1">
      <c r="A41" s="54"/>
      <c r="B41" s="22"/>
      <c r="C41" s="53" t="s">
        <v>16</v>
      </c>
      <c r="D41" s="378">
        <v>139.47537878787878787878787879</v>
      </c>
      <c r="E41" s="173">
        <v>169.61048869869887759314329889</v>
      </c>
      <c r="F41" s="379">
        <v>109.10750195736634767652556335</v>
      </c>
      <c r="G41" s="378">
        <v>31.321969696969696969696969697</v>
      </c>
      <c r="H41" s="173">
        <v>29.296673083674760096721971855</v>
      </c>
      <c r="I41" s="379">
        <v>47.472437492778486243248110773</v>
      </c>
      <c r="J41" s="378">
        <v>0</v>
      </c>
      <c r="K41" s="173">
        <v>0</v>
      </c>
      <c r="L41" s="379">
        <v>10.546820011850786974815002764</v>
      </c>
      <c r="M41" s="378">
        <v>170.79734848484848484848484848</v>
      </c>
      <c r="N41" s="173">
        <v>198.90716178237363768986527074</v>
      </c>
      <c r="O41" s="379">
        <v>167.12675946199562089458867688</v>
      </c>
      <c r="P41" s="4"/>
      <c r="Q41" s="359">
        <v>0.7373057562160442019335355800</v>
      </c>
      <c r="R41" s="170">
        <v>15.889685819982628542339817150</v>
      </c>
      <c r="S41" s="360">
        <v>9.198563544762416842010551570</v>
      </c>
      <c r="T41" s="359">
        <v>236.41171684318073992959686297</v>
      </c>
      <c r="U41" s="170">
        <v>2196.9927158691731468734188590</v>
      </c>
      <c r="V41" s="360">
        <v>3.4712286200129041652490287300</v>
      </c>
      <c r="W41" s="359">
        <v>0</v>
      </c>
      <c r="X41" s="170">
        <v>0</v>
      </c>
      <c r="Y41" s="360">
        <v>14.059646640707922544543568640</v>
      </c>
      <c r="Z41" s="359">
        <v>15.587028966893629480369745230</v>
      </c>
      <c r="AA41" s="170">
        <v>34.733057415793953346378261960</v>
      </c>
      <c r="AB41" s="360">
        <v>7.793665089988439886112003500</v>
      </c>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row>
    <row r="42" ht="15.6" customHeight="1">
      <c r="A42" s="54"/>
      <c r="B42" s="22"/>
      <c r="C42" s="53" t="s">
        <v>17</v>
      </c>
      <c r="D42" s="370">
        <v>133.60227272727272727272727273</v>
      </c>
      <c r="E42" s="172">
        <v>157.94871374926337630304821793</v>
      </c>
      <c r="F42" s="371">
        <v>109.67414048272965968441806301</v>
      </c>
      <c r="G42" s="370">
        <v>39.554924242424242424242424242</v>
      </c>
      <c r="H42" s="172">
        <v>35.787633650547831111351507461</v>
      </c>
      <c r="I42" s="371">
        <v>49.316402524877358289974430492</v>
      </c>
      <c r="J42" s="370">
        <v>0</v>
      </c>
      <c r="K42" s="172">
        <v>0</v>
      </c>
      <c r="L42" s="371">
        <v>10.881081431971753790804044915</v>
      </c>
      <c r="M42" s="370">
        <v>173.15719696969696969696969697</v>
      </c>
      <c r="N42" s="172">
        <v>193.73634739981120741439972539</v>
      </c>
      <c r="O42" s="371">
        <v>169.87162443957877176519653842</v>
      </c>
      <c r="P42" s="4"/>
      <c r="Q42" s="327">
        <v>-4.8439966006979786489644739900</v>
      </c>
      <c r="R42" s="171">
        <v>6.3381982949076517012887767900</v>
      </c>
      <c r="S42" s="328">
        <v>4.2302253772230312645553838200</v>
      </c>
      <c r="T42" s="327">
        <v>144.75565451752513239937417074</v>
      </c>
      <c r="U42" s="171">
        <v>486.86935078773707168226148848</v>
      </c>
      <c r="V42" s="328">
        <v>25.557789005544016917333607090</v>
      </c>
      <c r="W42" s="327">
        <v>0</v>
      </c>
      <c r="X42" s="171">
        <v>0</v>
      </c>
      <c r="Y42" s="328">
        <v>13.145947446582581256848709900</v>
      </c>
      <c r="Z42" s="327">
        <v>10.598069339264583821378975070</v>
      </c>
      <c r="AA42" s="171">
        <v>25.288349637016904979389466430</v>
      </c>
      <c r="AB42" s="328">
        <v>10.222023990850805764204685230</v>
      </c>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row>
    <row r="43" ht="15.6" customHeight="1">
      <c r="A43" s="54"/>
      <c r="B43" s="22"/>
      <c r="C43" s="53" t="s">
        <v>18</v>
      </c>
      <c r="D43" s="378">
        <v>153.31818181818181818181818182</v>
      </c>
      <c r="E43" s="173">
        <v>186.73685075096765870346239188</v>
      </c>
      <c r="F43" s="379">
        <v>126.54203338146790113790603941</v>
      </c>
      <c r="G43" s="378">
        <v>40.070075757575757575757575758</v>
      </c>
      <c r="H43" s="173">
        <v>34.84922150510373921981916652</v>
      </c>
      <c r="I43" s="379">
        <v>42.599617657278821808257494018</v>
      </c>
      <c r="J43" s="378">
        <v>0</v>
      </c>
      <c r="K43" s="173">
        <v>0</v>
      </c>
      <c r="L43" s="379">
        <v>11.931829307411133377473209348</v>
      </c>
      <c r="M43" s="378">
        <v>193.38825757575757575757575758</v>
      </c>
      <c r="N43" s="173">
        <v>221.58607225607139792328155839</v>
      </c>
      <c r="O43" s="379">
        <v>181.07348034615785632363674278</v>
      </c>
      <c r="P43" s="4"/>
      <c r="Q43" s="359">
        <v>1.5912855780107925477363963900</v>
      </c>
      <c r="R43" s="170">
        <v>-9.130793767229951628816253840</v>
      </c>
      <c r="S43" s="360">
        <v>0.1505592425024832668957911800</v>
      </c>
      <c r="T43" s="359">
        <v>-16.123533142990492343690892130</v>
      </c>
      <c r="U43" s="170">
        <v>471.47971785703657403892694985</v>
      </c>
      <c r="V43" s="360">
        <v>19.330302302906583716285371280</v>
      </c>
      <c r="W43" s="359">
        <v>0</v>
      </c>
      <c r="X43" s="170">
        <v>0</v>
      </c>
      <c r="Y43" s="360">
        <v>36.873377423697311526091793770</v>
      </c>
      <c r="Z43" s="359">
        <v>-2.6680520074761835344642551200</v>
      </c>
      <c r="AA43" s="170">
        <v>4.7199278039063770709485581600</v>
      </c>
      <c r="AB43" s="360">
        <v>6.0347029015251023636155815300</v>
      </c>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row>
    <row r="44" ht="15.6" customHeight="1">
      <c r="A44" s="54"/>
      <c r="B44" s="22"/>
      <c r="C44" s="53" t="s">
        <v>19</v>
      </c>
      <c r="D44" s="370">
        <v>220.85984848484848484848484848</v>
      </c>
      <c r="E44" s="172">
        <v>276.94461157640313227119003974</v>
      </c>
      <c r="F44" s="371">
        <v>166.00397468400224875051005543</v>
      </c>
      <c r="G44" s="370">
        <v>37.445075757575757575757575758</v>
      </c>
      <c r="H44" s="172">
        <v>16.584195383178091448023896591</v>
      </c>
      <c r="I44" s="371">
        <v>34.972246776383149124992286881</v>
      </c>
      <c r="J44" s="370">
        <v>0</v>
      </c>
      <c r="K44" s="172">
        <v>0</v>
      </c>
      <c r="L44" s="371">
        <v>12.489397348914987902831512349</v>
      </c>
      <c r="M44" s="370">
        <v>258.30492424242424242424242424</v>
      </c>
      <c r="N44" s="172">
        <v>293.52880695958122371921393632</v>
      </c>
      <c r="O44" s="371">
        <v>213.46561880930038577833385466</v>
      </c>
      <c r="P44" s="4"/>
      <c r="Q44" s="327">
        <v>6.9686379188519822645824918200</v>
      </c>
      <c r="R44" s="171">
        <v>-4.6308805852514006520387364200</v>
      </c>
      <c r="S44" s="328">
        <v>-4.7715187041154534081092224800</v>
      </c>
      <c r="T44" s="327">
        <v>-50.892923673037359793453870510</v>
      </c>
      <c r="U44" s="171">
        <v>358.91986944732435578862075845</v>
      </c>
      <c r="V44" s="328">
        <v>9.987211010591578219225065700</v>
      </c>
      <c r="W44" s="327">
        <v>0</v>
      </c>
      <c r="X44" s="171">
        <v>0</v>
      </c>
      <c r="Y44" s="328">
        <v>22.334529551427147809364146350</v>
      </c>
      <c r="Z44" s="327">
        <v>-8.636905639147971601675309260</v>
      </c>
      <c r="AA44" s="171">
        <v>-0.1623341128005936053328180100</v>
      </c>
      <c r="AB44" s="328">
        <v>-1.3230010872371829479209692300</v>
      </c>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row>
    <row r="45" ht="15.6" customHeight="1">
      <c r="A45" s="54"/>
      <c r="B45" s="22"/>
      <c r="C45" s="53" t="s">
        <v>20</v>
      </c>
      <c r="D45" s="384">
        <v>253.625</v>
      </c>
      <c r="E45" s="385">
        <v>312.97994554329822550302118451</v>
      </c>
      <c r="F45" s="386">
        <v>183.97351250257830031329460658</v>
      </c>
      <c r="G45" s="384">
        <v>35.975378787878787878787878788</v>
      </c>
      <c r="H45" s="385">
        <v>15.022543086239232662258142698</v>
      </c>
      <c r="I45" s="386">
        <v>30.157161847708112497322600443</v>
      </c>
      <c r="J45" s="384">
        <v>0</v>
      </c>
      <c r="K45" s="385">
        <v>0</v>
      </c>
      <c r="L45" s="386">
        <v>12.726222740736421096170406362</v>
      </c>
      <c r="M45" s="384">
        <v>289.60037878787878787878787879</v>
      </c>
      <c r="N45" s="385">
        <v>328.00248862953745816527932721</v>
      </c>
      <c r="O45" s="386">
        <v>226.85689709102283390678761339</v>
      </c>
      <c r="P45" s="4"/>
      <c r="Q45" s="364">
        <v>17.923564635411751604016967040</v>
      </c>
      <c r="R45" s="365">
        <v>-0.8031911621742680928261893200</v>
      </c>
      <c r="S45" s="366">
        <v>1.7036502719479717477414854500</v>
      </c>
      <c r="T45" s="364">
        <v>-49.520316776921748853348378160</v>
      </c>
      <c r="U45" s="365">
        <v>526.01515275043842076146478637</v>
      </c>
      <c r="V45" s="366">
        <v>-0.1527246839982979119584136200</v>
      </c>
      <c r="W45" s="364">
        <v>0</v>
      </c>
      <c r="X45" s="365">
        <v>0</v>
      </c>
      <c r="Y45" s="366">
        <v>37.203915541818053297878184400</v>
      </c>
      <c r="Z45" s="364">
        <v>1.1376489030297298099613387700</v>
      </c>
      <c r="AA45" s="365">
        <v>3.1733920232343870324212065700</v>
      </c>
      <c r="AB45" s="366">
        <v>2.9434299774119269636030211600</v>
      </c>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row>
    <row r="46" ht="20.25" customHeight="1">
      <c r="B46" s="54"/>
      <c r="C46"/>
      <c r="D46" s="169"/>
      <c r="E46" s="169"/>
      <c r="F46" s="169"/>
      <c r="G46" s="169"/>
      <c r="H46" s="169"/>
      <c r="I46" s="169"/>
      <c r="J46" s="169"/>
      <c r="K46" s="169"/>
      <c r="L46" s="169"/>
      <c r="M46" s="169"/>
      <c r="N46" s="169"/>
      <c r="O46" s="169"/>
      <c r="P46" s="4"/>
      <c r="Q46" s="4"/>
      <c r="R46" s="4"/>
      <c r="S46" s="4"/>
      <c r="T46" s="4"/>
      <c r="U46" s="4"/>
      <c r="V46" s="4"/>
      <c r="W46" s="4"/>
      <c r="X46" s="4"/>
      <c r="Y46" s="4"/>
      <c r="Z46" s="4"/>
      <c r="AA46" s="4"/>
      <c r="AB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row>
    <row r="47" ht="15.6" customHeight="1">
      <c r="A47" s="22"/>
      <c r="B47" s="22"/>
      <c r="C47" s="53" t="s">
        <v>72</v>
      </c>
      <c r="D47" s="374">
        <v>153.38528138528138528138528139</v>
      </c>
      <c r="E47" s="382">
        <v>212.83924587169459734464454278</v>
      </c>
      <c r="F47" s="375">
        <v>113.66538884973624613009157095</v>
      </c>
      <c r="G47" s="374">
        <v>34.4004329004329004329004329</v>
      </c>
      <c r="H47" s="382">
        <v>8.718535079869071115960329038</v>
      </c>
      <c r="I47" s="375">
        <v>27.288613213914420546328101333</v>
      </c>
      <c r="J47" s="374">
        <v>0</v>
      </c>
      <c r="K47" s="382">
        <v>0</v>
      </c>
      <c r="L47" s="375">
        <v>11.448830949441964808454540143</v>
      </c>
      <c r="M47" s="374">
        <v>187.78571428571428571428571429</v>
      </c>
      <c r="N47" s="382">
        <v>221.55778095156366846060487182</v>
      </c>
      <c r="O47" s="375">
        <v>152.40283301309263148487421243</v>
      </c>
      <c r="P47" s="4"/>
      <c r="Q47" s="354">
        <v>-4.4141549708895080864864412100</v>
      </c>
      <c r="R47" s="355">
        <v>2.8669124805033541889265370300</v>
      </c>
      <c r="S47" s="356">
        <v>-3.7624731979633922871421869400</v>
      </c>
      <c r="T47" s="354">
        <v>0</v>
      </c>
      <c r="U47" s="355">
        <v>-3.0020676752030951333655581700</v>
      </c>
      <c r="V47" s="356">
        <v>30.259421909075190908704109450</v>
      </c>
      <c r="W47" s="354">
        <v>0</v>
      </c>
      <c r="X47" s="355">
        <v>0</v>
      </c>
      <c r="Y47" s="356">
        <v>25.224333899838098037187825090</v>
      </c>
      <c r="Z47" s="354">
        <v>17.023328589841653687919053680</v>
      </c>
      <c r="AA47" s="355">
        <v>2.6225696715508856085893434400</v>
      </c>
      <c r="AB47" s="356">
        <v>2.8350118336608784759311096100</v>
      </c>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row>
    <row r="48" ht="15.6" customHeight="1">
      <c r="A48" s="22"/>
      <c r="B48" s="22"/>
      <c r="C48" s="53" t="s">
        <v>61</v>
      </c>
      <c r="D48" s="370">
        <v>171.3909632034632034632034632</v>
      </c>
      <c r="E48" s="172">
        <v>214.59813187158340409279288527</v>
      </c>
      <c r="F48" s="371">
        <v>130.62647055469230339081427328</v>
      </c>
      <c r="G48" s="370">
        <v>34.265422077922077922077922078</v>
      </c>
      <c r="H48" s="172">
        <v>22.840420509164655879501189828</v>
      </c>
      <c r="I48" s="371">
        <v>40.610132090545134763947847577</v>
      </c>
      <c r="J48" s="370">
        <v>0</v>
      </c>
      <c r="K48" s="172">
        <v>0</v>
      </c>
      <c r="L48" s="371">
        <v>11.743039727820637124145188082</v>
      </c>
      <c r="M48" s="370">
        <v>205.65638528138528138528138528</v>
      </c>
      <c r="N48" s="172">
        <v>237.43855238074805997229407509</v>
      </c>
      <c r="O48" s="371">
        <v>182.97964237305807527890730894</v>
      </c>
      <c r="P48" s="4"/>
      <c r="Q48" s="327">
        <v>3.4820124610906359267518656400</v>
      </c>
      <c r="R48" s="171">
        <v>2.2570831351156102023943253400</v>
      </c>
      <c r="S48" s="328">
        <v>2.2417487016325580129130968800</v>
      </c>
      <c r="T48" s="327">
        <v>-11.406705794250510883859815150</v>
      </c>
      <c r="U48" s="171">
        <v>709.63450528925827263176617265</v>
      </c>
      <c r="V48" s="328">
        <v>10.960027478846646751952026430</v>
      </c>
      <c r="W48" s="327">
        <v>0</v>
      </c>
      <c r="X48" s="171">
        <v>0</v>
      </c>
      <c r="Y48" s="328">
        <v>23.452990682367052744037791230</v>
      </c>
      <c r="Z48" s="327">
        <v>0.6633584824380565084751226300</v>
      </c>
      <c r="AA48" s="171">
        <v>11.639929337138115210622596960</v>
      </c>
      <c r="AB48" s="328">
        <v>5.2372839582668727121494984400</v>
      </c>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row>
    <row r="49" ht="15.6" customHeight="1">
      <c r="A49" s="54"/>
      <c r="B49" s="22"/>
      <c r="C49" s="53" t="s">
        <v>31</v>
      </c>
      <c r="D49" s="384">
        <v>163.70328282828282828282828283</v>
      </c>
      <c r="E49" s="385">
        <v>203.33886586310972924017178192</v>
      </c>
      <c r="F49" s="386">
        <v>127.80066219439836763887721296</v>
      </c>
      <c r="G49" s="384">
        <v>33.378156565656565656565656566</v>
      </c>
      <c r="H49" s="385">
        <v>22.486005325282387239132546</v>
      </c>
      <c r="I49" s="386">
        <v>35.146515217642106091864757003</v>
      </c>
      <c r="J49" s="384">
        <v>0</v>
      </c>
      <c r="K49" s="385">
        <v>0</v>
      </c>
      <c r="L49" s="386">
        <v>11.703067609333731253097045791</v>
      </c>
      <c r="M49" s="384">
        <v>197.08143939393939393939393939</v>
      </c>
      <c r="N49" s="385">
        <v>225.82487118839211647930432792</v>
      </c>
      <c r="O49" s="386">
        <v>174.65024502137420498383901574</v>
      </c>
      <c r="P49" s="4"/>
      <c r="Q49" s="364">
        <v>1.7722403308058493241000468900</v>
      </c>
      <c r="R49" s="365">
        <v>-2.8309453039677378593608131300</v>
      </c>
      <c r="S49" s="366">
        <v>-0.9916979950953803690777469200</v>
      </c>
      <c r="T49" s="364">
        <v>-21.654021693966164205068788230</v>
      </c>
      <c r="U49" s="365">
        <v>655.92373938690808674440313470</v>
      </c>
      <c r="V49" s="366">
        <v>0.2891788036238654886805190600</v>
      </c>
      <c r="W49" s="364">
        <v>0</v>
      </c>
      <c r="X49" s="365">
        <v>0</v>
      </c>
      <c r="Y49" s="366">
        <v>24.165893090120187244243848190</v>
      </c>
      <c r="Z49" s="364">
        <v>-3.1331985621078604076332949500</v>
      </c>
      <c r="AA49" s="365">
        <v>6.401902198979339115370688500</v>
      </c>
      <c r="AB49" s="366">
        <v>0.6332258364908267637155412500</v>
      </c>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row>
    <row r="50" ht="9.95" customHeight="1">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row>
    <row r="51" ht="9.95" customHeight="1">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row>
    <row r="52" ht="24.95" customHeight="1">
      <c r="D52" s="650" t="s">
        <v>114</v>
      </c>
      <c r="E52" s="650"/>
      <c r="F52" s="650"/>
      <c r="G52" s="650"/>
      <c r="H52" s="650"/>
      <c r="I52" s="650"/>
      <c r="J52" s="650"/>
      <c r="K52" s="650"/>
      <c r="L52" s="650"/>
      <c r="M52" s="650"/>
      <c r="N52" s="650"/>
      <c r="O52" s="650"/>
      <c r="P52" s="650"/>
      <c r="Q52" s="650"/>
      <c r="R52" s="650"/>
      <c r="S52" s="650"/>
      <c r="T52" s="650"/>
      <c r="U52" s="650"/>
      <c r="V52" s="650"/>
      <c r="W52" s="650"/>
      <c r="X52" s="650"/>
      <c r="Y52" s="650"/>
      <c r="Z52" s="650"/>
      <c r="AA52" s="650"/>
      <c r="AB52" s="650"/>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row>
    <row r="53" ht="9.95" customHeight="1">
      <c r="A53" s="53"/>
      <c r="C53"/>
      <c r="Z53" s="80"/>
      <c r="AA53" s="242"/>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row>
  </sheetData>
  <mergeCells count="12">
    <mergeCell ref="Q8:S8"/>
    <mergeCell ref="T8:V8"/>
    <mergeCell ref="D52:AB52"/>
    <mergeCell ref="R4:AA4"/>
    <mergeCell ref="D7:O7"/>
    <mergeCell ref="Q7:AB7"/>
    <mergeCell ref="W8:Y8"/>
    <mergeCell ref="Z8:AB8"/>
    <mergeCell ref="D8:F8"/>
    <mergeCell ref="G8:I8"/>
    <mergeCell ref="J8:L8"/>
    <mergeCell ref="M8:O8"/>
  </mergeCells>
  <phoneticPr fontId="0" type="noConversion"/>
  <printOptions horizontalCentered="1" verticalCentered="1"/>
  <pageMargins left="0.25" right="0.25" top="0.25" bottom="0.25" header="0.25" footer="0.25"/>
  <pageSetup scale="67" orientation="landscape" r:id="rId1"/>
  <headerFooter alignWithMargins="0">
    <oddHeader/>
    <oddFooter/>
  </headerFooter>
  <drawing r:id="rId49"/>
</worksheet>
</file>

<file path=xl/worksheets/sheet4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AY105"/>
  <sheetViews>
    <sheetView showGridLines="0" zoomScale="75" workbookViewId="0"/>
  </sheetViews>
  <sheetFormatPr defaultRowHeight="12.75"/>
  <cols>
    <col min="1" max="1" width="13.28515625" customWidth="1"/>
    <col min="2" max="2" width="3.85546875" customWidth="1"/>
    <col min="3" max="3" width="4.28515625" style="30" customWidth="1"/>
    <col min="4" max="15" width="8.7109375" customWidth="1"/>
    <col min="16" max="16" width="1.42578125" customWidth="1"/>
    <col min="17" max="25" width="8.7109375" customWidth="1"/>
    <col min="26" max="28" width="7.42578125" hidden="1" customWidth="1"/>
    <col min="29" max="29" width="2.28515625" customWidth="1"/>
    <col min="30" max="32" width="9.140625" customWidth="1"/>
  </cols>
  <sheetData>
    <row r="1" ht="23.25">
      <c r="A1" s="39" t="s">
        <v>137</v>
      </c>
      <c r="B1" s="39"/>
      <c r="AD1" s="244"/>
      <c r="AE1" s="244"/>
      <c r="AF1" s="244"/>
      <c r="AG1" s="244"/>
      <c r="AH1" s="244"/>
      <c r="AI1" s="244"/>
      <c r="AJ1" s="244"/>
      <c r="AK1" s="244"/>
      <c r="AL1" s="244"/>
      <c r="AM1" s="244"/>
      <c r="AN1" s="244"/>
      <c r="AO1" s="244"/>
      <c r="AP1" s="244"/>
      <c r="AQ1" s="244"/>
      <c r="AR1" s="244"/>
      <c r="AS1" s="244"/>
      <c r="AT1" s="244"/>
      <c r="AU1" s="244"/>
      <c r="AV1" s="244"/>
      <c r="AW1" s="244"/>
      <c r="AX1" s="244"/>
      <c r="AY1" s="244"/>
    </row>
    <row r="2" ht="15" customHeight="1">
      <c r="A2" s="10" t="s">
        <v>168</v>
      </c>
      <c r="X2" s="216"/>
      <c r="AD2" s="244"/>
      <c r="AE2" s="244"/>
      <c r="AF2" s="244"/>
      <c r="AG2" s="244"/>
      <c r="AH2" s="244"/>
      <c r="AI2" s="244"/>
      <c r="AJ2" s="244"/>
      <c r="AK2" s="244"/>
      <c r="AL2" s="244"/>
      <c r="AM2" s="244"/>
      <c r="AN2" s="244"/>
      <c r="AO2" s="244"/>
      <c r="AP2" s="244"/>
      <c r="AQ2" s="244"/>
      <c r="AR2" s="244"/>
      <c r="AS2" s="244"/>
      <c r="AT2" s="244"/>
      <c r="AU2" s="244"/>
      <c r="AV2" s="244"/>
      <c r="AW2" s="244"/>
      <c r="AX2" s="244"/>
      <c r="AY2" s="244"/>
    </row>
    <row r="3" ht="17.1" customHeight="1">
      <c r="A3" s="10" t="s">
        <v>181</v>
      </c>
      <c r="AD3" s="244"/>
      <c r="AE3" s="244"/>
      <c r="AF3" s="244"/>
      <c r="AG3" s="244"/>
      <c r="AH3" s="244"/>
      <c r="AI3" s="244"/>
      <c r="AJ3" s="244"/>
      <c r="AK3" s="244"/>
      <c r="AL3" s="244"/>
      <c r="AM3" s="244"/>
      <c r="AN3" s="244"/>
      <c r="AO3" s="244"/>
      <c r="AP3" s="244"/>
      <c r="AQ3" s="244"/>
      <c r="AR3" s="244"/>
      <c r="AS3" s="244"/>
      <c r="AT3" s="244"/>
      <c r="AU3" s="244"/>
      <c r="AV3" s="244"/>
      <c r="AW3" s="244"/>
      <c r="AX3" s="244"/>
      <c r="AY3" s="244"/>
    </row>
    <row r="4" ht="17.1" customHeight="1">
      <c r="A4" t="s">
        <v>182</v>
      </c>
      <c r="B4" s="443"/>
      <c r="C4" s="211"/>
      <c r="D4" s="212"/>
      <c r="E4" s="212"/>
      <c r="F4" s="212"/>
      <c r="G4" s="212"/>
      <c r="H4" s="212"/>
      <c r="I4" s="212"/>
      <c r="J4" s="212"/>
      <c r="K4" s="212"/>
      <c r="L4" s="212"/>
      <c r="M4" s="212"/>
      <c r="N4" s="212"/>
      <c r="O4" s="212"/>
      <c r="P4" s="212"/>
      <c r="Q4" s="667" t="s">
        <v>184</v>
      </c>
      <c r="R4" s="667"/>
      <c r="S4" s="667"/>
      <c r="T4" s="667"/>
      <c r="U4" s="667"/>
      <c r="V4" s="667"/>
      <c r="W4" s="667"/>
      <c r="X4" s="667"/>
      <c r="AD4" s="244"/>
      <c r="AE4" s="244"/>
      <c r="AF4" s="244"/>
      <c r="AG4" s="244"/>
      <c r="AH4" s="244"/>
      <c r="AI4" s="244"/>
      <c r="AJ4" s="244"/>
      <c r="AK4" s="244"/>
      <c r="AL4" s="244"/>
      <c r="AM4" s="244"/>
      <c r="AN4" s="244"/>
      <c r="AO4" s="244"/>
      <c r="AP4" s="244"/>
      <c r="AQ4" s="244"/>
      <c r="AR4" s="244"/>
      <c r="AS4" s="244"/>
      <c r="AT4" s="244"/>
      <c r="AU4" s="244"/>
      <c r="AV4" s="244"/>
      <c r="AW4" s="244"/>
      <c r="AX4" s="244"/>
      <c r="AY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row>
    <row r="7" ht="15.75">
      <c r="D7" s="621" t="s">
        <v>83</v>
      </c>
      <c r="E7" s="621"/>
      <c r="F7" s="621"/>
      <c r="G7" s="621"/>
      <c r="H7" s="621"/>
      <c r="I7" s="621"/>
      <c r="J7" s="621"/>
      <c r="K7" s="621"/>
      <c r="L7" s="621"/>
      <c r="M7" s="621"/>
      <c r="N7" s="621"/>
      <c r="O7" s="621"/>
      <c r="Q7" s="621" t="s">
        <v>62</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row>
    <row r="8" ht="15" customHeight="1">
      <c r="D8" s="683" t="s">
        <v>33</v>
      </c>
      <c r="E8" s="683"/>
      <c r="F8" s="683"/>
      <c r="G8" s="683" t="s">
        <v>30</v>
      </c>
      <c r="H8" s="683"/>
      <c r="I8" s="683"/>
      <c r="J8" s="683" t="s">
        <v>29</v>
      </c>
      <c r="K8" s="683"/>
      <c r="L8" s="683"/>
      <c r="M8" s="683" t="s">
        <v>94</v>
      </c>
      <c r="N8" s="683"/>
      <c r="O8" s="683"/>
      <c r="Q8" s="683" t="s">
        <v>33</v>
      </c>
      <c r="R8" s="683"/>
      <c r="S8" s="683"/>
      <c r="T8" s="683" t="s">
        <v>30</v>
      </c>
      <c r="U8" s="683"/>
      <c r="V8" s="683"/>
      <c r="W8" s="683" t="s">
        <v>29</v>
      </c>
      <c r="X8" s="683"/>
      <c r="Y8" s="683"/>
      <c r="Z8" s="684" t="s">
        <v>23</v>
      </c>
      <c r="AA8" s="684"/>
      <c r="AB8" s="684"/>
      <c r="AD8" s="244"/>
      <c r="AE8" s="244"/>
      <c r="AF8" s="244"/>
      <c r="AG8" s="244"/>
      <c r="AH8" s="244"/>
      <c r="AI8" s="244"/>
      <c r="AJ8" s="244"/>
      <c r="AK8" s="244"/>
      <c r="AL8" s="244"/>
      <c r="AM8" s="244"/>
      <c r="AN8" s="244"/>
      <c r="AO8" s="244"/>
      <c r="AP8" s="244"/>
      <c r="AQ8" s="244"/>
      <c r="AR8" s="244"/>
      <c r="AS8" s="244"/>
      <c r="AT8" s="244"/>
      <c r="AU8" s="244"/>
      <c r="AV8" s="244"/>
      <c r="AW8" s="244"/>
      <c r="AX8" s="244"/>
      <c r="AY8" s="244"/>
    </row>
    <row r="9" ht="27" customHeight="1">
      <c r="A9" s="92"/>
      <c r="D9" s="339" t="s">
        <v>63</v>
      </c>
      <c r="E9" s="340" t="s">
        <v>26</v>
      </c>
      <c r="F9" s="341" t="s">
        <v>185</v>
      </c>
      <c r="G9" s="339" t="s">
        <v>63</v>
      </c>
      <c r="H9" s="340" t="s">
        <v>26</v>
      </c>
      <c r="I9" s="341" t="s">
        <v>185</v>
      </c>
      <c r="J9" s="339" t="s">
        <v>63</v>
      </c>
      <c r="K9" s="340" t="s">
        <v>26</v>
      </c>
      <c r="L9" s="341" t="s">
        <v>185</v>
      </c>
      <c r="M9" s="339" t="s">
        <v>63</v>
      </c>
      <c r="N9" s="340" t="s">
        <v>26</v>
      </c>
      <c r="O9" s="341" t="s">
        <v>185</v>
      </c>
      <c r="P9" s="96"/>
      <c r="Q9" s="339" t="s">
        <v>63</v>
      </c>
      <c r="R9" s="340" t="s">
        <v>26</v>
      </c>
      <c r="S9" s="341" t="s">
        <v>185</v>
      </c>
      <c r="T9" s="339" t="s">
        <v>63</v>
      </c>
      <c r="U9" s="340" t="s">
        <v>26</v>
      </c>
      <c r="V9" s="341" t="s">
        <v>185</v>
      </c>
      <c r="W9" s="339" t="s">
        <v>63</v>
      </c>
      <c r="X9" s="340" t="s">
        <v>26</v>
      </c>
      <c r="Y9" s="341" t="s">
        <v>185</v>
      </c>
      <c r="Z9" s="94" t="s">
        <v>63</v>
      </c>
      <c r="AA9" s="94" t="s">
        <v>26</v>
      </c>
      <c r="AB9" s="95" t="s">
        <v>185</v>
      </c>
      <c r="AD9" s="244"/>
      <c r="AE9" s="244"/>
      <c r="AF9" s="244"/>
      <c r="AG9" s="244"/>
      <c r="AH9" s="244"/>
      <c r="AI9" s="244"/>
      <c r="AJ9" s="244"/>
      <c r="AK9" s="244"/>
      <c r="AL9" s="244"/>
      <c r="AM9" s="244"/>
      <c r="AN9" s="244"/>
      <c r="AO9" s="244"/>
      <c r="AP9" s="244"/>
      <c r="AQ9" s="244"/>
      <c r="AR9" s="244"/>
      <c r="AS9" s="244"/>
      <c r="AT9" s="244"/>
      <c r="AU9" s="244"/>
      <c r="AV9" s="244"/>
      <c r="AW9" s="244"/>
      <c r="AX9" s="244"/>
      <c r="AY9" s="244"/>
    </row>
    <row r="10" ht="15.6" customHeight="1">
      <c r="A10" s="92" t="s">
        <v>186</v>
      </c>
      <c r="B10" s="342">
        <v>27</v>
      </c>
      <c r="C10" s="343" t="s">
        <v>49</v>
      </c>
      <c r="D10" s="374">
        <v>248.25925925925925925925925926</v>
      </c>
      <c r="E10" s="382">
        <v>316.85530546623794212218649517</v>
      </c>
      <c r="F10" s="375">
        <v>238.97769095034030753718174943</v>
      </c>
      <c r="G10" s="374">
        <v>3.4074074074074074074074074074</v>
      </c>
      <c r="H10" s="382">
        <v>80.94102487625841449661885263</v>
      </c>
      <c r="I10" s="375">
        <v>65.059573762031912344141953576</v>
      </c>
      <c r="J10" s="374">
        <v>33.259259259259259259259259259</v>
      </c>
      <c r="K10" s="382">
        <v>35.482759519834061597920674902</v>
      </c>
      <c r="L10" s="375">
        <v>21.355368669435481260798999173</v>
      </c>
      <c r="M10" s="374">
        <v>284.92592592592592592592592593</v>
      </c>
      <c r="N10" s="382">
        <v>433.27908986233041821672602269</v>
      </c>
      <c r="O10" s="375">
        <v>325.39263338180770114212270218</v>
      </c>
      <c r="P10" s="4"/>
      <c r="Q10" s="354">
        <v>87.13115819576238138567528922</v>
      </c>
      <c r="R10" s="355">
        <v>73.129609270300851436045998410</v>
      </c>
      <c r="S10" s="356">
        <v>73.442870684146611065180326280</v>
      </c>
      <c r="T10" s="354">
        <v>1.1958923696867281944624983800</v>
      </c>
      <c r="U10" s="355">
        <v>18.681036488969850657636041180</v>
      </c>
      <c r="V10" s="356">
        <v>19.994175370802759077386810900</v>
      </c>
      <c r="W10" s="354">
        <v>11.672949434550890419862212400</v>
      </c>
      <c r="X10" s="355">
        <v>8.189354240729297906317960410</v>
      </c>
      <c r="Y10" s="356">
        <v>6.5629539450506298574328628200</v>
      </c>
      <c r="Z10" s="35"/>
      <c r="AA10" s="35"/>
      <c r="AB10" s="31"/>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row>
    <row r="11" ht="15.6" customHeight="1">
      <c r="A11" s="92"/>
      <c r="B11" s="344">
        <v>28</v>
      </c>
      <c r="C11" s="345" t="s">
        <v>47</v>
      </c>
      <c r="D11" s="370">
        <v>285.42741935483870967741935484</v>
      </c>
      <c r="E11" s="172">
        <v>357.93113772455089820359281438</v>
      </c>
      <c r="F11" s="371">
        <v>269.46395280235988200589970501</v>
      </c>
      <c r="G11" s="370">
        <v>1.3225806451612903225806451613</v>
      </c>
      <c r="H11" s="172">
        <v>105.74258098557853995421509484</v>
      </c>
      <c r="I11" s="371">
        <v>88.04103998104315316963765044</v>
      </c>
      <c r="J11" s="370">
        <v>26.806451612903225806451612903</v>
      </c>
      <c r="K11" s="172">
        <v>20.67987385492648168105163119</v>
      </c>
      <c r="L11" s="371">
        <v>25.589176499412044049593774998</v>
      </c>
      <c r="M11" s="370">
        <v>313.5564516129032258064516129</v>
      </c>
      <c r="N11" s="172">
        <v>484.35359256505591983885954043</v>
      </c>
      <c r="O11" s="371">
        <v>383.09416928281507922513113044</v>
      </c>
      <c r="P11" s="4"/>
      <c r="Q11" s="327">
        <v>91.02903731899899693937913120</v>
      </c>
      <c r="R11" s="171">
        <v>73.898726719256325488527380440</v>
      </c>
      <c r="S11" s="328">
        <v>70.338829042169803144212730620</v>
      </c>
      <c r="T11" s="327">
        <v>0.4217998508268820246392839700</v>
      </c>
      <c r="U11" s="171">
        <v>21.831691270334849923079440930</v>
      </c>
      <c r="V11" s="328">
        <v>22.981566163187364675875130960</v>
      </c>
      <c r="W11" s="327">
        <v>8.549162830174121035981584840</v>
      </c>
      <c r="X11" s="171">
        <v>4.2695820104088245883931786200</v>
      </c>
      <c r="Y11" s="328">
        <v>6.6796047946428321799121384200</v>
      </c>
      <c r="Z11" s="36"/>
      <c r="AA11" s="36"/>
      <c r="AB11" s="32"/>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row>
    <row r="12" ht="15.6" customHeight="1">
      <c r="A12" s="92"/>
      <c r="B12" s="346">
        <v>29</v>
      </c>
      <c r="C12" s="347" t="s">
        <v>48</v>
      </c>
      <c r="D12" s="378">
        <v>311.484375000</v>
      </c>
      <c r="E12" s="173">
        <v>317.57485029940119760479041917</v>
      </c>
      <c r="F12" s="379">
        <v>280.38212775682779110958747572</v>
      </c>
      <c r="G12" s="378">
        <v>1.6484375</v>
      </c>
      <c r="H12" s="173">
        <v>63.288053481780593120004095939</v>
      </c>
      <c r="I12" s="379">
        <v>72.674467240220920740112650431</v>
      </c>
      <c r="J12" s="378">
        <v>26.6484375</v>
      </c>
      <c r="K12" s="173">
        <v>28.304018681221343916746720519</v>
      </c>
      <c r="L12" s="379">
        <v>22.814482815043850138841107523</v>
      </c>
      <c r="M12" s="378">
        <v>339.781250000</v>
      </c>
      <c r="N12" s="173">
        <v>409.16692246240313464154123561</v>
      </c>
      <c r="O12" s="379">
        <v>375.87107781209256198854123366</v>
      </c>
      <c r="P12" s="4"/>
      <c r="Q12" s="359">
        <v>91.67203163800239124436678010</v>
      </c>
      <c r="R12" s="170">
        <v>77.614986174397320559255364730</v>
      </c>
      <c r="S12" s="360">
        <v>74.595291925333476454299094670</v>
      </c>
      <c r="T12" s="359">
        <v>0.4851466936448082405959716700</v>
      </c>
      <c r="U12" s="170">
        <v>15.467539042723059547454920750</v>
      </c>
      <c r="V12" s="360">
        <v>19.334945285828222481015095970</v>
      </c>
      <c r="W12" s="359">
        <v>7.8428216683528005150372482300</v>
      </c>
      <c r="X12" s="170">
        <v>6.9174747828796198932897145300</v>
      </c>
      <c r="Y12" s="360">
        <v>6.0697627888383010646858093600</v>
      </c>
      <c r="Z12" s="35"/>
      <c r="AA12" s="35"/>
      <c r="AB12" s="31"/>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row>
    <row r="13" ht="15.6" customHeight="1">
      <c r="A13" s="92"/>
      <c r="B13" s="344">
        <v>30</v>
      </c>
      <c r="C13" s="345" t="s">
        <v>50</v>
      </c>
      <c r="D13" s="370">
        <v>267.27777777777777777777777778</v>
      </c>
      <c r="E13" s="172">
        <v>304.75851393188854489164086687</v>
      </c>
      <c r="F13" s="371">
        <v>265.43899066712754925682682337</v>
      </c>
      <c r="G13" s="370">
        <v>0.9603174603174603174603174603</v>
      </c>
      <c r="H13" s="172">
        <v>91.45843676112970087636638334</v>
      </c>
      <c r="I13" s="371">
        <v>190.3116635700098664933349971</v>
      </c>
      <c r="J13" s="370">
        <v>243.07142857142857142857142857</v>
      </c>
      <c r="K13" s="172">
        <v>45.45653175612438182791167756</v>
      </c>
      <c r="L13" s="371">
        <v>88.39804944379737909093327513</v>
      </c>
      <c r="M13" s="370">
        <v>511.30952380952380952380952381</v>
      </c>
      <c r="N13" s="172">
        <v>441.67348244914262759591892777</v>
      </c>
      <c r="O13" s="371">
        <v>544.14870368093479484109509559</v>
      </c>
      <c r="P13" s="4"/>
      <c r="Q13" s="327">
        <v>52.273185875048506014745828480</v>
      </c>
      <c r="R13" s="171">
        <v>69.000862864113779047279002650</v>
      </c>
      <c r="S13" s="328">
        <v>48.780597816652975756838506950</v>
      </c>
      <c r="T13" s="327">
        <v>0.1878152890958478851377570800</v>
      </c>
      <c r="U13" s="171">
        <v>20.707251033949239786961825700</v>
      </c>
      <c r="V13" s="328">
        <v>34.974201405357086720181950140</v>
      </c>
      <c r="W13" s="327">
        <v>47.538998835855646100116414440</v>
      </c>
      <c r="X13" s="171">
        <v>10.291886101936981165759171650</v>
      </c>
      <c r="Y13" s="328">
        <v>16.245200777989937522979542910</v>
      </c>
      <c r="Z13" s="36"/>
      <c r="AA13" s="36"/>
      <c r="AB13" s="32"/>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row>
    <row r="14" ht="15.6" customHeight="1">
      <c r="A14" s="92" t="s">
        <v>183</v>
      </c>
      <c r="B14" s="668">
        <v>1</v>
      </c>
      <c r="C14" s="679" t="s">
        <v>51</v>
      </c>
      <c r="D14" s="680">
        <v>297.04838709677419354838709677</v>
      </c>
      <c r="E14" s="681">
        <v>388.5888157894736842105263158</v>
      </c>
      <c r="F14" s="682">
        <v>285.45558252427184466019417476</v>
      </c>
      <c r="G14" s="680">
        <v>0.9193548387096774193548387097</v>
      </c>
      <c r="H14" s="681">
        <v>108.23919831336233353793600384</v>
      </c>
      <c r="I14" s="682">
        <v>70.498365914944211568331005688</v>
      </c>
      <c r="J14" s="680">
        <v>31.879032258064516129032258065</v>
      </c>
      <c r="K14" s="681">
        <v>36.275617881337005881039231741</v>
      </c>
      <c r="L14" s="682">
        <v>20.691920439051783790153069314</v>
      </c>
      <c r="M14" s="680">
        <v>329.84677419354838709677419355</v>
      </c>
      <c r="N14" s="681">
        <v>533.1036319841730236295015514</v>
      </c>
      <c r="O14" s="682">
        <v>376.64586887826784001867824976</v>
      </c>
      <c r="P14" s="4"/>
      <c r="Q14" s="670">
        <v>90.05647783672770836898853329</v>
      </c>
      <c r="R14" s="671">
        <v>72.891796730623334349204702400</v>
      </c>
      <c r="S14" s="672">
        <v>75.788852636143276537365207320</v>
      </c>
      <c r="T14" s="670">
        <v>0.2787217916432361066966577800</v>
      </c>
      <c r="U14" s="671">
        <v>20.303594239360908837432482380</v>
      </c>
      <c r="V14" s="672">
        <v>18.717413820282553982930685340</v>
      </c>
      <c r="W14" s="670">
        <v>9.664800371629055524314808930</v>
      </c>
      <c r="X14" s="671">
        <v>6.8046090300157568133628152200</v>
      </c>
      <c r="Y14" s="672">
        <v>5.4937335435741694797041073500</v>
      </c>
      <c r="Z14" s="685"/>
      <c r="AA14" s="685"/>
      <c r="AB14" s="686"/>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row>
    <row r="15" ht="15.6" customHeight="1">
      <c r="A15" s="92"/>
      <c r="B15" s="344">
        <v>2</v>
      </c>
      <c r="C15" s="345" t="s">
        <v>52</v>
      </c>
      <c r="D15" s="370">
        <v>420.132812500</v>
      </c>
      <c r="E15" s="172">
        <v>494.47904191616766467065868265</v>
      </c>
      <c r="F15" s="371">
        <v>327.43658672615727830451756832</v>
      </c>
      <c r="G15" s="370">
        <v>1.3203125</v>
      </c>
      <c r="H15" s="172">
        <v>158.85047100837101153239533514</v>
      </c>
      <c r="I15" s="371">
        <v>79.138310073622224092110450463</v>
      </c>
      <c r="J15" s="370">
        <v>26.5234375</v>
      </c>
      <c r="K15" s="172">
        <v>34.521849397423608336916991291</v>
      </c>
      <c r="L15" s="371">
        <v>22.668223911075787416829430142</v>
      </c>
      <c r="M15" s="370">
        <v>447.976562500</v>
      </c>
      <c r="N15" s="172">
        <v>687.85136232196228453997100906</v>
      </c>
      <c r="O15" s="371">
        <v>429.24312071085528981345744892</v>
      </c>
      <c r="P15" s="4"/>
      <c r="Q15" s="327">
        <v>93.78455206571214314364939572</v>
      </c>
      <c r="R15" s="171">
        <v>71.887484564538388900995133290</v>
      </c>
      <c r="S15" s="328">
        <v>76.282314363920477387373845070</v>
      </c>
      <c r="T15" s="327">
        <v>0.2947280305540538183847508800</v>
      </c>
      <c r="U15" s="171">
        <v>23.093720491029272898961284230</v>
      </c>
      <c r="V15" s="328">
        <v>18.436710166155696242357292430</v>
      </c>
      <c r="W15" s="327">
        <v>5.920719903733803037965853400</v>
      </c>
      <c r="X15" s="171">
        <v>5.0187949444323382000435824800</v>
      </c>
      <c r="Y15" s="328">
        <v>5.280975469923826370268862500</v>
      </c>
      <c r="Z15" s="36"/>
      <c r="AA15" s="36"/>
      <c r="AB15" s="32"/>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row>
    <row r="16" ht="15.6" customHeight="1">
      <c r="A16" s="92"/>
      <c r="B16" s="346">
        <v>3</v>
      </c>
      <c r="C16" s="347" t="s">
        <v>53</v>
      </c>
      <c r="D16" s="378">
        <v>408.95419847328244274809160305</v>
      </c>
      <c r="E16" s="173">
        <v>493.2463343108504398826979472</v>
      </c>
      <c r="F16" s="379">
        <v>346.25260159929893745207580239</v>
      </c>
      <c r="G16" s="378">
        <v>1.6030534351145038167938931298</v>
      </c>
      <c r="H16" s="173">
        <v>157.60843591036728493067100012</v>
      </c>
      <c r="I16" s="379">
        <v>69.472410894865533583878020811</v>
      </c>
      <c r="J16" s="378">
        <v>25.549618320610687022900763359</v>
      </c>
      <c r="K16" s="173">
        <v>30.679563828352372867237497163</v>
      </c>
      <c r="L16" s="379">
        <v>22.110877059534220586833620318</v>
      </c>
      <c r="M16" s="378">
        <v>436.10687022900763358778625954</v>
      </c>
      <c r="N16" s="173">
        <v>681.53433404957009768060644447</v>
      </c>
      <c r="O16" s="379">
        <v>437.83588955369869162278744352</v>
      </c>
      <c r="P16" s="4"/>
      <c r="Q16" s="359">
        <v>93.77384911605111150008751969</v>
      </c>
      <c r="R16" s="170">
        <v>72.372925275834322109024453450</v>
      </c>
      <c r="S16" s="360">
        <v>79.082736217043838934547413530</v>
      </c>
      <c r="T16" s="359">
        <v>0.367582706108874496761771400</v>
      </c>
      <c r="U16" s="170">
        <v>23.125531324868504198318854020</v>
      </c>
      <c r="V16" s="360">
        <v>15.867226180494516251419374790</v>
      </c>
      <c r="W16" s="359">
        <v>5.8585681778400140031507089100</v>
      </c>
      <c r="X16" s="170">
        <v>4.5015433992971736926566925300</v>
      </c>
      <c r="Y16" s="360">
        <v>5.0500376024616448140332116800</v>
      </c>
      <c r="Z16" s="35"/>
      <c r="AA16" s="35"/>
      <c r="AB16" s="31"/>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row>
    <row r="17" ht="15.6" customHeight="1">
      <c r="A17" s="92"/>
      <c r="B17" s="344">
        <v>4</v>
      </c>
      <c r="C17" s="345" t="s">
        <v>49</v>
      </c>
      <c r="D17" s="370">
        <v>289.93023255813953488372093023</v>
      </c>
      <c r="E17" s="172">
        <v>366.80425531914893617021276597</v>
      </c>
      <c r="F17" s="371">
        <v>268.1900944006207164101900944</v>
      </c>
      <c r="G17" s="370">
        <v>3.0232558139534883720930232558</v>
      </c>
      <c r="H17" s="172">
        <v>103.51572268238193325160399022</v>
      </c>
      <c r="I17" s="371">
        <v>63.352845549722615667483743617</v>
      </c>
      <c r="J17" s="370">
        <v>25.031007751937984496124031008</v>
      </c>
      <c r="K17" s="172">
        <v>27.093699321065634470698785884</v>
      </c>
      <c r="L17" s="371">
        <v>20.660362131530622662716822423</v>
      </c>
      <c r="M17" s="370">
        <v>317.9844961240310077519379845</v>
      </c>
      <c r="N17" s="172">
        <v>497.41367732259650389251554206</v>
      </c>
      <c r="O17" s="371">
        <v>352.20330208187395474039066044</v>
      </c>
      <c r="P17" s="4"/>
      <c r="Q17" s="327">
        <v>91.17747440273037542662116041</v>
      </c>
      <c r="R17" s="171">
        <v>73.742293797293168215396229130</v>
      </c>
      <c r="S17" s="328">
        <v>76.146388411280896175668419650</v>
      </c>
      <c r="T17" s="327">
        <v>0.9507557289127254997562164800</v>
      </c>
      <c r="U17" s="171">
        <v>20.810791379837158725308697450</v>
      </c>
      <c r="V17" s="328">
        <v>17.987578530707663201397221450</v>
      </c>
      <c r="W17" s="327">
        <v>7.8717698683568990736226231100</v>
      </c>
      <c r="X17" s="171">
        <v>5.4469148228696730592950734200</v>
      </c>
      <c r="Y17" s="328">
        <v>5.8660330580114406229343588900</v>
      </c>
      <c r="Z17" s="36"/>
      <c r="AA17" s="36"/>
      <c r="AB17" s="32"/>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row>
    <row r="18" ht="15.6" customHeight="1">
      <c r="A18" s="92"/>
      <c r="B18" s="346">
        <v>5</v>
      </c>
      <c r="C18" s="347" t="s">
        <v>47</v>
      </c>
      <c r="D18" s="378">
        <v>191.56470588235294117647058824</v>
      </c>
      <c r="E18" s="173">
        <v>240.5309734513274336283185841</v>
      </c>
      <c r="F18" s="379">
        <v>207.9854346836595357305416477</v>
      </c>
      <c r="G18" s="378">
        <v>4.9647058823529411764705882353</v>
      </c>
      <c r="H18" s="173">
        <v>61.410496469485889388924242359</v>
      </c>
      <c r="I18" s="379">
        <v>63.160634302784884298861038302</v>
      </c>
      <c r="J18" s="378">
        <v>32.564705882352941176470588235</v>
      </c>
      <c r="K18" s="173">
        <v>35.606566283170580219049057897</v>
      </c>
      <c r="L18" s="379">
        <v>25.198126265551177105028100502</v>
      </c>
      <c r="M18" s="378">
        <v>229.09411764705882352941176471</v>
      </c>
      <c r="N18" s="173">
        <v>337.54803620398390323629188435</v>
      </c>
      <c r="O18" s="379">
        <v>296.3441952519955971344307865</v>
      </c>
      <c r="P18" s="4"/>
      <c r="Q18" s="359">
        <v>83.61834334719868535921532378</v>
      </c>
      <c r="R18" s="170">
        <v>71.258294421233718358318997300</v>
      </c>
      <c r="S18" s="360">
        <v>70.183738374493755520491792070</v>
      </c>
      <c r="T18" s="359">
        <v>2.1671031684897036922918913400</v>
      </c>
      <c r="U18" s="170">
        <v>18.193113241036563720269790560</v>
      </c>
      <c r="V18" s="360">
        <v>21.313268596024425527027507430</v>
      </c>
      <c r="W18" s="359">
        <v>14.214553484311610948492784880</v>
      </c>
      <c r="X18" s="170">
        <v>10.548592337729717921411212150</v>
      </c>
      <c r="Y18" s="360">
        <v>8.502993029481818952480700500</v>
      </c>
      <c r="Z18" s="35"/>
      <c r="AA18" s="35"/>
      <c r="AB18" s="31"/>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row>
    <row r="19" ht="15.6" customHeight="1">
      <c r="A19" s="92"/>
      <c r="B19" s="344">
        <v>6</v>
      </c>
      <c r="C19" s="345" t="s">
        <v>48</v>
      </c>
      <c r="D19" s="370">
        <v>173.10294117647058823529411765</v>
      </c>
      <c r="E19" s="172">
        <v>264.41632653061224489795918368</v>
      </c>
      <c r="F19" s="371">
        <v>206.61018272684679056692175543</v>
      </c>
      <c r="G19" s="370">
        <v>1.9411764705882352941176470588</v>
      </c>
      <c r="H19" s="172">
        <v>123.28770616586166921145565268</v>
      </c>
      <c r="I19" s="371">
        <v>98.5301891474959729840346149</v>
      </c>
      <c r="J19" s="370">
        <v>23.397058823529411764705882353</v>
      </c>
      <c r="K19" s="172">
        <v>32.685324863552043061253560796</v>
      </c>
      <c r="L19" s="371">
        <v>20.365767836399473897266243747</v>
      </c>
      <c r="M19" s="370">
        <v>198.44117647058823529411764706</v>
      </c>
      <c r="N19" s="172">
        <v>420.38935756002595717066839714</v>
      </c>
      <c r="O19" s="371">
        <v>325.50613971074223744822261407</v>
      </c>
      <c r="P19" s="4"/>
      <c r="Q19" s="327">
        <v>87.23136208685341633318511931</v>
      </c>
      <c r="R19" s="171">
        <v>62.897959183673469387755102040</v>
      </c>
      <c r="S19" s="328">
        <v>63.473513252453196371034283260</v>
      </c>
      <c r="T19" s="327">
        <v>0.978212538906180524677634500</v>
      </c>
      <c r="U19" s="171">
        <v>29.327028372324539571926331510</v>
      </c>
      <c r="V19" s="328">
        <v>30.269840450645212468054767080</v>
      </c>
      <c r="W19" s="327">
        <v>11.790425374240403142137246180</v>
      </c>
      <c r="X19" s="171">
        <v>7.7750124440019910403185664500</v>
      </c>
      <c r="Y19" s="328">
        <v>6.2566462969015911609109496600</v>
      </c>
      <c r="Z19" s="36"/>
      <c r="AA19" s="36"/>
      <c r="AB19" s="32"/>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row>
    <row r="20" ht="15.6" customHeight="1">
      <c r="A20" s="92"/>
      <c r="B20" s="346">
        <v>7</v>
      </c>
      <c r="C20" s="347" t="s">
        <v>50</v>
      </c>
      <c r="D20" s="378">
        <v>185.79816513761467889908256881</v>
      </c>
      <c r="E20" s="173">
        <v>276.52816901408450704225352112</v>
      </c>
      <c r="F20" s="379">
        <v>214.78983050847457627118644068</v>
      </c>
      <c r="G20" s="378">
        <v>0.8990825688073394495412844037</v>
      </c>
      <c r="H20" s="173">
        <v>151.74890191330105959092994328</v>
      </c>
      <c r="I20" s="379">
        <v>130.69474924288533766913920018</v>
      </c>
      <c r="J20" s="378">
        <v>24.954128440366972477064220183</v>
      </c>
      <c r="K20" s="173">
        <v>26.750666194283369009920792772</v>
      </c>
      <c r="L20" s="379">
        <v>30.619892625417020786882299981</v>
      </c>
      <c r="M20" s="378">
        <v>211.65137614678899082568807339</v>
      </c>
      <c r="N20" s="173">
        <v>455.02773712166893564310425718</v>
      </c>
      <c r="O20" s="379">
        <v>376.10447237677693472720794084</v>
      </c>
      <c r="P20" s="4"/>
      <c r="Q20" s="359">
        <v>87.78500216731686172518422193</v>
      </c>
      <c r="R20" s="170">
        <v>60.771717074500934369561207220</v>
      </c>
      <c r="S20" s="360">
        <v>57.109087044649846294213093760</v>
      </c>
      <c r="T20" s="359">
        <v>0.4247941048981361074989163400</v>
      </c>
      <c r="U20" s="170">
        <v>33.349374012495689067475116900</v>
      </c>
      <c r="V20" s="360">
        <v>34.749586575497275804687378500</v>
      </c>
      <c r="W20" s="359">
        <v>11.790203727785002167316861730</v>
      </c>
      <c r="X20" s="170">
        <v>5.8789089130033765629636758800</v>
      </c>
      <c r="Y20" s="360">
        <v>8.141326379852877901099527740</v>
      </c>
      <c r="Z20" s="35"/>
      <c r="AA20" s="35"/>
      <c r="AB20" s="31"/>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row>
    <row r="21" ht="15.6" customHeight="1">
      <c r="A21" s="92"/>
      <c r="B21" s="344">
        <v>8</v>
      </c>
      <c r="C21" s="345" t="s">
        <v>51</v>
      </c>
      <c r="D21" s="370">
        <v>208.4867256637168141592920354</v>
      </c>
      <c r="E21" s="172">
        <v>278.13818181818181818181818182</v>
      </c>
      <c r="F21" s="371">
        <v>228.08390296206942769065808873</v>
      </c>
      <c r="G21" s="370">
        <v>0.8938053097345132743362831858</v>
      </c>
      <c r="H21" s="172">
        <v>134.83909287897838230895131459</v>
      </c>
      <c r="I21" s="371">
        <v>76.505890462987573642540061583</v>
      </c>
      <c r="J21" s="370">
        <v>28.486725663716814159292035398</v>
      </c>
      <c r="K21" s="172">
        <v>26.976003268554029635862652635</v>
      </c>
      <c r="L21" s="371">
        <v>33.538582811374167374298757502</v>
      </c>
      <c r="M21" s="370">
        <v>237.86725663716814159292035398</v>
      </c>
      <c r="N21" s="172">
        <v>439.95327796571423012663214902</v>
      </c>
      <c r="O21" s="371">
        <v>338.12837623643116870749690781</v>
      </c>
      <c r="P21" s="4"/>
      <c r="Q21" s="327">
        <v>87.64835001302131775735704453</v>
      </c>
      <c r="R21" s="171">
        <v>63.219936240560812467760893650</v>
      </c>
      <c r="S21" s="328">
        <v>67.454824555329599916482818790</v>
      </c>
      <c r="T21" s="327">
        <v>0.3757580267123032850924513600</v>
      </c>
      <c r="U21" s="171">
        <v>30.648502837041359073881461560</v>
      </c>
      <c r="V21" s="328">
        <v>22.626285115299516686924554370</v>
      </c>
      <c r="W21" s="327">
        <v>11.975891960266378957550504110</v>
      </c>
      <c r="X21" s="171">
        <v>6.1315609223978284583576447900</v>
      </c>
      <c r="Y21" s="328">
        <v>9.918890329370883396592626840</v>
      </c>
      <c r="Z21" s="36"/>
      <c r="AA21" s="36"/>
      <c r="AB21" s="32"/>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row>
    <row r="22" ht="15.6" customHeight="1">
      <c r="A22" s="92"/>
      <c r="B22" s="346">
        <v>9</v>
      </c>
      <c r="C22" s="347" t="s">
        <v>52</v>
      </c>
      <c r="D22" s="378">
        <v>277.38095238095238095238095238</v>
      </c>
      <c r="E22" s="173">
        <v>267.42968750000000000000000002</v>
      </c>
      <c r="F22" s="379">
        <v>229.53949129852744310575635877</v>
      </c>
      <c r="G22" s="378">
        <v>1.2</v>
      </c>
      <c r="H22" s="173">
        <v>68.913833911992780777290038396</v>
      </c>
      <c r="I22" s="379">
        <v>105.67954394119431627956292653</v>
      </c>
      <c r="J22" s="378">
        <v>31.266666666666666666666666667</v>
      </c>
      <c r="K22" s="173">
        <v>77.990270132951469081231550455</v>
      </c>
      <c r="L22" s="379">
        <v>23.818262161946213260667333086</v>
      </c>
      <c r="M22" s="378">
        <v>309.84761904761904761904761905</v>
      </c>
      <c r="N22" s="173">
        <v>414.33379154494424985852158886</v>
      </c>
      <c r="O22" s="379">
        <v>359.03729740166797264598661839</v>
      </c>
      <c r="P22" s="4"/>
      <c r="Q22" s="359">
        <v>89.52173111206737566853138255</v>
      </c>
      <c r="R22" s="170">
        <v>64.544503238035065550465961140</v>
      </c>
      <c r="S22" s="360">
        <v>63.931934915868458160723027130</v>
      </c>
      <c r="T22" s="359">
        <v>0.3872871457552099342226593700</v>
      </c>
      <c r="U22" s="170">
        <v>16.632443531827515400410677620</v>
      </c>
      <c r="V22" s="360">
        <v>29.434140883409892462344076660</v>
      </c>
      <c r="W22" s="359">
        <v>10.090981742177414397245958070</v>
      </c>
      <c r="X22" s="170">
        <v>18.823053230137419049123361240</v>
      </c>
      <c r="Y22" s="360">
        <v>6.6339242007216493769328962100</v>
      </c>
      <c r="Z22" s="35"/>
      <c r="AA22" s="35"/>
      <c r="AB22" s="31"/>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row>
    <row r="23" ht="15.6" customHeight="1">
      <c r="A23" s="92"/>
      <c r="B23" s="344">
        <v>10</v>
      </c>
      <c r="C23" s="345" t="s">
        <v>53</v>
      </c>
      <c r="D23" s="370">
        <v>262.84070796460176991150442478</v>
      </c>
      <c r="E23" s="172">
        <v>271.5120967741935483870967742</v>
      </c>
      <c r="F23" s="371">
        <v>224.55132044650149741355839913</v>
      </c>
      <c r="G23" s="370">
        <v>1.0619469026548672566371681416</v>
      </c>
      <c r="H23" s="172">
        <v>97.68181684116461377425128207</v>
      </c>
      <c r="I23" s="371">
        <v>102.09913604198846426475876753</v>
      </c>
      <c r="J23" s="370">
        <v>31.424778761061946902654867257</v>
      </c>
      <c r="K23" s="172">
        <v>33.462054226983716592909802429</v>
      </c>
      <c r="L23" s="371">
        <v>28.362079425172760209692469611</v>
      </c>
      <c r="M23" s="370">
        <v>295.32743362831858407079646018</v>
      </c>
      <c r="N23" s="172">
        <v>402.65596784234187875425785869</v>
      </c>
      <c r="O23" s="371">
        <v>355.01253591366272188800963626</v>
      </c>
      <c r="P23" s="4"/>
      <c r="Q23" s="327">
        <v>88.99976027807743018099005154</v>
      </c>
      <c r="R23" s="171">
        <v>67.43029247253150874689110200</v>
      </c>
      <c r="S23" s="328">
        <v>63.251659513542152381406187420</v>
      </c>
      <c r="T23" s="327">
        <v>0.3595828838547285149226896800</v>
      </c>
      <c r="U23" s="171">
        <v>24.259373917788668394706740410</v>
      </c>
      <c r="V23" s="328">
        <v>28.759304450820425375496492640</v>
      </c>
      <c r="W23" s="327">
        <v>10.640656838067841304087258780</v>
      </c>
      <c r="X23" s="171">
        <v>8.310333609679822858402157600</v>
      </c>
      <c r="Y23" s="328">
        <v>7.989036035637422243097319930</v>
      </c>
      <c r="Z23" s="36"/>
      <c r="AA23" s="36"/>
      <c r="AB23" s="32"/>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row>
    <row r="24" ht="15.6" customHeight="1">
      <c r="A24" s="92"/>
      <c r="B24" s="346">
        <v>11</v>
      </c>
      <c r="C24" s="347" t="s">
        <v>49</v>
      </c>
      <c r="D24" s="378">
        <v>165.72727272727272727272727273</v>
      </c>
      <c r="E24" s="173">
        <v>226.47208121827411167512690357</v>
      </c>
      <c r="F24" s="379">
        <v>186.62632287858379834519915336</v>
      </c>
      <c r="G24" s="378">
        <v>3.012987012987012987012987013</v>
      </c>
      <c r="H24" s="173">
        <v>111.38246640302377037848879996</v>
      </c>
      <c r="I24" s="379">
        <v>87.96517276273841763298851443</v>
      </c>
      <c r="J24" s="378">
        <v>32.623376623376623376623376623</v>
      </c>
      <c r="K24" s="173">
        <v>33.92257589492120961505335015</v>
      </c>
      <c r="L24" s="379">
        <v>29.045770549881458317846895703</v>
      </c>
      <c r="M24" s="378">
        <v>201.36363636363636363636363636</v>
      </c>
      <c r="N24" s="173">
        <v>371.77712351621909166866905368</v>
      </c>
      <c r="O24" s="379">
        <v>303.6372661912036742960345635</v>
      </c>
      <c r="P24" s="4"/>
      <c r="Q24" s="359">
        <v>82.30248306997742663656884876</v>
      </c>
      <c r="R24" s="170">
        <v>60.916088401656073240422182050</v>
      </c>
      <c r="S24" s="360">
        <v>61.463576332248750403447403540</v>
      </c>
      <c r="T24" s="359">
        <v>1.4962915188648822960335375700</v>
      </c>
      <c r="U24" s="170">
        <v>29.959472855560090967403347130</v>
      </c>
      <c r="V24" s="360">
        <v>28.97047976559827009507304700</v>
      </c>
      <c r="W24" s="359">
        <v>16.201225411157691067397613670</v>
      </c>
      <c r="X24" s="170">
        <v>9.124438742783835792174470810</v>
      </c>
      <c r="Y24" s="360">
        <v>9.565943902152979501479549460</v>
      </c>
      <c r="Z24" s="35"/>
      <c r="AA24" s="35"/>
      <c r="AB24" s="31"/>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row>
    <row r="25" ht="15.6" customHeight="1">
      <c r="A25" s="92"/>
      <c r="B25" s="344">
        <v>12</v>
      </c>
      <c r="C25" s="345" t="s">
        <v>47</v>
      </c>
      <c r="D25" s="370">
        <v>148.4047619047619047619047619</v>
      </c>
      <c r="E25" s="172">
        <v>212.20338983050847457627118643</v>
      </c>
      <c r="F25" s="371">
        <v>194.66908783783783783783783784</v>
      </c>
      <c r="G25" s="370">
        <v>1.7261904761904761904761904762</v>
      </c>
      <c r="H25" s="172">
        <v>69.063601509385444914663378024</v>
      </c>
      <c r="I25" s="371">
        <v>66.64884586206794832579834427</v>
      </c>
      <c r="J25" s="370">
        <v>28.261904761904761904761904762</v>
      </c>
      <c r="K25" s="172">
        <v>36.336804907251639398117664187</v>
      </c>
      <c r="L25" s="371">
        <v>28.800544348568568184379045111</v>
      </c>
      <c r="M25" s="370">
        <v>178.39285714285714285714285714</v>
      </c>
      <c r="N25" s="172">
        <v>317.60379624714555888905222865</v>
      </c>
      <c r="O25" s="371">
        <v>290.11847804847435434801522723</v>
      </c>
      <c r="P25" s="4"/>
      <c r="Q25" s="327">
        <v>83.18985652318985652318985652</v>
      </c>
      <c r="R25" s="171">
        <v>66.813870721299867702685076490</v>
      </c>
      <c r="S25" s="328">
        <v>67.099858356940509915014164300</v>
      </c>
      <c r="T25" s="327">
        <v>0.967634300967634300967634300</v>
      </c>
      <c r="U25" s="171">
        <v>21.745206551512102409301805580</v>
      </c>
      <c r="V25" s="328">
        <v>22.972975148081380375997939740</v>
      </c>
      <c r="W25" s="327">
        <v>15.842509175842509175842509180</v>
      </c>
      <c r="X25" s="171">
        <v>11.440922727188029888013117930</v>
      </c>
      <c r="Y25" s="328">
        <v>9.927166494978109708987895960</v>
      </c>
      <c r="Z25" s="36"/>
      <c r="AA25" s="36"/>
      <c r="AB25" s="32"/>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row>
    <row r="26" ht="15.6" customHeight="1">
      <c r="A26" s="92"/>
      <c r="B26" s="346">
        <v>13</v>
      </c>
      <c r="C26" s="347" t="s">
        <v>48</v>
      </c>
      <c r="D26" s="378">
        <v>159.23913043478260869565217391</v>
      </c>
      <c r="E26" s="173">
        <v>205.21578947368421052631578946</v>
      </c>
      <c r="F26" s="379">
        <v>201.01710587147480351363846509</v>
      </c>
      <c r="G26" s="378">
        <v>1.3695652173913043478260869565</v>
      </c>
      <c r="H26" s="173">
        <v>102.24668539881505462924137585</v>
      </c>
      <c r="I26" s="379">
        <v>55.520156357950402115831844236</v>
      </c>
      <c r="J26" s="378">
        <v>29.521739130434782608695652174</v>
      </c>
      <c r="K26" s="173">
        <v>32.139483505354264674948003659</v>
      </c>
      <c r="L26" s="379">
        <v>23.299534679855983777674759738</v>
      </c>
      <c r="M26" s="378">
        <v>190.13043478260869565217391304</v>
      </c>
      <c r="N26" s="173">
        <v>339.60195837785352983050516897</v>
      </c>
      <c r="O26" s="379">
        <v>279.83679690928118940714506906</v>
      </c>
      <c r="P26" s="4"/>
      <c r="Q26" s="359">
        <v>83.75257260461925451635033158</v>
      </c>
      <c r="R26" s="170">
        <v>60.428329228111704679952656660</v>
      </c>
      <c r="S26" s="360">
        <v>71.833693099568129883393562170</v>
      </c>
      <c r="T26" s="359">
        <v>0.7203292933912645780928424400</v>
      </c>
      <c r="U26" s="170">
        <v>30.107802053677105658808099550</v>
      </c>
      <c r="V26" s="360">
        <v>19.840191487022054448473089840</v>
      </c>
      <c r="W26" s="359">
        <v>15.527098101989480905556825980</v>
      </c>
      <c r="X26" s="170">
        <v>9.463868718211189661239243790</v>
      </c>
      <c r="Y26" s="360">
        <v>8.32611541340981566813334800</v>
      </c>
      <c r="Z26" s="35"/>
      <c r="AA26" s="35"/>
      <c r="AB26" s="31"/>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row>
    <row r="27" ht="15.6" customHeight="1">
      <c r="A27" s="92"/>
      <c r="B27" s="344">
        <v>14</v>
      </c>
      <c r="C27" s="345" t="s">
        <v>50</v>
      </c>
      <c r="D27" s="370">
        <v>152.77659574468085106382978723</v>
      </c>
      <c r="E27" s="172">
        <v>193.48837209302325581395348837</v>
      </c>
      <c r="F27" s="371">
        <v>203.77492006117058251077436396</v>
      </c>
      <c r="G27" s="370">
        <v>0.9680851063829787234042553191</v>
      </c>
      <c r="H27" s="172">
        <v>49.81338543757046182297841</v>
      </c>
      <c r="I27" s="371">
        <v>120.4438249911395731786173674</v>
      </c>
      <c r="J27" s="370">
        <v>30.829787234042553191489361702</v>
      </c>
      <c r="K27" s="172">
        <v>33.068781194149657572239159841</v>
      </c>
      <c r="L27" s="371">
        <v>33.763801522050088097414505344</v>
      </c>
      <c r="M27" s="370">
        <v>184.57446808510638297872340426</v>
      </c>
      <c r="N27" s="172">
        <v>276.37053872474337520917105821</v>
      </c>
      <c r="O27" s="371">
        <v>357.9825465743602437868062367</v>
      </c>
      <c r="P27" s="4"/>
      <c r="Q27" s="327">
        <v>82.77233429394812680115273775</v>
      </c>
      <c r="R27" s="171">
        <v>70.010491344640671446057002970</v>
      </c>
      <c r="S27" s="328">
        <v>56.923143882614510075995488040</v>
      </c>
      <c r="T27" s="327">
        <v>0.5244956772334293948126801200</v>
      </c>
      <c r="U27" s="171">
        <v>18.024130092673544325931106840</v>
      </c>
      <c r="V27" s="328">
        <v>33.645166822712946176209842260</v>
      </c>
      <c r="W27" s="327">
        <v>16.703170028818443804034582130</v>
      </c>
      <c r="X27" s="171">
        <v>11.965378562685784228011890190</v>
      </c>
      <c r="Y27" s="328">
        <v>9.431689294672543747794669690</v>
      </c>
      <c r="Z27" s="36"/>
      <c r="AA27" s="36"/>
      <c r="AB27" s="32"/>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row>
    <row r="28" ht="15.6" customHeight="1">
      <c r="A28" s="92"/>
      <c r="B28" s="346">
        <v>15</v>
      </c>
      <c r="C28" s="347" t="s">
        <v>51</v>
      </c>
      <c r="D28" s="378">
        <v>168.46728971962616822429906542</v>
      </c>
      <c r="E28" s="173">
        <v>205.10526315789473684210526314</v>
      </c>
      <c r="F28" s="379">
        <v>206.79348849724202879052872326</v>
      </c>
      <c r="G28" s="378">
        <v>2.1401869158878504672897196262</v>
      </c>
      <c r="H28" s="173">
        <v>108.7551363110573636889426363</v>
      </c>
      <c r="I28" s="379">
        <v>83.98169017212222023369143577</v>
      </c>
      <c r="J28" s="378">
        <v>30.280373831775700934579439252</v>
      </c>
      <c r="K28" s="173">
        <v>38.192573873494926126505073871</v>
      </c>
      <c r="L28" s="379">
        <v>20.803528822387308986266655582</v>
      </c>
      <c r="M28" s="378">
        <v>200.8878504672897196261682243</v>
      </c>
      <c r="N28" s="173">
        <v>352.05297334244702665755297333</v>
      </c>
      <c r="O28" s="379">
        <v>311.57870749175155801048681461</v>
      </c>
      <c r="P28" s="4"/>
      <c r="Q28" s="359">
        <v>83.86136310769946499185857176</v>
      </c>
      <c r="R28" s="170">
        <v>58.259773013871374527112232030</v>
      </c>
      <c r="S28" s="360">
        <v>66.369582877455284820082738930</v>
      </c>
      <c r="T28" s="359">
        <v>1.0653640381484066061874854600</v>
      </c>
      <c r="U28" s="170">
        <v>30.891696575807546803763701620</v>
      </c>
      <c r="V28" s="360">
        <v>26.953603745321869467831836180</v>
      </c>
      <c r="W28" s="359">
        <v>15.073272854152128401953942780</v>
      </c>
      <c r="X28" s="170">
        <v>10.848530410321078669124066350</v>
      </c>
      <c r="Y28" s="360">
        <v>6.6768133772228457120854248900</v>
      </c>
      <c r="Z28" s="35"/>
      <c r="AA28" s="35"/>
      <c r="AB28" s="31"/>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row>
    <row r="29" ht="15.6" customHeight="1">
      <c r="A29" s="92"/>
      <c r="B29" s="344">
        <v>16</v>
      </c>
      <c r="C29" s="345" t="s">
        <v>52</v>
      </c>
      <c r="D29" s="370">
        <v>260.22807017543859649122807018</v>
      </c>
      <c r="E29" s="172">
        <v>289.25547445255474452554744527</v>
      </c>
      <c r="F29" s="371">
        <v>229.93394296715196727228973649</v>
      </c>
      <c r="G29" s="370">
        <v>0.4912280701754385964912280702</v>
      </c>
      <c r="H29" s="172">
        <v>75.656375467818697611280491784</v>
      </c>
      <c r="I29" s="371">
        <v>109.41913386868266507064958462</v>
      </c>
      <c r="J29" s="370">
        <v>31.745614035087719298245614035</v>
      </c>
      <c r="K29" s="172">
        <v>35.844680089672912808701936998</v>
      </c>
      <c r="L29" s="371">
        <v>31.966259724740454307189174288</v>
      </c>
      <c r="M29" s="370">
        <v>292.46491228070175438596491228</v>
      </c>
      <c r="N29" s="172">
        <v>400.75653001004635494552987407</v>
      </c>
      <c r="O29" s="371">
        <v>371.3193365605750866501284954</v>
      </c>
      <c r="P29" s="4"/>
      <c r="Q29" s="327">
        <v>88.97753516691161032962418644</v>
      </c>
      <c r="R29" s="171">
        <v>72.177357770141275295914471170</v>
      </c>
      <c r="S29" s="328">
        <v>61.923503660478438691048192040</v>
      </c>
      <c r="T29" s="327">
        <v>0.167961368885156414024774300</v>
      </c>
      <c r="U29" s="171">
        <v>18.878388697976326842306223750</v>
      </c>
      <c r="V29" s="328">
        <v>29.467663839486743822217270400</v>
      </c>
      <c r="W29" s="327">
        <v>10.854503464203233256351039260</v>
      </c>
      <c r="X29" s="171">
        <v>8.944253531882397861779305080</v>
      </c>
      <c r="Y29" s="328">
        <v>8.608832500034817486734537550</v>
      </c>
      <c r="Z29" s="36"/>
      <c r="AA29" s="36"/>
      <c r="AB29" s="32"/>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row>
    <row r="30" ht="15.6" customHeight="1">
      <c r="A30" s="92"/>
      <c r="B30" s="346">
        <v>17</v>
      </c>
      <c r="C30" s="347" t="s">
        <v>53</v>
      </c>
      <c r="D30" s="378">
        <v>288.45669291338582677165354331</v>
      </c>
      <c r="E30" s="173">
        <v>292.16774193548387096774193548</v>
      </c>
      <c r="F30" s="379">
        <v>226.72153569286142771445710858</v>
      </c>
      <c r="G30" s="378">
        <v>1.1259842519685039370078740157</v>
      </c>
      <c r="H30" s="173">
        <v>67.152117735306077300727240358</v>
      </c>
      <c r="I30" s="379">
        <v>101.94850875247261295674739975</v>
      </c>
      <c r="J30" s="378">
        <v>33.787401574803149606299212598</v>
      </c>
      <c r="K30" s="173">
        <v>38.180536579366553739003771929</v>
      </c>
      <c r="L30" s="379">
        <v>26.402609321942680867026678149</v>
      </c>
      <c r="M30" s="378">
        <v>323.37007874015748031496062992</v>
      </c>
      <c r="N30" s="173">
        <v>397.50039625015650200747294777</v>
      </c>
      <c r="O30" s="379">
        <v>355.07265376727672153823118648</v>
      </c>
      <c r="P30" s="4"/>
      <c r="Q30" s="359">
        <v>89.20327262101879809097107237</v>
      </c>
      <c r="R30" s="170">
        <v>73.501245455769489699744176650</v>
      </c>
      <c r="S30" s="360">
        <v>63.852153436028969034383225040</v>
      </c>
      <c r="T30" s="359">
        <v>0.3482029804227135482614200800</v>
      </c>
      <c r="U30" s="170">
        <v>16.893597684125488084017772990</v>
      </c>
      <c r="V30" s="360">
        <v>28.712013631805098793407560170</v>
      </c>
      <c r="W30" s="359">
        <v>10.448524398558488360767507550</v>
      </c>
      <c r="X30" s="170">
        <v>9.605156860105022216238050360</v>
      </c>
      <c r="Y30" s="360">
        <v>7.435832932165932172209214800</v>
      </c>
      <c r="Z30" s="35"/>
      <c r="AA30" s="35"/>
      <c r="AB30" s="31"/>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row>
    <row r="31" ht="15.6" customHeight="1">
      <c r="A31" s="92"/>
      <c r="B31" s="344">
        <v>18</v>
      </c>
      <c r="C31" s="345" t="s">
        <v>49</v>
      </c>
      <c r="D31" s="370">
        <v>193.83898305084745762711864407</v>
      </c>
      <c r="E31" s="172">
        <v>250.86029411764705882352941176</v>
      </c>
      <c r="F31" s="371">
        <v>196.92536416879411323021474696</v>
      </c>
      <c r="G31" s="370">
        <v>1.5</v>
      </c>
      <c r="H31" s="172">
        <v>87.31716777709615639738269261</v>
      </c>
      <c r="I31" s="371">
        <v>85.90260717222747102034820085</v>
      </c>
      <c r="J31" s="370">
        <v>28.720338983050847457627118644</v>
      </c>
      <c r="K31" s="172">
        <v>36.709965997084955646629669168</v>
      </c>
      <c r="L31" s="371">
        <v>26.568294737431477189954621433</v>
      </c>
      <c r="M31" s="370">
        <v>224.05932203389830508474576271</v>
      </c>
      <c r="N31" s="172">
        <v>374.88742789182817086754177352</v>
      </c>
      <c r="O31" s="371">
        <v>309.39626607845306144051756924</v>
      </c>
      <c r="P31" s="4"/>
      <c r="Q31" s="327">
        <v>86.51234918113393093536064148</v>
      </c>
      <c r="R31" s="171">
        <v>66.916166148423494140644782290</v>
      </c>
      <c r="S31" s="328">
        <v>63.648267855585593442051103170</v>
      </c>
      <c r="T31" s="327">
        <v>0.669465562237603540224668100</v>
      </c>
      <c r="U31" s="171">
        <v>23.291570023599477367797348350</v>
      </c>
      <c r="V31" s="328">
        <v>27.764590782244702188889857850</v>
      </c>
      <c r="W31" s="327">
        <v>12.818185256628465524414690420</v>
      </c>
      <c r="X31" s="171">
        <v>9.792263827977028491557869360</v>
      </c>
      <c r="Y31" s="328">
        <v>8.587141362169704369059038980</v>
      </c>
      <c r="Z31" s="36"/>
      <c r="AA31" s="36"/>
      <c r="AB31" s="32"/>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row>
    <row r="32" ht="15.6" customHeight="1">
      <c r="A32" s="92"/>
      <c r="B32" s="346">
        <v>19</v>
      </c>
      <c r="C32" s="347" t="s">
        <v>47</v>
      </c>
      <c r="D32" s="378">
        <v>194.1680672268907563025210084</v>
      </c>
      <c r="E32" s="173">
        <v>278.93607305936073059360730593</v>
      </c>
      <c r="F32" s="379">
        <v>198.88032116346008180578700197</v>
      </c>
      <c r="G32" s="378">
        <v>2.4705882352941176470588235294</v>
      </c>
      <c r="H32" s="173"/>
      <c r="I32" s="379">
        <v>101.94960979698267216930938488</v>
      </c>
      <c r="J32" s="378">
        <v>26.420168067226890756302521008</v>
      </c>
      <c r="K32" s="173"/>
      <c r="L32" s="379">
        <v>33.416943085724906265923605464</v>
      </c>
      <c r="M32" s="378">
        <v>223.05882352941176470588235294</v>
      </c>
      <c r="N32" s="173"/>
      <c r="O32" s="379">
        <v>334.24687404616766024101999232</v>
      </c>
      <c r="P32" s="4"/>
      <c r="Q32" s="359">
        <v>87.04792043399638336347197107</v>
      </c>
      <c r="R32" s="170"/>
      <c r="S32" s="360">
        <v>59.501026518497776599343077720</v>
      </c>
      <c r="T32" s="359">
        <v>1.1075949367088607594936708900</v>
      </c>
      <c r="U32" s="170"/>
      <c r="V32" s="360">
        <v>30.501290427296842882577930530</v>
      </c>
      <c r="W32" s="359">
        <v>11.844484629294755877034358050</v>
      </c>
      <c r="X32" s="170"/>
      <c r="Y32" s="360">
        <v>9.997683054205380518078991740</v>
      </c>
      <c r="Z32" s="35"/>
      <c r="AA32" s="35"/>
      <c r="AB32" s="31"/>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row>
    <row r="33" ht="15.6" customHeight="1">
      <c r="A33" s="92"/>
      <c r="B33" s="344">
        <v>20</v>
      </c>
      <c r="C33" s="345" t="s">
        <v>48</v>
      </c>
      <c r="D33" s="370">
        <v>202.45762711864406779661016949</v>
      </c>
      <c r="E33" s="172">
        <v>264.75263157894736842105263158</v>
      </c>
      <c r="F33" s="371">
        <v>197.78567181926278240190249703</v>
      </c>
      <c r="G33" s="370">
        <v>0.2203389830508474576271186441</v>
      </c>
      <c r="H33" s="172"/>
      <c r="I33" s="371">
        <v>88.24740535221397666727282604</v>
      </c>
      <c r="J33" s="370">
        <v>23.161016949152542372881355932</v>
      </c>
      <c r="K33" s="172"/>
      <c r="L33" s="371">
        <v>27.449053011212792607311768051</v>
      </c>
      <c r="M33" s="370">
        <v>225.83898305084745762711864407</v>
      </c>
      <c r="N33" s="172"/>
      <c r="O33" s="371">
        <v>313.48213018268955167648709111</v>
      </c>
      <c r="P33" s="4"/>
      <c r="Q33" s="327">
        <v>89.64689106533078164283838043</v>
      </c>
      <c r="R33" s="171"/>
      <c r="S33" s="328">
        <v>63.093124862970095121867463360</v>
      </c>
      <c r="T33" s="327">
        <v>0.0975646365717287703103305900</v>
      </c>
      <c r="U33" s="171"/>
      <c r="V33" s="328">
        <v>28.150697234571423288347901430</v>
      </c>
      <c r="W33" s="327">
        <v>10.255544298097489586851288980</v>
      </c>
      <c r="X33" s="171"/>
      <c r="Y33" s="328">
        <v>8.756177902458481589784635220</v>
      </c>
      <c r="Z33" s="36"/>
      <c r="AA33" s="36"/>
      <c r="AB33" s="32"/>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row>
    <row r="34" ht="15.6" customHeight="1">
      <c r="A34" s="92"/>
      <c r="B34" s="346">
        <v>21</v>
      </c>
      <c r="C34" s="347" t="s">
        <v>50</v>
      </c>
      <c r="D34" s="378">
        <v>183.62698412698412698412698413</v>
      </c>
      <c r="E34" s="173">
        <v>247.20261437908496732026143789</v>
      </c>
      <c r="F34" s="379">
        <v>193.30356607731495355109379682</v>
      </c>
      <c r="G34" s="378">
        <v>1.380952380952380952380952381</v>
      </c>
      <c r="H34" s="173"/>
      <c r="I34" s="379">
        <v>76.989629299978224194261842162</v>
      </c>
      <c r="J34" s="378">
        <v>23.055555555555555555555555556</v>
      </c>
      <c r="K34" s="173"/>
      <c r="L34" s="379">
        <v>20.260206785182264843541455605</v>
      </c>
      <c r="M34" s="378">
        <v>208.06349206349206349206349206</v>
      </c>
      <c r="N34" s="173"/>
      <c r="O34" s="379">
        <v>290.55340216247544258889709459</v>
      </c>
      <c r="P34" s="4"/>
      <c r="Q34" s="359">
        <v>88.25526396093988404028074458</v>
      </c>
      <c r="R34" s="170"/>
      <c r="S34" s="360">
        <v>66.529445065393157306469640450</v>
      </c>
      <c r="T34" s="359">
        <v>0.6637168141592920353982300900</v>
      </c>
      <c r="U34" s="170"/>
      <c r="V34" s="360">
        <v>26.497583138581237026607249130</v>
      </c>
      <c r="W34" s="359">
        <v>11.081019224900823924321025330</v>
      </c>
      <c r="X34" s="170"/>
      <c r="Y34" s="360">
        <v>6.9729717960256056669231104200</v>
      </c>
      <c r="Z34" s="35"/>
      <c r="AA34" s="35"/>
      <c r="AB34" s="31"/>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row>
    <row r="35" ht="15.6" customHeight="1">
      <c r="A35" s="92"/>
      <c r="B35" s="344">
        <v>22</v>
      </c>
      <c r="C35" s="345" t="s">
        <v>51</v>
      </c>
      <c r="D35" s="370">
        <v>188.01587301587301587301587302</v>
      </c>
      <c r="E35" s="172">
        <v>271.50289017341040462427745666</v>
      </c>
      <c r="F35" s="371">
        <v>190.14291725105189340813464236</v>
      </c>
      <c r="G35" s="370">
        <v>1.1666666666666666666666666667</v>
      </c>
      <c r="H35" s="172"/>
      <c r="I35" s="371">
        <v>63.931251853231998412719176087</v>
      </c>
      <c r="J35" s="370">
        <v>23.611111111111111111111111111</v>
      </c>
      <c r="K35" s="172"/>
      <c r="L35" s="371">
        <v>19.642386957114916591849125826</v>
      </c>
      <c r="M35" s="370">
        <v>212.79365079365079365079365079</v>
      </c>
      <c r="N35" s="172"/>
      <c r="O35" s="371">
        <v>273.71655606139880841270294426</v>
      </c>
      <c r="P35" s="4"/>
      <c r="Q35" s="327">
        <v>88.35596001790243174697896464</v>
      </c>
      <c r="R35" s="171"/>
      <c r="S35" s="328">
        <v>69.467086677942831470105970830</v>
      </c>
      <c r="T35" s="327">
        <v>0.548261972251230792182604800</v>
      </c>
      <c r="U35" s="171"/>
      <c r="V35" s="328">
        <v>23.356735439448990132986328940</v>
      </c>
      <c r="W35" s="327">
        <v>11.095778009846337460838430550</v>
      </c>
      <c r="X35" s="171"/>
      <c r="Y35" s="328">
        <v>7.1761778826081783969077002300</v>
      </c>
      <c r="Z35" s="36"/>
      <c r="AA35" s="36"/>
      <c r="AB35" s="32"/>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row>
    <row r="36" ht="15.6" customHeight="1">
      <c r="A36" s="92"/>
      <c r="B36" s="346">
        <v>23</v>
      </c>
      <c r="C36" s="347" t="s">
        <v>52</v>
      </c>
      <c r="D36" s="378">
        <v>245.53608247422680412371134021</v>
      </c>
      <c r="E36" s="173">
        <v>325.93636363636363636363636362</v>
      </c>
      <c r="F36" s="379">
        <v>213.32176077557971963841215774</v>
      </c>
      <c r="G36" s="378">
        <v>1.5876288659793814432989690722</v>
      </c>
      <c r="H36" s="173"/>
      <c r="I36" s="379">
        <v>89.32462377035815170692893661</v>
      </c>
      <c r="J36" s="378">
        <v>32.783505154639175257731958763</v>
      </c>
      <c r="K36" s="173"/>
      <c r="L36" s="379">
        <v>28.940591991669281904172866713</v>
      </c>
      <c r="M36" s="378">
        <v>279.90721649484536082474226804</v>
      </c>
      <c r="N36" s="173"/>
      <c r="O36" s="379">
        <v>331.58697653760715324951396106</v>
      </c>
      <c r="P36" s="4"/>
      <c r="Q36" s="359">
        <v>87.72052594747891422047070089</v>
      </c>
      <c r="R36" s="170"/>
      <c r="S36" s="360">
        <v>64.333576367522291088228235260</v>
      </c>
      <c r="T36" s="359">
        <v>0.5671982615741593311480240100</v>
      </c>
      <c r="U36" s="170"/>
      <c r="V36" s="360">
        <v>26.938519933163702294113833270</v>
      </c>
      <c r="W36" s="359">
        <v>11.712275790946926448381275090</v>
      </c>
      <c r="X36" s="170"/>
      <c r="Y36" s="360">
        <v>8.727903699314006617657931460</v>
      </c>
      <c r="Z36" s="35"/>
      <c r="AA36" s="35"/>
      <c r="AB36" s="31"/>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row>
    <row r="37" ht="15.6" customHeight="1">
      <c r="A37" s="92"/>
      <c r="B37" s="348">
        <v>24</v>
      </c>
      <c r="C37" s="349" t="s">
        <v>53</v>
      </c>
      <c r="D37" s="380">
        <v>275.00833333333333333333333333</v>
      </c>
      <c r="E37" s="383">
        <v>412.77405857740585774058577404</v>
      </c>
      <c r="F37" s="381">
        <v>234.34187434187434187434187434</v>
      </c>
      <c r="G37" s="380">
        <v>0.2166666666666666666666666667</v>
      </c>
      <c r="H37" s="383"/>
      <c r="I37" s="381">
        <v>65.529951406308682913475560766</v>
      </c>
      <c r="J37" s="380">
        <v>31.366666666666666666666666667</v>
      </c>
      <c r="K37" s="383"/>
      <c r="L37" s="381">
        <v>27.133156942818154299125286742</v>
      </c>
      <c r="M37" s="380">
        <v>306.59166666666666666666666667</v>
      </c>
      <c r="N37" s="383"/>
      <c r="O37" s="381">
        <v>327.00498269100117908694272186</v>
      </c>
      <c r="P37" s="4"/>
      <c r="Q37" s="329">
        <v>89.69856758446359163925960153</v>
      </c>
      <c r="R37" s="330"/>
      <c r="S37" s="332">
        <v>71.663089783348177399105063790</v>
      </c>
      <c r="T37" s="329">
        <v>0.0706694572042075507596966600</v>
      </c>
      <c r="U37" s="330"/>
      <c r="V37" s="332">
        <v>20.039435138586344174866671670</v>
      </c>
      <c r="W37" s="329">
        <v>10.230762958332200809980701800</v>
      </c>
      <c r="X37" s="330"/>
      <c r="Y37" s="332">
        <v>8.297475078065478426028264530</v>
      </c>
      <c r="Z37" s="37"/>
      <c r="AA37" s="37"/>
      <c r="AB37" s="33"/>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row>
    <row r="38" ht="21" customHeight="1">
      <c r="B38" s="54"/>
      <c r="C38"/>
      <c r="D38" s="169"/>
      <c r="E38" s="169"/>
      <c r="F38" s="169"/>
      <c r="G38" s="169"/>
      <c r="H38" s="169"/>
      <c r="I38" s="169"/>
      <c r="J38" s="169"/>
      <c r="K38" s="169"/>
      <c r="L38" s="169"/>
      <c r="M38" s="169"/>
      <c r="N38" s="169"/>
      <c r="O38" s="169"/>
      <c r="P38" s="4"/>
      <c r="Q38" s="4"/>
      <c r="R38" s="4"/>
      <c r="S38" s="4"/>
      <c r="T38" s="4"/>
      <c r="U38" s="4"/>
      <c r="V38" s="4"/>
      <c r="W38" s="4"/>
      <c r="X38" s="4"/>
      <c r="Y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row>
    <row r="39" ht="15.6" customHeight="1">
      <c r="A39" s="54"/>
      <c r="B39" s="53"/>
      <c r="C39" s="53" t="s">
        <v>14</v>
      </c>
      <c r="D39" s="374">
        <v>231.12731481481481481481481481</v>
      </c>
      <c r="E39" s="382">
        <v>293.19211822660098522167487685</v>
      </c>
      <c r="F39" s="375">
        <v>227.12589470624568542673400429</v>
      </c>
      <c r="G39" s="374">
        <v>2.7013888888888888888888888889</v>
      </c>
      <c r="H39" s="382">
        <v>93.78469860457335815490225305</v>
      </c>
      <c r="I39" s="375">
        <v>73.947995381018801201112307092</v>
      </c>
      <c r="J39" s="374">
        <v>29.449074074074074074074074074</v>
      </c>
      <c r="K39" s="382">
        <v>33.566517983867392598636772975</v>
      </c>
      <c r="L39" s="375">
        <v>23.873459273724432614893964623</v>
      </c>
      <c r="M39" s="374">
        <v>263.27777777777777777777777778</v>
      </c>
      <c r="N39" s="382">
        <v>420.54333481504173597521390288</v>
      </c>
      <c r="O39" s="375">
        <v>324.94734936098891924274027599</v>
      </c>
      <c r="P39" s="4"/>
      <c r="Q39" s="354">
        <v>87.78838714215375958359710206</v>
      </c>
      <c r="R39" s="355">
        <v>69.717456907395567983456935200</v>
      </c>
      <c r="S39" s="356">
        <v>69.896214002942396032878347280</v>
      </c>
      <c r="T39" s="354">
        <v>1.0260603502848702257860308100</v>
      </c>
      <c r="U39" s="355">
        <v>22.300840565175193117062617770</v>
      </c>
      <c r="V39" s="356">
        <v>22.75691601314428819429594500</v>
      </c>
      <c r="W39" s="354">
        <v>11.185552507561370190616867130</v>
      </c>
      <c r="X39" s="355">
        <v>7.981702527429238899480447030</v>
      </c>
      <c r="Y39" s="356">
        <v>7.3468699839133157728257077200</v>
      </c>
      <c r="Z39" s="38"/>
      <c r="AA39" s="38"/>
      <c r="AB39" s="34"/>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row>
    <row r="40" ht="15.6" customHeight="1">
      <c r="A40" s="54"/>
      <c r="C40" s="53" t="s">
        <v>15</v>
      </c>
      <c r="D40" s="370">
        <v>211.76699029126213592233009709</v>
      </c>
      <c r="E40" s="172">
        <v>284.74213907359404936323678576</v>
      </c>
      <c r="F40" s="371">
        <v>221.8359734657628593177946134</v>
      </c>
      <c r="G40" s="370">
        <v>2.4878640776699029126213592233</v>
      </c>
      <c r="H40" s="172">
        <v>82.04671424337718960328617535</v>
      </c>
      <c r="I40" s="371">
        <v>80.83409201081381696468661466</v>
      </c>
      <c r="J40" s="370">
        <v>28.179611650485436893203883495</v>
      </c>
      <c r="K40" s="172">
        <v>33.673010764383170151043314069</v>
      </c>
      <c r="L40" s="371">
        <v>28.057910787731935749897891045</v>
      </c>
      <c r="M40" s="370">
        <v>242.43446601941747572815533981</v>
      </c>
      <c r="N40" s="172">
        <v>400.46186408135440911756627517</v>
      </c>
      <c r="O40" s="371">
        <v>330.72797626430861203237911911</v>
      </c>
      <c r="P40" s="4"/>
      <c r="Q40" s="327">
        <v>87.35019973368841544607190413</v>
      </c>
      <c r="R40" s="171">
        <v>71.103434462300827325254611630</v>
      </c>
      <c r="S40" s="328">
        <v>67.075055449339342021582450960</v>
      </c>
      <c r="T40" s="327">
        <v>1.0262006547660763092818597800</v>
      </c>
      <c r="U40" s="171">
        <v>20.488021857359501398453642970</v>
      </c>
      <c r="V40" s="328">
        <v>24.441262249376041883486431850</v>
      </c>
      <c r="W40" s="327">
        <v>11.623599611545508244646236100</v>
      </c>
      <c r="X40" s="171">
        <v>8.408543680339671276291745400</v>
      </c>
      <c r="Y40" s="328">
        <v>8.483682301284616094931117190</v>
      </c>
      <c r="Z40" s="36"/>
      <c r="AA40" s="36"/>
      <c r="AB40" s="32"/>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row>
    <row r="41" ht="15.6" customHeight="1">
      <c r="A41" s="54"/>
      <c r="B41" s="22"/>
      <c r="C41" s="53" t="s">
        <v>16</v>
      </c>
      <c r="D41" s="378">
        <v>222.12068965517241379310344828</v>
      </c>
      <c r="E41" s="173">
        <v>270.93788697357895082901384064</v>
      </c>
      <c r="F41" s="379">
        <v>225.99312678439251348207676853</v>
      </c>
      <c r="G41" s="378">
        <v>1.2192118226600985221674876847</v>
      </c>
      <c r="H41" s="173">
        <v>108.19027224689715551511086041</v>
      </c>
      <c r="I41" s="379">
        <v>78.279295821332550377517318882</v>
      </c>
      <c r="J41" s="378">
        <v>25.741379310344827586206896552</v>
      </c>
      <c r="K41" s="173">
        <v>32.989340651563290026482551308</v>
      </c>
      <c r="L41" s="379">
        <v>23.471836021569197819058876389</v>
      </c>
      <c r="M41" s="378">
        <v>249.08128078817733990147783251</v>
      </c>
      <c r="N41" s="173">
        <v>412.11749987203939637060725236</v>
      </c>
      <c r="O41" s="379">
        <v>327.7442586272942616786529638</v>
      </c>
      <c r="P41" s="4"/>
      <c r="Q41" s="359">
        <v>89.17598663067232292068389253</v>
      </c>
      <c r="R41" s="170">
        <v>65.742873587679224666537283340</v>
      </c>
      <c r="S41" s="360">
        <v>68.954107001272729260548830150</v>
      </c>
      <c r="T41" s="359">
        <v>0.4894835207214690438755228600</v>
      </c>
      <c r="U41" s="170">
        <v>26.252287825799618187417335370</v>
      </c>
      <c r="V41" s="360">
        <v>23.884261512068336058534265990</v>
      </c>
      <c r="W41" s="359">
        <v>10.334529848606208035440584610</v>
      </c>
      <c r="X41" s="170">
        <v>8.004838586521157146045381290</v>
      </c>
      <c r="Y41" s="360">
        <v>7.1616314866589346809169038600</v>
      </c>
      <c r="Z41" s="35"/>
      <c r="AA41" s="35"/>
      <c r="AB41" s="31"/>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row>
    <row r="42" ht="15.6" customHeight="1">
      <c r="A42" s="54"/>
      <c r="B42" s="22"/>
      <c r="C42" s="53" t="s">
        <v>17</v>
      </c>
      <c r="D42" s="370">
        <v>200.93846153846153846153846154</v>
      </c>
      <c r="E42" s="172">
        <v>262.32782486183431737801114041</v>
      </c>
      <c r="F42" s="371">
        <v>222.18659438818996965667723569</v>
      </c>
      <c r="G42" s="370">
        <v>1.0637362637362637362637362637</v>
      </c>
      <c r="H42" s="172">
        <v>100.33481880694253488738460076</v>
      </c>
      <c r="I42" s="371">
        <v>133.60130990577935513712666364</v>
      </c>
      <c r="J42" s="370">
        <v>86.04395604395604395604395604</v>
      </c>
      <c r="K42" s="172">
        <v>36.352993184221465847313634929</v>
      </c>
      <c r="L42" s="371">
        <v>46.130111043557487246248150823</v>
      </c>
      <c r="M42" s="370">
        <v>288.04615384615384615384615385</v>
      </c>
      <c r="N42" s="172">
        <v>399.01563685299831811270937609</v>
      </c>
      <c r="O42" s="371">
        <v>401.91801533752681204005205015</v>
      </c>
      <c r="P42" s="4"/>
      <c r="Q42" s="327">
        <v>69.759119799177482241093841800</v>
      </c>
      <c r="R42" s="171">
        <v>65.743745516038192012582077590</v>
      </c>
      <c r="S42" s="328">
        <v>55.281571342752537294910157440</v>
      </c>
      <c r="T42" s="327">
        <v>0.3692936876721526617376641400</v>
      </c>
      <c r="U42" s="171">
        <v>25.145585671347253176615387200</v>
      </c>
      <c r="V42" s="328">
        <v>33.240935914152114792319597180</v>
      </c>
      <c r="W42" s="327">
        <v>29.871586513150365097168494060</v>
      </c>
      <c r="X42" s="171">
        <v>9.110668812614554810802535220</v>
      </c>
      <c r="Y42" s="328">
        <v>11.477492743095347912770245380</v>
      </c>
      <c r="Z42" s="36"/>
      <c r="AA42" s="36"/>
      <c r="AB42" s="32"/>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row>
    <row r="43" ht="15.6" customHeight="1">
      <c r="A43" s="54"/>
      <c r="B43" s="22"/>
      <c r="C43" s="53" t="s">
        <v>18</v>
      </c>
      <c r="D43" s="378">
        <v>217.25319148936170212765957447</v>
      </c>
      <c r="E43" s="173">
        <v>291.60482499170660436620811834</v>
      </c>
      <c r="F43" s="379">
        <v>229.5368424530795664816283373</v>
      </c>
      <c r="G43" s="378">
        <v>1.2574468085106382978723404255</v>
      </c>
      <c r="H43" s="173">
        <v>113.99308694579794188943949704</v>
      </c>
      <c r="I43" s="379">
        <v>73.743811546603859435294576193</v>
      </c>
      <c r="J43" s="378">
        <v>28.48297872340425531914893617</v>
      </c>
      <c r="K43" s="173">
        <v>34.731502551867706684472515323</v>
      </c>
      <c r="L43" s="379">
        <v>23.639163346368080366286962693</v>
      </c>
      <c r="M43" s="378">
        <v>246.99361702127659574468085106</v>
      </c>
      <c r="N43" s="173">
        <v>440.3294144893722529401201307</v>
      </c>
      <c r="O43" s="379">
        <v>326.91981734605150628320987619</v>
      </c>
      <c r="P43" s="4"/>
      <c r="Q43" s="359">
        <v>87.95903072695478391206595054</v>
      </c>
      <c r="R43" s="170">
        <v>66.224243803895310629992963760</v>
      </c>
      <c r="S43" s="360">
        <v>70.211969502634949910868251690</v>
      </c>
      <c r="T43" s="359">
        <v>0.509100932920998905992919100</v>
      </c>
      <c r="U43" s="170">
        <v>25.888138106328862507978672130</v>
      </c>
      <c r="V43" s="360">
        <v>22.557155496188376694854455360</v>
      </c>
      <c r="W43" s="359">
        <v>11.531868340124217181941130360</v>
      </c>
      <c r="X43" s="170">
        <v>7.887618089775826862028364100</v>
      </c>
      <c r="Y43" s="360">
        <v>7.2308750011766733942772929400</v>
      </c>
      <c r="Z43" s="35"/>
      <c r="AA43" s="35"/>
      <c r="AB43" s="31"/>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row>
    <row r="44" ht="15.6" customHeight="1">
      <c r="A44" s="54"/>
      <c r="B44" s="22"/>
      <c r="C44" s="53" t="s">
        <v>19</v>
      </c>
      <c r="D44" s="370">
        <v>307.17342342342342342342342342</v>
      </c>
      <c r="E44" s="172">
        <v>353.28353516835364594092129726</v>
      </c>
      <c r="F44" s="371">
        <v>252.92303653602643688810648877</v>
      </c>
      <c r="G44" s="370">
        <v>1.1373873873873873873873873874</v>
      </c>
      <c r="H44" s="172">
        <v>100.43279424334290176405084244</v>
      </c>
      <c r="I44" s="371">
        <v>95.43526414875413641481400045</v>
      </c>
      <c r="J44" s="370">
        <v>30.353603603603603603603603604</v>
      </c>
      <c r="K44" s="172">
        <v>47.98726329609641309186823929</v>
      </c>
      <c r="L44" s="371">
        <v>26.798794556881379652573011473</v>
      </c>
      <c r="M44" s="370">
        <v>338.66441441441441441441441441</v>
      </c>
      <c r="N44" s="172">
        <v>501.70359270779296079684037899</v>
      </c>
      <c r="O44" s="371">
        <v>375.15709524166195295549350073</v>
      </c>
      <c r="P44" s="4"/>
      <c r="Q44" s="327">
        <v>90.70141719925249556086109319</v>
      </c>
      <c r="R44" s="171">
        <v>70.416783994233113963876731060</v>
      </c>
      <c r="S44" s="328">
        <v>67.417900326022895107088815830</v>
      </c>
      <c r="T44" s="327">
        <v>0.3358449659832277028869366300</v>
      </c>
      <c r="U44" s="171">
        <v>20.018352609613050393651371690</v>
      </c>
      <c r="V44" s="328">
        <v>25.438746956732449298811260450</v>
      </c>
      <c r="W44" s="327">
        <v>8.962737834764276736251970180</v>
      </c>
      <c r="X44" s="171">
        <v>9.564863396153835642471897250</v>
      </c>
      <c r="Y44" s="328">
        <v>7.1433527172446555940999237100</v>
      </c>
      <c r="Z44" s="36"/>
      <c r="AA44" s="36"/>
      <c r="AB44" s="32"/>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row>
    <row r="45" ht="15.6" customHeight="1">
      <c r="A45" s="54"/>
      <c r="B45" s="22"/>
      <c r="C45" s="53" t="s">
        <v>20</v>
      </c>
      <c r="D45" s="384">
        <v>311.4236252545824847250509165</v>
      </c>
      <c r="E45" s="385">
        <v>375.3650232472494590986511992</v>
      </c>
      <c r="F45" s="386">
        <v>260.90889468477381059447792068</v>
      </c>
      <c r="G45" s="384">
        <v>1.0162932790224032586558044807</v>
      </c>
      <c r="H45" s="385">
        <v>113.15918247813249901500465213</v>
      </c>
      <c r="I45" s="386">
        <v>83.76230498981485914297165671</v>
      </c>
      <c r="J45" s="384">
        <v>30.454175152749490835030549898</v>
      </c>
      <c r="K45" s="385">
        <v>38.203182888024921858017874685</v>
      </c>
      <c r="L45" s="386">
        <v>25.846774986433612317021800216</v>
      </c>
      <c r="M45" s="384">
        <v>342.89409368635437881873727088</v>
      </c>
      <c r="N45" s="385">
        <v>526.72738861340687997167372601</v>
      </c>
      <c r="O45" s="386">
        <v>370.51797466102228205447137761</v>
      </c>
      <c r="P45" s="4"/>
      <c r="Q45" s="364">
        <v>90.82210250592476880037538385</v>
      </c>
      <c r="R45" s="365">
        <v>71.263623529314843497889549950</v>
      </c>
      <c r="S45" s="366">
        <v>70.417338031568615825420626380</v>
      </c>
      <c r="T45" s="364">
        <v>0.2963869304648938887271992900</v>
      </c>
      <c r="U45" s="365">
        <v>21.483443793576113936638743830</v>
      </c>
      <c r="V45" s="366">
        <v>22.606812818311154090351500660</v>
      </c>
      <c r="W45" s="364">
        <v>8.881510563610337310897416860</v>
      </c>
      <c r="X45" s="365">
        <v>7.2529326771090425654717062200</v>
      </c>
      <c r="Y45" s="366">
        <v>6.9758491501202300842278729600</v>
      </c>
      <c r="Z45" s="56"/>
      <c r="AA45" s="56"/>
      <c r="AB45" s="55"/>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row>
    <row r="46" ht="20.25" customHeight="1">
      <c r="B46" s="54"/>
      <c r="C46"/>
      <c r="D46" s="169"/>
      <c r="E46" s="169"/>
      <c r="F46" s="169"/>
      <c r="G46" s="169"/>
      <c r="H46" s="169"/>
      <c r="I46" s="169"/>
      <c r="J46" s="169"/>
      <c r="K46" s="169"/>
      <c r="L46" s="169"/>
      <c r="M46" s="169"/>
      <c r="N46" s="169"/>
      <c r="O46" s="169"/>
      <c r="P46" s="4"/>
      <c r="Q46" s="4"/>
      <c r="R46" s="4"/>
      <c r="S46" s="4"/>
      <c r="T46" s="4"/>
      <c r="U46" s="4"/>
      <c r="V46" s="4"/>
      <c r="W46" s="4"/>
      <c r="X46" s="4"/>
      <c r="Y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row>
    <row r="47" ht="15.6" customHeight="1">
      <c r="A47" s="22"/>
      <c r="B47" s="22"/>
      <c r="C47" s="53" t="s">
        <v>72</v>
      </c>
      <c r="D47" s="374">
        <v>210.57524271844660194174757282</v>
      </c>
      <c r="E47" s="382">
        <v>298.44589718607569852698328818</v>
      </c>
      <c r="F47" s="375">
        <v>204.75204114304010245737613063</v>
      </c>
      <c r="G47" s="374">
        <v>1.2111650485436893203883495146</v>
      </c>
      <c r="H47" s="382"/>
      <c r="I47" s="375">
        <v>81.05101533278443699125864372</v>
      </c>
      <c r="J47" s="374">
        <v>26.808252427184466019417475728</v>
      </c>
      <c r="K47" s="382"/>
      <c r="L47" s="375">
        <v>26.219847410071243215523060484</v>
      </c>
      <c r="M47" s="374">
        <v>238.59466019417475728155339806</v>
      </c>
      <c r="N47" s="382"/>
      <c r="O47" s="375">
        <v>312.02290388589578266415783483</v>
      </c>
      <c r="P47" s="4"/>
      <c r="Q47" s="354">
        <v>88.25647755363628040406506546</v>
      </c>
      <c r="R47" s="355"/>
      <c r="S47" s="356">
        <v>65.620836994042028696283322810</v>
      </c>
      <c r="T47" s="354">
        <v>0.5076245409507532985422325300</v>
      </c>
      <c r="U47" s="355"/>
      <c r="V47" s="356">
        <v>25.975982635692708209974891280</v>
      </c>
      <c r="W47" s="354">
        <v>11.235897905412966297392702010</v>
      </c>
      <c r="X47" s="355"/>
      <c r="Y47" s="356">
        <v>8.403180370265263093741785910</v>
      </c>
      <c r="Z47" s="38"/>
      <c r="AA47" s="38"/>
      <c r="AB47" s="34"/>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row>
    <row r="48" ht="15.6" customHeight="1">
      <c r="A48" s="22"/>
      <c r="B48" s="22"/>
      <c r="C48" s="53" t="s">
        <v>61</v>
      </c>
      <c r="D48" s="370">
        <v>244.40707395498392282958199357</v>
      </c>
      <c r="E48" s="172">
        <v>307.07860495028509028354443425</v>
      </c>
      <c r="F48" s="371">
        <v>235.32563741547420646323008256</v>
      </c>
      <c r="G48" s="370">
        <v>1.5324758842443729903536977492</v>
      </c>
      <c r="H48" s="172">
        <v>102.01825900763136749681505417</v>
      </c>
      <c r="I48" s="371">
        <v>88.69558758036762699321759678</v>
      </c>
      <c r="J48" s="370">
        <v>37.218649517684887459807073955</v>
      </c>
      <c r="K48" s="172">
        <v>37.008756757250726221971553272</v>
      </c>
      <c r="L48" s="371">
        <v>28.232904397125714145601066843</v>
      </c>
      <c r="M48" s="370">
        <v>283.15819935691318327974276527</v>
      </c>
      <c r="N48" s="172">
        <v>446.10562071516718400233104168</v>
      </c>
      <c r="O48" s="371">
        <v>352.25412939296754760204874619</v>
      </c>
      <c r="P48" s="4"/>
      <c r="Q48" s="327">
        <v>86.31467303792092407412033767</v>
      </c>
      <c r="R48" s="171">
        <v>68.835403700584823845401359450</v>
      </c>
      <c r="S48" s="328">
        <v>66.805643363501839343352614880</v>
      </c>
      <c r="T48" s="327">
        <v>0.5412083731725984588166091700</v>
      </c>
      <c r="U48" s="171">
        <v>22.868633406609494393491296040</v>
      </c>
      <c r="V48" s="328">
        <v>25.179431603318589381679416230</v>
      </c>
      <c r="W48" s="327">
        <v>13.144118588906477467063053160</v>
      </c>
      <c r="X48" s="171">
        <v>8.295962892805681761107344510</v>
      </c>
      <c r="Y48" s="328">
        <v>8.014925033179571274967968890</v>
      </c>
      <c r="Z48" s="36"/>
      <c r="AA48" s="36"/>
      <c r="AB48" s="32"/>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row>
    <row r="49" ht="15.6" customHeight="1">
      <c r="A49" s="54"/>
      <c r="B49" s="22"/>
      <c r="C49" s="53" t="s">
        <v>31</v>
      </c>
      <c r="D49" s="384">
        <v>237.93978658536585365853658537</v>
      </c>
      <c r="E49" s="385">
        <v>303.37163712738656928451256285</v>
      </c>
      <c r="F49" s="386">
        <v>229.75940287930137792688014722</v>
      </c>
      <c r="G49" s="384">
        <v>1.4870426829268292682926829268</v>
      </c>
      <c r="H49" s="385">
        <v>105.54235726840896419361392569</v>
      </c>
      <c r="I49" s="386">
        <v>85.55996279895260470680774307</v>
      </c>
      <c r="J49" s="384">
        <v>28.504573170731707317073170732</v>
      </c>
      <c r="K49" s="385">
        <v>38.002500642400592022520361546</v>
      </c>
      <c r="L49" s="386">
        <v>25.959498076158208722674670037</v>
      </c>
      <c r="M49" s="384">
        <v>267.93140243902439024390243902</v>
      </c>
      <c r="N49" s="385">
        <v>446.91649503819612550064685008</v>
      </c>
      <c r="O49" s="386">
        <v>341.27886375441219135636256033</v>
      </c>
      <c r="P49" s="4"/>
      <c r="Q49" s="364">
        <v>88.80623339383146623578341289</v>
      </c>
      <c r="R49" s="365">
        <v>67.881056191819153121730427450</v>
      </c>
      <c r="S49" s="366">
        <v>67.323068399758452759472406820</v>
      </c>
      <c r="T49" s="364">
        <v>0.5550087333511603693610145500</v>
      </c>
      <c r="U49" s="365">
        <v>23.615677299936913372217835190</v>
      </c>
      <c r="V49" s="366">
        <v>25.070396056089322015335357780</v>
      </c>
      <c r="W49" s="364">
        <v>10.638757872817373394855572560</v>
      </c>
      <c r="X49" s="365">
        <v>8.503266508243933506051737350</v>
      </c>
      <c r="Y49" s="366">
        <v>7.606535544152225225192235400</v>
      </c>
      <c r="Z49" s="56"/>
      <c r="AA49" s="56"/>
      <c r="AB49" s="55"/>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row>
    <row r="50">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row>
    <row r="51" ht="15">
      <c r="D51" s="6" t="s">
        <v>95</v>
      </c>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row>
    <row r="52" ht="9.95" customHeight="1">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row>
    <row r="53" s="100" customFormat="1" ht="24.95" customHeight="1">
      <c r="D53" s="650" t="s">
        <v>114</v>
      </c>
      <c r="E53" s="650"/>
      <c r="F53" s="650"/>
      <c r="G53" s="650"/>
      <c r="H53" s="650"/>
      <c r="I53" s="650"/>
      <c r="J53" s="650"/>
      <c r="K53" s="650"/>
      <c r="L53" s="650"/>
      <c r="M53" s="650"/>
      <c r="N53" s="650"/>
      <c r="O53" s="650"/>
      <c r="P53" s="650"/>
      <c r="Q53" s="650"/>
      <c r="R53" s="650"/>
      <c r="S53" s="650"/>
      <c r="T53" s="650"/>
      <c r="U53" s="650"/>
      <c r="V53" s="650"/>
      <c r="W53" s="650"/>
      <c r="X53" s="650"/>
      <c r="Y53" s="650"/>
      <c r="Z53" s="426"/>
      <c r="AD53" s="427"/>
      <c r="AE53" s="427"/>
      <c r="AF53" s="427"/>
      <c r="AG53" s="427"/>
      <c r="AH53" s="427"/>
      <c r="AI53" s="427"/>
      <c r="AJ53" s="427"/>
      <c r="AK53" s="427"/>
      <c r="AL53" s="427"/>
      <c r="AM53" s="427"/>
      <c r="AN53" s="427"/>
      <c r="AO53" s="427"/>
      <c r="AP53" s="427"/>
      <c r="AQ53" s="427"/>
      <c r="AR53" s="427"/>
      <c r="AS53" s="427"/>
      <c r="AT53" s="427"/>
      <c r="AU53" s="427"/>
      <c r="AV53" s="427"/>
      <c r="AW53" s="427"/>
      <c r="AX53" s="427"/>
      <c r="AY53" s="427"/>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row>
  </sheetData>
  <mergeCells count="12">
    <mergeCell ref="Z8:AB8"/>
    <mergeCell ref="D53:Y53"/>
    <mergeCell ref="Q4:X4"/>
    <mergeCell ref="D7:O7"/>
    <mergeCell ref="Q7:AB7"/>
    <mergeCell ref="D8:F8"/>
    <mergeCell ref="G8:I8"/>
    <mergeCell ref="J8:L8"/>
    <mergeCell ref="M8:O8"/>
    <mergeCell ref="Q8:S8"/>
    <mergeCell ref="T8:V8"/>
    <mergeCell ref="W8:Y8"/>
  </mergeCells>
  <phoneticPr fontId="0" type="noConversion"/>
  <printOptions horizontalCentered="1" verticalCentered="1"/>
  <pageMargins left="0.25" right="0.25" top="0.25" bottom="0.25" header="0.25" footer="0.28"/>
  <pageSetup scale="65" orientation="landscape" r:id="rId1"/>
  <headerFooter alignWithMargins="0">
    <oddHeader/>
    <oddFooter/>
  </headerFooter>
  <drawing r:id="rId53"/>
</worksheet>
</file>

<file path=xl/worksheets/sheet5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CF148"/>
  <sheetViews>
    <sheetView showGridLines="0" zoomScale="80" workbookViewId="0"/>
  </sheetViews>
  <sheetFormatPr defaultRowHeight="12.75"/>
  <cols>
    <col min="1" max="1" width="1" customWidth="1"/>
    <col min="2" max="2" width="1.28515625" style="21" customWidth="1"/>
    <col min="3" max="3" width="8.28515625" customWidth="1"/>
    <col min="4" max="4" width="51.5703125" customWidth="1"/>
    <col min="5" max="5" width="23.7109375" customWidth="1"/>
    <col min="6" max="6" width="11.7109375" customWidth="1"/>
    <col min="7" max="7" width="14.7109375" customWidth="1"/>
    <col min="8" max="8" width="7.7109375" customWidth="1"/>
    <col min="9" max="38" width="2.7109375" customWidth="1"/>
    <col min="39" max="69" width="2.42578125" customWidth="1"/>
  </cols>
  <sheetData>
    <row r="1" ht="23.25" customHeight="1">
      <c r="B1" s="5" t="s">
        <v>138</v>
      </c>
      <c r="D1" s="5"/>
      <c r="E1" s="5"/>
      <c r="F1" s="5"/>
      <c r="G1" s="5"/>
      <c r="AS1" s="244"/>
      <c r="AT1" s="244"/>
      <c r="AU1" s="244"/>
      <c r="AV1" s="244"/>
      <c r="AW1" s="244"/>
      <c r="AX1" s="244"/>
      <c r="AY1" s="244"/>
      <c r="AZ1" s="244"/>
      <c r="BA1" s="244"/>
      <c r="BB1" s="244"/>
      <c r="BC1" s="244"/>
      <c r="BD1" s="244"/>
      <c r="BE1" s="244"/>
      <c r="BF1" s="244"/>
      <c r="BG1" s="244"/>
      <c r="BH1" s="244"/>
      <c r="BI1" s="244"/>
      <c r="BJ1" s="244"/>
      <c r="BK1" s="244"/>
      <c r="BL1" s="244"/>
      <c r="BM1" s="244"/>
      <c r="BN1" s="244"/>
      <c r="BO1" s="244"/>
      <c r="BP1" s="244"/>
      <c r="BQ1" s="244"/>
      <c r="BR1" s="244"/>
      <c r="BS1" s="244"/>
      <c r="BT1" s="244"/>
      <c r="BU1" s="244"/>
      <c r="BV1" s="244"/>
      <c r="BW1" s="244"/>
      <c r="BX1" s="244"/>
      <c r="BY1" s="244"/>
      <c r="BZ1" s="244"/>
      <c r="CA1" s="244"/>
      <c r="CB1" s="244"/>
      <c r="CC1" s="244"/>
      <c r="CD1" s="244"/>
      <c r="CE1" s="244"/>
      <c r="CF1" s="244"/>
    </row>
    <row r="2" ht="15" customHeight="1">
      <c r="C2" s="99" t="s">
        <v>168</v>
      </c>
      <c r="D2" s="100"/>
      <c r="E2" s="100"/>
      <c r="F2" s="100"/>
      <c r="G2" s="100"/>
      <c r="AS2" s="244"/>
      <c r="AT2" s="244"/>
      <c r="AU2" s="244"/>
      <c r="AV2" s="244"/>
      <c r="AW2" s="244"/>
      <c r="AX2" s="244"/>
      <c r="AY2" s="244"/>
      <c r="AZ2" s="244"/>
      <c r="BA2" s="244"/>
      <c r="BB2" s="244"/>
      <c r="BC2" s="244"/>
      <c r="BD2" s="244"/>
      <c r="BE2" s="244"/>
      <c r="BF2" s="244"/>
      <c r="BG2" s="244"/>
      <c r="BH2" s="244"/>
      <c r="BI2" s="244"/>
      <c r="BJ2" s="244"/>
      <c r="BK2" s="244"/>
      <c r="BL2" s="244"/>
      <c r="BM2" s="244"/>
      <c r="BN2" s="244"/>
      <c r="BO2" s="244"/>
      <c r="BP2" s="244"/>
      <c r="BQ2" s="244"/>
      <c r="BR2" s="244"/>
      <c r="BS2" s="244"/>
      <c r="BT2" s="244"/>
      <c r="BU2" s="244"/>
      <c r="BV2" s="244"/>
      <c r="BW2" s="244"/>
      <c r="BX2" s="244"/>
      <c r="BY2" s="244"/>
      <c r="BZ2" s="244"/>
      <c r="CA2" s="244"/>
      <c r="CB2" s="244"/>
      <c r="CC2" s="244"/>
      <c r="CD2" s="244"/>
      <c r="CE2" s="244"/>
      <c r="CF2" s="244"/>
    </row>
    <row r="3" ht="15" customHeight="1">
      <c r="C3" s="99" t="s">
        <v>181</v>
      </c>
      <c r="D3" s="100"/>
      <c r="E3" s="100"/>
      <c r="F3" s="100"/>
      <c r="G3" s="100"/>
      <c r="AS3" s="244"/>
      <c r="AT3" s="244"/>
      <c r="AU3" s="244"/>
      <c r="AV3" s="244"/>
      <c r="AW3" s="244"/>
      <c r="AX3" s="244"/>
      <c r="AY3" s="244"/>
      <c r="AZ3" s="244"/>
      <c r="BA3" s="244"/>
      <c r="BB3" s="244"/>
      <c r="BC3" s="244"/>
      <c r="BD3" s="244"/>
      <c r="BE3" s="244"/>
      <c r="BF3" s="244"/>
      <c r="BG3" s="244"/>
      <c r="BH3" s="244"/>
      <c r="BI3" s="244"/>
      <c r="BJ3" s="244"/>
      <c r="BK3" s="244"/>
      <c r="BL3" s="244"/>
      <c r="BM3" s="244"/>
      <c r="BN3" s="244"/>
      <c r="BO3" s="244"/>
      <c r="BP3" s="244"/>
      <c r="BQ3" s="244"/>
      <c r="BR3" s="244"/>
      <c r="BS3" s="244"/>
      <c r="BT3" s="244"/>
      <c r="BU3" s="244"/>
      <c r="BV3" s="244"/>
      <c r="BW3" s="244"/>
      <c r="BX3" s="244"/>
      <c r="BY3" s="244"/>
      <c r="BZ3" s="244"/>
      <c r="CA3" s="244"/>
      <c r="CB3" s="244"/>
      <c r="CC3" s="244"/>
      <c r="CD3" s="244"/>
      <c r="CE3" s="244"/>
      <c r="CF3" s="244"/>
    </row>
    <row r="4" ht="15" customHeight="1">
      <c r="C4" s="0" t="s">
        <v>188</v>
      </c>
      <c r="D4" s="100"/>
      <c r="E4" s="100"/>
      <c r="F4" s="100"/>
      <c r="G4" s="100"/>
      <c r="AS4" s="244"/>
      <c r="AT4" s="244"/>
      <c r="AU4" s="244"/>
      <c r="AV4" s="244"/>
      <c r="AW4" s="244"/>
      <c r="AX4" s="244"/>
      <c r="AY4" s="244"/>
      <c r="AZ4" s="244"/>
      <c r="BA4" s="244"/>
      <c r="BB4" s="244"/>
      <c r="BC4" s="244"/>
      <c r="BD4" s="244"/>
      <c r="BE4" s="244"/>
      <c r="BF4" s="244"/>
      <c r="BG4" s="244"/>
      <c r="BH4" s="244"/>
      <c r="BI4" s="244"/>
      <c r="BJ4" s="244"/>
      <c r="BK4" s="244"/>
      <c r="BL4" s="244"/>
      <c r="BM4" s="244"/>
      <c r="BN4" s="244"/>
      <c r="BO4" s="244"/>
      <c r="BP4" s="244"/>
      <c r="BQ4" s="244"/>
      <c r="BR4" s="244"/>
      <c r="BS4" s="244"/>
      <c r="BT4" s="244"/>
      <c r="BU4" s="244"/>
      <c r="BV4" s="244"/>
      <c r="BW4" s="244"/>
      <c r="BX4" s="244"/>
      <c r="BY4" s="244"/>
      <c r="BZ4" s="244"/>
      <c r="CA4" s="244"/>
      <c r="CB4" s="244"/>
      <c r="CC4" s="244"/>
      <c r="CD4" s="244"/>
      <c r="CE4" s="244"/>
      <c r="CF4" s="244"/>
    </row>
    <row r="5" ht="21" customHeight="1">
      <c r="B5" s="101" t="s">
        <v>7</v>
      </c>
      <c r="D5" s="102"/>
      <c r="H5" s="687" t="s">
        <v>213</v>
      </c>
      <c r="I5" s="687"/>
      <c r="J5" s="687"/>
      <c r="K5" s="687"/>
      <c r="L5" s="687"/>
      <c r="M5" s="687"/>
      <c r="N5" s="687"/>
      <c r="O5" s="687"/>
      <c r="P5" s="687"/>
      <c r="Q5" s="687"/>
      <c r="R5" s="687"/>
      <c r="S5" s="687"/>
      <c r="T5" s="687"/>
      <c r="U5" s="687"/>
      <c r="V5" s="687"/>
      <c r="AB5" s="687" t="s">
        <v>215</v>
      </c>
      <c r="AC5" s="687"/>
      <c r="AD5" s="687"/>
      <c r="AE5" s="687"/>
      <c r="AF5" s="687"/>
      <c r="AG5" s="687"/>
      <c r="AH5" s="687"/>
      <c r="AI5" s="687"/>
      <c r="AJ5" s="687"/>
      <c r="AK5" s="687"/>
      <c r="AL5" s="687"/>
      <c r="AM5" s="687"/>
      <c r="AN5" s="687"/>
      <c r="AO5" s="687"/>
      <c r="AP5" s="687"/>
      <c r="AS5" s="244"/>
      <c r="AT5" s="244"/>
      <c r="AU5" s="244"/>
      <c r="AV5" s="244"/>
      <c r="AW5" s="244"/>
      <c r="AX5" s="244"/>
      <c r="AY5" s="244"/>
      <c r="AZ5" s="244"/>
      <c r="BA5" s="244"/>
      <c r="BB5" s="244"/>
      <c r="BC5" s="244"/>
      <c r="BD5" s="244"/>
      <c r="BE5" s="244"/>
      <c r="BF5" s="244"/>
      <c r="BG5" s="244"/>
      <c r="BH5" s="244"/>
      <c r="BI5" s="244"/>
      <c r="BJ5" s="244"/>
      <c r="BK5" s="244"/>
      <c r="BL5" s="244"/>
      <c r="BM5" s="244"/>
      <c r="BN5" s="244"/>
      <c r="BO5" s="244"/>
      <c r="BP5" s="244"/>
      <c r="BQ5" s="244"/>
      <c r="BR5" s="244"/>
      <c r="BS5" s="244"/>
      <c r="BT5" s="244"/>
      <c r="BU5" s="244"/>
      <c r="BV5" s="244"/>
      <c r="BW5" s="244"/>
      <c r="BX5" s="244"/>
      <c r="BY5" s="244"/>
      <c r="BZ5" s="244"/>
      <c r="CA5" s="244"/>
      <c r="CB5" s="244"/>
      <c r="CC5" s="244"/>
      <c r="CD5" s="244"/>
      <c r="CE5" s="244"/>
      <c r="CF5" s="244"/>
    </row>
    <row r="6" ht="12.75" customHeight="1">
      <c r="C6" s="30" t="s">
        <v>216</v>
      </c>
      <c r="D6" s="104" t="s">
        <v>217</v>
      </c>
      <c r="I6" s="688" t="s">
        <v>0</v>
      </c>
      <c r="J6" s="688"/>
      <c r="K6" s="688" t="s">
        <v>1</v>
      </c>
      <c r="L6" s="688"/>
      <c r="M6" s="688" t="s">
        <v>2</v>
      </c>
      <c r="N6" s="688"/>
      <c r="O6" s="688" t="s">
        <v>3</v>
      </c>
      <c r="P6" s="688"/>
      <c r="Q6" s="688" t="s">
        <v>4</v>
      </c>
      <c r="R6" s="688"/>
      <c r="S6" s="688" t="s">
        <v>5</v>
      </c>
      <c r="T6" s="688"/>
      <c r="U6" s="688" t="s">
        <v>6</v>
      </c>
      <c r="V6" s="688"/>
      <c r="AC6" s="688" t="s">
        <v>0</v>
      </c>
      <c r="AD6" s="688"/>
      <c r="AE6" s="688" t="s">
        <v>1</v>
      </c>
      <c r="AF6" s="688"/>
      <c r="AG6" s="688" t="s">
        <v>2</v>
      </c>
      <c r="AH6" s="688"/>
      <c r="AI6" s="688" t="s">
        <v>3</v>
      </c>
      <c r="AJ6" s="688"/>
      <c r="AK6" s="688" t="s">
        <v>4</v>
      </c>
      <c r="AL6" s="688"/>
      <c r="AM6" s="688" t="s">
        <v>5</v>
      </c>
      <c r="AN6" s="688"/>
      <c r="AO6" s="688" t="s">
        <v>6</v>
      </c>
      <c r="AP6" s="688"/>
      <c r="AS6" s="244"/>
      <c r="AT6" s="244"/>
      <c r="AU6" s="244"/>
      <c r="AV6" s="244"/>
      <c r="AW6" s="244"/>
      <c r="AX6" s="244"/>
      <c r="AY6" s="244"/>
      <c r="AZ6" s="244"/>
      <c r="BA6" s="244"/>
      <c r="BB6" s="244"/>
      <c r="BC6" s="244"/>
      <c r="BD6" s="244"/>
      <c r="BE6" s="244"/>
      <c r="BF6" s="244"/>
      <c r="BG6" s="244"/>
      <c r="BH6" s="244"/>
      <c r="BI6" s="244"/>
      <c r="BJ6" s="244"/>
      <c r="BK6" s="244"/>
      <c r="BL6" s="244"/>
      <c r="BM6" s="244"/>
      <c r="BN6" s="244"/>
      <c r="BO6" s="244"/>
      <c r="BP6" s="244"/>
      <c r="BQ6" s="244"/>
      <c r="BR6" s="244"/>
      <c r="BS6" s="244"/>
      <c r="BT6" s="244"/>
      <c r="BU6" s="244"/>
      <c r="BV6" s="244"/>
      <c r="BW6" s="244"/>
      <c r="BX6" s="244"/>
      <c r="BY6" s="244"/>
      <c r="BZ6" s="244"/>
      <c r="CA6" s="244"/>
      <c r="CB6" s="244"/>
      <c r="CC6" s="244"/>
      <c r="CD6" s="244"/>
      <c r="CE6" s="244"/>
      <c r="CF6" s="244"/>
    </row>
    <row r="7" ht="12.75" customHeight="1">
      <c r="C7" s="105" t="s">
        <v>218</v>
      </c>
      <c r="D7" s="104" t="s">
        <v>219</v>
      </c>
      <c r="E7" s="104"/>
      <c r="F7" s="104"/>
      <c r="G7" s="104"/>
      <c r="H7" s="97" t="s">
        <v>186</v>
      </c>
      <c r="I7" s="689">
        <v>13</v>
      </c>
      <c r="J7" s="689"/>
      <c r="K7" s="690">
        <v>14</v>
      </c>
      <c r="L7" s="690"/>
      <c r="M7" s="690">
        <v>15</v>
      </c>
      <c r="N7" s="690"/>
      <c r="O7" s="690">
        <v>16</v>
      </c>
      <c r="P7" s="690"/>
      <c r="Q7" s="690">
        <v>17</v>
      </c>
      <c r="R7" s="690"/>
      <c r="S7" s="690">
        <v>18</v>
      </c>
      <c r="T7" s="690"/>
      <c r="U7" s="691">
        <v>19</v>
      </c>
      <c r="V7" s="691"/>
      <c r="Y7" s="3"/>
      <c r="AB7" s="97" t="s">
        <v>186</v>
      </c>
      <c r="AC7" s="689">
        <v>14</v>
      </c>
      <c r="AD7" s="689"/>
      <c r="AE7" s="690">
        <v>15</v>
      </c>
      <c r="AF7" s="690"/>
      <c r="AG7" s="690">
        <v>16</v>
      </c>
      <c r="AH7" s="690"/>
      <c r="AI7" s="690">
        <v>17</v>
      </c>
      <c r="AJ7" s="690"/>
      <c r="AK7" s="690">
        <v>18</v>
      </c>
      <c r="AL7" s="690"/>
      <c r="AM7" s="690">
        <v>19</v>
      </c>
      <c r="AN7" s="690"/>
      <c r="AO7" s="691">
        <v>20</v>
      </c>
      <c r="AP7" s="691"/>
      <c r="AS7" s="244"/>
      <c r="AT7" s="244"/>
      <c r="AU7" s="244"/>
      <c r="AV7" s="244"/>
      <c r="AW7" s="244"/>
      <c r="AX7" s="244"/>
      <c r="AY7" s="244"/>
      <c r="AZ7" s="244"/>
      <c r="BA7" s="244"/>
      <c r="BB7" s="244"/>
      <c r="BC7" s="244"/>
      <c r="BD7" s="244"/>
      <c r="BE7" s="244"/>
      <c r="BF7" s="244"/>
      <c r="BG7" s="244"/>
      <c r="BH7" s="244"/>
      <c r="BI7" s="244"/>
      <c r="BJ7" s="244"/>
      <c r="BK7" s="244"/>
      <c r="BL7" s="244"/>
      <c r="BM7" s="244"/>
      <c r="BN7" s="244"/>
      <c r="BO7" s="244"/>
      <c r="BP7" s="244"/>
      <c r="BQ7" s="244"/>
      <c r="BR7" s="244"/>
      <c r="BS7" s="244"/>
      <c r="BT7" s="244"/>
      <c r="BU7" s="244"/>
      <c r="BV7" s="244"/>
      <c r="BW7" s="244"/>
      <c r="BX7" s="244"/>
      <c r="BY7" s="244"/>
      <c r="BZ7" s="244"/>
      <c r="CA7" s="244"/>
      <c r="CB7" s="244"/>
      <c r="CC7" s="244"/>
      <c r="CD7" s="244"/>
      <c r="CE7" s="244"/>
      <c r="CF7" s="244"/>
    </row>
    <row r="8" ht="12.75" customHeight="1">
      <c r="C8" t="s">
        <v>220</v>
      </c>
      <c r="D8" t="s">
        <v>221</v>
      </c>
      <c r="H8" s="97" t="s">
        <v>186</v>
      </c>
      <c r="I8" s="692">
        <v>20</v>
      </c>
      <c r="J8" s="692"/>
      <c r="K8" s="693">
        <v>21</v>
      </c>
      <c r="L8" s="693"/>
      <c r="M8" s="693">
        <v>22</v>
      </c>
      <c r="N8" s="693"/>
      <c r="O8" s="693">
        <v>23</v>
      </c>
      <c r="P8" s="693"/>
      <c r="Q8" s="693">
        <v>24</v>
      </c>
      <c r="R8" s="693"/>
      <c r="S8" s="693">
        <v>25</v>
      </c>
      <c r="T8" s="693"/>
      <c r="U8" s="694">
        <v>26</v>
      </c>
      <c r="V8" s="694"/>
      <c r="Y8" s="3"/>
      <c r="AB8" s="97" t="s">
        <v>186</v>
      </c>
      <c r="AC8" s="692">
        <v>21</v>
      </c>
      <c r="AD8" s="692"/>
      <c r="AE8" s="693">
        <v>22</v>
      </c>
      <c r="AF8" s="693"/>
      <c r="AG8" s="693">
        <v>23</v>
      </c>
      <c r="AH8" s="693"/>
      <c r="AI8" s="693">
        <v>24</v>
      </c>
      <c r="AJ8" s="693"/>
      <c r="AK8" s="693">
        <v>25</v>
      </c>
      <c r="AL8" s="693"/>
      <c r="AM8" s="693">
        <v>26</v>
      </c>
      <c r="AN8" s="693"/>
      <c r="AO8" s="694">
        <v>27</v>
      </c>
      <c r="AP8" s="694"/>
      <c r="AS8" s="244"/>
      <c r="AT8" s="244"/>
      <c r="AU8" s="244"/>
      <c r="AV8" s="244"/>
      <c r="AW8" s="244"/>
      <c r="AX8" s="244"/>
      <c r="AY8" s="244"/>
      <c r="AZ8" s="244"/>
      <c r="BA8" s="244"/>
      <c r="BB8" s="244"/>
      <c r="BC8" s="244"/>
      <c r="BD8" s="244"/>
      <c r="BE8" s="244"/>
      <c r="BF8" s="244"/>
      <c r="BG8" s="244"/>
      <c r="BH8" s="244"/>
      <c r="BI8" s="244"/>
      <c r="BJ8" s="244"/>
      <c r="BK8" s="244"/>
      <c r="BL8" s="244"/>
      <c r="BM8" s="244"/>
      <c r="BN8" s="244"/>
      <c r="BO8" s="244"/>
      <c r="BP8" s="244"/>
      <c r="BQ8" s="244"/>
      <c r="BR8" s="244"/>
      <c r="BS8" s="244"/>
      <c r="BT8" s="244"/>
      <c r="BU8" s="244"/>
      <c r="BV8" s="244"/>
      <c r="BW8" s="244"/>
      <c r="BX8" s="244"/>
      <c r="BY8" s="244"/>
      <c r="BZ8" s="244"/>
      <c r="CA8" s="244"/>
      <c r="CB8" s="244"/>
      <c r="CC8" s="244"/>
      <c r="CD8" s="244"/>
      <c r="CE8" s="244"/>
      <c r="CF8" s="244"/>
    </row>
    <row r="9" ht="12.75" customHeight="1">
      <c r="C9" t="s">
        <v>222</v>
      </c>
      <c r="D9" t="s">
        <v>223</v>
      </c>
      <c r="H9" s="97" t="s">
        <v>214</v>
      </c>
      <c r="I9" s="695">
        <v>27</v>
      </c>
      <c r="J9" s="695"/>
      <c r="K9" s="696">
        <v>28</v>
      </c>
      <c r="L9" s="696"/>
      <c r="M9" s="696">
        <v>29</v>
      </c>
      <c r="N9" s="696"/>
      <c r="O9" s="696">
        <v>30</v>
      </c>
      <c r="P9" s="696"/>
      <c r="Q9" s="696">
        <v>1</v>
      </c>
      <c r="R9" s="696"/>
      <c r="S9" s="696">
        <v>2</v>
      </c>
      <c r="T9" s="696"/>
      <c r="U9" s="697">
        <v>3</v>
      </c>
      <c r="V9" s="697"/>
      <c r="Y9" s="3"/>
      <c r="AB9" s="97" t="s">
        <v>214</v>
      </c>
      <c r="AC9" s="695">
        <v>28</v>
      </c>
      <c r="AD9" s="695"/>
      <c r="AE9" s="696">
        <v>29</v>
      </c>
      <c r="AF9" s="696"/>
      <c r="AG9" s="696">
        <v>30</v>
      </c>
      <c r="AH9" s="696"/>
      <c r="AI9" s="696">
        <v>1</v>
      </c>
      <c r="AJ9" s="696"/>
      <c r="AK9" s="696">
        <v>2</v>
      </c>
      <c r="AL9" s="696"/>
      <c r="AM9" s="696">
        <v>3</v>
      </c>
      <c r="AN9" s="696"/>
      <c r="AO9" s="697">
        <v>4</v>
      </c>
      <c r="AP9" s="697"/>
      <c r="AS9" s="244"/>
      <c r="AT9" s="244"/>
      <c r="AU9" s="244"/>
      <c r="AV9" s="244"/>
      <c r="AW9" s="244"/>
      <c r="AX9" s="244"/>
      <c r="AY9" s="244"/>
      <c r="AZ9" s="244"/>
      <c r="BA9" s="244"/>
      <c r="BB9" s="244"/>
      <c r="BC9" s="244"/>
      <c r="BD9" s="244"/>
      <c r="BE9" s="244"/>
      <c r="BF9" s="244"/>
      <c r="BG9" s="244"/>
      <c r="BH9" s="244"/>
      <c r="BI9" s="244"/>
      <c r="BJ9" s="244"/>
      <c r="BK9" s="244"/>
      <c r="BL9" s="244"/>
      <c r="BM9" s="244"/>
      <c r="BN9" s="244"/>
      <c r="BO9" s="244"/>
      <c r="BP9" s="244"/>
      <c r="BQ9" s="244"/>
      <c r="BR9" s="244"/>
      <c r="BS9" s="244"/>
      <c r="BT9" s="244"/>
      <c r="BU9" s="244"/>
      <c r="BV9" s="244"/>
      <c r="BW9" s="244"/>
      <c r="BX9" s="244"/>
      <c r="BY9" s="244"/>
      <c r="BZ9" s="244"/>
      <c r="CA9" s="244"/>
      <c r="CB9" s="244"/>
      <c r="CC9" s="244"/>
      <c r="CD9" s="244"/>
      <c r="CE9" s="244"/>
      <c r="CF9" s="244"/>
    </row>
    <row r="10" ht="12.75" customHeight="1">
      <c r="H10" s="97" t="s">
        <v>183</v>
      </c>
      <c r="I10" s="692">
        <v>4</v>
      </c>
      <c r="J10" s="692"/>
      <c r="K10" s="693">
        <v>5</v>
      </c>
      <c r="L10" s="693"/>
      <c r="M10" s="693">
        <v>6</v>
      </c>
      <c r="N10" s="693"/>
      <c r="O10" s="693">
        <v>7</v>
      </c>
      <c r="P10" s="693"/>
      <c r="Q10" s="693">
        <v>8</v>
      </c>
      <c r="R10" s="693"/>
      <c r="S10" s="693">
        <v>9</v>
      </c>
      <c r="T10" s="693"/>
      <c r="U10" s="694">
        <v>10</v>
      </c>
      <c r="V10" s="694"/>
      <c r="Y10" s="3"/>
      <c r="AB10" s="97" t="s">
        <v>183</v>
      </c>
      <c r="AC10" s="692">
        <v>5</v>
      </c>
      <c r="AD10" s="692"/>
      <c r="AE10" s="693">
        <v>6</v>
      </c>
      <c r="AF10" s="693"/>
      <c r="AG10" s="693">
        <v>7</v>
      </c>
      <c r="AH10" s="693"/>
      <c r="AI10" s="693">
        <v>8</v>
      </c>
      <c r="AJ10" s="693"/>
      <c r="AK10" s="693">
        <v>9</v>
      </c>
      <c r="AL10" s="693"/>
      <c r="AM10" s="693">
        <v>10</v>
      </c>
      <c r="AN10" s="693"/>
      <c r="AO10" s="694">
        <v>11</v>
      </c>
      <c r="AP10" s="694"/>
      <c r="AS10" s="244"/>
      <c r="AT10" s="244"/>
      <c r="AU10" s="244"/>
      <c r="AV10" s="244"/>
      <c r="AW10" s="244"/>
      <c r="AX10" s="244"/>
      <c r="AY10" s="244"/>
      <c r="AZ10" s="244"/>
      <c r="BA10" s="244"/>
      <c r="BB10" s="244"/>
      <c r="BC10" s="244"/>
      <c r="BD10" s="244"/>
      <c r="BE10" s="244"/>
      <c r="BF10" s="244"/>
      <c r="BG10" s="244"/>
      <c r="BH10" s="244"/>
      <c r="BI10" s="244"/>
      <c r="BJ10" s="244"/>
      <c r="BK10" s="244"/>
      <c r="BL10" s="244"/>
      <c r="BM10" s="244"/>
      <c r="BN10" s="244"/>
      <c r="BO10" s="244"/>
      <c r="BP10" s="244"/>
      <c r="BQ10" s="244"/>
      <c r="BR10" s="244"/>
      <c r="BS10" s="244"/>
      <c r="BT10" s="244"/>
      <c r="BU10" s="244"/>
      <c r="BV10" s="244"/>
      <c r="BW10" s="244"/>
      <c r="BX10" s="244"/>
      <c r="BY10" s="244"/>
      <c r="BZ10" s="244"/>
      <c r="CA10" s="244"/>
      <c r="CB10" s="244"/>
      <c r="CC10" s="244"/>
      <c r="CD10" s="244"/>
      <c r="CE10" s="244"/>
      <c r="CF10" s="244"/>
    </row>
    <row r="11" ht="12.75" customHeight="1">
      <c r="A11" s="101"/>
      <c r="H11" s="97" t="s">
        <v>183</v>
      </c>
      <c r="I11" s="695">
        <v>11</v>
      </c>
      <c r="J11" s="695"/>
      <c r="K11" s="696">
        <v>12</v>
      </c>
      <c r="L11" s="696"/>
      <c r="M11" s="696">
        <v>13</v>
      </c>
      <c r="N11" s="696"/>
      <c r="O11" s="696">
        <v>14</v>
      </c>
      <c r="P11" s="696"/>
      <c r="Q11" s="696">
        <v>15</v>
      </c>
      <c r="R11" s="696"/>
      <c r="S11" s="696">
        <v>16</v>
      </c>
      <c r="T11" s="696"/>
      <c r="U11" s="697">
        <v>17</v>
      </c>
      <c r="V11" s="697"/>
      <c r="Y11" s="3"/>
      <c r="AB11" s="97" t="s">
        <v>183</v>
      </c>
      <c r="AC11" s="695">
        <v>12</v>
      </c>
      <c r="AD11" s="695"/>
      <c r="AE11" s="696">
        <v>13</v>
      </c>
      <c r="AF11" s="696"/>
      <c r="AG11" s="696">
        <v>14</v>
      </c>
      <c r="AH11" s="696"/>
      <c r="AI11" s="696">
        <v>15</v>
      </c>
      <c r="AJ11" s="696"/>
      <c r="AK11" s="696">
        <v>16</v>
      </c>
      <c r="AL11" s="696"/>
      <c r="AM11" s="696">
        <v>17</v>
      </c>
      <c r="AN11" s="696"/>
      <c r="AO11" s="697">
        <v>18</v>
      </c>
      <c r="AP11" s="697"/>
      <c r="AS11" s="244"/>
      <c r="AT11" s="244"/>
      <c r="AU11" s="244"/>
      <c r="AV11" s="244"/>
      <c r="AW11" s="244"/>
      <c r="AX11" s="244"/>
      <c r="AY11" s="244"/>
      <c r="AZ11" s="244"/>
      <c r="BA11" s="244"/>
      <c r="BB11" s="244"/>
      <c r="BC11" s="244"/>
      <c r="BD11" s="244"/>
      <c r="BE11" s="244"/>
      <c r="BF11" s="244"/>
      <c r="BG11" s="244"/>
      <c r="BH11" s="244"/>
      <c r="BI11" s="244"/>
      <c r="BJ11" s="244"/>
      <c r="BK11" s="244"/>
      <c r="BL11" s="244"/>
      <c r="BM11" s="244"/>
      <c r="BN11" s="244"/>
      <c r="BO11" s="244"/>
      <c r="BP11" s="244"/>
      <c r="BQ11" s="244"/>
      <c r="BR11" s="244"/>
      <c r="BS11" s="244"/>
      <c r="BT11" s="244"/>
      <c r="BU11" s="244"/>
      <c r="BV11" s="244"/>
      <c r="BW11" s="244"/>
      <c r="BX11" s="244"/>
      <c r="BY11" s="244"/>
      <c r="BZ11" s="244"/>
      <c r="CA11" s="244"/>
      <c r="CB11" s="244"/>
      <c r="CC11" s="244"/>
      <c r="CD11" s="244"/>
      <c r="CE11" s="244"/>
      <c r="CF11" s="244"/>
    </row>
    <row r="12" ht="12.75" customHeight="1">
      <c r="C12" s="30"/>
      <c r="D12" s="106"/>
      <c r="E12" s="106"/>
      <c r="F12" s="106"/>
      <c r="G12" s="106"/>
      <c r="H12" s="97" t="s">
        <v>183</v>
      </c>
      <c r="I12" s="698">
        <v>18</v>
      </c>
      <c r="J12" s="698"/>
      <c r="K12" s="699">
        <v>19</v>
      </c>
      <c r="L12" s="699"/>
      <c r="M12" s="699">
        <v>20</v>
      </c>
      <c r="N12" s="699"/>
      <c r="O12" s="699">
        <v>21</v>
      </c>
      <c r="P12" s="699"/>
      <c r="Q12" s="699">
        <v>22</v>
      </c>
      <c r="R12" s="699"/>
      <c r="S12" s="699">
        <v>23</v>
      </c>
      <c r="T12" s="699"/>
      <c r="U12" s="700">
        <v>24</v>
      </c>
      <c r="V12" s="700"/>
      <c r="Y12" s="3"/>
      <c r="AB12" s="97" t="s">
        <v>183</v>
      </c>
      <c r="AC12" s="698">
        <v>19</v>
      </c>
      <c r="AD12" s="698"/>
      <c r="AE12" s="699">
        <v>20</v>
      </c>
      <c r="AF12" s="699"/>
      <c r="AG12" s="699">
        <v>21</v>
      </c>
      <c r="AH12" s="699"/>
      <c r="AI12" s="699">
        <v>22</v>
      </c>
      <c r="AJ12" s="699"/>
      <c r="AK12" s="699">
        <v>23</v>
      </c>
      <c r="AL12" s="699"/>
      <c r="AM12" s="699">
        <v>24</v>
      </c>
      <c r="AN12" s="699"/>
      <c r="AO12" s="700">
        <v>25</v>
      </c>
      <c r="AP12" s="700"/>
      <c r="AS12" s="244"/>
      <c r="AT12" s="244"/>
      <c r="AU12" s="244"/>
      <c r="AV12" s="244"/>
      <c r="AW12" s="244"/>
      <c r="AX12" s="244"/>
      <c r="AY12" s="244"/>
      <c r="AZ12" s="244"/>
      <c r="BA12" s="244"/>
      <c r="BB12" s="244"/>
      <c r="BC12" s="244"/>
      <c r="BD12" s="244"/>
      <c r="BE12" s="244"/>
      <c r="BF12" s="244"/>
      <c r="BG12" s="244"/>
      <c r="BH12" s="244"/>
      <c r="BI12" s="244"/>
      <c r="BJ12" s="244"/>
      <c r="BK12" s="244"/>
      <c r="BL12" s="244"/>
      <c r="BM12" s="244"/>
      <c r="BN12" s="244"/>
      <c r="BO12" s="244"/>
      <c r="BP12" s="244"/>
      <c r="BQ12" s="244"/>
      <c r="BR12" s="244"/>
      <c r="BS12" s="244"/>
      <c r="BT12" s="244"/>
      <c r="BU12" s="244"/>
      <c r="BV12" s="244"/>
      <c r="BW12" s="244"/>
      <c r="BX12" s="244"/>
      <c r="BY12" s="244"/>
      <c r="BZ12" s="244"/>
      <c r="CA12" s="244"/>
      <c r="CB12" s="244"/>
      <c r="CC12" s="244"/>
      <c r="CD12" s="244"/>
      <c r="CE12" s="244"/>
      <c r="CF12" s="244"/>
    </row>
    <row r="13" ht="12.75" customHeight="1">
      <c r="A13" s="101"/>
      <c r="B13" s="101" t="s">
        <v>8</v>
      </c>
      <c r="H13" s="97"/>
      <c r="AS13" s="244"/>
      <c r="AT13" s="244"/>
      <c r="AU13" s="244"/>
      <c r="AV13" s="244"/>
      <c r="AW13" s="244"/>
      <c r="AX13" s="244"/>
      <c r="AY13" s="244"/>
      <c r="AZ13" s="244"/>
      <c r="BA13" s="244"/>
      <c r="BB13" s="244"/>
      <c r="BC13" s="244"/>
      <c r="BD13" s="244"/>
      <c r="BE13" s="244"/>
      <c r="BF13" s="244"/>
      <c r="BG13" s="244"/>
      <c r="BH13" s="244"/>
      <c r="BI13" s="244"/>
      <c r="BJ13" s="244"/>
      <c r="BK13" s="244"/>
      <c r="BL13" s="244"/>
      <c r="BM13" s="244"/>
      <c r="BN13" s="244"/>
      <c r="BO13" s="244"/>
      <c r="BP13" s="244"/>
      <c r="BQ13" s="244"/>
      <c r="BR13" s="244"/>
      <c r="BS13" s="244"/>
      <c r="BT13" s="244"/>
      <c r="BU13" s="244"/>
      <c r="BV13" s="244"/>
      <c r="BW13" s="244"/>
      <c r="BX13" s="244"/>
      <c r="BY13" s="244"/>
      <c r="BZ13" s="244"/>
      <c r="CA13" s="244"/>
      <c r="CB13" s="244"/>
      <c r="CC13" s="244"/>
      <c r="CD13" s="244"/>
      <c r="CE13" s="244"/>
      <c r="CF13" s="244"/>
    </row>
    <row r="14" ht="12.75" customHeight="1">
      <c r="C14" s="30" t="s">
        <v>224</v>
      </c>
      <c r="D14" s="106" t="s">
        <v>217</v>
      </c>
      <c r="H14" s="97"/>
      <c r="O14" s="648"/>
      <c r="P14" s="648"/>
      <c r="Q14" s="648"/>
      <c r="R14" s="648"/>
      <c r="S14" s="648"/>
      <c r="T14" s="648"/>
      <c r="U14" s="648"/>
      <c r="W14" s="648"/>
      <c r="X14" s="648"/>
      <c r="Y14" s="648"/>
      <c r="Z14" s="648"/>
      <c r="AA14" s="648"/>
      <c r="AB14" s="648"/>
      <c r="AC14" s="648"/>
      <c r="AE14" s="648"/>
      <c r="AF14" s="648"/>
      <c r="AG14" s="648"/>
      <c r="AH14" s="648"/>
      <c r="AI14" s="648"/>
      <c r="AJ14" s="648"/>
      <c r="AK14" s="648"/>
      <c r="AS14" s="244"/>
      <c r="AT14" s="244"/>
      <c r="AU14" s="244"/>
      <c r="AV14" s="244"/>
      <c r="AW14" s="244"/>
      <c r="AX14" s="244"/>
      <c r="AY14" s="244"/>
      <c r="AZ14" s="244"/>
      <c r="BA14" s="244"/>
      <c r="BB14" s="244"/>
      <c r="BC14" s="244"/>
      <c r="BD14" s="244"/>
      <c r="BE14" s="244"/>
      <c r="BF14" s="244"/>
      <c r="BG14" s="244"/>
      <c r="BH14" s="244"/>
      <c r="BI14" s="244"/>
      <c r="BJ14" s="244"/>
      <c r="BK14" s="244"/>
      <c r="BL14" s="244"/>
      <c r="BM14" s="244"/>
      <c r="BN14" s="244"/>
      <c r="BO14" s="244"/>
      <c r="BP14" s="244"/>
      <c r="BQ14" s="244"/>
      <c r="BR14" s="244"/>
      <c r="BS14" s="244"/>
      <c r="BT14" s="244"/>
      <c r="BU14" s="244"/>
      <c r="BV14" s="244"/>
      <c r="BW14" s="244"/>
      <c r="BX14" s="244"/>
      <c r="BY14" s="244"/>
      <c r="BZ14" s="244"/>
      <c r="CA14" s="244"/>
      <c r="CB14" s="244"/>
      <c r="CC14" s="244"/>
      <c r="CD14" s="244"/>
      <c r="CE14" s="244"/>
      <c r="CF14" s="244"/>
    </row>
    <row r="15" ht="12.75" customHeight="1">
      <c r="C15" s="30" t="s">
        <v>225</v>
      </c>
      <c r="D15" s="104" t="s">
        <v>223</v>
      </c>
      <c r="H15" s="97"/>
      <c r="O15" s="21"/>
      <c r="P15" s="21"/>
      <c r="Q15" s="21"/>
      <c r="R15" s="21"/>
      <c r="S15" s="21"/>
      <c r="T15" s="21"/>
      <c r="U15" s="21"/>
      <c r="W15" s="21"/>
      <c r="X15" s="21"/>
      <c r="Y15" s="21"/>
      <c r="Z15" s="21"/>
      <c r="AA15" s="21"/>
      <c r="AB15" s="21"/>
      <c r="AC15" s="21"/>
      <c r="AE15" s="21"/>
      <c r="AF15" s="21"/>
      <c r="AG15" s="21"/>
      <c r="AH15" s="21"/>
      <c r="AI15" s="21"/>
      <c r="AJ15" s="21"/>
      <c r="AK15" s="21"/>
      <c r="AS15" s="244"/>
      <c r="AT15" s="244"/>
      <c r="AU15" s="244"/>
      <c r="AV15" s="244"/>
      <c r="AW15" s="244"/>
      <c r="AX15" s="244"/>
      <c r="AY15" s="244"/>
      <c r="AZ15" s="244"/>
      <c r="BA15" s="244"/>
      <c r="BB15" s="244"/>
      <c r="BC15" s="244"/>
      <c r="BD15" s="244"/>
      <c r="BE15" s="244"/>
      <c r="BF15" s="244"/>
      <c r="BG15" s="244"/>
      <c r="BH15" s="244"/>
      <c r="BI15" s="244"/>
      <c r="BJ15" s="244"/>
      <c r="BK15" s="244"/>
      <c r="BL15" s="244"/>
      <c r="BM15" s="244"/>
      <c r="BN15" s="244"/>
      <c r="BO15" s="244"/>
      <c r="BP15" s="244"/>
      <c r="BQ15" s="244"/>
      <c r="BR15" s="244"/>
      <c r="BS15" s="244"/>
      <c r="BT15" s="244"/>
      <c r="BU15" s="244"/>
      <c r="BV15" s="244"/>
      <c r="BW15" s="244"/>
      <c r="BX15" s="244"/>
      <c r="BY15" s="244"/>
      <c r="BZ15" s="244"/>
      <c r="CA15" s="244"/>
      <c r="CB15" s="244"/>
      <c r="CC15" s="244"/>
      <c r="CD15" s="244"/>
      <c r="CE15" s="244"/>
      <c r="CF15" s="244"/>
    </row>
    <row r="16" ht="12.75" customHeight="1">
      <c r="C16" s="105" t="s">
        <v>226</v>
      </c>
      <c r="D16" s="104" t="s">
        <v>227</v>
      </c>
      <c r="H16" s="97"/>
      <c r="O16" s="21"/>
      <c r="P16" s="21"/>
      <c r="Q16" s="21"/>
      <c r="R16" s="21"/>
      <c r="S16" s="21"/>
      <c r="T16" s="21"/>
      <c r="U16" s="21"/>
      <c r="W16" s="21"/>
      <c r="X16" s="21"/>
      <c r="Y16" s="21"/>
      <c r="Z16" s="21"/>
      <c r="AA16" s="21"/>
      <c r="AB16" s="21"/>
      <c r="AC16" s="21"/>
      <c r="AE16" s="21"/>
      <c r="AF16" s="21"/>
      <c r="AG16" s="21"/>
      <c r="AH16" s="21"/>
      <c r="AI16" s="21"/>
      <c r="AJ16" s="21"/>
      <c r="AK16" s="21"/>
      <c r="AS16" s="244"/>
      <c r="AT16" s="244"/>
      <c r="AU16" s="244"/>
      <c r="AV16" s="244"/>
      <c r="AW16" s="244"/>
      <c r="AX16" s="244"/>
      <c r="AY16" s="244"/>
      <c r="AZ16" s="244"/>
      <c r="BA16" s="244"/>
      <c r="BB16" s="244"/>
      <c r="BC16" s="244"/>
      <c r="BD16" s="244"/>
      <c r="BE16" s="244"/>
      <c r="BF16" s="244"/>
      <c r="BG16" s="244"/>
      <c r="BH16" s="244"/>
      <c r="BI16" s="244"/>
      <c r="BJ16" s="244"/>
      <c r="BK16" s="244"/>
      <c r="BL16" s="244"/>
      <c r="BM16" s="244"/>
      <c r="BN16" s="244"/>
      <c r="BO16" s="244"/>
      <c r="BP16" s="244"/>
      <c r="BQ16" s="244"/>
      <c r="BR16" s="244"/>
      <c r="BS16" s="244"/>
      <c r="BT16" s="244"/>
      <c r="BU16" s="244"/>
      <c r="BV16" s="244"/>
      <c r="BW16" s="244"/>
      <c r="BX16" s="244"/>
      <c r="BY16" s="244"/>
      <c r="BZ16" s="244"/>
      <c r="CA16" s="244"/>
      <c r="CB16" s="244"/>
      <c r="CC16" s="244"/>
      <c r="CD16" s="244"/>
      <c r="CE16" s="244"/>
      <c r="CF16" s="244"/>
    </row>
    <row r="17" ht="12.75" customHeight="1">
      <c r="C17" s="105" t="s">
        <v>228</v>
      </c>
      <c r="D17" s="104" t="s">
        <v>229</v>
      </c>
      <c r="H17" s="97"/>
      <c r="O17" s="21"/>
      <c r="P17" s="21"/>
      <c r="Q17" s="21"/>
      <c r="R17" s="21"/>
      <c r="S17" s="21"/>
      <c r="T17" s="21"/>
      <c r="U17" s="21"/>
      <c r="W17" s="21"/>
      <c r="X17" s="21"/>
      <c r="Y17" s="21"/>
      <c r="Z17" s="21"/>
      <c r="AA17" s="21"/>
      <c r="AB17" s="21"/>
      <c r="AC17" s="21"/>
      <c r="AE17" s="21"/>
      <c r="AF17" s="21"/>
      <c r="AG17" s="21"/>
      <c r="AH17" s="21"/>
      <c r="AI17" s="21"/>
      <c r="AJ17" s="21"/>
      <c r="AK17" s="21"/>
      <c r="AS17" s="244"/>
      <c r="AT17" s="244"/>
      <c r="AU17" s="244"/>
      <c r="AV17" s="244"/>
      <c r="AW17" s="244"/>
      <c r="AX17" s="244"/>
      <c r="AY17" s="244"/>
      <c r="AZ17" s="244"/>
      <c r="BA17" s="244"/>
      <c r="BB17" s="244"/>
      <c r="BC17" s="244"/>
      <c r="BD17" s="244"/>
      <c r="BE17" s="244"/>
      <c r="BF17" s="244"/>
      <c r="BG17" s="244"/>
      <c r="BH17" s="244"/>
      <c r="BI17" s="244"/>
      <c r="BJ17" s="244"/>
      <c r="BK17" s="244"/>
      <c r="BL17" s="244"/>
      <c r="BM17" s="244"/>
      <c r="BN17" s="244"/>
      <c r="BO17" s="244"/>
      <c r="BP17" s="244"/>
      <c r="BQ17" s="244"/>
      <c r="BR17" s="244"/>
      <c r="BS17" s="244"/>
      <c r="BT17" s="244"/>
      <c r="BU17" s="244"/>
      <c r="BV17" s="244"/>
      <c r="BW17" s="244"/>
      <c r="BX17" s="244"/>
      <c r="BY17" s="244"/>
      <c r="BZ17" s="244"/>
      <c r="CA17" s="244"/>
      <c r="CB17" s="244"/>
      <c r="CC17" s="244"/>
      <c r="CD17" s="244"/>
      <c r="CE17" s="244"/>
      <c r="CF17" s="244"/>
    </row>
    <row r="18" ht="12.75" customHeight="1">
      <c r="C18" s="105" t="s">
        <v>230</v>
      </c>
      <c r="D18" s="104" t="s">
        <v>231</v>
      </c>
      <c r="H18" s="97"/>
      <c r="O18" s="21"/>
      <c r="P18" s="21"/>
      <c r="Q18" s="21"/>
      <c r="R18" s="21"/>
      <c r="S18" s="21"/>
      <c r="T18" s="21"/>
      <c r="U18" s="21"/>
      <c r="W18" s="21"/>
      <c r="X18" s="21"/>
      <c r="Y18" s="21"/>
      <c r="Z18" s="21"/>
      <c r="AA18" s="21"/>
      <c r="AB18" s="21"/>
      <c r="AC18" s="21"/>
      <c r="AE18" s="21"/>
      <c r="AF18" s="21"/>
      <c r="AG18" s="21"/>
      <c r="AH18" s="21"/>
      <c r="AI18" s="21"/>
      <c r="AJ18" s="21"/>
      <c r="AK18" s="21"/>
      <c r="AS18" s="244"/>
      <c r="AT18" s="244"/>
      <c r="AU18" s="244"/>
      <c r="AV18" s="244"/>
      <c r="AW18" s="244"/>
      <c r="AX18" s="244"/>
      <c r="AY18" s="244"/>
      <c r="AZ18" s="244"/>
      <c r="BA18" s="244"/>
      <c r="BB18" s="244"/>
      <c r="BC18" s="244"/>
      <c r="BD18" s="244"/>
      <c r="BE18" s="244"/>
      <c r="BF18" s="244"/>
      <c r="BG18" s="244"/>
      <c r="BH18" s="244"/>
      <c r="BI18" s="244"/>
      <c r="BJ18" s="244"/>
      <c r="BK18" s="244"/>
      <c r="BL18" s="244"/>
      <c r="BM18" s="244"/>
      <c r="BN18" s="244"/>
      <c r="BO18" s="244"/>
      <c r="BP18" s="244"/>
      <c r="BQ18" s="244"/>
      <c r="BR18" s="244"/>
      <c r="BS18" s="244"/>
      <c r="BT18" s="244"/>
      <c r="BU18" s="244"/>
      <c r="BV18" s="244"/>
      <c r="BW18" s="244"/>
      <c r="BX18" s="244"/>
      <c r="BY18" s="244"/>
      <c r="BZ18" s="244"/>
      <c r="CA18" s="244"/>
      <c r="CB18" s="244"/>
      <c r="CC18" s="244"/>
      <c r="CD18" s="244"/>
      <c r="CE18" s="244"/>
      <c r="CF18" s="244"/>
    </row>
    <row r="19" ht="12.75" customHeight="1">
      <c r="C19" s="105" t="s">
        <v>232</v>
      </c>
      <c r="D19" s="104" t="s">
        <v>233</v>
      </c>
      <c r="H19" s="97"/>
      <c r="O19" s="21"/>
      <c r="P19" s="21"/>
      <c r="Q19" s="645" t="s">
        <v>90</v>
      </c>
      <c r="R19" s="645"/>
      <c r="S19" s="645"/>
      <c r="T19" s="645"/>
      <c r="U19" s="645"/>
      <c r="V19" s="645"/>
      <c r="W19" s="645"/>
      <c r="X19" s="21"/>
      <c r="Y19" s="21"/>
      <c r="Z19" s="645" t="s">
        <v>84</v>
      </c>
      <c r="AA19" s="645"/>
      <c r="AB19" s="645"/>
      <c r="AC19" s="645"/>
      <c r="AD19" s="645"/>
      <c r="AE19" s="645"/>
      <c r="AF19" s="645"/>
      <c r="AG19" s="21"/>
      <c r="AH19" s="21"/>
      <c r="AI19" s="645" t="s">
        <v>85</v>
      </c>
      <c r="AJ19" s="645"/>
      <c r="AK19" s="645"/>
      <c r="AL19" s="645"/>
      <c r="AM19" s="645"/>
      <c r="AN19" s="645"/>
      <c r="AO19" s="645"/>
      <c r="AS19" s="244"/>
      <c r="AT19" s="244"/>
      <c r="AU19" s="244"/>
      <c r="AV19" s="244"/>
      <c r="AW19" s="244"/>
      <c r="AX19" s="244"/>
      <c r="AY19" s="244"/>
      <c r="AZ19" s="244"/>
      <c r="BA19" s="244"/>
      <c r="BB19" s="244"/>
      <c r="BC19" s="244"/>
      <c r="BD19" s="244"/>
      <c r="BE19" s="244"/>
      <c r="BF19" s="244"/>
      <c r="BG19" s="244"/>
      <c r="BH19" s="244"/>
      <c r="BI19" s="244"/>
      <c r="BJ19" s="244"/>
      <c r="BK19" s="244"/>
      <c r="BL19" s="244"/>
      <c r="BM19" s="244"/>
      <c r="BN19" s="244"/>
      <c r="BO19" s="244"/>
      <c r="BP19" s="244"/>
      <c r="BQ19" s="244"/>
      <c r="BR19" s="244"/>
      <c r="BS19" s="244"/>
      <c r="BT19" s="244"/>
      <c r="BU19" s="244"/>
      <c r="BV19" s="244"/>
      <c r="BW19" s="244"/>
      <c r="BX19" s="244"/>
      <c r="BY19" s="244"/>
      <c r="BZ19" s="244"/>
      <c r="CA19" s="244"/>
      <c r="CB19" s="244"/>
      <c r="CC19" s="244"/>
      <c r="CD19" s="244"/>
      <c r="CE19" s="244"/>
      <c r="CF19" s="244"/>
    </row>
    <row r="20" ht="15" customHeight="1">
      <c r="Q20" s="645"/>
      <c r="R20" s="645"/>
      <c r="S20" s="645"/>
      <c r="T20" s="645"/>
      <c r="U20" s="645"/>
      <c r="V20" s="645"/>
      <c r="W20" s="645"/>
      <c r="X20" s="107"/>
      <c r="Y20" s="107"/>
      <c r="Z20" s="645"/>
      <c r="AA20" s="645"/>
      <c r="AB20" s="645"/>
      <c r="AC20" s="645"/>
      <c r="AD20" s="645"/>
      <c r="AE20" s="645"/>
      <c r="AF20" s="645"/>
      <c r="AG20" s="107"/>
      <c r="AH20" s="6"/>
      <c r="AI20" s="645"/>
      <c r="AJ20" s="645"/>
      <c r="AK20" s="645"/>
      <c r="AL20" s="645"/>
      <c r="AM20" s="645"/>
      <c r="AN20" s="645"/>
      <c r="AO20" s="645"/>
      <c r="AS20" s="244"/>
      <c r="AT20" s="244"/>
      <c r="AU20" s="244"/>
      <c r="AV20" s="701"/>
      <c r="AW20" s="701"/>
      <c r="AX20" s="701"/>
      <c r="AY20" s="701"/>
      <c r="AZ20" s="701"/>
      <c r="BA20" s="701"/>
      <c r="BB20" s="701"/>
      <c r="BC20" s="244"/>
      <c r="BD20" s="244"/>
      <c r="BE20" s="244"/>
      <c r="BF20" s="244"/>
      <c r="BG20" s="244"/>
      <c r="BH20" s="244"/>
      <c r="BI20" s="244"/>
      <c r="BJ20" s="244"/>
      <c r="BK20" s="244"/>
      <c r="BL20" s="244"/>
      <c r="BM20" s="244"/>
      <c r="BN20" s="244"/>
      <c r="BO20" s="244"/>
      <c r="BP20" s="244"/>
      <c r="BQ20" s="244"/>
      <c r="BR20" s="244"/>
      <c r="BS20" s="244"/>
      <c r="BT20" s="244"/>
      <c r="BU20" s="244"/>
      <c r="BV20" s="244"/>
      <c r="BW20" s="244"/>
      <c r="BX20" s="244"/>
      <c r="BY20" s="244"/>
      <c r="BZ20" s="244"/>
      <c r="CA20" s="244"/>
      <c r="CB20" s="244"/>
      <c r="CC20" s="244"/>
      <c r="CD20" s="244"/>
      <c r="CE20" s="244"/>
      <c r="CF20" s="244"/>
    </row>
    <row r="21" s="0" customFormat="1" ht="60" customHeight="1">
      <c r="B21" s="110"/>
      <c r="C21" s="101" t="s">
        <v>34</v>
      </c>
      <c r="D21" s="101" t="s">
        <v>35</v>
      </c>
      <c r="E21" s="111" t="s">
        <v>36</v>
      </c>
      <c r="F21" s="111" t="s">
        <v>74</v>
      </c>
      <c r="G21" s="111" t="s">
        <v>73</v>
      </c>
      <c r="H21" s="111" t="s">
        <v>70</v>
      </c>
      <c r="I21" s="111" t="s">
        <v>71</v>
      </c>
      <c r="Q21" s="119">
        <v>45795</v>
      </c>
      <c r="R21" s="119">
        <v>45796</v>
      </c>
      <c r="S21" s="119">
        <v>45797</v>
      </c>
      <c r="T21" s="119">
        <v>45798</v>
      </c>
      <c r="U21" s="119">
        <v>45799</v>
      </c>
      <c r="V21" s="119">
        <v>45800</v>
      </c>
      <c r="W21" s="119">
        <v>45801</v>
      </c>
      <c r="X21" s="120"/>
      <c r="Y21" s="120"/>
      <c r="Z21" s="119">
        <v>45795</v>
      </c>
      <c r="AA21" s="119">
        <v>45796</v>
      </c>
      <c r="AB21" s="119">
        <v>45797</v>
      </c>
      <c r="AC21" s="119">
        <v>45798</v>
      </c>
      <c r="AD21" s="119">
        <v>45799</v>
      </c>
      <c r="AE21" s="119">
        <v>45800</v>
      </c>
      <c r="AF21" s="119">
        <v>45801</v>
      </c>
      <c r="AG21" s="120"/>
      <c r="AH21" s="120"/>
      <c r="AI21" s="119">
        <v>45795</v>
      </c>
      <c r="AJ21" s="119">
        <v>45796</v>
      </c>
      <c r="AK21" s="119">
        <v>45797</v>
      </c>
      <c r="AL21" s="119">
        <v>45798</v>
      </c>
      <c r="AM21" s="119">
        <v>45799</v>
      </c>
      <c r="AN21" s="119">
        <v>45800</v>
      </c>
      <c r="AO21" s="119">
        <v>45801</v>
      </c>
      <c r="AP21" s="112"/>
      <c r="AQ21" s="112"/>
      <c r="AR21" s="112"/>
      <c r="AS21" s="270"/>
      <c r="AT21" s="270"/>
      <c r="AU21" s="244"/>
      <c r="AV21" s="244"/>
      <c r="AW21" s="244"/>
      <c r="AX21" s="244"/>
      <c r="AY21" s="244"/>
      <c r="AZ21" s="244"/>
      <c r="BA21" s="244"/>
      <c r="BB21" s="244"/>
      <c r="BC21" s="244"/>
      <c r="BD21" s="244"/>
      <c r="BE21" s="244"/>
      <c r="BF21" s="244"/>
      <c r="BG21" s="244"/>
      <c r="BH21" s="244"/>
      <c r="BI21" s="244"/>
      <c r="BJ21" s="244"/>
      <c r="BK21" s="244"/>
      <c r="BL21" s="244"/>
      <c r="BM21" s="244"/>
      <c r="BN21" s="244"/>
      <c r="BO21" s="244"/>
      <c r="BP21" s="244"/>
      <c r="BQ21" s="244"/>
      <c r="BR21" s="244"/>
      <c r="BS21" s="244"/>
      <c r="BT21" s="244"/>
      <c r="BU21" s="244"/>
      <c r="BV21" s="244"/>
      <c r="BW21" s="244"/>
      <c r="BX21" s="244"/>
      <c r="BY21" s="244"/>
      <c r="BZ21" s="244"/>
      <c r="CA21" s="244"/>
      <c r="CB21" s="244"/>
      <c r="CC21" s="244"/>
      <c r="CD21" s="244"/>
      <c r="CE21" s="244"/>
      <c r="CF21" s="244"/>
    </row>
    <row r="22" ht="18" customHeight="1">
      <c r="C22" s="702">
        <v>56387</v>
      </c>
      <c r="D22" s="702" t="s">
        <v>189</v>
      </c>
      <c r="E22" s="702" t="s">
        <v>190</v>
      </c>
      <c r="F22" s="702" t="s">
        <v>191</v>
      </c>
      <c r="G22" s="702" t="s">
        <v>192</v>
      </c>
      <c r="H22" s="703">
        <v>132</v>
      </c>
      <c r="I22" s="703" t="s">
        <v>193</v>
      </c>
      <c r="J22" s="703"/>
      <c r="K22" s="703"/>
      <c r="L22" s="703"/>
      <c r="M22" s="703"/>
      <c r="N22" s="703"/>
      <c r="O22" s="113"/>
      <c r="Q22" s="704" t="s">
        <v>194</v>
      </c>
      <c r="R22" s="705" t="s">
        <v>194</v>
      </c>
      <c r="S22" s="705" t="s">
        <v>194</v>
      </c>
      <c r="T22" s="705" t="s">
        <v>194</v>
      </c>
      <c r="U22" s="705" t="s">
        <v>194</v>
      </c>
      <c r="V22" s="705" t="s">
        <v>194</v>
      </c>
      <c r="W22" s="706" t="s">
        <v>194</v>
      </c>
      <c r="Z22" s="704" t="s">
        <v>194</v>
      </c>
      <c r="AA22" s="705" t="s">
        <v>194</v>
      </c>
      <c r="AB22" s="705" t="s">
        <v>194</v>
      </c>
      <c r="AC22" s="705" t="s">
        <v>194</v>
      </c>
      <c r="AD22" s="705" t="s">
        <v>194</v>
      </c>
      <c r="AE22" s="705" t="s">
        <v>194</v>
      </c>
      <c r="AF22" s="706" t="s">
        <v>194</v>
      </c>
      <c r="AI22" s="704" t="s">
        <v>194</v>
      </c>
      <c r="AJ22" s="705" t="s">
        <v>194</v>
      </c>
      <c r="AK22" s="705" t="s">
        <v>194</v>
      </c>
      <c r="AL22" s="705" t="s">
        <v>194</v>
      </c>
      <c r="AM22" s="705" t="s">
        <v>194</v>
      </c>
      <c r="AN22" s="705" t="s">
        <v>194</v>
      </c>
      <c r="AO22" s="706" t="s">
        <v>194</v>
      </c>
      <c r="AP22" s="213"/>
      <c r="AQ22" s="213"/>
      <c r="AR22" s="213"/>
      <c r="AS22" s="271"/>
      <c r="AT22" s="271"/>
      <c r="AU22" s="244"/>
      <c r="AV22" s="244"/>
      <c r="AW22" s="244"/>
      <c r="AX22" s="244"/>
      <c r="AY22" s="244"/>
      <c r="AZ22" s="244"/>
      <c r="BA22" s="244"/>
      <c r="BB22" s="244"/>
      <c r="BC22" s="244"/>
      <c r="BD22" s="244"/>
      <c r="BE22" s="244"/>
      <c r="BF22" s="244"/>
      <c r="BG22" s="244"/>
      <c r="BH22" s="244"/>
      <c r="BI22" s="244"/>
      <c r="BJ22" s="244"/>
      <c r="BK22" s="244"/>
      <c r="BL22" s="244"/>
      <c r="BM22" s="244"/>
      <c r="BN22" s="244"/>
      <c r="BO22" s="244"/>
      <c r="BP22" s="244"/>
      <c r="BQ22" s="244"/>
      <c r="BR22" s="244"/>
      <c r="BS22" s="244"/>
      <c r="BT22" s="244"/>
      <c r="BU22" s="244"/>
      <c r="BV22" s="244"/>
      <c r="BW22" s="244"/>
      <c r="BX22" s="244"/>
      <c r="BY22" s="244"/>
      <c r="BZ22" s="244"/>
      <c r="CA22" s="244"/>
      <c r="CB22" s="244"/>
      <c r="CC22" s="244"/>
      <c r="CD22" s="244"/>
      <c r="CE22" s="244"/>
      <c r="CF22" s="244"/>
    </row>
    <row r="23" ht="18" customHeight="1">
      <c r="C23" s="707">
        <v>33931</v>
      </c>
      <c r="D23" s="707" t="s">
        <v>195</v>
      </c>
      <c r="E23" s="707" t="s">
        <v>190</v>
      </c>
      <c r="F23" s="707" t="s">
        <v>196</v>
      </c>
      <c r="G23" s="707" t="s">
        <v>197</v>
      </c>
      <c r="H23" s="708">
        <v>107</v>
      </c>
      <c r="I23" s="708" t="s">
        <v>198</v>
      </c>
      <c r="J23" s="708"/>
      <c r="K23" s="708"/>
      <c r="L23" s="708"/>
      <c r="M23" s="708"/>
      <c r="N23" s="708"/>
      <c r="O23" s="113"/>
      <c r="Q23" s="709" t="s">
        <v>194</v>
      </c>
      <c r="R23" s="710" t="s">
        <v>194</v>
      </c>
      <c r="S23" s="710" t="s">
        <v>194</v>
      </c>
      <c r="T23" s="710" t="s">
        <v>194</v>
      </c>
      <c r="U23" s="710" t="s">
        <v>194</v>
      </c>
      <c r="V23" s="710" t="s">
        <v>194</v>
      </c>
      <c r="W23" s="711" t="s">
        <v>194</v>
      </c>
      <c r="Z23" s="709" t="s">
        <v>194</v>
      </c>
      <c r="AA23" s="710" t="s">
        <v>194</v>
      </c>
      <c r="AB23" s="710" t="s">
        <v>194</v>
      </c>
      <c r="AC23" s="710" t="s">
        <v>194</v>
      </c>
      <c r="AD23" s="710" t="s">
        <v>194</v>
      </c>
      <c r="AE23" s="710" t="s">
        <v>194</v>
      </c>
      <c r="AF23" s="711" t="s">
        <v>194</v>
      </c>
      <c r="AI23" s="709" t="s">
        <v>194</v>
      </c>
      <c r="AJ23" s="710" t="s">
        <v>194</v>
      </c>
      <c r="AK23" s="710" t="s">
        <v>194</v>
      </c>
      <c r="AL23" s="710" t="s">
        <v>194</v>
      </c>
      <c r="AM23" s="710" t="s">
        <v>194</v>
      </c>
      <c r="AN23" s="710" t="s">
        <v>194</v>
      </c>
      <c r="AO23" s="711" t="s">
        <v>194</v>
      </c>
      <c r="AP23" s="213"/>
      <c r="AQ23" s="213"/>
      <c r="AR23" s="213"/>
      <c r="AS23" s="271"/>
      <c r="AT23" s="271"/>
      <c r="AU23" s="244"/>
      <c r="AV23" s="244"/>
      <c r="AW23" s="244"/>
      <c r="AX23" s="244"/>
      <c r="AY23" s="244"/>
      <c r="AZ23" s="244"/>
      <c r="BA23" s="244"/>
      <c r="BB23" s="244"/>
      <c r="BC23" s="244"/>
      <c r="BD23" s="244"/>
      <c r="BE23" s="244"/>
      <c r="BF23" s="244"/>
      <c r="BG23" s="244"/>
      <c r="BH23" s="244"/>
      <c r="BI23" s="244"/>
      <c r="BJ23" s="244"/>
      <c r="BK23" s="244"/>
      <c r="BL23" s="244"/>
      <c r="BM23" s="244"/>
      <c r="BN23" s="244"/>
      <c r="BO23" s="244"/>
      <c r="BP23" s="244"/>
      <c r="BQ23" s="244"/>
      <c r="BR23" s="244"/>
      <c r="BS23" s="244"/>
      <c r="BT23" s="244"/>
      <c r="BU23" s="244"/>
      <c r="BV23" s="244"/>
      <c r="BW23" s="244"/>
      <c r="BX23" s="244"/>
      <c r="BY23" s="244"/>
      <c r="BZ23" s="244"/>
      <c r="CA23" s="244"/>
      <c r="CB23" s="244"/>
      <c r="CC23" s="244"/>
      <c r="CD23" s="244"/>
      <c r="CE23" s="244"/>
      <c r="CF23" s="244"/>
    </row>
    <row r="24" ht="18" customHeight="1">
      <c r="C24" s="702">
        <v>34401</v>
      </c>
      <c r="D24" s="702" t="s">
        <v>199</v>
      </c>
      <c r="E24" s="702" t="s">
        <v>190</v>
      </c>
      <c r="F24" s="702" t="s">
        <v>196</v>
      </c>
      <c r="G24" s="702" t="s">
        <v>177</v>
      </c>
      <c r="H24" s="703">
        <v>0</v>
      </c>
      <c r="I24" s="703" t="s">
        <v>200</v>
      </c>
      <c r="J24" s="703"/>
      <c r="K24" s="703"/>
      <c r="L24" s="703"/>
      <c r="M24" s="703"/>
      <c r="N24" s="703"/>
      <c r="O24" s="113"/>
      <c r="Q24" s="704" t="s">
        <v>177</v>
      </c>
      <c r="R24" s="705" t="s">
        <v>177</v>
      </c>
      <c r="S24" s="705" t="s">
        <v>177</v>
      </c>
      <c r="T24" s="705" t="s">
        <v>177</v>
      </c>
      <c r="U24" s="705" t="s">
        <v>177</v>
      </c>
      <c r="V24" s="705" t="s">
        <v>177</v>
      </c>
      <c r="W24" s="706" t="s">
        <v>177</v>
      </c>
      <c r="Z24" s="704" t="s">
        <v>177</v>
      </c>
      <c r="AA24" s="705" t="s">
        <v>177</v>
      </c>
      <c r="AB24" s="705" t="s">
        <v>177</v>
      </c>
      <c r="AC24" s="705" t="s">
        <v>177</v>
      </c>
      <c r="AD24" s="705" t="s">
        <v>177</v>
      </c>
      <c r="AE24" s="705" t="s">
        <v>177</v>
      </c>
      <c r="AF24" s="706" t="s">
        <v>177</v>
      </c>
      <c r="AI24" s="704" t="s">
        <v>177</v>
      </c>
      <c r="AJ24" s="705" t="s">
        <v>177</v>
      </c>
      <c r="AK24" s="705" t="s">
        <v>177</v>
      </c>
      <c r="AL24" s="705" t="s">
        <v>177</v>
      </c>
      <c r="AM24" s="705" t="s">
        <v>177</v>
      </c>
      <c r="AN24" s="705" t="s">
        <v>177</v>
      </c>
      <c r="AO24" s="706" t="s">
        <v>177</v>
      </c>
      <c r="AP24" s="213"/>
      <c r="AQ24" s="213"/>
      <c r="AR24" s="213"/>
      <c r="AS24" s="271"/>
      <c r="AT24" s="271"/>
      <c r="AU24" s="244"/>
      <c r="AV24" s="244"/>
      <c r="AW24" s="244"/>
      <c r="AX24" s="244"/>
      <c r="AY24" s="244"/>
      <c r="AZ24" s="244"/>
      <c r="BA24" s="244"/>
      <c r="BB24" s="244"/>
      <c r="BC24" s="244"/>
      <c r="BD24" s="244"/>
      <c r="BE24" s="244"/>
      <c r="BF24" s="244"/>
      <c r="BG24" s="244"/>
      <c r="BH24" s="244"/>
      <c r="BI24" s="244"/>
      <c r="BJ24" s="244"/>
      <c r="BK24" s="244"/>
      <c r="BL24" s="244"/>
      <c r="BM24" s="244"/>
      <c r="BN24" s="244"/>
      <c r="BO24" s="244"/>
      <c r="BP24" s="244"/>
      <c r="BQ24" s="244"/>
      <c r="BR24" s="244"/>
      <c r="BS24" s="244"/>
      <c r="BT24" s="244"/>
      <c r="BU24" s="244"/>
      <c r="BV24" s="244"/>
      <c r="BW24" s="244"/>
      <c r="BX24" s="244"/>
      <c r="BY24" s="244"/>
      <c r="BZ24" s="244"/>
      <c r="CA24" s="244"/>
      <c r="CB24" s="244"/>
      <c r="CC24" s="244"/>
      <c r="CD24" s="244"/>
      <c r="CE24" s="244"/>
      <c r="CF24" s="244"/>
    </row>
    <row r="25" ht="18" customHeight="1">
      <c r="C25" s="707">
        <v>39070</v>
      </c>
      <c r="D25" s="707" t="s">
        <v>201</v>
      </c>
      <c r="E25" s="707" t="s">
        <v>190</v>
      </c>
      <c r="F25" s="707" t="s">
        <v>196</v>
      </c>
      <c r="G25" s="707" t="s">
        <v>202</v>
      </c>
      <c r="H25" s="708">
        <v>73</v>
      </c>
      <c r="I25" s="708" t="s">
        <v>203</v>
      </c>
      <c r="J25" s="708"/>
      <c r="K25" s="708"/>
      <c r="L25" s="708"/>
      <c r="M25" s="708"/>
      <c r="N25" s="708"/>
      <c r="O25" s="113"/>
      <c r="Q25" s="709" t="s">
        <v>194</v>
      </c>
      <c r="R25" s="710" t="s">
        <v>204</v>
      </c>
      <c r="S25" s="710" t="s">
        <v>204</v>
      </c>
      <c r="T25" s="710" t="s">
        <v>204</v>
      </c>
      <c r="U25" s="710" t="s">
        <v>204</v>
      </c>
      <c r="V25" s="710" t="s">
        <v>204</v>
      </c>
      <c r="W25" s="711" t="s">
        <v>204</v>
      </c>
      <c r="Z25" s="709" t="s">
        <v>194</v>
      </c>
      <c r="AA25" s="710" t="s">
        <v>204</v>
      </c>
      <c r="AB25" s="710" t="s">
        <v>204</v>
      </c>
      <c r="AC25" s="710" t="s">
        <v>204</v>
      </c>
      <c r="AD25" s="710" t="s">
        <v>204</v>
      </c>
      <c r="AE25" s="710" t="s">
        <v>204</v>
      </c>
      <c r="AF25" s="711" t="s">
        <v>204</v>
      </c>
      <c r="AI25" s="709" t="s">
        <v>194</v>
      </c>
      <c r="AJ25" s="710" t="s">
        <v>204</v>
      </c>
      <c r="AK25" s="710" t="s">
        <v>204</v>
      </c>
      <c r="AL25" s="710" t="s">
        <v>204</v>
      </c>
      <c r="AM25" s="710" t="s">
        <v>204</v>
      </c>
      <c r="AN25" s="710" t="s">
        <v>204</v>
      </c>
      <c r="AO25" s="711" t="s">
        <v>204</v>
      </c>
      <c r="AP25" s="213"/>
      <c r="AQ25" s="213"/>
      <c r="AR25" s="213"/>
      <c r="AS25" s="271"/>
      <c r="AT25" s="271"/>
      <c r="AU25" s="244"/>
      <c r="AV25" s="244"/>
      <c r="AW25" s="244"/>
      <c r="AX25" s="244"/>
      <c r="AY25" s="244"/>
      <c r="AZ25" s="244"/>
      <c r="BA25" s="244"/>
      <c r="BB25" s="244"/>
      <c r="BC25" s="244"/>
      <c r="BD25" s="244"/>
      <c r="BE25" s="244"/>
      <c r="BF25" s="244"/>
      <c r="BG25" s="244"/>
      <c r="BH25" s="244"/>
      <c r="BI25" s="244"/>
      <c r="BJ25" s="244"/>
      <c r="BK25" s="244"/>
      <c r="BL25" s="244"/>
      <c r="BM25" s="244"/>
      <c r="BN25" s="244"/>
      <c r="BO25" s="244"/>
      <c r="BP25" s="244"/>
      <c r="BQ25" s="244"/>
      <c r="BR25" s="244"/>
      <c r="BS25" s="244"/>
      <c r="BT25" s="244"/>
      <c r="BU25" s="244"/>
      <c r="BV25" s="244"/>
      <c r="BW25" s="244"/>
      <c r="BX25" s="244"/>
      <c r="BY25" s="244"/>
      <c r="BZ25" s="244"/>
      <c r="CA25" s="244"/>
      <c r="CB25" s="244"/>
      <c r="CC25" s="244"/>
      <c r="CD25" s="244"/>
      <c r="CE25" s="244"/>
      <c r="CF25" s="244"/>
    </row>
    <row r="26" ht="18" customHeight="1">
      <c r="C26" s="702">
        <v>44117</v>
      </c>
      <c r="D26" s="702" t="s">
        <v>205</v>
      </c>
      <c r="E26" s="702" t="s">
        <v>190</v>
      </c>
      <c r="F26" s="702" t="s">
        <v>196</v>
      </c>
      <c r="G26" s="702" t="s">
        <v>206</v>
      </c>
      <c r="H26" s="703">
        <v>129</v>
      </c>
      <c r="I26" s="703" t="s">
        <v>207</v>
      </c>
      <c r="J26" s="703"/>
      <c r="K26" s="703"/>
      <c r="L26" s="703"/>
      <c r="M26" s="703"/>
      <c r="N26" s="703"/>
      <c r="O26" s="113"/>
      <c r="Q26" s="704" t="s">
        <v>194</v>
      </c>
      <c r="R26" s="705" t="s">
        <v>194</v>
      </c>
      <c r="S26" s="705" t="s">
        <v>194</v>
      </c>
      <c r="T26" s="705" t="s">
        <v>194</v>
      </c>
      <c r="U26" s="705" t="s">
        <v>194</v>
      </c>
      <c r="V26" s="705" t="s">
        <v>194</v>
      </c>
      <c r="W26" s="706" t="s">
        <v>194</v>
      </c>
      <c r="Z26" s="704" t="s">
        <v>194</v>
      </c>
      <c r="AA26" s="705" t="s">
        <v>194</v>
      </c>
      <c r="AB26" s="705" t="s">
        <v>194</v>
      </c>
      <c r="AC26" s="705" t="s">
        <v>194</v>
      </c>
      <c r="AD26" s="705" t="s">
        <v>194</v>
      </c>
      <c r="AE26" s="705" t="s">
        <v>194</v>
      </c>
      <c r="AF26" s="706" t="s">
        <v>194</v>
      </c>
      <c r="AI26" s="704" t="s">
        <v>194</v>
      </c>
      <c r="AJ26" s="705" t="s">
        <v>194</v>
      </c>
      <c r="AK26" s="705" t="s">
        <v>194</v>
      </c>
      <c r="AL26" s="705" t="s">
        <v>194</v>
      </c>
      <c r="AM26" s="705" t="s">
        <v>194</v>
      </c>
      <c r="AN26" s="705" t="s">
        <v>194</v>
      </c>
      <c r="AO26" s="706" t="s">
        <v>194</v>
      </c>
      <c r="AP26" s="213"/>
      <c r="AQ26" s="213"/>
      <c r="AR26" s="213"/>
      <c r="AS26" s="271"/>
      <c r="AT26" s="271"/>
      <c r="AU26" s="244"/>
      <c r="AV26" s="244"/>
      <c r="AW26" s="244"/>
      <c r="AX26" s="244"/>
      <c r="AY26" s="244"/>
      <c r="AZ26" s="244"/>
      <c r="BA26" s="244"/>
      <c r="BB26" s="244"/>
      <c r="BC26" s="244"/>
      <c r="BD26" s="244"/>
      <c r="BE26" s="244"/>
      <c r="BF26" s="244"/>
      <c r="BG26" s="244"/>
      <c r="BH26" s="244"/>
      <c r="BI26" s="244"/>
      <c r="BJ26" s="244"/>
      <c r="BK26" s="244"/>
      <c r="BL26" s="244"/>
      <c r="BM26" s="244"/>
      <c r="BN26" s="244"/>
      <c r="BO26" s="244"/>
      <c r="BP26" s="244"/>
      <c r="BQ26" s="244"/>
      <c r="BR26" s="244"/>
      <c r="BS26" s="244"/>
      <c r="BT26" s="244"/>
      <c r="BU26" s="244"/>
      <c r="BV26" s="244"/>
      <c r="BW26" s="244"/>
      <c r="BX26" s="244"/>
      <c r="BY26" s="244"/>
      <c r="BZ26" s="244"/>
      <c r="CA26" s="244"/>
      <c r="CB26" s="244"/>
      <c r="CC26" s="244"/>
      <c r="CD26" s="244"/>
      <c r="CE26" s="244"/>
      <c r="CF26" s="244"/>
    </row>
    <row r="27" ht="18" customHeight="1">
      <c r="C27" s="707">
        <v>53909</v>
      </c>
      <c r="D27" s="707" t="s">
        <v>208</v>
      </c>
      <c r="E27" s="707" t="s">
        <v>190</v>
      </c>
      <c r="F27" s="707" t="s">
        <v>209</v>
      </c>
      <c r="G27" s="707" t="s">
        <v>210</v>
      </c>
      <c r="H27" s="708">
        <v>35</v>
      </c>
      <c r="I27" s="708" t="s">
        <v>211</v>
      </c>
      <c r="J27" s="708"/>
      <c r="K27" s="708"/>
      <c r="L27" s="708"/>
      <c r="M27" s="708"/>
      <c r="N27" s="708"/>
      <c r="O27" s="113"/>
      <c r="Q27" s="709" t="s">
        <v>194</v>
      </c>
      <c r="R27" s="710" t="s">
        <v>194</v>
      </c>
      <c r="S27" s="710" t="s">
        <v>194</v>
      </c>
      <c r="T27" s="710" t="s">
        <v>194</v>
      </c>
      <c r="U27" s="710" t="s">
        <v>194</v>
      </c>
      <c r="V27" s="710" t="s">
        <v>194</v>
      </c>
      <c r="W27" s="711" t="s">
        <v>194</v>
      </c>
      <c r="Z27" s="709" t="s">
        <v>194</v>
      </c>
      <c r="AA27" s="710" t="s">
        <v>194</v>
      </c>
      <c r="AB27" s="710" t="s">
        <v>194</v>
      </c>
      <c r="AC27" s="710" t="s">
        <v>194</v>
      </c>
      <c r="AD27" s="710" t="s">
        <v>194</v>
      </c>
      <c r="AE27" s="710" t="s">
        <v>194</v>
      </c>
      <c r="AF27" s="711" t="s">
        <v>194</v>
      </c>
      <c r="AI27" s="709" t="s">
        <v>204</v>
      </c>
      <c r="AJ27" s="710" t="s">
        <v>204</v>
      </c>
      <c r="AK27" s="710" t="s">
        <v>204</v>
      </c>
      <c r="AL27" s="710" t="s">
        <v>204</v>
      </c>
      <c r="AM27" s="710" t="s">
        <v>204</v>
      </c>
      <c r="AN27" s="710" t="s">
        <v>204</v>
      </c>
      <c r="AO27" s="711" t="s">
        <v>204</v>
      </c>
      <c r="AP27" s="213"/>
      <c r="AQ27" s="213"/>
      <c r="AR27" s="213"/>
      <c r="AS27" s="271"/>
      <c r="AT27" s="271"/>
      <c r="AU27" s="244"/>
      <c r="AV27" s="244"/>
      <c r="AW27" s="244"/>
      <c r="AX27" s="244"/>
      <c r="AY27" s="244"/>
      <c r="AZ27" s="244"/>
      <c r="BA27" s="244"/>
      <c r="BB27" s="244"/>
      <c r="BC27" s="244"/>
      <c r="BD27" s="244"/>
      <c r="BE27" s="244"/>
      <c r="BF27" s="244"/>
      <c r="BG27" s="244"/>
      <c r="BH27" s="244"/>
      <c r="BI27" s="244"/>
      <c r="BJ27" s="244"/>
      <c r="BK27" s="244"/>
      <c r="BL27" s="244"/>
      <c r="BM27" s="244"/>
      <c r="BN27" s="244"/>
      <c r="BO27" s="244"/>
      <c r="BP27" s="244"/>
      <c r="BQ27" s="244"/>
      <c r="BR27" s="244"/>
      <c r="BS27" s="244"/>
      <c r="BT27" s="244"/>
      <c r="BU27" s="244"/>
      <c r="BV27" s="244"/>
      <c r="BW27" s="244"/>
      <c r="BX27" s="244"/>
      <c r="BY27" s="244"/>
      <c r="BZ27" s="244"/>
      <c r="CA27" s="244"/>
      <c r="CB27" s="244"/>
      <c r="CC27" s="244"/>
      <c r="CD27" s="244"/>
      <c r="CE27" s="244"/>
      <c r="CF27" s="244"/>
    </row>
    <row r="28" ht="18" customHeight="1">
      <c r="C28" s="114"/>
      <c r="D28" s="118"/>
      <c r="E28" s="118"/>
      <c r="F28" s="118"/>
      <c r="G28" s="118"/>
      <c r="H28" s="703">
        <v>476</v>
      </c>
      <c r="I28" s="712"/>
      <c r="J28" s="712"/>
      <c r="K28" s="712"/>
      <c r="L28" s="712"/>
      <c r="M28" s="712"/>
      <c r="N28" s="712"/>
      <c r="O28" s="113"/>
      <c r="AP28" s="213"/>
      <c r="AQ28" s="213"/>
      <c r="AR28" s="213"/>
      <c r="AS28" s="271"/>
      <c r="AT28" s="271"/>
      <c r="AU28" s="244"/>
      <c r="AV28" s="244"/>
      <c r="AW28" s="244"/>
      <c r="AX28" s="244"/>
      <c r="AY28" s="244"/>
      <c r="AZ28" s="244"/>
      <c r="BA28" s="244"/>
      <c r="BB28" s="244"/>
      <c r="BC28" s="244"/>
      <c r="BD28" s="244"/>
      <c r="BE28" s="244"/>
      <c r="BF28" s="244"/>
      <c r="BG28" s="244"/>
      <c r="BH28" s="244"/>
      <c r="BI28" s="244"/>
      <c r="BJ28" s="244"/>
      <c r="BK28" s="244"/>
      <c r="BL28" s="244"/>
      <c r="BM28" s="244"/>
      <c r="BN28" s="244"/>
      <c r="BO28" s="244"/>
      <c r="BP28" s="244"/>
      <c r="BQ28" s="244"/>
      <c r="BR28" s="244"/>
      <c r="BS28" s="244"/>
      <c r="BT28" s="244"/>
      <c r="BU28" s="244"/>
      <c r="BV28" s="244"/>
      <c r="BW28" s="244"/>
      <c r="BX28" s="244"/>
      <c r="BY28" s="244"/>
      <c r="BZ28" s="244"/>
      <c r="CA28" s="244"/>
      <c r="CB28" s="244"/>
      <c r="CC28" s="244"/>
      <c r="CD28" s="244"/>
      <c r="CE28" s="244"/>
      <c r="CF28" s="244"/>
    </row>
    <row r="29" ht="18" customHeight="1">
      <c r="C29" s="114"/>
      <c r="D29" s="118"/>
      <c r="E29" s="118"/>
      <c r="F29" s="118"/>
      <c r="G29" s="118"/>
      <c r="H29" s="118"/>
      <c r="I29" s="712"/>
      <c r="J29" s="712"/>
      <c r="K29" s="712"/>
      <c r="L29" s="712"/>
      <c r="M29" s="712"/>
      <c r="N29" s="712"/>
      <c r="O29" s="113"/>
      <c r="P29" t="s">
        <v>212</v>
      </c>
      <c r="AP29" s="213"/>
      <c r="AQ29" s="213"/>
      <c r="AR29" s="213"/>
      <c r="AS29" s="271"/>
      <c r="AT29" s="271"/>
      <c r="AU29" s="244"/>
      <c r="AV29" s="244"/>
      <c r="AW29" s="244"/>
      <c r="AX29" s="244"/>
      <c r="AY29" s="244"/>
      <c r="AZ29" s="244"/>
      <c r="BA29" s="244"/>
      <c r="BB29" s="244"/>
      <c r="BC29" s="244"/>
      <c r="BD29" s="244"/>
      <c r="BE29" s="244"/>
      <c r="BF29" s="244"/>
      <c r="BG29" s="244"/>
      <c r="BH29" s="244"/>
      <c r="BI29" s="244"/>
      <c r="BJ29" s="244"/>
      <c r="BK29" s="244"/>
      <c r="BL29" s="244"/>
      <c r="BM29" s="244"/>
      <c r="BN29" s="244"/>
      <c r="BO29" s="244"/>
      <c r="BP29" s="244"/>
      <c r="BQ29" s="244"/>
      <c r="BR29" s="244"/>
      <c r="BS29" s="244"/>
      <c r="BT29" s="244"/>
      <c r="BU29" s="244"/>
      <c r="BV29" s="244"/>
      <c r="BW29" s="244"/>
      <c r="BX29" s="244"/>
      <c r="BY29" s="244"/>
      <c r="BZ29" s="244"/>
      <c r="CA29" s="244"/>
      <c r="CB29" s="244"/>
      <c r="CC29" s="244"/>
      <c r="CD29" s="244"/>
      <c r="CE29" s="244"/>
      <c r="CF29" s="244"/>
    </row>
    <row r="30" ht="18" customHeight="1">
      <c r="C30" s="114"/>
      <c r="D30" s="118"/>
      <c r="E30" s="118"/>
      <c r="F30" s="118"/>
      <c r="G30" s="118"/>
      <c r="H30" s="118"/>
      <c r="I30" s="712"/>
      <c r="J30" s="712"/>
      <c r="K30" s="712"/>
      <c r="L30" s="712"/>
      <c r="M30" s="712"/>
      <c r="N30" s="712"/>
      <c r="O30" s="113"/>
      <c r="AP30" s="213"/>
      <c r="AQ30" s="213"/>
      <c r="AR30" s="213"/>
      <c r="AS30" s="271"/>
      <c r="AT30" s="271"/>
      <c r="AU30" s="244"/>
      <c r="AV30" s="244"/>
      <c r="AW30" s="244"/>
      <c r="AX30" s="244"/>
      <c r="AY30" s="244"/>
      <c r="AZ30" s="244"/>
      <c r="BA30" s="244"/>
      <c r="BB30" s="244"/>
      <c r="BC30" s="244"/>
      <c r="BD30" s="244"/>
      <c r="BE30" s="244"/>
      <c r="BF30" s="244"/>
      <c r="BG30" s="244"/>
      <c r="BH30" s="244"/>
      <c r="BI30" s="244"/>
      <c r="BJ30" s="244"/>
      <c r="BK30" s="244"/>
      <c r="BL30" s="244"/>
      <c r="BM30" s="244"/>
      <c r="BN30" s="244"/>
      <c r="BO30" s="244"/>
      <c r="BP30" s="244"/>
      <c r="BQ30" s="244"/>
      <c r="BR30" s="244"/>
      <c r="BS30" s="244"/>
      <c r="BT30" s="244"/>
      <c r="BU30" s="244"/>
      <c r="BV30" s="244"/>
      <c r="BW30" s="244"/>
      <c r="BX30" s="244"/>
      <c r="BY30" s="244"/>
      <c r="BZ30" s="244"/>
      <c r="CA30" s="244"/>
      <c r="CB30" s="244"/>
      <c r="CC30" s="244"/>
      <c r="CD30" s="244"/>
      <c r="CE30" s="244"/>
      <c r="CF30" s="244"/>
    </row>
    <row r="31" ht="18" customHeight="1">
      <c r="C31" s="114"/>
      <c r="D31" s="118"/>
      <c r="E31" s="118"/>
      <c r="F31" s="118"/>
      <c r="G31" s="118"/>
      <c r="H31" s="118"/>
      <c r="I31" s="712"/>
      <c r="J31" s="712"/>
      <c r="K31" s="712"/>
      <c r="L31" s="712"/>
      <c r="M31" s="712"/>
      <c r="N31" s="712"/>
      <c r="O31" s="113"/>
      <c r="AP31" s="213"/>
      <c r="AQ31" s="213"/>
      <c r="AR31" s="213"/>
      <c r="AS31" s="271"/>
      <c r="AT31" s="271"/>
      <c r="AU31" s="244"/>
      <c r="AV31" s="244"/>
      <c r="AW31" s="244"/>
      <c r="AX31" s="244"/>
      <c r="AY31" s="244"/>
      <c r="AZ31" s="244"/>
      <c r="BA31" s="244"/>
      <c r="BB31" s="244"/>
      <c r="BC31" s="244"/>
      <c r="BD31" s="244"/>
      <c r="BE31" s="244"/>
      <c r="BF31" s="244"/>
      <c r="BG31" s="244"/>
      <c r="BH31" s="244"/>
      <c r="BI31" s="244"/>
      <c r="BJ31" s="244"/>
      <c r="BK31" s="244"/>
      <c r="BL31" s="244"/>
      <c r="BM31" s="244"/>
      <c r="BN31" s="244"/>
      <c r="BO31" s="244"/>
      <c r="BP31" s="244"/>
      <c r="BQ31" s="244"/>
      <c r="BR31" s="244"/>
      <c r="BS31" s="244"/>
      <c r="BT31" s="244"/>
      <c r="BU31" s="244"/>
      <c r="BV31" s="244"/>
      <c r="BW31" s="244"/>
      <c r="BX31" s="244"/>
      <c r="BY31" s="244"/>
      <c r="BZ31" s="244"/>
      <c r="CA31" s="244"/>
      <c r="CB31" s="244"/>
      <c r="CC31" s="244"/>
      <c r="CD31" s="244"/>
      <c r="CE31" s="244"/>
      <c r="CF31" s="244"/>
    </row>
    <row r="32" ht="18" customHeight="1">
      <c r="C32" s="114"/>
      <c r="D32" s="118"/>
      <c r="E32" s="118"/>
      <c r="F32" s="118"/>
      <c r="G32" s="118"/>
      <c r="H32" s="118"/>
      <c r="I32" s="712"/>
      <c r="J32" s="712"/>
      <c r="K32" s="712"/>
      <c r="L32" s="712"/>
      <c r="M32" s="712"/>
      <c r="N32" s="712"/>
      <c r="O32" s="113"/>
      <c r="AP32" s="213"/>
      <c r="AQ32" s="213"/>
      <c r="AR32" s="213"/>
      <c r="AS32" s="271"/>
      <c r="AT32" s="271"/>
      <c r="AU32" s="244"/>
      <c r="AV32" s="244"/>
      <c r="AW32" s="244"/>
      <c r="AX32" s="244"/>
      <c r="AY32" s="244"/>
      <c r="AZ32" s="244"/>
      <c r="BA32" s="244"/>
      <c r="BB32" s="244"/>
      <c r="BC32" s="244"/>
      <c r="BD32" s="244"/>
      <c r="BE32" s="244"/>
      <c r="BF32" s="244"/>
      <c r="BG32" s="244"/>
      <c r="BH32" s="244"/>
      <c r="BI32" s="244"/>
      <c r="BJ32" s="244"/>
      <c r="BK32" s="244"/>
      <c r="BL32" s="244"/>
      <c r="BM32" s="244"/>
      <c r="BN32" s="244"/>
      <c r="BO32" s="244"/>
      <c r="BP32" s="244"/>
      <c r="BQ32" s="244"/>
      <c r="BR32" s="244"/>
      <c r="BS32" s="244"/>
      <c r="BT32" s="244"/>
      <c r="BU32" s="244"/>
      <c r="BV32" s="244"/>
      <c r="BW32" s="244"/>
      <c r="BX32" s="244"/>
      <c r="BY32" s="244"/>
      <c r="BZ32" s="244"/>
      <c r="CA32" s="244"/>
      <c r="CB32" s="244"/>
      <c r="CC32" s="244"/>
      <c r="CD32" s="244"/>
      <c r="CE32" s="244"/>
      <c r="CF32" s="244"/>
    </row>
    <row r="33" ht="18" customHeight="1">
      <c r="C33" s="114"/>
      <c r="D33" s="118"/>
      <c r="E33" s="118"/>
      <c r="F33" s="118"/>
      <c r="G33" s="118"/>
      <c r="H33" s="118"/>
      <c r="I33" s="712"/>
      <c r="J33" s="712"/>
      <c r="K33" s="712"/>
      <c r="L33" s="712"/>
      <c r="M33" s="712"/>
      <c r="N33" s="712"/>
      <c r="O33" s="113"/>
      <c r="AP33" s="213"/>
      <c r="AQ33" s="213"/>
      <c r="AR33" s="213"/>
      <c r="AS33" s="271"/>
      <c r="AT33" s="271"/>
      <c r="AU33" s="244"/>
      <c r="AV33" s="244"/>
      <c r="AW33" s="244"/>
      <c r="AX33" s="244"/>
      <c r="AY33" s="244"/>
      <c r="AZ33" s="244"/>
      <c r="BA33" s="244"/>
      <c r="BB33" s="244"/>
      <c r="BC33" s="244"/>
      <c r="BD33" s="244"/>
      <c r="BE33" s="244"/>
      <c r="BF33" s="244"/>
      <c r="BG33" s="244"/>
      <c r="BH33" s="244"/>
      <c r="BI33" s="244"/>
      <c r="BJ33" s="244"/>
      <c r="BK33" s="244"/>
      <c r="BL33" s="244"/>
      <c r="BM33" s="244"/>
      <c r="BN33" s="244"/>
      <c r="BO33" s="244"/>
      <c r="BP33" s="244"/>
      <c r="BQ33" s="244"/>
      <c r="BR33" s="244"/>
      <c r="BS33" s="244"/>
      <c r="BT33" s="244"/>
      <c r="BU33" s="244"/>
      <c r="BV33" s="244"/>
      <c r="BW33" s="244"/>
      <c r="BX33" s="244"/>
      <c r="BY33" s="244"/>
      <c r="BZ33" s="244"/>
      <c r="CA33" s="244"/>
      <c r="CB33" s="244"/>
      <c r="CC33" s="244"/>
      <c r="CD33" s="244"/>
      <c r="CE33" s="244"/>
      <c r="CF33" s="244"/>
    </row>
    <row r="34" ht="18" customHeight="1">
      <c r="C34" s="114"/>
      <c r="D34" s="118"/>
      <c r="E34" s="118"/>
      <c r="F34" s="118"/>
      <c r="G34" s="118"/>
      <c r="H34" s="118"/>
      <c r="I34" s="712"/>
      <c r="J34" s="712"/>
      <c r="K34" s="712"/>
      <c r="L34" s="712"/>
      <c r="M34" s="712"/>
      <c r="N34" s="712"/>
      <c r="O34" s="113"/>
      <c r="AP34" s="213"/>
      <c r="AQ34" s="213"/>
      <c r="AR34" s="213"/>
      <c r="AS34" s="271"/>
      <c r="AT34" s="271"/>
      <c r="AU34" s="244"/>
      <c r="AV34" s="244"/>
      <c r="AW34" s="244"/>
      <c r="AX34" s="244"/>
      <c r="AY34" s="244"/>
      <c r="AZ34" s="244"/>
      <c r="BA34" s="244"/>
      <c r="BB34" s="244"/>
      <c r="BC34" s="244"/>
      <c r="BD34" s="244"/>
      <c r="BE34" s="244"/>
      <c r="BF34" s="244"/>
      <c r="BG34" s="244"/>
      <c r="BH34" s="244"/>
      <c r="BI34" s="244"/>
      <c r="BJ34" s="244"/>
      <c r="BK34" s="244"/>
      <c r="BL34" s="244"/>
      <c r="BM34" s="244"/>
      <c r="BN34" s="244"/>
      <c r="BO34" s="244"/>
      <c r="BP34" s="244"/>
      <c r="BQ34" s="244"/>
      <c r="BR34" s="244"/>
      <c r="BS34" s="244"/>
      <c r="BT34" s="244"/>
      <c r="BU34" s="244"/>
      <c r="BV34" s="244"/>
      <c r="BW34" s="244"/>
      <c r="BX34" s="244"/>
      <c r="BY34" s="244"/>
      <c r="BZ34" s="244"/>
      <c r="CA34" s="244"/>
      <c r="CB34" s="244"/>
      <c r="CC34" s="244"/>
      <c r="CD34" s="244"/>
      <c r="CE34" s="244"/>
      <c r="CF34" s="244"/>
    </row>
    <row r="35" ht="18" customHeight="1">
      <c r="C35" s="114"/>
      <c r="D35" s="118"/>
      <c r="E35" s="118"/>
      <c r="F35" s="118"/>
      <c r="G35" s="118"/>
      <c r="H35" s="118"/>
      <c r="I35" s="712"/>
      <c r="J35" s="712"/>
      <c r="K35" s="712"/>
      <c r="L35" s="712"/>
      <c r="M35" s="712"/>
      <c r="N35" s="712"/>
      <c r="O35" s="113"/>
      <c r="AP35" s="213"/>
      <c r="AQ35" s="213"/>
      <c r="AR35" s="213"/>
      <c r="AS35" s="271"/>
      <c r="AT35" s="271"/>
      <c r="AU35" s="244"/>
      <c r="AV35" s="244"/>
      <c r="AW35" s="244"/>
      <c r="AX35" s="244"/>
      <c r="AY35" s="244"/>
      <c r="AZ35" s="244"/>
      <c r="BA35" s="244"/>
      <c r="BB35" s="244"/>
      <c r="BC35" s="244"/>
      <c r="BD35" s="244"/>
      <c r="BE35" s="244"/>
      <c r="BF35" s="244"/>
      <c r="BG35" s="244"/>
      <c r="BH35" s="244"/>
      <c r="BI35" s="244"/>
      <c r="BJ35" s="244"/>
      <c r="BK35" s="244"/>
      <c r="BL35" s="244"/>
      <c r="BM35" s="244"/>
      <c r="BN35" s="244"/>
      <c r="BO35" s="244"/>
      <c r="BP35" s="244"/>
      <c r="BQ35" s="244"/>
      <c r="BR35" s="244"/>
      <c r="BS35" s="244"/>
      <c r="BT35" s="244"/>
      <c r="BU35" s="244"/>
      <c r="BV35" s="244"/>
      <c r="BW35" s="244"/>
      <c r="BX35" s="244"/>
      <c r="BY35" s="244"/>
      <c r="BZ35" s="244"/>
      <c r="CA35" s="244"/>
      <c r="CB35" s="244"/>
      <c r="CC35" s="244"/>
      <c r="CD35" s="244"/>
      <c r="CE35" s="244"/>
      <c r="CF35" s="244"/>
    </row>
    <row r="36" ht="18" customHeight="1">
      <c r="C36" s="114"/>
      <c r="D36" s="118"/>
      <c r="E36" s="118"/>
      <c r="F36" s="118"/>
      <c r="G36" s="118"/>
      <c r="H36" s="118"/>
      <c r="I36" s="712"/>
      <c r="J36" s="712"/>
      <c r="K36" s="712"/>
      <c r="L36" s="712"/>
      <c r="M36" s="712"/>
      <c r="N36" s="712"/>
      <c r="O36" s="113"/>
      <c r="AP36" s="213"/>
      <c r="AQ36" s="213"/>
      <c r="AR36" s="213"/>
      <c r="AS36" s="271"/>
      <c r="AT36" s="271"/>
      <c r="AU36" s="244"/>
      <c r="AV36" s="244"/>
      <c r="AW36" s="244"/>
      <c r="AX36" s="244"/>
      <c r="AY36" s="244"/>
      <c r="AZ36" s="244"/>
      <c r="BA36" s="244"/>
      <c r="BB36" s="244"/>
      <c r="BC36" s="244"/>
      <c r="BD36" s="244"/>
      <c r="BE36" s="244"/>
      <c r="BF36" s="244"/>
      <c r="BG36" s="244"/>
      <c r="BH36" s="244"/>
      <c r="BI36" s="244"/>
      <c r="BJ36" s="244"/>
      <c r="BK36" s="244"/>
      <c r="BL36" s="244"/>
      <c r="BM36" s="244"/>
      <c r="BN36" s="244"/>
      <c r="BO36" s="244"/>
      <c r="BP36" s="244"/>
      <c r="BQ36" s="244"/>
      <c r="BR36" s="244"/>
      <c r="BS36" s="244"/>
      <c r="BT36" s="244"/>
      <c r="BU36" s="244"/>
      <c r="BV36" s="244"/>
      <c r="BW36" s="244"/>
      <c r="BX36" s="244"/>
      <c r="BY36" s="244"/>
      <c r="BZ36" s="244"/>
      <c r="CA36" s="244"/>
      <c r="CB36" s="244"/>
      <c r="CC36" s="244"/>
      <c r="CD36" s="244"/>
      <c r="CE36" s="244"/>
      <c r="CF36" s="244"/>
    </row>
    <row r="37" ht="18" customHeight="1">
      <c r="C37" s="114"/>
      <c r="D37" s="118"/>
      <c r="E37" s="118"/>
      <c r="F37" s="118"/>
      <c r="G37" s="118"/>
      <c r="H37" s="118"/>
      <c r="I37" s="712"/>
      <c r="J37" s="712"/>
      <c r="K37" s="712"/>
      <c r="L37" s="712"/>
      <c r="M37" s="712"/>
      <c r="N37" s="712"/>
      <c r="O37" s="113"/>
      <c r="AP37" s="213"/>
      <c r="AQ37" s="213"/>
      <c r="AR37" s="213"/>
      <c r="AS37" s="271"/>
      <c r="AT37" s="271"/>
      <c r="AU37" s="244"/>
      <c r="AV37" s="244"/>
      <c r="AW37" s="244"/>
      <c r="AX37" s="244"/>
      <c r="AY37" s="244"/>
      <c r="AZ37" s="244"/>
      <c r="BA37" s="244"/>
      <c r="BB37" s="244"/>
      <c r="BC37" s="244"/>
      <c r="BD37" s="244"/>
      <c r="BE37" s="244"/>
      <c r="BF37" s="244"/>
      <c r="BG37" s="244"/>
      <c r="BH37" s="244"/>
      <c r="BI37" s="244"/>
      <c r="BJ37" s="244"/>
      <c r="BK37" s="244"/>
      <c r="BL37" s="244"/>
      <c r="BM37" s="244"/>
      <c r="BN37" s="244"/>
      <c r="BO37" s="244"/>
      <c r="BP37" s="244"/>
      <c r="BQ37" s="244"/>
      <c r="BR37" s="244"/>
      <c r="BS37" s="244"/>
      <c r="BT37" s="244"/>
      <c r="BU37" s="244"/>
      <c r="BV37" s="244"/>
      <c r="BW37" s="244"/>
      <c r="BX37" s="244"/>
      <c r="BY37" s="244"/>
      <c r="BZ37" s="244"/>
      <c r="CA37" s="244"/>
      <c r="CB37" s="244"/>
      <c r="CC37" s="244"/>
      <c r="CD37" s="244"/>
      <c r="CE37" s="244"/>
      <c r="CF37" s="244"/>
    </row>
    <row r="38" ht="18" customHeight="1">
      <c r="C38" s="114"/>
      <c r="D38" s="118"/>
      <c r="E38" s="118"/>
      <c r="F38" s="118"/>
      <c r="G38" s="118"/>
      <c r="H38" s="118"/>
      <c r="I38" s="712"/>
      <c r="J38" s="712"/>
      <c r="K38" s="712"/>
      <c r="L38" s="712"/>
      <c r="M38" s="712"/>
      <c r="N38" s="712"/>
      <c r="O38" s="113"/>
      <c r="AP38" s="213"/>
      <c r="AQ38" s="213"/>
      <c r="AR38" s="213"/>
      <c r="AS38" s="271"/>
      <c r="AT38" s="271"/>
      <c r="AU38" s="244"/>
      <c r="AV38" s="244"/>
      <c r="AW38" s="244"/>
      <c r="AX38" s="244"/>
      <c r="AY38" s="244"/>
      <c r="AZ38" s="244"/>
      <c r="BA38" s="244"/>
      <c r="BB38" s="244"/>
      <c r="BC38" s="244"/>
      <c r="BD38" s="244"/>
      <c r="BE38" s="244"/>
      <c r="BF38" s="244"/>
      <c r="BG38" s="244"/>
      <c r="BH38" s="244"/>
      <c r="BI38" s="244"/>
      <c r="BJ38" s="244"/>
      <c r="BK38" s="244"/>
      <c r="BL38" s="244"/>
      <c r="BM38" s="244"/>
      <c r="BN38" s="244"/>
      <c r="BO38" s="244"/>
      <c r="BP38" s="244"/>
      <c r="BQ38" s="244"/>
      <c r="BR38" s="244"/>
      <c r="BS38" s="244"/>
      <c r="BT38" s="244"/>
      <c r="BU38" s="244"/>
      <c r="BV38" s="244"/>
      <c r="BW38" s="244"/>
      <c r="BX38" s="244"/>
      <c r="BY38" s="244"/>
      <c r="BZ38" s="244"/>
      <c r="CA38" s="244"/>
      <c r="CB38" s="244"/>
      <c r="CC38" s="244"/>
      <c r="CD38" s="244"/>
      <c r="CE38" s="244"/>
      <c r="CF38" s="244"/>
    </row>
    <row r="39" ht="18" customHeight="1">
      <c r="C39" s="114"/>
      <c r="D39" s="118"/>
      <c r="E39" s="118"/>
      <c r="F39" s="118"/>
      <c r="G39" s="118"/>
      <c r="H39" s="118"/>
      <c r="I39" s="712"/>
      <c r="J39" s="712"/>
      <c r="K39" s="712"/>
      <c r="L39" s="712"/>
      <c r="M39" s="712"/>
      <c r="N39" s="712"/>
      <c r="O39" s="113"/>
      <c r="AP39" s="213"/>
      <c r="AQ39" s="213"/>
      <c r="AR39" s="213"/>
      <c r="AS39" s="271"/>
      <c r="AT39" s="271"/>
      <c r="AU39" s="244"/>
      <c r="AV39" s="244"/>
      <c r="AW39" s="244"/>
      <c r="AX39" s="244"/>
      <c r="AY39" s="244"/>
      <c r="AZ39" s="244"/>
      <c r="BA39" s="244"/>
      <c r="BB39" s="244"/>
      <c r="BC39" s="244"/>
      <c r="BD39" s="244"/>
      <c r="BE39" s="244"/>
      <c r="BF39" s="244"/>
      <c r="BG39" s="244"/>
      <c r="BH39" s="244"/>
      <c r="BI39" s="244"/>
      <c r="BJ39" s="244"/>
      <c r="BK39" s="244"/>
      <c r="BL39" s="244"/>
      <c r="BM39" s="244"/>
      <c r="BN39" s="244"/>
      <c r="BO39" s="244"/>
      <c r="BP39" s="244"/>
      <c r="BQ39" s="244"/>
      <c r="BR39" s="244"/>
      <c r="BS39" s="244"/>
      <c r="BT39" s="244"/>
      <c r="BU39" s="244"/>
      <c r="BV39" s="244"/>
      <c r="BW39" s="244"/>
      <c r="BX39" s="244"/>
      <c r="BY39" s="244"/>
      <c r="BZ39" s="244"/>
      <c r="CA39" s="244"/>
      <c r="CB39" s="244"/>
      <c r="CC39" s="244"/>
      <c r="CD39" s="244"/>
      <c r="CE39" s="244"/>
      <c r="CF39" s="244"/>
    </row>
    <row r="40" ht="18" customHeight="1">
      <c r="C40" s="114"/>
      <c r="D40" s="118"/>
      <c r="E40" s="118"/>
      <c r="F40" s="118"/>
      <c r="G40" s="118"/>
      <c r="H40" s="118"/>
      <c r="I40" s="712"/>
      <c r="J40" s="712"/>
      <c r="K40" s="712"/>
      <c r="L40" s="712"/>
      <c r="M40" s="712"/>
      <c r="N40" s="712"/>
      <c r="O40" s="113"/>
      <c r="AP40" s="213"/>
      <c r="AQ40" s="213"/>
      <c r="AR40" s="213"/>
      <c r="AS40" s="271"/>
      <c r="AT40" s="271"/>
      <c r="AU40" s="244"/>
      <c r="AV40" s="244"/>
      <c r="AW40" s="244"/>
      <c r="AX40" s="244"/>
      <c r="AY40" s="244"/>
      <c r="AZ40" s="244"/>
      <c r="BA40" s="244"/>
      <c r="BB40" s="244"/>
      <c r="BC40" s="244"/>
      <c r="BD40" s="244"/>
      <c r="BE40" s="244"/>
      <c r="BF40" s="244"/>
      <c r="BG40" s="244"/>
      <c r="BH40" s="244"/>
      <c r="BI40" s="244"/>
      <c r="BJ40" s="244"/>
      <c r="BK40" s="244"/>
      <c r="BL40" s="244"/>
      <c r="BM40" s="244"/>
      <c r="BN40" s="244"/>
      <c r="BO40" s="244"/>
      <c r="BP40" s="244"/>
      <c r="BQ40" s="244"/>
      <c r="BR40" s="244"/>
      <c r="BS40" s="244"/>
      <c r="BT40" s="244"/>
      <c r="BU40" s="244"/>
      <c r="BV40" s="244"/>
      <c r="BW40" s="244"/>
      <c r="BX40" s="244"/>
      <c r="BY40" s="244"/>
      <c r="BZ40" s="244"/>
      <c r="CA40" s="244"/>
      <c r="CB40" s="244"/>
      <c r="CC40" s="244"/>
      <c r="CD40" s="244"/>
      <c r="CE40" s="244"/>
      <c r="CF40" s="244"/>
    </row>
    <row r="41" ht="18" customHeight="1">
      <c r="C41" s="114"/>
      <c r="D41" s="118"/>
      <c r="E41" s="118"/>
      <c r="F41" s="118"/>
      <c r="G41" s="118"/>
      <c r="H41" s="118"/>
      <c r="I41" s="712"/>
      <c r="J41" s="712"/>
      <c r="K41" s="712"/>
      <c r="L41" s="712"/>
      <c r="M41" s="712"/>
      <c r="N41" s="712"/>
      <c r="O41" s="113"/>
      <c r="AP41" s="213"/>
      <c r="AQ41" s="213"/>
      <c r="AR41" s="213"/>
      <c r="AS41" s="271"/>
      <c r="AT41" s="271"/>
      <c r="AU41" s="244"/>
      <c r="AV41" s="244"/>
      <c r="AW41" s="244"/>
      <c r="AX41" s="244"/>
      <c r="AY41" s="244"/>
      <c r="AZ41" s="244"/>
      <c r="BA41" s="244"/>
      <c r="BB41" s="244"/>
      <c r="BC41" s="244"/>
      <c r="BD41" s="244"/>
      <c r="BE41" s="244"/>
      <c r="BF41" s="244"/>
      <c r="BG41" s="244"/>
      <c r="BH41" s="244"/>
      <c r="BI41" s="244"/>
      <c r="BJ41" s="244"/>
      <c r="BK41" s="244"/>
      <c r="BL41" s="244"/>
      <c r="BM41" s="244"/>
      <c r="BN41" s="244"/>
      <c r="BO41" s="244"/>
      <c r="BP41" s="244"/>
      <c r="BQ41" s="244"/>
      <c r="BR41" s="244"/>
      <c r="BS41" s="244"/>
      <c r="BT41" s="244"/>
      <c r="BU41" s="244"/>
      <c r="BV41" s="244"/>
      <c r="BW41" s="244"/>
      <c r="BX41" s="244"/>
      <c r="BY41" s="244"/>
      <c r="BZ41" s="244"/>
      <c r="CA41" s="244"/>
      <c r="CB41" s="244"/>
      <c r="CC41" s="244"/>
      <c r="CD41" s="244"/>
      <c r="CE41" s="244"/>
      <c r="CF41" s="244"/>
    </row>
    <row r="42" ht="0" hidden="1" customHeight="1">
      <c r="C42" s="114"/>
      <c r="D42" s="118"/>
      <c r="E42" s="118"/>
      <c r="F42" s="118"/>
      <c r="G42" s="118"/>
      <c r="H42" s="118"/>
      <c r="I42" s="712"/>
      <c r="J42" s="712"/>
      <c r="K42" s="712"/>
      <c r="L42" s="712"/>
      <c r="M42" s="712"/>
      <c r="N42" s="712"/>
      <c r="O42" s="113"/>
      <c r="AP42" s="213"/>
      <c r="AQ42" s="213"/>
      <c r="AR42" s="213"/>
      <c r="AS42" s="271"/>
      <c r="AT42" s="271"/>
      <c r="AU42" s="244"/>
      <c r="AV42" s="244"/>
      <c r="AW42" s="244"/>
      <c r="AX42" s="244"/>
      <c r="AY42" s="244"/>
      <c r="AZ42" s="244"/>
      <c r="BA42" s="244"/>
      <c r="BB42" s="244"/>
      <c r="BC42" s="244"/>
      <c r="BD42" s="244"/>
      <c r="BE42" s="244"/>
      <c r="BF42" s="244"/>
      <c r="BG42" s="244"/>
      <c r="BH42" s="244"/>
      <c r="BI42" s="244"/>
      <c r="BJ42" s="244"/>
      <c r="BK42" s="244"/>
      <c r="BL42" s="244"/>
      <c r="BM42" s="244"/>
      <c r="BN42" s="244"/>
      <c r="BO42" s="244"/>
      <c r="BP42" s="244"/>
      <c r="BQ42" s="244"/>
      <c r="BR42" s="244"/>
      <c r="BS42" s="244"/>
      <c r="BT42" s="244"/>
      <c r="BU42" s="244"/>
      <c r="BV42" s="244"/>
      <c r="BW42" s="244"/>
      <c r="BX42" s="244"/>
      <c r="BY42" s="244"/>
      <c r="BZ42" s="244"/>
      <c r="CA42" s="244"/>
      <c r="CB42" s="244"/>
      <c r="CC42" s="244"/>
      <c r="CD42" s="244"/>
      <c r="CE42" s="244"/>
      <c r="CF42" s="244"/>
    </row>
    <row r="43" ht="0" hidden="1" customHeight="1">
      <c r="C43" s="114"/>
      <c r="D43" s="118"/>
      <c r="E43" s="118"/>
      <c r="F43" s="118"/>
      <c r="G43" s="118"/>
      <c r="H43" s="118"/>
      <c r="I43" s="712"/>
      <c r="J43" s="712"/>
      <c r="K43" s="712"/>
      <c r="L43" s="712"/>
      <c r="M43" s="712"/>
      <c r="N43" s="712"/>
      <c r="O43" s="113"/>
      <c r="AP43" s="213"/>
      <c r="AQ43" s="213"/>
      <c r="AR43" s="213"/>
      <c r="AS43" s="271"/>
      <c r="AT43" s="271"/>
      <c r="AU43" s="244"/>
      <c r="AV43" s="244"/>
      <c r="AW43" s="244"/>
      <c r="AX43" s="244"/>
      <c r="AY43" s="244"/>
      <c r="AZ43" s="244"/>
      <c r="BA43" s="244"/>
      <c r="BB43" s="244"/>
      <c r="BC43" s="244"/>
      <c r="BD43" s="244"/>
      <c r="BE43" s="244"/>
      <c r="BF43" s="244"/>
      <c r="BG43" s="244"/>
      <c r="BH43" s="244"/>
      <c r="BI43" s="244"/>
      <c r="BJ43" s="244"/>
      <c r="BK43" s="244"/>
      <c r="BL43" s="244"/>
      <c r="BM43" s="244"/>
      <c r="BN43" s="244"/>
      <c r="BO43" s="244"/>
      <c r="BP43" s="244"/>
      <c r="BQ43" s="244"/>
      <c r="BR43" s="244"/>
      <c r="BS43" s="244"/>
      <c r="BT43" s="244"/>
      <c r="BU43" s="244"/>
      <c r="BV43" s="244"/>
      <c r="BW43" s="244"/>
      <c r="BX43" s="244"/>
      <c r="BY43" s="244"/>
      <c r="BZ43" s="244"/>
      <c r="CA43" s="244"/>
      <c r="CB43" s="244"/>
      <c r="CC43" s="244"/>
      <c r="CD43" s="244"/>
      <c r="CE43" s="244"/>
      <c r="CF43" s="244"/>
    </row>
    <row r="44" ht="0" hidden="1" customHeight="1">
      <c r="C44" s="114"/>
      <c r="D44" s="118"/>
      <c r="E44" s="118"/>
      <c r="F44" s="118"/>
      <c r="G44" s="118"/>
      <c r="H44" s="118"/>
      <c r="I44" s="712"/>
      <c r="J44" s="712"/>
      <c r="K44" s="712"/>
      <c r="L44" s="712"/>
      <c r="M44" s="712"/>
      <c r="N44" s="712"/>
      <c r="O44" s="113"/>
      <c r="AP44" s="213"/>
      <c r="AQ44" s="213"/>
      <c r="AR44" s="213"/>
      <c r="AS44" s="271"/>
      <c r="AT44" s="271"/>
      <c r="AU44" s="244"/>
      <c r="AV44" s="244"/>
      <c r="AW44" s="244"/>
      <c r="AX44" s="244"/>
      <c r="AY44" s="244"/>
      <c r="AZ44" s="244"/>
      <c r="BA44" s="244"/>
      <c r="BB44" s="244"/>
      <c r="BC44" s="244"/>
      <c r="BD44" s="244"/>
      <c r="BE44" s="244"/>
      <c r="BF44" s="244"/>
      <c r="BG44" s="244"/>
      <c r="BH44" s="244"/>
      <c r="BI44" s="244"/>
      <c r="BJ44" s="244"/>
      <c r="BK44" s="244"/>
      <c r="BL44" s="244"/>
      <c r="BM44" s="244"/>
      <c r="BN44" s="244"/>
      <c r="BO44" s="244"/>
      <c r="BP44" s="244"/>
      <c r="BQ44" s="244"/>
      <c r="BR44" s="244"/>
      <c r="BS44" s="244"/>
      <c r="BT44" s="244"/>
      <c r="BU44" s="244"/>
      <c r="BV44" s="244"/>
      <c r="BW44" s="244"/>
      <c r="BX44" s="244"/>
      <c r="BY44" s="244"/>
      <c r="BZ44" s="244"/>
      <c r="CA44" s="244"/>
      <c r="CB44" s="244"/>
      <c r="CC44" s="244"/>
      <c r="CD44" s="244"/>
      <c r="CE44" s="244"/>
      <c r="CF44" s="244"/>
    </row>
    <row r="45" ht="0" hidden="1" customHeight="1">
      <c r="C45" s="114"/>
      <c r="D45" s="118"/>
      <c r="E45" s="118"/>
      <c r="F45" s="118"/>
      <c r="G45" s="118"/>
      <c r="H45" s="118"/>
      <c r="I45" s="712"/>
      <c r="J45" s="712"/>
      <c r="K45" s="712"/>
      <c r="L45" s="712"/>
      <c r="M45" s="712"/>
      <c r="N45" s="712"/>
      <c r="O45" s="113"/>
      <c r="AP45" s="213"/>
      <c r="AQ45" s="213"/>
      <c r="AR45" s="213"/>
      <c r="AS45" s="271"/>
      <c r="AT45" s="271"/>
      <c r="AU45" s="244"/>
      <c r="AV45" s="244"/>
      <c r="AW45" s="244"/>
      <c r="AX45" s="244"/>
      <c r="AY45" s="244"/>
      <c r="AZ45" s="244"/>
      <c r="BA45" s="244"/>
      <c r="BB45" s="244"/>
      <c r="BC45" s="244"/>
      <c r="BD45" s="244"/>
      <c r="BE45" s="244"/>
      <c r="BF45" s="244"/>
      <c r="BG45" s="244"/>
      <c r="BH45" s="244"/>
      <c r="BI45" s="244"/>
      <c r="BJ45" s="244"/>
      <c r="BK45" s="244"/>
      <c r="BL45" s="244"/>
      <c r="BM45" s="244"/>
      <c r="BN45" s="244"/>
      <c r="BO45" s="244"/>
      <c r="BP45" s="244"/>
      <c r="BQ45" s="244"/>
      <c r="BR45" s="244"/>
      <c r="BS45" s="244"/>
      <c r="BT45" s="244"/>
      <c r="BU45" s="244"/>
      <c r="BV45" s="244"/>
      <c r="BW45" s="244"/>
      <c r="BX45" s="244"/>
      <c r="BY45" s="244"/>
      <c r="BZ45" s="244"/>
      <c r="CA45" s="244"/>
      <c r="CB45" s="244"/>
      <c r="CC45" s="244"/>
      <c r="CD45" s="244"/>
      <c r="CE45" s="244"/>
      <c r="CF45" s="244"/>
    </row>
    <row r="46" ht="0" hidden="1" customHeight="1">
      <c r="C46" s="114"/>
      <c r="D46" s="118"/>
      <c r="E46" s="118"/>
      <c r="F46" s="118"/>
      <c r="G46" s="118"/>
      <c r="H46" s="118"/>
      <c r="I46" s="712"/>
      <c r="J46" s="712"/>
      <c r="K46" s="712"/>
      <c r="L46" s="712"/>
      <c r="M46" s="712"/>
      <c r="N46" s="712"/>
      <c r="O46" s="113"/>
      <c r="AP46" s="213"/>
      <c r="AQ46" s="213"/>
      <c r="AR46" s="213"/>
      <c r="AS46" s="271"/>
      <c r="AT46" s="271"/>
      <c r="AU46" s="244"/>
      <c r="AV46" s="244"/>
      <c r="AW46" s="244"/>
      <c r="AX46" s="244"/>
      <c r="AY46" s="244"/>
      <c r="AZ46" s="244"/>
      <c r="BA46" s="244"/>
      <c r="BB46" s="244"/>
      <c r="BC46" s="244"/>
      <c r="BD46" s="244"/>
      <c r="BE46" s="244"/>
      <c r="BF46" s="244"/>
      <c r="BG46" s="244"/>
      <c r="BH46" s="244"/>
      <c r="BI46" s="244"/>
      <c r="BJ46" s="244"/>
      <c r="BK46" s="244"/>
      <c r="BL46" s="244"/>
      <c r="BM46" s="244"/>
      <c r="BN46" s="244"/>
      <c r="BO46" s="244"/>
      <c r="BP46" s="244"/>
      <c r="BQ46" s="244"/>
      <c r="BR46" s="244"/>
      <c r="BS46" s="244"/>
      <c r="BT46" s="244"/>
      <c r="BU46" s="244"/>
      <c r="BV46" s="244"/>
      <c r="BW46" s="244"/>
      <c r="BX46" s="244"/>
      <c r="BY46" s="244"/>
      <c r="BZ46" s="244"/>
      <c r="CA46" s="244"/>
      <c r="CB46" s="244"/>
      <c r="CC46" s="244"/>
      <c r="CD46" s="244"/>
      <c r="CE46" s="244"/>
      <c r="CF46" s="244"/>
    </row>
    <row r="47" ht="0" hidden="1" customHeight="1">
      <c r="C47" s="114"/>
      <c r="D47" s="118"/>
      <c r="E47" s="118"/>
      <c r="F47" s="118"/>
      <c r="G47" s="118"/>
      <c r="H47" s="118"/>
      <c r="I47" s="712"/>
      <c r="J47" s="712"/>
      <c r="K47" s="712"/>
      <c r="L47" s="712"/>
      <c r="M47" s="712"/>
      <c r="N47" s="712"/>
      <c r="O47" s="113"/>
      <c r="AP47" s="213"/>
      <c r="AQ47" s="213"/>
      <c r="AR47" s="213"/>
      <c r="AS47" s="271"/>
      <c r="AT47" s="271"/>
      <c r="AU47" s="244"/>
      <c r="AV47" s="244"/>
      <c r="AW47" s="244"/>
      <c r="AX47" s="244"/>
      <c r="AY47" s="244"/>
      <c r="AZ47" s="244"/>
      <c r="BA47" s="244"/>
      <c r="BB47" s="244"/>
      <c r="BC47" s="244"/>
      <c r="BD47" s="244"/>
      <c r="BE47" s="244"/>
      <c r="BF47" s="244"/>
      <c r="BG47" s="244"/>
      <c r="BH47" s="244"/>
      <c r="BI47" s="244"/>
      <c r="BJ47" s="244"/>
      <c r="BK47" s="244"/>
      <c r="BL47" s="244"/>
      <c r="BM47" s="244"/>
      <c r="BN47" s="244"/>
      <c r="BO47" s="244"/>
      <c r="BP47" s="244"/>
      <c r="BQ47" s="244"/>
      <c r="BR47" s="244"/>
      <c r="BS47" s="244"/>
      <c r="BT47" s="244"/>
      <c r="BU47" s="244"/>
      <c r="BV47" s="244"/>
      <c r="BW47" s="244"/>
      <c r="BX47" s="244"/>
      <c r="BY47" s="244"/>
      <c r="BZ47" s="244"/>
      <c r="CA47" s="244"/>
      <c r="CB47" s="244"/>
      <c r="CC47" s="244"/>
      <c r="CD47" s="244"/>
      <c r="CE47" s="244"/>
      <c r="CF47" s="244"/>
    </row>
    <row r="48" ht="0" hidden="1" customHeight="1">
      <c r="C48" s="114"/>
      <c r="D48" s="118"/>
      <c r="E48" s="118"/>
      <c r="F48" s="118"/>
      <c r="G48" s="118"/>
      <c r="H48" s="118"/>
      <c r="I48" s="712"/>
      <c r="J48" s="712"/>
      <c r="K48" s="712"/>
      <c r="L48" s="712"/>
      <c r="M48" s="712"/>
      <c r="N48" s="712"/>
      <c r="O48" s="113"/>
      <c r="AP48" s="213"/>
      <c r="AQ48" s="213"/>
      <c r="AR48" s="213"/>
      <c r="AS48" s="271"/>
      <c r="AT48" s="271"/>
      <c r="AU48" s="244"/>
      <c r="AV48" s="244"/>
      <c r="AW48" s="244"/>
      <c r="AX48" s="244"/>
      <c r="AY48" s="244"/>
      <c r="AZ48" s="244"/>
      <c r="BA48" s="244"/>
      <c r="BB48" s="244"/>
      <c r="BC48" s="244"/>
      <c r="BD48" s="244"/>
      <c r="BE48" s="244"/>
      <c r="BF48" s="244"/>
      <c r="BG48" s="244"/>
      <c r="BH48" s="244"/>
      <c r="BI48" s="244"/>
      <c r="BJ48" s="244"/>
      <c r="BK48" s="244"/>
      <c r="BL48" s="244"/>
      <c r="BM48" s="244"/>
      <c r="BN48" s="244"/>
      <c r="BO48" s="244"/>
      <c r="BP48" s="244"/>
      <c r="BQ48" s="244"/>
      <c r="BR48" s="244"/>
      <c r="BS48" s="244"/>
      <c r="BT48" s="244"/>
      <c r="BU48" s="244"/>
      <c r="BV48" s="244"/>
      <c r="BW48" s="244"/>
      <c r="BX48" s="244"/>
      <c r="BY48" s="244"/>
      <c r="BZ48" s="244"/>
      <c r="CA48" s="244"/>
      <c r="CB48" s="244"/>
      <c r="CC48" s="244"/>
      <c r="CD48" s="244"/>
      <c r="CE48" s="244"/>
      <c r="CF48" s="244"/>
    </row>
    <row r="49" ht="0" hidden="1" customHeight="1">
      <c r="C49" s="114"/>
      <c r="D49" s="118"/>
      <c r="E49" s="118"/>
      <c r="F49" s="118"/>
      <c r="G49" s="118"/>
      <c r="H49" s="118"/>
      <c r="I49" s="712"/>
      <c r="J49" s="712"/>
      <c r="K49" s="712"/>
      <c r="L49" s="712"/>
      <c r="M49" s="712"/>
      <c r="N49" s="712"/>
      <c r="O49" s="113"/>
      <c r="AP49" s="213"/>
      <c r="AQ49" s="213"/>
      <c r="AR49" s="213"/>
      <c r="AS49" s="271"/>
      <c r="AT49" s="271"/>
      <c r="AU49" s="244"/>
      <c r="AV49" s="244"/>
      <c r="AW49" s="244"/>
      <c r="AX49" s="244"/>
      <c r="AY49" s="244"/>
      <c r="AZ49" s="244"/>
      <c r="BA49" s="244"/>
      <c r="BB49" s="244"/>
      <c r="BC49" s="244"/>
      <c r="BD49" s="244"/>
      <c r="BE49" s="244"/>
      <c r="BF49" s="244"/>
      <c r="BG49" s="244"/>
      <c r="BH49" s="244"/>
      <c r="BI49" s="244"/>
      <c r="BJ49" s="244"/>
      <c r="BK49" s="244"/>
      <c r="BL49" s="244"/>
      <c r="BM49" s="244"/>
      <c r="BN49" s="244"/>
      <c r="BO49" s="244"/>
      <c r="BP49" s="244"/>
      <c r="BQ49" s="244"/>
      <c r="BR49" s="244"/>
      <c r="BS49" s="244"/>
      <c r="BT49" s="244"/>
      <c r="BU49" s="244"/>
      <c r="BV49" s="244"/>
      <c r="BW49" s="244"/>
      <c r="BX49" s="244"/>
      <c r="BY49" s="244"/>
      <c r="BZ49" s="244"/>
      <c r="CA49" s="244"/>
      <c r="CB49" s="244"/>
      <c r="CC49" s="244"/>
      <c r="CD49" s="244"/>
      <c r="CE49" s="244"/>
      <c r="CF49" s="244"/>
    </row>
    <row r="50" ht="0" hidden="1" customHeight="1">
      <c r="C50" s="114"/>
      <c r="D50" s="118"/>
      <c r="E50" s="118"/>
      <c r="F50" s="118"/>
      <c r="G50" s="118"/>
      <c r="H50" s="118"/>
      <c r="I50" s="712"/>
      <c r="J50" s="712"/>
      <c r="K50" s="712"/>
      <c r="L50" s="712"/>
      <c r="M50" s="712"/>
      <c r="N50" s="712"/>
      <c r="O50" s="113"/>
      <c r="AP50" s="213"/>
      <c r="AQ50" s="213"/>
      <c r="AR50" s="213"/>
      <c r="AS50" s="271"/>
      <c r="AT50" s="271"/>
      <c r="AU50" s="244"/>
      <c r="AV50" s="244"/>
      <c r="AW50" s="244"/>
      <c r="AX50" s="244"/>
      <c r="AY50" s="244"/>
      <c r="AZ50" s="244"/>
      <c r="BA50" s="244"/>
      <c r="BB50" s="244"/>
      <c r="BC50" s="244"/>
      <c r="BD50" s="244"/>
      <c r="BE50" s="244"/>
      <c r="BF50" s="244"/>
      <c r="BG50" s="244"/>
      <c r="BH50" s="244"/>
      <c r="BI50" s="244"/>
      <c r="BJ50" s="244"/>
      <c r="BK50" s="244"/>
      <c r="BL50" s="244"/>
      <c r="BM50" s="244"/>
      <c r="BN50" s="244"/>
      <c r="BO50" s="244"/>
      <c r="BP50" s="244"/>
      <c r="BQ50" s="244"/>
      <c r="BR50" s="244"/>
      <c r="BS50" s="244"/>
      <c r="BT50" s="244"/>
      <c r="BU50" s="244"/>
      <c r="BV50" s="244"/>
      <c r="BW50" s="244"/>
      <c r="BX50" s="244"/>
      <c r="BY50" s="244"/>
      <c r="BZ50" s="244"/>
      <c r="CA50" s="244"/>
      <c r="CB50" s="244"/>
      <c r="CC50" s="244"/>
      <c r="CD50" s="244"/>
      <c r="CE50" s="244"/>
      <c r="CF50" s="244"/>
    </row>
    <row r="51" ht="0" hidden="1" customHeight="1">
      <c r="C51" s="114"/>
      <c r="D51" s="118"/>
      <c r="E51" s="118"/>
      <c r="F51" s="118"/>
      <c r="G51" s="118"/>
      <c r="H51" s="118"/>
      <c r="I51" s="712"/>
      <c r="J51" s="712"/>
      <c r="K51" s="712"/>
      <c r="L51" s="712"/>
      <c r="M51" s="712"/>
      <c r="N51" s="712"/>
      <c r="O51" s="113"/>
      <c r="AP51" s="213"/>
      <c r="AQ51" s="213"/>
      <c r="AR51" s="213"/>
      <c r="AS51" s="271"/>
      <c r="AT51" s="271"/>
      <c r="AU51" s="244"/>
      <c r="AV51" s="244"/>
      <c r="AW51" s="244"/>
      <c r="AX51" s="244"/>
      <c r="AY51" s="244"/>
      <c r="AZ51" s="244"/>
      <c r="BA51" s="244"/>
      <c r="BB51" s="244"/>
      <c r="BC51" s="244"/>
      <c r="BD51" s="244"/>
      <c r="BE51" s="244"/>
      <c r="BF51" s="244"/>
      <c r="BG51" s="244"/>
      <c r="BH51" s="244"/>
      <c r="BI51" s="244"/>
      <c r="BJ51" s="244"/>
      <c r="BK51" s="244"/>
      <c r="BL51" s="244"/>
      <c r="BM51" s="244"/>
      <c r="BN51" s="244"/>
      <c r="BO51" s="244"/>
      <c r="BP51" s="244"/>
      <c r="BQ51" s="244"/>
      <c r="BR51" s="244"/>
      <c r="BS51" s="244"/>
      <c r="BT51" s="244"/>
      <c r="BU51" s="244"/>
      <c r="BV51" s="244"/>
      <c r="BW51" s="244"/>
      <c r="BX51" s="244"/>
      <c r="BY51" s="244"/>
      <c r="BZ51" s="244"/>
      <c r="CA51" s="244"/>
      <c r="CB51" s="244"/>
      <c r="CC51" s="244"/>
      <c r="CD51" s="244"/>
      <c r="CE51" s="244"/>
      <c r="CF51" s="244"/>
    </row>
    <row r="52" ht="0" hidden="1" customHeight="1">
      <c r="C52" s="114"/>
      <c r="D52" s="118"/>
      <c r="E52" s="118"/>
      <c r="F52" s="118"/>
      <c r="G52" s="118"/>
      <c r="H52" s="118"/>
      <c r="I52" s="712"/>
      <c r="J52" s="712"/>
      <c r="K52" s="712"/>
      <c r="L52" s="712"/>
      <c r="M52" s="712"/>
      <c r="N52" s="712"/>
      <c r="O52" s="113"/>
      <c r="AP52" s="213"/>
      <c r="AQ52" s="213"/>
      <c r="AR52" s="213"/>
      <c r="AS52" s="271"/>
      <c r="AT52" s="271"/>
      <c r="AU52" s="244"/>
      <c r="AV52" s="244"/>
      <c r="AW52" s="244"/>
      <c r="AX52" s="244"/>
      <c r="AY52" s="244"/>
      <c r="AZ52" s="244"/>
      <c r="BA52" s="244"/>
      <c r="BB52" s="244"/>
      <c r="BC52" s="244"/>
      <c r="BD52" s="244"/>
      <c r="BE52" s="244"/>
      <c r="BF52" s="244"/>
      <c r="BG52" s="244"/>
      <c r="BH52" s="244"/>
      <c r="BI52" s="244"/>
      <c r="BJ52" s="244"/>
      <c r="BK52" s="244"/>
      <c r="BL52" s="244"/>
      <c r="BM52" s="244"/>
      <c r="BN52" s="244"/>
      <c r="BO52" s="244"/>
      <c r="BP52" s="244"/>
      <c r="BQ52" s="244"/>
      <c r="BR52" s="244"/>
      <c r="BS52" s="244"/>
      <c r="BT52" s="244"/>
      <c r="BU52" s="244"/>
      <c r="BV52" s="244"/>
      <c r="BW52" s="244"/>
      <c r="BX52" s="244"/>
      <c r="BY52" s="244"/>
      <c r="BZ52" s="244"/>
      <c r="CA52" s="244"/>
      <c r="CB52" s="244"/>
      <c r="CC52" s="244"/>
      <c r="CD52" s="244"/>
      <c r="CE52" s="244"/>
      <c r="CF52" s="244"/>
    </row>
    <row r="53" ht="0" hidden="1" customHeight="1">
      <c r="C53" s="114"/>
      <c r="D53" s="118"/>
      <c r="E53" s="118"/>
      <c r="F53" s="118"/>
      <c r="G53" s="118"/>
      <c r="H53" s="118"/>
      <c r="I53" s="712"/>
      <c r="J53" s="712"/>
      <c r="K53" s="712"/>
      <c r="L53" s="712"/>
      <c r="M53" s="712"/>
      <c r="N53" s="712"/>
      <c r="O53" s="113"/>
      <c r="AP53" s="213"/>
      <c r="AQ53" s="213"/>
      <c r="AR53" s="213"/>
      <c r="AS53" s="271"/>
      <c r="AT53" s="271"/>
      <c r="AU53" s="244"/>
      <c r="AV53" s="244"/>
      <c r="AW53" s="244"/>
      <c r="AX53" s="244"/>
      <c r="AY53" s="244"/>
      <c r="AZ53" s="244"/>
      <c r="BA53" s="244"/>
      <c r="BB53" s="244"/>
      <c r="BC53" s="244"/>
      <c r="BD53" s="244"/>
      <c r="BE53" s="244"/>
      <c r="BF53" s="244"/>
      <c r="BG53" s="244"/>
      <c r="BH53" s="244"/>
      <c r="BI53" s="244"/>
      <c r="BJ53" s="244"/>
      <c r="BK53" s="244"/>
      <c r="BL53" s="244"/>
      <c r="BM53" s="244"/>
      <c r="BN53" s="244"/>
      <c r="BO53" s="244"/>
      <c r="BP53" s="244"/>
      <c r="BQ53" s="244"/>
      <c r="BR53" s="244"/>
      <c r="BS53" s="244"/>
      <c r="BT53" s="244"/>
      <c r="BU53" s="244"/>
      <c r="BV53" s="244"/>
      <c r="BW53" s="244"/>
      <c r="BX53" s="244"/>
      <c r="BY53" s="244"/>
      <c r="BZ53" s="244"/>
      <c r="CA53" s="244"/>
      <c r="CB53" s="244"/>
      <c r="CC53" s="244"/>
      <c r="CD53" s="244"/>
      <c r="CE53" s="244"/>
      <c r="CF53" s="244"/>
    </row>
    <row r="54" ht="0" hidden="1" customHeight="1">
      <c r="C54" s="114"/>
      <c r="D54" s="118"/>
      <c r="E54" s="118"/>
      <c r="F54" s="118"/>
      <c r="G54" s="118"/>
      <c r="H54" s="118"/>
      <c r="I54" s="712"/>
      <c r="J54" s="712"/>
      <c r="K54" s="712"/>
      <c r="L54" s="712"/>
      <c r="M54" s="712"/>
      <c r="N54" s="712"/>
      <c r="O54" s="113"/>
      <c r="AP54" s="213"/>
      <c r="AQ54" s="213"/>
      <c r="AR54" s="213"/>
      <c r="AS54" s="271"/>
      <c r="AT54" s="271"/>
      <c r="AU54" s="244"/>
      <c r="AV54" s="244"/>
      <c r="AW54" s="244"/>
      <c r="AX54" s="244"/>
      <c r="AY54" s="244"/>
      <c r="AZ54" s="244"/>
      <c r="BA54" s="244"/>
      <c r="BB54" s="244"/>
      <c r="BC54" s="244"/>
      <c r="BD54" s="244"/>
      <c r="BE54" s="244"/>
      <c r="BF54" s="244"/>
      <c r="BG54" s="244"/>
      <c r="BH54" s="244"/>
      <c r="BI54" s="244"/>
      <c r="BJ54" s="244"/>
      <c r="BK54" s="244"/>
      <c r="BL54" s="244"/>
      <c r="BM54" s="244"/>
      <c r="BN54" s="244"/>
      <c r="BO54" s="244"/>
      <c r="BP54" s="244"/>
      <c r="BQ54" s="244"/>
      <c r="BR54" s="244"/>
      <c r="BS54" s="244"/>
      <c r="BT54" s="244"/>
      <c r="BU54" s="244"/>
      <c r="BV54" s="244"/>
      <c r="BW54" s="244"/>
      <c r="BX54" s="244"/>
      <c r="BY54" s="244"/>
      <c r="BZ54" s="244"/>
      <c r="CA54" s="244"/>
      <c r="CB54" s="244"/>
      <c r="CC54" s="244"/>
      <c r="CD54" s="244"/>
      <c r="CE54" s="244"/>
      <c r="CF54" s="244"/>
    </row>
    <row r="55" ht="0" hidden="1" customHeight="1">
      <c r="C55" s="114"/>
      <c r="D55" s="118"/>
      <c r="E55" s="118"/>
      <c r="F55" s="118"/>
      <c r="G55" s="118"/>
      <c r="H55" s="118"/>
      <c r="I55" s="712"/>
      <c r="J55" s="712"/>
      <c r="K55" s="712"/>
      <c r="L55" s="712"/>
      <c r="M55" s="712"/>
      <c r="N55" s="712"/>
      <c r="O55" s="113"/>
      <c r="AP55" s="213"/>
      <c r="AQ55" s="213"/>
      <c r="AR55" s="213"/>
      <c r="AS55" s="271"/>
      <c r="AT55" s="271"/>
      <c r="AU55" s="244"/>
      <c r="AV55" s="244"/>
      <c r="AW55" s="244"/>
      <c r="AX55" s="244"/>
      <c r="AY55" s="244"/>
      <c r="AZ55" s="244"/>
      <c r="BA55" s="244"/>
      <c r="BB55" s="244"/>
      <c r="BC55" s="244"/>
      <c r="BD55" s="244"/>
      <c r="BE55" s="244"/>
      <c r="BF55" s="244"/>
      <c r="BG55" s="244"/>
      <c r="BH55" s="244"/>
      <c r="BI55" s="244"/>
      <c r="BJ55" s="244"/>
      <c r="BK55" s="244"/>
      <c r="BL55" s="244"/>
      <c r="BM55" s="244"/>
      <c r="BN55" s="244"/>
      <c r="BO55" s="244"/>
      <c r="BP55" s="244"/>
      <c r="BQ55" s="244"/>
      <c r="BR55" s="244"/>
      <c r="BS55" s="244"/>
      <c r="BT55" s="244"/>
      <c r="BU55" s="244"/>
      <c r="BV55" s="244"/>
      <c r="BW55" s="244"/>
      <c r="BX55" s="244"/>
      <c r="BY55" s="244"/>
      <c r="BZ55" s="244"/>
      <c r="CA55" s="244"/>
      <c r="CB55" s="244"/>
      <c r="CC55" s="244"/>
      <c r="CD55" s="244"/>
      <c r="CE55" s="244"/>
      <c r="CF55" s="244"/>
    </row>
    <row r="56" ht="0" hidden="1" customHeight="1">
      <c r="C56" s="114"/>
      <c r="D56" s="118"/>
      <c r="E56" s="118"/>
      <c r="F56" s="118"/>
      <c r="G56" s="118"/>
      <c r="H56" s="118"/>
      <c r="I56" s="712"/>
      <c r="J56" s="712"/>
      <c r="K56" s="712"/>
      <c r="L56" s="712"/>
      <c r="M56" s="712"/>
      <c r="N56" s="712"/>
      <c r="O56" s="113"/>
      <c r="AP56" s="213"/>
      <c r="AQ56" s="213"/>
      <c r="AR56" s="213"/>
      <c r="AS56" s="271"/>
      <c r="AT56" s="271"/>
      <c r="AU56" s="244"/>
      <c r="AV56" s="244"/>
      <c r="AW56" s="244"/>
      <c r="AX56" s="244"/>
      <c r="AY56" s="244"/>
      <c r="AZ56" s="244"/>
      <c r="BA56" s="244"/>
      <c r="BB56" s="244"/>
      <c r="BC56" s="244"/>
      <c r="BD56" s="244"/>
      <c r="BE56" s="244"/>
      <c r="BF56" s="244"/>
      <c r="BG56" s="244"/>
      <c r="BH56" s="244"/>
      <c r="BI56" s="244"/>
      <c r="BJ56" s="244"/>
      <c r="BK56" s="244"/>
      <c r="BL56" s="244"/>
      <c r="BM56" s="244"/>
      <c r="BN56" s="244"/>
      <c r="BO56" s="244"/>
      <c r="BP56" s="244"/>
      <c r="BQ56" s="244"/>
      <c r="BR56" s="244"/>
      <c r="BS56" s="244"/>
      <c r="BT56" s="244"/>
      <c r="BU56" s="244"/>
      <c r="BV56" s="244"/>
      <c r="BW56" s="244"/>
      <c r="BX56" s="244"/>
      <c r="BY56" s="244"/>
      <c r="BZ56" s="244"/>
      <c r="CA56" s="244"/>
      <c r="CB56" s="244"/>
      <c r="CC56" s="244"/>
      <c r="CD56" s="244"/>
      <c r="CE56" s="244"/>
      <c r="CF56" s="244"/>
    </row>
    <row r="57" ht="0" hidden="1" customHeight="1">
      <c r="C57" s="114"/>
      <c r="D57" s="118"/>
      <c r="E57" s="118"/>
      <c r="F57" s="118"/>
      <c r="G57" s="118"/>
      <c r="H57" s="118"/>
      <c r="I57" s="712"/>
      <c r="J57" s="712"/>
      <c r="K57" s="712"/>
      <c r="L57" s="712"/>
      <c r="M57" s="712"/>
      <c r="N57" s="712"/>
      <c r="O57" s="113"/>
      <c r="AP57" s="213"/>
      <c r="AQ57" s="213"/>
      <c r="AR57" s="213"/>
      <c r="AS57" s="271"/>
      <c r="AT57" s="271"/>
      <c r="AU57" s="244"/>
      <c r="AV57" s="244"/>
      <c r="AW57" s="244"/>
      <c r="AX57" s="244"/>
      <c r="AY57" s="244"/>
      <c r="AZ57" s="244"/>
      <c r="BA57" s="244"/>
      <c r="BB57" s="244"/>
      <c r="BC57" s="244"/>
      <c r="BD57" s="244"/>
      <c r="BE57" s="244"/>
      <c r="BF57" s="244"/>
      <c r="BG57" s="244"/>
      <c r="BH57" s="244"/>
      <c r="BI57" s="244"/>
      <c r="BJ57" s="244"/>
      <c r="BK57" s="244"/>
      <c r="BL57" s="244"/>
      <c r="BM57" s="244"/>
      <c r="BN57" s="244"/>
      <c r="BO57" s="244"/>
      <c r="BP57" s="244"/>
      <c r="BQ57" s="244"/>
      <c r="BR57" s="244"/>
      <c r="BS57" s="244"/>
      <c r="BT57" s="244"/>
      <c r="BU57" s="244"/>
      <c r="BV57" s="244"/>
      <c r="BW57" s="244"/>
      <c r="BX57" s="244"/>
      <c r="BY57" s="244"/>
      <c r="BZ57" s="244"/>
      <c r="CA57" s="244"/>
      <c r="CB57" s="244"/>
      <c r="CC57" s="244"/>
      <c r="CD57" s="244"/>
      <c r="CE57" s="244"/>
      <c r="CF57" s="244"/>
    </row>
    <row r="58" ht="0" hidden="1" customHeight="1">
      <c r="C58" s="114"/>
      <c r="D58" s="118"/>
      <c r="E58" s="118"/>
      <c r="F58" s="118"/>
      <c r="G58" s="118"/>
      <c r="H58" s="118"/>
      <c r="I58" s="712"/>
      <c r="J58" s="712"/>
      <c r="K58" s="712"/>
      <c r="L58" s="712"/>
      <c r="M58" s="712"/>
      <c r="N58" s="712"/>
      <c r="O58" s="113"/>
      <c r="AP58" s="213"/>
      <c r="AQ58" s="213"/>
      <c r="AR58" s="213"/>
      <c r="AS58" s="271"/>
      <c r="AT58" s="271"/>
      <c r="AU58" s="244"/>
      <c r="AV58" s="244"/>
      <c r="AW58" s="244"/>
      <c r="AX58" s="244"/>
      <c r="AY58" s="244"/>
      <c r="AZ58" s="244"/>
      <c r="BA58" s="244"/>
      <c r="BB58" s="244"/>
      <c r="BC58" s="244"/>
      <c r="BD58" s="244"/>
      <c r="BE58" s="244"/>
      <c r="BF58" s="244"/>
      <c r="BG58" s="244"/>
      <c r="BH58" s="244"/>
      <c r="BI58" s="244"/>
      <c r="BJ58" s="244"/>
      <c r="BK58" s="244"/>
      <c r="BL58" s="244"/>
      <c r="BM58" s="244"/>
      <c r="BN58" s="244"/>
      <c r="BO58" s="244"/>
      <c r="BP58" s="244"/>
      <c r="BQ58" s="244"/>
      <c r="BR58" s="244"/>
      <c r="BS58" s="244"/>
      <c r="BT58" s="244"/>
      <c r="BU58" s="244"/>
      <c r="BV58" s="244"/>
      <c r="BW58" s="244"/>
      <c r="BX58" s="244"/>
      <c r="BY58" s="244"/>
      <c r="BZ58" s="244"/>
      <c r="CA58" s="244"/>
      <c r="CB58" s="244"/>
      <c r="CC58" s="244"/>
      <c r="CD58" s="244"/>
      <c r="CE58" s="244"/>
      <c r="CF58" s="244"/>
    </row>
    <row r="59" ht="0" hidden="1" customHeight="1">
      <c r="C59" s="114"/>
      <c r="D59" s="118"/>
      <c r="E59" s="118"/>
      <c r="F59" s="118"/>
      <c r="G59" s="118"/>
      <c r="H59" s="118"/>
      <c r="I59" s="712"/>
      <c r="J59" s="712"/>
      <c r="K59" s="712"/>
      <c r="L59" s="712"/>
      <c r="M59" s="712"/>
      <c r="N59" s="712"/>
      <c r="O59" s="113"/>
      <c r="AP59" s="213"/>
      <c r="AQ59" s="213"/>
      <c r="AR59" s="213"/>
      <c r="AS59" s="271"/>
      <c r="AT59" s="271"/>
      <c r="AU59" s="244"/>
      <c r="AV59" s="244"/>
      <c r="AW59" s="244"/>
      <c r="AX59" s="244"/>
      <c r="AY59" s="244"/>
      <c r="AZ59" s="244"/>
      <c r="BA59" s="244"/>
      <c r="BB59" s="244"/>
      <c r="BC59" s="244"/>
      <c r="BD59" s="244"/>
      <c r="BE59" s="244"/>
      <c r="BF59" s="244"/>
      <c r="BG59" s="244"/>
      <c r="BH59" s="244"/>
      <c r="BI59" s="244"/>
      <c r="BJ59" s="244"/>
      <c r="BK59" s="244"/>
      <c r="BL59" s="244"/>
      <c r="BM59" s="244"/>
      <c r="BN59" s="244"/>
      <c r="BO59" s="244"/>
      <c r="BP59" s="244"/>
      <c r="BQ59" s="244"/>
      <c r="BR59" s="244"/>
      <c r="BS59" s="244"/>
      <c r="BT59" s="244"/>
      <c r="BU59" s="244"/>
      <c r="BV59" s="244"/>
      <c r="BW59" s="244"/>
      <c r="BX59" s="244"/>
      <c r="BY59" s="244"/>
      <c r="BZ59" s="244"/>
      <c r="CA59" s="244"/>
      <c r="CB59" s="244"/>
      <c r="CC59" s="244"/>
      <c r="CD59" s="244"/>
      <c r="CE59" s="244"/>
      <c r="CF59" s="244"/>
    </row>
    <row r="60" ht="0" hidden="1" customHeight="1">
      <c r="C60" s="114"/>
      <c r="D60" s="118"/>
      <c r="E60" s="118"/>
      <c r="F60" s="118"/>
      <c r="G60" s="118"/>
      <c r="H60" s="118"/>
      <c r="I60" s="712"/>
      <c r="J60" s="712"/>
      <c r="K60" s="712"/>
      <c r="L60" s="712"/>
      <c r="M60" s="712"/>
      <c r="N60" s="712"/>
      <c r="O60" s="113"/>
      <c r="AP60" s="213"/>
      <c r="AQ60" s="213"/>
      <c r="AR60" s="213"/>
      <c r="AS60" s="271"/>
      <c r="AT60" s="271"/>
      <c r="AU60" s="244"/>
      <c r="AV60" s="244"/>
      <c r="AW60" s="244"/>
      <c r="AX60" s="244"/>
      <c r="AY60" s="244"/>
      <c r="AZ60" s="244"/>
      <c r="BA60" s="244"/>
      <c r="BB60" s="244"/>
      <c r="BC60" s="244"/>
      <c r="BD60" s="244"/>
      <c r="BE60" s="244"/>
      <c r="BF60" s="244"/>
      <c r="BG60" s="244"/>
      <c r="BH60" s="244"/>
      <c r="BI60" s="244"/>
      <c r="BJ60" s="244"/>
      <c r="BK60" s="244"/>
      <c r="BL60" s="244"/>
      <c r="BM60" s="244"/>
      <c r="BN60" s="244"/>
      <c r="BO60" s="244"/>
      <c r="BP60" s="244"/>
      <c r="BQ60" s="244"/>
      <c r="BR60" s="244"/>
      <c r="BS60" s="244"/>
      <c r="BT60" s="244"/>
      <c r="BU60" s="244"/>
      <c r="BV60" s="244"/>
      <c r="BW60" s="244"/>
      <c r="BX60" s="244"/>
      <c r="BY60" s="244"/>
      <c r="BZ60" s="244"/>
      <c r="CA60" s="244"/>
      <c r="CB60" s="244"/>
      <c r="CC60" s="244"/>
      <c r="CD60" s="244"/>
      <c r="CE60" s="244"/>
      <c r="CF60" s="244"/>
    </row>
    <row r="61" ht="0" hidden="1" customHeight="1">
      <c r="C61" s="114"/>
      <c r="D61" s="118"/>
      <c r="E61" s="118"/>
      <c r="F61" s="118"/>
      <c r="G61" s="118"/>
      <c r="H61" s="118"/>
      <c r="I61" s="712"/>
      <c r="J61" s="712"/>
      <c r="K61" s="712"/>
      <c r="L61" s="712"/>
      <c r="M61" s="712"/>
      <c r="N61" s="712"/>
      <c r="O61" s="113"/>
      <c r="AP61" s="213"/>
      <c r="AQ61" s="213"/>
      <c r="AR61" s="213"/>
      <c r="AS61" s="271"/>
      <c r="AT61" s="271"/>
      <c r="AU61" s="244"/>
      <c r="AV61" s="244"/>
      <c r="AW61" s="244"/>
      <c r="AX61" s="244"/>
      <c r="AY61" s="244"/>
      <c r="AZ61" s="244"/>
      <c r="BA61" s="244"/>
      <c r="BB61" s="244"/>
      <c r="BC61" s="244"/>
      <c r="BD61" s="244"/>
      <c r="BE61" s="244"/>
      <c r="BF61" s="244"/>
      <c r="BG61" s="244"/>
      <c r="BH61" s="244"/>
      <c r="BI61" s="244"/>
      <c r="BJ61" s="244"/>
      <c r="BK61" s="244"/>
      <c r="BL61" s="244"/>
      <c r="BM61" s="244"/>
      <c r="BN61" s="244"/>
      <c r="BO61" s="244"/>
      <c r="BP61" s="244"/>
      <c r="BQ61" s="244"/>
      <c r="BR61" s="244"/>
      <c r="BS61" s="244"/>
      <c r="BT61" s="244"/>
      <c r="BU61" s="244"/>
      <c r="BV61" s="244"/>
      <c r="BW61" s="244"/>
      <c r="BX61" s="244"/>
      <c r="BY61" s="244"/>
      <c r="BZ61" s="244"/>
      <c r="CA61" s="244"/>
      <c r="CB61" s="244"/>
      <c r="CC61" s="244"/>
      <c r="CD61" s="244"/>
      <c r="CE61" s="244"/>
      <c r="CF61" s="244"/>
    </row>
    <row r="62" ht="0" hidden="1" customHeight="1">
      <c r="C62" s="114"/>
      <c r="D62" s="118"/>
      <c r="E62" s="118"/>
      <c r="F62" s="118"/>
      <c r="G62" s="118"/>
      <c r="H62" s="118"/>
      <c r="I62" s="712"/>
      <c r="J62" s="712"/>
      <c r="K62" s="712"/>
      <c r="L62" s="712"/>
      <c r="M62" s="712"/>
      <c r="N62" s="712"/>
      <c r="O62" s="113"/>
      <c r="AP62" s="213"/>
      <c r="AQ62" s="213"/>
      <c r="AR62" s="213"/>
      <c r="AS62" s="271"/>
      <c r="AT62" s="271"/>
      <c r="AU62" s="244"/>
      <c r="AV62" s="244"/>
      <c r="AW62" s="244"/>
      <c r="AX62" s="244"/>
      <c r="AY62" s="244"/>
      <c r="AZ62" s="244"/>
      <c r="BA62" s="244"/>
      <c r="BB62" s="244"/>
      <c r="BC62" s="244"/>
      <c r="BD62" s="244"/>
      <c r="BE62" s="244"/>
      <c r="BF62" s="244"/>
      <c r="BG62" s="244"/>
      <c r="BH62" s="244"/>
      <c r="BI62" s="244"/>
      <c r="BJ62" s="244"/>
      <c r="BK62" s="244"/>
      <c r="BL62" s="244"/>
      <c r="BM62" s="244"/>
      <c r="BN62" s="244"/>
      <c r="BO62" s="244"/>
      <c r="BP62" s="244"/>
      <c r="BQ62" s="244"/>
      <c r="BR62" s="244"/>
      <c r="BS62" s="244"/>
      <c r="BT62" s="244"/>
      <c r="BU62" s="244"/>
      <c r="BV62" s="244"/>
      <c r="BW62" s="244"/>
      <c r="BX62" s="244"/>
      <c r="BY62" s="244"/>
      <c r="BZ62" s="244"/>
      <c r="CA62" s="244"/>
      <c r="CB62" s="244"/>
      <c r="CC62" s="244"/>
      <c r="CD62" s="244"/>
      <c r="CE62" s="244"/>
      <c r="CF62" s="244"/>
    </row>
    <row r="63" ht="0" hidden="1" customHeight="1">
      <c r="C63" s="114"/>
      <c r="D63" s="118"/>
      <c r="E63" s="118"/>
      <c r="F63" s="118"/>
      <c r="G63" s="118"/>
      <c r="H63" s="118"/>
      <c r="I63" s="712"/>
      <c r="J63" s="712"/>
      <c r="K63" s="712"/>
      <c r="L63" s="712"/>
      <c r="M63" s="712"/>
      <c r="N63" s="712"/>
      <c r="O63" s="113"/>
      <c r="AP63" s="213"/>
      <c r="AQ63" s="213"/>
      <c r="AR63" s="213"/>
      <c r="AS63" s="271"/>
      <c r="AT63" s="271"/>
      <c r="AU63" s="244"/>
      <c r="AV63" s="244"/>
      <c r="AW63" s="244"/>
      <c r="AX63" s="244"/>
      <c r="AY63" s="244"/>
      <c r="AZ63" s="244"/>
      <c r="BA63" s="244"/>
      <c r="BB63" s="244"/>
      <c r="BC63" s="244"/>
      <c r="BD63" s="244"/>
      <c r="BE63" s="244"/>
      <c r="BF63" s="244"/>
      <c r="BG63" s="244"/>
      <c r="BH63" s="244"/>
      <c r="BI63" s="244"/>
      <c r="BJ63" s="244"/>
      <c r="BK63" s="244"/>
      <c r="BL63" s="244"/>
      <c r="BM63" s="244"/>
      <c r="BN63" s="244"/>
      <c r="BO63" s="244"/>
      <c r="BP63" s="244"/>
      <c r="BQ63" s="244"/>
      <c r="BR63" s="244"/>
      <c r="BS63" s="244"/>
      <c r="BT63" s="244"/>
      <c r="BU63" s="244"/>
      <c r="BV63" s="244"/>
      <c r="BW63" s="244"/>
      <c r="BX63" s="244"/>
      <c r="BY63" s="244"/>
      <c r="BZ63" s="244"/>
      <c r="CA63" s="244"/>
      <c r="CB63" s="244"/>
      <c r="CC63" s="244"/>
      <c r="CD63" s="244"/>
      <c r="CE63" s="244"/>
      <c r="CF63" s="244"/>
    </row>
    <row r="64" ht="0" hidden="1" customHeight="1">
      <c r="C64" s="114"/>
      <c r="D64" s="118"/>
      <c r="E64" s="118"/>
      <c r="F64" s="118"/>
      <c r="G64" s="118"/>
      <c r="H64" s="118"/>
      <c r="I64" s="712"/>
      <c r="J64" s="712"/>
      <c r="K64" s="712"/>
      <c r="L64" s="712"/>
      <c r="M64" s="712"/>
      <c r="N64" s="712"/>
      <c r="O64" s="113"/>
      <c r="AP64" s="213"/>
      <c r="AQ64" s="213"/>
      <c r="AR64" s="213"/>
      <c r="AS64" s="271"/>
      <c r="AT64" s="271"/>
      <c r="AU64" s="244"/>
      <c r="AV64" s="244"/>
      <c r="AW64" s="244"/>
      <c r="AX64" s="244"/>
      <c r="AY64" s="244"/>
      <c r="AZ64" s="244"/>
      <c r="BA64" s="244"/>
      <c r="BB64" s="244"/>
      <c r="BC64" s="244"/>
      <c r="BD64" s="244"/>
      <c r="BE64" s="244"/>
      <c r="BF64" s="244"/>
      <c r="BG64" s="244"/>
      <c r="BH64" s="244"/>
      <c r="BI64" s="244"/>
      <c r="BJ64" s="244"/>
      <c r="BK64" s="244"/>
      <c r="BL64" s="244"/>
      <c r="BM64" s="244"/>
      <c r="BN64" s="244"/>
      <c r="BO64" s="244"/>
      <c r="BP64" s="244"/>
      <c r="BQ64" s="244"/>
      <c r="BR64" s="244"/>
      <c r="BS64" s="244"/>
      <c r="BT64" s="244"/>
      <c r="BU64" s="244"/>
      <c r="BV64" s="244"/>
      <c r="BW64" s="244"/>
      <c r="BX64" s="244"/>
      <c r="BY64" s="244"/>
      <c r="BZ64" s="244"/>
      <c r="CA64" s="244"/>
      <c r="CB64" s="244"/>
      <c r="CC64" s="244"/>
      <c r="CD64" s="244"/>
      <c r="CE64" s="244"/>
      <c r="CF64" s="244"/>
    </row>
    <row r="65" ht="0" hidden="1" customHeight="1">
      <c r="C65" s="114"/>
      <c r="D65" s="118"/>
      <c r="E65" s="118"/>
      <c r="F65" s="118"/>
      <c r="G65" s="118"/>
      <c r="H65" s="118"/>
      <c r="I65" s="712"/>
      <c r="J65" s="712"/>
      <c r="K65" s="712"/>
      <c r="L65" s="712"/>
      <c r="M65" s="712"/>
      <c r="N65" s="712"/>
      <c r="O65" s="113"/>
      <c r="AP65" s="213"/>
      <c r="AQ65" s="213"/>
      <c r="AR65" s="213"/>
      <c r="AS65" s="271"/>
      <c r="AT65" s="271"/>
      <c r="AU65" s="244"/>
      <c r="AV65" s="244"/>
      <c r="AW65" s="244"/>
      <c r="AX65" s="244"/>
      <c r="AY65" s="244"/>
      <c r="AZ65" s="244"/>
      <c r="BA65" s="244"/>
      <c r="BB65" s="244"/>
      <c r="BC65" s="244"/>
      <c r="BD65" s="244"/>
      <c r="BE65" s="244"/>
      <c r="BF65" s="244"/>
      <c r="BG65" s="244"/>
      <c r="BH65" s="244"/>
      <c r="BI65" s="244"/>
      <c r="BJ65" s="244"/>
      <c r="BK65" s="244"/>
      <c r="BL65" s="244"/>
      <c r="BM65" s="244"/>
      <c r="BN65" s="244"/>
      <c r="BO65" s="244"/>
      <c r="BP65" s="244"/>
      <c r="BQ65" s="244"/>
      <c r="BR65" s="244"/>
      <c r="BS65" s="244"/>
      <c r="BT65" s="244"/>
      <c r="BU65" s="244"/>
      <c r="BV65" s="244"/>
      <c r="BW65" s="244"/>
      <c r="BX65" s="244"/>
      <c r="BY65" s="244"/>
      <c r="BZ65" s="244"/>
      <c r="CA65" s="244"/>
      <c r="CB65" s="244"/>
      <c r="CC65" s="244"/>
      <c r="CD65" s="244"/>
      <c r="CE65" s="244"/>
      <c r="CF65" s="244"/>
    </row>
    <row r="66" ht="0" hidden="1" customHeight="1">
      <c r="C66" s="114"/>
      <c r="D66" s="118"/>
      <c r="E66" s="118"/>
      <c r="F66" s="118"/>
      <c r="G66" s="118"/>
      <c r="H66" s="118"/>
      <c r="I66" s="712"/>
      <c r="J66" s="712"/>
      <c r="K66" s="712"/>
      <c r="L66" s="712"/>
      <c r="M66" s="712"/>
      <c r="N66" s="712"/>
      <c r="O66" s="113"/>
      <c r="AP66" s="213"/>
      <c r="AQ66" s="213"/>
      <c r="AR66" s="213"/>
      <c r="AS66" s="271"/>
      <c r="AT66" s="271"/>
      <c r="AU66" s="244"/>
      <c r="AV66" s="244"/>
      <c r="AW66" s="244"/>
      <c r="AX66" s="244"/>
      <c r="AY66" s="244"/>
      <c r="AZ66" s="244"/>
      <c r="BA66" s="244"/>
      <c r="BB66" s="244"/>
      <c r="BC66" s="244"/>
      <c r="BD66" s="244"/>
      <c r="BE66" s="244"/>
      <c r="BF66" s="244"/>
      <c r="BG66" s="244"/>
      <c r="BH66" s="244"/>
      <c r="BI66" s="244"/>
      <c r="BJ66" s="244"/>
      <c r="BK66" s="244"/>
      <c r="BL66" s="244"/>
      <c r="BM66" s="244"/>
      <c r="BN66" s="244"/>
      <c r="BO66" s="244"/>
      <c r="BP66" s="244"/>
      <c r="BQ66" s="244"/>
      <c r="BR66" s="244"/>
      <c r="BS66" s="244"/>
      <c r="BT66" s="244"/>
      <c r="BU66" s="244"/>
      <c r="BV66" s="244"/>
      <c r="BW66" s="244"/>
      <c r="BX66" s="244"/>
      <c r="BY66" s="244"/>
      <c r="BZ66" s="244"/>
      <c r="CA66" s="244"/>
      <c r="CB66" s="244"/>
      <c r="CC66" s="244"/>
      <c r="CD66" s="244"/>
      <c r="CE66" s="244"/>
      <c r="CF66" s="244"/>
    </row>
    <row r="67" ht="0" hidden="1" customHeight="1">
      <c r="C67" s="114"/>
      <c r="D67" s="118"/>
      <c r="E67" s="118"/>
      <c r="F67" s="118"/>
      <c r="G67" s="118"/>
      <c r="H67" s="118"/>
      <c r="I67" s="712"/>
      <c r="J67" s="712"/>
      <c r="K67" s="712"/>
      <c r="L67" s="712"/>
      <c r="M67" s="712"/>
      <c r="N67" s="712"/>
      <c r="O67" s="113"/>
      <c r="AP67" s="213"/>
      <c r="AQ67" s="213"/>
      <c r="AR67" s="213"/>
      <c r="AS67" s="271"/>
      <c r="AT67" s="271"/>
      <c r="AU67" s="244"/>
      <c r="AV67" s="244"/>
      <c r="AW67" s="244"/>
      <c r="AX67" s="244"/>
      <c r="AY67" s="244"/>
      <c r="AZ67" s="244"/>
      <c r="BA67" s="244"/>
      <c r="BB67" s="244"/>
      <c r="BC67" s="244"/>
      <c r="BD67" s="244"/>
      <c r="BE67" s="244"/>
      <c r="BF67" s="244"/>
      <c r="BG67" s="244"/>
      <c r="BH67" s="244"/>
      <c r="BI67" s="244"/>
      <c r="BJ67" s="244"/>
      <c r="BK67" s="244"/>
      <c r="BL67" s="244"/>
      <c r="BM67" s="244"/>
      <c r="BN67" s="244"/>
      <c r="BO67" s="244"/>
      <c r="BP67" s="244"/>
      <c r="BQ67" s="244"/>
      <c r="BR67" s="244"/>
      <c r="BS67" s="244"/>
      <c r="BT67" s="244"/>
      <c r="BU67" s="244"/>
      <c r="BV67" s="244"/>
      <c r="BW67" s="244"/>
      <c r="BX67" s="244"/>
      <c r="BY67" s="244"/>
      <c r="BZ67" s="244"/>
      <c r="CA67" s="244"/>
      <c r="CB67" s="244"/>
      <c r="CC67" s="244"/>
      <c r="CD67" s="244"/>
      <c r="CE67" s="244"/>
      <c r="CF67" s="244"/>
    </row>
    <row r="68" ht="0" hidden="1" customHeight="1">
      <c r="C68" s="114"/>
      <c r="D68" s="118"/>
      <c r="E68" s="118"/>
      <c r="F68" s="118"/>
      <c r="G68" s="118"/>
      <c r="H68" s="118"/>
      <c r="I68" s="712"/>
      <c r="J68" s="712"/>
      <c r="K68" s="712"/>
      <c r="L68" s="712"/>
      <c r="M68" s="712"/>
      <c r="N68" s="712"/>
      <c r="O68" s="113"/>
      <c r="AP68" s="213"/>
      <c r="AQ68" s="213"/>
      <c r="AR68" s="213"/>
      <c r="AS68" s="271"/>
      <c r="AT68" s="271"/>
      <c r="AU68" s="244"/>
      <c r="AV68" s="244"/>
      <c r="AW68" s="244"/>
      <c r="AX68" s="244"/>
      <c r="AY68" s="244"/>
      <c r="AZ68" s="244"/>
      <c r="BA68" s="244"/>
      <c r="BB68" s="244"/>
      <c r="BC68" s="244"/>
      <c r="BD68" s="244"/>
      <c r="BE68" s="244"/>
      <c r="BF68" s="244"/>
      <c r="BG68" s="244"/>
      <c r="BH68" s="244"/>
      <c r="BI68" s="244"/>
      <c r="BJ68" s="244"/>
      <c r="BK68" s="244"/>
      <c r="BL68" s="244"/>
      <c r="BM68" s="244"/>
      <c r="BN68" s="244"/>
      <c r="BO68" s="244"/>
      <c r="BP68" s="244"/>
      <c r="BQ68" s="244"/>
      <c r="BR68" s="244"/>
      <c r="BS68" s="244"/>
      <c r="BT68" s="244"/>
      <c r="BU68" s="244"/>
      <c r="BV68" s="244"/>
      <c r="BW68" s="244"/>
      <c r="BX68" s="244"/>
      <c r="BY68" s="244"/>
      <c r="BZ68" s="244"/>
      <c r="CA68" s="244"/>
      <c r="CB68" s="244"/>
      <c r="CC68" s="244"/>
      <c r="CD68" s="244"/>
      <c r="CE68" s="244"/>
      <c r="CF68" s="244"/>
    </row>
    <row r="69" ht="0" hidden="1" customHeight="1">
      <c r="C69" s="114"/>
      <c r="D69" s="118"/>
      <c r="E69" s="118"/>
      <c r="F69" s="118"/>
      <c r="G69" s="118"/>
      <c r="H69" s="118"/>
      <c r="I69" s="712"/>
      <c r="J69" s="712"/>
      <c r="K69" s="712"/>
      <c r="L69" s="712"/>
      <c r="M69" s="712"/>
      <c r="N69" s="712"/>
      <c r="O69" s="113"/>
      <c r="AP69" s="213"/>
      <c r="AQ69" s="213"/>
      <c r="AR69" s="213"/>
      <c r="AS69" s="271"/>
      <c r="AT69" s="271"/>
      <c r="AU69" s="244"/>
      <c r="AV69" s="244"/>
      <c r="AW69" s="244"/>
      <c r="AX69" s="244"/>
      <c r="AY69" s="244"/>
      <c r="AZ69" s="244"/>
      <c r="BA69" s="244"/>
      <c r="BB69" s="244"/>
      <c r="BC69" s="244"/>
      <c r="BD69" s="244"/>
      <c r="BE69" s="244"/>
      <c r="BF69" s="244"/>
      <c r="BG69" s="244"/>
      <c r="BH69" s="244"/>
      <c r="BI69" s="244"/>
      <c r="BJ69" s="244"/>
      <c r="BK69" s="244"/>
      <c r="BL69" s="244"/>
      <c r="BM69" s="244"/>
      <c r="BN69" s="244"/>
      <c r="BO69" s="244"/>
      <c r="BP69" s="244"/>
      <c r="BQ69" s="244"/>
      <c r="BR69" s="244"/>
      <c r="BS69" s="244"/>
      <c r="BT69" s="244"/>
      <c r="BU69" s="244"/>
      <c r="BV69" s="244"/>
      <c r="BW69" s="244"/>
      <c r="BX69" s="244"/>
      <c r="BY69" s="244"/>
      <c r="BZ69" s="244"/>
      <c r="CA69" s="244"/>
      <c r="CB69" s="244"/>
      <c r="CC69" s="244"/>
      <c r="CD69" s="244"/>
      <c r="CE69" s="244"/>
      <c r="CF69" s="244"/>
    </row>
    <row r="70" ht="0" hidden="1" customHeight="1">
      <c r="C70" s="114"/>
      <c r="D70" s="118"/>
      <c r="E70" s="118"/>
      <c r="F70" s="118"/>
      <c r="G70" s="118"/>
      <c r="H70" s="118"/>
      <c r="I70" s="712"/>
      <c r="J70" s="712"/>
      <c r="K70" s="712"/>
      <c r="L70" s="712"/>
      <c r="M70" s="712"/>
      <c r="N70" s="712"/>
      <c r="O70" s="113"/>
      <c r="AP70" s="213"/>
      <c r="AQ70" s="213"/>
      <c r="AR70" s="213"/>
      <c r="AS70" s="271"/>
      <c r="AT70" s="271"/>
      <c r="AU70" s="244"/>
      <c r="AV70" s="244"/>
      <c r="AW70" s="244"/>
      <c r="AX70" s="244"/>
      <c r="AY70" s="244"/>
      <c r="AZ70" s="244"/>
      <c r="BA70" s="244"/>
      <c r="BB70" s="244"/>
      <c r="BC70" s="244"/>
      <c r="BD70" s="244"/>
      <c r="BE70" s="244"/>
      <c r="BF70" s="244"/>
      <c r="BG70" s="244"/>
      <c r="BH70" s="244"/>
      <c r="BI70" s="244"/>
      <c r="BJ70" s="244"/>
      <c r="BK70" s="244"/>
      <c r="BL70" s="244"/>
      <c r="BM70" s="244"/>
      <c r="BN70" s="244"/>
      <c r="BO70" s="244"/>
      <c r="BP70" s="244"/>
      <c r="BQ70" s="244"/>
      <c r="BR70" s="244"/>
      <c r="BS70" s="244"/>
      <c r="BT70" s="244"/>
      <c r="BU70" s="244"/>
      <c r="BV70" s="244"/>
      <c r="BW70" s="244"/>
      <c r="BX70" s="244"/>
      <c r="BY70" s="244"/>
      <c r="BZ70" s="244"/>
      <c r="CA70" s="244"/>
      <c r="CB70" s="244"/>
      <c r="CC70" s="244"/>
      <c r="CD70" s="244"/>
      <c r="CE70" s="244"/>
      <c r="CF70" s="244"/>
    </row>
    <row r="71" ht="0" hidden="1" customHeight="1">
      <c r="C71" s="114"/>
      <c r="D71" s="118"/>
      <c r="E71" s="118"/>
      <c r="F71" s="118"/>
      <c r="G71" s="118"/>
      <c r="H71" s="118"/>
      <c r="I71" s="712"/>
      <c r="J71" s="712"/>
      <c r="K71" s="712"/>
      <c r="L71" s="712"/>
      <c r="M71" s="712"/>
      <c r="N71" s="712"/>
      <c r="O71" s="113"/>
      <c r="AP71" s="213"/>
      <c r="AQ71" s="213"/>
      <c r="AR71" s="213"/>
      <c r="AS71" s="271"/>
      <c r="AT71" s="271"/>
      <c r="AU71" s="244"/>
      <c r="AV71" s="244"/>
      <c r="AW71" s="244"/>
      <c r="AX71" s="244"/>
      <c r="AY71" s="244"/>
      <c r="AZ71" s="244"/>
      <c r="BA71" s="244"/>
      <c r="BB71" s="244"/>
      <c r="BC71" s="244"/>
      <c r="BD71" s="244"/>
      <c r="BE71" s="244"/>
      <c r="BF71" s="244"/>
      <c r="BG71" s="244"/>
      <c r="BH71" s="244"/>
      <c r="BI71" s="244"/>
      <c r="BJ71" s="244"/>
      <c r="BK71" s="244"/>
      <c r="BL71" s="244"/>
      <c r="BM71" s="244"/>
      <c r="BN71" s="244"/>
      <c r="BO71" s="244"/>
      <c r="BP71" s="244"/>
      <c r="BQ71" s="244"/>
      <c r="BR71" s="244"/>
      <c r="BS71" s="244"/>
      <c r="BT71" s="244"/>
      <c r="BU71" s="244"/>
      <c r="BV71" s="244"/>
      <c r="BW71" s="244"/>
      <c r="BX71" s="244"/>
      <c r="BY71" s="244"/>
      <c r="BZ71" s="244"/>
      <c r="CA71" s="244"/>
      <c r="CB71" s="244"/>
      <c r="CC71" s="244"/>
      <c r="CD71" s="244"/>
      <c r="CE71" s="244"/>
      <c r="CF71" s="244"/>
    </row>
    <row r="72" ht="0" hidden="1" customHeight="1">
      <c r="C72" s="114"/>
      <c r="D72" s="118"/>
      <c r="E72" s="118"/>
      <c r="F72" s="118"/>
      <c r="G72" s="118"/>
      <c r="H72" s="118"/>
      <c r="I72" s="712"/>
      <c r="J72" s="712"/>
      <c r="K72" s="712"/>
      <c r="L72" s="712"/>
      <c r="M72" s="712"/>
      <c r="N72" s="712"/>
      <c r="O72" s="113"/>
      <c r="AP72" s="213"/>
      <c r="AQ72" s="213"/>
      <c r="AR72" s="213"/>
      <c r="AS72" s="271"/>
      <c r="AT72" s="271"/>
      <c r="AU72" s="244"/>
      <c r="AV72" s="244"/>
      <c r="AW72" s="244"/>
      <c r="AX72" s="244"/>
      <c r="AY72" s="244"/>
      <c r="AZ72" s="244"/>
      <c r="BA72" s="244"/>
      <c r="BB72" s="244"/>
      <c r="BC72" s="244"/>
      <c r="BD72" s="244"/>
      <c r="BE72" s="244"/>
      <c r="BF72" s="244"/>
      <c r="BG72" s="244"/>
      <c r="BH72" s="244"/>
      <c r="BI72" s="244"/>
      <c r="BJ72" s="244"/>
      <c r="BK72" s="244"/>
      <c r="BL72" s="244"/>
      <c r="BM72" s="244"/>
      <c r="BN72" s="244"/>
      <c r="BO72" s="244"/>
      <c r="BP72" s="244"/>
      <c r="BQ72" s="244"/>
      <c r="BR72" s="244"/>
      <c r="BS72" s="244"/>
      <c r="BT72" s="244"/>
      <c r="BU72" s="244"/>
      <c r="BV72" s="244"/>
      <c r="BW72" s="244"/>
      <c r="BX72" s="244"/>
      <c r="BY72" s="244"/>
      <c r="BZ72" s="244"/>
      <c r="CA72" s="244"/>
      <c r="CB72" s="244"/>
      <c r="CC72" s="244"/>
      <c r="CD72" s="244"/>
      <c r="CE72" s="244"/>
      <c r="CF72" s="244"/>
    </row>
    <row r="73" ht="0" hidden="1" customHeight="1">
      <c r="C73" s="114"/>
      <c r="D73" s="118"/>
      <c r="E73" s="118"/>
      <c r="F73" s="118"/>
      <c r="G73" s="118"/>
      <c r="H73" s="118"/>
      <c r="I73" s="712"/>
      <c r="J73" s="712"/>
      <c r="K73" s="712"/>
      <c r="L73" s="712"/>
      <c r="M73" s="712"/>
      <c r="N73" s="712"/>
      <c r="O73" s="113"/>
      <c r="AP73" s="213"/>
      <c r="AQ73" s="213"/>
      <c r="AR73" s="213"/>
      <c r="AS73" s="271"/>
      <c r="AT73" s="271"/>
      <c r="AU73" s="244"/>
      <c r="AV73" s="244"/>
      <c r="AW73" s="244"/>
      <c r="AX73" s="244"/>
      <c r="AY73" s="244"/>
      <c r="AZ73" s="244"/>
      <c r="BA73" s="244"/>
      <c r="BB73" s="244"/>
      <c r="BC73" s="244"/>
      <c r="BD73" s="244"/>
      <c r="BE73" s="244"/>
      <c r="BF73" s="244"/>
      <c r="BG73" s="244"/>
      <c r="BH73" s="244"/>
      <c r="BI73" s="244"/>
      <c r="BJ73" s="244"/>
      <c r="BK73" s="244"/>
      <c r="BL73" s="244"/>
      <c r="BM73" s="244"/>
      <c r="BN73" s="244"/>
      <c r="BO73" s="244"/>
      <c r="BP73" s="244"/>
      <c r="BQ73" s="244"/>
      <c r="BR73" s="244"/>
      <c r="BS73" s="244"/>
      <c r="BT73" s="244"/>
      <c r="BU73" s="244"/>
      <c r="BV73" s="244"/>
      <c r="BW73" s="244"/>
      <c r="BX73" s="244"/>
      <c r="BY73" s="244"/>
      <c r="BZ73" s="244"/>
      <c r="CA73" s="244"/>
      <c r="CB73" s="244"/>
      <c r="CC73" s="244"/>
      <c r="CD73" s="244"/>
      <c r="CE73" s="244"/>
      <c r="CF73" s="244"/>
    </row>
    <row r="74" ht="0" hidden="1" customHeight="1">
      <c r="C74" s="114"/>
      <c r="D74" s="118"/>
      <c r="E74" s="118"/>
      <c r="F74" s="118"/>
      <c r="G74" s="118"/>
      <c r="H74" s="118"/>
      <c r="I74" s="712"/>
      <c r="J74" s="712"/>
      <c r="K74" s="712"/>
      <c r="L74" s="712"/>
      <c r="M74" s="712"/>
      <c r="N74" s="712"/>
      <c r="O74" s="113"/>
      <c r="AP74" s="213"/>
      <c r="AQ74" s="213"/>
      <c r="AR74" s="213"/>
      <c r="AS74" s="271"/>
      <c r="AT74" s="271"/>
      <c r="AU74" s="244"/>
      <c r="AV74" s="244"/>
      <c r="AW74" s="244"/>
      <c r="AX74" s="244"/>
      <c r="AY74" s="244"/>
      <c r="AZ74" s="244"/>
      <c r="BA74" s="244"/>
      <c r="BB74" s="244"/>
      <c r="BC74" s="244"/>
      <c r="BD74" s="244"/>
      <c r="BE74" s="244"/>
      <c r="BF74" s="244"/>
      <c r="BG74" s="244"/>
      <c r="BH74" s="244"/>
      <c r="BI74" s="244"/>
      <c r="BJ74" s="244"/>
      <c r="BK74" s="244"/>
      <c r="BL74" s="244"/>
      <c r="BM74" s="244"/>
      <c r="BN74" s="244"/>
      <c r="BO74" s="244"/>
      <c r="BP74" s="244"/>
      <c r="BQ74" s="244"/>
      <c r="BR74" s="244"/>
      <c r="BS74" s="244"/>
      <c r="BT74" s="244"/>
      <c r="BU74" s="244"/>
      <c r="BV74" s="244"/>
      <c r="BW74" s="244"/>
      <c r="BX74" s="244"/>
      <c r="BY74" s="244"/>
      <c r="BZ74" s="244"/>
      <c r="CA74" s="244"/>
      <c r="CB74" s="244"/>
      <c r="CC74" s="244"/>
      <c r="CD74" s="244"/>
      <c r="CE74" s="244"/>
      <c r="CF74" s="244"/>
    </row>
    <row r="75" ht="0" hidden="1" customHeight="1">
      <c r="C75" s="114"/>
      <c r="D75" s="118"/>
      <c r="E75" s="118"/>
      <c r="F75" s="118"/>
      <c r="G75" s="118"/>
      <c r="H75" s="118"/>
      <c r="I75" s="712"/>
      <c r="J75" s="712"/>
      <c r="K75" s="712"/>
      <c r="L75" s="712"/>
      <c r="M75" s="712"/>
      <c r="N75" s="712"/>
      <c r="O75" s="113"/>
      <c r="AP75" s="213"/>
      <c r="AQ75" s="213"/>
      <c r="AR75" s="213"/>
      <c r="AS75" s="271"/>
      <c r="AT75" s="271"/>
      <c r="AU75" s="244"/>
      <c r="AV75" s="244"/>
      <c r="AW75" s="244"/>
      <c r="AX75" s="244"/>
      <c r="AY75" s="244"/>
      <c r="AZ75" s="244"/>
      <c r="BA75" s="244"/>
      <c r="BB75" s="244"/>
      <c r="BC75" s="244"/>
      <c r="BD75" s="244"/>
      <c r="BE75" s="244"/>
      <c r="BF75" s="244"/>
      <c r="BG75" s="244"/>
      <c r="BH75" s="244"/>
      <c r="BI75" s="244"/>
      <c r="BJ75" s="244"/>
      <c r="BK75" s="244"/>
      <c r="BL75" s="244"/>
      <c r="BM75" s="244"/>
      <c r="BN75" s="244"/>
      <c r="BO75" s="244"/>
      <c r="BP75" s="244"/>
      <c r="BQ75" s="244"/>
      <c r="BR75" s="244"/>
      <c r="BS75" s="244"/>
      <c r="BT75" s="244"/>
      <c r="BU75" s="244"/>
      <c r="BV75" s="244"/>
      <c r="BW75" s="244"/>
      <c r="BX75" s="244"/>
      <c r="BY75" s="244"/>
      <c r="BZ75" s="244"/>
      <c r="CA75" s="244"/>
      <c r="CB75" s="244"/>
      <c r="CC75" s="244"/>
      <c r="CD75" s="244"/>
      <c r="CE75" s="244"/>
      <c r="CF75" s="244"/>
    </row>
    <row r="76" ht="0" hidden="1" customHeight="1">
      <c r="C76" s="114"/>
      <c r="D76" s="118"/>
      <c r="E76" s="118"/>
      <c r="F76" s="118"/>
      <c r="G76" s="118"/>
      <c r="H76" s="118"/>
      <c r="I76" s="712"/>
      <c r="J76" s="712"/>
      <c r="K76" s="712"/>
      <c r="L76" s="712"/>
      <c r="M76" s="712"/>
      <c r="N76" s="712"/>
      <c r="O76" s="113"/>
      <c r="AP76" s="213"/>
      <c r="AQ76" s="213"/>
      <c r="AR76" s="213"/>
      <c r="AS76" s="271"/>
      <c r="AT76" s="271"/>
      <c r="AU76" s="244"/>
      <c r="AV76" s="244"/>
      <c r="AW76" s="244"/>
      <c r="AX76" s="244"/>
      <c r="AY76" s="244"/>
      <c r="AZ76" s="244"/>
      <c r="BA76" s="244"/>
      <c r="BB76" s="244"/>
      <c r="BC76" s="244"/>
      <c r="BD76" s="244"/>
      <c r="BE76" s="244"/>
      <c r="BF76" s="244"/>
      <c r="BG76" s="244"/>
      <c r="BH76" s="244"/>
      <c r="BI76" s="244"/>
      <c r="BJ76" s="244"/>
      <c r="BK76" s="244"/>
      <c r="BL76" s="244"/>
      <c r="BM76" s="244"/>
      <c r="BN76" s="244"/>
      <c r="BO76" s="244"/>
      <c r="BP76" s="244"/>
      <c r="BQ76" s="244"/>
      <c r="BR76" s="244"/>
      <c r="BS76" s="244"/>
      <c r="BT76" s="244"/>
      <c r="BU76" s="244"/>
      <c r="BV76" s="244"/>
      <c r="BW76" s="244"/>
      <c r="BX76" s="244"/>
      <c r="BY76" s="244"/>
      <c r="BZ76" s="244"/>
      <c r="CA76" s="244"/>
      <c r="CB76" s="244"/>
      <c r="CC76" s="244"/>
      <c r="CD76" s="244"/>
      <c r="CE76" s="244"/>
      <c r="CF76" s="244"/>
    </row>
    <row r="77" ht="0" hidden="1" customHeight="1">
      <c r="C77" s="114"/>
      <c r="D77" s="118"/>
      <c r="E77" s="118"/>
      <c r="F77" s="118"/>
      <c r="G77" s="118"/>
      <c r="H77" s="118"/>
      <c r="I77" s="712"/>
      <c r="J77" s="712"/>
      <c r="K77" s="712"/>
      <c r="L77" s="712"/>
      <c r="M77" s="712"/>
      <c r="N77" s="712"/>
      <c r="O77" s="113"/>
      <c r="AP77" s="213"/>
      <c r="AQ77" s="213"/>
      <c r="AR77" s="213"/>
      <c r="AS77" s="271"/>
      <c r="AT77" s="271"/>
      <c r="AU77" s="244"/>
      <c r="AV77" s="244"/>
      <c r="AW77" s="244"/>
      <c r="AX77" s="244"/>
      <c r="AY77" s="244"/>
      <c r="AZ77" s="244"/>
      <c r="BA77" s="244"/>
      <c r="BB77" s="244"/>
      <c r="BC77" s="244"/>
      <c r="BD77" s="244"/>
      <c r="BE77" s="244"/>
      <c r="BF77" s="244"/>
      <c r="BG77" s="244"/>
      <c r="BH77" s="244"/>
      <c r="BI77" s="244"/>
      <c r="BJ77" s="244"/>
      <c r="BK77" s="244"/>
      <c r="BL77" s="244"/>
      <c r="BM77" s="244"/>
      <c r="BN77" s="244"/>
      <c r="BO77" s="244"/>
      <c r="BP77" s="244"/>
      <c r="BQ77" s="244"/>
      <c r="BR77" s="244"/>
      <c r="BS77" s="244"/>
      <c r="BT77" s="244"/>
      <c r="BU77" s="244"/>
      <c r="BV77" s="244"/>
      <c r="BW77" s="244"/>
      <c r="BX77" s="244"/>
      <c r="BY77" s="244"/>
      <c r="BZ77" s="244"/>
      <c r="CA77" s="244"/>
      <c r="CB77" s="244"/>
      <c r="CC77" s="244"/>
      <c r="CD77" s="244"/>
      <c r="CE77" s="244"/>
      <c r="CF77" s="244"/>
    </row>
    <row r="78" ht="0" hidden="1" customHeight="1">
      <c r="C78" s="114"/>
      <c r="D78" s="118"/>
      <c r="E78" s="118"/>
      <c r="F78" s="118"/>
      <c r="G78" s="118"/>
      <c r="H78" s="118"/>
      <c r="I78" s="712"/>
      <c r="J78" s="712"/>
      <c r="K78" s="712"/>
      <c r="L78" s="712"/>
      <c r="M78" s="712"/>
      <c r="N78" s="712"/>
      <c r="O78" s="113"/>
      <c r="AP78" s="213"/>
      <c r="AQ78" s="213"/>
      <c r="AR78" s="213"/>
      <c r="AS78" s="271"/>
      <c r="AT78" s="271"/>
      <c r="AU78" s="244"/>
      <c r="AV78" s="244"/>
      <c r="AW78" s="244"/>
      <c r="AX78" s="244"/>
      <c r="AY78" s="244"/>
      <c r="AZ78" s="244"/>
      <c r="BA78" s="244"/>
      <c r="BB78" s="244"/>
      <c r="BC78" s="244"/>
      <c r="BD78" s="244"/>
      <c r="BE78" s="244"/>
      <c r="BF78" s="244"/>
      <c r="BG78" s="244"/>
      <c r="BH78" s="244"/>
      <c r="BI78" s="244"/>
      <c r="BJ78" s="244"/>
      <c r="BK78" s="244"/>
      <c r="BL78" s="244"/>
      <c r="BM78" s="244"/>
      <c r="BN78" s="244"/>
      <c r="BO78" s="244"/>
      <c r="BP78" s="244"/>
      <c r="BQ78" s="244"/>
      <c r="BR78" s="244"/>
      <c r="BS78" s="244"/>
      <c r="BT78" s="244"/>
      <c r="BU78" s="244"/>
      <c r="BV78" s="244"/>
      <c r="BW78" s="244"/>
      <c r="BX78" s="244"/>
      <c r="BY78" s="244"/>
      <c r="BZ78" s="244"/>
      <c r="CA78" s="244"/>
      <c r="CB78" s="244"/>
      <c r="CC78" s="244"/>
      <c r="CD78" s="244"/>
      <c r="CE78" s="244"/>
      <c r="CF78" s="244"/>
    </row>
    <row r="79" ht="0" hidden="1" customHeight="1">
      <c r="C79" s="114"/>
      <c r="D79" s="118"/>
      <c r="E79" s="118"/>
      <c r="F79" s="118"/>
      <c r="G79" s="118"/>
      <c r="H79" s="118"/>
      <c r="I79" s="712"/>
      <c r="J79" s="712"/>
      <c r="K79" s="712"/>
      <c r="L79" s="712"/>
      <c r="M79" s="712"/>
      <c r="N79" s="712"/>
      <c r="O79" s="113"/>
      <c r="AP79" s="213"/>
      <c r="AQ79" s="213"/>
      <c r="AR79" s="213"/>
      <c r="AS79" s="271"/>
      <c r="AT79" s="271"/>
      <c r="AU79" s="244"/>
      <c r="AV79" s="244"/>
      <c r="AW79" s="244"/>
      <c r="AX79" s="244"/>
      <c r="AY79" s="244"/>
      <c r="AZ79" s="244"/>
      <c r="BA79" s="244"/>
      <c r="BB79" s="244"/>
      <c r="BC79" s="244"/>
      <c r="BD79" s="244"/>
      <c r="BE79" s="244"/>
      <c r="BF79" s="244"/>
      <c r="BG79" s="244"/>
      <c r="BH79" s="244"/>
      <c r="BI79" s="244"/>
      <c r="BJ79" s="244"/>
      <c r="BK79" s="244"/>
      <c r="BL79" s="244"/>
      <c r="BM79" s="244"/>
      <c r="BN79" s="244"/>
      <c r="BO79" s="244"/>
      <c r="BP79" s="244"/>
      <c r="BQ79" s="244"/>
      <c r="BR79" s="244"/>
      <c r="BS79" s="244"/>
      <c r="BT79" s="244"/>
      <c r="BU79" s="244"/>
      <c r="BV79" s="244"/>
      <c r="BW79" s="244"/>
      <c r="BX79" s="244"/>
      <c r="BY79" s="244"/>
      <c r="BZ79" s="244"/>
      <c r="CA79" s="244"/>
      <c r="CB79" s="244"/>
      <c r="CC79" s="244"/>
      <c r="CD79" s="244"/>
      <c r="CE79" s="244"/>
      <c r="CF79" s="244"/>
    </row>
    <row r="80" ht="0" hidden="1" customHeight="1">
      <c r="C80" s="114"/>
      <c r="D80" s="118"/>
      <c r="E80" s="118"/>
      <c r="F80" s="118"/>
      <c r="G80" s="118"/>
      <c r="H80" s="118"/>
      <c r="I80" s="712"/>
      <c r="J80" s="712"/>
      <c r="K80" s="712"/>
      <c r="L80" s="712"/>
      <c r="M80" s="712"/>
      <c r="N80" s="712"/>
      <c r="O80" s="113"/>
      <c r="AP80" s="213"/>
      <c r="AQ80" s="213"/>
      <c r="AR80" s="213"/>
      <c r="AS80" s="271"/>
      <c r="AT80" s="271"/>
      <c r="AU80" s="244"/>
      <c r="AV80" s="244"/>
      <c r="AW80" s="244"/>
      <c r="AX80" s="244"/>
      <c r="AY80" s="244"/>
      <c r="AZ80" s="244"/>
      <c r="BA80" s="244"/>
      <c r="BB80" s="244"/>
      <c r="BC80" s="244"/>
      <c r="BD80" s="244"/>
      <c r="BE80" s="244"/>
      <c r="BF80" s="244"/>
      <c r="BG80" s="244"/>
      <c r="BH80" s="244"/>
      <c r="BI80" s="244"/>
      <c r="BJ80" s="244"/>
      <c r="BK80" s="244"/>
      <c r="BL80" s="244"/>
      <c r="BM80" s="244"/>
      <c r="BN80" s="244"/>
      <c r="BO80" s="244"/>
      <c r="BP80" s="244"/>
      <c r="BQ80" s="244"/>
      <c r="BR80" s="244"/>
      <c r="BS80" s="244"/>
      <c r="BT80" s="244"/>
      <c r="BU80" s="244"/>
      <c r="BV80" s="244"/>
      <c r="BW80" s="244"/>
      <c r="BX80" s="244"/>
      <c r="BY80" s="244"/>
      <c r="BZ80" s="244"/>
      <c r="CA80" s="244"/>
      <c r="CB80" s="244"/>
      <c r="CC80" s="244"/>
      <c r="CD80" s="244"/>
      <c r="CE80" s="244"/>
      <c r="CF80" s="244"/>
    </row>
    <row r="81" ht="0" hidden="1" customHeight="1">
      <c r="C81" s="114"/>
      <c r="D81" s="118"/>
      <c r="E81" s="118"/>
      <c r="F81" s="118"/>
      <c r="G81" s="118"/>
      <c r="H81" s="118"/>
      <c r="I81" s="712"/>
      <c r="J81" s="712"/>
      <c r="K81" s="712"/>
      <c r="L81" s="712"/>
      <c r="M81" s="712"/>
      <c r="N81" s="712"/>
      <c r="O81" s="113"/>
      <c r="AP81" s="213"/>
      <c r="AQ81" s="213"/>
      <c r="AR81" s="213"/>
      <c r="AS81" s="271"/>
      <c r="AT81" s="271"/>
      <c r="AU81" s="244"/>
      <c r="AV81" s="244"/>
      <c r="AW81" s="244"/>
      <c r="AX81" s="244"/>
      <c r="AY81" s="244"/>
      <c r="AZ81" s="244"/>
      <c r="BA81" s="244"/>
      <c r="BB81" s="244"/>
      <c r="BC81" s="244"/>
      <c r="BD81" s="244"/>
      <c r="BE81" s="244"/>
      <c r="BF81" s="244"/>
      <c r="BG81" s="244"/>
      <c r="BH81" s="244"/>
      <c r="BI81" s="244"/>
      <c r="BJ81" s="244"/>
      <c r="BK81" s="244"/>
      <c r="BL81" s="244"/>
      <c r="BM81" s="244"/>
      <c r="BN81" s="244"/>
      <c r="BO81" s="244"/>
      <c r="BP81" s="244"/>
      <c r="BQ81" s="244"/>
      <c r="BR81" s="244"/>
      <c r="BS81" s="244"/>
      <c r="BT81" s="244"/>
      <c r="BU81" s="244"/>
      <c r="BV81" s="244"/>
      <c r="BW81" s="244"/>
      <c r="BX81" s="244"/>
      <c r="BY81" s="244"/>
      <c r="BZ81" s="244"/>
      <c r="CA81" s="244"/>
      <c r="CB81" s="244"/>
      <c r="CC81" s="244"/>
      <c r="CD81" s="244"/>
      <c r="CE81" s="244"/>
      <c r="CF81" s="244"/>
    </row>
    <row r="82" ht="0" hidden="1" customHeight="1">
      <c r="C82" s="114"/>
      <c r="D82" s="118"/>
      <c r="E82" s="118"/>
      <c r="F82" s="118"/>
      <c r="G82" s="118"/>
      <c r="H82" s="118"/>
      <c r="I82" s="712"/>
      <c r="J82" s="712"/>
      <c r="K82" s="712"/>
      <c r="L82" s="712"/>
      <c r="M82" s="712"/>
      <c r="N82" s="712"/>
      <c r="O82" s="113"/>
      <c r="AP82" s="213"/>
      <c r="AQ82" s="213"/>
      <c r="AR82" s="213"/>
      <c r="AS82" s="271"/>
      <c r="AT82" s="271"/>
      <c r="AU82" s="244"/>
      <c r="AV82" s="244"/>
      <c r="AW82" s="244"/>
      <c r="AX82" s="244"/>
      <c r="AY82" s="244"/>
      <c r="AZ82" s="244"/>
      <c r="BA82" s="244"/>
      <c r="BB82" s="244"/>
      <c r="BC82" s="244"/>
      <c r="BD82" s="244"/>
      <c r="BE82" s="244"/>
      <c r="BF82" s="244"/>
      <c r="BG82" s="244"/>
      <c r="BH82" s="244"/>
      <c r="BI82" s="244"/>
      <c r="BJ82" s="244"/>
      <c r="BK82" s="244"/>
      <c r="BL82" s="244"/>
      <c r="BM82" s="244"/>
      <c r="BN82" s="244"/>
      <c r="BO82" s="244"/>
      <c r="BP82" s="244"/>
      <c r="BQ82" s="244"/>
      <c r="BR82" s="244"/>
      <c r="BS82" s="244"/>
      <c r="BT82" s="244"/>
      <c r="BU82" s="244"/>
      <c r="BV82" s="244"/>
      <c r="BW82" s="244"/>
      <c r="BX82" s="244"/>
      <c r="BY82" s="244"/>
      <c r="BZ82" s="244"/>
      <c r="CA82" s="244"/>
      <c r="CB82" s="244"/>
      <c r="CC82" s="244"/>
      <c r="CD82" s="244"/>
      <c r="CE82" s="244"/>
      <c r="CF82" s="244"/>
    </row>
    <row r="83" ht="0" hidden="1" customHeight="1">
      <c r="C83" s="114"/>
      <c r="D83" s="118"/>
      <c r="E83" s="118"/>
      <c r="F83" s="118"/>
      <c r="G83" s="118"/>
      <c r="H83" s="118"/>
      <c r="I83" s="712"/>
      <c r="J83" s="712"/>
      <c r="K83" s="712"/>
      <c r="L83" s="712"/>
      <c r="M83" s="712"/>
      <c r="N83" s="712"/>
      <c r="O83" s="113"/>
      <c r="AP83" s="213"/>
      <c r="AQ83" s="213"/>
      <c r="AR83" s="213"/>
      <c r="AS83" s="271"/>
      <c r="AT83" s="271"/>
      <c r="AU83" s="244"/>
      <c r="AV83" s="244"/>
      <c r="AW83" s="244"/>
      <c r="AX83" s="244"/>
      <c r="AY83" s="244"/>
      <c r="AZ83" s="244"/>
      <c r="BA83" s="244"/>
      <c r="BB83" s="244"/>
      <c r="BC83" s="244"/>
      <c r="BD83" s="244"/>
      <c r="BE83" s="244"/>
      <c r="BF83" s="244"/>
      <c r="BG83" s="244"/>
      <c r="BH83" s="244"/>
      <c r="BI83" s="244"/>
      <c r="BJ83" s="244"/>
      <c r="BK83" s="244"/>
      <c r="BL83" s="244"/>
      <c r="BM83" s="244"/>
      <c r="BN83" s="244"/>
      <c r="BO83" s="244"/>
      <c r="BP83" s="244"/>
      <c r="BQ83" s="244"/>
      <c r="BR83" s="244"/>
      <c r="BS83" s="244"/>
      <c r="BT83" s="244"/>
      <c r="BU83" s="244"/>
      <c r="BV83" s="244"/>
      <c r="BW83" s="244"/>
      <c r="BX83" s="244"/>
      <c r="BY83" s="244"/>
      <c r="BZ83" s="244"/>
      <c r="CA83" s="244"/>
      <c r="CB83" s="244"/>
      <c r="CC83" s="244"/>
      <c r="CD83" s="244"/>
      <c r="CE83" s="244"/>
      <c r="CF83" s="244"/>
    </row>
    <row r="84" ht="0" hidden="1" customHeight="1">
      <c r="C84" s="114"/>
      <c r="D84" s="118"/>
      <c r="E84" s="118"/>
      <c r="F84" s="118"/>
      <c r="G84" s="118"/>
      <c r="H84" s="118"/>
      <c r="I84" s="712"/>
      <c r="J84" s="712"/>
      <c r="K84" s="712"/>
      <c r="L84" s="712"/>
      <c r="M84" s="712"/>
      <c r="N84" s="712"/>
      <c r="O84" s="113"/>
      <c r="AP84" s="213"/>
      <c r="AQ84" s="213"/>
      <c r="AR84" s="213"/>
      <c r="AS84" s="271"/>
      <c r="AT84" s="271"/>
      <c r="AU84" s="244"/>
      <c r="AV84" s="244"/>
      <c r="AW84" s="244"/>
      <c r="AX84" s="244"/>
      <c r="AY84" s="244"/>
      <c r="AZ84" s="244"/>
      <c r="BA84" s="244"/>
      <c r="BB84" s="244"/>
      <c r="BC84" s="244"/>
      <c r="BD84" s="244"/>
      <c r="BE84" s="244"/>
      <c r="BF84" s="244"/>
      <c r="BG84" s="244"/>
      <c r="BH84" s="244"/>
      <c r="BI84" s="244"/>
      <c r="BJ84" s="244"/>
      <c r="BK84" s="244"/>
      <c r="BL84" s="244"/>
      <c r="BM84" s="244"/>
      <c r="BN84" s="244"/>
      <c r="BO84" s="244"/>
      <c r="BP84" s="244"/>
      <c r="BQ84" s="244"/>
      <c r="BR84" s="244"/>
      <c r="BS84" s="244"/>
      <c r="BT84" s="244"/>
      <c r="BU84" s="244"/>
      <c r="BV84" s="244"/>
      <c r="BW84" s="244"/>
      <c r="BX84" s="244"/>
      <c r="BY84" s="244"/>
      <c r="BZ84" s="244"/>
      <c r="CA84" s="244"/>
      <c r="CB84" s="244"/>
      <c r="CC84" s="244"/>
      <c r="CD84" s="244"/>
      <c r="CE84" s="244"/>
      <c r="CF84" s="244"/>
    </row>
    <row r="85" ht="0" hidden="1" customHeight="1">
      <c r="C85" s="114"/>
      <c r="D85" s="118"/>
      <c r="E85" s="118"/>
      <c r="F85" s="118"/>
      <c r="G85" s="118"/>
      <c r="H85" s="118"/>
      <c r="I85" s="712"/>
      <c r="J85" s="712"/>
      <c r="K85" s="712"/>
      <c r="L85" s="712"/>
      <c r="M85" s="712"/>
      <c r="N85" s="712"/>
      <c r="O85" s="113"/>
      <c r="AP85" s="213"/>
      <c r="AQ85" s="213"/>
      <c r="AR85" s="213"/>
      <c r="AS85" s="271"/>
      <c r="AT85" s="271"/>
      <c r="AU85" s="244"/>
      <c r="AV85" s="244"/>
      <c r="AW85" s="244"/>
      <c r="AX85" s="244"/>
      <c r="AY85" s="244"/>
      <c r="AZ85" s="244"/>
      <c r="BA85" s="244"/>
      <c r="BB85" s="244"/>
      <c r="BC85" s="244"/>
      <c r="BD85" s="244"/>
      <c r="BE85" s="244"/>
      <c r="BF85" s="244"/>
      <c r="BG85" s="244"/>
      <c r="BH85" s="244"/>
      <c r="BI85" s="244"/>
      <c r="BJ85" s="244"/>
      <c r="BK85" s="244"/>
      <c r="BL85" s="244"/>
      <c r="BM85" s="244"/>
      <c r="BN85" s="244"/>
      <c r="BO85" s="244"/>
      <c r="BP85" s="244"/>
      <c r="BQ85" s="244"/>
      <c r="BR85" s="244"/>
      <c r="BS85" s="244"/>
      <c r="BT85" s="244"/>
      <c r="BU85" s="244"/>
      <c r="BV85" s="244"/>
      <c r="BW85" s="244"/>
      <c r="BX85" s="244"/>
      <c r="BY85" s="244"/>
      <c r="BZ85" s="244"/>
      <c r="CA85" s="244"/>
      <c r="CB85" s="244"/>
      <c r="CC85" s="244"/>
      <c r="CD85" s="244"/>
      <c r="CE85" s="244"/>
      <c r="CF85" s="244"/>
    </row>
    <row r="86" ht="0" hidden="1" customHeight="1">
      <c r="C86" s="114"/>
      <c r="D86" s="118"/>
      <c r="E86" s="118"/>
      <c r="F86" s="118"/>
      <c r="G86" s="118"/>
      <c r="H86" s="118"/>
      <c r="I86" s="712"/>
      <c r="J86" s="712"/>
      <c r="K86" s="712"/>
      <c r="L86" s="712"/>
      <c r="M86" s="712"/>
      <c r="N86" s="712"/>
      <c r="O86" s="113"/>
      <c r="AP86" s="213"/>
      <c r="AQ86" s="213"/>
      <c r="AR86" s="213"/>
      <c r="AS86" s="271"/>
      <c r="AT86" s="271"/>
      <c r="AU86" s="244"/>
      <c r="AV86" s="244"/>
      <c r="AW86" s="244"/>
      <c r="AX86" s="244"/>
      <c r="AY86" s="244"/>
      <c r="AZ86" s="244"/>
      <c r="BA86" s="244"/>
      <c r="BB86" s="244"/>
      <c r="BC86" s="244"/>
      <c r="BD86" s="244"/>
      <c r="BE86" s="244"/>
      <c r="BF86" s="244"/>
      <c r="BG86" s="244"/>
      <c r="BH86" s="244"/>
      <c r="BI86" s="244"/>
      <c r="BJ86" s="244"/>
      <c r="BK86" s="244"/>
      <c r="BL86" s="244"/>
      <c r="BM86" s="244"/>
      <c r="BN86" s="244"/>
      <c r="BO86" s="244"/>
      <c r="BP86" s="244"/>
      <c r="BQ86" s="244"/>
      <c r="BR86" s="244"/>
      <c r="BS86" s="244"/>
      <c r="BT86" s="244"/>
      <c r="BU86" s="244"/>
      <c r="BV86" s="244"/>
      <c r="BW86" s="244"/>
      <c r="BX86" s="244"/>
      <c r="BY86" s="244"/>
      <c r="BZ86" s="244"/>
      <c r="CA86" s="244"/>
      <c r="CB86" s="244"/>
      <c r="CC86" s="244"/>
      <c r="CD86" s="244"/>
      <c r="CE86" s="244"/>
      <c r="CF86" s="244"/>
    </row>
    <row r="87" ht="0" hidden="1" customHeight="1">
      <c r="C87" s="114"/>
      <c r="D87" s="118"/>
      <c r="E87" s="118"/>
      <c r="F87" s="118"/>
      <c r="G87" s="118"/>
      <c r="H87" s="118"/>
      <c r="I87" s="712"/>
      <c r="J87" s="712"/>
      <c r="K87" s="712"/>
      <c r="L87" s="712"/>
      <c r="M87" s="712"/>
      <c r="N87" s="712"/>
      <c r="O87" s="113"/>
      <c r="AP87" s="213"/>
      <c r="AQ87" s="213"/>
      <c r="AR87" s="213"/>
      <c r="AS87" s="271"/>
      <c r="AT87" s="271"/>
      <c r="AU87" s="244"/>
      <c r="AV87" s="244"/>
      <c r="AW87" s="244"/>
      <c r="AX87" s="244"/>
      <c r="AY87" s="244"/>
      <c r="AZ87" s="244"/>
      <c r="BA87" s="244"/>
      <c r="BB87" s="244"/>
      <c r="BC87" s="244"/>
      <c r="BD87" s="244"/>
      <c r="BE87" s="244"/>
      <c r="BF87" s="244"/>
      <c r="BG87" s="244"/>
      <c r="BH87" s="244"/>
      <c r="BI87" s="244"/>
      <c r="BJ87" s="244"/>
      <c r="BK87" s="244"/>
      <c r="BL87" s="244"/>
      <c r="BM87" s="244"/>
      <c r="BN87" s="244"/>
      <c r="BO87" s="244"/>
      <c r="BP87" s="244"/>
      <c r="BQ87" s="244"/>
      <c r="BR87" s="244"/>
      <c r="BS87" s="244"/>
      <c r="BT87" s="244"/>
      <c r="BU87" s="244"/>
      <c r="BV87" s="244"/>
      <c r="BW87" s="244"/>
      <c r="BX87" s="244"/>
      <c r="BY87" s="244"/>
      <c r="BZ87" s="244"/>
      <c r="CA87" s="244"/>
      <c r="CB87" s="244"/>
      <c r="CC87" s="244"/>
      <c r="CD87" s="244"/>
      <c r="CE87" s="244"/>
      <c r="CF87" s="244"/>
    </row>
    <row r="88" ht="0" hidden="1" customHeight="1">
      <c r="C88" s="114"/>
      <c r="D88" s="118"/>
      <c r="E88" s="118"/>
      <c r="F88" s="118"/>
      <c r="G88" s="118"/>
      <c r="H88" s="118"/>
      <c r="I88" s="712"/>
      <c r="J88" s="712"/>
      <c r="K88" s="712"/>
      <c r="L88" s="712"/>
      <c r="M88" s="712"/>
      <c r="N88" s="712"/>
      <c r="O88" s="113"/>
      <c r="AP88" s="213"/>
      <c r="AQ88" s="213"/>
      <c r="AR88" s="213"/>
      <c r="AS88" s="271"/>
      <c r="AT88" s="271"/>
      <c r="AU88" s="244"/>
      <c r="AV88" s="244"/>
      <c r="AW88" s="244"/>
      <c r="AX88" s="244"/>
      <c r="AY88" s="244"/>
      <c r="AZ88" s="244"/>
      <c r="BA88" s="244"/>
      <c r="BB88" s="244"/>
      <c r="BC88" s="244"/>
      <c r="BD88" s="244"/>
      <c r="BE88" s="244"/>
      <c r="BF88" s="244"/>
      <c r="BG88" s="244"/>
      <c r="BH88" s="244"/>
      <c r="BI88" s="244"/>
      <c r="BJ88" s="244"/>
      <c r="BK88" s="244"/>
      <c r="BL88" s="244"/>
      <c r="BM88" s="244"/>
      <c r="BN88" s="244"/>
      <c r="BO88" s="244"/>
      <c r="BP88" s="244"/>
      <c r="BQ88" s="244"/>
      <c r="BR88" s="244"/>
      <c r="BS88" s="244"/>
      <c r="BT88" s="244"/>
      <c r="BU88" s="244"/>
      <c r="BV88" s="244"/>
      <c r="BW88" s="244"/>
      <c r="BX88" s="244"/>
      <c r="BY88" s="244"/>
      <c r="BZ88" s="244"/>
      <c r="CA88" s="244"/>
      <c r="CB88" s="244"/>
      <c r="CC88" s="244"/>
      <c r="CD88" s="244"/>
      <c r="CE88" s="244"/>
      <c r="CF88" s="244"/>
    </row>
    <row r="89" ht="0" hidden="1" customHeight="1">
      <c r="C89" s="114"/>
      <c r="D89" s="118"/>
      <c r="E89" s="118"/>
      <c r="F89" s="118"/>
      <c r="G89" s="118"/>
      <c r="H89" s="118"/>
      <c r="I89" s="712"/>
      <c r="J89" s="712"/>
      <c r="K89" s="712"/>
      <c r="L89" s="712"/>
      <c r="M89" s="712"/>
      <c r="N89" s="712"/>
      <c r="O89" s="113"/>
      <c r="AP89" s="213"/>
      <c r="AQ89" s="213"/>
      <c r="AR89" s="213"/>
      <c r="AS89" s="271"/>
      <c r="AT89" s="271"/>
      <c r="AU89" s="244"/>
      <c r="AV89" s="244"/>
      <c r="AW89" s="244"/>
      <c r="AX89" s="244"/>
      <c r="AY89" s="244"/>
      <c r="AZ89" s="244"/>
      <c r="BA89" s="244"/>
      <c r="BB89" s="244"/>
      <c r="BC89" s="244"/>
      <c r="BD89" s="244"/>
      <c r="BE89" s="244"/>
      <c r="BF89" s="244"/>
      <c r="BG89" s="244"/>
      <c r="BH89" s="244"/>
      <c r="BI89" s="244"/>
      <c r="BJ89" s="244"/>
      <c r="BK89" s="244"/>
      <c r="BL89" s="244"/>
      <c r="BM89" s="244"/>
      <c r="BN89" s="244"/>
      <c r="BO89" s="244"/>
      <c r="BP89" s="244"/>
      <c r="BQ89" s="244"/>
      <c r="BR89" s="244"/>
      <c r="BS89" s="244"/>
      <c r="BT89" s="244"/>
      <c r="BU89" s="244"/>
      <c r="BV89" s="244"/>
      <c r="BW89" s="244"/>
      <c r="BX89" s="244"/>
      <c r="BY89" s="244"/>
      <c r="BZ89" s="244"/>
      <c r="CA89" s="244"/>
      <c r="CB89" s="244"/>
      <c r="CC89" s="244"/>
      <c r="CD89" s="244"/>
      <c r="CE89" s="244"/>
      <c r="CF89" s="244"/>
    </row>
    <row r="90" ht="0" hidden="1" customHeight="1">
      <c r="C90" s="114"/>
      <c r="D90" s="118"/>
      <c r="E90" s="118"/>
      <c r="F90" s="118"/>
      <c r="G90" s="118"/>
      <c r="H90" s="118"/>
      <c r="I90" s="712"/>
      <c r="J90" s="712"/>
      <c r="K90" s="712"/>
      <c r="L90" s="712"/>
      <c r="M90" s="712"/>
      <c r="N90" s="712"/>
      <c r="O90" s="113"/>
      <c r="AP90" s="213"/>
      <c r="AQ90" s="213"/>
      <c r="AR90" s="213"/>
      <c r="AS90" s="271"/>
      <c r="AT90" s="271"/>
      <c r="AU90" s="244"/>
      <c r="AV90" s="244"/>
      <c r="AW90" s="244"/>
      <c r="AX90" s="244"/>
      <c r="AY90" s="244"/>
      <c r="AZ90" s="244"/>
      <c r="BA90" s="244"/>
      <c r="BB90" s="244"/>
      <c r="BC90" s="244"/>
      <c r="BD90" s="244"/>
      <c r="BE90" s="244"/>
      <c r="BF90" s="244"/>
      <c r="BG90" s="244"/>
      <c r="BH90" s="244"/>
      <c r="BI90" s="244"/>
      <c r="BJ90" s="244"/>
      <c r="BK90" s="244"/>
      <c r="BL90" s="244"/>
      <c r="BM90" s="244"/>
      <c r="BN90" s="244"/>
      <c r="BO90" s="244"/>
      <c r="BP90" s="244"/>
      <c r="BQ90" s="244"/>
      <c r="BR90" s="244"/>
      <c r="BS90" s="244"/>
      <c r="BT90" s="244"/>
      <c r="BU90" s="244"/>
      <c r="BV90" s="244"/>
      <c r="BW90" s="244"/>
      <c r="BX90" s="244"/>
      <c r="BY90" s="244"/>
      <c r="BZ90" s="244"/>
      <c r="CA90" s="244"/>
      <c r="CB90" s="244"/>
      <c r="CC90" s="244"/>
      <c r="CD90" s="244"/>
      <c r="CE90" s="244"/>
      <c r="CF90" s="244"/>
    </row>
    <row r="91" ht="0" hidden="1" customHeight="1">
      <c r="C91" s="114"/>
      <c r="D91" s="118"/>
      <c r="E91" s="118"/>
      <c r="F91" s="118"/>
      <c r="G91" s="118"/>
      <c r="H91" s="118"/>
      <c r="I91" s="712"/>
      <c r="J91" s="712"/>
      <c r="K91" s="712"/>
      <c r="L91" s="712"/>
      <c r="M91" s="712"/>
      <c r="N91" s="712"/>
      <c r="O91" s="113"/>
      <c r="AP91" s="213"/>
      <c r="AQ91" s="213"/>
      <c r="AR91" s="213"/>
      <c r="AS91" s="271"/>
      <c r="AT91" s="271"/>
      <c r="AU91" s="244"/>
      <c r="AV91" s="244"/>
      <c r="AW91" s="244"/>
      <c r="AX91" s="244"/>
      <c r="AY91" s="244"/>
      <c r="AZ91" s="244"/>
      <c r="BA91" s="244"/>
      <c r="BB91" s="244"/>
      <c r="BC91" s="244"/>
      <c r="BD91" s="244"/>
      <c r="BE91" s="244"/>
      <c r="BF91" s="244"/>
      <c r="BG91" s="244"/>
      <c r="BH91" s="244"/>
      <c r="BI91" s="244"/>
      <c r="BJ91" s="244"/>
      <c r="BK91" s="244"/>
      <c r="BL91" s="244"/>
      <c r="BM91" s="244"/>
      <c r="BN91" s="244"/>
      <c r="BO91" s="244"/>
      <c r="BP91" s="244"/>
      <c r="BQ91" s="244"/>
      <c r="BR91" s="244"/>
      <c r="BS91" s="244"/>
      <c r="BT91" s="244"/>
      <c r="BU91" s="244"/>
      <c r="BV91" s="244"/>
      <c r="BW91" s="244"/>
      <c r="BX91" s="244"/>
      <c r="BY91" s="244"/>
      <c r="BZ91" s="244"/>
      <c r="CA91" s="244"/>
      <c r="CB91" s="244"/>
      <c r="CC91" s="244"/>
      <c r="CD91" s="244"/>
      <c r="CE91" s="244"/>
      <c r="CF91" s="244"/>
    </row>
    <row r="92" ht="0" hidden="1" customHeight="1">
      <c r="C92" s="114"/>
      <c r="D92" s="118"/>
      <c r="E92" s="118"/>
      <c r="F92" s="118"/>
      <c r="G92" s="118"/>
      <c r="H92" s="118"/>
      <c r="I92" s="712"/>
      <c r="J92" s="712"/>
      <c r="K92" s="712"/>
      <c r="L92" s="712"/>
      <c r="M92" s="712"/>
      <c r="N92" s="712"/>
      <c r="O92" s="113"/>
      <c r="AP92" s="213"/>
      <c r="AQ92" s="213"/>
      <c r="AR92" s="213"/>
      <c r="AS92" s="271"/>
      <c r="AT92" s="271"/>
      <c r="AU92" s="244"/>
      <c r="AV92" s="244"/>
      <c r="AW92" s="244"/>
      <c r="AX92" s="244"/>
      <c r="AY92" s="244"/>
      <c r="AZ92" s="244"/>
      <c r="BA92" s="244"/>
      <c r="BB92" s="244"/>
      <c r="BC92" s="244"/>
      <c r="BD92" s="244"/>
      <c r="BE92" s="244"/>
      <c r="BF92" s="244"/>
      <c r="BG92" s="244"/>
      <c r="BH92" s="244"/>
      <c r="BI92" s="244"/>
      <c r="BJ92" s="244"/>
      <c r="BK92" s="244"/>
      <c r="BL92" s="244"/>
      <c r="BM92" s="244"/>
      <c r="BN92" s="244"/>
      <c r="BO92" s="244"/>
      <c r="BP92" s="244"/>
      <c r="BQ92" s="244"/>
      <c r="BR92" s="244"/>
      <c r="BS92" s="244"/>
      <c r="BT92" s="244"/>
      <c r="BU92" s="244"/>
      <c r="BV92" s="244"/>
      <c r="BW92" s="244"/>
      <c r="BX92" s="244"/>
      <c r="BY92" s="244"/>
      <c r="BZ92" s="244"/>
      <c r="CA92" s="244"/>
      <c r="CB92" s="244"/>
      <c r="CC92" s="244"/>
      <c r="CD92" s="244"/>
      <c r="CE92" s="244"/>
      <c r="CF92" s="244"/>
    </row>
    <row r="93" ht="0" hidden="1" customHeight="1">
      <c r="C93" s="114"/>
      <c r="D93" s="118"/>
      <c r="E93" s="118"/>
      <c r="F93" s="118"/>
      <c r="G93" s="118"/>
      <c r="H93" s="118"/>
      <c r="I93" s="712"/>
      <c r="J93" s="712"/>
      <c r="K93" s="712"/>
      <c r="L93" s="712"/>
      <c r="M93" s="712"/>
      <c r="N93" s="712"/>
      <c r="O93" s="113"/>
      <c r="AP93" s="213"/>
      <c r="AQ93" s="213"/>
      <c r="AR93" s="213"/>
      <c r="AS93" s="271"/>
      <c r="AT93" s="271"/>
      <c r="AU93" s="244"/>
      <c r="AV93" s="244"/>
      <c r="AW93" s="244"/>
      <c r="AX93" s="244"/>
      <c r="AY93" s="244"/>
      <c r="AZ93" s="244"/>
      <c r="BA93" s="244"/>
      <c r="BB93" s="244"/>
      <c r="BC93" s="244"/>
      <c r="BD93" s="244"/>
      <c r="BE93" s="244"/>
      <c r="BF93" s="244"/>
      <c r="BG93" s="244"/>
      <c r="BH93" s="244"/>
      <c r="BI93" s="244"/>
      <c r="BJ93" s="244"/>
      <c r="BK93" s="244"/>
      <c r="BL93" s="244"/>
      <c r="BM93" s="244"/>
      <c r="BN93" s="244"/>
      <c r="BO93" s="244"/>
      <c r="BP93" s="244"/>
      <c r="BQ93" s="244"/>
      <c r="BR93" s="244"/>
      <c r="BS93" s="244"/>
      <c r="BT93" s="244"/>
      <c r="BU93" s="244"/>
      <c r="BV93" s="244"/>
      <c r="BW93" s="244"/>
      <c r="BX93" s="244"/>
      <c r="BY93" s="244"/>
      <c r="BZ93" s="244"/>
      <c r="CA93" s="244"/>
      <c r="CB93" s="244"/>
      <c r="CC93" s="244"/>
      <c r="CD93" s="244"/>
      <c r="CE93" s="244"/>
      <c r="CF93" s="244"/>
    </row>
    <row r="94" ht="0" hidden="1" customHeight="1">
      <c r="C94" s="114"/>
      <c r="D94" s="118"/>
      <c r="E94" s="118"/>
      <c r="F94" s="118"/>
      <c r="G94" s="118"/>
      <c r="H94" s="118"/>
      <c r="I94" s="712"/>
      <c r="J94" s="712"/>
      <c r="K94" s="712"/>
      <c r="L94" s="712"/>
      <c r="M94" s="712"/>
      <c r="N94" s="712"/>
      <c r="O94" s="113"/>
      <c r="AP94" s="213"/>
      <c r="AQ94" s="213"/>
      <c r="AR94" s="213"/>
      <c r="AS94" s="271"/>
      <c r="AT94" s="271"/>
      <c r="AU94" s="244"/>
      <c r="AV94" s="244"/>
      <c r="AW94" s="244"/>
      <c r="AX94" s="244"/>
      <c r="AY94" s="244"/>
      <c r="AZ94" s="244"/>
      <c r="BA94" s="244"/>
      <c r="BB94" s="244"/>
      <c r="BC94" s="244"/>
      <c r="BD94" s="244"/>
      <c r="BE94" s="244"/>
      <c r="BF94" s="244"/>
      <c r="BG94" s="244"/>
      <c r="BH94" s="244"/>
      <c r="BI94" s="244"/>
      <c r="BJ94" s="244"/>
      <c r="BK94" s="244"/>
      <c r="BL94" s="244"/>
      <c r="BM94" s="244"/>
      <c r="BN94" s="244"/>
      <c r="BO94" s="244"/>
      <c r="BP94" s="244"/>
      <c r="BQ94" s="244"/>
      <c r="BR94" s="244"/>
      <c r="BS94" s="244"/>
      <c r="BT94" s="244"/>
      <c r="BU94" s="244"/>
      <c r="BV94" s="244"/>
      <c r="BW94" s="244"/>
      <c r="BX94" s="244"/>
      <c r="BY94" s="244"/>
      <c r="BZ94" s="244"/>
      <c r="CA94" s="244"/>
      <c r="CB94" s="244"/>
      <c r="CC94" s="244"/>
      <c r="CD94" s="244"/>
      <c r="CE94" s="244"/>
      <c r="CF94" s="244"/>
    </row>
    <row r="95" ht="0" hidden="1" customHeight="1">
      <c r="C95" s="114"/>
      <c r="D95" s="118"/>
      <c r="E95" s="118"/>
      <c r="F95" s="118"/>
      <c r="G95" s="118"/>
      <c r="H95" s="118"/>
      <c r="I95" s="712"/>
      <c r="J95" s="712"/>
      <c r="K95" s="712"/>
      <c r="L95" s="712"/>
      <c r="M95" s="712"/>
      <c r="N95" s="712"/>
      <c r="O95" s="113"/>
      <c r="AP95" s="213"/>
      <c r="AQ95" s="213"/>
      <c r="AR95" s="213"/>
      <c r="AS95" s="271"/>
      <c r="AT95" s="271"/>
      <c r="AU95" s="244"/>
      <c r="AV95" s="244"/>
      <c r="AW95" s="244"/>
      <c r="AX95" s="244"/>
      <c r="AY95" s="244"/>
      <c r="AZ95" s="244"/>
      <c r="BA95" s="244"/>
      <c r="BB95" s="244"/>
      <c r="BC95" s="244"/>
      <c r="BD95" s="244"/>
      <c r="BE95" s="244"/>
      <c r="BF95" s="244"/>
      <c r="BG95" s="244"/>
      <c r="BH95" s="244"/>
      <c r="BI95" s="244"/>
      <c r="BJ95" s="244"/>
      <c r="BK95" s="244"/>
      <c r="BL95" s="244"/>
      <c r="BM95" s="244"/>
      <c r="BN95" s="244"/>
      <c r="BO95" s="244"/>
      <c r="BP95" s="244"/>
      <c r="BQ95" s="244"/>
      <c r="BR95" s="244"/>
      <c r="BS95" s="244"/>
      <c r="BT95" s="244"/>
      <c r="BU95" s="244"/>
      <c r="BV95" s="244"/>
      <c r="BW95" s="244"/>
      <c r="BX95" s="244"/>
      <c r="BY95" s="244"/>
      <c r="BZ95" s="244"/>
      <c r="CA95" s="244"/>
      <c r="CB95" s="244"/>
      <c r="CC95" s="244"/>
      <c r="CD95" s="244"/>
      <c r="CE95" s="244"/>
      <c r="CF95" s="244"/>
    </row>
    <row r="96" ht="0" hidden="1" customHeight="1">
      <c r="C96" s="114"/>
      <c r="D96" s="118"/>
      <c r="E96" s="118"/>
      <c r="F96" s="118"/>
      <c r="G96" s="118"/>
      <c r="H96" s="118"/>
      <c r="I96" s="712"/>
      <c r="J96" s="712"/>
      <c r="K96" s="712"/>
      <c r="L96" s="712"/>
      <c r="M96" s="712"/>
      <c r="N96" s="712"/>
      <c r="O96" s="113"/>
      <c r="AP96" s="213"/>
      <c r="AQ96" s="213"/>
      <c r="AR96" s="213"/>
      <c r="AS96" s="271"/>
      <c r="AT96" s="271"/>
      <c r="AU96" s="244"/>
      <c r="AV96" s="244"/>
      <c r="AW96" s="244"/>
      <c r="AX96" s="244"/>
      <c r="AY96" s="244"/>
      <c r="AZ96" s="244"/>
      <c r="BA96" s="244"/>
      <c r="BB96" s="244"/>
      <c r="BC96" s="244"/>
      <c r="BD96" s="244"/>
      <c r="BE96" s="244"/>
      <c r="BF96" s="244"/>
      <c r="BG96" s="244"/>
      <c r="BH96" s="244"/>
      <c r="BI96" s="244"/>
      <c r="BJ96" s="244"/>
      <c r="BK96" s="244"/>
      <c r="BL96" s="244"/>
      <c r="BM96" s="244"/>
      <c r="BN96" s="244"/>
      <c r="BO96" s="244"/>
      <c r="BP96" s="244"/>
      <c r="BQ96" s="244"/>
      <c r="BR96" s="244"/>
      <c r="BS96" s="244"/>
      <c r="BT96" s="244"/>
      <c r="BU96" s="244"/>
      <c r="BV96" s="244"/>
      <c r="BW96" s="244"/>
      <c r="BX96" s="244"/>
      <c r="BY96" s="244"/>
      <c r="BZ96" s="244"/>
      <c r="CA96" s="244"/>
      <c r="CB96" s="244"/>
      <c r="CC96" s="244"/>
      <c r="CD96" s="244"/>
      <c r="CE96" s="244"/>
      <c r="CF96" s="244"/>
    </row>
    <row r="97" ht="0" hidden="1" customHeight="1">
      <c r="C97" s="114"/>
      <c r="D97" s="118"/>
      <c r="E97" s="118"/>
      <c r="F97" s="118"/>
      <c r="G97" s="118"/>
      <c r="H97" s="118"/>
      <c r="I97" s="712"/>
      <c r="J97" s="712"/>
      <c r="K97" s="712"/>
      <c r="L97" s="712"/>
      <c r="M97" s="712"/>
      <c r="N97" s="712"/>
      <c r="O97" s="113"/>
      <c r="AP97" s="213"/>
      <c r="AQ97" s="213"/>
      <c r="AR97" s="213"/>
      <c r="AS97" s="271"/>
      <c r="AT97" s="271"/>
      <c r="AU97" s="244"/>
      <c r="AV97" s="244"/>
      <c r="AW97" s="244"/>
      <c r="AX97" s="244"/>
      <c r="AY97" s="244"/>
      <c r="AZ97" s="244"/>
      <c r="BA97" s="244"/>
      <c r="BB97" s="244"/>
      <c r="BC97" s="244"/>
      <c r="BD97" s="244"/>
      <c r="BE97" s="244"/>
      <c r="BF97" s="244"/>
      <c r="BG97" s="244"/>
      <c r="BH97" s="244"/>
      <c r="BI97" s="244"/>
      <c r="BJ97" s="244"/>
      <c r="BK97" s="244"/>
      <c r="BL97" s="244"/>
      <c r="BM97" s="244"/>
      <c r="BN97" s="244"/>
      <c r="BO97" s="244"/>
      <c r="BP97" s="244"/>
      <c r="BQ97" s="244"/>
      <c r="BR97" s="244"/>
      <c r="BS97" s="244"/>
      <c r="BT97" s="244"/>
      <c r="BU97" s="244"/>
      <c r="BV97" s="244"/>
      <c r="BW97" s="244"/>
      <c r="BX97" s="244"/>
      <c r="BY97" s="244"/>
      <c r="BZ97" s="244"/>
      <c r="CA97" s="244"/>
      <c r="CB97" s="244"/>
      <c r="CC97" s="244"/>
      <c r="CD97" s="244"/>
      <c r="CE97" s="244"/>
      <c r="CF97" s="244"/>
    </row>
    <row r="98" ht="0" hidden="1" customHeight="1">
      <c r="C98" s="114"/>
      <c r="D98" s="118"/>
      <c r="E98" s="118"/>
      <c r="F98" s="118"/>
      <c r="G98" s="118"/>
      <c r="H98" s="118"/>
      <c r="I98" s="712"/>
      <c r="J98" s="712"/>
      <c r="K98" s="712"/>
      <c r="L98" s="712"/>
      <c r="M98" s="712"/>
      <c r="N98" s="712"/>
      <c r="O98" s="113"/>
      <c r="AP98" s="213"/>
      <c r="AQ98" s="213"/>
      <c r="AR98" s="213"/>
      <c r="AS98" s="271"/>
      <c r="AT98" s="271"/>
      <c r="AU98" s="244"/>
      <c r="AV98" s="244"/>
      <c r="AW98" s="244"/>
      <c r="AX98" s="244"/>
      <c r="AY98" s="244"/>
      <c r="AZ98" s="244"/>
      <c r="BA98" s="244"/>
      <c r="BB98" s="244"/>
      <c r="BC98" s="244"/>
      <c r="BD98" s="244"/>
      <c r="BE98" s="244"/>
      <c r="BF98" s="244"/>
      <c r="BG98" s="244"/>
      <c r="BH98" s="244"/>
      <c r="BI98" s="244"/>
      <c r="BJ98" s="244"/>
      <c r="BK98" s="244"/>
      <c r="BL98" s="244"/>
      <c r="BM98" s="244"/>
      <c r="BN98" s="244"/>
      <c r="BO98" s="244"/>
      <c r="BP98" s="244"/>
      <c r="BQ98" s="244"/>
      <c r="BR98" s="244"/>
      <c r="BS98" s="244"/>
      <c r="BT98" s="244"/>
      <c r="BU98" s="244"/>
      <c r="BV98" s="244"/>
      <c r="BW98" s="244"/>
      <c r="BX98" s="244"/>
      <c r="BY98" s="244"/>
      <c r="BZ98" s="244"/>
      <c r="CA98" s="244"/>
      <c r="CB98" s="244"/>
      <c r="CC98" s="244"/>
      <c r="CD98" s="244"/>
      <c r="CE98" s="244"/>
      <c r="CF98" s="244"/>
    </row>
    <row r="99" ht="0" hidden="1" customHeight="1">
      <c r="C99" s="114"/>
      <c r="D99" s="118"/>
      <c r="E99" s="118"/>
      <c r="F99" s="118"/>
      <c r="G99" s="118"/>
      <c r="H99" s="118"/>
      <c r="I99" s="712"/>
      <c r="J99" s="712"/>
      <c r="K99" s="712"/>
      <c r="L99" s="712"/>
      <c r="M99" s="712"/>
      <c r="N99" s="712"/>
      <c r="O99" s="113"/>
      <c r="AP99" s="213"/>
      <c r="AQ99" s="213"/>
      <c r="AR99" s="213"/>
      <c r="AS99" s="271"/>
      <c r="AT99" s="271"/>
      <c r="AU99" s="244"/>
      <c r="AV99" s="244"/>
      <c r="AW99" s="244"/>
      <c r="AX99" s="244"/>
      <c r="AY99" s="244"/>
      <c r="AZ99" s="244"/>
      <c r="BA99" s="244"/>
      <c r="BB99" s="244"/>
      <c r="BC99" s="244"/>
      <c r="BD99" s="244"/>
      <c r="BE99" s="244"/>
      <c r="BF99" s="244"/>
      <c r="BG99" s="244"/>
      <c r="BH99" s="244"/>
      <c r="BI99" s="244"/>
      <c r="BJ99" s="244"/>
      <c r="BK99" s="244"/>
      <c r="BL99" s="244"/>
      <c r="BM99" s="244"/>
      <c r="BN99" s="244"/>
      <c r="BO99" s="244"/>
      <c r="BP99" s="244"/>
      <c r="BQ99" s="244"/>
      <c r="BR99" s="244"/>
      <c r="BS99" s="244"/>
      <c r="BT99" s="244"/>
      <c r="BU99" s="244"/>
      <c r="BV99" s="244"/>
      <c r="BW99" s="244"/>
      <c r="BX99" s="244"/>
      <c r="BY99" s="244"/>
      <c r="BZ99" s="244"/>
      <c r="CA99" s="244"/>
      <c r="CB99" s="244"/>
      <c r="CC99" s="244"/>
      <c r="CD99" s="244"/>
      <c r="CE99" s="244"/>
      <c r="CF99" s="244"/>
    </row>
    <row r="100" ht="0" hidden="1" customHeight="1">
      <c r="C100" s="114"/>
      <c r="D100" s="118"/>
      <c r="E100" s="118"/>
      <c r="F100" s="118"/>
      <c r="G100" s="118"/>
      <c r="H100" s="118"/>
      <c r="I100" s="712"/>
      <c r="J100" s="712"/>
      <c r="K100" s="712"/>
      <c r="L100" s="712"/>
      <c r="M100" s="712"/>
      <c r="N100" s="712"/>
      <c r="O100" s="113"/>
      <c r="AP100" s="213"/>
      <c r="AQ100" s="213"/>
      <c r="AR100" s="213"/>
      <c r="AS100" s="271"/>
      <c r="AT100" s="271"/>
      <c r="AU100" s="244"/>
      <c r="AV100" s="244"/>
      <c r="AW100" s="244"/>
      <c r="AX100" s="244"/>
      <c r="AY100" s="244"/>
      <c r="AZ100" s="244"/>
      <c r="BA100" s="244"/>
      <c r="BB100" s="244"/>
      <c r="BC100" s="244"/>
      <c r="BD100" s="244"/>
      <c r="BE100" s="244"/>
      <c r="BF100" s="244"/>
      <c r="BG100" s="244"/>
      <c r="BH100" s="244"/>
      <c r="BI100" s="244"/>
      <c r="BJ100" s="244"/>
      <c r="BK100" s="244"/>
      <c r="BL100" s="244"/>
      <c r="BM100" s="244"/>
      <c r="BN100" s="244"/>
      <c r="BO100" s="244"/>
      <c r="BP100" s="244"/>
      <c r="BQ100" s="244"/>
      <c r="BR100" s="244"/>
      <c r="BS100" s="244"/>
      <c r="BT100" s="244"/>
      <c r="BU100" s="244"/>
      <c r="BV100" s="244"/>
      <c r="BW100" s="244"/>
      <c r="BX100" s="244"/>
      <c r="BY100" s="244"/>
      <c r="BZ100" s="244"/>
      <c r="CA100" s="244"/>
      <c r="CB100" s="244"/>
      <c r="CC100" s="244"/>
      <c r="CD100" s="244"/>
      <c r="CE100" s="244"/>
      <c r="CF100" s="244"/>
    </row>
    <row r="101" ht="0" hidden="1" customHeight="1">
      <c r="C101" s="114"/>
      <c r="D101" s="118"/>
      <c r="E101" s="118"/>
      <c r="F101" s="118"/>
      <c r="G101" s="118"/>
      <c r="H101" s="118"/>
      <c r="I101" s="118"/>
      <c r="J101" s="118"/>
      <c r="K101" s="118"/>
      <c r="L101" s="118"/>
      <c r="M101" s="118"/>
      <c r="N101" s="118"/>
      <c r="O101" s="113"/>
      <c r="AS101" s="244"/>
      <c r="AT101" s="244"/>
      <c r="AU101" s="244"/>
      <c r="AV101" s="244"/>
      <c r="AW101" s="244"/>
      <c r="AX101" s="244"/>
      <c r="AY101" s="244"/>
      <c r="AZ101" s="244"/>
      <c r="BA101" s="244"/>
      <c r="BB101" s="244"/>
      <c r="BC101" s="244"/>
      <c r="BD101" s="244"/>
      <c r="BE101" s="244"/>
      <c r="BF101" s="244"/>
      <c r="BG101" s="244"/>
      <c r="BH101" s="244"/>
      <c r="BI101" s="244"/>
      <c r="BJ101" s="244"/>
      <c r="BK101" s="244"/>
      <c r="BL101" s="244"/>
      <c r="BM101" s="244"/>
      <c r="BN101" s="244"/>
      <c r="BO101" s="244"/>
      <c r="BP101" s="244"/>
      <c r="BQ101" s="244"/>
      <c r="BR101" s="244"/>
      <c r="BS101" s="244"/>
      <c r="BT101" s="244"/>
      <c r="BU101" s="244"/>
      <c r="BV101" s="244"/>
      <c r="BW101" s="244"/>
      <c r="BX101" s="244"/>
      <c r="BY101" s="244"/>
      <c r="BZ101" s="244"/>
      <c r="CA101" s="244"/>
      <c r="CB101" s="244"/>
      <c r="CC101" s="244"/>
      <c r="CD101" s="244"/>
      <c r="CE101" s="244"/>
      <c r="CF101" s="244"/>
    </row>
    <row r="102" ht="18" customHeight="1">
      <c r="E102" s="115"/>
      <c r="F102" s="115"/>
      <c r="G102" s="115"/>
      <c r="Y102" s="121"/>
      <c r="AB102" s="0"/>
      <c r="AC102" s="0"/>
      <c r="AD102" s="0"/>
      <c r="AE102" s="100"/>
      <c r="AI102" s="0"/>
      <c r="AS102" s="244"/>
      <c r="AT102" s="244"/>
      <c r="AU102" s="244"/>
      <c r="AV102" s="244"/>
      <c r="AW102" s="244"/>
      <c r="AX102" s="244"/>
      <c r="AY102" s="244"/>
      <c r="AZ102" s="244"/>
      <c r="BA102" s="244"/>
      <c r="BB102" s="244"/>
      <c r="BC102" s="244"/>
      <c r="BD102" s="244"/>
      <c r="BE102" s="244"/>
      <c r="BF102" s="244"/>
      <c r="BG102" s="244"/>
      <c r="BH102" s="244"/>
      <c r="BI102" s="244"/>
      <c r="BJ102" s="244"/>
      <c r="BK102" s="244"/>
      <c r="BL102" s="244"/>
      <c r="BM102" s="244"/>
      <c r="BN102" s="244"/>
      <c r="BO102" s="244"/>
      <c r="BP102" s="244"/>
      <c r="BQ102" s="244"/>
      <c r="BR102" s="244"/>
      <c r="BS102" s="244"/>
      <c r="BT102" s="244"/>
      <c r="BU102" s="244"/>
      <c r="BV102" s="244"/>
      <c r="BW102" s="244"/>
      <c r="BX102" s="244"/>
      <c r="BY102" s="244"/>
      <c r="BZ102" s="244"/>
      <c r="CA102" s="244"/>
      <c r="CB102" s="244"/>
      <c r="CC102" s="244"/>
      <c r="CD102" s="244"/>
      <c r="CE102" s="244"/>
      <c r="CF102" s="244"/>
    </row>
    <row r="103" ht="39.95" customHeight="1">
      <c r="B103"/>
      <c r="C103" s="713" t="s">
        <v>114</v>
      </c>
      <c r="D103" s="713"/>
      <c r="E103" s="713"/>
      <c r="F103" s="713"/>
      <c r="G103" s="713"/>
      <c r="H103" s="713"/>
      <c r="I103" s="713"/>
      <c r="J103" s="713"/>
      <c r="K103" s="713"/>
      <c r="L103" s="713"/>
      <c r="M103" s="713"/>
      <c r="N103" s="713"/>
      <c r="O103" s="713"/>
      <c r="P103" s="713"/>
      <c r="Q103" s="713"/>
      <c r="R103" s="713"/>
      <c r="S103" s="713"/>
      <c r="T103" s="713"/>
      <c r="U103" s="713"/>
      <c r="V103" s="713"/>
      <c r="W103" s="713"/>
      <c r="X103" s="713"/>
      <c r="Y103" s="713"/>
      <c r="Z103" s="713"/>
      <c r="AA103" s="713"/>
      <c r="AB103" s="713"/>
      <c r="AC103" s="713"/>
      <c r="AD103" s="713"/>
      <c r="AE103" s="713"/>
      <c r="AF103" s="713"/>
      <c r="AG103" s="713"/>
      <c r="AH103" s="713"/>
      <c r="AI103" s="713"/>
      <c r="AJ103" s="713"/>
      <c r="AK103" s="713"/>
      <c r="AL103" s="713"/>
      <c r="AM103" s="713"/>
      <c r="AN103" s="713"/>
      <c r="AO103" s="713"/>
      <c r="AS103" s="244"/>
      <c r="AT103" s="244"/>
      <c r="AU103" s="244"/>
      <c r="AV103" s="244"/>
      <c r="AW103" s="244"/>
      <c r="AX103" s="244"/>
      <c r="AY103" s="244"/>
      <c r="AZ103" s="244"/>
      <c r="BA103" s="244"/>
      <c r="BB103" s="244"/>
      <c r="BC103" s="244"/>
      <c r="BD103" s="244"/>
      <c r="BE103" s="244"/>
      <c r="BF103" s="244"/>
      <c r="BG103" s="244"/>
      <c r="BH103" s="244"/>
      <c r="BI103" s="244"/>
      <c r="BJ103" s="244"/>
      <c r="BK103" s="244"/>
      <c r="BL103" s="244"/>
      <c r="BM103" s="244"/>
      <c r="BN103" s="244"/>
      <c r="BO103" s="244"/>
      <c r="BP103" s="244"/>
      <c r="BQ103" s="244"/>
      <c r="BR103" s="244"/>
      <c r="BS103" s="244"/>
      <c r="BT103" s="244"/>
      <c r="BU103" s="244"/>
      <c r="BV103" s="244"/>
      <c r="BW103" s="244"/>
      <c r="BX103" s="244"/>
      <c r="BY103" s="244"/>
      <c r="BZ103" s="244"/>
      <c r="CA103" s="244"/>
      <c r="CB103" s="244"/>
      <c r="CC103" s="244"/>
      <c r="CD103" s="244"/>
      <c r="CE103" s="244"/>
      <c r="CF103" s="244"/>
    </row>
    <row r="104" s="117" customFormat="1" ht="18" customHeight="1">
      <c r="E104" s="63"/>
      <c r="F104" s="63"/>
      <c r="G104" s="63"/>
      <c r="H104"/>
      <c r="I104"/>
      <c r="J104"/>
      <c r="K104"/>
      <c r="L104"/>
      <c r="M104"/>
      <c r="N104"/>
      <c r="O104"/>
      <c r="P104"/>
      <c r="Q104"/>
      <c r="R104"/>
      <c r="S104"/>
      <c r="T104"/>
      <c r="U104"/>
      <c r="V104"/>
      <c r="W104"/>
      <c r="X104"/>
      <c r="Y104"/>
      <c r="Z104"/>
      <c r="AS104" s="247"/>
      <c r="AT104" s="247"/>
      <c r="AU104" s="247"/>
      <c r="AV104" s="247"/>
      <c r="AW104" s="247"/>
      <c r="AX104" s="247"/>
      <c r="AY104" s="247"/>
      <c r="AZ104" s="247"/>
      <c r="BA104" s="247"/>
      <c r="BB104" s="247"/>
      <c r="BC104" s="247"/>
      <c r="BD104" s="247"/>
      <c r="BE104" s="247"/>
      <c r="BF104" s="247"/>
      <c r="BG104" s="247"/>
      <c r="BH104" s="247"/>
      <c r="BI104" s="247"/>
      <c r="BJ104" s="247"/>
      <c r="BK104" s="247"/>
      <c r="BL104" s="247"/>
      <c r="BM104" s="247"/>
      <c r="BN104" s="247"/>
      <c r="BO104" s="247"/>
      <c r="BP104" s="247"/>
      <c r="BQ104" s="247"/>
      <c r="BR104" s="247"/>
      <c r="BS104" s="247"/>
      <c r="BT104" s="247"/>
      <c r="BU104" s="247"/>
      <c r="BV104" s="247"/>
      <c r="BW104" s="247"/>
      <c r="BX104" s="247"/>
      <c r="BY104" s="247"/>
      <c r="BZ104" s="247"/>
      <c r="CA104" s="247"/>
      <c r="CB104" s="247"/>
      <c r="CC104" s="247"/>
      <c r="CD104" s="247"/>
      <c r="CE104" s="247"/>
      <c r="CF104" s="247"/>
    </row>
    <row r="105" ht="12.75" customHeight="1">
      <c r="A105" s="714"/>
      <c r="B105" s="714"/>
      <c r="C105" s="714"/>
      <c r="D105" s="714"/>
      <c r="E105" s="714"/>
      <c r="F105" s="714"/>
      <c r="G105" s="714"/>
      <c r="H105" s="714"/>
      <c r="I105" s="714"/>
      <c r="J105" s="714"/>
      <c r="K105" s="714"/>
      <c r="L105" s="714"/>
      <c r="M105" s="714"/>
      <c r="N105" s="714"/>
      <c r="O105" s="714"/>
      <c r="P105" s="714"/>
      <c r="Q105" s="714"/>
      <c r="R105" s="714"/>
      <c r="S105" s="714"/>
      <c r="T105" s="714"/>
      <c r="U105" s="714"/>
      <c r="V105" s="714"/>
      <c r="W105" s="714"/>
      <c r="X105" s="714"/>
      <c r="Y105" s="714"/>
      <c r="Z105" s="714"/>
      <c r="AA105" s="714"/>
      <c r="AB105" s="714"/>
      <c r="AC105" s="714"/>
      <c r="AD105" s="714"/>
      <c r="AE105" s="714"/>
      <c r="AF105" s="714"/>
      <c r="AG105" s="714"/>
      <c r="AH105" s="714"/>
      <c r="AI105" s="714"/>
      <c r="AJ105" s="714"/>
      <c r="AK105" s="714"/>
      <c r="AL105" s="714"/>
      <c r="AM105" s="714"/>
      <c r="AN105" s="714"/>
      <c r="AO105" s="714"/>
      <c r="AP105" s="714"/>
      <c r="AQ105" s="714"/>
      <c r="AR105" s="714"/>
      <c r="AS105" s="714"/>
      <c r="AT105" s="714"/>
      <c r="AU105" s="714"/>
      <c r="AV105" s="714"/>
      <c r="AW105" s="714"/>
      <c r="AX105" s="714"/>
      <c r="AY105" s="714"/>
      <c r="AZ105" s="714"/>
      <c r="BA105" s="714"/>
      <c r="BB105" s="714"/>
      <c r="BC105" s="714"/>
      <c r="BD105" s="714"/>
      <c r="BE105" s="714"/>
      <c r="BF105" s="714"/>
      <c r="BG105" s="714"/>
      <c r="BH105" s="714"/>
      <c r="BI105" s="714"/>
      <c r="BJ105" s="714"/>
      <c r="BK105" s="714"/>
      <c r="BL105" s="714"/>
      <c r="BM105" s="714"/>
      <c r="BN105" s="714"/>
      <c r="BO105" s="714"/>
      <c r="BP105" s="714"/>
      <c r="BQ105" s="714"/>
      <c r="BR105" s="244"/>
      <c r="BS105" s="244"/>
      <c r="BT105" s="244"/>
      <c r="BU105" s="244"/>
      <c r="BV105" s="244"/>
      <c r="BW105" s="244"/>
      <c r="BX105" s="244"/>
      <c r="BY105" s="244"/>
      <c r="BZ105" s="244"/>
      <c r="CA105" s="244"/>
      <c r="CB105" s="244"/>
      <c r="CC105" s="244"/>
      <c r="CD105" s="244"/>
      <c r="CE105" s="244"/>
      <c r="CF105" s="244"/>
    </row>
    <row r="106" ht="12.75" customHeight="1">
      <c r="A106" s="714"/>
      <c r="B106" s="714"/>
      <c r="C106" s="714"/>
      <c r="D106" s="714"/>
      <c r="E106" s="714"/>
      <c r="F106" s="714"/>
      <c r="G106" s="714"/>
      <c r="H106" s="714"/>
      <c r="I106" s="714"/>
      <c r="J106" s="714"/>
      <c r="K106" s="714"/>
      <c r="L106" s="714"/>
      <c r="M106" s="714"/>
      <c r="N106" s="714"/>
      <c r="O106" s="714"/>
      <c r="P106" s="714"/>
      <c r="Q106" s="714"/>
      <c r="R106" s="714"/>
      <c r="S106" s="714"/>
      <c r="T106" s="714"/>
      <c r="U106" s="714"/>
      <c r="V106" s="714"/>
      <c r="W106" s="714"/>
      <c r="X106" s="714"/>
      <c r="Y106" s="714"/>
      <c r="Z106" s="714"/>
      <c r="AA106" s="714"/>
      <c r="AB106" s="714"/>
      <c r="AC106" s="714"/>
      <c r="AD106" s="714"/>
      <c r="AE106" s="714"/>
      <c r="AF106" s="714"/>
      <c r="AG106" s="714"/>
      <c r="AH106" s="714"/>
      <c r="AI106" s="714"/>
      <c r="AJ106" s="714"/>
      <c r="AK106" s="714"/>
      <c r="AL106" s="714"/>
      <c r="AM106" s="714"/>
      <c r="AN106" s="714"/>
      <c r="AO106" s="714"/>
      <c r="AP106" s="714"/>
      <c r="AQ106" s="714"/>
      <c r="AR106" s="714"/>
      <c r="AS106" s="714"/>
      <c r="AT106" s="714"/>
      <c r="AU106" s="714"/>
      <c r="AV106" s="714"/>
      <c r="AW106" s="714"/>
      <c r="AX106" s="714"/>
      <c r="AY106" s="714"/>
      <c r="AZ106" s="714"/>
      <c r="BA106" s="714"/>
      <c r="BB106" s="714"/>
      <c r="BC106" s="714"/>
      <c r="BD106" s="714"/>
      <c r="BE106" s="714"/>
      <c r="BF106" s="714"/>
      <c r="BG106" s="714"/>
      <c r="BH106" s="714"/>
      <c r="BI106" s="714"/>
      <c r="BJ106" s="714"/>
      <c r="BK106" s="714"/>
      <c r="BL106" s="714"/>
      <c r="BM106" s="714"/>
      <c r="BN106" s="714"/>
      <c r="BO106" s="714"/>
      <c r="BP106" s="714"/>
      <c r="BQ106" s="714"/>
      <c r="BR106" s="244"/>
      <c r="BS106" s="244"/>
      <c r="BT106" s="244"/>
      <c r="BU106" s="244"/>
      <c r="BV106" s="244"/>
      <c r="BW106" s="244"/>
      <c r="BX106" s="244"/>
      <c r="BY106" s="244"/>
      <c r="BZ106" s="244"/>
      <c r="CA106" s="244"/>
      <c r="CB106" s="244"/>
      <c r="CC106" s="244"/>
      <c r="CD106" s="244"/>
      <c r="CE106" s="244"/>
      <c r="CF106" s="244"/>
    </row>
    <row r="107" ht="12.75" customHeight="1">
      <c r="A107" s="714"/>
      <c r="B107" s="714"/>
      <c r="C107" s="714"/>
      <c r="D107" s="714"/>
      <c r="E107" s="714"/>
      <c r="F107" s="714"/>
      <c r="G107" s="714"/>
      <c r="H107" s="714"/>
      <c r="I107" s="714"/>
      <c r="J107" s="714"/>
      <c r="K107" s="714"/>
      <c r="L107" s="714"/>
      <c r="M107" s="714"/>
      <c r="N107" s="714"/>
      <c r="O107" s="714"/>
      <c r="P107" s="714"/>
      <c r="Q107" s="714"/>
      <c r="R107" s="714"/>
      <c r="S107" s="714"/>
      <c r="T107" s="714"/>
      <c r="U107" s="714"/>
      <c r="V107" s="714"/>
      <c r="W107" s="714"/>
      <c r="X107" s="714"/>
      <c r="Y107" s="714"/>
      <c r="Z107" s="714"/>
      <c r="AA107" s="714"/>
      <c r="AB107" s="714"/>
      <c r="AC107" s="714"/>
      <c r="AD107" s="714"/>
      <c r="AE107" s="714"/>
      <c r="AF107" s="714"/>
      <c r="AG107" s="714"/>
      <c r="AH107" s="714"/>
      <c r="AI107" s="714"/>
      <c r="AJ107" s="714"/>
      <c r="AK107" s="714"/>
      <c r="AL107" s="714"/>
      <c r="AM107" s="714"/>
      <c r="AN107" s="714"/>
      <c r="AO107" s="714"/>
      <c r="AP107" s="714"/>
      <c r="AQ107" s="714"/>
      <c r="AR107" s="714"/>
      <c r="AS107" s="714"/>
      <c r="AT107" s="714"/>
      <c r="AU107" s="714"/>
      <c r="AV107" s="714"/>
      <c r="AW107" s="714"/>
      <c r="AX107" s="714"/>
      <c r="AY107" s="714"/>
      <c r="AZ107" s="714"/>
      <c r="BA107" s="714"/>
      <c r="BB107" s="714"/>
      <c r="BC107" s="714"/>
      <c r="BD107" s="714"/>
      <c r="BE107" s="714"/>
      <c r="BF107" s="714"/>
      <c r="BG107" s="714"/>
      <c r="BH107" s="714"/>
      <c r="BI107" s="714"/>
      <c r="BJ107" s="714"/>
      <c r="BK107" s="714"/>
      <c r="BL107" s="714"/>
      <c r="BM107" s="714"/>
      <c r="BN107" s="714"/>
      <c r="BO107" s="714"/>
      <c r="BP107" s="714"/>
      <c r="BQ107" s="714"/>
      <c r="BR107" s="244"/>
      <c r="BS107" s="244"/>
      <c r="BT107" s="244"/>
      <c r="BU107" s="244"/>
      <c r="BV107" s="244"/>
      <c r="BW107" s="244"/>
      <c r="BX107" s="244"/>
      <c r="BY107" s="244"/>
      <c r="BZ107" s="244"/>
      <c r="CA107" s="244"/>
      <c r="CB107" s="244"/>
      <c r="CC107" s="244"/>
      <c r="CD107" s="244"/>
      <c r="CE107" s="244"/>
      <c r="CF107" s="244"/>
    </row>
    <row r="108" ht="12.75" customHeight="1">
      <c r="A108" s="714"/>
      <c r="B108" s="714"/>
      <c r="C108" s="714"/>
      <c r="D108" s="714"/>
      <c r="E108" s="714"/>
      <c r="F108" s="714"/>
      <c r="G108" s="714"/>
      <c r="H108" s="714"/>
      <c r="I108" s="714"/>
      <c r="J108" s="714"/>
      <c r="K108" s="714"/>
      <c r="L108" s="714"/>
      <c r="M108" s="714"/>
      <c r="N108" s="714"/>
      <c r="O108" s="714"/>
      <c r="P108" s="714"/>
      <c r="Q108" s="714"/>
      <c r="R108" s="714"/>
      <c r="S108" s="714"/>
      <c r="T108" s="714"/>
      <c r="U108" s="714"/>
      <c r="V108" s="714"/>
      <c r="W108" s="714"/>
      <c r="X108" s="714"/>
      <c r="Y108" s="714"/>
      <c r="Z108" s="714"/>
      <c r="AA108" s="714"/>
      <c r="AB108" s="714"/>
      <c r="AC108" s="714"/>
      <c r="AD108" s="714"/>
      <c r="AE108" s="714"/>
      <c r="AF108" s="714"/>
      <c r="AG108" s="714"/>
      <c r="AH108" s="714"/>
      <c r="AI108" s="714"/>
      <c r="AJ108" s="714"/>
      <c r="AK108" s="714"/>
      <c r="AL108" s="714"/>
      <c r="AM108" s="714"/>
      <c r="AN108" s="714"/>
      <c r="AO108" s="714"/>
      <c r="AP108" s="714"/>
      <c r="AQ108" s="714"/>
      <c r="AR108" s="714"/>
      <c r="AS108" s="714"/>
      <c r="AT108" s="714"/>
      <c r="AU108" s="714"/>
      <c r="AV108" s="714"/>
      <c r="AW108" s="714"/>
      <c r="AX108" s="714"/>
      <c r="AY108" s="714"/>
      <c r="AZ108" s="714"/>
      <c r="BA108" s="714"/>
      <c r="BB108" s="714"/>
      <c r="BC108" s="714"/>
      <c r="BD108" s="714"/>
      <c r="BE108" s="714"/>
      <c r="BF108" s="714"/>
      <c r="BG108" s="714"/>
      <c r="BH108" s="714"/>
      <c r="BI108" s="714"/>
      <c r="BJ108" s="714"/>
      <c r="BK108" s="714"/>
      <c r="BL108" s="714"/>
      <c r="BM108" s="714"/>
      <c r="BN108" s="714"/>
      <c r="BO108" s="714"/>
      <c r="BP108" s="714"/>
      <c r="BQ108" s="714"/>
      <c r="BR108" s="244"/>
      <c r="BS108" s="244"/>
      <c r="BT108" s="244"/>
      <c r="BU108" s="244"/>
      <c r="BV108" s="244"/>
      <c r="BW108" s="244"/>
      <c r="BX108" s="244"/>
      <c r="BY108" s="244"/>
      <c r="BZ108" s="244"/>
      <c r="CA108" s="244"/>
      <c r="CB108" s="244"/>
      <c r="CC108" s="244"/>
      <c r="CD108" s="244"/>
      <c r="CE108" s="244"/>
      <c r="CF108" s="244"/>
    </row>
    <row r="109" ht="12.75" customHeight="1">
      <c r="A109" s="714"/>
      <c r="B109" s="714"/>
      <c r="C109" s="714"/>
      <c r="D109" s="714"/>
      <c r="E109" s="714"/>
      <c r="F109" s="714"/>
      <c r="G109" s="714"/>
      <c r="H109" s="714"/>
      <c r="I109" s="714"/>
      <c r="J109" s="714"/>
      <c r="K109" s="714"/>
      <c r="L109" s="714"/>
      <c r="M109" s="714"/>
      <c r="N109" s="714"/>
      <c r="O109" s="714"/>
      <c r="P109" s="714"/>
      <c r="Q109" s="714"/>
      <c r="R109" s="714"/>
      <c r="S109" s="714"/>
      <c r="T109" s="714"/>
      <c r="U109" s="714"/>
      <c r="V109" s="714"/>
      <c r="W109" s="714"/>
      <c r="X109" s="714"/>
      <c r="Y109" s="714"/>
      <c r="Z109" s="714"/>
      <c r="AA109" s="714"/>
      <c r="AB109" s="714"/>
      <c r="AC109" s="714"/>
      <c r="AD109" s="714"/>
      <c r="AE109" s="714"/>
      <c r="AF109" s="714"/>
      <c r="AG109" s="714"/>
      <c r="AH109" s="714"/>
      <c r="AI109" s="714"/>
      <c r="AJ109" s="714"/>
      <c r="AK109" s="714"/>
      <c r="AL109" s="714"/>
      <c r="AM109" s="714"/>
      <c r="AN109" s="714"/>
      <c r="AO109" s="714"/>
      <c r="AP109" s="714"/>
      <c r="AQ109" s="714"/>
      <c r="AR109" s="714"/>
      <c r="AS109" s="714"/>
      <c r="AT109" s="714"/>
      <c r="AU109" s="714"/>
      <c r="AV109" s="714"/>
      <c r="AW109" s="714"/>
      <c r="AX109" s="714"/>
      <c r="AY109" s="714"/>
      <c r="AZ109" s="714"/>
      <c r="BA109" s="714"/>
      <c r="BB109" s="714"/>
      <c r="BC109" s="714"/>
      <c r="BD109" s="714"/>
      <c r="BE109" s="714"/>
      <c r="BF109" s="714"/>
      <c r="BG109" s="714"/>
      <c r="BH109" s="714"/>
      <c r="BI109" s="714"/>
      <c r="BJ109" s="714"/>
      <c r="BK109" s="714"/>
      <c r="BL109" s="714"/>
      <c r="BM109" s="714"/>
      <c r="BN109" s="714"/>
      <c r="BO109" s="714"/>
      <c r="BP109" s="714"/>
      <c r="BQ109" s="714"/>
      <c r="BR109" s="244"/>
      <c r="BS109" s="244"/>
      <c r="BT109" s="244"/>
      <c r="BU109" s="244"/>
      <c r="BV109" s="244"/>
      <c r="BW109" s="244"/>
      <c r="BX109" s="244"/>
      <c r="BY109" s="244"/>
      <c r="BZ109" s="244"/>
      <c r="CA109" s="244"/>
      <c r="CB109" s="244"/>
      <c r="CC109" s="244"/>
      <c r="CD109" s="244"/>
      <c r="CE109" s="244"/>
      <c r="CF109" s="244"/>
    </row>
    <row r="110" ht="12.75" customHeight="1">
      <c r="A110" s="714"/>
      <c r="B110" s="714"/>
      <c r="C110" s="714"/>
      <c r="D110" s="714"/>
      <c r="E110" s="714"/>
      <c r="F110" s="714"/>
      <c r="G110" s="714"/>
      <c r="H110" s="714"/>
      <c r="I110" s="714"/>
      <c r="J110" s="714"/>
      <c r="K110" s="714"/>
      <c r="L110" s="714"/>
      <c r="M110" s="714"/>
      <c r="N110" s="714"/>
      <c r="O110" s="714"/>
      <c r="P110" s="714"/>
      <c r="Q110" s="714"/>
      <c r="R110" s="714"/>
      <c r="S110" s="714"/>
      <c r="T110" s="714"/>
      <c r="U110" s="714"/>
      <c r="V110" s="714"/>
      <c r="W110" s="714"/>
      <c r="X110" s="714"/>
      <c r="Y110" s="714"/>
      <c r="Z110" s="714"/>
      <c r="AA110" s="714"/>
      <c r="AB110" s="714"/>
      <c r="AC110" s="714"/>
      <c r="AD110" s="714"/>
      <c r="AE110" s="714"/>
      <c r="AF110" s="714"/>
      <c r="AG110" s="714"/>
      <c r="AH110" s="714"/>
      <c r="AI110" s="714"/>
      <c r="AJ110" s="714"/>
      <c r="AK110" s="714"/>
      <c r="AL110" s="714"/>
      <c r="AM110" s="714"/>
      <c r="AN110" s="714"/>
      <c r="AO110" s="714"/>
      <c r="AP110" s="714"/>
      <c r="AQ110" s="714"/>
      <c r="AR110" s="714"/>
      <c r="AS110" s="714"/>
      <c r="AT110" s="714"/>
      <c r="AU110" s="714"/>
      <c r="AV110" s="714"/>
      <c r="AW110" s="714"/>
      <c r="AX110" s="714"/>
      <c r="AY110" s="714"/>
      <c r="AZ110" s="714"/>
      <c r="BA110" s="714"/>
      <c r="BB110" s="714"/>
      <c r="BC110" s="714"/>
      <c r="BD110" s="714"/>
      <c r="BE110" s="714"/>
      <c r="BF110" s="714"/>
      <c r="BG110" s="714"/>
      <c r="BH110" s="714"/>
      <c r="BI110" s="714"/>
      <c r="BJ110" s="714"/>
      <c r="BK110" s="714"/>
      <c r="BL110" s="714"/>
      <c r="BM110" s="714"/>
      <c r="BN110" s="714"/>
      <c r="BO110" s="714"/>
      <c r="BP110" s="714"/>
      <c r="BQ110" s="714"/>
      <c r="BR110" s="244"/>
      <c r="BS110" s="244"/>
      <c r="BT110" s="244"/>
      <c r="BU110" s="244"/>
      <c r="BV110" s="244"/>
      <c r="BW110" s="244"/>
      <c r="BX110" s="244"/>
      <c r="BY110" s="244"/>
      <c r="BZ110" s="244"/>
      <c r="CA110" s="244"/>
      <c r="CB110" s="244"/>
      <c r="CC110" s="244"/>
      <c r="CD110" s="244"/>
      <c r="CE110" s="244"/>
      <c r="CF110" s="244"/>
    </row>
    <row r="111" ht="12.75" customHeight="1">
      <c r="A111" s="714"/>
      <c r="B111" s="714"/>
      <c r="C111" s="714"/>
      <c r="D111" s="714"/>
      <c r="E111" s="714"/>
      <c r="F111" s="714"/>
      <c r="G111" s="714"/>
      <c r="H111" s="714"/>
      <c r="I111" s="714"/>
      <c r="J111" s="714"/>
      <c r="K111" s="714"/>
      <c r="L111" s="714"/>
      <c r="M111" s="714"/>
      <c r="N111" s="714"/>
      <c r="O111" s="714"/>
      <c r="P111" s="714"/>
      <c r="Q111" s="714"/>
      <c r="R111" s="714"/>
      <c r="S111" s="714"/>
      <c r="T111" s="714"/>
      <c r="U111" s="714"/>
      <c r="V111" s="714"/>
      <c r="W111" s="714"/>
      <c r="X111" s="714"/>
      <c r="Y111" s="714"/>
      <c r="Z111" s="714"/>
      <c r="AA111" s="714"/>
      <c r="AB111" s="714"/>
      <c r="AC111" s="714"/>
      <c r="AD111" s="714"/>
      <c r="AE111" s="714"/>
      <c r="AF111" s="714"/>
      <c r="AG111" s="714"/>
      <c r="AH111" s="714"/>
      <c r="AI111" s="714"/>
      <c r="AJ111" s="714"/>
      <c r="AK111" s="714"/>
      <c r="AL111" s="714"/>
      <c r="AM111" s="714"/>
      <c r="AN111" s="714"/>
      <c r="AO111" s="714"/>
      <c r="AP111" s="714"/>
      <c r="AQ111" s="714"/>
      <c r="AR111" s="714"/>
      <c r="AS111" s="714"/>
      <c r="AT111" s="714"/>
      <c r="AU111" s="714"/>
      <c r="AV111" s="714"/>
      <c r="AW111" s="714"/>
      <c r="AX111" s="714"/>
      <c r="AY111" s="714"/>
      <c r="AZ111" s="714"/>
      <c r="BA111" s="714"/>
      <c r="BB111" s="714"/>
      <c r="BC111" s="714"/>
      <c r="BD111" s="714"/>
      <c r="BE111" s="714"/>
      <c r="BF111" s="714"/>
      <c r="BG111" s="714"/>
      <c r="BH111" s="714"/>
      <c r="BI111" s="714"/>
      <c r="BJ111" s="714"/>
      <c r="BK111" s="714"/>
      <c r="BL111" s="714"/>
      <c r="BM111" s="714"/>
      <c r="BN111" s="714"/>
      <c r="BO111" s="714"/>
      <c r="BP111" s="714"/>
      <c r="BQ111" s="714"/>
      <c r="BR111" s="244"/>
      <c r="BS111" s="244"/>
      <c r="BT111" s="244"/>
      <c r="BU111" s="244"/>
      <c r="BV111" s="244"/>
      <c r="BW111" s="244"/>
      <c r="BX111" s="244"/>
      <c r="BY111" s="244"/>
      <c r="BZ111" s="244"/>
      <c r="CA111" s="244"/>
      <c r="CB111" s="244"/>
      <c r="CC111" s="244"/>
      <c r="CD111" s="244"/>
      <c r="CE111" s="244"/>
      <c r="CF111" s="244"/>
    </row>
    <row r="112" ht="12.75" customHeight="1">
      <c r="A112" s="714"/>
      <c r="B112" s="714"/>
      <c r="C112" s="714"/>
      <c r="D112" s="714"/>
      <c r="E112" s="714"/>
      <c r="F112" s="714"/>
      <c r="G112" s="714"/>
      <c r="H112" s="714"/>
      <c r="I112" s="714"/>
      <c r="J112" s="714"/>
      <c r="K112" s="714"/>
      <c r="L112" s="714"/>
      <c r="M112" s="714"/>
      <c r="N112" s="714"/>
      <c r="O112" s="714"/>
      <c r="P112" s="714"/>
      <c r="Q112" s="714"/>
      <c r="R112" s="714"/>
      <c r="S112" s="714"/>
      <c r="T112" s="714"/>
      <c r="U112" s="714"/>
      <c r="V112" s="714"/>
      <c r="W112" s="714"/>
      <c r="X112" s="714"/>
      <c r="Y112" s="714"/>
      <c r="Z112" s="714"/>
      <c r="AA112" s="714"/>
      <c r="AB112" s="714"/>
      <c r="AC112" s="714"/>
      <c r="AD112" s="714"/>
      <c r="AE112" s="714"/>
      <c r="AF112" s="714"/>
      <c r="AG112" s="714"/>
      <c r="AH112" s="714"/>
      <c r="AI112" s="714"/>
      <c r="AJ112" s="714"/>
      <c r="AK112" s="714"/>
      <c r="AL112" s="714"/>
      <c r="AM112" s="714"/>
      <c r="AN112" s="714"/>
      <c r="AO112" s="714"/>
      <c r="AP112" s="714"/>
      <c r="AQ112" s="714"/>
      <c r="AR112" s="714"/>
      <c r="AS112" s="714"/>
      <c r="AT112" s="714"/>
      <c r="AU112" s="714"/>
      <c r="AV112" s="714"/>
      <c r="AW112" s="714"/>
      <c r="AX112" s="714"/>
      <c r="AY112" s="714"/>
      <c r="AZ112" s="714"/>
      <c r="BA112" s="714"/>
      <c r="BB112" s="714"/>
      <c r="BC112" s="714"/>
      <c r="BD112" s="714"/>
      <c r="BE112" s="714"/>
      <c r="BF112" s="714"/>
      <c r="BG112" s="714"/>
      <c r="BH112" s="714"/>
      <c r="BI112" s="714"/>
      <c r="BJ112" s="714"/>
      <c r="BK112" s="714"/>
      <c r="BL112" s="714"/>
      <c r="BM112" s="714"/>
      <c r="BN112" s="714"/>
      <c r="BO112" s="714"/>
      <c r="BP112" s="714"/>
      <c r="BQ112" s="714"/>
      <c r="BR112" s="244"/>
      <c r="BS112" s="244"/>
      <c r="BT112" s="244"/>
      <c r="BU112" s="244"/>
      <c r="BV112" s="244"/>
      <c r="BW112" s="244"/>
      <c r="BX112" s="244"/>
      <c r="BY112" s="244"/>
      <c r="BZ112" s="244"/>
      <c r="CA112" s="244"/>
      <c r="CB112" s="244"/>
      <c r="CC112" s="244"/>
      <c r="CD112" s="244"/>
      <c r="CE112" s="244"/>
      <c r="CF112" s="244"/>
    </row>
    <row r="113" ht="12.75" customHeight="1">
      <c r="A113" s="714"/>
      <c r="B113" s="714"/>
      <c r="C113" s="714"/>
      <c r="D113" s="714"/>
      <c r="E113" s="714"/>
      <c r="F113" s="714"/>
      <c r="G113" s="714"/>
      <c r="H113" s="714"/>
      <c r="I113" s="714"/>
      <c r="J113" s="714"/>
      <c r="K113" s="714"/>
      <c r="L113" s="714"/>
      <c r="M113" s="714"/>
      <c r="N113" s="714"/>
      <c r="O113" s="714"/>
      <c r="P113" s="714"/>
      <c r="Q113" s="714"/>
      <c r="R113" s="714"/>
      <c r="S113" s="714"/>
      <c r="T113" s="714"/>
      <c r="U113" s="714"/>
      <c r="V113" s="714"/>
      <c r="W113" s="714"/>
      <c r="X113" s="714"/>
      <c r="Y113" s="714"/>
      <c r="Z113" s="714"/>
      <c r="AA113" s="714"/>
      <c r="AB113" s="714"/>
      <c r="AC113" s="714"/>
      <c r="AD113" s="714"/>
      <c r="AE113" s="714"/>
      <c r="AF113" s="714"/>
      <c r="AG113" s="714"/>
      <c r="AH113" s="714"/>
      <c r="AI113" s="714"/>
      <c r="AJ113" s="714"/>
      <c r="AK113" s="714"/>
      <c r="AL113" s="714"/>
      <c r="AM113" s="714"/>
      <c r="AN113" s="714"/>
      <c r="AO113" s="714"/>
      <c r="AP113" s="714"/>
      <c r="AQ113" s="714"/>
      <c r="AR113" s="714"/>
      <c r="AS113" s="714"/>
      <c r="AT113" s="714"/>
      <c r="AU113" s="714"/>
      <c r="AV113" s="714"/>
      <c r="AW113" s="714"/>
      <c r="AX113" s="714"/>
      <c r="AY113" s="714"/>
      <c r="AZ113" s="714"/>
      <c r="BA113" s="714"/>
      <c r="BB113" s="714"/>
      <c r="BC113" s="714"/>
      <c r="BD113" s="714"/>
      <c r="BE113" s="714"/>
      <c r="BF113" s="714"/>
      <c r="BG113" s="714"/>
      <c r="BH113" s="714"/>
      <c r="BI113" s="714"/>
      <c r="BJ113" s="714"/>
      <c r="BK113" s="714"/>
      <c r="BL113" s="714"/>
      <c r="BM113" s="714"/>
      <c r="BN113" s="714"/>
      <c r="BO113" s="714"/>
      <c r="BP113" s="714"/>
      <c r="BQ113" s="714"/>
      <c r="BR113" s="244"/>
      <c r="BS113" s="244"/>
      <c r="BT113" s="244"/>
      <c r="BU113" s="244"/>
      <c r="BV113" s="244"/>
      <c r="BW113" s="244"/>
      <c r="BX113" s="244"/>
      <c r="BY113" s="244"/>
      <c r="BZ113" s="244"/>
      <c r="CA113" s="244"/>
      <c r="CB113" s="244"/>
      <c r="CC113" s="244"/>
      <c r="CD113" s="244"/>
      <c r="CE113" s="244"/>
      <c r="CF113" s="244"/>
    </row>
    <row r="114">
      <c r="A114" s="714"/>
      <c r="B114" s="714"/>
      <c r="C114" s="714"/>
      <c r="D114" s="714"/>
      <c r="E114" s="714"/>
      <c r="F114" s="714"/>
      <c r="G114" s="714"/>
      <c r="H114" s="714"/>
      <c r="I114" s="714"/>
      <c r="J114" s="714"/>
      <c r="K114" s="714"/>
      <c r="L114" s="714"/>
      <c r="M114" s="714"/>
      <c r="N114" s="714"/>
      <c r="O114" s="714"/>
      <c r="P114" s="714"/>
      <c r="Q114" s="714"/>
      <c r="R114" s="714"/>
      <c r="S114" s="714"/>
      <c r="T114" s="714"/>
      <c r="U114" s="714"/>
      <c r="V114" s="714"/>
      <c r="W114" s="714"/>
      <c r="X114" s="714"/>
      <c r="Y114" s="714"/>
      <c r="Z114" s="714"/>
      <c r="AA114" s="714"/>
      <c r="AB114" s="714"/>
      <c r="AC114" s="714"/>
      <c r="AD114" s="714"/>
      <c r="AE114" s="714"/>
      <c r="AF114" s="714"/>
      <c r="AG114" s="714"/>
      <c r="AH114" s="714"/>
      <c r="AI114" s="714"/>
      <c r="AJ114" s="714"/>
      <c r="AK114" s="714"/>
      <c r="AL114" s="714"/>
      <c r="AM114" s="714"/>
      <c r="AN114" s="714"/>
      <c r="AO114" s="714"/>
      <c r="AP114" s="714"/>
      <c r="AQ114" s="714"/>
      <c r="AR114" s="714"/>
      <c r="AS114" s="714"/>
      <c r="AT114" s="714"/>
      <c r="AU114" s="714"/>
      <c r="AV114" s="714"/>
      <c r="AW114" s="714"/>
      <c r="AX114" s="714"/>
      <c r="AY114" s="714"/>
      <c r="AZ114" s="714"/>
      <c r="BA114" s="714"/>
      <c r="BB114" s="714"/>
      <c r="BC114" s="714"/>
      <c r="BD114" s="714"/>
      <c r="BE114" s="714"/>
      <c r="BF114" s="714"/>
      <c r="BG114" s="714"/>
      <c r="BH114" s="714"/>
      <c r="BI114" s="714"/>
      <c r="BJ114" s="714"/>
      <c r="BK114" s="714"/>
      <c r="BL114" s="714"/>
      <c r="BM114" s="714"/>
      <c r="BN114" s="714"/>
      <c r="BO114" s="714"/>
      <c r="BP114" s="714"/>
      <c r="BQ114" s="714"/>
      <c r="BR114" s="244"/>
      <c r="BS114" s="244"/>
      <c r="BT114" s="244"/>
      <c r="BU114" s="244"/>
      <c r="BV114" s="244"/>
      <c r="BW114" s="244"/>
      <c r="BX114" s="244"/>
      <c r="BY114" s="244"/>
      <c r="BZ114" s="244"/>
      <c r="CA114" s="244"/>
      <c r="CB114" s="244"/>
      <c r="CC114" s="244"/>
      <c r="CD114" s="244"/>
      <c r="CE114" s="244"/>
      <c r="CF114" s="244"/>
    </row>
    <row r="115">
      <c r="A115" s="244"/>
      <c r="B115" s="246"/>
      <c r="C115" s="244"/>
      <c r="D115" s="244"/>
      <c r="E115" s="244"/>
      <c r="F115" s="244"/>
      <c r="G115" s="244"/>
      <c r="H115" s="244"/>
      <c r="I115" s="244"/>
      <c r="J115" s="244"/>
      <c r="K115" s="244"/>
      <c r="L115" s="244"/>
      <c r="M115" s="244"/>
      <c r="N115" s="244"/>
      <c r="O115" s="244"/>
      <c r="P115" s="244"/>
      <c r="Q115" s="244"/>
      <c r="R115" s="244"/>
      <c r="S115" s="244"/>
      <c r="T115" s="244"/>
      <c r="U115" s="244"/>
      <c r="V115" s="244"/>
      <c r="W115" s="244"/>
      <c r="X115" s="244"/>
      <c r="Y115" s="244"/>
      <c r="Z115" s="244"/>
      <c r="AA115" s="244"/>
      <c r="AB115" s="244"/>
      <c r="AC115" s="244"/>
      <c r="AD115" s="244"/>
      <c r="AE115" s="244"/>
      <c r="AF115" s="244"/>
      <c r="AG115" s="244"/>
      <c r="AH115" s="244"/>
      <c r="AI115" s="244"/>
      <c r="AJ115" s="244"/>
      <c r="AK115" s="244"/>
      <c r="AL115" s="244"/>
      <c r="AM115" s="244"/>
      <c r="AN115" s="244"/>
      <c r="AO115" s="244"/>
      <c r="AP115" s="244"/>
      <c r="AQ115" s="244"/>
      <c r="AR115" s="244"/>
      <c r="AS115" s="244"/>
      <c r="AT115" s="244"/>
      <c r="AU115" s="244"/>
      <c r="AV115" s="244"/>
      <c r="AW115" s="244"/>
      <c r="AX115" s="244"/>
      <c r="AY115" s="244"/>
      <c r="AZ115" s="244"/>
      <c r="BA115" s="244"/>
      <c r="BB115" s="244"/>
      <c r="BC115" s="244"/>
      <c r="BD115" s="244"/>
      <c r="BE115" s="244"/>
      <c r="BF115" s="244"/>
      <c r="BG115" s="244"/>
      <c r="BH115" s="244"/>
      <c r="BI115" s="244"/>
      <c r="BJ115" s="244"/>
      <c r="BK115" s="244"/>
      <c r="BL115" s="244"/>
      <c r="BM115" s="244"/>
      <c r="BN115" s="244"/>
      <c r="BO115" s="244"/>
      <c r="BP115" s="244"/>
      <c r="BQ115" s="244"/>
      <c r="BR115" s="244"/>
      <c r="BS115" s="244"/>
      <c r="BT115" s="244"/>
      <c r="BU115" s="244"/>
      <c r="BV115" s="244"/>
      <c r="BW115" s="244"/>
      <c r="BX115" s="244"/>
      <c r="BY115" s="244"/>
      <c r="BZ115" s="244"/>
      <c r="CA115" s="244"/>
      <c r="CB115" s="244"/>
      <c r="CC115" s="244"/>
      <c r="CD115" s="244"/>
      <c r="CE115" s="244"/>
      <c r="CF115" s="244"/>
    </row>
    <row r="116">
      <c r="A116" s="244"/>
      <c r="B116" s="246"/>
      <c r="C116" s="244"/>
      <c r="D116" s="244"/>
      <c r="E116" s="244"/>
      <c r="F116" s="244"/>
      <c r="G116" s="244"/>
      <c r="H116" s="244"/>
      <c r="I116" s="244"/>
      <c r="J116" s="244"/>
      <c r="K116" s="244"/>
      <c r="L116" s="244"/>
      <c r="M116" s="244"/>
      <c r="N116" s="244"/>
      <c r="O116" s="244"/>
      <c r="P116" s="244"/>
      <c r="Q116" s="244"/>
      <c r="R116" s="244"/>
      <c r="S116" s="244"/>
      <c r="T116" s="244"/>
      <c r="U116" s="244"/>
      <c r="V116" s="244"/>
      <c r="W116" s="244"/>
      <c r="X116" s="244"/>
      <c r="Y116" s="244"/>
      <c r="Z116" s="244"/>
      <c r="AA116" s="244"/>
      <c r="AB116" s="244"/>
      <c r="AC116" s="244"/>
      <c r="AD116" s="244"/>
      <c r="AE116" s="244"/>
      <c r="AF116" s="244"/>
      <c r="AG116" s="244"/>
      <c r="AH116" s="244"/>
      <c r="AI116" s="244"/>
      <c r="AJ116" s="244"/>
      <c r="AK116" s="244"/>
      <c r="AL116" s="244"/>
      <c r="AM116" s="244"/>
      <c r="AN116" s="244"/>
      <c r="AO116" s="244"/>
      <c r="AP116" s="244"/>
      <c r="AQ116" s="244"/>
      <c r="AR116" s="244"/>
      <c r="AS116" s="244"/>
      <c r="AT116" s="244"/>
      <c r="AU116" s="244"/>
      <c r="AV116" s="244"/>
      <c r="AW116" s="244"/>
      <c r="AX116" s="244"/>
      <c r="AY116" s="244"/>
      <c r="AZ116" s="244"/>
      <c r="BA116" s="244"/>
      <c r="BB116" s="244"/>
      <c r="BC116" s="244"/>
      <c r="BD116" s="244"/>
      <c r="BE116" s="244"/>
      <c r="BF116" s="244"/>
      <c r="BG116" s="244"/>
      <c r="BH116" s="244"/>
      <c r="BI116" s="244"/>
      <c r="BJ116" s="244"/>
      <c r="BK116" s="244"/>
      <c r="BL116" s="244"/>
      <c r="BM116" s="244"/>
      <c r="BN116" s="244"/>
      <c r="BO116" s="244"/>
      <c r="BP116" s="244"/>
      <c r="BQ116" s="244"/>
      <c r="BR116" s="244"/>
      <c r="BS116" s="244"/>
      <c r="BT116" s="244"/>
      <c r="BU116" s="244"/>
      <c r="BV116" s="244"/>
      <c r="BW116" s="244"/>
      <c r="BX116" s="244"/>
      <c r="BY116" s="244"/>
      <c r="BZ116" s="244"/>
      <c r="CA116" s="244"/>
      <c r="CB116" s="244"/>
      <c r="CC116" s="244"/>
      <c r="CD116" s="244"/>
      <c r="CE116" s="244"/>
      <c r="CF116" s="244"/>
    </row>
    <row r="117">
      <c r="A117" s="244"/>
      <c r="B117" s="246"/>
      <c r="C117" s="244"/>
      <c r="D117" s="244"/>
      <c r="E117" s="244"/>
      <c r="F117" s="244"/>
      <c r="G117" s="244"/>
      <c r="H117" s="244"/>
      <c r="I117" s="244"/>
      <c r="J117" s="244"/>
      <c r="K117" s="244"/>
      <c r="L117" s="244"/>
      <c r="M117" s="244"/>
      <c r="N117" s="244"/>
      <c r="O117" s="244"/>
      <c r="P117" s="244"/>
      <c r="Q117" s="244"/>
      <c r="R117" s="244"/>
      <c r="S117" s="244"/>
      <c r="T117" s="244"/>
      <c r="U117" s="244"/>
      <c r="V117" s="244"/>
      <c r="W117" s="244"/>
      <c r="X117" s="244"/>
      <c r="Y117" s="244"/>
      <c r="Z117" s="244"/>
      <c r="AA117" s="244"/>
      <c r="AB117" s="244"/>
      <c r="AC117" s="244"/>
      <c r="AD117" s="244"/>
      <c r="AE117" s="244"/>
      <c r="AF117" s="244"/>
      <c r="AG117" s="244"/>
      <c r="AH117" s="244"/>
      <c r="AI117" s="244"/>
      <c r="AJ117" s="244"/>
      <c r="AK117" s="244"/>
      <c r="AL117" s="244"/>
      <c r="AM117" s="244"/>
      <c r="AN117" s="244"/>
      <c r="AO117" s="244"/>
      <c r="AP117" s="244"/>
      <c r="AQ117" s="244"/>
      <c r="AR117" s="244"/>
      <c r="AS117" s="244"/>
      <c r="AT117" s="244"/>
      <c r="AU117" s="244"/>
      <c r="AV117" s="244"/>
      <c r="AW117" s="244"/>
      <c r="AX117" s="244"/>
      <c r="AY117" s="244"/>
      <c r="AZ117" s="244"/>
      <c r="BA117" s="244"/>
      <c r="BB117" s="244"/>
      <c r="BC117" s="244"/>
      <c r="BD117" s="244"/>
      <c r="BE117" s="244"/>
      <c r="BF117" s="244"/>
      <c r="BG117" s="244"/>
      <c r="BH117" s="244"/>
      <c r="BI117" s="244"/>
      <c r="BJ117" s="244"/>
      <c r="BK117" s="244"/>
      <c r="BL117" s="244"/>
      <c r="BM117" s="244"/>
      <c r="BN117" s="244"/>
      <c r="BO117" s="244"/>
      <c r="BP117" s="244"/>
      <c r="BQ117" s="244"/>
      <c r="BR117" s="244"/>
      <c r="BS117" s="244"/>
      <c r="BT117" s="244"/>
      <c r="BU117" s="244"/>
      <c r="BV117" s="244"/>
      <c r="BW117" s="244"/>
      <c r="BX117" s="244"/>
      <c r="BY117" s="244"/>
      <c r="BZ117" s="244"/>
      <c r="CA117" s="244"/>
      <c r="CB117" s="244"/>
      <c r="CC117" s="244"/>
      <c r="CD117" s="244"/>
      <c r="CE117" s="244"/>
      <c r="CF117" s="244"/>
    </row>
    <row r="118">
      <c r="A118" s="244"/>
      <c r="B118" s="246"/>
      <c r="C118" s="244"/>
      <c r="D118" s="244"/>
      <c r="E118" s="244"/>
      <c r="F118" s="244"/>
      <c r="G118" s="244"/>
      <c r="H118" s="244"/>
      <c r="I118" s="244"/>
      <c r="J118" s="244"/>
      <c r="K118" s="244"/>
      <c r="L118" s="244"/>
      <c r="M118" s="244"/>
      <c r="N118" s="244"/>
      <c r="O118" s="244"/>
      <c r="P118" s="244"/>
      <c r="Q118" s="244"/>
      <c r="R118" s="244"/>
      <c r="S118" s="244"/>
      <c r="T118" s="244"/>
      <c r="U118" s="244"/>
      <c r="V118" s="244"/>
      <c r="W118" s="244"/>
      <c r="X118" s="244"/>
      <c r="Y118" s="244"/>
      <c r="Z118" s="244"/>
      <c r="AA118" s="244"/>
      <c r="AB118" s="244"/>
      <c r="AC118" s="244"/>
      <c r="AD118" s="244"/>
      <c r="AE118" s="244"/>
      <c r="AF118" s="244"/>
      <c r="AG118" s="244"/>
      <c r="AH118" s="244"/>
      <c r="AI118" s="244"/>
      <c r="AJ118" s="244"/>
      <c r="AK118" s="244"/>
      <c r="AL118" s="244"/>
      <c r="AM118" s="244"/>
      <c r="AN118" s="244"/>
      <c r="AO118" s="244"/>
      <c r="AP118" s="244"/>
      <c r="AQ118" s="244"/>
      <c r="AR118" s="244"/>
      <c r="AS118" s="244"/>
      <c r="AT118" s="244"/>
      <c r="AU118" s="244"/>
      <c r="AV118" s="244"/>
      <c r="AW118" s="244"/>
      <c r="AX118" s="244"/>
      <c r="AY118" s="244"/>
      <c r="AZ118" s="244"/>
      <c r="BA118" s="244"/>
      <c r="BB118" s="244"/>
      <c r="BC118" s="244"/>
      <c r="BD118" s="244"/>
      <c r="BE118" s="244"/>
      <c r="BF118" s="244"/>
      <c r="BG118" s="244"/>
      <c r="BH118" s="244"/>
      <c r="BI118" s="244"/>
      <c r="BJ118" s="244"/>
      <c r="BK118" s="244"/>
      <c r="BL118" s="244"/>
      <c r="BM118" s="244"/>
      <c r="BN118" s="244"/>
      <c r="BO118" s="244"/>
      <c r="BP118" s="244"/>
      <c r="BQ118" s="244"/>
      <c r="BR118" s="244"/>
      <c r="BS118" s="244"/>
      <c r="BT118" s="244"/>
      <c r="BU118" s="244"/>
      <c r="BV118" s="244"/>
      <c r="BW118" s="244"/>
      <c r="BX118" s="244"/>
      <c r="BY118" s="244"/>
      <c r="BZ118" s="244"/>
      <c r="CA118" s="244"/>
      <c r="CB118" s="244"/>
      <c r="CC118" s="244"/>
      <c r="CD118" s="244"/>
      <c r="CE118" s="244"/>
      <c r="CF118" s="244"/>
    </row>
    <row r="119">
      <c r="A119" s="244"/>
      <c r="B119" s="246"/>
      <c r="C119" s="244"/>
      <c r="D119" s="244"/>
      <c r="E119" s="244"/>
      <c r="F119" s="244"/>
      <c r="G119" s="244"/>
      <c r="H119" s="244"/>
      <c r="I119" s="244"/>
      <c r="J119" s="244"/>
      <c r="K119" s="244"/>
      <c r="L119" s="244"/>
      <c r="M119" s="244"/>
      <c r="N119" s="244"/>
      <c r="O119" s="244"/>
      <c r="P119" s="244"/>
      <c r="Q119" s="244"/>
      <c r="R119" s="244"/>
      <c r="S119" s="244"/>
      <c r="T119" s="244"/>
      <c r="U119" s="244"/>
      <c r="V119" s="244"/>
      <c r="W119" s="244"/>
      <c r="X119" s="244"/>
      <c r="Y119" s="244"/>
      <c r="Z119" s="244"/>
      <c r="AA119" s="244"/>
      <c r="AB119" s="244"/>
      <c r="AC119" s="244"/>
      <c r="AD119" s="244"/>
      <c r="AE119" s="244"/>
      <c r="AF119" s="244"/>
      <c r="AG119" s="244"/>
      <c r="AH119" s="244"/>
      <c r="AI119" s="244"/>
      <c r="AJ119" s="244"/>
      <c r="AK119" s="244"/>
      <c r="AL119" s="244"/>
      <c r="AM119" s="244"/>
      <c r="AN119" s="244"/>
      <c r="AO119" s="244"/>
      <c r="AP119" s="244"/>
      <c r="AQ119" s="244"/>
      <c r="AR119" s="244"/>
      <c r="AS119" s="244"/>
      <c r="AT119" s="244"/>
      <c r="AU119" s="244"/>
      <c r="AV119" s="244"/>
      <c r="AW119" s="244"/>
      <c r="AX119" s="244"/>
      <c r="AY119" s="244"/>
      <c r="AZ119" s="244"/>
      <c r="BA119" s="244"/>
      <c r="BB119" s="244"/>
      <c r="BC119" s="244"/>
      <c r="BD119" s="244"/>
      <c r="BE119" s="244"/>
      <c r="BF119" s="244"/>
      <c r="BG119" s="244"/>
      <c r="BH119" s="244"/>
      <c r="BI119" s="244"/>
      <c r="BJ119" s="244"/>
      <c r="BK119" s="244"/>
      <c r="BL119" s="244"/>
      <c r="BM119" s="244"/>
      <c r="BN119" s="244"/>
      <c r="BO119" s="244"/>
      <c r="BP119" s="244"/>
      <c r="BQ119" s="244"/>
      <c r="BR119" s="244"/>
      <c r="BS119" s="244"/>
      <c r="BT119" s="244"/>
      <c r="BU119" s="244"/>
      <c r="BV119" s="244"/>
      <c r="BW119" s="244"/>
      <c r="BX119" s="244"/>
      <c r="BY119" s="244"/>
      <c r="BZ119" s="244"/>
      <c r="CA119" s="244"/>
      <c r="CB119" s="244"/>
      <c r="CC119" s="244"/>
      <c r="CD119" s="244"/>
      <c r="CE119" s="244"/>
      <c r="CF119" s="244"/>
    </row>
    <row r="120">
      <c r="A120" s="244"/>
      <c r="B120" s="246"/>
      <c r="C120" s="244"/>
      <c r="D120" s="244"/>
      <c r="E120" s="244"/>
      <c r="F120" s="244"/>
      <c r="G120" s="244"/>
      <c r="H120" s="244"/>
      <c r="I120" s="244"/>
      <c r="J120" s="244"/>
      <c r="K120" s="244"/>
      <c r="L120" s="244"/>
      <c r="M120" s="244"/>
      <c r="N120" s="244"/>
      <c r="O120" s="244"/>
      <c r="P120" s="244"/>
      <c r="Q120" s="244"/>
      <c r="R120" s="244"/>
      <c r="S120" s="244"/>
      <c r="T120" s="244"/>
      <c r="U120" s="244"/>
      <c r="V120" s="244"/>
      <c r="W120" s="244"/>
      <c r="X120" s="244"/>
      <c r="Y120" s="244"/>
      <c r="Z120" s="244"/>
      <c r="AA120" s="244"/>
      <c r="AB120" s="244"/>
      <c r="AC120" s="244"/>
      <c r="AD120" s="244"/>
      <c r="AE120" s="244"/>
      <c r="AF120" s="244"/>
      <c r="AG120" s="244"/>
      <c r="AH120" s="244"/>
      <c r="AI120" s="244"/>
      <c r="AJ120" s="244"/>
      <c r="AK120" s="244"/>
      <c r="AL120" s="244"/>
      <c r="AM120" s="244"/>
      <c r="AN120" s="244"/>
      <c r="AO120" s="244"/>
      <c r="AP120" s="244"/>
      <c r="AQ120" s="244"/>
      <c r="AR120" s="244"/>
      <c r="AS120" s="244"/>
      <c r="AT120" s="244"/>
      <c r="AU120" s="244"/>
      <c r="AV120" s="244"/>
      <c r="AW120" s="244"/>
      <c r="AX120" s="244"/>
      <c r="AY120" s="244"/>
      <c r="AZ120" s="244"/>
      <c r="BA120" s="244"/>
      <c r="BB120" s="244"/>
      <c r="BC120" s="244"/>
      <c r="BD120" s="244"/>
      <c r="BE120" s="244"/>
      <c r="BF120" s="244"/>
      <c r="BG120" s="244"/>
      <c r="BH120" s="244"/>
      <c r="BI120" s="244"/>
      <c r="BJ120" s="244"/>
      <c r="BK120" s="244"/>
      <c r="BL120" s="244"/>
      <c r="BM120" s="244"/>
      <c r="BN120" s="244"/>
      <c r="BO120" s="244"/>
      <c r="BP120" s="244"/>
      <c r="BQ120" s="244"/>
      <c r="BR120" s="244"/>
      <c r="BS120" s="244"/>
      <c r="BT120" s="244"/>
      <c r="BU120" s="244"/>
      <c r="BV120" s="244"/>
      <c r="BW120" s="244"/>
      <c r="BX120" s="244"/>
      <c r="BY120" s="244"/>
      <c r="BZ120" s="244"/>
      <c r="CA120" s="244"/>
      <c r="CB120" s="244"/>
      <c r="CC120" s="244"/>
      <c r="CD120" s="244"/>
      <c r="CE120" s="244"/>
      <c r="CF120" s="244"/>
    </row>
    <row r="121">
      <c r="A121" s="244"/>
      <c r="B121" s="246"/>
      <c r="C121" s="244"/>
      <c r="D121" s="244"/>
      <c r="E121" s="244"/>
      <c r="F121" s="244"/>
      <c r="G121" s="244"/>
      <c r="H121" s="244"/>
      <c r="I121" s="244"/>
      <c r="J121" s="244"/>
      <c r="K121" s="244"/>
      <c r="L121" s="244"/>
      <c r="M121" s="244"/>
      <c r="N121" s="244"/>
      <c r="O121" s="244"/>
      <c r="P121" s="244"/>
      <c r="Q121" s="244"/>
      <c r="R121" s="244"/>
      <c r="S121" s="244"/>
      <c r="T121" s="244"/>
      <c r="U121" s="244"/>
      <c r="V121" s="244"/>
      <c r="W121" s="244"/>
      <c r="X121" s="244"/>
      <c r="Y121" s="244"/>
      <c r="Z121" s="244"/>
      <c r="AA121" s="244"/>
      <c r="AB121" s="244"/>
      <c r="AC121" s="244"/>
      <c r="AD121" s="244"/>
      <c r="AE121" s="244"/>
      <c r="AF121" s="244"/>
      <c r="AG121" s="244"/>
      <c r="AH121" s="244"/>
      <c r="AI121" s="244"/>
      <c r="AJ121" s="244"/>
      <c r="AK121" s="244"/>
      <c r="AL121" s="244"/>
      <c r="AM121" s="244"/>
      <c r="AN121" s="244"/>
      <c r="AO121" s="244"/>
      <c r="AP121" s="244"/>
      <c r="AQ121" s="244"/>
      <c r="AR121" s="244"/>
      <c r="AS121" s="244"/>
      <c r="AT121" s="244"/>
      <c r="AU121" s="244"/>
      <c r="AV121" s="244"/>
      <c r="AW121" s="244"/>
      <c r="AX121" s="244"/>
      <c r="AY121" s="244"/>
      <c r="AZ121" s="244"/>
      <c r="BA121" s="244"/>
      <c r="BB121" s="244"/>
      <c r="BC121" s="244"/>
      <c r="BD121" s="244"/>
      <c r="BE121" s="244"/>
      <c r="BF121" s="244"/>
      <c r="BG121" s="244"/>
      <c r="BH121" s="244"/>
      <c r="BI121" s="244"/>
      <c r="BJ121" s="244"/>
      <c r="BK121" s="244"/>
      <c r="BL121" s="244"/>
      <c r="BM121" s="244"/>
      <c r="BN121" s="244"/>
      <c r="BO121" s="244"/>
      <c r="BP121" s="244"/>
      <c r="BQ121" s="244"/>
      <c r="BR121" s="244"/>
      <c r="BS121" s="244"/>
      <c r="BT121" s="244"/>
      <c r="BU121" s="244"/>
      <c r="BV121" s="244"/>
      <c r="BW121" s="244"/>
      <c r="BX121" s="244"/>
      <c r="BY121" s="244"/>
      <c r="BZ121" s="244"/>
      <c r="CA121" s="244"/>
      <c r="CB121" s="244"/>
      <c r="CC121" s="244"/>
      <c r="CD121" s="244"/>
      <c r="CE121" s="244"/>
      <c r="CF121" s="244"/>
    </row>
    <row r="122">
      <c r="A122" s="244"/>
      <c r="B122" s="246"/>
      <c r="C122" s="244"/>
      <c r="D122" s="244"/>
      <c r="E122" s="244"/>
      <c r="F122" s="244"/>
      <c r="G122" s="244"/>
      <c r="H122" s="244"/>
      <c r="I122" s="244"/>
      <c r="J122" s="244"/>
      <c r="K122" s="244"/>
      <c r="L122" s="244"/>
      <c r="M122" s="244"/>
      <c r="N122" s="244"/>
      <c r="O122" s="244"/>
      <c r="P122" s="244"/>
      <c r="Q122" s="244"/>
      <c r="R122" s="244"/>
      <c r="S122" s="244"/>
      <c r="T122" s="244"/>
      <c r="U122" s="244"/>
      <c r="V122" s="244"/>
      <c r="W122" s="244"/>
      <c r="X122" s="244"/>
      <c r="Y122" s="244"/>
      <c r="Z122" s="244"/>
      <c r="AA122" s="244"/>
      <c r="AB122" s="244"/>
      <c r="AC122" s="244"/>
      <c r="AD122" s="244"/>
      <c r="AE122" s="244"/>
      <c r="AF122" s="244"/>
      <c r="AG122" s="244"/>
      <c r="AH122" s="244"/>
      <c r="AI122" s="244"/>
      <c r="AJ122" s="244"/>
      <c r="AK122" s="244"/>
      <c r="AL122" s="244"/>
      <c r="AM122" s="244"/>
      <c r="AN122" s="244"/>
      <c r="AO122" s="244"/>
      <c r="AP122" s="244"/>
      <c r="AQ122" s="244"/>
      <c r="AR122" s="244"/>
      <c r="AS122" s="244"/>
      <c r="AT122" s="244"/>
      <c r="AU122" s="244"/>
      <c r="AV122" s="244"/>
      <c r="AW122" s="244"/>
      <c r="AX122" s="244"/>
      <c r="AY122" s="244"/>
      <c r="AZ122" s="244"/>
      <c r="BA122" s="244"/>
      <c r="BB122" s="244"/>
      <c r="BC122" s="244"/>
      <c r="BD122" s="244"/>
      <c r="BE122" s="244"/>
      <c r="BF122" s="244"/>
      <c r="BG122" s="244"/>
      <c r="BH122" s="244"/>
      <c r="BI122" s="244"/>
      <c r="BJ122" s="244"/>
      <c r="BK122" s="244"/>
      <c r="BL122" s="244"/>
      <c r="BM122" s="244"/>
      <c r="BN122" s="244"/>
      <c r="BO122" s="244"/>
      <c r="BP122" s="244"/>
      <c r="BQ122" s="244"/>
      <c r="BR122" s="244"/>
      <c r="BS122" s="244"/>
      <c r="BT122" s="244"/>
      <c r="BU122" s="244"/>
      <c r="BV122" s="244"/>
      <c r="BW122" s="244"/>
      <c r="BX122" s="244"/>
      <c r="BY122" s="244"/>
      <c r="BZ122" s="244"/>
      <c r="CA122" s="244"/>
      <c r="CB122" s="244"/>
      <c r="CC122" s="244"/>
      <c r="CD122" s="244"/>
      <c r="CE122" s="244"/>
      <c r="CF122" s="244"/>
    </row>
    <row r="123">
      <c r="A123" s="244"/>
      <c r="B123" s="246"/>
      <c r="C123" s="244"/>
      <c r="D123" s="244"/>
      <c r="E123" s="244"/>
      <c r="F123" s="244"/>
      <c r="G123" s="244"/>
      <c r="H123" s="244"/>
      <c r="I123" s="244"/>
      <c r="J123" s="244"/>
      <c r="K123" s="244"/>
      <c r="L123" s="244"/>
      <c r="M123" s="244"/>
      <c r="N123" s="244"/>
      <c r="O123" s="244"/>
      <c r="P123" s="244"/>
      <c r="Q123" s="244"/>
      <c r="R123" s="244"/>
      <c r="S123" s="244"/>
      <c r="T123" s="244"/>
      <c r="U123" s="244"/>
      <c r="V123" s="244"/>
      <c r="W123" s="244"/>
      <c r="X123" s="244"/>
      <c r="Y123" s="244"/>
      <c r="Z123" s="244"/>
      <c r="AA123" s="244"/>
      <c r="AB123" s="244"/>
      <c r="AC123" s="244"/>
      <c r="AD123" s="244"/>
      <c r="AE123" s="244"/>
      <c r="AF123" s="244"/>
      <c r="AG123" s="244"/>
      <c r="AH123" s="244"/>
      <c r="AI123" s="244"/>
      <c r="AJ123" s="244"/>
      <c r="AK123" s="244"/>
      <c r="AL123" s="244"/>
      <c r="AM123" s="244"/>
      <c r="AN123" s="244"/>
      <c r="AO123" s="244"/>
      <c r="AP123" s="244"/>
      <c r="AQ123" s="244"/>
      <c r="AR123" s="244"/>
      <c r="AS123" s="244"/>
      <c r="AT123" s="244"/>
      <c r="AU123" s="244"/>
      <c r="AV123" s="244"/>
      <c r="AW123" s="244"/>
      <c r="AX123" s="244"/>
      <c r="AY123" s="244"/>
      <c r="AZ123" s="244"/>
      <c r="BA123" s="244"/>
      <c r="BB123" s="244"/>
      <c r="BC123" s="244"/>
      <c r="BD123" s="244"/>
      <c r="BE123" s="244"/>
      <c r="BF123" s="244"/>
      <c r="BG123" s="244"/>
      <c r="BH123" s="244"/>
      <c r="BI123" s="244"/>
      <c r="BJ123" s="244"/>
      <c r="BK123" s="244"/>
      <c r="BL123" s="244"/>
      <c r="BM123" s="244"/>
      <c r="BN123" s="244"/>
      <c r="BO123" s="244"/>
      <c r="BP123" s="244"/>
      <c r="BQ123" s="244"/>
      <c r="BR123" s="244"/>
      <c r="BS123" s="244"/>
      <c r="BT123" s="244"/>
      <c r="BU123" s="244"/>
      <c r="BV123" s="244"/>
      <c r="BW123" s="244"/>
      <c r="BX123" s="244"/>
      <c r="BY123" s="244"/>
      <c r="BZ123" s="244"/>
      <c r="CA123" s="244"/>
      <c r="CB123" s="244"/>
      <c r="CC123" s="244"/>
      <c r="CD123" s="244"/>
      <c r="CE123" s="244"/>
      <c r="CF123" s="244"/>
    </row>
    <row r="124">
      <c r="A124" s="244"/>
      <c r="B124" s="246"/>
      <c r="C124" s="244"/>
      <c r="D124" s="244"/>
      <c r="E124" s="244"/>
      <c r="F124" s="244"/>
      <c r="G124" s="244"/>
      <c r="H124" s="244"/>
      <c r="I124" s="244"/>
      <c r="J124" s="244"/>
      <c r="K124" s="244"/>
      <c r="L124" s="244"/>
      <c r="M124" s="244"/>
      <c r="N124" s="244"/>
      <c r="O124" s="244"/>
      <c r="P124" s="244"/>
      <c r="Q124" s="244"/>
      <c r="R124" s="244"/>
      <c r="S124" s="244"/>
      <c r="T124" s="244"/>
      <c r="U124" s="244"/>
      <c r="V124" s="244"/>
      <c r="W124" s="244"/>
      <c r="X124" s="244"/>
      <c r="Y124" s="244"/>
      <c r="Z124" s="244"/>
      <c r="AA124" s="244"/>
      <c r="AB124" s="244"/>
      <c r="AC124" s="244"/>
      <c r="AD124" s="244"/>
      <c r="AE124" s="244"/>
      <c r="AF124" s="244"/>
      <c r="AG124" s="244"/>
      <c r="AH124" s="244"/>
      <c r="AI124" s="244"/>
      <c r="AJ124" s="244"/>
      <c r="AK124" s="244"/>
      <c r="AL124" s="244"/>
      <c r="AM124" s="244"/>
      <c r="AN124" s="244"/>
      <c r="AO124" s="244"/>
      <c r="AP124" s="244"/>
      <c r="AQ124" s="244"/>
      <c r="AR124" s="244"/>
      <c r="AS124" s="244"/>
      <c r="AT124" s="244"/>
      <c r="AU124" s="244"/>
      <c r="AV124" s="244"/>
      <c r="AW124" s="244"/>
      <c r="AX124" s="244"/>
      <c r="AY124" s="244"/>
      <c r="AZ124" s="244"/>
      <c r="BA124" s="244"/>
      <c r="BB124" s="244"/>
      <c r="BC124" s="244"/>
      <c r="BD124" s="244"/>
      <c r="BE124" s="244"/>
      <c r="BF124" s="244"/>
      <c r="BG124" s="244"/>
      <c r="BH124" s="244"/>
      <c r="BI124" s="244"/>
      <c r="BJ124" s="244"/>
      <c r="BK124" s="244"/>
      <c r="BL124" s="244"/>
      <c r="BM124" s="244"/>
      <c r="BN124" s="244"/>
      <c r="BO124" s="244"/>
      <c r="BP124" s="244"/>
      <c r="BQ124" s="244"/>
      <c r="BR124" s="244"/>
      <c r="BS124" s="244"/>
      <c r="BT124" s="244"/>
      <c r="BU124" s="244"/>
      <c r="BV124" s="244"/>
      <c r="BW124" s="244"/>
      <c r="BX124" s="244"/>
      <c r="BY124" s="244"/>
      <c r="BZ124" s="244"/>
      <c r="CA124" s="244"/>
      <c r="CB124" s="244"/>
      <c r="CC124" s="244"/>
      <c r="CD124" s="244"/>
      <c r="CE124" s="244"/>
      <c r="CF124" s="244"/>
    </row>
    <row r="125">
      <c r="A125" s="244"/>
      <c r="B125" s="246"/>
      <c r="C125" s="244"/>
      <c r="D125" s="244"/>
      <c r="E125" s="244"/>
      <c r="F125" s="244"/>
      <c r="G125" s="244"/>
      <c r="H125" s="244"/>
      <c r="I125" s="244"/>
      <c r="J125" s="244"/>
      <c r="K125" s="244"/>
      <c r="L125" s="244"/>
      <c r="M125" s="244"/>
      <c r="N125" s="244"/>
      <c r="O125" s="244"/>
      <c r="P125" s="244"/>
      <c r="Q125" s="244"/>
      <c r="R125" s="244"/>
      <c r="S125" s="244"/>
      <c r="T125" s="244"/>
      <c r="U125" s="244"/>
      <c r="V125" s="244"/>
      <c r="W125" s="244"/>
      <c r="X125" s="244"/>
      <c r="Y125" s="244"/>
      <c r="Z125" s="244"/>
      <c r="AA125" s="244"/>
      <c r="AB125" s="244"/>
      <c r="AC125" s="244"/>
      <c r="AD125" s="244"/>
      <c r="AE125" s="244"/>
      <c r="AF125" s="244"/>
      <c r="AG125" s="244"/>
      <c r="AH125" s="244"/>
      <c r="AI125" s="244"/>
      <c r="AJ125" s="244"/>
      <c r="AK125" s="244"/>
      <c r="AL125" s="244"/>
      <c r="AM125" s="244"/>
      <c r="AN125" s="244"/>
      <c r="AO125" s="244"/>
      <c r="AP125" s="244"/>
      <c r="AQ125" s="244"/>
      <c r="AR125" s="244"/>
      <c r="AS125" s="244"/>
      <c r="AT125" s="244"/>
      <c r="AU125" s="244"/>
      <c r="AV125" s="244"/>
      <c r="AW125" s="244"/>
      <c r="AX125" s="244"/>
      <c r="AY125" s="244"/>
      <c r="AZ125" s="244"/>
      <c r="BA125" s="244"/>
      <c r="BB125" s="244"/>
      <c r="BC125" s="244"/>
      <c r="BD125" s="244"/>
      <c r="BE125" s="244"/>
      <c r="BF125" s="244"/>
      <c r="BG125" s="244"/>
      <c r="BH125" s="244"/>
      <c r="BI125" s="244"/>
      <c r="BJ125" s="244"/>
      <c r="BK125" s="244"/>
      <c r="BL125" s="244"/>
      <c r="BM125" s="244"/>
      <c r="BN125" s="244"/>
      <c r="BO125" s="244"/>
      <c r="BP125" s="244"/>
      <c r="BQ125" s="244"/>
      <c r="BR125" s="244"/>
      <c r="BS125" s="244"/>
      <c r="BT125" s="244"/>
      <c r="BU125" s="244"/>
      <c r="BV125" s="244"/>
      <c r="BW125" s="244"/>
      <c r="BX125" s="244"/>
      <c r="BY125" s="244"/>
      <c r="BZ125" s="244"/>
      <c r="CA125" s="244"/>
      <c r="CB125" s="244"/>
      <c r="CC125" s="244"/>
      <c r="CD125" s="244"/>
      <c r="CE125" s="244"/>
      <c r="CF125" s="244"/>
    </row>
    <row r="126">
      <c r="A126" s="244"/>
      <c r="B126" s="246"/>
      <c r="C126" s="244"/>
      <c r="D126" s="244"/>
      <c r="E126" s="244"/>
      <c r="F126" s="244"/>
      <c r="G126" s="244"/>
      <c r="H126" s="244"/>
      <c r="I126" s="244"/>
      <c r="J126" s="244"/>
      <c r="K126" s="244"/>
      <c r="L126" s="244"/>
      <c r="M126" s="244"/>
      <c r="N126" s="244"/>
      <c r="O126" s="244"/>
      <c r="P126" s="244"/>
      <c r="Q126" s="244"/>
      <c r="R126" s="244"/>
      <c r="S126" s="244"/>
      <c r="T126" s="244"/>
      <c r="U126" s="244"/>
      <c r="V126" s="244"/>
      <c r="W126" s="244"/>
      <c r="X126" s="244"/>
      <c r="Y126" s="244"/>
      <c r="Z126" s="244"/>
      <c r="AA126" s="244"/>
      <c r="AB126" s="244"/>
      <c r="AC126" s="244"/>
      <c r="AD126" s="244"/>
      <c r="AE126" s="244"/>
      <c r="AF126" s="244"/>
      <c r="AG126" s="244"/>
      <c r="AH126" s="244"/>
      <c r="AI126" s="244"/>
      <c r="AJ126" s="244"/>
      <c r="AK126" s="244"/>
      <c r="AL126" s="244"/>
      <c r="AM126" s="244"/>
      <c r="AN126" s="244"/>
      <c r="AO126" s="244"/>
      <c r="AP126" s="244"/>
      <c r="AQ126" s="244"/>
      <c r="AR126" s="244"/>
      <c r="AS126" s="244"/>
      <c r="AT126" s="244"/>
      <c r="AU126" s="244"/>
      <c r="AV126" s="244"/>
      <c r="AW126" s="244"/>
      <c r="AX126" s="244"/>
      <c r="AY126" s="244"/>
      <c r="AZ126" s="244"/>
      <c r="BA126" s="244"/>
      <c r="BB126" s="244"/>
      <c r="BC126" s="244"/>
      <c r="BD126" s="244"/>
      <c r="BE126" s="244"/>
      <c r="BF126" s="244"/>
      <c r="BG126" s="244"/>
      <c r="BH126" s="244"/>
      <c r="BI126" s="244"/>
      <c r="BJ126" s="244"/>
      <c r="BK126" s="244"/>
      <c r="BL126" s="244"/>
      <c r="BM126" s="244"/>
      <c r="BN126" s="244"/>
      <c r="BO126" s="244"/>
      <c r="BP126" s="244"/>
      <c r="BQ126" s="244"/>
      <c r="BR126" s="244"/>
      <c r="BS126" s="244"/>
      <c r="BT126" s="244"/>
      <c r="BU126" s="244"/>
      <c r="BV126" s="244"/>
      <c r="BW126" s="244"/>
      <c r="BX126" s="244"/>
      <c r="BY126" s="244"/>
      <c r="BZ126" s="244"/>
      <c r="CA126" s="244"/>
      <c r="CB126" s="244"/>
      <c r="CC126" s="244"/>
      <c r="CD126" s="244"/>
      <c r="CE126" s="244"/>
      <c r="CF126" s="244"/>
    </row>
    <row r="127">
      <c r="A127" s="244"/>
      <c r="B127" s="246"/>
      <c r="C127" s="244"/>
      <c r="D127" s="244"/>
      <c r="E127" s="244"/>
      <c r="F127" s="244"/>
      <c r="G127" s="244"/>
      <c r="H127" s="244"/>
      <c r="I127" s="244"/>
      <c r="J127" s="244"/>
      <c r="K127" s="244"/>
      <c r="L127" s="244"/>
      <c r="M127" s="244"/>
      <c r="N127" s="244"/>
      <c r="O127" s="244"/>
      <c r="P127" s="244"/>
      <c r="Q127" s="244"/>
      <c r="R127" s="244"/>
      <c r="S127" s="244"/>
      <c r="T127" s="244"/>
      <c r="U127" s="244"/>
      <c r="V127" s="244"/>
      <c r="W127" s="244"/>
      <c r="X127" s="244"/>
      <c r="Y127" s="244"/>
      <c r="Z127" s="244"/>
      <c r="AA127" s="244"/>
      <c r="AB127" s="244"/>
      <c r="AC127" s="244"/>
      <c r="AD127" s="244"/>
      <c r="AE127" s="244"/>
      <c r="AF127" s="244"/>
      <c r="AG127" s="244"/>
      <c r="AH127" s="244"/>
      <c r="AI127" s="244"/>
      <c r="AJ127" s="244"/>
      <c r="AK127" s="244"/>
      <c r="AL127" s="244"/>
      <c r="AM127" s="244"/>
      <c r="AN127" s="244"/>
      <c r="AO127" s="244"/>
      <c r="AP127" s="244"/>
      <c r="AQ127" s="244"/>
      <c r="AR127" s="244"/>
      <c r="AS127" s="244"/>
      <c r="AT127" s="244"/>
      <c r="AU127" s="244"/>
      <c r="AV127" s="244"/>
      <c r="AW127" s="244"/>
      <c r="AX127" s="244"/>
      <c r="AY127" s="244"/>
      <c r="AZ127" s="244"/>
      <c r="BA127" s="244"/>
      <c r="BB127" s="244"/>
      <c r="BC127" s="244"/>
      <c r="BD127" s="244"/>
      <c r="BE127" s="244"/>
      <c r="BF127" s="244"/>
      <c r="BG127" s="244"/>
      <c r="BH127" s="244"/>
      <c r="BI127" s="244"/>
      <c r="BJ127" s="244"/>
      <c r="BK127" s="244"/>
      <c r="BL127" s="244"/>
      <c r="BM127" s="244"/>
      <c r="BN127" s="244"/>
      <c r="BO127" s="244"/>
      <c r="BP127" s="244"/>
      <c r="BQ127" s="244"/>
      <c r="BR127" s="244"/>
      <c r="BS127" s="244"/>
      <c r="BT127" s="244"/>
      <c r="BU127" s="244"/>
      <c r="BV127" s="244"/>
      <c r="BW127" s="244"/>
      <c r="BX127" s="244"/>
      <c r="BY127" s="244"/>
      <c r="BZ127" s="244"/>
      <c r="CA127" s="244"/>
      <c r="CB127" s="244"/>
      <c r="CC127" s="244"/>
      <c r="CD127" s="244"/>
      <c r="CE127" s="244"/>
      <c r="CF127" s="244"/>
    </row>
    <row r="128">
      <c r="A128" s="244"/>
      <c r="B128" s="246"/>
      <c r="C128" s="244"/>
      <c r="D128" s="244"/>
      <c r="E128" s="244"/>
      <c r="F128" s="244"/>
      <c r="G128" s="244"/>
      <c r="H128" s="244"/>
      <c r="I128" s="244"/>
      <c r="J128" s="244"/>
      <c r="K128" s="244"/>
      <c r="L128" s="244"/>
      <c r="M128" s="244"/>
      <c r="N128" s="244"/>
      <c r="O128" s="244"/>
      <c r="P128" s="244"/>
      <c r="Q128" s="244"/>
      <c r="R128" s="244"/>
      <c r="S128" s="244"/>
      <c r="T128" s="244"/>
      <c r="U128" s="244"/>
      <c r="V128" s="244"/>
      <c r="W128" s="244"/>
      <c r="X128" s="244"/>
      <c r="Y128" s="244"/>
      <c r="Z128" s="244"/>
      <c r="AA128" s="244"/>
      <c r="AB128" s="244"/>
      <c r="AC128" s="244"/>
      <c r="AD128" s="244"/>
      <c r="AE128" s="244"/>
      <c r="AF128" s="244"/>
      <c r="AG128" s="244"/>
      <c r="AH128" s="244"/>
      <c r="AI128" s="244"/>
      <c r="AJ128" s="244"/>
      <c r="AK128" s="244"/>
      <c r="AL128" s="244"/>
      <c r="AM128" s="244"/>
      <c r="AN128" s="244"/>
      <c r="AO128" s="244"/>
      <c r="AP128" s="244"/>
      <c r="AQ128" s="244"/>
      <c r="AR128" s="244"/>
      <c r="AS128" s="244"/>
      <c r="AT128" s="244"/>
      <c r="AU128" s="244"/>
      <c r="AV128" s="244"/>
      <c r="AW128" s="244"/>
      <c r="AX128" s="244"/>
      <c r="AY128" s="244"/>
      <c r="AZ128" s="244"/>
      <c r="BA128" s="244"/>
      <c r="BB128" s="244"/>
      <c r="BC128" s="244"/>
      <c r="BD128" s="244"/>
      <c r="BE128" s="244"/>
      <c r="BF128" s="244"/>
      <c r="BG128" s="244"/>
      <c r="BH128" s="244"/>
      <c r="BI128" s="244"/>
      <c r="BJ128" s="244"/>
      <c r="BK128" s="244"/>
      <c r="BL128" s="244"/>
      <c r="BM128" s="244"/>
      <c r="BN128" s="244"/>
      <c r="BO128" s="244"/>
      <c r="BP128" s="244"/>
      <c r="BQ128" s="244"/>
      <c r="BR128" s="244"/>
      <c r="BS128" s="244"/>
      <c r="BT128" s="244"/>
      <c r="BU128" s="244"/>
      <c r="BV128" s="244"/>
      <c r="BW128" s="244"/>
      <c r="BX128" s="244"/>
      <c r="BY128" s="244"/>
      <c r="BZ128" s="244"/>
      <c r="CA128" s="244"/>
      <c r="CB128" s="244"/>
      <c r="CC128" s="244"/>
      <c r="CD128" s="244"/>
      <c r="CE128" s="244"/>
      <c r="CF128" s="244"/>
    </row>
    <row r="129">
      <c r="A129" s="244"/>
      <c r="B129" s="246"/>
      <c r="C129" s="244"/>
      <c r="D129" s="244"/>
      <c r="E129" s="244"/>
      <c r="F129" s="244"/>
      <c r="G129" s="244"/>
      <c r="H129" s="244"/>
      <c r="I129" s="244"/>
      <c r="J129" s="244"/>
      <c r="K129" s="244"/>
      <c r="L129" s="244"/>
      <c r="M129" s="244"/>
      <c r="N129" s="244"/>
      <c r="O129" s="244"/>
      <c r="P129" s="244"/>
      <c r="Q129" s="244"/>
      <c r="R129" s="244"/>
      <c r="S129" s="244"/>
      <c r="T129" s="244"/>
      <c r="U129" s="244"/>
      <c r="V129" s="244"/>
      <c r="W129" s="244"/>
      <c r="X129" s="244"/>
      <c r="Y129" s="244"/>
      <c r="Z129" s="244"/>
      <c r="AA129" s="244"/>
      <c r="AB129" s="244"/>
      <c r="AC129" s="244"/>
      <c r="AD129" s="244"/>
      <c r="AE129" s="244"/>
      <c r="AF129" s="244"/>
      <c r="AG129" s="244"/>
      <c r="AH129" s="244"/>
      <c r="AI129" s="244"/>
      <c r="AJ129" s="244"/>
      <c r="AK129" s="244"/>
      <c r="AL129" s="244"/>
      <c r="AM129" s="244"/>
      <c r="AN129" s="244"/>
      <c r="AO129" s="244"/>
      <c r="AP129" s="244"/>
      <c r="AQ129" s="244"/>
      <c r="AR129" s="244"/>
      <c r="AS129" s="244"/>
      <c r="AT129" s="244"/>
      <c r="AU129" s="244"/>
      <c r="AV129" s="244"/>
      <c r="AW129" s="244"/>
      <c r="AX129" s="244"/>
      <c r="AY129" s="244"/>
      <c r="AZ129" s="244"/>
      <c r="BA129" s="244"/>
      <c r="BB129" s="244"/>
      <c r="BC129" s="244"/>
      <c r="BD129" s="244"/>
      <c r="BE129" s="244"/>
      <c r="BF129" s="244"/>
      <c r="BG129" s="244"/>
      <c r="BH129" s="244"/>
      <c r="BI129" s="244"/>
      <c r="BJ129" s="244"/>
      <c r="BK129" s="244"/>
      <c r="BL129" s="244"/>
      <c r="BM129" s="244"/>
      <c r="BN129" s="244"/>
      <c r="BO129" s="244"/>
      <c r="BP129" s="244"/>
      <c r="BQ129" s="244"/>
      <c r="BR129" s="244"/>
      <c r="BS129" s="244"/>
      <c r="BT129" s="244"/>
      <c r="BU129" s="244"/>
      <c r="BV129" s="244"/>
      <c r="BW129" s="244"/>
      <c r="BX129" s="244"/>
      <c r="BY129" s="244"/>
      <c r="BZ129" s="244"/>
      <c r="CA129" s="244"/>
      <c r="CB129" s="244"/>
      <c r="CC129" s="244"/>
      <c r="CD129" s="244"/>
      <c r="CE129" s="244"/>
      <c r="CF129" s="244"/>
    </row>
    <row r="130">
      <c r="A130" s="244"/>
      <c r="B130" s="246"/>
      <c r="C130" s="244"/>
      <c r="D130" s="244"/>
      <c r="E130" s="244"/>
      <c r="F130" s="244"/>
      <c r="G130" s="244"/>
      <c r="H130" s="244"/>
      <c r="I130" s="244"/>
      <c r="J130" s="244"/>
      <c r="K130" s="244"/>
      <c r="L130" s="244"/>
      <c r="M130" s="244"/>
      <c r="N130" s="244"/>
      <c r="O130" s="244"/>
      <c r="P130" s="244"/>
      <c r="Q130" s="244"/>
      <c r="R130" s="244"/>
      <c r="S130" s="244"/>
      <c r="T130" s="244"/>
      <c r="U130" s="244"/>
      <c r="V130" s="244"/>
      <c r="W130" s="244"/>
      <c r="X130" s="244"/>
      <c r="Y130" s="244"/>
      <c r="Z130" s="244"/>
      <c r="AA130" s="244"/>
      <c r="AB130" s="244"/>
      <c r="AC130" s="244"/>
      <c r="AD130" s="244"/>
      <c r="AE130" s="244"/>
      <c r="AF130" s="244"/>
      <c r="AG130" s="244"/>
      <c r="AH130" s="244"/>
      <c r="AI130" s="244"/>
      <c r="AJ130" s="244"/>
      <c r="AK130" s="244"/>
      <c r="AL130" s="244"/>
      <c r="AM130" s="244"/>
      <c r="AN130" s="244"/>
      <c r="AO130" s="244"/>
      <c r="AP130" s="244"/>
      <c r="AQ130" s="244"/>
      <c r="AR130" s="244"/>
      <c r="AS130" s="244"/>
      <c r="AT130" s="244"/>
      <c r="AU130" s="244"/>
      <c r="AV130" s="244"/>
      <c r="AW130" s="244"/>
      <c r="AX130" s="244"/>
      <c r="AY130" s="244"/>
      <c r="AZ130" s="244"/>
      <c r="BA130" s="244"/>
      <c r="BB130" s="244"/>
      <c r="BC130" s="244"/>
      <c r="BD130" s="244"/>
      <c r="BE130" s="244"/>
      <c r="BF130" s="244"/>
      <c r="BG130" s="244"/>
      <c r="BH130" s="244"/>
      <c r="BI130" s="244"/>
      <c r="BJ130" s="244"/>
      <c r="BK130" s="244"/>
      <c r="BL130" s="244"/>
      <c r="BM130" s="244"/>
      <c r="BN130" s="244"/>
      <c r="BO130" s="244"/>
      <c r="BP130" s="244"/>
      <c r="BQ130" s="244"/>
      <c r="BR130" s="244"/>
      <c r="BS130" s="244"/>
      <c r="BT130" s="244"/>
      <c r="BU130" s="244"/>
      <c r="BV130" s="244"/>
      <c r="BW130" s="244"/>
      <c r="BX130" s="244"/>
      <c r="BY130" s="244"/>
      <c r="BZ130" s="244"/>
      <c r="CA130" s="244"/>
      <c r="CB130" s="244"/>
      <c r="CC130" s="244"/>
      <c r="CD130" s="244"/>
      <c r="CE130" s="244"/>
      <c r="CF130" s="244"/>
    </row>
    <row r="131">
      <c r="A131" s="244"/>
      <c r="B131" s="246"/>
      <c r="C131" s="244"/>
      <c r="D131" s="244"/>
      <c r="E131" s="244"/>
      <c r="F131" s="244"/>
      <c r="G131" s="244"/>
      <c r="H131" s="244"/>
      <c r="I131" s="244"/>
      <c r="J131" s="244"/>
      <c r="K131" s="244"/>
      <c r="L131" s="244"/>
      <c r="M131" s="244"/>
      <c r="N131" s="244"/>
      <c r="O131" s="244"/>
      <c r="P131" s="244"/>
      <c r="Q131" s="244"/>
      <c r="R131" s="244"/>
      <c r="S131" s="244"/>
      <c r="T131" s="244"/>
      <c r="U131" s="244"/>
      <c r="V131" s="244"/>
      <c r="W131" s="244"/>
      <c r="X131" s="244"/>
      <c r="Y131" s="244"/>
      <c r="Z131" s="244"/>
      <c r="AA131" s="244"/>
      <c r="AB131" s="244"/>
      <c r="AC131" s="244"/>
      <c r="AD131" s="244"/>
      <c r="AE131" s="244"/>
      <c r="AF131" s="244"/>
      <c r="AG131" s="244"/>
      <c r="AH131" s="244"/>
      <c r="AI131" s="244"/>
      <c r="AJ131" s="244"/>
      <c r="AK131" s="244"/>
      <c r="AL131" s="244"/>
      <c r="AM131" s="244"/>
      <c r="AN131" s="244"/>
      <c r="AO131" s="244"/>
      <c r="AP131" s="244"/>
      <c r="AQ131" s="244"/>
      <c r="AR131" s="244"/>
      <c r="AS131" s="244"/>
      <c r="AT131" s="244"/>
      <c r="AU131" s="244"/>
      <c r="AV131" s="244"/>
      <c r="AW131" s="244"/>
      <c r="AX131" s="244"/>
      <c r="AY131" s="244"/>
      <c r="AZ131" s="244"/>
      <c r="BA131" s="244"/>
      <c r="BB131" s="244"/>
      <c r="BC131" s="244"/>
      <c r="BD131" s="244"/>
      <c r="BE131" s="244"/>
      <c r="BF131" s="244"/>
      <c r="BG131" s="244"/>
      <c r="BH131" s="244"/>
      <c r="BI131" s="244"/>
      <c r="BJ131" s="244"/>
      <c r="BK131" s="244"/>
      <c r="BL131" s="244"/>
      <c r="BM131" s="244"/>
      <c r="BN131" s="244"/>
      <c r="BO131" s="244"/>
      <c r="BP131" s="244"/>
      <c r="BQ131" s="244"/>
      <c r="BR131" s="244"/>
      <c r="BS131" s="244"/>
      <c r="BT131" s="244"/>
      <c r="BU131" s="244"/>
      <c r="BV131" s="244"/>
      <c r="BW131" s="244"/>
      <c r="BX131" s="244"/>
      <c r="BY131" s="244"/>
      <c r="BZ131" s="244"/>
      <c r="CA131" s="244"/>
      <c r="CB131" s="244"/>
      <c r="CC131" s="244"/>
      <c r="CD131" s="244"/>
      <c r="CE131" s="244"/>
      <c r="CF131" s="244"/>
    </row>
    <row r="132">
      <c r="A132" s="244"/>
      <c r="B132" s="246"/>
      <c r="C132" s="244"/>
      <c r="D132" s="244"/>
      <c r="E132" s="244"/>
      <c r="F132" s="244"/>
      <c r="G132" s="244"/>
      <c r="H132" s="244"/>
      <c r="I132" s="244"/>
      <c r="J132" s="244"/>
      <c r="K132" s="244"/>
      <c r="L132" s="244"/>
      <c r="M132" s="244"/>
      <c r="N132" s="244"/>
      <c r="O132" s="244"/>
      <c r="P132" s="244"/>
      <c r="Q132" s="244"/>
      <c r="R132" s="244"/>
      <c r="S132" s="244"/>
      <c r="T132" s="244"/>
      <c r="U132" s="244"/>
      <c r="V132" s="244"/>
      <c r="W132" s="244"/>
      <c r="X132" s="244"/>
      <c r="Y132" s="244"/>
      <c r="Z132" s="244"/>
      <c r="AA132" s="244"/>
      <c r="AB132" s="244"/>
      <c r="AC132" s="244"/>
      <c r="AD132" s="244"/>
      <c r="AE132" s="244"/>
      <c r="AF132" s="244"/>
      <c r="AG132" s="244"/>
      <c r="AH132" s="244"/>
      <c r="AI132" s="244"/>
      <c r="AJ132" s="244"/>
      <c r="AK132" s="244"/>
      <c r="AL132" s="244"/>
      <c r="AM132" s="244"/>
      <c r="AN132" s="244"/>
      <c r="AO132" s="244"/>
      <c r="AP132" s="244"/>
      <c r="AQ132" s="244"/>
      <c r="AR132" s="244"/>
      <c r="AS132" s="244"/>
      <c r="AT132" s="244"/>
      <c r="AU132" s="244"/>
      <c r="AV132" s="244"/>
      <c r="AW132" s="244"/>
      <c r="AX132" s="244"/>
      <c r="AY132" s="244"/>
      <c r="AZ132" s="244"/>
      <c r="BA132" s="244"/>
      <c r="BB132" s="244"/>
      <c r="BC132" s="244"/>
      <c r="BD132" s="244"/>
      <c r="BE132" s="244"/>
      <c r="BF132" s="244"/>
      <c r="BG132" s="244"/>
      <c r="BH132" s="244"/>
      <c r="BI132" s="244"/>
      <c r="BJ132" s="244"/>
      <c r="BK132" s="244"/>
      <c r="BL132" s="244"/>
      <c r="BM132" s="244"/>
      <c r="BN132" s="244"/>
      <c r="BO132" s="244"/>
      <c r="BP132" s="244"/>
      <c r="BQ132" s="244"/>
      <c r="BR132" s="244"/>
      <c r="BS132" s="244"/>
      <c r="BT132" s="244"/>
      <c r="BU132" s="244"/>
      <c r="BV132" s="244"/>
      <c r="BW132" s="244"/>
      <c r="BX132" s="244"/>
      <c r="BY132" s="244"/>
      <c r="BZ132" s="244"/>
      <c r="CA132" s="244"/>
      <c r="CB132" s="244"/>
      <c r="CC132" s="244"/>
      <c r="CD132" s="244"/>
      <c r="CE132" s="244"/>
      <c r="CF132" s="244"/>
    </row>
    <row r="133">
      <c r="A133" s="244"/>
      <c r="B133" s="246"/>
      <c r="C133" s="244"/>
      <c r="D133" s="244"/>
      <c r="E133" s="244"/>
      <c r="F133" s="244"/>
      <c r="G133" s="244"/>
      <c r="H133" s="244"/>
      <c r="I133" s="244"/>
      <c r="J133" s="244"/>
      <c r="K133" s="244"/>
      <c r="L133" s="244"/>
      <c r="M133" s="244"/>
      <c r="N133" s="244"/>
      <c r="O133" s="244"/>
      <c r="P133" s="244"/>
      <c r="Q133" s="244"/>
      <c r="R133" s="244"/>
      <c r="S133" s="244"/>
      <c r="T133" s="244"/>
      <c r="U133" s="244"/>
      <c r="V133" s="244"/>
      <c r="W133" s="244"/>
      <c r="X133" s="244"/>
      <c r="Y133" s="244"/>
      <c r="Z133" s="244"/>
      <c r="AA133" s="244"/>
      <c r="AB133" s="244"/>
      <c r="AC133" s="244"/>
      <c r="AD133" s="244"/>
      <c r="AE133" s="244"/>
      <c r="AF133" s="244"/>
      <c r="AG133" s="244"/>
      <c r="AH133" s="244"/>
      <c r="AI133" s="244"/>
      <c r="AJ133" s="244"/>
      <c r="AK133" s="244"/>
      <c r="AL133" s="244"/>
      <c r="AM133" s="244"/>
      <c r="AN133" s="244"/>
      <c r="AO133" s="244"/>
      <c r="AP133" s="244"/>
      <c r="AQ133" s="244"/>
      <c r="AR133" s="244"/>
      <c r="AS133" s="244"/>
      <c r="AT133" s="244"/>
      <c r="AU133" s="244"/>
      <c r="AV133" s="244"/>
      <c r="AW133" s="244"/>
      <c r="AX133" s="244"/>
      <c r="AY133" s="244"/>
      <c r="AZ133" s="244"/>
      <c r="BA133" s="244"/>
      <c r="BB133" s="244"/>
      <c r="BC133" s="244"/>
      <c r="BD133" s="244"/>
      <c r="BE133" s="244"/>
      <c r="BF133" s="244"/>
      <c r="BG133" s="244"/>
      <c r="BH133" s="244"/>
      <c r="BI133" s="244"/>
      <c r="BJ133" s="244"/>
      <c r="BK133" s="244"/>
      <c r="BL133" s="244"/>
      <c r="BM133" s="244"/>
      <c r="BN133" s="244"/>
      <c r="BO133" s="244"/>
      <c r="BP133" s="244"/>
      <c r="BQ133" s="244"/>
      <c r="BR133" s="244"/>
      <c r="BS133" s="244"/>
      <c r="BT133" s="244"/>
      <c r="BU133" s="244"/>
      <c r="BV133" s="244"/>
      <c r="BW133" s="244"/>
      <c r="BX133" s="244"/>
      <c r="BY133" s="244"/>
      <c r="BZ133" s="244"/>
      <c r="CA133" s="244"/>
      <c r="CB133" s="244"/>
      <c r="CC133" s="244"/>
      <c r="CD133" s="244"/>
      <c r="CE133" s="244"/>
      <c r="CF133" s="244"/>
    </row>
    <row r="134">
      <c r="A134" s="244"/>
      <c r="B134" s="246"/>
      <c r="C134" s="244"/>
      <c r="D134" s="244"/>
      <c r="E134" s="244"/>
      <c r="F134" s="244"/>
      <c r="G134" s="244"/>
      <c r="H134" s="244"/>
      <c r="I134" s="244"/>
      <c r="J134" s="244"/>
      <c r="K134" s="244"/>
      <c r="L134" s="244"/>
      <c r="M134" s="244"/>
      <c r="N134" s="244"/>
      <c r="O134" s="244"/>
      <c r="P134" s="244"/>
      <c r="Q134" s="244"/>
      <c r="R134" s="244"/>
      <c r="S134" s="244"/>
      <c r="T134" s="244"/>
      <c r="U134" s="244"/>
      <c r="V134" s="244"/>
      <c r="W134" s="244"/>
      <c r="X134" s="244"/>
      <c r="Y134" s="244"/>
      <c r="Z134" s="244"/>
      <c r="AA134" s="244"/>
      <c r="AB134" s="244"/>
      <c r="AC134" s="244"/>
      <c r="AD134" s="244"/>
      <c r="AE134" s="244"/>
      <c r="AF134" s="244"/>
      <c r="AG134" s="244"/>
      <c r="AH134" s="244"/>
      <c r="AI134" s="244"/>
      <c r="AJ134" s="244"/>
      <c r="AK134" s="244"/>
      <c r="AL134" s="244"/>
      <c r="AM134" s="244"/>
      <c r="AN134" s="244"/>
      <c r="AO134" s="244"/>
      <c r="AP134" s="244"/>
      <c r="AQ134" s="244"/>
      <c r="AR134" s="244"/>
      <c r="AS134" s="244"/>
      <c r="AT134" s="244"/>
      <c r="AU134" s="244"/>
      <c r="AV134" s="244"/>
      <c r="AW134" s="244"/>
      <c r="AX134" s="244"/>
      <c r="AY134" s="244"/>
      <c r="AZ134" s="244"/>
      <c r="BA134" s="244"/>
      <c r="BB134" s="244"/>
      <c r="BC134" s="244"/>
      <c r="BD134" s="244"/>
      <c r="BE134" s="244"/>
      <c r="BF134" s="244"/>
      <c r="BG134" s="244"/>
      <c r="BH134" s="244"/>
      <c r="BI134" s="244"/>
      <c r="BJ134" s="244"/>
      <c r="BK134" s="244"/>
      <c r="BL134" s="244"/>
      <c r="BM134" s="244"/>
      <c r="BN134" s="244"/>
      <c r="BO134" s="244"/>
      <c r="BP134" s="244"/>
      <c r="BQ134" s="244"/>
      <c r="BR134" s="244"/>
      <c r="BS134" s="244"/>
      <c r="BT134" s="244"/>
      <c r="BU134" s="244"/>
      <c r="BV134" s="244"/>
      <c r="BW134" s="244"/>
      <c r="BX134" s="244"/>
      <c r="BY134" s="244"/>
      <c r="BZ134" s="244"/>
      <c r="CA134" s="244"/>
      <c r="CB134" s="244"/>
      <c r="CC134" s="244"/>
      <c r="CD134" s="244"/>
      <c r="CE134" s="244"/>
      <c r="CF134" s="244"/>
    </row>
    <row r="135">
      <c r="A135" s="244"/>
      <c r="B135" s="246"/>
      <c r="C135" s="244"/>
      <c r="D135" s="244"/>
      <c r="E135" s="244"/>
      <c r="F135" s="244"/>
      <c r="G135" s="244"/>
      <c r="H135" s="244"/>
      <c r="I135" s="244"/>
      <c r="J135" s="244"/>
      <c r="K135" s="244"/>
      <c r="L135" s="244"/>
      <c r="M135" s="244"/>
      <c r="N135" s="244"/>
      <c r="O135" s="244"/>
      <c r="P135" s="244"/>
      <c r="Q135" s="244"/>
      <c r="R135" s="244"/>
      <c r="S135" s="244"/>
      <c r="T135" s="244"/>
      <c r="U135" s="244"/>
      <c r="V135" s="244"/>
      <c r="W135" s="244"/>
      <c r="X135" s="244"/>
      <c r="Y135" s="244"/>
      <c r="Z135" s="244"/>
      <c r="AA135" s="244"/>
      <c r="AB135" s="244"/>
      <c r="AC135" s="244"/>
      <c r="AD135" s="244"/>
      <c r="AE135" s="244"/>
      <c r="AF135" s="244"/>
      <c r="AG135" s="244"/>
      <c r="AH135" s="244"/>
      <c r="AI135" s="244"/>
      <c r="AJ135" s="244"/>
      <c r="AK135" s="244"/>
      <c r="AL135" s="244"/>
      <c r="AM135" s="244"/>
      <c r="AN135" s="244"/>
      <c r="AO135" s="244"/>
      <c r="AP135" s="244"/>
      <c r="AQ135" s="244"/>
      <c r="AR135" s="244"/>
      <c r="AS135" s="244"/>
      <c r="AT135" s="244"/>
      <c r="AU135" s="244"/>
      <c r="AV135" s="244"/>
      <c r="AW135" s="244"/>
      <c r="AX135" s="244"/>
      <c r="AY135" s="244"/>
      <c r="AZ135" s="244"/>
      <c r="BA135" s="244"/>
      <c r="BB135" s="244"/>
      <c r="BC135" s="244"/>
      <c r="BD135" s="244"/>
      <c r="BE135" s="244"/>
      <c r="BF135" s="244"/>
      <c r="BG135" s="244"/>
      <c r="BH135" s="244"/>
      <c r="BI135" s="244"/>
      <c r="BJ135" s="244"/>
      <c r="BK135" s="244"/>
      <c r="BL135" s="244"/>
      <c r="BM135" s="244"/>
      <c r="BN135" s="244"/>
      <c r="BO135" s="244"/>
      <c r="BP135" s="244"/>
      <c r="BQ135" s="244"/>
      <c r="BR135" s="244"/>
      <c r="BS135" s="244"/>
      <c r="BT135" s="244"/>
      <c r="BU135" s="244"/>
      <c r="BV135" s="244"/>
      <c r="BW135" s="244"/>
      <c r="BX135" s="244"/>
      <c r="BY135" s="244"/>
      <c r="BZ135" s="244"/>
      <c r="CA135" s="244"/>
      <c r="CB135" s="244"/>
      <c r="CC135" s="244"/>
      <c r="CD135" s="244"/>
      <c r="CE135" s="244"/>
      <c r="CF135" s="244"/>
    </row>
    <row r="136">
      <c r="A136" s="244"/>
      <c r="B136" s="246"/>
      <c r="C136" s="244"/>
      <c r="D136" s="244"/>
      <c r="E136" s="244"/>
      <c r="F136" s="244"/>
      <c r="G136" s="244"/>
      <c r="H136" s="244"/>
      <c r="I136" s="244"/>
      <c r="J136" s="244"/>
      <c r="K136" s="244"/>
      <c r="L136" s="244"/>
      <c r="M136" s="244"/>
      <c r="N136" s="244"/>
      <c r="O136" s="244"/>
      <c r="P136" s="244"/>
      <c r="Q136" s="244"/>
      <c r="R136" s="244"/>
      <c r="S136" s="244"/>
      <c r="T136" s="244"/>
      <c r="U136" s="244"/>
      <c r="V136" s="244"/>
      <c r="W136" s="244"/>
      <c r="X136" s="244"/>
      <c r="Y136" s="244"/>
      <c r="Z136" s="244"/>
      <c r="AA136" s="244"/>
      <c r="AB136" s="244"/>
      <c r="AC136" s="244"/>
      <c r="AD136" s="244"/>
      <c r="AE136" s="244"/>
      <c r="AF136" s="244"/>
      <c r="AG136" s="244"/>
      <c r="AH136" s="244"/>
      <c r="AI136" s="244"/>
      <c r="AJ136" s="244"/>
      <c r="AK136" s="244"/>
      <c r="AL136" s="244"/>
      <c r="AM136" s="244"/>
      <c r="AN136" s="244"/>
      <c r="AO136" s="244"/>
      <c r="AP136" s="244"/>
      <c r="AQ136" s="244"/>
      <c r="AR136" s="244"/>
      <c r="AS136" s="244"/>
      <c r="AT136" s="244"/>
      <c r="AU136" s="244"/>
      <c r="AV136" s="244"/>
      <c r="AW136" s="244"/>
      <c r="AX136" s="244"/>
      <c r="AY136" s="244"/>
      <c r="AZ136" s="244"/>
      <c r="BA136" s="244"/>
      <c r="BB136" s="244"/>
      <c r="BC136" s="244"/>
      <c r="BD136" s="244"/>
      <c r="BE136" s="244"/>
      <c r="BF136" s="244"/>
      <c r="BG136" s="244"/>
      <c r="BH136" s="244"/>
      <c r="BI136" s="244"/>
      <c r="BJ136" s="244"/>
      <c r="BK136" s="244"/>
      <c r="BL136" s="244"/>
      <c r="BM136" s="244"/>
      <c r="BN136" s="244"/>
      <c r="BO136" s="244"/>
      <c r="BP136" s="244"/>
      <c r="BQ136" s="244"/>
      <c r="BR136" s="244"/>
      <c r="BS136" s="244"/>
      <c r="BT136" s="244"/>
      <c r="BU136" s="244"/>
      <c r="BV136" s="244"/>
      <c r="BW136" s="244"/>
      <c r="BX136" s="244"/>
      <c r="BY136" s="244"/>
      <c r="BZ136" s="244"/>
      <c r="CA136" s="244"/>
      <c r="CB136" s="244"/>
      <c r="CC136" s="244"/>
      <c r="CD136" s="244"/>
      <c r="CE136" s="244"/>
      <c r="CF136" s="244"/>
    </row>
    <row r="137">
      <c r="A137" s="244"/>
      <c r="B137" s="246"/>
      <c r="C137" s="244"/>
      <c r="D137" s="244"/>
      <c r="E137" s="244"/>
      <c r="F137" s="244"/>
      <c r="G137" s="244"/>
      <c r="H137" s="244"/>
      <c r="I137" s="244"/>
      <c r="J137" s="244"/>
      <c r="K137" s="244"/>
      <c r="L137" s="244"/>
      <c r="M137" s="244"/>
      <c r="N137" s="244"/>
      <c r="O137" s="244"/>
      <c r="P137" s="244"/>
      <c r="Q137" s="244"/>
      <c r="R137" s="244"/>
      <c r="S137" s="244"/>
      <c r="T137" s="244"/>
      <c r="U137" s="244"/>
      <c r="V137" s="244"/>
      <c r="W137" s="244"/>
      <c r="X137" s="244"/>
      <c r="Y137" s="244"/>
      <c r="Z137" s="244"/>
      <c r="AA137" s="244"/>
      <c r="AB137" s="244"/>
      <c r="AC137" s="244"/>
      <c r="AD137" s="244"/>
      <c r="AE137" s="244"/>
      <c r="AF137" s="244"/>
      <c r="AG137" s="244"/>
      <c r="AH137" s="244"/>
      <c r="AI137" s="244"/>
      <c r="AJ137" s="244"/>
      <c r="AK137" s="244"/>
      <c r="AL137" s="244"/>
      <c r="AM137" s="244"/>
      <c r="AN137" s="244"/>
      <c r="AO137" s="244"/>
      <c r="AP137" s="244"/>
      <c r="AQ137" s="244"/>
      <c r="AR137" s="244"/>
      <c r="AS137" s="244"/>
      <c r="AT137" s="244"/>
      <c r="AU137" s="244"/>
      <c r="AV137" s="244"/>
      <c r="AW137" s="244"/>
      <c r="AX137" s="244"/>
      <c r="AY137" s="244"/>
      <c r="AZ137" s="244"/>
      <c r="BA137" s="244"/>
      <c r="BB137" s="244"/>
      <c r="BC137" s="244"/>
      <c r="BD137" s="244"/>
      <c r="BE137" s="244"/>
      <c r="BF137" s="244"/>
      <c r="BG137" s="244"/>
      <c r="BH137" s="244"/>
      <c r="BI137" s="244"/>
      <c r="BJ137" s="244"/>
      <c r="BK137" s="244"/>
      <c r="BL137" s="244"/>
      <c r="BM137" s="244"/>
      <c r="BN137" s="244"/>
      <c r="BO137" s="244"/>
      <c r="BP137" s="244"/>
      <c r="BQ137" s="244"/>
      <c r="BR137" s="244"/>
      <c r="BS137" s="244"/>
      <c r="BT137" s="244"/>
      <c r="BU137" s="244"/>
      <c r="BV137" s="244"/>
      <c r="BW137" s="244"/>
      <c r="BX137" s="244"/>
      <c r="BY137" s="244"/>
      <c r="BZ137" s="244"/>
      <c r="CA137" s="244"/>
      <c r="CB137" s="244"/>
      <c r="CC137" s="244"/>
      <c r="CD137" s="244"/>
      <c r="CE137" s="244"/>
      <c r="CF137" s="244"/>
    </row>
    <row r="138">
      <c r="A138" s="244"/>
      <c r="B138" s="246"/>
      <c r="C138" s="244"/>
      <c r="D138" s="244"/>
      <c r="E138" s="244"/>
      <c r="F138" s="244"/>
      <c r="G138" s="244"/>
      <c r="H138" s="244"/>
      <c r="I138" s="244"/>
      <c r="J138" s="244"/>
      <c r="K138" s="244"/>
      <c r="L138" s="244"/>
      <c r="M138" s="244"/>
      <c r="N138" s="244"/>
      <c r="O138" s="244"/>
      <c r="P138" s="244"/>
      <c r="Q138" s="244"/>
      <c r="R138" s="244"/>
      <c r="S138" s="244"/>
      <c r="T138" s="244"/>
      <c r="U138" s="244"/>
      <c r="V138" s="244"/>
      <c r="W138" s="244"/>
      <c r="X138" s="244"/>
      <c r="Y138" s="244"/>
      <c r="Z138" s="244"/>
      <c r="AA138" s="244"/>
      <c r="AB138" s="244"/>
      <c r="AC138" s="244"/>
      <c r="AD138" s="244"/>
      <c r="AE138" s="244"/>
      <c r="AF138" s="244"/>
      <c r="AG138" s="244"/>
      <c r="AH138" s="244"/>
      <c r="AI138" s="244"/>
      <c r="AJ138" s="244"/>
      <c r="AK138" s="244"/>
      <c r="AL138" s="244"/>
      <c r="AM138" s="244"/>
      <c r="AN138" s="244"/>
      <c r="AO138" s="244"/>
      <c r="AP138" s="244"/>
      <c r="AQ138" s="244"/>
      <c r="AR138" s="244"/>
      <c r="AS138" s="244"/>
      <c r="AT138" s="244"/>
      <c r="AU138" s="244"/>
      <c r="AV138" s="244"/>
      <c r="AW138" s="244"/>
      <c r="AX138" s="244"/>
      <c r="AY138" s="244"/>
      <c r="AZ138" s="244"/>
      <c r="BA138" s="244"/>
      <c r="BB138" s="244"/>
      <c r="BC138" s="244"/>
      <c r="BD138" s="244"/>
      <c r="BE138" s="244"/>
      <c r="BF138" s="244"/>
      <c r="BG138" s="244"/>
      <c r="BH138" s="244"/>
      <c r="BI138" s="244"/>
      <c r="BJ138" s="244"/>
      <c r="BK138" s="244"/>
      <c r="BL138" s="244"/>
      <c r="BM138" s="244"/>
      <c r="BN138" s="244"/>
      <c r="BO138" s="244"/>
      <c r="BP138" s="244"/>
      <c r="BQ138" s="244"/>
      <c r="BR138" s="244"/>
      <c r="BS138" s="244"/>
      <c r="BT138" s="244"/>
      <c r="BU138" s="244"/>
      <c r="BV138" s="244"/>
      <c r="BW138" s="244"/>
      <c r="BX138" s="244"/>
      <c r="BY138" s="244"/>
      <c r="BZ138" s="244"/>
      <c r="CA138" s="244"/>
      <c r="CB138" s="244"/>
      <c r="CC138" s="244"/>
      <c r="CD138" s="244"/>
      <c r="CE138" s="244"/>
      <c r="CF138" s="244"/>
    </row>
    <row r="139">
      <c r="A139" s="244"/>
      <c r="B139" s="246"/>
      <c r="C139" s="244"/>
      <c r="D139" s="244"/>
      <c r="E139" s="244"/>
      <c r="F139" s="244"/>
      <c r="G139" s="244"/>
      <c r="H139" s="244"/>
      <c r="I139" s="244"/>
      <c r="J139" s="244"/>
      <c r="K139" s="244"/>
      <c r="L139" s="244"/>
      <c r="M139" s="244"/>
      <c r="N139" s="244"/>
      <c r="O139" s="244"/>
      <c r="P139" s="244"/>
      <c r="Q139" s="244"/>
      <c r="R139" s="244"/>
      <c r="S139" s="244"/>
      <c r="T139" s="244"/>
      <c r="U139" s="244"/>
      <c r="V139" s="244"/>
      <c r="W139" s="244"/>
      <c r="X139" s="244"/>
      <c r="Y139" s="244"/>
      <c r="Z139" s="244"/>
      <c r="AA139" s="244"/>
      <c r="AB139" s="244"/>
      <c r="AC139" s="244"/>
      <c r="AD139" s="244"/>
      <c r="AE139" s="244"/>
      <c r="AF139" s="244"/>
      <c r="AG139" s="244"/>
      <c r="AH139" s="244"/>
      <c r="AI139" s="244"/>
      <c r="AJ139" s="244"/>
      <c r="AK139" s="244"/>
      <c r="AL139" s="244"/>
      <c r="AM139" s="244"/>
      <c r="AN139" s="244"/>
      <c r="AO139" s="244"/>
      <c r="AP139" s="244"/>
      <c r="AQ139" s="244"/>
      <c r="AR139" s="244"/>
      <c r="AS139" s="244"/>
      <c r="AT139" s="244"/>
      <c r="AU139" s="244"/>
      <c r="AV139" s="244"/>
      <c r="AW139" s="244"/>
      <c r="AX139" s="244"/>
      <c r="AY139" s="244"/>
      <c r="AZ139" s="244"/>
      <c r="BA139" s="244"/>
      <c r="BB139" s="244"/>
      <c r="BC139" s="244"/>
      <c r="BD139" s="244"/>
      <c r="BE139" s="244"/>
      <c r="BF139" s="244"/>
      <c r="BG139" s="244"/>
      <c r="BH139" s="244"/>
      <c r="BI139" s="244"/>
      <c r="BJ139" s="244"/>
      <c r="BK139" s="244"/>
      <c r="BL139" s="244"/>
      <c r="BM139" s="244"/>
      <c r="BN139" s="244"/>
      <c r="BO139" s="244"/>
      <c r="BP139" s="244"/>
      <c r="BQ139" s="244"/>
      <c r="BR139" s="244"/>
      <c r="BS139" s="244"/>
      <c r="BT139" s="244"/>
      <c r="BU139" s="244"/>
      <c r="BV139" s="244"/>
      <c r="BW139" s="244"/>
      <c r="BX139" s="244"/>
      <c r="BY139" s="244"/>
      <c r="BZ139" s="244"/>
      <c r="CA139" s="244"/>
      <c r="CB139" s="244"/>
      <c r="CC139" s="244"/>
      <c r="CD139" s="244"/>
      <c r="CE139" s="244"/>
      <c r="CF139" s="244"/>
    </row>
    <row r="140">
      <c r="A140" s="244"/>
      <c r="B140" s="246"/>
      <c r="C140" s="244"/>
      <c r="D140" s="244"/>
      <c r="E140" s="244"/>
      <c r="F140" s="244"/>
      <c r="G140" s="244"/>
      <c r="H140" s="244"/>
      <c r="I140" s="244"/>
      <c r="J140" s="244"/>
      <c r="K140" s="244"/>
      <c r="L140" s="244"/>
      <c r="M140" s="244"/>
      <c r="N140" s="244"/>
      <c r="O140" s="244"/>
      <c r="P140" s="244"/>
      <c r="Q140" s="244"/>
      <c r="R140" s="244"/>
      <c r="S140" s="244"/>
      <c r="T140" s="244"/>
      <c r="U140" s="244"/>
      <c r="V140" s="244"/>
      <c r="W140" s="244"/>
      <c r="X140" s="244"/>
      <c r="Y140" s="244"/>
      <c r="Z140" s="244"/>
      <c r="AA140" s="244"/>
      <c r="AB140" s="244"/>
      <c r="AC140" s="244"/>
      <c r="AD140" s="244"/>
      <c r="AE140" s="244"/>
      <c r="AF140" s="244"/>
      <c r="AG140" s="244"/>
      <c r="AH140" s="244"/>
      <c r="AI140" s="244"/>
      <c r="AJ140" s="244"/>
      <c r="AK140" s="244"/>
      <c r="AL140" s="244"/>
      <c r="AM140" s="244"/>
      <c r="AN140" s="244"/>
      <c r="AO140" s="244"/>
      <c r="AP140" s="244"/>
      <c r="AQ140" s="244"/>
      <c r="AR140" s="244"/>
      <c r="AS140" s="244"/>
      <c r="AT140" s="244"/>
      <c r="AU140" s="244"/>
      <c r="AV140" s="244"/>
      <c r="AW140" s="244"/>
      <c r="AX140" s="244"/>
      <c r="AY140" s="244"/>
      <c r="AZ140" s="244"/>
      <c r="BA140" s="244"/>
      <c r="BB140" s="244"/>
      <c r="BC140" s="244"/>
      <c r="BD140" s="244"/>
      <c r="BE140" s="244"/>
      <c r="BF140" s="244"/>
      <c r="BG140" s="244"/>
      <c r="BH140" s="244"/>
      <c r="BI140" s="244"/>
      <c r="BJ140" s="244"/>
      <c r="BK140" s="244"/>
      <c r="BL140" s="244"/>
      <c r="BM140" s="244"/>
      <c r="BN140" s="244"/>
      <c r="BO140" s="244"/>
      <c r="BP140" s="244"/>
      <c r="BQ140" s="244"/>
      <c r="BR140" s="244"/>
      <c r="BS140" s="244"/>
      <c r="BT140" s="244"/>
      <c r="BU140" s="244"/>
      <c r="BV140" s="244"/>
      <c r="BW140" s="244"/>
      <c r="BX140" s="244"/>
      <c r="BY140" s="244"/>
      <c r="BZ140" s="244"/>
      <c r="CA140" s="244"/>
      <c r="CB140" s="244"/>
      <c r="CC140" s="244"/>
      <c r="CD140" s="244"/>
      <c r="CE140" s="244"/>
      <c r="CF140" s="244"/>
    </row>
    <row r="141">
      <c r="A141" s="244"/>
      <c r="B141" s="246"/>
      <c r="C141" s="244"/>
      <c r="D141" s="244"/>
      <c r="E141" s="244"/>
      <c r="F141" s="244"/>
      <c r="G141" s="244"/>
      <c r="H141" s="244"/>
      <c r="I141" s="244"/>
      <c r="J141" s="244"/>
      <c r="K141" s="244"/>
      <c r="L141" s="244"/>
      <c r="M141" s="244"/>
      <c r="N141" s="244"/>
      <c r="O141" s="244"/>
      <c r="P141" s="244"/>
      <c r="Q141" s="244"/>
      <c r="R141" s="244"/>
      <c r="S141" s="244"/>
      <c r="T141" s="244"/>
      <c r="U141" s="244"/>
      <c r="V141" s="244"/>
      <c r="W141" s="244"/>
      <c r="X141" s="244"/>
      <c r="Y141" s="244"/>
      <c r="Z141" s="244"/>
      <c r="AA141" s="244"/>
      <c r="AB141" s="244"/>
      <c r="AC141" s="244"/>
      <c r="AD141" s="244"/>
      <c r="AE141" s="244"/>
      <c r="AF141" s="244"/>
      <c r="AG141" s="244"/>
      <c r="AH141" s="244"/>
      <c r="AI141" s="244"/>
      <c r="AJ141" s="244"/>
      <c r="AK141" s="244"/>
      <c r="AL141" s="244"/>
      <c r="AM141" s="244"/>
      <c r="AN141" s="244"/>
      <c r="AO141" s="244"/>
      <c r="AP141" s="244"/>
      <c r="AQ141" s="244"/>
      <c r="AR141" s="244"/>
      <c r="AS141" s="244"/>
      <c r="AT141" s="244"/>
      <c r="AU141" s="244"/>
      <c r="AV141" s="244"/>
      <c r="AW141" s="244"/>
      <c r="AX141" s="244"/>
      <c r="AY141" s="244"/>
      <c r="AZ141" s="244"/>
      <c r="BA141" s="244"/>
      <c r="BB141" s="244"/>
      <c r="BC141" s="244"/>
      <c r="BD141" s="244"/>
      <c r="BE141" s="244"/>
      <c r="BF141" s="244"/>
      <c r="BG141" s="244"/>
      <c r="BH141" s="244"/>
      <c r="BI141" s="244"/>
      <c r="BJ141" s="244"/>
      <c r="BK141" s="244"/>
      <c r="BL141" s="244"/>
      <c r="BM141" s="244"/>
      <c r="BN141" s="244"/>
      <c r="BO141" s="244"/>
      <c r="BP141" s="244"/>
      <c r="BQ141" s="244"/>
      <c r="BR141" s="244"/>
      <c r="BS141" s="244"/>
      <c r="BT141" s="244"/>
      <c r="BU141" s="244"/>
      <c r="BV141" s="244"/>
      <c r="BW141" s="244"/>
      <c r="BX141" s="244"/>
      <c r="BY141" s="244"/>
      <c r="BZ141" s="244"/>
      <c r="CA141" s="244"/>
      <c r="CB141" s="244"/>
      <c r="CC141" s="244"/>
      <c r="CD141" s="244"/>
      <c r="CE141" s="244"/>
      <c r="CF141" s="244"/>
    </row>
    <row r="142">
      <c r="A142" s="244"/>
      <c r="B142" s="246"/>
      <c r="C142" s="244"/>
      <c r="D142" s="244"/>
      <c r="E142" s="244"/>
      <c r="F142" s="244"/>
      <c r="G142" s="244"/>
      <c r="H142" s="244"/>
      <c r="I142" s="244"/>
      <c r="J142" s="244"/>
      <c r="K142" s="244"/>
      <c r="L142" s="244"/>
      <c r="M142" s="244"/>
      <c r="N142" s="244"/>
      <c r="O142" s="244"/>
      <c r="P142" s="244"/>
      <c r="Q142" s="244"/>
      <c r="R142" s="244"/>
      <c r="S142" s="244"/>
      <c r="T142" s="244"/>
      <c r="U142" s="244"/>
      <c r="V142" s="244"/>
      <c r="W142" s="244"/>
      <c r="X142" s="244"/>
      <c r="Y142" s="244"/>
      <c r="Z142" s="244"/>
      <c r="AA142" s="244"/>
      <c r="AB142" s="244"/>
      <c r="AC142" s="244"/>
      <c r="AD142" s="244"/>
      <c r="AE142" s="244"/>
      <c r="AF142" s="244"/>
      <c r="AG142" s="244"/>
      <c r="AH142" s="244"/>
      <c r="AI142" s="244"/>
      <c r="AJ142" s="244"/>
      <c r="AK142" s="244"/>
      <c r="AL142" s="244"/>
      <c r="AM142" s="244"/>
      <c r="AN142" s="244"/>
      <c r="AO142" s="244"/>
      <c r="AP142" s="244"/>
      <c r="AQ142" s="244"/>
      <c r="AR142" s="244"/>
      <c r="AS142" s="244"/>
      <c r="AT142" s="244"/>
      <c r="AU142" s="244"/>
      <c r="AV142" s="244"/>
      <c r="AW142" s="244"/>
      <c r="AX142" s="244"/>
      <c r="AY142" s="244"/>
      <c r="AZ142" s="244"/>
      <c r="BA142" s="244"/>
      <c r="BB142" s="244"/>
      <c r="BC142" s="244"/>
      <c r="BD142" s="244"/>
      <c r="BE142" s="244"/>
      <c r="BF142" s="244"/>
      <c r="BG142" s="244"/>
      <c r="BH142" s="244"/>
      <c r="BI142" s="244"/>
      <c r="BJ142" s="244"/>
      <c r="BK142" s="244"/>
      <c r="BL142" s="244"/>
      <c r="BM142" s="244"/>
      <c r="BN142" s="244"/>
      <c r="BO142" s="244"/>
      <c r="BP142" s="244"/>
      <c r="BQ142" s="244"/>
      <c r="BR142" s="244"/>
      <c r="BS142" s="244"/>
      <c r="BT142" s="244"/>
      <c r="BU142" s="244"/>
      <c r="BV142" s="244"/>
      <c r="BW142" s="244"/>
      <c r="BX142" s="244"/>
      <c r="BY142" s="244"/>
      <c r="BZ142" s="244"/>
      <c r="CA142" s="244"/>
      <c r="CB142" s="244"/>
      <c r="CC142" s="244"/>
      <c r="CD142" s="244"/>
      <c r="CE142" s="244"/>
      <c r="CF142" s="244"/>
    </row>
    <row r="143">
      <c r="A143" s="244"/>
      <c r="B143" s="246"/>
      <c r="C143" s="244"/>
      <c r="D143" s="244"/>
      <c r="E143" s="244"/>
      <c r="F143" s="244"/>
      <c r="G143" s="244"/>
      <c r="H143" s="244"/>
      <c r="I143" s="244"/>
      <c r="J143" s="244"/>
      <c r="K143" s="244"/>
      <c r="L143" s="244"/>
      <c r="M143" s="244"/>
      <c r="N143" s="244"/>
      <c r="O143" s="244"/>
      <c r="P143" s="244"/>
      <c r="Q143" s="244"/>
      <c r="R143" s="244"/>
      <c r="S143" s="244"/>
      <c r="T143" s="244"/>
      <c r="U143" s="244"/>
      <c r="V143" s="244"/>
      <c r="W143" s="244"/>
      <c r="X143" s="244"/>
      <c r="Y143" s="244"/>
      <c r="Z143" s="244"/>
      <c r="AA143" s="244"/>
      <c r="AB143" s="244"/>
      <c r="AC143" s="244"/>
      <c r="AD143" s="244"/>
      <c r="AE143" s="244"/>
      <c r="AF143" s="244"/>
      <c r="AG143" s="244"/>
      <c r="AH143" s="244"/>
      <c r="AI143" s="244"/>
      <c r="AJ143" s="244"/>
      <c r="AK143" s="244"/>
      <c r="AL143" s="244"/>
      <c r="AM143" s="244"/>
      <c r="AN143" s="244"/>
      <c r="AO143" s="244"/>
      <c r="AP143" s="244"/>
      <c r="AQ143" s="244"/>
      <c r="AR143" s="244"/>
      <c r="AS143" s="244"/>
      <c r="AT143" s="244"/>
      <c r="AU143" s="244"/>
      <c r="AV143" s="244"/>
      <c r="AW143" s="244"/>
      <c r="AX143" s="244"/>
      <c r="AY143" s="244"/>
      <c r="AZ143" s="244"/>
      <c r="BA143" s="244"/>
      <c r="BB143" s="244"/>
      <c r="BC143" s="244"/>
      <c r="BD143" s="244"/>
      <c r="BE143" s="244"/>
      <c r="BF143" s="244"/>
      <c r="BG143" s="244"/>
      <c r="BH143" s="244"/>
      <c r="BI143" s="244"/>
      <c r="BJ143" s="244"/>
      <c r="BK143" s="244"/>
      <c r="BL143" s="244"/>
      <c r="BM143" s="244"/>
      <c r="BN143" s="244"/>
      <c r="BO143" s="244"/>
      <c r="BP143" s="244"/>
      <c r="BQ143" s="244"/>
      <c r="BR143" s="244"/>
      <c r="BS143" s="244"/>
      <c r="BT143" s="244"/>
      <c r="BU143" s="244"/>
      <c r="BV143" s="244"/>
      <c r="BW143" s="244"/>
      <c r="BX143" s="244"/>
      <c r="BY143" s="244"/>
      <c r="BZ143" s="244"/>
      <c r="CA143" s="244"/>
      <c r="CB143" s="244"/>
      <c r="CC143" s="244"/>
      <c r="CD143" s="244"/>
      <c r="CE143" s="244"/>
      <c r="CF143" s="244"/>
    </row>
    <row r="144">
      <c r="A144" s="244"/>
      <c r="B144" s="246"/>
      <c r="C144" s="244"/>
      <c r="D144" s="244"/>
      <c r="E144" s="244"/>
      <c r="F144" s="244"/>
      <c r="G144" s="244"/>
      <c r="H144" s="244"/>
      <c r="I144" s="244"/>
      <c r="J144" s="244"/>
      <c r="K144" s="244"/>
      <c r="L144" s="244"/>
      <c r="M144" s="244"/>
      <c r="N144" s="244"/>
      <c r="O144" s="244"/>
      <c r="P144" s="244"/>
      <c r="Q144" s="244"/>
      <c r="R144" s="244"/>
      <c r="S144" s="244"/>
      <c r="T144" s="244"/>
      <c r="U144" s="244"/>
      <c r="V144" s="244"/>
      <c r="W144" s="244"/>
      <c r="X144" s="244"/>
      <c r="Y144" s="244"/>
      <c r="Z144" s="244"/>
      <c r="AA144" s="244"/>
      <c r="AB144" s="244"/>
      <c r="AC144" s="244"/>
      <c r="AD144" s="244"/>
      <c r="AE144" s="244"/>
      <c r="AF144" s="244"/>
      <c r="AG144" s="244"/>
      <c r="AH144" s="244"/>
      <c r="AI144" s="244"/>
      <c r="AJ144" s="244"/>
      <c r="AK144" s="244"/>
      <c r="AL144" s="244"/>
      <c r="AM144" s="244"/>
      <c r="AN144" s="244"/>
      <c r="AO144" s="244"/>
      <c r="AP144" s="244"/>
      <c r="AQ144" s="244"/>
      <c r="AR144" s="244"/>
      <c r="AS144" s="244"/>
      <c r="AT144" s="244"/>
      <c r="AU144" s="244"/>
      <c r="AV144" s="244"/>
      <c r="AW144" s="244"/>
      <c r="AX144" s="244"/>
      <c r="AY144" s="244"/>
      <c r="AZ144" s="244"/>
      <c r="BA144" s="244"/>
      <c r="BB144" s="244"/>
      <c r="BC144" s="244"/>
      <c r="BD144" s="244"/>
      <c r="BE144" s="244"/>
      <c r="BF144" s="244"/>
      <c r="BG144" s="244"/>
      <c r="BH144" s="244"/>
      <c r="BI144" s="244"/>
      <c r="BJ144" s="244"/>
      <c r="BK144" s="244"/>
      <c r="BL144" s="244"/>
      <c r="BM144" s="244"/>
      <c r="BN144" s="244"/>
      <c r="BO144" s="244"/>
      <c r="BP144" s="244"/>
      <c r="BQ144" s="244"/>
      <c r="BR144" s="244"/>
      <c r="BS144" s="244"/>
      <c r="BT144" s="244"/>
      <c r="BU144" s="244"/>
      <c r="BV144" s="244"/>
      <c r="BW144" s="244"/>
      <c r="BX144" s="244"/>
      <c r="BY144" s="244"/>
      <c r="BZ144" s="244"/>
      <c r="CA144" s="244"/>
      <c r="CB144" s="244"/>
      <c r="CC144" s="244"/>
      <c r="CD144" s="244"/>
      <c r="CE144" s="244"/>
      <c r="CF144" s="244"/>
    </row>
    <row r="145">
      <c r="A145" s="244"/>
      <c r="B145" s="246"/>
      <c r="C145" s="244"/>
      <c r="D145" s="244"/>
      <c r="E145" s="244"/>
      <c r="F145" s="244"/>
      <c r="G145" s="244"/>
      <c r="H145" s="244"/>
      <c r="I145" s="244"/>
      <c r="J145" s="244"/>
      <c r="K145" s="244"/>
      <c r="L145" s="244"/>
      <c r="M145" s="244"/>
      <c r="N145" s="244"/>
      <c r="O145" s="244"/>
      <c r="P145" s="244"/>
      <c r="Q145" s="244"/>
      <c r="R145" s="244"/>
      <c r="S145" s="244"/>
      <c r="T145" s="244"/>
      <c r="U145" s="244"/>
      <c r="V145" s="244"/>
      <c r="W145" s="244"/>
      <c r="X145" s="244"/>
      <c r="Y145" s="244"/>
      <c r="Z145" s="244"/>
      <c r="AA145" s="244"/>
      <c r="AB145" s="244"/>
      <c r="AC145" s="244"/>
      <c r="AD145" s="244"/>
      <c r="AE145" s="244"/>
      <c r="AF145" s="244"/>
      <c r="AG145" s="244"/>
      <c r="AH145" s="244"/>
      <c r="AI145" s="244"/>
      <c r="AJ145" s="244"/>
      <c r="AK145" s="244"/>
      <c r="AL145" s="244"/>
      <c r="AM145" s="244"/>
      <c r="AN145" s="244"/>
      <c r="AO145" s="244"/>
      <c r="AP145" s="244"/>
      <c r="AQ145" s="244"/>
      <c r="AR145" s="244"/>
      <c r="AS145" s="244"/>
      <c r="AT145" s="244"/>
      <c r="AU145" s="244"/>
      <c r="AV145" s="244"/>
      <c r="AW145" s="244"/>
      <c r="AX145" s="244"/>
      <c r="AY145" s="244"/>
      <c r="AZ145" s="244"/>
      <c r="BA145" s="244"/>
      <c r="BB145" s="244"/>
      <c r="BC145" s="244"/>
      <c r="BD145" s="244"/>
      <c r="BE145" s="244"/>
      <c r="BF145" s="244"/>
      <c r="BG145" s="244"/>
      <c r="BH145" s="244"/>
      <c r="BI145" s="244"/>
      <c r="BJ145" s="244"/>
      <c r="BK145" s="244"/>
      <c r="BL145" s="244"/>
      <c r="BM145" s="244"/>
      <c r="BN145" s="244"/>
      <c r="BO145" s="244"/>
      <c r="BP145" s="244"/>
      <c r="BQ145" s="244"/>
      <c r="BR145" s="244"/>
      <c r="BS145" s="244"/>
      <c r="BT145" s="244"/>
      <c r="BU145" s="244"/>
      <c r="BV145" s="244"/>
      <c r="BW145" s="244"/>
      <c r="BX145" s="244"/>
      <c r="BY145" s="244"/>
      <c r="BZ145" s="244"/>
      <c r="CA145" s="244"/>
      <c r="CB145" s="244"/>
      <c r="CC145" s="244"/>
      <c r="CD145" s="244"/>
      <c r="CE145" s="244"/>
      <c r="CF145" s="244"/>
    </row>
    <row r="146">
      <c r="A146" s="244"/>
      <c r="B146" s="246"/>
      <c r="C146" s="244"/>
      <c r="D146" s="244"/>
      <c r="E146" s="244"/>
      <c r="F146" s="244"/>
      <c r="G146" s="244"/>
      <c r="H146" s="244"/>
      <c r="I146" s="244"/>
      <c r="J146" s="244"/>
      <c r="K146" s="244"/>
      <c r="L146" s="244"/>
      <c r="M146" s="244"/>
      <c r="N146" s="244"/>
      <c r="O146" s="244"/>
      <c r="P146" s="244"/>
      <c r="Q146" s="244"/>
      <c r="R146" s="244"/>
      <c r="S146" s="244"/>
      <c r="T146" s="244"/>
      <c r="U146" s="244"/>
      <c r="V146" s="244"/>
      <c r="W146" s="244"/>
      <c r="X146" s="244"/>
      <c r="Y146" s="244"/>
      <c r="Z146" s="244"/>
      <c r="AA146" s="244"/>
      <c r="AB146" s="244"/>
      <c r="AC146" s="244"/>
      <c r="AD146" s="244"/>
      <c r="AE146" s="244"/>
      <c r="AF146" s="244"/>
      <c r="AG146" s="244"/>
      <c r="AH146" s="244"/>
      <c r="AI146" s="244"/>
      <c r="AJ146" s="244"/>
      <c r="AK146" s="244"/>
      <c r="AL146" s="244"/>
      <c r="AM146" s="244"/>
      <c r="AN146" s="244"/>
      <c r="AO146" s="244"/>
      <c r="AP146" s="244"/>
      <c r="AQ146" s="244"/>
      <c r="AR146" s="244"/>
      <c r="AS146" s="244"/>
      <c r="AT146" s="244"/>
      <c r="AU146" s="244"/>
      <c r="AV146" s="244"/>
      <c r="AW146" s="244"/>
      <c r="AX146" s="244"/>
      <c r="AY146" s="244"/>
      <c r="AZ146" s="244"/>
      <c r="BA146" s="244"/>
      <c r="BB146" s="244"/>
      <c r="BC146" s="244"/>
      <c r="BD146" s="244"/>
      <c r="BE146" s="244"/>
      <c r="BF146" s="244"/>
      <c r="BG146" s="244"/>
      <c r="BH146" s="244"/>
      <c r="BI146" s="244"/>
      <c r="BJ146" s="244"/>
      <c r="BK146" s="244"/>
      <c r="BL146" s="244"/>
      <c r="BM146" s="244"/>
      <c r="BN146" s="244"/>
      <c r="BO146" s="244"/>
      <c r="BP146" s="244"/>
      <c r="BQ146" s="244"/>
      <c r="BR146" s="244"/>
      <c r="BS146" s="244"/>
      <c r="BT146" s="244"/>
      <c r="BU146" s="244"/>
      <c r="BV146" s="244"/>
      <c r="BW146" s="244"/>
      <c r="BX146" s="244"/>
      <c r="BY146" s="244"/>
      <c r="BZ146" s="244"/>
      <c r="CA146" s="244"/>
      <c r="CB146" s="244"/>
      <c r="CC146" s="244"/>
      <c r="CD146" s="244"/>
      <c r="CE146" s="244"/>
      <c r="CF146" s="244"/>
    </row>
    <row r="147">
      <c r="A147" s="244"/>
      <c r="B147" s="246"/>
      <c r="C147" s="244"/>
      <c r="D147" s="244"/>
      <c r="E147" s="244"/>
      <c r="F147" s="244"/>
      <c r="G147" s="244"/>
      <c r="H147" s="244"/>
      <c r="I147" s="244"/>
      <c r="J147" s="244"/>
      <c r="K147" s="244"/>
      <c r="L147" s="244"/>
      <c r="M147" s="244"/>
      <c r="N147" s="244"/>
      <c r="O147" s="244"/>
      <c r="P147" s="244"/>
      <c r="Q147" s="244"/>
      <c r="R147" s="244"/>
      <c r="S147" s="244"/>
      <c r="T147" s="244"/>
      <c r="U147" s="244"/>
      <c r="V147" s="244"/>
      <c r="W147" s="244"/>
      <c r="X147" s="244"/>
      <c r="Y147" s="244"/>
      <c r="Z147" s="244"/>
      <c r="AA147" s="244"/>
      <c r="AB147" s="244"/>
      <c r="AC147" s="244"/>
      <c r="AD147" s="244"/>
      <c r="AE147" s="244"/>
      <c r="AF147" s="244"/>
      <c r="AG147" s="244"/>
      <c r="AH147" s="244"/>
      <c r="AI147" s="244"/>
      <c r="AJ147" s="244"/>
      <c r="AK147" s="244"/>
      <c r="AL147" s="244"/>
      <c r="AM147" s="244"/>
      <c r="AN147" s="244"/>
      <c r="AO147" s="244"/>
      <c r="AP147" s="244"/>
      <c r="AQ147" s="244"/>
      <c r="AR147" s="244"/>
      <c r="AS147" s="244"/>
      <c r="AT147" s="244"/>
      <c r="AU147" s="244"/>
      <c r="AV147" s="244"/>
      <c r="AW147" s="244"/>
      <c r="AX147" s="244"/>
      <c r="AY147" s="244"/>
      <c r="AZ147" s="244"/>
      <c r="BA147" s="244"/>
      <c r="BB147" s="244"/>
      <c r="BC147" s="244"/>
      <c r="BD147" s="244"/>
      <c r="BE147" s="244"/>
      <c r="BF147" s="244"/>
      <c r="BG147" s="244"/>
      <c r="BH147" s="244"/>
      <c r="BI147" s="244"/>
      <c r="BJ147" s="244"/>
      <c r="BK147" s="244"/>
      <c r="BL147" s="244"/>
      <c r="BM147" s="244"/>
      <c r="BN147" s="244"/>
      <c r="BO147" s="244"/>
      <c r="BP147" s="244"/>
      <c r="BQ147" s="244"/>
      <c r="BR147" s="244"/>
      <c r="BS147" s="244"/>
      <c r="BT147" s="244"/>
      <c r="BU147" s="244"/>
      <c r="BV147" s="244"/>
      <c r="BW147" s="244"/>
      <c r="BX147" s="244"/>
      <c r="BY147" s="244"/>
      <c r="BZ147" s="244"/>
      <c r="CA147" s="244"/>
      <c r="CB147" s="244"/>
      <c r="CC147" s="244"/>
      <c r="CD147" s="244"/>
      <c r="CE147" s="244"/>
      <c r="CF147" s="244"/>
    </row>
    <row r="148">
      <c r="A148" s="244"/>
      <c r="B148" s="246"/>
      <c r="C148" s="244"/>
      <c r="D148" s="244"/>
      <c r="E148" s="244"/>
      <c r="F148" s="244"/>
      <c r="G148" s="244"/>
      <c r="H148" s="244"/>
      <c r="I148" s="244"/>
      <c r="J148" s="244"/>
      <c r="K148" s="244"/>
      <c r="L148" s="244"/>
      <c r="M148" s="244"/>
      <c r="N148" s="244"/>
      <c r="O148" s="244"/>
      <c r="P148" s="244"/>
      <c r="Q148" s="244"/>
      <c r="R148" s="244"/>
      <c r="S148" s="244"/>
      <c r="T148" s="244"/>
      <c r="U148" s="244"/>
      <c r="V148" s="244"/>
      <c r="W148" s="244"/>
      <c r="X148" s="244"/>
      <c r="Y148" s="244"/>
      <c r="Z148" s="244"/>
      <c r="AA148" s="244"/>
      <c r="AB148" s="244"/>
      <c r="AC148" s="244"/>
      <c r="AD148" s="244"/>
      <c r="AE148" s="244"/>
      <c r="AF148" s="244"/>
      <c r="AG148" s="244"/>
      <c r="AH148" s="244"/>
      <c r="AI148" s="244"/>
      <c r="AJ148" s="244"/>
      <c r="AK148" s="244"/>
      <c r="AL148" s="244"/>
      <c r="AM148" s="244"/>
      <c r="AN148" s="244"/>
      <c r="AO148" s="244"/>
      <c r="AP148" s="244"/>
      <c r="AQ148" s="244"/>
      <c r="AR148" s="244"/>
      <c r="AS148" s="244"/>
      <c r="AT148" s="244"/>
      <c r="AU148" s="244"/>
      <c r="AV148" s="244"/>
      <c r="AW148" s="244"/>
      <c r="AX148" s="244"/>
      <c r="AY148" s="244"/>
      <c r="AZ148" s="244"/>
      <c r="BA148" s="244"/>
      <c r="BB148" s="244"/>
      <c r="BC148" s="244"/>
      <c r="BD148" s="244"/>
      <c r="BE148" s="244"/>
      <c r="BF148" s="244"/>
      <c r="BG148" s="244"/>
      <c r="BH148" s="244"/>
      <c r="BI148" s="244"/>
      <c r="BJ148" s="244"/>
      <c r="BK148" s="244"/>
      <c r="BL148" s="244"/>
      <c r="BM148" s="244"/>
      <c r="BN148" s="244"/>
      <c r="BO148" s="244"/>
      <c r="BP148" s="244"/>
      <c r="BQ148" s="244"/>
      <c r="BR148" s="244"/>
      <c r="BS148" s="244"/>
      <c r="BT148" s="244"/>
      <c r="BU148" s="244"/>
      <c r="BV148" s="244"/>
      <c r="BW148" s="244"/>
      <c r="BX148" s="244"/>
      <c r="BY148" s="244"/>
      <c r="BZ148" s="244"/>
      <c r="CA148" s="244"/>
      <c r="CB148" s="244"/>
      <c r="CC148" s="244"/>
      <c r="CD148" s="244"/>
      <c r="CE148" s="244"/>
      <c r="CF148" s="244"/>
    </row>
  </sheetData>
  <mergeCells count="187">
    <mergeCell ref="I94:N94"/>
    <mergeCell ref="I95:N95"/>
    <mergeCell ref="I96:N96"/>
    <mergeCell ref="I97:N97"/>
    <mergeCell ref="C103:AO103"/>
    <mergeCell ref="I98:N98"/>
    <mergeCell ref="I99:N99"/>
    <mergeCell ref="I100:N100"/>
    <mergeCell ref="I88:N88"/>
    <mergeCell ref="I89:N89"/>
    <mergeCell ref="I90:N90"/>
    <mergeCell ref="I91:N91"/>
    <mergeCell ref="I92:N92"/>
    <mergeCell ref="I93:N93"/>
    <mergeCell ref="I82:N82"/>
    <mergeCell ref="I83:N83"/>
    <mergeCell ref="I84:N84"/>
    <mergeCell ref="I85:N85"/>
    <mergeCell ref="I86:N86"/>
    <mergeCell ref="I87:N87"/>
    <mergeCell ref="I76:N76"/>
    <mergeCell ref="I77:N77"/>
    <mergeCell ref="I78:N78"/>
    <mergeCell ref="I79:N79"/>
    <mergeCell ref="I80:N80"/>
    <mergeCell ref="I81:N81"/>
    <mergeCell ref="I70:N70"/>
    <mergeCell ref="I71:N71"/>
    <mergeCell ref="I72:N72"/>
    <mergeCell ref="I73:N73"/>
    <mergeCell ref="I74:N74"/>
    <mergeCell ref="I75:N75"/>
    <mergeCell ref="I64:N64"/>
    <mergeCell ref="I65:N65"/>
    <mergeCell ref="I66:N66"/>
    <mergeCell ref="I67:N67"/>
    <mergeCell ref="I68:N68"/>
    <mergeCell ref="I69:N69"/>
    <mergeCell ref="I58:N58"/>
    <mergeCell ref="I59:N59"/>
    <mergeCell ref="I60:N60"/>
    <mergeCell ref="I61:N61"/>
    <mergeCell ref="I62:N62"/>
    <mergeCell ref="I63:N63"/>
    <mergeCell ref="I52:N52"/>
    <mergeCell ref="I53:N53"/>
    <mergeCell ref="I54:N54"/>
    <mergeCell ref="I55:N55"/>
    <mergeCell ref="I56:N56"/>
    <mergeCell ref="I57:N57"/>
    <mergeCell ref="I46:N46"/>
    <mergeCell ref="I47:N47"/>
    <mergeCell ref="I48:N48"/>
    <mergeCell ref="I49:N49"/>
    <mergeCell ref="I50:N50"/>
    <mergeCell ref="I51:N51"/>
    <mergeCell ref="I40:N40"/>
    <mergeCell ref="I41:N41"/>
    <mergeCell ref="I42:N42"/>
    <mergeCell ref="I43:N43"/>
    <mergeCell ref="I44:N44"/>
    <mergeCell ref="I45:N45"/>
    <mergeCell ref="I34:N34"/>
    <mergeCell ref="I35:N35"/>
    <mergeCell ref="I36:N36"/>
    <mergeCell ref="I37:N37"/>
    <mergeCell ref="I38:N38"/>
    <mergeCell ref="I39:N39"/>
    <mergeCell ref="I28:N28"/>
    <mergeCell ref="I29:N29"/>
    <mergeCell ref="I30:N30"/>
    <mergeCell ref="I31:N31"/>
    <mergeCell ref="I32:N32"/>
    <mergeCell ref="I33:N33"/>
    <mergeCell ref="I24:N24"/>
    <mergeCell ref="I25:N25"/>
    <mergeCell ref="I22:N22"/>
    <mergeCell ref="I23:N23"/>
    <mergeCell ref="I26:N26"/>
    <mergeCell ref="I27:N27"/>
    <mergeCell ref="S6:T6"/>
    <mergeCell ref="U6:V6"/>
    <mergeCell ref="AV20:BB20"/>
    <mergeCell ref="Q19:W20"/>
    <mergeCell ref="Z19:AF20"/>
    <mergeCell ref="AI19:AO20"/>
    <mergeCell ref="AM7:AN7"/>
    <mergeCell ref="Q7:R7"/>
    <mergeCell ref="S7:T7"/>
    <mergeCell ref="U7:V7"/>
    <mergeCell ref="I7:J7"/>
    <mergeCell ref="K7:L7"/>
    <mergeCell ref="M7:N7"/>
    <mergeCell ref="O7:P7"/>
    <mergeCell ref="AI7:AJ7"/>
    <mergeCell ref="AK7:AL7"/>
    <mergeCell ref="AG9:AH9"/>
    <mergeCell ref="AI9:AJ9"/>
    <mergeCell ref="H5:V5"/>
    <mergeCell ref="I6:J6"/>
    <mergeCell ref="K6:L6"/>
    <mergeCell ref="M6:N6"/>
    <mergeCell ref="O6:P6"/>
    <mergeCell ref="Q6:R6"/>
    <mergeCell ref="AC7:AD7"/>
    <mergeCell ref="AE7:AF7"/>
    <mergeCell ref="AG7:AH7"/>
    <mergeCell ref="AB5:AP5"/>
    <mergeCell ref="AC6:AD6"/>
    <mergeCell ref="AE6:AF6"/>
    <mergeCell ref="AG6:AH6"/>
    <mergeCell ref="AI6:AJ6"/>
    <mergeCell ref="AK6:AL6"/>
    <mergeCell ref="AM6:AN6"/>
    <mergeCell ref="AO6:AP6"/>
    <mergeCell ref="AO7:AP7"/>
    <mergeCell ref="AE8:AF8"/>
    <mergeCell ref="AG11:AH11"/>
    <mergeCell ref="AI11:AJ11"/>
    <mergeCell ref="AG10:AH10"/>
    <mergeCell ref="AI10:AJ10"/>
    <mergeCell ref="AK10:AL10"/>
    <mergeCell ref="AM10:AN10"/>
    <mergeCell ref="AK12:AL12"/>
    <mergeCell ref="AM12:AN12"/>
    <mergeCell ref="AM9:AN9"/>
    <mergeCell ref="AI8:AJ8"/>
    <mergeCell ref="AK8:AL8"/>
    <mergeCell ref="AM8:AN8"/>
    <mergeCell ref="AC8:AD8"/>
    <mergeCell ref="AG8:AH8"/>
    <mergeCell ref="AM11:AN11"/>
    <mergeCell ref="AO11:AP11"/>
    <mergeCell ref="I12:J12"/>
    <mergeCell ref="AE11:AF11"/>
    <mergeCell ref="K12:L12"/>
    <mergeCell ref="M12:N12"/>
    <mergeCell ref="O12:P12"/>
    <mergeCell ref="U9:V9"/>
    <mergeCell ref="AC9:AD9"/>
    <mergeCell ref="AE9:AF9"/>
    <mergeCell ref="U11:V11"/>
    <mergeCell ref="AC11:AD11"/>
    <mergeCell ref="AK11:AL11"/>
    <mergeCell ref="I11:J11"/>
    <mergeCell ref="K11:L11"/>
    <mergeCell ref="M11:N11"/>
    <mergeCell ref="O11:P11"/>
    <mergeCell ref="Q11:R11"/>
    <mergeCell ref="S11:T11"/>
    <mergeCell ref="AO12:AP12"/>
    <mergeCell ref="AO10:AP10"/>
    <mergeCell ref="AK9:AL9"/>
    <mergeCell ref="AO8:AP8"/>
    <mergeCell ref="I9:J9"/>
    <mergeCell ref="K9:L9"/>
    <mergeCell ref="M9:N9"/>
    <mergeCell ref="O9:P9"/>
    <mergeCell ref="Q9:R9"/>
    <mergeCell ref="S9:T9"/>
    <mergeCell ref="AO9:AP9"/>
    <mergeCell ref="I10:J10"/>
    <mergeCell ref="K10:L10"/>
    <mergeCell ref="M10:N10"/>
    <mergeCell ref="O10:P10"/>
    <mergeCell ref="Q10:R10"/>
    <mergeCell ref="S10:T10"/>
    <mergeCell ref="I8:J8"/>
    <mergeCell ref="K8:L8"/>
    <mergeCell ref="M8:N8"/>
    <mergeCell ref="O8:P8"/>
    <mergeCell ref="Q8:R8"/>
    <mergeCell ref="S8:T8"/>
    <mergeCell ref="U10:V10"/>
    <mergeCell ref="AC10:AD10"/>
    <mergeCell ref="AE10:AF10"/>
    <mergeCell ref="U8:V8"/>
    <mergeCell ref="O14:U14"/>
    <mergeCell ref="W14:AC14"/>
    <mergeCell ref="AE14:AK14"/>
    <mergeCell ref="S12:T12"/>
    <mergeCell ref="U12:V12"/>
    <mergeCell ref="AC12:AD12"/>
    <mergeCell ref="AE12:AF12"/>
    <mergeCell ref="AG12:AH12"/>
    <mergeCell ref="AI12:AJ12"/>
    <mergeCell ref="Q12:R12"/>
  </mergeCells>
  <phoneticPr fontId="0" type="noConversion"/>
  <printOptions horizontalCentered="1" verticalCentered="1"/>
  <pageMargins left="0.25" right="0.25" top="0.25" bottom="0.25" header="0.17" footer="0.32"/>
  <pageSetup scale="56" orientation="landscape" r:id="rId1"/>
  <headerFooter alignWithMargins="0">
    <oddHeader/>
    <oddFooter/>
  </headerFooter>
  <drawing r:id="rId57"/>
</worksheet>
</file>

<file path=xl/worksheets/sheet5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G86"/>
  <sheetViews>
    <sheetView showGridLines="0" zoomScaleNormal="100" workbookViewId="0"/>
  </sheetViews>
  <sheetFormatPr defaultRowHeight="12.75"/>
  <cols>
    <col min="1" max="1" width="2" customWidth="1"/>
    <col min="2" max="2" width="16.5703125" customWidth="1"/>
    <col min="3" max="3" width="2.7109375" customWidth="1"/>
    <col min="4" max="4" width="14.42578125" customWidth="1"/>
    <col min="5" max="5" width="8.7109375" customWidth="1"/>
    <col min="6" max="6" width="5.7109375" customWidth="1"/>
    <col min="7" max="7" width="4.7109375" customWidth="1"/>
    <col min="8" max="8" width="8.7109375" customWidth="1"/>
    <col min="9" max="9" width="5.7109375" customWidth="1"/>
    <col min="10" max="10" width="4.7109375" customWidth="1"/>
    <col min="11" max="11" width="8.7109375" customWidth="1"/>
    <col min="12" max="12" width="5.7109375" customWidth="1"/>
    <col min="13" max="13" width="4.7109375" customWidth="1"/>
    <col min="14" max="14" width="8.7109375" customWidth="1"/>
    <col min="15" max="15" width="5.7109375" customWidth="1"/>
    <col min="16" max="16" width="4.7109375" customWidth="1"/>
    <col min="17" max="17" width="8.7109375" customWidth="1"/>
    <col min="18" max="18" width="5.7109375" customWidth="1"/>
    <col min="19" max="19" width="4.7109375" customWidth="1"/>
    <col min="20" max="20" width="8.7109375" customWidth="1"/>
    <col min="21" max="21" width="5.7109375" customWidth="1"/>
    <col min="22" max="22" width="4.7109375" customWidth="1"/>
    <col min="23" max="23" width="8.7109375" customWidth="1"/>
    <col min="24" max="24" width="5.7109375" customWidth="1"/>
    <col min="25" max="25" width="4.7109375" customWidth="1"/>
    <col min="26" max="26" width="8.7109375" customWidth="1"/>
    <col min="27" max="29" width="5.7109375" customWidth="1"/>
  </cols>
  <sheetData>
    <row r="1" ht="48" customHeight="1">
      <c r="A1" s="72"/>
      <c r="B1" s="20" t="s">
        <v>140</v>
      </c>
      <c r="C1" s="11"/>
      <c r="D1" s="11"/>
      <c r="E1" s="11"/>
      <c r="F1" s="11"/>
      <c r="G1" s="11"/>
      <c r="H1" s="11"/>
      <c r="I1" s="11"/>
      <c r="J1" s="11"/>
      <c r="K1" s="1"/>
      <c r="L1" s="1"/>
      <c r="M1" s="1"/>
      <c r="N1" s="1"/>
      <c r="O1" s="1"/>
      <c r="P1" s="1"/>
      <c r="Q1" s="1"/>
      <c r="R1" s="1"/>
      <c r="S1" s="1"/>
      <c r="T1" s="1"/>
      <c r="U1" s="1"/>
      <c r="V1" s="1"/>
      <c r="W1" s="1"/>
      <c r="X1" s="1"/>
      <c r="Y1" s="1"/>
      <c r="Z1" s="1"/>
      <c r="AA1" s="1"/>
      <c r="AB1" s="175"/>
      <c r="AC1" s="1"/>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row>
    <row r="2" ht="18" customHeight="1">
      <c r="B2" s="10" t="s">
        <v>168</v>
      </c>
      <c r="C2" s="12"/>
      <c r="D2" s="1"/>
      <c r="E2" s="1"/>
      <c r="F2" s="1"/>
      <c r="G2" s="1"/>
      <c r="H2" s="1"/>
      <c r="I2" s="1"/>
      <c r="J2" s="1"/>
      <c r="K2" s="1"/>
      <c r="L2" s="1"/>
      <c r="M2" s="1"/>
      <c r="N2" s="1"/>
      <c r="O2" s="1"/>
      <c r="P2" s="1"/>
      <c r="Q2" s="1"/>
      <c r="R2" s="1"/>
      <c r="S2" s="1"/>
      <c r="T2" s="1"/>
      <c r="U2" s="1"/>
      <c r="V2" s="80"/>
      <c r="W2" s="1"/>
      <c r="X2" s="1"/>
      <c r="Y2" s="80"/>
      <c r="Z2" s="234"/>
      <c r="AA2" s="1"/>
      <c r="AB2" s="175"/>
      <c r="AC2" s="1"/>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row>
    <row r="3" ht="15" customHeight="1">
      <c r="A3" s="1"/>
      <c r="B3" s="432" t="s">
        <v>181</v>
      </c>
      <c r="C3" s="12"/>
      <c r="D3" s="1"/>
      <c r="E3" s="1"/>
      <c r="F3" s="1"/>
      <c r="G3" s="1"/>
      <c r="H3" s="1"/>
      <c r="I3" s="1"/>
      <c r="J3" s="1"/>
      <c r="K3" s="1"/>
      <c r="L3" s="1"/>
      <c r="M3" s="1"/>
      <c r="N3" s="1"/>
      <c r="O3" s="1"/>
      <c r="P3" s="1"/>
      <c r="Q3" s="1"/>
      <c r="R3" s="1"/>
      <c r="S3" s="1"/>
      <c r="T3" s="1"/>
      <c r="U3" s="1"/>
      <c r="V3" s="1"/>
      <c r="W3" s="1"/>
      <c r="X3" s="1"/>
      <c r="Y3" s="1"/>
      <c r="Z3" s="1"/>
      <c r="AA3" s="1"/>
      <c r="AB3" s="175"/>
      <c r="AC3" s="1"/>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row>
    <row r="4" ht="15" customHeight="1">
      <c r="B4" s="175" t="s">
        <v>182</v>
      </c>
      <c r="C4" s="12"/>
      <c r="D4" s="1"/>
      <c r="E4" s="1"/>
      <c r="F4" s="1"/>
      <c r="G4" s="1"/>
      <c r="H4" s="1"/>
      <c r="I4" s="1"/>
      <c r="J4" s="1"/>
      <c r="K4" s="1"/>
      <c r="L4" s="1"/>
      <c r="M4" s="1"/>
      <c r="N4" s="1"/>
      <c r="O4" s="1"/>
      <c r="P4" s="1"/>
      <c r="Q4" s="1"/>
      <c r="R4" s="1"/>
      <c r="S4" s="1"/>
      <c r="T4" s="1"/>
      <c r="U4" s="1"/>
      <c r="V4" s="1"/>
      <c r="W4" s="1"/>
      <c r="X4" s="1"/>
      <c r="Y4" s="1"/>
      <c r="Z4" s="1"/>
      <c r="AA4" s="1"/>
      <c r="AB4" s="175"/>
      <c r="AC4" s="1"/>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row>
    <row r="5" ht="30.75" customHeight="1">
      <c r="A5" s="13"/>
      <c r="B5" s="12"/>
      <c r="C5" s="12"/>
      <c r="D5" s="1"/>
      <c r="E5" s="1"/>
      <c r="F5" s="1"/>
      <c r="G5" s="1"/>
      <c r="H5" s="1"/>
      <c r="I5" s="1"/>
      <c r="J5" s="1"/>
      <c r="K5" s="1"/>
      <c r="L5" s="1"/>
      <c r="M5" s="1"/>
      <c r="N5" s="1"/>
      <c r="O5" s="1"/>
      <c r="P5" s="1"/>
      <c r="Q5" s="1"/>
      <c r="R5" s="1"/>
      <c r="S5" s="1"/>
      <c r="T5" s="1"/>
      <c r="U5" s="1"/>
      <c r="V5" s="1"/>
      <c r="W5" s="1"/>
      <c r="X5" s="1"/>
      <c r="Y5" s="1"/>
      <c r="Z5" s="1"/>
      <c r="AA5" s="1"/>
      <c r="AB5" s="175"/>
      <c r="AC5" s="1"/>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row>
    <row r="6" s="6" customFormat="1" ht="18" customHeight="1">
      <c r="A6" s="78"/>
      <c r="B6" s="607" t="s">
        <v>167</v>
      </c>
      <c r="C6" s="607"/>
      <c r="D6" s="607"/>
      <c r="E6" s="607"/>
      <c r="F6" s="607"/>
      <c r="G6" s="607"/>
      <c r="H6" s="607"/>
      <c r="I6" s="607"/>
      <c r="J6" s="607"/>
      <c r="K6" s="607"/>
      <c r="L6" s="607"/>
      <c r="M6" s="607"/>
      <c r="N6" s="607"/>
      <c r="O6" s="607"/>
      <c r="P6" s="607"/>
      <c r="Q6" s="607"/>
      <c r="R6" s="607"/>
      <c r="S6" s="607"/>
      <c r="T6" s="607"/>
      <c r="U6" s="607"/>
      <c r="V6" s="607"/>
      <c r="W6" s="607"/>
      <c r="X6" s="607"/>
      <c r="Y6" s="607"/>
      <c r="Z6" s="607"/>
      <c r="AA6" s="607"/>
      <c r="AB6" s="607"/>
      <c r="AC6" s="78"/>
      <c r="AD6" s="245"/>
      <c r="AE6" s="245"/>
      <c r="AF6" s="245"/>
      <c r="AG6" s="245"/>
      <c r="AH6" s="245"/>
      <c r="AI6" s="245"/>
      <c r="AJ6" s="245"/>
      <c r="AK6" s="245"/>
      <c r="AL6" s="245"/>
      <c r="AM6" s="245"/>
      <c r="AN6" s="245"/>
      <c r="AO6" s="245"/>
      <c r="AP6" s="245"/>
      <c r="AQ6" s="245"/>
      <c r="AR6" s="245"/>
      <c r="AS6" s="245"/>
      <c r="AT6" s="245"/>
      <c r="AU6" s="245"/>
      <c r="AV6" s="245"/>
      <c r="AW6" s="245"/>
      <c r="AX6" s="245"/>
      <c r="AY6" s="245"/>
      <c r="AZ6" s="245"/>
      <c r="BA6" s="245"/>
      <c r="BB6" s="245"/>
      <c r="BC6" s="245"/>
      <c r="BD6" s="245"/>
      <c r="BE6" s="245"/>
      <c r="BF6" s="245"/>
      <c r="BG6" s="245"/>
    </row>
    <row r="7" ht="21" customHeight="1">
      <c r="A7" s="13"/>
      <c r="B7" s="12"/>
      <c r="C7" s="12"/>
      <c r="D7" s="1"/>
      <c r="E7" s="1"/>
      <c r="F7" s="1"/>
      <c r="G7" s="1"/>
      <c r="H7" s="1"/>
      <c r="I7" s="1"/>
      <c r="J7" s="1"/>
      <c r="K7" s="1"/>
      <c r="L7" s="1"/>
      <c r="M7" s="1"/>
      <c r="N7" s="1"/>
      <c r="O7" s="1"/>
      <c r="P7" s="1"/>
      <c r="Q7" s="1"/>
      <c r="R7" s="1"/>
      <c r="S7" s="1"/>
      <c r="T7" s="1"/>
      <c r="U7" s="1"/>
      <c r="V7" s="1"/>
      <c r="W7" s="1"/>
      <c r="X7" s="1"/>
      <c r="Y7" s="1"/>
      <c r="Z7" s="1"/>
      <c r="AA7" s="1"/>
      <c r="AB7" s="1"/>
      <c r="AC7" s="1"/>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row>
    <row r="8" ht="18" customHeight="1">
      <c r="A8" s="1"/>
      <c r="B8" s="1"/>
      <c r="C8" s="3"/>
      <c r="D8" s="3"/>
      <c r="E8" s="651" t="s">
        <v>40</v>
      </c>
      <c r="F8" s="651"/>
      <c r="G8" s="64"/>
      <c r="H8" s="651" t="s">
        <v>39</v>
      </c>
      <c r="I8" s="651"/>
      <c r="J8" s="1"/>
      <c r="K8" s="651" t="s">
        <v>41</v>
      </c>
      <c r="L8" s="651"/>
      <c r="M8" s="64"/>
      <c r="N8" s="651" t="s">
        <v>42</v>
      </c>
      <c r="O8" s="651"/>
      <c r="P8" s="64"/>
      <c r="Q8" s="651" t="s">
        <v>43</v>
      </c>
      <c r="R8" s="651"/>
      <c r="S8" s="64"/>
      <c r="T8" s="651" t="s">
        <v>44</v>
      </c>
      <c r="U8" s="651"/>
      <c r="V8" s="64"/>
      <c r="W8" s="651" t="s">
        <v>45</v>
      </c>
      <c r="X8" s="651"/>
      <c r="Y8" s="64"/>
      <c r="Z8" s="651" t="s">
        <v>23</v>
      </c>
      <c r="AA8" s="651"/>
      <c r="AB8" s="1"/>
      <c r="AC8" s="1"/>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row>
    <row r="9" ht="18" customHeight="1">
      <c r="A9" s="1"/>
      <c r="B9" s="1"/>
      <c r="C9" s="1"/>
      <c r="D9" s="1"/>
      <c r="E9" s="652" t="s">
        <v>57</v>
      </c>
      <c r="F9" s="652"/>
      <c r="G9" s="65"/>
      <c r="H9" s="652" t="s">
        <v>57</v>
      </c>
      <c r="I9" s="652"/>
      <c r="J9" s="3"/>
      <c r="K9" s="652" t="s">
        <v>57</v>
      </c>
      <c r="L9" s="652"/>
      <c r="M9" s="79"/>
      <c r="N9" s="652" t="s">
        <v>57</v>
      </c>
      <c r="O9" s="652"/>
      <c r="P9" s="65"/>
      <c r="Q9" s="652" t="s">
        <v>57</v>
      </c>
      <c r="R9" s="652"/>
      <c r="S9" s="65"/>
      <c r="T9" s="652" t="s">
        <v>57</v>
      </c>
      <c r="U9" s="652"/>
      <c r="V9" s="65"/>
      <c r="W9" s="652" t="s">
        <v>57</v>
      </c>
      <c r="X9" s="652"/>
      <c r="Y9" s="1"/>
      <c r="Z9" s="652" t="s">
        <v>57</v>
      </c>
      <c r="AA9" s="652"/>
      <c r="AB9" s="1"/>
      <c r="AC9" s="1"/>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row>
    <row r="10" ht="18" customHeight="1">
      <c r="A10" s="1"/>
      <c r="B10" s="653" t="s">
        <v>28</v>
      </c>
      <c r="C10" s="1"/>
      <c r="D10" s="17" t="s">
        <v>32</v>
      </c>
      <c r="E10" s="67">
        <v>0.8939393939393939393939393939</v>
      </c>
      <c r="F10" s="73">
        <v>8.256880733889335914485341250</v>
      </c>
      <c r="G10" s="66"/>
      <c r="H10" s="67">
        <v>0.9015151515151515151515151515</v>
      </c>
      <c r="I10" s="73">
        <v>1.7094017093599824676747924800</v>
      </c>
      <c r="J10" s="66"/>
      <c r="K10" s="67">
        <v>0.8939393939393939393939393939</v>
      </c>
      <c r="L10" s="73">
        <v>12.380952380888163265306159140</v>
      </c>
      <c r="M10" s="67"/>
      <c r="N10" s="67">
        <v>0.9545454545454545454545454545</v>
      </c>
      <c r="O10" s="73">
        <v>4.1322314049208114199849874700</v>
      </c>
      <c r="P10" s="66"/>
      <c r="Q10" s="67">
        <v>0.9545454545454545454545454545</v>
      </c>
      <c r="R10" s="73">
        <v>5.8823529411942659416707889500</v>
      </c>
      <c r="S10" s="66"/>
      <c r="T10" s="67">
        <v>0.7348484848484848484848484848</v>
      </c>
      <c r="U10" s="73">
        <v>-17.09401709405110672802979100</v>
      </c>
      <c r="V10" s="66"/>
      <c r="W10" s="67">
        <v>0.9090909090909090909090909091</v>
      </c>
      <c r="X10" s="73">
        <v>-2.4390243902248661511005316800</v>
      </c>
      <c r="Y10" s="177"/>
      <c r="Z10" s="67">
        <v>0.8917748917748917748917748918</v>
      </c>
      <c r="AA10" s="73">
        <v>1.6029593094513546017232413500</v>
      </c>
      <c r="AB10" s="1"/>
      <c r="AC10" s="1"/>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row>
    <row r="11" ht="18" customHeight="1">
      <c r="A11" s="1"/>
      <c r="B11" s="653"/>
      <c r="C11" s="15"/>
      <c r="D11" s="187" t="s">
        <v>26</v>
      </c>
      <c r="E11" s="180">
        <v>0.8925459825750242013552758955</v>
      </c>
      <c r="F11" s="81">
        <v>5.4919908467199427655797674900</v>
      </c>
      <c r="G11" s="181"/>
      <c r="H11" s="180">
        <v>0.8780251694094869312681510165</v>
      </c>
      <c r="I11" s="81">
        <v>8.622754491005605794399226910</v>
      </c>
      <c r="J11" s="181"/>
      <c r="K11" s="180">
        <v>0.850919651500484027105517909</v>
      </c>
      <c r="L11" s="81">
        <v>12.548015364912882462977141300</v>
      </c>
      <c r="M11" s="180"/>
      <c r="N11" s="180">
        <v>0.7899322362052274927395934172</v>
      </c>
      <c r="O11" s="81">
        <v>18.089725036135358684429344540</v>
      </c>
      <c r="P11" s="181"/>
      <c r="Q11" s="180">
        <v>0.8160696999031945788964181994</v>
      </c>
      <c r="R11" s="81">
        <v>10.629921259886510323020663530</v>
      </c>
      <c r="S11" s="182"/>
      <c r="T11" s="180">
        <v>0.8567279767666989351403678606</v>
      </c>
      <c r="U11" s="81">
        <v>1.9585253456330439433838063100</v>
      </c>
      <c r="V11" s="181"/>
      <c r="W11" s="180">
        <v>0.9747292418772563176895306859</v>
      </c>
      <c r="X11" s="81">
        <v>5.5445814318020476558286341900</v>
      </c>
      <c r="Y11" s="183"/>
      <c r="Z11" s="180">
        <v>0.8655642797481960691706935692</v>
      </c>
      <c r="AA11" s="81">
        <v>8.567134550945346201999670820</v>
      </c>
      <c r="AB11" s="1"/>
      <c r="AC11" s="1"/>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row>
    <row r="12" ht="18" customHeight="1">
      <c r="A12" s="1"/>
      <c r="B12" s="57"/>
      <c r="C12" s="15"/>
      <c r="D12" s="406" t="s">
        <v>91</v>
      </c>
      <c r="E12" s="68">
        <v>100.15611647932960720423635860</v>
      </c>
      <c r="F12" s="73">
        <v>2.6209476805129470933177675900</v>
      </c>
      <c r="G12" s="68"/>
      <c r="H12" s="68">
        <v>102.67531990249922513898839279</v>
      </c>
      <c r="I12" s="73">
        <v>-6.3645530017497718102995819300</v>
      </c>
      <c r="J12" s="68"/>
      <c r="K12" s="68">
        <v>105.05567621614553103242549733</v>
      </c>
      <c r="L12" s="73">
        <v>-0.1484370767486981075018418500</v>
      </c>
      <c r="M12" s="68"/>
      <c r="N12" s="68">
        <v>120.83890374335030844097332448</v>
      </c>
      <c r="O12" s="73">
        <v>-11.819397180331310007141061630</v>
      </c>
      <c r="P12" s="68"/>
      <c r="Q12" s="68">
        <v>116.96861857006994690128959610</v>
      </c>
      <c r="R12" s="73">
        <v>-4.2913962738252159714584673500</v>
      </c>
      <c r="S12" s="68"/>
      <c r="T12" s="68">
        <v>85.77384009584385218555371869</v>
      </c>
      <c r="U12" s="73">
        <v>-18.686561398471753752049403800</v>
      </c>
      <c r="V12" s="68"/>
      <c r="W12" s="68">
        <v>93.26599326601779149519890906</v>
      </c>
      <c r="X12" s="73">
        <v>-7.5642024571414917437198752200</v>
      </c>
      <c r="Y12" s="174"/>
      <c r="Z12" s="68">
        <v>103.02815315282219372972355329</v>
      </c>
      <c r="AA12" s="73">
        <v>-6.4146256325736190216012233100</v>
      </c>
      <c r="AB12" s="1"/>
      <c r="AC12" s="1"/>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row>
    <row r="13" ht="21" customHeight="1">
      <c r="A13" s="1"/>
      <c r="B13" s="16"/>
      <c r="C13" s="16"/>
      <c r="D13" s="1"/>
      <c r="E13" s="3"/>
      <c r="F13" s="66"/>
      <c r="G13" s="66"/>
      <c r="H13" s="66"/>
      <c r="I13" s="66"/>
      <c r="J13" s="66"/>
      <c r="K13" s="66"/>
      <c r="L13" s="66"/>
      <c r="M13" s="66"/>
      <c r="N13" s="66"/>
      <c r="O13" s="66"/>
      <c r="P13" s="66"/>
      <c r="Q13" s="66"/>
      <c r="R13" s="66"/>
      <c r="S13" s="66"/>
      <c r="T13" s="66"/>
      <c r="U13" s="66"/>
      <c r="V13" s="66"/>
      <c r="W13" s="66"/>
      <c r="X13" s="66"/>
      <c r="Y13" s="66"/>
      <c r="Z13" s="66"/>
      <c r="AA13" s="175"/>
      <c r="AB13" s="1"/>
      <c r="AC13" s="1"/>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row>
    <row r="14" ht="18" customHeight="1">
      <c r="A14" s="1"/>
      <c r="B14" s="653" t="s">
        <v>12</v>
      </c>
      <c r="C14" s="1"/>
      <c r="D14" s="17" t="s">
        <v>32</v>
      </c>
      <c r="E14" s="237">
        <v>193.83898305084745762711864407</v>
      </c>
      <c r="F14" s="73">
        <v>2.7348495212432164566381889200</v>
      </c>
      <c r="G14" s="70"/>
      <c r="H14" s="237">
        <v>194.1680672268907563025210084</v>
      </c>
      <c r="I14" s="73">
        <v>30.149893242918501765251645500</v>
      </c>
      <c r="J14" s="70"/>
      <c r="K14" s="237">
        <v>202.45762711864406779661016949</v>
      </c>
      <c r="L14" s="73">
        <v>52.093087554234426002223326040</v>
      </c>
      <c r="M14" s="70"/>
      <c r="N14" s="237">
        <v>183.62698412698412698412698413</v>
      </c>
      <c r="O14" s="73">
        <v>28.084770158360033982627156980</v>
      </c>
      <c r="P14" s="70"/>
      <c r="Q14" s="237">
        <v>188.01587301587301587301587302</v>
      </c>
      <c r="R14" s="73">
        <v>18.839373712704043760919382560</v>
      </c>
      <c r="S14" s="70"/>
      <c r="T14" s="237">
        <v>245.53608247422680412371134021</v>
      </c>
      <c r="U14" s="73">
        <v>5.1488658888293241654974514400</v>
      </c>
      <c r="V14" s="70"/>
      <c r="W14" s="237">
        <v>275.00833333333333333333333333</v>
      </c>
      <c r="X14" s="73">
        <v>3.1910463697184421786804367700</v>
      </c>
      <c r="Y14" s="178"/>
      <c r="Z14" s="237">
        <v>210.57524271844660194174757282</v>
      </c>
      <c r="AA14" s="73">
        <v>15.177086755297531024134062630</v>
      </c>
      <c r="AB14" s="1"/>
      <c r="AC14" s="1"/>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row>
    <row r="15" ht="18" customHeight="1">
      <c r="A15" s="1"/>
      <c r="B15" s="653"/>
      <c r="C15" s="15"/>
      <c r="D15" s="187" t="s">
        <v>26</v>
      </c>
      <c r="E15" s="238">
        <v>228.80210412147505422993492405</v>
      </c>
      <c r="F15" s="81">
        <v>31.210644377844816105170549220</v>
      </c>
      <c r="G15" s="184"/>
      <c r="H15" s="238">
        <v>239.36508269018743109151047409</v>
      </c>
      <c r="I15" s="81">
        <v>42.084745364259447954136750990</v>
      </c>
      <c r="J15" s="184"/>
      <c r="K15" s="238">
        <v>240.36346985210466439135381115</v>
      </c>
      <c r="L15" s="81">
        <v>46.515630851085133606926497380</v>
      </c>
      <c r="M15" s="184"/>
      <c r="N15" s="238">
        <v>218.13674019607843137254901961</v>
      </c>
      <c r="O15" s="81">
        <v>43.054481642227023776262516930</v>
      </c>
      <c r="P15" s="184"/>
      <c r="Q15" s="238">
        <v>217.12516014234875444839857651</v>
      </c>
      <c r="R15" s="81">
        <v>9.039470347892717490905758960</v>
      </c>
      <c r="S15" s="184"/>
      <c r="T15" s="238">
        <v>241.01570621468926553672316384</v>
      </c>
      <c r="U15" s="81">
        <v>-9.854062107420548786763759240</v>
      </c>
      <c r="V15" s="184"/>
      <c r="W15" s="238">
        <v>270.29382716049382716049382717</v>
      </c>
      <c r="X15" s="81">
        <v>-10.482718870084294683271960840</v>
      </c>
      <c r="Y15" s="186"/>
      <c r="Z15" s="238">
        <v>237.39520525492286117164268923</v>
      </c>
      <c r="AA15" s="81">
        <v>14.198200462332479174993734660</v>
      </c>
      <c r="AB15" s="1"/>
      <c r="AC15" s="1"/>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row>
    <row r="16" ht="18" customHeight="1">
      <c r="A16" s="1"/>
      <c r="B16" s="57"/>
      <c r="C16" s="15"/>
      <c r="D16" s="406" t="s">
        <v>92</v>
      </c>
      <c r="E16" s="68">
        <v>84.71905614465582205107773846</v>
      </c>
      <c r="F16" s="73">
        <v>-21.702351201471087578746885990</v>
      </c>
      <c r="G16" s="68"/>
      <c r="H16" s="68">
        <v>81.11795799314396668509960460</v>
      </c>
      <c r="I16" s="73">
        <v>-8.399812443496790191188627610</v>
      </c>
      <c r="J16" s="68"/>
      <c r="K16" s="68">
        <v>84.22978218912379474897922797</v>
      </c>
      <c r="L16" s="73">
        <v>3.806731521261802337646304300</v>
      </c>
      <c r="M16" s="68"/>
      <c r="N16" s="68">
        <v>84.17975988909874505395301364</v>
      </c>
      <c r="O16" s="73">
        <v>-10.464342893779755535780553190</v>
      </c>
      <c r="P16" s="68"/>
      <c r="Q16" s="68">
        <v>86.59331460833499405842933010</v>
      </c>
      <c r="R16" s="73">
        <v>8.987482545151276850859666320</v>
      </c>
      <c r="S16" s="68"/>
      <c r="T16" s="68">
        <v>101.87555256481915446914675991</v>
      </c>
      <c r="U16" s="73">
        <v>16.642932945139076562389083810</v>
      </c>
      <c r="V16" s="68"/>
      <c r="W16" s="68">
        <v>101.74421525728512765679650666</v>
      </c>
      <c r="X16" s="73">
        <v>15.275000611297413077063412060</v>
      </c>
      <c r="Y16" s="174"/>
      <c r="Z16" s="68">
        <v>88.70239923015470607507983450</v>
      </c>
      <c r="AA16" s="73">
        <v>0.8571818899042529084646341300</v>
      </c>
      <c r="AB16" s="1"/>
      <c r="AC16" s="1"/>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row>
    <row r="17" ht="21" customHeight="1">
      <c r="A17" s="1"/>
      <c r="B17" s="16"/>
      <c r="C17" s="16"/>
      <c r="D17" s="1"/>
      <c r="E17" s="3"/>
      <c r="F17" s="66"/>
      <c r="G17" s="66"/>
      <c r="H17" s="66"/>
      <c r="I17" s="66"/>
      <c r="J17" s="66"/>
      <c r="K17" s="66"/>
      <c r="L17" s="66"/>
      <c r="M17" s="66"/>
      <c r="N17" s="66"/>
      <c r="O17" s="66"/>
      <c r="P17" s="66"/>
      <c r="Q17" s="66"/>
      <c r="R17" s="66"/>
      <c r="S17" s="66"/>
      <c r="T17" s="66"/>
      <c r="U17" s="66"/>
      <c r="V17" s="66"/>
      <c r="W17" s="66"/>
      <c r="X17" s="66"/>
      <c r="Y17" s="66"/>
      <c r="Z17" s="66"/>
      <c r="AA17" s="175"/>
      <c r="AB17" s="1"/>
      <c r="AC17" s="1"/>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row>
    <row r="18" ht="18" customHeight="1">
      <c r="A18" s="1"/>
      <c r="B18" s="653" t="s">
        <v>13</v>
      </c>
      <c r="C18" s="1"/>
      <c r="D18" s="17" t="s">
        <v>32</v>
      </c>
      <c r="E18" s="237">
        <v>173.28030303030303030303030303</v>
      </c>
      <c r="F18" s="73">
        <v>11.217543518450105522419225930</v>
      </c>
      <c r="G18" s="70"/>
      <c r="H18" s="237">
        <v>175.04545454545454545454545455</v>
      </c>
      <c r="I18" s="73">
        <v>32.374677742815651557579720440</v>
      </c>
      <c r="J18" s="70"/>
      <c r="K18" s="237">
        <v>180.98484848484848484848484848</v>
      </c>
      <c r="L18" s="73">
        <v>70.923660299004047108146582280</v>
      </c>
      <c r="M18" s="70"/>
      <c r="N18" s="237">
        <v>175.28030303030303030303030303</v>
      </c>
      <c r="O18" s="73">
        <v>33.377529255745266551638595770</v>
      </c>
      <c r="P18" s="70"/>
      <c r="Q18" s="237">
        <v>179.46969696969696969696969697</v>
      </c>
      <c r="R18" s="73">
        <v>25.829925107547600367548091770</v>
      </c>
      <c r="S18" s="70"/>
      <c r="T18" s="237">
        <v>180.43181818181818181818181818</v>
      </c>
      <c r="U18" s="73">
        <v>-12.825299220391414257267544780</v>
      </c>
      <c r="V18" s="70"/>
      <c r="W18" s="237">
        <v>250.00757575757575757575757576</v>
      </c>
      <c r="X18" s="73">
        <v>0.6741915802453620025306003500</v>
      </c>
      <c r="Y18" s="178"/>
      <c r="Z18" s="237">
        <v>187.78571428571428571428571429</v>
      </c>
      <c r="AA18" s="73">
        <v>17.023328589841653687919053680</v>
      </c>
      <c r="AB18" s="1"/>
      <c r="AC18" s="1"/>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row>
    <row r="19" ht="18" customHeight="1">
      <c r="A19" s="1"/>
      <c r="B19" s="653" t="s"/>
      <c r="C19" s="15"/>
      <c r="D19" s="187" t="s">
        <v>26</v>
      </c>
      <c r="E19" s="238">
        <v>204.21639883833494675701839303</v>
      </c>
      <c r="F19" s="81">
        <v>38.416720956911094144009252610</v>
      </c>
      <c r="G19" s="184"/>
      <c r="H19" s="238">
        <v>210.16856727976766698935140368</v>
      </c>
      <c r="I19" s="81">
        <v>54.336364126268131037108607460</v>
      </c>
      <c r="J19" s="184"/>
      <c r="K19" s="238">
        <v>204.530000000</v>
      </c>
      <c r="L19" s="81">
        <v>64.900434722276571682883592350</v>
      </c>
      <c r="M19" s="184"/>
      <c r="N19" s="238">
        <v>172.31324298160696999031945789</v>
      </c>
      <c r="O19" s="81">
        <v>68.932644023267040958445105830</v>
      </c>
      <c r="P19" s="184"/>
      <c r="Q19" s="238">
        <v>177.18926427879961277831558567</v>
      </c>
      <c r="R19" s="81">
        <v>20.630280187997605270159086570</v>
      </c>
      <c r="S19" s="184"/>
      <c r="T19" s="238">
        <v>206.48489835430784123910939013</v>
      </c>
      <c r="U19" s="81">
        <v>-8.088531065752734530657157550</v>
      </c>
      <c r="V19" s="184"/>
      <c r="W19" s="238">
        <v>263.46329723225030084235860409</v>
      </c>
      <c r="X19" s="81">
        <v>-5.5193603223180854418838236100</v>
      </c>
      <c r="Y19" s="186"/>
      <c r="Z19" s="238">
        <v>205.48080985215247694235326207</v>
      </c>
      <c r="AA19" s="81">
        <v>23.981713950685222536465525670</v>
      </c>
      <c r="AB19" s="1"/>
      <c r="AC19" s="1"/>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row>
    <row r="20" ht="18" customHeight="1">
      <c r="A20" s="1"/>
      <c r="B20" s="57"/>
      <c r="C20" s="15"/>
      <c r="D20" s="406" t="s">
        <v>93</v>
      </c>
      <c r="E20" s="68">
        <v>84.85131655245160265916967057</v>
      </c>
      <c r="F20" s="73">
        <v>-19.650210791308092761963348550</v>
      </c>
      <c r="G20" s="68"/>
      <c r="H20" s="68">
        <v>83.28812286778087879834787838</v>
      </c>
      <c r="I20" s="73">
        <v>-14.229754930289002693705825930</v>
      </c>
      <c r="J20" s="68"/>
      <c r="K20" s="68">
        <v>88.48816725411845932063015131</v>
      </c>
      <c r="L20" s="73">
        <v>3.6526438435390369613239406600</v>
      </c>
      <c r="M20" s="68"/>
      <c r="N20" s="68">
        <v>101.72189902375632250354748786</v>
      </c>
      <c r="O20" s="73">
        <v>-21.046917825170652152577591940</v>
      </c>
      <c r="P20" s="68"/>
      <c r="Q20" s="68">
        <v>101.28700387135690281078578888</v>
      </c>
      <c r="R20" s="73">
        <v>4.310397780244617066920226300</v>
      </c>
      <c r="S20" s="68"/>
      <c r="T20" s="68">
        <v>87.38257355374324940571173662</v>
      </c>
      <c r="U20" s="73">
        <v>-5.1536203365372882744385434500</v>
      </c>
      <c r="V20" s="68"/>
      <c r="W20" s="68">
        <v>94.89275295038150701956080621</v>
      </c>
      <c r="X20" s="73">
        <v>6.5553661825388486061141210700</v>
      </c>
      <c r="Y20" s="174"/>
      <c r="Z20" s="68">
        <v>91.38844372902092684264707939</v>
      </c>
      <c r="AA20" s="73">
        <v>-5.6124287519533147590872556300</v>
      </c>
      <c r="AB20" s="1"/>
      <c r="AC20" s="1"/>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row>
    <row r="21" ht="23.1" customHeight="1">
      <c r="A21" s="1"/>
      <c r="B21" s="16"/>
      <c r="C21" s="16"/>
      <c r="D21" s="1"/>
      <c r="E21" s="1"/>
      <c r="F21" s="1"/>
      <c r="G21" s="1"/>
      <c r="H21" s="1"/>
      <c r="I21" s="1"/>
      <c r="J21" s="1"/>
      <c r="K21" s="1"/>
      <c r="L21" s="1"/>
      <c r="M21" s="1"/>
      <c r="N21" s="1"/>
      <c r="O21" s="1"/>
      <c r="P21" s="1"/>
      <c r="Q21" s="1"/>
      <c r="R21" s="1"/>
      <c r="S21" s="1"/>
      <c r="T21" s="1"/>
      <c r="U21" s="1"/>
      <c r="V21" s="1"/>
      <c r="W21" s="1"/>
      <c r="X21" s="1"/>
      <c r="Y21" s="1"/>
      <c r="Z21" s="1"/>
      <c r="AA21" s="1"/>
      <c r="AB21" s="1"/>
      <c r="AC21" s="1"/>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row>
    <row r="22" ht="23.1"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row>
    <row r="23" s="6" customFormat="1" ht="18" customHeight="1">
      <c r="A23" s="78"/>
      <c r="B23" s="607" t="s">
        <v>69</v>
      </c>
      <c r="C23" s="607"/>
      <c r="D23" s="607"/>
      <c r="E23" s="607"/>
      <c r="F23" s="607"/>
      <c r="G23" s="607"/>
      <c r="H23" s="607"/>
      <c r="I23" s="607"/>
      <c r="J23" s="607"/>
      <c r="K23" s="607"/>
      <c r="L23" s="607"/>
      <c r="M23" s="607"/>
      <c r="N23" s="607"/>
      <c r="O23" s="607"/>
      <c r="P23" s="607"/>
      <c r="Q23" s="607"/>
      <c r="R23" s="607"/>
      <c r="S23" s="607"/>
      <c r="T23" s="607"/>
      <c r="U23" s="607"/>
      <c r="V23" s="607"/>
      <c r="W23" s="607"/>
      <c r="X23" s="607"/>
      <c r="Y23" s="607"/>
      <c r="Z23" s="607"/>
      <c r="AA23" s="607"/>
      <c r="AB23" s="607"/>
      <c r="AC23" s="78"/>
      <c r="AD23" s="245"/>
      <c r="AE23" s="245"/>
      <c r="AF23" s="245"/>
      <c r="AG23" s="245"/>
      <c r="AH23" s="245"/>
      <c r="AI23" s="245"/>
      <c r="AJ23" s="245"/>
      <c r="AK23" s="245"/>
      <c r="AL23" s="245"/>
      <c r="AM23" s="245"/>
      <c r="AN23" s="245"/>
      <c r="AO23" s="245"/>
      <c r="AP23" s="245"/>
      <c r="AQ23" s="245"/>
      <c r="AR23" s="245"/>
      <c r="AS23" s="245"/>
      <c r="AT23" s="245"/>
      <c r="AU23" s="245"/>
      <c r="AV23" s="245"/>
      <c r="AW23" s="245"/>
      <c r="AX23" s="245"/>
      <c r="AY23" s="245"/>
      <c r="AZ23" s="245"/>
      <c r="BA23" s="245"/>
      <c r="BB23" s="245"/>
      <c r="BC23" s="245"/>
      <c r="BD23" s="245"/>
      <c r="BE23" s="245"/>
      <c r="BF23" s="245"/>
      <c r="BG23" s="245"/>
    </row>
    <row r="24" ht="21" customHeight="1">
      <c r="A24" s="1"/>
      <c r="B24" s="16"/>
      <c r="C24" s="16"/>
      <c r="D24" s="1"/>
      <c r="E24" s="1"/>
      <c r="F24" s="1"/>
      <c r="G24" s="1"/>
      <c r="H24" s="1"/>
      <c r="I24" s="1"/>
      <c r="J24" s="1"/>
      <c r="K24" s="1"/>
      <c r="L24" s="1"/>
      <c r="M24" s="1"/>
      <c r="N24" s="1"/>
      <c r="O24" s="1"/>
      <c r="P24" s="1"/>
      <c r="Q24" s="1"/>
      <c r="R24" s="1"/>
      <c r="S24" s="1"/>
      <c r="T24" s="1"/>
      <c r="U24" s="1"/>
      <c r="V24" s="1"/>
      <c r="W24" s="1"/>
      <c r="X24" s="1"/>
      <c r="Y24" s="1"/>
      <c r="Z24" s="1"/>
      <c r="AA24" s="1"/>
      <c r="AB24" s="1"/>
      <c r="AC24" s="1"/>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c r="BB24" s="244"/>
      <c r="BC24" s="244"/>
      <c r="BD24" s="244"/>
      <c r="BE24" s="244"/>
      <c r="BF24" s="244"/>
      <c r="BG24" s="244"/>
    </row>
    <row r="25" ht="18" customHeight="1">
      <c r="A25" s="1"/>
      <c r="B25" s="1"/>
      <c r="C25" s="1"/>
      <c r="D25" s="3"/>
      <c r="E25" s="651" t="s">
        <v>40</v>
      </c>
      <c r="F25" s="651"/>
      <c r="G25" s="64"/>
      <c r="H25" s="651" t="s">
        <v>39</v>
      </c>
      <c r="I25" s="651"/>
      <c r="J25" s="1"/>
      <c r="K25" s="651" t="s">
        <v>41</v>
      </c>
      <c r="L25" s="651"/>
      <c r="M25" s="64"/>
      <c r="N25" s="651" t="s">
        <v>42</v>
      </c>
      <c r="O25" s="651"/>
      <c r="P25" s="64"/>
      <c r="Q25" s="651" t="s">
        <v>43</v>
      </c>
      <c r="R25" s="651"/>
      <c r="S25" s="64"/>
      <c r="T25" s="651" t="s">
        <v>44</v>
      </c>
      <c r="U25" s="651"/>
      <c r="V25" s="64"/>
      <c r="W25" s="651" t="s">
        <v>45</v>
      </c>
      <c r="X25" s="651"/>
      <c r="Y25" s="64"/>
      <c r="Z25" s="651" t="s">
        <v>23</v>
      </c>
      <c r="AA25" s="651"/>
      <c r="AB25" s="1"/>
      <c r="AC25" s="1"/>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c r="BB25" s="244"/>
      <c r="BC25" s="244"/>
      <c r="BD25" s="244"/>
      <c r="BE25" s="244"/>
      <c r="BF25" s="244"/>
      <c r="BG25" s="244"/>
    </row>
    <row r="26" ht="18" customHeight="1">
      <c r="A26" s="1"/>
      <c r="B26" s="16"/>
      <c r="C26" s="16"/>
      <c r="D26" s="1"/>
      <c r="E26" s="652" t="s">
        <v>57</v>
      </c>
      <c r="F26" s="652"/>
      <c r="G26" s="65"/>
      <c r="H26" s="652" t="s">
        <v>57</v>
      </c>
      <c r="I26" s="652"/>
      <c r="J26" s="3"/>
      <c r="K26" s="652" t="s">
        <v>57</v>
      </c>
      <c r="L26" s="652"/>
      <c r="M26" s="65"/>
      <c r="N26" s="652" t="s">
        <v>57</v>
      </c>
      <c r="O26" s="652"/>
      <c r="P26" s="65"/>
      <c r="Q26" s="652" t="s">
        <v>57</v>
      </c>
      <c r="R26" s="652"/>
      <c r="S26" s="65"/>
      <c r="T26" s="652" t="s">
        <v>57</v>
      </c>
      <c r="U26" s="652"/>
      <c r="V26" s="65"/>
      <c r="W26" s="652" t="s">
        <v>57</v>
      </c>
      <c r="X26" s="652"/>
      <c r="Y26" s="1"/>
      <c r="Z26" s="652" t="s">
        <v>57</v>
      </c>
      <c r="AA26" s="652"/>
      <c r="AB26" s="1"/>
      <c r="AC26" s="1"/>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row>
    <row r="27" ht="18" customHeight="1">
      <c r="A27" s="1"/>
      <c r="B27" s="653" t="s">
        <v>28</v>
      </c>
      <c r="C27" s="1"/>
      <c r="D27" s="17" t="s">
        <v>32</v>
      </c>
      <c r="E27" s="67">
        <v>0.8181818181818181818181818182</v>
      </c>
      <c r="F27" s="73">
        <v>-3.786191536772329502333811800</v>
      </c>
      <c r="G27" s="66"/>
      <c r="H27" s="67">
        <v>0.7803030303030303030303030303</v>
      </c>
      <c r="I27" s="73">
        <v>-7.6233183856535381769189003200</v>
      </c>
      <c r="J27" s="66"/>
      <c r="K27" s="67">
        <v>0.7689393939393939393939393939</v>
      </c>
      <c r="L27" s="73">
        <v>-10.375275938237328772129852190</v>
      </c>
      <c r="M27" s="67"/>
      <c r="N27" s="67">
        <v>0.8617424242424242424242424242</v>
      </c>
      <c r="O27" s="73">
        <v>-3.1914893617548574015391292700</v>
      </c>
      <c r="P27" s="66"/>
      <c r="Q27" s="67">
        <v>0.8901515151515151515151515152</v>
      </c>
      <c r="R27" s="73">
        <v>3.0701754386398891966759185600</v>
      </c>
      <c r="S27" s="66"/>
      <c r="T27" s="67">
        <v>0.8409090909090909090909090909</v>
      </c>
      <c r="U27" s="73">
        <v>-7.8838174274072967063239219600</v>
      </c>
      <c r="V27" s="66"/>
      <c r="W27" s="67">
        <v>0.9299242424242424242424242424</v>
      </c>
      <c r="X27" s="73">
        <v>4.4680851063260769578995330300</v>
      </c>
      <c r="Y27" s="177"/>
      <c r="Z27" s="67">
        <v>0.8414502164502164502164502165</v>
      </c>
      <c r="AA27" s="73">
        <v>-3.5957842528898376450791436100</v>
      </c>
      <c r="AB27" s="1"/>
      <c r="AC27" s="1"/>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row>
    <row r="28" ht="18" customHeight="1">
      <c r="A28" s="1"/>
      <c r="B28" s="653"/>
      <c r="C28" s="15"/>
      <c r="D28" s="187" t="s">
        <v>26</v>
      </c>
      <c r="E28" s="180">
        <v>0.8155856727976766698935140368</v>
      </c>
      <c r="F28" s="81">
        <v>-2.937788018422780200789992300</v>
      </c>
      <c r="G28" s="181"/>
      <c r="H28" s="180">
        <v>0.8129235237173281703775411423</v>
      </c>
      <c r="I28" s="81">
        <v>4.1873449131339140303185197500</v>
      </c>
      <c r="J28" s="181"/>
      <c r="K28" s="180">
        <v>0.840997095837366892545982575</v>
      </c>
      <c r="L28" s="81">
        <v>8.458177278358668393596660700</v>
      </c>
      <c r="M28" s="180"/>
      <c r="N28" s="180">
        <v>0.8209099709583736689254598258</v>
      </c>
      <c r="O28" s="81">
        <v>8.439897698211105369535782760</v>
      </c>
      <c r="P28" s="181"/>
      <c r="Q28" s="180">
        <v>0.8441432720232333010648596321</v>
      </c>
      <c r="R28" s="81">
        <v>5.6329497274468737813215278900</v>
      </c>
      <c r="S28" s="182"/>
      <c r="T28" s="180">
        <v>0.8949661181026137463697967086</v>
      </c>
      <c r="U28" s="81">
        <v>0.1353912807812344238618942900</v>
      </c>
      <c r="V28" s="181"/>
      <c r="W28" s="180">
        <v>0.9380191933347545440884039687</v>
      </c>
      <c r="X28" s="81">
        <v>0.9610655602408683855440239600</v>
      </c>
      <c r="Y28" s="183"/>
      <c r="Z28" s="180">
        <v>0.8525064066816209990379368413</v>
      </c>
      <c r="AA28" s="81">
        <v>3.3354090472178864595600044400</v>
      </c>
      <c r="AB28" s="1"/>
      <c r="AC28" s="1"/>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row>
    <row r="29" ht="18" customHeight="1">
      <c r="A29" s="1"/>
      <c r="B29" s="57"/>
      <c r="C29" s="15"/>
      <c r="D29" s="406" t="s">
        <v>91</v>
      </c>
      <c r="E29" s="68">
        <v>100.31831669809888648550862527</v>
      </c>
      <c r="F29" s="73">
        <v>-0.8740822005202080798505535500</v>
      </c>
      <c r="G29" s="68"/>
      <c r="H29" s="68">
        <v>95.98726172114983028848320670</v>
      </c>
      <c r="I29" s="73">
        <v>-11.335986446927815764084537850</v>
      </c>
      <c r="J29" s="68"/>
      <c r="K29" s="68">
        <v>91.43187268371113279901129889</v>
      </c>
      <c r="L29" s="73">
        <v>-17.364714850604057232852093490</v>
      </c>
      <c r="M29" s="68"/>
      <c r="N29" s="68">
        <v>104.97404767014498139719919621</v>
      </c>
      <c r="O29" s="73">
        <v>-10.726114010366147583303661210</v>
      </c>
      <c r="P29" s="68"/>
      <c r="Q29" s="68">
        <v>105.45028843483592737503204929</v>
      </c>
      <c r="R29" s="73">
        <v>-2.4261125864743421966471724400</v>
      </c>
      <c r="S29" s="68"/>
      <c r="T29" s="68">
        <v>93.95988003339275383121426218</v>
      </c>
      <c r="U29" s="73">
        <v>-8.008366078846587801198777690</v>
      </c>
      <c r="V29" s="68"/>
      <c r="W29" s="68">
        <v>99.13701649515538420157397625</v>
      </c>
      <c r="X29" s="73">
        <v>3.4736356303783029493579551700</v>
      </c>
      <c r="Y29" s="174"/>
      <c r="Z29" s="68">
        <v>98.70309593627397750381968273</v>
      </c>
      <c r="AA29" s="73">
        <v>-6.7074716828739123612150111100</v>
      </c>
      <c r="AB29" s="1"/>
      <c r="AC29" s="1"/>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row>
    <row r="30" ht="21" customHeight="1">
      <c r="A30" s="1"/>
      <c r="B30" s="16"/>
      <c r="C30" s="16"/>
      <c r="D30" s="1"/>
      <c r="E30" s="66"/>
      <c r="F30" s="66"/>
      <c r="G30" s="66"/>
      <c r="H30" s="66"/>
      <c r="I30" s="66"/>
      <c r="J30" s="66"/>
      <c r="K30" s="66"/>
      <c r="L30" s="66"/>
      <c r="M30" s="66"/>
      <c r="N30" s="66"/>
      <c r="O30" s="66"/>
      <c r="P30" s="66"/>
      <c r="Q30" s="66"/>
      <c r="R30" s="66"/>
      <c r="S30" s="66"/>
      <c r="T30" s="66"/>
      <c r="U30" s="66"/>
      <c r="V30" s="66"/>
      <c r="W30" s="66"/>
      <c r="X30" s="66"/>
      <c r="Y30" s="66"/>
      <c r="Z30" s="66"/>
      <c r="AA30" s="19"/>
      <c r="AB30" s="1"/>
      <c r="AC30" s="1"/>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row>
    <row r="31" ht="18" customHeight="1">
      <c r="A31" s="1"/>
      <c r="B31" s="653" t="s">
        <v>12</v>
      </c>
      <c r="C31" s="1"/>
      <c r="D31" s="17" t="s">
        <v>32</v>
      </c>
      <c r="E31" s="237">
        <v>231.12731481481481481481481481</v>
      </c>
      <c r="F31" s="73">
        <v>-7.5729527767070975985476121300</v>
      </c>
      <c r="G31" s="70"/>
      <c r="H31" s="237">
        <v>211.76699029126213592233009709</v>
      </c>
      <c r="I31" s="73">
        <v>23.048161952519678637312651770</v>
      </c>
      <c r="J31" s="70"/>
      <c r="K31" s="237">
        <v>222.12068965517241379310344828</v>
      </c>
      <c r="L31" s="73">
        <v>28.967793403953768948637518890</v>
      </c>
      <c r="M31" s="70"/>
      <c r="N31" s="237">
        <v>200.93846153846153846153846154</v>
      </c>
      <c r="O31" s="73">
        <v>14.244159537252919774719173100</v>
      </c>
      <c r="P31" s="70"/>
      <c r="Q31" s="237">
        <v>217.25319148936170212765957447</v>
      </c>
      <c r="R31" s="73">
        <v>-5.5673015221557471453010238600</v>
      </c>
      <c r="S31" s="70"/>
      <c r="T31" s="237">
        <v>307.17342342342342342342342342</v>
      </c>
      <c r="U31" s="73">
        <v>-0.817541707367192144290714800</v>
      </c>
      <c r="V31" s="70"/>
      <c r="W31" s="237">
        <v>311.4236252545824847250509165</v>
      </c>
      <c r="X31" s="73">
        <v>-3.1879939217579074539169516900</v>
      </c>
      <c r="Y31" s="178"/>
      <c r="Z31" s="237">
        <v>244.40707395498392282958199357</v>
      </c>
      <c r="AA31" s="73">
        <v>4.4180046509130757163499552500</v>
      </c>
      <c r="AB31" s="1"/>
      <c r="AC31" s="1"/>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row>
    <row r="32" ht="18" customHeight="1">
      <c r="A32" s="1"/>
      <c r="B32" s="653"/>
      <c r="C32" s="15"/>
      <c r="D32" s="187" t="s">
        <v>26</v>
      </c>
      <c r="E32" s="238">
        <v>233.01237982195845697329376854</v>
      </c>
      <c r="F32" s="81">
        <v>4.720392336020519175160933500</v>
      </c>
      <c r="G32" s="184"/>
      <c r="H32" s="238">
        <v>232.43209586186364989580232212</v>
      </c>
      <c r="I32" s="81">
        <v>24.092136168729516297784399600</v>
      </c>
      <c r="J32" s="184"/>
      <c r="K32" s="238">
        <v>240.35587050359712230215827338</v>
      </c>
      <c r="L32" s="81">
        <v>28.526270070427037921502594510</v>
      </c>
      <c r="M32" s="184"/>
      <c r="N32" s="238">
        <v>232.62153596698113207547169811</v>
      </c>
      <c r="O32" s="81">
        <v>25.306893586757896409522295380</v>
      </c>
      <c r="P32" s="184"/>
      <c r="Q32" s="238">
        <v>226.67680045871559633027522936</v>
      </c>
      <c r="R32" s="81">
        <v>1.9379023267314699271248145300</v>
      </c>
      <c r="S32" s="184"/>
      <c r="T32" s="238">
        <v>282.76468361276365603028664143</v>
      </c>
      <c r="U32" s="81">
        <v>-2.4625626384845226220252553300</v>
      </c>
      <c r="V32" s="184"/>
      <c r="W32" s="238">
        <v>291.9075972043569608077819992</v>
      </c>
      <c r="X32" s="81">
        <v>-0.8652241896074401324517690800</v>
      </c>
      <c r="Y32" s="186"/>
      <c r="Z32" s="238">
        <v>249.73728371406926777699417068</v>
      </c>
      <c r="AA32" s="81">
        <v>8.515862154727984890692608280</v>
      </c>
      <c r="AB32" s="1"/>
      <c r="AC32" s="1"/>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row>
    <row r="33" ht="18" customHeight="1">
      <c r="A33" s="1"/>
      <c r="B33" s="57"/>
      <c r="C33" s="15"/>
      <c r="D33" s="406" t="s">
        <v>92</v>
      </c>
      <c r="E33" s="68">
        <v>99.19100220828386832732239396</v>
      </c>
      <c r="F33" s="73">
        <v>-11.739208418231782775644985030</v>
      </c>
      <c r="G33" s="68"/>
      <c r="H33" s="68">
        <v>91.10918589190191772785400751</v>
      </c>
      <c r="I33" s="73">
        <v>-0.8412895840626249987125942200</v>
      </c>
      <c r="J33" s="68"/>
      <c r="K33" s="68">
        <v>92.41325755421710680503292822</v>
      </c>
      <c r="L33" s="73">
        <v>0.3435276954378196411277262900</v>
      </c>
      <c r="M33" s="68"/>
      <c r="N33" s="68">
        <v>86.37999087365966642480004580</v>
      </c>
      <c r="O33" s="73">
        <v>-8.828511930055908269298213940</v>
      </c>
      <c r="P33" s="68"/>
      <c r="Q33" s="68">
        <v>95.84271131837540732455707027</v>
      </c>
      <c r="R33" s="73">
        <v>-7.3625252997993128229282075500</v>
      </c>
      <c r="S33" s="68"/>
      <c r="T33" s="68">
        <v>108.63217410985001280314152421</v>
      </c>
      <c r="U33" s="73">
        <v>1.6865533641641550752305264500</v>
      </c>
      <c r="V33" s="68"/>
      <c r="W33" s="68">
        <v>106.68568692185045826566431562</v>
      </c>
      <c r="X33" s="73">
        <v>-2.3430423008794216464774547300</v>
      </c>
      <c r="Y33" s="174"/>
      <c r="Z33" s="68">
        <v>97.86567320672146115259211797</v>
      </c>
      <c r="AA33" s="73">
        <v>-3.7762751200568533394110257100</v>
      </c>
      <c r="AB33" s="1"/>
      <c r="AC33" s="1"/>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row>
    <row r="34" ht="21" customHeight="1">
      <c r="A34" s="1"/>
      <c r="B34" s="16"/>
      <c r="C34" s="16"/>
      <c r="D34" s="1"/>
      <c r="E34" s="66"/>
      <c r="F34" s="66"/>
      <c r="G34" s="66"/>
      <c r="H34" s="66"/>
      <c r="I34" s="66"/>
      <c r="J34" s="66"/>
      <c r="K34" s="66"/>
      <c r="L34" s="66"/>
      <c r="M34" s="66"/>
      <c r="N34" s="66"/>
      <c r="O34" s="66"/>
      <c r="P34" s="66"/>
      <c r="Q34" s="66"/>
      <c r="R34" s="66"/>
      <c r="S34" s="66"/>
      <c r="T34" s="66"/>
      <c r="U34" s="66"/>
      <c r="V34" s="66"/>
      <c r="W34" s="66"/>
      <c r="X34" s="66"/>
      <c r="Y34" s="66"/>
      <c r="Z34" s="66"/>
      <c r="AA34" s="18"/>
      <c r="AB34" s="1"/>
      <c r="AC34" s="1"/>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row>
    <row r="35" ht="18" customHeight="1">
      <c r="A35" s="1"/>
      <c r="B35" s="653" t="s">
        <v>13</v>
      </c>
      <c r="C35" s="1"/>
      <c r="D35" s="17" t="s">
        <v>32</v>
      </c>
      <c r="E35" s="237">
        <v>189.10416666666666666666666667</v>
      </c>
      <c r="F35" s="73">
        <v>-11.072417816323658129120697770</v>
      </c>
      <c r="G35" s="70"/>
      <c r="H35" s="237">
        <v>165.24242424242424242424242424</v>
      </c>
      <c r="I35" s="73">
        <v>13.667808799202206143910750120</v>
      </c>
      <c r="J35" s="70"/>
      <c r="K35" s="237">
        <v>170.79734848484848484848484848</v>
      </c>
      <c r="L35" s="73">
        <v>15.587028966893629480369745230</v>
      </c>
      <c r="M35" s="70"/>
      <c r="N35" s="237">
        <v>173.15719696969696969696969697</v>
      </c>
      <c r="O35" s="73">
        <v>10.598069339264583821378975070</v>
      </c>
      <c r="P35" s="70"/>
      <c r="Q35" s="237">
        <v>193.38825757575757575757575758</v>
      </c>
      <c r="R35" s="73">
        <v>-2.6680520074761835344642551200</v>
      </c>
      <c r="S35" s="70"/>
      <c r="T35" s="237">
        <v>258.30492424242424242424242424</v>
      </c>
      <c r="U35" s="73">
        <v>-8.636905639147971601675309260</v>
      </c>
      <c r="V35" s="70"/>
      <c r="W35" s="237">
        <v>289.60037878787878787878787879</v>
      </c>
      <c r="X35" s="73">
        <v>1.1376489030297298099613387700</v>
      </c>
      <c r="Y35" s="178"/>
      <c r="Z35" s="237">
        <v>205.65638528138528138528138528</v>
      </c>
      <c r="AA35" s="73">
        <v>0.6633584824380565084751226300</v>
      </c>
      <c r="AB35" s="1"/>
      <c r="AC35" s="1"/>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row>
    <row r="36" ht="18" customHeight="1">
      <c r="A36" s="1"/>
      <c r="B36" s="653" t="s"/>
      <c r="C36" s="15"/>
      <c r="D36" s="187" t="s">
        <v>26</v>
      </c>
      <c r="E36" s="238">
        <v>190.0415585672797676669893514</v>
      </c>
      <c r="F36" s="81">
        <v>1.643929197126952950760925300</v>
      </c>
      <c r="G36" s="184"/>
      <c r="H36" s="238">
        <v>188.94951839303000968054211036</v>
      </c>
      <c r="I36" s="81">
        <v>29.288301920246874255567085680</v>
      </c>
      <c r="J36" s="184"/>
      <c r="K36" s="238">
        <v>202.13858906098741529525653437</v>
      </c>
      <c r="L36" s="81">
        <v>39.397249842362159171939031660</v>
      </c>
      <c r="M36" s="184"/>
      <c r="N36" s="238">
        <v>190.96133833494675701839303001</v>
      </c>
      <c r="O36" s="81">
        <v>35.882667214268303845382876590</v>
      </c>
      <c r="P36" s="184"/>
      <c r="Q36" s="238">
        <v>191.34769603097773475314617619</v>
      </c>
      <c r="R36" s="81">
        <v>7.6800131179897568782554143900</v>
      </c>
      <c r="S36" s="184"/>
      <c r="T36" s="238">
        <v>253.06481122942884801548886738</v>
      </c>
      <c r="U36" s="81">
        <v>-2.3305054528046039323414903400</v>
      </c>
      <c r="V36" s="184"/>
      <c r="W36" s="238">
        <v>273.81492885791736707893427832</v>
      </c>
      <c r="X36" s="81">
        <v>0.0875259989780986595085848400</v>
      </c>
      <c r="Y36" s="186"/>
      <c r="Z36" s="238">
        <v>212.90263435350969992982147829</v>
      </c>
      <c r="AA36" s="81">
        <v>12.135310038744682230310331470</v>
      </c>
      <c r="AB36" s="1"/>
      <c r="AC36" s="1"/>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row>
    <row r="37" ht="18" customHeight="1">
      <c r="A37" s="1"/>
      <c r="B37" s="57"/>
      <c r="C37" s="15"/>
      <c r="D37" s="406" t="s">
        <v>93</v>
      </c>
      <c r="E37" s="68">
        <v>99.50674373137106646883972957</v>
      </c>
      <c r="F37" s="73">
        <v>-12.510680287455106610439078990</v>
      </c>
      <c r="G37" s="68"/>
      <c r="H37" s="68">
        <v>87.45321271406107342278714132</v>
      </c>
      <c r="I37" s="73">
        <v>-12.081907557825199595771818850</v>
      </c>
      <c r="J37" s="68"/>
      <c r="K37" s="68">
        <v>84.49517198980073514548298348</v>
      </c>
      <c r="L37" s="73">
        <v>-17.080839760024577705843074320</v>
      </c>
      <c r="M37" s="68"/>
      <c r="N37" s="68">
        <v>90.67657279717066467100536392</v>
      </c>
      <c r="O37" s="73">
        <v>-18.607669685450905841704782330</v>
      </c>
      <c r="P37" s="68"/>
      <c r="Q37" s="68">
        <v>101.06641552894736027738848546</v>
      </c>
      <c r="R37" s="73">
        <v>-9.610014733320484845461325340</v>
      </c>
      <c r="S37" s="68"/>
      <c r="T37" s="68">
        <v>102.07066047135022154580196297</v>
      </c>
      <c r="U37" s="73">
        <v>-6.4568780820964492900383970800</v>
      </c>
      <c r="V37" s="68"/>
      <c r="W37" s="68">
        <v>105.76500704173469770345972780</v>
      </c>
      <c r="X37" s="73">
        <v>1.0492045772421421296735189200</v>
      </c>
      <c r="Y37" s="174"/>
      <c r="Z37" s="68">
        <v>96.59644931396989342104513936</v>
      </c>
      <c r="AA37" s="73">
        <v>-10.230454218504196826817779170</v>
      </c>
      <c r="AB37" s="1"/>
      <c r="AC37" s="1"/>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row>
    <row r="38" ht="23.1" customHeight="1">
      <c r="A38" s="1"/>
      <c r="B38" s="1"/>
      <c r="C38" s="1"/>
      <c r="D38" s="1"/>
      <c r="E38" s="175"/>
      <c r="F38" s="175"/>
      <c r="G38" s="175"/>
      <c r="H38" s="175"/>
      <c r="I38" s="175"/>
      <c r="J38" s="175"/>
      <c r="K38" s="175"/>
      <c r="L38" s="175"/>
      <c r="M38" s="175"/>
      <c r="N38" s="175"/>
      <c r="O38" s="175"/>
      <c r="P38" s="175"/>
      <c r="Q38" s="175"/>
      <c r="R38" s="175"/>
      <c r="S38" s="175"/>
      <c r="T38" s="175"/>
      <c r="U38" s="175"/>
      <c r="V38" s="175"/>
      <c r="W38" s="175"/>
      <c r="X38" s="175"/>
      <c r="Y38" s="175"/>
      <c r="Z38" s="175"/>
      <c r="AA38" s="175"/>
      <c r="AB38" s="1"/>
      <c r="AC38" s="1"/>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row>
    <row r="39" ht="9"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row>
    <row r="40" ht="33.95" customHeight="1">
      <c r="A40" s="1"/>
      <c r="B40" s="654" t="s">
        <v>114</v>
      </c>
      <c r="C40" s="654"/>
      <c r="D40" s="654"/>
      <c r="E40" s="654"/>
      <c r="F40" s="654"/>
      <c r="G40" s="654"/>
      <c r="H40" s="654"/>
      <c r="I40" s="654"/>
      <c r="J40" s="654"/>
      <c r="K40" s="654"/>
      <c r="L40" s="654"/>
      <c r="M40" s="654"/>
      <c r="N40" s="654"/>
      <c r="O40" s="654"/>
      <c r="P40" s="654"/>
      <c r="Q40" s="654"/>
      <c r="R40" s="654"/>
      <c r="S40" s="654"/>
      <c r="T40" s="654"/>
      <c r="U40" s="654"/>
      <c r="V40" s="654"/>
      <c r="W40" s="654"/>
      <c r="X40" s="654"/>
      <c r="Y40" s="654"/>
      <c r="Z40" s="654"/>
      <c r="AA40" s="654"/>
      <c r="AB40" s="654"/>
      <c r="AC40" s="1"/>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row>
    <row r="41" ht="9.75" customHeight="1">
      <c r="A41" s="1"/>
      <c r="B41" s="1"/>
      <c r="C41" s="1"/>
      <c r="D41" s="1"/>
      <c r="E41" s="1"/>
      <c r="F41" s="1"/>
      <c r="G41" s="1"/>
      <c r="H41" s="1"/>
      <c r="I41" s="1"/>
      <c r="J41" s="1"/>
      <c r="K41" s="1"/>
      <c r="L41" s="1"/>
      <c r="M41" s="1"/>
      <c r="N41" s="1"/>
      <c r="O41" s="1"/>
      <c r="P41" s="1"/>
      <c r="Q41" s="1"/>
      <c r="R41" s="1"/>
      <c r="S41" s="1"/>
      <c r="T41" s="1"/>
      <c r="U41" s="1"/>
      <c r="V41" s="1"/>
      <c r="W41" s="1"/>
      <c r="X41" s="1"/>
      <c r="Y41" s="80"/>
      <c r="Z41" s="241"/>
      <c r="AA41" s="1"/>
      <c r="AB41" s="1"/>
      <c r="AC41" s="1"/>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row>
    <row r="42" ht="9"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row>
    <row r="43" ht="18" customHeight="1">
      <c r="A43" s="244"/>
      <c r="B43" s="244"/>
      <c r="C43" s="244"/>
      <c r="D43" s="244"/>
      <c r="E43" s="244"/>
      <c r="F43" s="244"/>
      <c r="G43" s="244"/>
      <c r="H43" s="244"/>
      <c r="I43" s="244"/>
      <c r="J43" s="244"/>
      <c r="K43" s="244"/>
      <c r="L43" s="244"/>
      <c r="M43" s="244"/>
      <c r="N43" s="244"/>
      <c r="O43" s="244"/>
      <c r="P43" s="244"/>
      <c r="Q43" s="244"/>
      <c r="R43" s="244"/>
      <c r="S43" s="244"/>
      <c r="T43" s="244"/>
      <c r="U43" s="244"/>
      <c r="V43" s="244"/>
      <c r="W43" s="244"/>
      <c r="X43" s="244"/>
      <c r="Y43" s="244"/>
      <c r="Z43" s="244"/>
      <c r="AA43" s="244"/>
      <c r="AB43" s="244"/>
      <c r="AC43" s="244"/>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row>
    <row r="44">
      <c r="A44" s="244"/>
      <c r="B44" s="244"/>
      <c r="C44" s="244"/>
      <c r="D44" s="244"/>
      <c r="E44" s="244"/>
      <c r="F44" s="244"/>
      <c r="G44" s="244"/>
      <c r="H44" s="244"/>
      <c r="I44" s="244"/>
      <c r="J44" s="244"/>
      <c r="K44" s="244"/>
      <c r="L44" s="244"/>
      <c r="M44" s="244"/>
      <c r="N44" s="244"/>
      <c r="O44" s="244"/>
      <c r="P44" s="244"/>
      <c r="Q44" s="244"/>
      <c r="R44" s="244"/>
      <c r="S44" s="244"/>
      <c r="T44" s="244"/>
      <c r="U44" s="244"/>
      <c r="V44" s="244"/>
      <c r="W44" s="244"/>
      <c r="X44" s="244"/>
      <c r="Y44" s="244"/>
      <c r="Z44" s="244"/>
      <c r="AA44" s="244"/>
      <c r="AB44" s="244"/>
      <c r="AC44" s="244"/>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row>
    <row r="45">
      <c r="A45" s="244"/>
      <c r="B45" s="244"/>
      <c r="C45" s="244"/>
      <c r="D45" s="244"/>
      <c r="E45" s="244"/>
      <c r="F45" s="244"/>
      <c r="G45" s="244"/>
      <c r="H45" s="244"/>
      <c r="I45" s="244"/>
      <c r="J45" s="244"/>
      <c r="K45" s="244"/>
      <c r="L45" s="244"/>
      <c r="M45" s="244"/>
      <c r="N45" s="244"/>
      <c r="O45" s="244"/>
      <c r="P45" s="244"/>
      <c r="Q45" s="244"/>
      <c r="R45" s="244"/>
      <c r="S45" s="244"/>
      <c r="T45" s="244"/>
      <c r="U45" s="244"/>
      <c r="V45" s="244"/>
      <c r="W45" s="244"/>
      <c r="X45" s="244"/>
      <c r="Y45" s="244"/>
      <c r="Z45" s="244"/>
      <c r="AA45" s="244"/>
      <c r="AB45" s="244"/>
      <c r="AC45" s="244"/>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row>
    <row r="46">
      <c r="A46" s="244"/>
      <c r="B46" s="244"/>
      <c r="C46" s="244"/>
      <c r="D46" s="244"/>
      <c r="E46" s="244"/>
      <c r="F46" s="244"/>
      <c r="G46" s="244"/>
      <c r="H46" s="244"/>
      <c r="I46" s="244"/>
      <c r="J46" s="244"/>
      <c r="K46" s="244"/>
      <c r="L46" s="244"/>
      <c r="M46" s="244"/>
      <c r="N46" s="244"/>
      <c r="O46" s="244"/>
      <c r="P46" s="244"/>
      <c r="Q46" s="244"/>
      <c r="R46" s="244"/>
      <c r="S46" s="244"/>
      <c r="T46" s="244"/>
      <c r="U46" s="244"/>
      <c r="V46" s="244"/>
      <c r="W46" s="244"/>
      <c r="X46" s="244"/>
      <c r="Y46" s="244"/>
      <c r="Z46" s="244"/>
      <c r="AA46" s="244"/>
      <c r="AB46" s="244"/>
      <c r="AC46" s="24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row>
    <row r="47">
      <c r="A47" s="244"/>
      <c r="B47" s="244"/>
      <c r="C47" s="244"/>
      <c r="D47" s="244"/>
      <c r="E47" s="244"/>
      <c r="F47" s="244"/>
      <c r="G47" s="244"/>
      <c r="H47" s="244"/>
      <c r="I47" s="244"/>
      <c r="J47" s="244"/>
      <c r="K47" s="244"/>
      <c r="L47" s="244"/>
      <c r="M47" s="244"/>
      <c r="N47" s="244"/>
      <c r="O47" s="244"/>
      <c r="P47" s="244"/>
      <c r="Q47" s="244"/>
      <c r="R47" s="244"/>
      <c r="S47" s="244"/>
      <c r="T47" s="244"/>
      <c r="U47" s="244"/>
      <c r="V47" s="244"/>
      <c r="W47" s="244"/>
      <c r="X47" s="244"/>
      <c r="Y47" s="244"/>
      <c r="Z47" s="244"/>
      <c r="AA47" s="244"/>
      <c r="AB47" s="244"/>
      <c r="AC47" s="244"/>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row>
    <row r="48">
      <c r="A48" s="244"/>
      <c r="B48" s="244"/>
      <c r="C48" s="244"/>
      <c r="D48" s="244"/>
      <c r="E48" s="244"/>
      <c r="F48" s="244"/>
      <c r="G48" s="244"/>
      <c r="H48" s="244"/>
      <c r="I48" s="244"/>
      <c r="J48" s="244"/>
      <c r="K48" s="244"/>
      <c r="L48" s="244"/>
      <c r="M48" s="244"/>
      <c r="N48" s="244"/>
      <c r="O48" s="244"/>
      <c r="P48" s="244"/>
      <c r="Q48" s="244"/>
      <c r="R48" s="244"/>
      <c r="S48" s="244"/>
      <c r="T48" s="244"/>
      <c r="U48" s="244"/>
      <c r="V48" s="244"/>
      <c r="W48" s="244"/>
      <c r="X48" s="244"/>
      <c r="Y48" s="244"/>
      <c r="Z48" s="244"/>
      <c r="AA48" s="244"/>
      <c r="AB48" s="244"/>
      <c r="AC48" s="244"/>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row>
    <row r="49">
      <c r="A49" s="244"/>
      <c r="B49" s="244"/>
      <c r="C49" s="244"/>
      <c r="D49" s="244"/>
      <c r="E49" s="244"/>
      <c r="F49" s="244"/>
      <c r="G49" s="244"/>
      <c r="H49" s="244"/>
      <c r="I49" s="244"/>
      <c r="J49" s="244"/>
      <c r="K49" s="244"/>
      <c r="L49" s="244"/>
      <c r="M49" s="244"/>
      <c r="N49" s="244"/>
      <c r="O49" s="244"/>
      <c r="P49" s="244"/>
      <c r="Q49" s="244"/>
      <c r="R49" s="244"/>
      <c r="S49" s="244"/>
      <c r="T49" s="244"/>
      <c r="U49" s="244"/>
      <c r="V49" s="244"/>
      <c r="W49" s="244"/>
      <c r="X49" s="244"/>
      <c r="Y49" s="244"/>
      <c r="Z49" s="244"/>
      <c r="AA49" s="244"/>
      <c r="AB49" s="244"/>
      <c r="AC49" s="244"/>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row>
    <row r="50">
      <c r="A50" s="244"/>
      <c r="B50" s="244"/>
      <c r="C50" s="244"/>
      <c r="D50" s="244"/>
      <c r="E50" s="244"/>
      <c r="F50" s="244"/>
      <c r="G50" s="244"/>
      <c r="H50" s="244"/>
      <c r="I50" s="244"/>
      <c r="J50" s="244"/>
      <c r="K50" s="244"/>
      <c r="L50" s="244"/>
      <c r="M50" s="244"/>
      <c r="N50" s="244"/>
      <c r="O50" s="244"/>
      <c r="P50" s="244"/>
      <c r="Q50" s="244"/>
      <c r="R50" s="244"/>
      <c r="S50" s="244"/>
      <c r="T50" s="244"/>
      <c r="U50" s="244"/>
      <c r="V50" s="244"/>
      <c r="W50" s="244"/>
      <c r="X50" s="244"/>
      <c r="Y50" s="244"/>
      <c r="Z50" s="244"/>
      <c r="AA50" s="244"/>
      <c r="AB50" s="244"/>
      <c r="AC50" s="244"/>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row>
    <row r="51">
      <c r="A51" s="244"/>
      <c r="B51" s="244"/>
      <c r="C51" s="244"/>
      <c r="D51" s="244"/>
      <c r="E51" s="244"/>
      <c r="F51" s="244"/>
      <c r="G51" s="244"/>
      <c r="H51" s="244"/>
      <c r="I51" s="244"/>
      <c r="J51" s="244"/>
      <c r="K51" s="244"/>
      <c r="L51" s="244"/>
      <c r="M51" s="244"/>
      <c r="N51" s="244"/>
      <c r="O51" s="244"/>
      <c r="P51" s="244"/>
      <c r="Q51" s="244"/>
      <c r="R51" s="244"/>
      <c r="S51" s="244"/>
      <c r="T51" s="244"/>
      <c r="U51" s="244"/>
      <c r="V51" s="244"/>
      <c r="W51" s="244"/>
      <c r="X51" s="244"/>
      <c r="Y51" s="244"/>
      <c r="Z51" s="244"/>
      <c r="AA51" s="244"/>
      <c r="AB51" s="244"/>
      <c r="AC51" s="244"/>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row>
    <row r="52">
      <c r="A52" s="244"/>
      <c r="B52" s="244"/>
      <c r="C52" s="244"/>
      <c r="D52" s="244"/>
      <c r="E52" s="244"/>
      <c r="F52" s="244"/>
      <c r="G52" s="244"/>
      <c r="H52" s="244"/>
      <c r="I52" s="244"/>
      <c r="J52" s="244"/>
      <c r="K52" s="244"/>
      <c r="L52" s="244"/>
      <c r="M52" s="244"/>
      <c r="N52" s="244"/>
      <c r="O52" s="244"/>
      <c r="P52" s="244"/>
      <c r="Q52" s="244"/>
      <c r="R52" s="244"/>
      <c r="S52" s="244"/>
      <c r="T52" s="244"/>
      <c r="U52" s="244"/>
      <c r="V52" s="244"/>
      <c r="W52" s="244"/>
      <c r="X52" s="244"/>
      <c r="Y52" s="244"/>
      <c r="Z52" s="244"/>
      <c r="AA52" s="244"/>
      <c r="AB52" s="244"/>
      <c r="AC52" s="244"/>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row>
    <row r="53">
      <c r="A53" s="244"/>
      <c r="B53" s="244"/>
      <c r="C53" s="244"/>
      <c r="D53" s="244"/>
      <c r="E53" s="244"/>
      <c r="F53" s="244"/>
      <c r="G53" s="244"/>
      <c r="H53" s="244"/>
      <c r="I53" s="244"/>
      <c r="J53" s="244"/>
      <c r="K53" s="244"/>
      <c r="L53" s="244"/>
      <c r="M53" s="244"/>
      <c r="N53" s="244"/>
      <c r="O53" s="244"/>
      <c r="P53" s="244"/>
      <c r="Q53" s="244"/>
      <c r="R53" s="244"/>
      <c r="S53" s="244"/>
      <c r="T53" s="244"/>
      <c r="U53" s="244"/>
      <c r="V53" s="244"/>
      <c r="W53" s="244"/>
      <c r="X53" s="244"/>
      <c r="Y53" s="244"/>
      <c r="Z53" s="244"/>
      <c r="AA53" s="244"/>
      <c r="AB53" s="244"/>
      <c r="AC53" s="244"/>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row>
    <row r="54">
      <c r="A54" s="244"/>
      <c r="B54" s="244"/>
      <c r="C54" s="244"/>
      <c r="D54" s="244"/>
      <c r="E54" s="244"/>
      <c r="F54" s="244"/>
      <c r="G54" s="244"/>
      <c r="H54" s="244"/>
      <c r="I54" s="244"/>
      <c r="J54" s="244"/>
      <c r="K54" s="244"/>
      <c r="L54" s="244"/>
      <c r="M54" s="244"/>
      <c r="N54" s="244"/>
      <c r="O54" s="244"/>
      <c r="P54" s="244"/>
      <c r="Q54" s="244"/>
      <c r="R54" s="244"/>
      <c r="S54" s="244"/>
      <c r="T54" s="244"/>
      <c r="U54" s="244"/>
      <c r="V54" s="244"/>
      <c r="W54" s="244"/>
      <c r="X54" s="244"/>
      <c r="Y54" s="244"/>
      <c r="Z54" s="244"/>
      <c r="AA54" s="244"/>
      <c r="AB54" s="244"/>
      <c r="AC54" s="244"/>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row>
    <row r="55">
      <c r="A55" s="244"/>
      <c r="B55" s="244"/>
      <c r="C55" s="244"/>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row>
    <row r="56">
      <c r="A56" s="244"/>
      <c r="B56" s="244"/>
      <c r="C56" s="244"/>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row>
    <row r="57">
      <c r="A57" s="244"/>
      <c r="B57" s="244"/>
      <c r="C57" s="244"/>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row>
    <row r="58">
      <c r="A58" s="244"/>
      <c r="B58" s="244"/>
      <c r="C58" s="244"/>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row>
    <row r="70">
      <c r="A70" s="244"/>
      <c r="B70" s="244"/>
      <c r="C70" s="244"/>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c r="BB70" s="244"/>
      <c r="BC70" s="244"/>
      <c r="BD70" s="244"/>
      <c r="BE70" s="244"/>
      <c r="BF70" s="244"/>
      <c r="BG70" s="244"/>
    </row>
    <row r="71">
      <c r="A71" s="244"/>
      <c r="B71" s="244"/>
      <c r="C71" s="244"/>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c r="AZ71" s="244"/>
      <c r="BA71" s="244"/>
      <c r="BB71" s="244"/>
      <c r="BC71" s="244"/>
      <c r="BD71" s="244"/>
      <c r="BE71" s="244"/>
      <c r="BF71" s="244"/>
      <c r="BG71" s="244"/>
    </row>
    <row r="72">
      <c r="A72" s="244"/>
      <c r="B72" s="244"/>
      <c r="C72" s="244"/>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c r="BB72" s="244"/>
      <c r="BC72" s="244"/>
      <c r="BD72" s="244"/>
      <c r="BE72" s="244"/>
      <c r="BF72" s="244"/>
      <c r="BG72" s="244"/>
    </row>
    <row r="73">
      <c r="A73" s="244"/>
      <c r="B73" s="244"/>
      <c r="C73" s="244"/>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c r="BB73" s="244"/>
      <c r="BC73" s="244"/>
      <c r="BD73" s="244"/>
      <c r="BE73" s="244"/>
      <c r="BF73" s="244"/>
      <c r="BG73" s="244"/>
    </row>
    <row r="74">
      <c r="A74" s="244"/>
      <c r="B74" s="244"/>
      <c r="C74" s="244"/>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c r="BB74" s="244"/>
      <c r="BC74" s="244"/>
      <c r="BD74" s="244"/>
      <c r="BE74" s="244"/>
      <c r="BF74" s="244"/>
      <c r="BG74" s="244"/>
    </row>
    <row r="75">
      <c r="A75" s="244"/>
      <c r="B75" s="244"/>
      <c r="C75" s="244"/>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row>
    <row r="76">
      <c r="A76" s="244"/>
      <c r="B76" s="244"/>
      <c r="C76" s="244"/>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row>
    <row r="77">
      <c r="A77" s="244"/>
      <c r="B77" s="244"/>
      <c r="C77" s="244"/>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row>
    <row r="78">
      <c r="A78" s="244"/>
      <c r="B78" s="244"/>
      <c r="C78" s="244"/>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row>
    <row r="79">
      <c r="A79" s="244"/>
      <c r="B79" s="244"/>
      <c r="C79" s="244"/>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row>
  </sheetData>
  <mergeCells count="41">
    <mergeCell ref="H26:I26"/>
    <mergeCell ref="K26:L26"/>
    <mergeCell ref="N26:O26"/>
    <mergeCell ref="Z8:AA8"/>
    <mergeCell ref="Z25:AA25"/>
    <mergeCell ref="Z9:AA9"/>
    <mergeCell ref="Q26:R26"/>
    <mergeCell ref="T26:U26"/>
    <mergeCell ref="W26:X26"/>
    <mergeCell ref="K9:L9"/>
    <mergeCell ref="B10:B11"/>
    <mergeCell ref="B6:AB6"/>
    <mergeCell ref="E8:F8"/>
    <mergeCell ref="H8:I8"/>
    <mergeCell ref="K8:L8"/>
    <mergeCell ref="N8:O8"/>
    <mergeCell ref="Q8:R8"/>
    <mergeCell ref="T8:U8"/>
    <mergeCell ref="T9:U9"/>
    <mergeCell ref="W9:X9"/>
    <mergeCell ref="E9:F9"/>
    <mergeCell ref="H9:I9"/>
    <mergeCell ref="N9:O9"/>
    <mergeCell ref="Q9:R9"/>
    <mergeCell ref="W8:X8"/>
    <mergeCell ref="B40:AB40"/>
    <mergeCell ref="B31:B32"/>
    <mergeCell ref="B35:B36"/>
    <mergeCell ref="B14:B15"/>
    <mergeCell ref="B18:B19"/>
    <mergeCell ref="B27:B28"/>
    <mergeCell ref="B23:AB23"/>
    <mergeCell ref="E25:F25"/>
    <mergeCell ref="T25:U25"/>
    <mergeCell ref="N25:O25"/>
    <mergeCell ref="Q25:R25"/>
    <mergeCell ref="H25:I25"/>
    <mergeCell ref="K25:L25"/>
    <mergeCell ref="Z26:AA26"/>
    <mergeCell ref="W25:X25"/>
    <mergeCell ref="E26:F26"/>
  </mergeCells>
  <phoneticPr fontId="0" type="noConversion"/>
  <printOptions horizontalCentered="1" verticalCentered="1"/>
  <pageMargins left="0.25" right="0.25" top="0.25" bottom="0.25" header="0.5" footer="0.5"/>
  <pageSetup scale="69" orientation="landscape" r:id="rId1"/>
  <headerFooter alignWithMargins="0">
    <oddHeader/>
    <oddFooter/>
  </headerFooter>
  <drawing r:id="rId29"/>
</worksheet>
</file>

<file path=xl/worksheets/sheet5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
    <pageSetUpPr fitToPage="1"/>
  </sheetPr>
  <dimension ref="A1:AV84"/>
  <sheetViews>
    <sheetView showGridLines="0" workbookViewId="0"/>
  </sheetViews>
  <sheetFormatPr defaultRowHeight="12.75"/>
  <cols>
    <col min="1" max="1" width="2.7109375" customWidth="1"/>
    <col min="2" max="2" width="14.28515625" customWidth="1"/>
    <col min="3" max="3" width="4.42578125" customWidth="1"/>
    <col min="4" max="4" width="12.28515625" customWidth="1"/>
    <col min="5" max="5" width="8.7109375" customWidth="1"/>
    <col min="6" max="6" width="6.7109375" customWidth="1"/>
    <col min="7" max="7" width="4.7109375" customWidth="1"/>
    <col min="8" max="8" width="12.28515625" customWidth="1"/>
    <col min="9" max="9" width="8.7109375" customWidth="1"/>
    <col min="10" max="10" width="6.7109375" customWidth="1"/>
    <col min="11" max="11" width="4.7109375" customWidth="1"/>
    <col min="12" max="12" width="12.28515625" customWidth="1"/>
    <col min="13" max="13" width="8.7109375" customWidth="1"/>
    <col min="14" max="14" width="6.7109375" customWidth="1"/>
    <col min="15" max="15" width="3.7109375" customWidth="1"/>
    <col min="16" max="16" width="12.28515625" customWidth="1"/>
    <col min="17" max="17" width="8.7109375" customWidth="1"/>
    <col min="18" max="18" width="6.7109375" customWidth="1"/>
    <col min="19" max="19" width="4.7109375" customWidth="1"/>
    <col min="20" max="20" width="2.7109375" customWidth="1"/>
  </cols>
  <sheetData>
    <row r="1" ht="26.25" customHeight="1">
      <c r="B1" s="20" t="s">
        <v>142</v>
      </c>
      <c r="C1" s="11"/>
      <c r="D1" s="11"/>
      <c r="E1" s="11"/>
      <c r="F1" s="11"/>
      <c r="G1" s="11"/>
      <c r="H1" s="1"/>
      <c r="I1" s="1"/>
      <c r="J1" s="1"/>
      <c r="K1" s="1"/>
      <c r="L1" s="1"/>
      <c r="M1" s="1"/>
      <c r="N1" s="1"/>
      <c r="O1" s="1"/>
      <c r="P1" s="1"/>
      <c r="Q1" s="1"/>
      <c r="R1" s="1"/>
      <c r="S1" s="175"/>
      <c r="T1" s="1"/>
      <c r="U1" s="244"/>
      <c r="V1" s="244"/>
      <c r="W1" s="244"/>
      <c r="X1" s="244"/>
      <c r="Y1" s="244"/>
      <c r="Z1" s="244"/>
      <c r="AA1" s="244"/>
      <c r="AB1" s="244"/>
      <c r="AC1" s="244"/>
      <c r="AD1" s="244"/>
      <c r="AE1" s="244"/>
      <c r="AF1" s="244"/>
      <c r="AG1" s="244"/>
      <c r="AH1" s="244"/>
      <c r="AI1" s="244"/>
      <c r="AJ1" s="244"/>
      <c r="AK1" s="244"/>
      <c r="AL1" s="244"/>
      <c r="AM1" s="244"/>
      <c r="AN1" s="244"/>
      <c r="AO1" s="244"/>
      <c r="AP1" s="244"/>
      <c r="AQ1" s="244"/>
      <c r="AR1" s="244"/>
      <c r="AS1" s="244"/>
      <c r="AT1" s="244"/>
      <c r="AU1" s="244"/>
      <c r="AV1" s="244"/>
    </row>
    <row r="2" ht="14.25" customHeight="1">
      <c r="B2" s="10" t="s">
        <v>168</v>
      </c>
      <c r="C2" s="1"/>
      <c r="D2" s="1"/>
      <c r="E2" s="1"/>
      <c r="F2" s="1"/>
      <c r="G2" s="1"/>
      <c r="H2" s="1"/>
      <c r="I2" s="1"/>
      <c r="J2" s="1"/>
      <c r="K2" s="1"/>
      <c r="L2" s="1"/>
      <c r="M2" s="1"/>
      <c r="N2" s="1"/>
      <c r="O2" s="1"/>
      <c r="P2" s="1"/>
      <c r="Q2" s="1"/>
      <c r="R2" s="234"/>
      <c r="S2" s="175"/>
      <c r="T2" s="1"/>
      <c r="U2" s="244"/>
      <c r="V2" s="244"/>
      <c r="W2" s="244"/>
      <c r="X2" s="244"/>
      <c r="Y2" s="244"/>
      <c r="Z2" s="244"/>
      <c r="AA2" s="244"/>
      <c r="AB2" s="244"/>
      <c r="AC2" s="244"/>
      <c r="AD2" s="244"/>
      <c r="AE2" s="244"/>
      <c r="AF2" s="244"/>
      <c r="AG2" s="244"/>
      <c r="AH2" s="244"/>
      <c r="AI2" s="244"/>
      <c r="AJ2" s="244"/>
      <c r="AK2" s="244"/>
      <c r="AL2" s="244"/>
      <c r="AM2" s="244"/>
      <c r="AN2" s="244"/>
      <c r="AO2" s="244"/>
      <c r="AP2" s="244"/>
      <c r="AQ2" s="244"/>
      <c r="AR2" s="244"/>
      <c r="AS2" s="244"/>
      <c r="AT2" s="244"/>
      <c r="AU2" s="244"/>
      <c r="AV2" s="244"/>
    </row>
    <row r="3" ht="14.25" customHeight="1">
      <c r="B3" s="432" t="s">
        <v>181</v>
      </c>
      <c r="C3" s="1"/>
      <c r="D3" s="1"/>
      <c r="E3" s="1"/>
      <c r="F3" s="1"/>
      <c r="G3" s="1"/>
      <c r="H3" s="1"/>
      <c r="I3" s="1"/>
      <c r="J3" s="1"/>
      <c r="K3" s="1"/>
      <c r="L3" s="1"/>
      <c r="M3" s="1"/>
      <c r="N3" s="1"/>
      <c r="O3" s="1"/>
      <c r="P3" s="1"/>
      <c r="Q3" s="1"/>
      <c r="R3" s="1"/>
      <c r="S3" s="175"/>
      <c r="T3" s="1"/>
      <c r="U3" s="244"/>
      <c r="V3" s="244"/>
      <c r="W3" s="244"/>
      <c r="X3" s="244"/>
      <c r="Y3" s="244"/>
      <c r="Z3" s="244"/>
      <c r="AA3" s="244"/>
      <c r="AB3" s="244"/>
      <c r="AC3" s="244"/>
      <c r="AD3" s="244"/>
      <c r="AE3" s="244"/>
      <c r="AF3" s="244"/>
      <c r="AG3" s="244"/>
      <c r="AH3" s="244"/>
      <c r="AI3" s="244"/>
      <c r="AJ3" s="244"/>
      <c r="AK3" s="244"/>
      <c r="AL3" s="244"/>
      <c r="AM3" s="244"/>
      <c r="AN3" s="244"/>
      <c r="AO3" s="244"/>
      <c r="AP3" s="244"/>
      <c r="AQ3" s="244"/>
      <c r="AR3" s="244"/>
      <c r="AS3" s="244"/>
      <c r="AT3" s="244"/>
      <c r="AU3" s="244"/>
      <c r="AV3" s="244"/>
    </row>
    <row r="4" ht="14.25" customHeight="1">
      <c r="B4" s="175" t="s">
        <v>182</v>
      </c>
      <c r="C4" s="1"/>
      <c r="D4" s="1"/>
      <c r="E4" s="1"/>
      <c r="F4" s="1"/>
      <c r="G4" s="1"/>
      <c r="H4" s="1"/>
      <c r="I4" s="1"/>
      <c r="J4" s="1"/>
      <c r="K4" s="1"/>
      <c r="L4" s="1"/>
      <c r="M4" s="1"/>
      <c r="N4" s="1"/>
      <c r="O4" s="1"/>
      <c r="P4" s="1"/>
      <c r="Q4" s="1"/>
      <c r="R4" s="1"/>
      <c r="S4" s="175"/>
      <c r="T4" s="1"/>
      <c r="U4" s="244"/>
      <c r="V4" s="244"/>
      <c r="W4" s="244"/>
      <c r="X4" s="244"/>
      <c r="Y4" s="244"/>
      <c r="Z4" s="244"/>
      <c r="AA4" s="244"/>
      <c r="AB4" s="244"/>
      <c r="AC4" s="244"/>
      <c r="AD4" s="244"/>
      <c r="AE4" s="244"/>
      <c r="AF4" s="244"/>
      <c r="AG4" s="244"/>
      <c r="AH4" s="244"/>
      <c r="AI4" s="244"/>
      <c r="AJ4" s="244"/>
      <c r="AK4" s="244"/>
      <c r="AL4" s="244"/>
      <c r="AM4" s="244"/>
      <c r="AN4" s="244"/>
      <c r="AO4" s="244"/>
      <c r="AP4" s="244"/>
      <c r="AQ4" s="244"/>
      <c r="AR4" s="244"/>
      <c r="AS4" s="244"/>
      <c r="AT4" s="244"/>
      <c r="AU4" s="244"/>
      <c r="AV4" s="244"/>
    </row>
    <row r="5" ht="14.25" customHeight="1">
      <c r="A5" s="13"/>
      <c r="B5" s="12"/>
      <c r="C5" s="1"/>
      <c r="D5" s="1"/>
      <c r="E5" s="1"/>
      <c r="F5" s="1"/>
      <c r="G5" s="1"/>
      <c r="H5" s="1"/>
      <c r="I5" s="1"/>
      <c r="J5" s="1"/>
      <c r="K5" s="1"/>
      <c r="L5" s="1"/>
      <c r="M5" s="1"/>
      <c r="N5" s="1"/>
      <c r="O5" s="1"/>
      <c r="P5" s="1"/>
      <c r="Q5" s="1"/>
      <c r="R5" s="1"/>
      <c r="S5" s="1"/>
      <c r="T5" s="1"/>
      <c r="U5" s="244"/>
      <c r="V5" s="244"/>
      <c r="W5" s="244"/>
      <c r="X5" s="244"/>
      <c r="Y5" s="244"/>
      <c r="Z5" s="244"/>
      <c r="AA5" s="244"/>
      <c r="AB5" s="244"/>
      <c r="AC5" s="244"/>
      <c r="AD5" s="244"/>
      <c r="AE5" s="244"/>
      <c r="AF5" s="244"/>
      <c r="AG5" s="244"/>
      <c r="AH5" s="244"/>
      <c r="AI5" s="244"/>
      <c r="AJ5" s="244"/>
      <c r="AK5" s="244"/>
      <c r="AL5" s="244"/>
      <c r="AM5" s="244"/>
      <c r="AN5" s="244"/>
      <c r="AO5" s="244"/>
      <c r="AP5" s="244"/>
      <c r="AQ5" s="244"/>
      <c r="AR5" s="244"/>
      <c r="AS5" s="244"/>
      <c r="AT5" s="244"/>
      <c r="AU5" s="244"/>
      <c r="AV5" s="244"/>
    </row>
    <row r="6" ht="15" customHeight="1">
      <c r="A6" s="13"/>
      <c r="B6" s="612" t="s">
        <v>167</v>
      </c>
      <c r="C6" s="612"/>
      <c r="D6" s="612"/>
      <c r="E6" s="612"/>
      <c r="F6" s="612"/>
      <c r="G6" s="612"/>
      <c r="H6" s="612"/>
      <c r="I6" s="612"/>
      <c r="J6" s="612"/>
      <c r="K6" s="612"/>
      <c r="L6" s="612"/>
      <c r="M6" s="612"/>
      <c r="N6" s="612"/>
      <c r="O6" s="612"/>
      <c r="P6" s="612"/>
      <c r="Q6" s="612"/>
      <c r="R6" s="612"/>
      <c r="S6" s="612"/>
      <c r="T6" s="1"/>
      <c r="U6" s="244"/>
      <c r="V6" s="244"/>
      <c r="W6" s="244"/>
      <c r="X6" s="244"/>
      <c r="Y6" s="244"/>
      <c r="Z6" s="244"/>
      <c r="AA6" s="244"/>
      <c r="AB6" s="244"/>
      <c r="AC6" s="244"/>
      <c r="AD6" s="244"/>
      <c r="AE6" s="244"/>
      <c r="AF6" s="244"/>
      <c r="AG6" s="244"/>
      <c r="AH6" s="244"/>
      <c r="AI6" s="244"/>
      <c r="AJ6" s="244"/>
      <c r="AK6" s="244"/>
      <c r="AL6" s="244"/>
      <c r="AM6" s="244"/>
      <c r="AN6" s="244"/>
      <c r="AO6" s="244"/>
      <c r="AP6" s="244"/>
      <c r="AQ6" s="244"/>
      <c r="AR6" s="244"/>
      <c r="AS6" s="244"/>
      <c r="AT6" s="244"/>
      <c r="AU6" s="244"/>
      <c r="AV6" s="244"/>
    </row>
    <row r="7" ht="14.25" customHeight="1">
      <c r="A7" s="13"/>
      <c r="B7" s="12"/>
      <c r="C7" s="1"/>
      <c r="D7" s="1"/>
      <c r="E7" s="1"/>
      <c r="F7" s="1"/>
      <c r="G7" s="1"/>
      <c r="H7" s="1"/>
      <c r="I7" s="1"/>
      <c r="J7" s="1"/>
      <c r="K7" s="1"/>
      <c r="L7" s="1"/>
      <c r="M7" s="1"/>
      <c r="N7" s="1"/>
      <c r="O7" s="1"/>
      <c r="P7" s="1"/>
      <c r="Q7" s="1"/>
      <c r="R7" s="1"/>
      <c r="S7" s="1"/>
      <c r="T7" s="1"/>
      <c r="U7" s="244"/>
      <c r="V7" s="244"/>
      <c r="W7" s="244"/>
      <c r="X7" s="244"/>
      <c r="Y7" s="244"/>
      <c r="Z7" s="244"/>
      <c r="AA7" s="244"/>
      <c r="AB7" s="244"/>
      <c r="AC7" s="244"/>
      <c r="AD7" s="244"/>
      <c r="AE7" s="244"/>
      <c r="AF7" s="244"/>
      <c r="AG7" s="244"/>
      <c r="AH7" s="244"/>
      <c r="AI7" s="244"/>
      <c r="AJ7" s="244"/>
      <c r="AK7" s="244"/>
      <c r="AL7" s="244"/>
      <c r="AM7" s="244"/>
      <c r="AN7" s="244"/>
      <c r="AO7" s="244"/>
      <c r="AP7" s="244"/>
      <c r="AQ7" s="244"/>
      <c r="AR7" s="244"/>
      <c r="AS7" s="244"/>
      <c r="AT7" s="244"/>
      <c r="AU7" s="244"/>
      <c r="AV7" s="244"/>
    </row>
    <row r="8" ht="15" customHeight="1">
      <c r="A8" s="1"/>
      <c r="B8" s="1"/>
      <c r="C8" s="14"/>
      <c r="D8" s="651" t="s">
        <v>21</v>
      </c>
      <c r="E8" s="651"/>
      <c r="F8" s="651"/>
      <c r="G8" s="1"/>
      <c r="H8" s="651" t="s">
        <v>24</v>
      </c>
      <c r="I8" s="651"/>
      <c r="J8" s="651"/>
      <c r="K8" s="1"/>
      <c r="L8" s="651" t="s">
        <v>25</v>
      </c>
      <c r="M8" s="651"/>
      <c r="N8" s="651"/>
      <c r="O8" s="1"/>
      <c r="P8" s="651" t="s">
        <v>23</v>
      </c>
      <c r="Q8" s="651"/>
      <c r="R8" s="651"/>
      <c r="S8" s="2"/>
      <c r="T8" s="1"/>
      <c r="U8" s="244"/>
      <c r="V8" s="244"/>
      <c r="W8" s="244"/>
      <c r="X8" s="244"/>
      <c r="Y8" s="244"/>
      <c r="Z8" s="244"/>
      <c r="AA8" s="244"/>
      <c r="AB8" s="244"/>
      <c r="AC8" s="244"/>
      <c r="AD8" s="244"/>
      <c r="AE8" s="244"/>
      <c r="AF8" s="244"/>
      <c r="AG8" s="244"/>
      <c r="AH8" s="244"/>
      <c r="AI8" s="244"/>
      <c r="AJ8" s="244"/>
      <c r="AK8" s="244"/>
      <c r="AL8" s="244"/>
      <c r="AM8" s="244"/>
      <c r="AN8" s="244"/>
      <c r="AO8" s="244"/>
      <c r="AP8" s="244"/>
      <c r="AQ8" s="244"/>
      <c r="AR8" s="244"/>
      <c r="AS8" s="244"/>
      <c r="AT8" s="244"/>
      <c r="AU8" s="244"/>
      <c r="AV8" s="244"/>
    </row>
    <row r="9" ht="15" customHeight="1">
      <c r="A9" s="1"/>
      <c r="B9" s="1"/>
      <c r="C9" s="1"/>
      <c r="D9" s="2"/>
      <c r="E9" s="2"/>
      <c r="F9" s="66" t="s">
        <v>57</v>
      </c>
      <c r="G9" s="65"/>
      <c r="H9" s="1"/>
      <c r="I9" s="1"/>
      <c r="J9" s="66" t="s">
        <v>57</v>
      </c>
      <c r="K9" s="1"/>
      <c r="L9" s="1"/>
      <c r="M9" s="1"/>
      <c r="N9" s="66" t="s">
        <v>57</v>
      </c>
      <c r="O9" s="1"/>
      <c r="P9" s="1"/>
      <c r="Q9" s="1"/>
      <c r="R9" s="66" t="s">
        <v>57</v>
      </c>
      <c r="S9" s="1"/>
      <c r="T9" s="1"/>
      <c r="U9" s="244"/>
      <c r="V9" s="244"/>
      <c r="W9" s="244"/>
      <c r="X9" s="244"/>
      <c r="Y9" s="244"/>
      <c r="Z9" s="244"/>
      <c r="AA9" s="244"/>
      <c r="AB9" s="244"/>
      <c r="AC9" s="244"/>
      <c r="AD9" s="244"/>
      <c r="AE9" s="244"/>
      <c r="AF9" s="244"/>
      <c r="AG9" s="244"/>
      <c r="AH9" s="244"/>
      <c r="AI9" s="244"/>
      <c r="AJ9" s="244"/>
      <c r="AK9" s="244"/>
      <c r="AL9" s="244"/>
      <c r="AM9" s="244"/>
      <c r="AN9" s="244"/>
      <c r="AO9" s="244"/>
      <c r="AP9" s="244"/>
      <c r="AQ9" s="244"/>
      <c r="AR9" s="244"/>
      <c r="AS9" s="244"/>
      <c r="AT9" s="244"/>
      <c r="AU9" s="244"/>
      <c r="AV9" s="244"/>
    </row>
    <row r="10" ht="15" customHeight="1">
      <c r="A10" s="1"/>
      <c r="B10" s="57" t="s">
        <v>28</v>
      </c>
      <c r="C10" s="58"/>
      <c r="D10" s="17" t="s">
        <v>32</v>
      </c>
      <c r="E10" s="19">
        <v>0.6807359307359307359307359307</v>
      </c>
      <c r="F10" s="73">
        <v>-22.441430332955215965432137370</v>
      </c>
      <c r="G10" s="66"/>
      <c r="H10" s="17" t="s">
        <v>32</v>
      </c>
      <c r="I10" s="19">
        <v>0.211038961038961038961038961</v>
      </c>
      <c r="J10" s="73">
        <v>0</v>
      </c>
      <c r="K10" s="1"/>
      <c r="L10" s="17" t="s">
        <v>32</v>
      </c>
      <c r="M10" s="19">
        <v>0</v>
      </c>
      <c r="N10" s="73">
        <v>0</v>
      </c>
      <c r="O10" s="1"/>
      <c r="P10" s="17" t="s">
        <v>32</v>
      </c>
      <c r="Q10" s="19">
        <v>0.8917748917748917748917748918</v>
      </c>
      <c r="R10" s="73">
        <v>1.6029593094513546017232413500</v>
      </c>
      <c r="S10" s="19"/>
      <c r="T10" s="1"/>
      <c r="U10" s="244"/>
      <c r="V10" s="244"/>
      <c r="W10" s="244"/>
      <c r="X10" s="244"/>
      <c r="Y10" s="244"/>
      <c r="Z10" s="244"/>
      <c r="AA10" s="244"/>
      <c r="AB10" s="244"/>
      <c r="AC10" s="244"/>
      <c r="AD10" s="244"/>
      <c r="AE10" s="244"/>
      <c r="AF10" s="244"/>
      <c r="AG10" s="244"/>
      <c r="AH10" s="244"/>
      <c r="AI10" s="244"/>
      <c r="AJ10" s="244"/>
      <c r="AK10" s="244"/>
      <c r="AL10" s="244"/>
      <c r="AM10" s="244"/>
      <c r="AN10" s="244"/>
      <c r="AO10" s="244"/>
      <c r="AP10" s="244"/>
      <c r="AQ10" s="244"/>
      <c r="AR10" s="244"/>
      <c r="AS10" s="244"/>
      <c r="AT10" s="244"/>
      <c r="AU10" s="244"/>
      <c r="AV10" s="244"/>
    </row>
    <row r="11" ht="15" customHeight="1">
      <c r="A11" s="1"/>
      <c r="B11" s="57"/>
      <c r="C11" s="58"/>
      <c r="D11" s="187" t="s">
        <v>27</v>
      </c>
      <c r="E11" s="190">
        <v>0.6824241328908608326797261623</v>
      </c>
      <c r="F11" s="81">
        <v>-5.6119184213071000473740739100</v>
      </c>
      <c r="G11" s="181"/>
      <c r="H11" s="187" t="s">
        <v>27</v>
      </c>
      <c r="I11" s="190">
        <v>0.1831401468573352364909674068</v>
      </c>
      <c r="J11" s="81">
        <v>171.37016432924884782369161893</v>
      </c>
      <c r="K11" s="191"/>
      <c r="L11" s="187" t="s">
        <v>27</v>
      </c>
      <c r="M11" s="190">
        <v>0</v>
      </c>
      <c r="N11" s="81">
        <v>-100</v>
      </c>
      <c r="O11" s="191"/>
      <c r="P11" s="187" t="s">
        <v>27</v>
      </c>
      <c r="Q11" s="190">
        <v>0.8655642797481960691706935692</v>
      </c>
      <c r="R11" s="81">
        <v>8.567134550945346201999670820</v>
      </c>
      <c r="S11" s="19"/>
      <c r="T11" s="1"/>
      <c r="U11" s="244"/>
      <c r="V11" s="244"/>
      <c r="W11" s="244"/>
      <c r="X11" s="244"/>
      <c r="Y11" s="244"/>
      <c r="Z11" s="244"/>
      <c r="AA11" s="244"/>
      <c r="AB11" s="244"/>
      <c r="AC11" s="244"/>
      <c r="AD11" s="244"/>
      <c r="AE11" s="244"/>
      <c r="AF11" s="244"/>
      <c r="AG11" s="244"/>
      <c r="AH11" s="244"/>
      <c r="AI11" s="244"/>
      <c r="AJ11" s="244"/>
      <c r="AK11" s="244"/>
      <c r="AL11" s="244"/>
      <c r="AM11" s="244"/>
      <c r="AN11" s="244"/>
      <c r="AO11" s="244"/>
      <c r="AP11" s="244"/>
      <c r="AQ11" s="244"/>
      <c r="AR11" s="244"/>
      <c r="AS11" s="244"/>
      <c r="AT11" s="244"/>
      <c r="AU11" s="244"/>
      <c r="AV11" s="244"/>
    </row>
    <row r="12" ht="15" customHeight="1">
      <c r="A12" s="1"/>
      <c r="B12" s="57"/>
      <c r="C12" s="58"/>
      <c r="D12" s="406" t="s">
        <v>91</v>
      </c>
      <c r="E12" s="74">
        <v>99.75261687362704805209305414</v>
      </c>
      <c r="F12" s="73">
        <v>-17.830123920454445128964522590</v>
      </c>
      <c r="G12" s="68"/>
      <c r="H12" s="406" t="s">
        <v>91</v>
      </c>
      <c r="I12" s="74">
        <v>115.23358731591772110066139795</v>
      </c>
      <c r="J12" s="73">
        <v>0</v>
      </c>
      <c r="K12" s="1"/>
      <c r="L12" s="406" t="s">
        <v>91</v>
      </c>
      <c r="M12" s="74">
        <v>0</v>
      </c>
      <c r="N12" s="73">
        <v>0</v>
      </c>
      <c r="O12" s="1"/>
      <c r="P12" s="406" t="s">
        <v>91</v>
      </c>
      <c r="Q12" s="74">
        <v>103.02815315282219372972355329</v>
      </c>
      <c r="R12" s="73">
        <v>-6.4146256325736190216012233100</v>
      </c>
      <c r="S12" s="74"/>
      <c r="T12" s="1"/>
      <c r="U12" s="244"/>
      <c r="V12" s="244"/>
      <c r="W12" s="244"/>
      <c r="X12" s="244"/>
      <c r="Y12" s="244"/>
      <c r="Z12" s="244"/>
      <c r="AA12" s="244"/>
      <c r="AB12" s="244"/>
      <c r="AC12" s="244"/>
      <c r="AD12" s="244"/>
      <c r="AE12" s="244"/>
      <c r="AF12" s="244"/>
      <c r="AG12" s="244"/>
      <c r="AH12" s="244"/>
      <c r="AI12" s="244"/>
      <c r="AJ12" s="244"/>
      <c r="AK12" s="244"/>
      <c r="AL12" s="244"/>
      <c r="AM12" s="244"/>
      <c r="AN12" s="244"/>
      <c r="AO12" s="244"/>
      <c r="AP12" s="244"/>
      <c r="AQ12" s="244"/>
      <c r="AR12" s="244"/>
      <c r="AS12" s="244"/>
      <c r="AT12" s="244"/>
      <c r="AU12" s="244"/>
      <c r="AV12" s="244"/>
    </row>
    <row r="13" ht="15" customHeight="1">
      <c r="A13" s="1"/>
      <c r="B13" s="16"/>
      <c r="C13" s="1"/>
      <c r="D13" s="1"/>
      <c r="E13" s="3"/>
      <c r="F13" s="66"/>
      <c r="G13" s="3"/>
      <c r="H13" s="1"/>
      <c r="I13" s="1"/>
      <c r="J13" s="66"/>
      <c r="K13" s="1"/>
      <c r="L13" s="1"/>
      <c r="M13" s="1"/>
      <c r="N13" s="66"/>
      <c r="O13" s="1"/>
      <c r="P13" s="1"/>
      <c r="Q13" s="19"/>
      <c r="R13" s="66"/>
      <c r="S13" s="19"/>
      <c r="T13" s="1"/>
      <c r="U13" s="244"/>
      <c r="V13" s="244"/>
      <c r="W13" s="244"/>
      <c r="X13" s="244"/>
      <c r="Y13" s="244"/>
      <c r="Z13" s="244"/>
      <c r="AA13" s="244"/>
      <c r="AB13" s="244"/>
      <c r="AC13" s="244"/>
      <c r="AD13" s="244"/>
      <c r="AE13" s="244"/>
      <c r="AF13" s="244"/>
      <c r="AG13" s="244"/>
      <c r="AH13" s="244"/>
      <c r="AI13" s="244"/>
      <c r="AJ13" s="244"/>
      <c r="AK13" s="244"/>
      <c r="AL13" s="244"/>
      <c r="AM13" s="244"/>
      <c r="AN13" s="244"/>
      <c r="AO13" s="244"/>
      <c r="AP13" s="244"/>
      <c r="AQ13" s="244"/>
      <c r="AR13" s="244"/>
      <c r="AS13" s="244"/>
      <c r="AT13" s="244"/>
      <c r="AU13" s="244"/>
      <c r="AV13" s="244"/>
    </row>
    <row r="14" ht="15" customHeight="1">
      <c r="A14" s="1"/>
      <c r="B14" s="57" t="s">
        <v>12</v>
      </c>
      <c r="C14" s="58"/>
      <c r="D14" s="17" t="s">
        <v>32</v>
      </c>
      <c r="E14" s="239">
        <v>225.32273449920508744038155803</v>
      </c>
      <c r="F14" s="73">
        <v>23.243434528794176049300258340</v>
      </c>
      <c r="G14" s="70"/>
      <c r="H14" s="76" t="s">
        <v>32</v>
      </c>
      <c r="I14" s="239">
        <v>163.00512820512820512820512821</v>
      </c>
      <c r="J14" s="73">
        <v>0</v>
      </c>
      <c r="K14" s="77"/>
      <c r="L14" s="76" t="s">
        <v>32</v>
      </c>
      <c r="M14" s="239">
        <v>0</v>
      </c>
      <c r="N14" s="73">
        <v>0</v>
      </c>
      <c r="O14" s="77"/>
      <c r="P14" s="76" t="s">
        <v>32</v>
      </c>
      <c r="Q14" s="239">
        <v>210.57524271844660194174757282</v>
      </c>
      <c r="R14" s="73">
        <v>15.177086755297531024134062630</v>
      </c>
      <c r="S14" s="18"/>
      <c r="T14" s="1"/>
      <c r="U14" s="244"/>
      <c r="V14" s="244"/>
      <c r="W14" s="244"/>
      <c r="X14" s="244"/>
      <c r="Y14" s="244"/>
      <c r="Z14" s="244"/>
      <c r="AA14" s="244"/>
      <c r="AB14" s="244"/>
      <c r="AC14" s="244"/>
      <c r="AD14" s="244"/>
      <c r="AE14" s="244"/>
      <c r="AF14" s="244"/>
      <c r="AG14" s="244"/>
      <c r="AH14" s="244"/>
      <c r="AI14" s="244"/>
      <c r="AJ14" s="244"/>
      <c r="AK14" s="244"/>
      <c r="AL14" s="244"/>
      <c r="AM14" s="244"/>
      <c r="AN14" s="244"/>
      <c r="AO14" s="244"/>
      <c r="AP14" s="244"/>
      <c r="AQ14" s="244"/>
      <c r="AR14" s="244"/>
      <c r="AS14" s="244"/>
      <c r="AT14" s="244"/>
      <c r="AU14" s="244"/>
      <c r="AV14" s="244"/>
    </row>
    <row r="15" ht="15" customHeight="1">
      <c r="A15" s="1"/>
      <c r="B15" s="57"/>
      <c r="C15" s="58"/>
      <c r="D15" s="187" t="s">
        <v>27</v>
      </c>
      <c r="E15" s="240">
        <v>237.24503933347961528965983405</v>
      </c>
      <c r="F15" s="81">
        <v>14.908539296444674912623503280</v>
      </c>
      <c r="G15" s="184"/>
      <c r="H15" s="189" t="s">
        <v>27</v>
      </c>
      <c r="I15" s="240">
        <v>237.95475951153538246541379582</v>
      </c>
      <c r="J15" s="81">
        <v>4.8276943820091819130030545400</v>
      </c>
      <c r="K15" s="188"/>
      <c r="L15" s="189" t="s">
        <v>27</v>
      </c>
      <c r="M15" s="240">
        <v>0</v>
      </c>
      <c r="N15" s="81">
        <v>-100</v>
      </c>
      <c r="O15" s="188"/>
      <c r="P15" s="189" t="s">
        <v>27</v>
      </c>
      <c r="Q15" s="240">
        <v>237.39520525492286117164268923</v>
      </c>
      <c r="R15" s="81">
        <v>14.198200462332479174993734660</v>
      </c>
      <c r="S15" s="18"/>
      <c r="T15" s="1"/>
      <c r="U15" s="244"/>
      <c r="V15" s="244"/>
      <c r="W15" s="244"/>
      <c r="X15" s="244"/>
      <c r="Y15" s="244"/>
      <c r="Z15" s="244"/>
      <c r="AA15" s="244"/>
      <c r="AB15" s="244"/>
      <c r="AC15" s="244"/>
      <c r="AD15" s="244"/>
      <c r="AE15" s="244"/>
      <c r="AF15" s="244"/>
      <c r="AG15" s="244"/>
      <c r="AH15" s="244"/>
      <c r="AI15" s="244"/>
      <c r="AJ15" s="244"/>
      <c r="AK15" s="244"/>
      <c r="AL15" s="244"/>
      <c r="AM15" s="244"/>
      <c r="AN15" s="244"/>
      <c r="AO15" s="244"/>
      <c r="AP15" s="244"/>
      <c r="AQ15" s="244"/>
      <c r="AR15" s="244"/>
      <c r="AS15" s="244"/>
      <c r="AT15" s="244"/>
      <c r="AU15" s="244"/>
      <c r="AV15" s="244"/>
    </row>
    <row r="16" ht="15" customHeight="1">
      <c r="A16" s="1"/>
      <c r="B16" s="57"/>
      <c r="C16" s="58"/>
      <c r="D16" s="406" t="s">
        <v>92</v>
      </c>
      <c r="E16" s="74">
        <v>94.97468740851710915353513420</v>
      </c>
      <c r="F16" s="73">
        <v>7.2535037721211531314276412500</v>
      </c>
      <c r="G16" s="68"/>
      <c r="H16" s="406" t="s">
        <v>92</v>
      </c>
      <c r="I16" s="74">
        <v>68.502571051641608142436143740</v>
      </c>
      <c r="J16" s="73">
        <v>0</v>
      </c>
      <c r="K16" s="1"/>
      <c r="L16" s="406" t="s">
        <v>92</v>
      </c>
      <c r="M16" s="74">
        <v>0</v>
      </c>
      <c r="N16" s="73">
        <v>0</v>
      </c>
      <c r="O16" s="1"/>
      <c r="P16" s="406" t="s">
        <v>92</v>
      </c>
      <c r="Q16" s="74">
        <v>88.70239923015470607507983450</v>
      </c>
      <c r="R16" s="73">
        <v>0.8571818899042529084646341300</v>
      </c>
      <c r="S16" s="74"/>
      <c r="T16" s="1"/>
      <c r="U16" s="244"/>
      <c r="V16" s="244"/>
      <c r="W16" s="244"/>
      <c r="X16" s="244"/>
      <c r="Y16" s="244"/>
      <c r="Z16" s="244"/>
      <c r="AA16" s="244"/>
      <c r="AB16" s="244"/>
      <c r="AC16" s="244"/>
      <c r="AD16" s="244"/>
      <c r="AE16" s="244"/>
      <c r="AF16" s="244"/>
      <c r="AG16" s="244"/>
      <c r="AH16" s="244"/>
      <c r="AI16" s="244"/>
      <c r="AJ16" s="244"/>
      <c r="AK16" s="244"/>
      <c r="AL16" s="244"/>
      <c r="AM16" s="244"/>
      <c r="AN16" s="244"/>
      <c r="AO16" s="244"/>
      <c r="AP16" s="244"/>
      <c r="AQ16" s="244"/>
      <c r="AR16" s="244"/>
      <c r="AS16" s="244"/>
      <c r="AT16" s="244"/>
      <c r="AU16" s="244"/>
      <c r="AV16" s="244"/>
    </row>
    <row r="17" ht="15" customHeight="1">
      <c r="A17" s="1"/>
      <c r="B17" s="16"/>
      <c r="C17" s="1"/>
      <c r="D17" s="1"/>
      <c r="E17" s="3"/>
      <c r="F17" s="68"/>
      <c r="G17" s="3"/>
      <c r="H17" s="1"/>
      <c r="I17" s="1"/>
      <c r="J17" s="68"/>
      <c r="K17" s="1"/>
      <c r="L17" s="1"/>
      <c r="M17" s="1"/>
      <c r="N17" s="68"/>
      <c r="O17" s="1"/>
      <c r="P17" s="1"/>
      <c r="Q17" s="18"/>
      <c r="R17" s="68"/>
      <c r="S17" s="18"/>
      <c r="T17" s="1"/>
      <c r="U17" s="244"/>
      <c r="V17" s="244"/>
      <c r="W17" s="244"/>
      <c r="X17" s="244"/>
      <c r="Y17" s="244"/>
      <c r="Z17" s="244"/>
      <c r="AA17" s="244"/>
      <c r="AB17" s="244"/>
      <c r="AC17" s="244"/>
      <c r="AD17" s="244"/>
      <c r="AE17" s="244"/>
      <c r="AF17" s="244"/>
      <c r="AG17" s="244"/>
      <c r="AH17" s="244"/>
      <c r="AI17" s="244"/>
      <c r="AJ17" s="244"/>
      <c r="AK17" s="244"/>
      <c r="AL17" s="244"/>
      <c r="AM17" s="244"/>
      <c r="AN17" s="244"/>
      <c r="AO17" s="244"/>
      <c r="AP17" s="244"/>
      <c r="AQ17" s="244"/>
      <c r="AR17" s="244"/>
      <c r="AS17" s="244"/>
      <c r="AT17" s="244"/>
      <c r="AU17" s="244"/>
      <c r="AV17" s="244"/>
    </row>
    <row r="18" ht="15" customHeight="1">
      <c r="A18" s="1"/>
      <c r="B18" s="57" t="s">
        <v>13</v>
      </c>
      <c r="C18" s="58"/>
      <c r="D18" s="17" t="s">
        <v>32</v>
      </c>
      <c r="E18" s="239">
        <v>153.38528138528138528138528139</v>
      </c>
      <c r="F18" s="73">
        <v>-4.4141549708895080864864412100</v>
      </c>
      <c r="G18" s="70"/>
      <c r="H18" s="76" t="s">
        <v>32</v>
      </c>
      <c r="I18" s="239">
        <v>34.4004329004329004329004329</v>
      </c>
      <c r="J18" s="73">
        <v>0</v>
      </c>
      <c r="K18" s="77"/>
      <c r="L18" s="76" t="s">
        <v>32</v>
      </c>
      <c r="M18" s="239">
        <v>0</v>
      </c>
      <c r="N18" s="73">
        <v>0</v>
      </c>
      <c r="O18" s="77"/>
      <c r="P18" s="76" t="s">
        <v>32</v>
      </c>
      <c r="Q18" s="239">
        <v>187.78571428571428571428571429</v>
      </c>
      <c r="R18" s="73">
        <v>17.023328589841653687919053680</v>
      </c>
      <c r="S18" s="18"/>
      <c r="T18" s="1"/>
      <c r="U18" s="244"/>
      <c r="V18" s="244"/>
      <c r="W18" s="244"/>
      <c r="X18" s="244"/>
      <c r="Y18" s="244"/>
      <c r="Z18" s="244"/>
      <c r="AA18" s="244"/>
      <c r="AB18" s="244"/>
      <c r="AC18" s="244"/>
      <c r="AD18" s="244"/>
      <c r="AE18" s="244"/>
      <c r="AF18" s="244"/>
      <c r="AG18" s="244"/>
      <c r="AH18" s="244"/>
      <c r="AI18" s="244"/>
      <c r="AJ18" s="244"/>
      <c r="AK18" s="244"/>
      <c r="AL18" s="244"/>
      <c r="AM18" s="244"/>
      <c r="AN18" s="244"/>
      <c r="AO18" s="244"/>
      <c r="AP18" s="244"/>
      <c r="AQ18" s="244"/>
      <c r="AR18" s="244"/>
      <c r="AS18" s="244"/>
      <c r="AT18" s="244"/>
      <c r="AU18" s="244"/>
      <c r="AV18" s="244"/>
    </row>
    <row r="19" ht="15" customHeight="1">
      <c r="A19" s="1"/>
      <c r="B19" s="57"/>
      <c r="C19" s="58"/>
      <c r="D19" s="187" t="s">
        <v>27</v>
      </c>
      <c r="E19" s="240">
        <v>161.90174024980799829349807648</v>
      </c>
      <c r="F19" s="81">
        <v>8.459965812018756521784040040</v>
      </c>
      <c r="G19" s="184"/>
      <c r="H19" s="189" t="s">
        <v>27</v>
      </c>
      <c r="I19" s="240">
        <v>43.579069602344478648855185588</v>
      </c>
      <c r="J19" s="81">
        <v>184.47108650742178681214489069</v>
      </c>
      <c r="K19" s="188"/>
      <c r="L19" s="189" t="s">
        <v>27</v>
      </c>
      <c r="M19" s="240">
        <v>0</v>
      </c>
      <c r="N19" s="81">
        <v>-100</v>
      </c>
      <c r="O19" s="188"/>
      <c r="P19" s="189" t="s">
        <v>27</v>
      </c>
      <c r="Q19" s="240">
        <v>205.48080985215247694235326207</v>
      </c>
      <c r="R19" s="81">
        <v>23.981713950685222536465525670</v>
      </c>
      <c r="S19" s="18"/>
      <c r="T19" s="1"/>
      <c r="U19" s="244"/>
      <c r="V19" s="244"/>
      <c r="W19" s="244"/>
      <c r="X19" s="244"/>
      <c r="Y19" s="244"/>
      <c r="Z19" s="244"/>
      <c r="AA19" s="244"/>
      <c r="AB19" s="244"/>
      <c r="AC19" s="244"/>
      <c r="AD19" s="244"/>
      <c r="AE19" s="244"/>
      <c r="AF19" s="244"/>
      <c r="AG19" s="244"/>
      <c r="AH19" s="244"/>
      <c r="AI19" s="244"/>
      <c r="AJ19" s="244"/>
      <c r="AK19" s="244"/>
      <c r="AL19" s="244"/>
      <c r="AM19" s="244"/>
      <c r="AN19" s="244"/>
      <c r="AO19" s="244"/>
      <c r="AP19" s="244"/>
      <c r="AQ19" s="244"/>
      <c r="AR19" s="244"/>
      <c r="AS19" s="244"/>
      <c r="AT19" s="244"/>
      <c r="AU19" s="244"/>
      <c r="AV19" s="244"/>
    </row>
    <row r="20" ht="15" customHeight="1">
      <c r="A20" s="1"/>
      <c r="B20" s="57"/>
      <c r="C20" s="58"/>
      <c r="D20" s="406" t="s">
        <v>93</v>
      </c>
      <c r="E20" s="74">
        <v>94.73973605757512217568670120</v>
      </c>
      <c r="F20" s="73">
        <v>-11.869928859505404740125933400</v>
      </c>
      <c r="G20" s="68"/>
      <c r="H20" s="406" t="s">
        <v>93</v>
      </c>
      <c r="I20" s="74">
        <v>78.937970026366343356476814280</v>
      </c>
      <c r="J20" s="73">
        <v>0</v>
      </c>
      <c r="K20" s="1"/>
      <c r="L20" s="406" t="s">
        <v>93</v>
      </c>
      <c r="M20" s="74">
        <v>0</v>
      </c>
      <c r="N20" s="73">
        <v>0</v>
      </c>
      <c r="O20" s="1"/>
      <c r="P20" s="406" t="s">
        <v>93</v>
      </c>
      <c r="Q20" s="74">
        <v>91.38844372902092684264707939</v>
      </c>
      <c r="R20" s="73">
        <v>-5.6124287519533147590872556300</v>
      </c>
      <c r="S20" s="74"/>
      <c r="T20" s="1"/>
      <c r="U20" s="244"/>
      <c r="V20" s="244"/>
      <c r="W20" s="244"/>
      <c r="X20" s="244"/>
      <c r="Y20" s="244"/>
      <c r="Z20" s="244"/>
      <c r="AA20" s="244"/>
      <c r="AB20" s="244"/>
      <c r="AC20" s="244"/>
      <c r="AD20" s="244"/>
      <c r="AE20" s="244"/>
      <c r="AF20" s="244"/>
      <c r="AG20" s="244"/>
      <c r="AH20" s="244"/>
      <c r="AI20" s="244"/>
      <c r="AJ20" s="244"/>
      <c r="AK20" s="244"/>
      <c r="AL20" s="244"/>
      <c r="AM20" s="244"/>
      <c r="AN20" s="244"/>
      <c r="AO20" s="244"/>
      <c r="AP20" s="244"/>
      <c r="AQ20" s="244"/>
      <c r="AR20" s="244"/>
      <c r="AS20" s="244"/>
      <c r="AT20" s="244"/>
      <c r="AU20" s="244"/>
      <c r="AV20" s="244"/>
    </row>
    <row r="21" ht="15" customHeight="1">
      <c r="A21" s="1"/>
      <c r="B21" s="16"/>
      <c r="C21" s="1"/>
      <c r="D21" s="1"/>
      <c r="E21" s="1"/>
      <c r="F21" s="1"/>
      <c r="G21" s="1"/>
      <c r="H21" s="1"/>
      <c r="I21" s="1"/>
      <c r="J21" s="1"/>
      <c r="K21" s="1"/>
      <c r="L21" s="1"/>
      <c r="M21" s="1"/>
      <c r="N21" s="1"/>
      <c r="O21" s="1"/>
      <c r="P21" s="1"/>
      <c r="Q21" s="1"/>
      <c r="R21" s="1"/>
      <c r="S21" s="1"/>
      <c r="T21" s="1"/>
      <c r="U21" s="244"/>
      <c r="V21" s="244"/>
      <c r="W21" s="244"/>
      <c r="X21" s="244"/>
      <c r="Y21" s="244"/>
      <c r="Z21" s="244"/>
      <c r="AA21" s="244"/>
      <c r="AB21" s="244"/>
      <c r="AC21" s="244"/>
      <c r="AD21" s="244"/>
      <c r="AE21" s="244"/>
      <c r="AF21" s="244"/>
      <c r="AG21" s="244"/>
      <c r="AH21" s="244"/>
      <c r="AI21" s="244"/>
      <c r="AJ21" s="244"/>
      <c r="AK21" s="244"/>
      <c r="AL21" s="244"/>
      <c r="AM21" s="244"/>
      <c r="AN21" s="244"/>
      <c r="AO21" s="244"/>
      <c r="AP21" s="244"/>
      <c r="AQ21" s="244"/>
      <c r="AR21" s="244"/>
      <c r="AS21" s="244"/>
      <c r="AT21" s="244"/>
      <c r="AU21" s="244"/>
      <c r="AV21" s="244"/>
    </row>
    <row r="22" ht="15" customHeight="1">
      <c r="A22" s="1"/>
      <c r="T22" s="1"/>
      <c r="U22" s="244"/>
      <c r="V22" s="244"/>
      <c r="W22" s="244"/>
      <c r="X22" s="244"/>
      <c r="Y22" s="244"/>
      <c r="Z22" s="244"/>
      <c r="AA22" s="244"/>
      <c r="AB22" s="244"/>
      <c r="AC22" s="244"/>
      <c r="AD22" s="244"/>
      <c r="AE22" s="244"/>
      <c r="AF22" s="244"/>
      <c r="AG22" s="244"/>
      <c r="AH22" s="244"/>
      <c r="AI22" s="244"/>
      <c r="AJ22" s="244"/>
      <c r="AK22" s="244"/>
      <c r="AL22" s="244"/>
      <c r="AM22" s="244"/>
      <c r="AN22" s="244"/>
      <c r="AO22" s="244"/>
      <c r="AP22" s="244"/>
      <c r="AQ22" s="244"/>
      <c r="AR22" s="244"/>
      <c r="AS22" s="244"/>
      <c r="AT22" s="244"/>
      <c r="AU22" s="244"/>
      <c r="AV22" s="244"/>
    </row>
    <row r="23" ht="15" customHeight="1">
      <c r="A23" s="1"/>
      <c r="B23" s="612" t="s">
        <v>61</v>
      </c>
      <c r="C23" s="612"/>
      <c r="D23" s="612"/>
      <c r="E23" s="612"/>
      <c r="F23" s="612"/>
      <c r="G23" s="612"/>
      <c r="H23" s="612"/>
      <c r="I23" s="612"/>
      <c r="J23" s="612"/>
      <c r="K23" s="612"/>
      <c r="L23" s="612"/>
      <c r="M23" s="612"/>
      <c r="N23" s="612"/>
      <c r="O23" s="612"/>
      <c r="P23" s="612"/>
      <c r="Q23" s="612"/>
      <c r="R23" s="612"/>
      <c r="S23" s="612"/>
      <c r="T23" s="1"/>
      <c r="U23" s="244"/>
      <c r="V23" s="244"/>
      <c r="W23" s="244"/>
      <c r="X23" s="244"/>
      <c r="Y23" s="244"/>
      <c r="Z23" s="244"/>
      <c r="AA23" s="244"/>
      <c r="AB23" s="244"/>
      <c r="AC23" s="244"/>
      <c r="AD23" s="244"/>
      <c r="AE23" s="244"/>
      <c r="AF23" s="244"/>
      <c r="AG23" s="244"/>
      <c r="AH23" s="244"/>
      <c r="AI23" s="244"/>
      <c r="AJ23" s="244"/>
      <c r="AK23" s="244"/>
      <c r="AL23" s="244"/>
      <c r="AM23" s="244"/>
      <c r="AN23" s="244"/>
      <c r="AO23" s="244"/>
      <c r="AP23" s="244"/>
      <c r="AQ23" s="244"/>
      <c r="AR23" s="244"/>
      <c r="AS23" s="244"/>
      <c r="AT23" s="244"/>
      <c r="AU23" s="244"/>
      <c r="AV23" s="244"/>
    </row>
    <row r="24" ht="15" customHeight="1">
      <c r="A24" s="1"/>
      <c r="B24" s="16"/>
      <c r="C24" s="1"/>
      <c r="D24" s="1"/>
      <c r="E24" s="1"/>
      <c r="F24" s="1"/>
      <c r="G24" s="1"/>
      <c r="H24" s="1"/>
      <c r="I24" s="1"/>
      <c r="J24" s="1"/>
      <c r="K24" s="1"/>
      <c r="L24" s="1"/>
      <c r="M24" s="1"/>
      <c r="N24" s="1"/>
      <c r="O24" s="1"/>
      <c r="P24" s="1"/>
      <c r="Q24" s="1"/>
      <c r="R24" s="1"/>
      <c r="S24" s="1"/>
      <c r="T24" s="1"/>
      <c r="U24" s="244"/>
      <c r="V24" s="244"/>
      <c r="W24" s="244"/>
      <c r="X24" s="244"/>
      <c r="Y24" s="244"/>
      <c r="Z24" s="244"/>
      <c r="AA24" s="244"/>
      <c r="AB24" s="244"/>
      <c r="AC24" s="244"/>
      <c r="AD24" s="244"/>
      <c r="AE24" s="244"/>
      <c r="AF24" s="244"/>
      <c r="AG24" s="244"/>
      <c r="AH24" s="244"/>
      <c r="AI24" s="244"/>
      <c r="AJ24" s="244"/>
      <c r="AK24" s="244"/>
      <c r="AL24" s="244"/>
      <c r="AM24" s="244"/>
      <c r="AN24" s="244"/>
      <c r="AO24" s="244"/>
      <c r="AP24" s="244"/>
      <c r="AQ24" s="244"/>
      <c r="AR24" s="244"/>
      <c r="AS24" s="244"/>
      <c r="AT24" s="244"/>
      <c r="AU24" s="244"/>
      <c r="AV24" s="244"/>
    </row>
    <row r="25" ht="15" customHeight="1">
      <c r="A25" s="1"/>
      <c r="B25" s="1"/>
      <c r="C25" s="14"/>
      <c r="D25" s="651" t="s">
        <v>21</v>
      </c>
      <c r="E25" s="651"/>
      <c r="F25" s="651"/>
      <c r="G25" s="1"/>
      <c r="H25" s="651" t="s">
        <v>24</v>
      </c>
      <c r="I25" s="651"/>
      <c r="J25" s="651"/>
      <c r="K25" s="1"/>
      <c r="L25" s="651" t="s">
        <v>25</v>
      </c>
      <c r="M25" s="651"/>
      <c r="N25" s="651"/>
      <c r="O25" s="1"/>
      <c r="P25" s="651" t="s">
        <v>23</v>
      </c>
      <c r="Q25" s="651"/>
      <c r="R25" s="651"/>
      <c r="S25" s="2"/>
      <c r="T25" s="1"/>
      <c r="U25" s="244"/>
      <c r="V25" s="244"/>
      <c r="W25" s="244"/>
      <c r="X25" s="244"/>
      <c r="Y25" s="244"/>
      <c r="Z25" s="244"/>
      <c r="AA25" s="244"/>
      <c r="AB25" s="244"/>
      <c r="AC25" s="244"/>
      <c r="AD25" s="244"/>
      <c r="AE25" s="244"/>
      <c r="AF25" s="244"/>
      <c r="AG25" s="244"/>
      <c r="AH25" s="244"/>
      <c r="AI25" s="244"/>
      <c r="AJ25" s="244"/>
      <c r="AK25" s="244"/>
      <c r="AL25" s="244"/>
      <c r="AM25" s="244"/>
      <c r="AN25" s="244"/>
      <c r="AO25" s="244"/>
      <c r="AP25" s="244"/>
      <c r="AQ25" s="244"/>
      <c r="AR25" s="244"/>
      <c r="AS25" s="244"/>
      <c r="AT25" s="244"/>
      <c r="AU25" s="244"/>
      <c r="AV25" s="244"/>
    </row>
    <row r="26" ht="15" customHeight="1">
      <c r="A26" s="1"/>
      <c r="B26" s="16"/>
      <c r="C26" s="1"/>
      <c r="D26" s="1"/>
      <c r="E26" s="1"/>
      <c r="F26" s="66" t="s">
        <v>57</v>
      </c>
      <c r="G26" s="1"/>
      <c r="H26" s="1"/>
      <c r="I26" s="1"/>
      <c r="J26" s="66" t="s">
        <v>57</v>
      </c>
      <c r="K26" s="1"/>
      <c r="L26" s="1"/>
      <c r="M26" s="1"/>
      <c r="N26" s="66" t="s">
        <v>57</v>
      </c>
      <c r="O26" s="1"/>
      <c r="P26" s="1"/>
      <c r="Q26" s="1"/>
      <c r="R26" s="66" t="s">
        <v>57</v>
      </c>
      <c r="S26" s="1"/>
      <c r="T26" s="1"/>
      <c r="U26" s="244"/>
      <c r="V26" s="244"/>
      <c r="W26" s="244"/>
      <c r="X26" s="244"/>
      <c r="Y26" s="244"/>
      <c r="Z26" s="244"/>
      <c r="AA26" s="244"/>
      <c r="AB26" s="244"/>
      <c r="AC26" s="244"/>
      <c r="AD26" s="244"/>
      <c r="AE26" s="244"/>
      <c r="AF26" s="244"/>
      <c r="AG26" s="244"/>
      <c r="AH26" s="244"/>
      <c r="AI26" s="244"/>
      <c r="AJ26" s="244"/>
      <c r="AK26" s="244"/>
      <c r="AL26" s="244"/>
      <c r="AM26" s="244"/>
      <c r="AN26" s="244"/>
      <c r="AO26" s="244"/>
      <c r="AP26" s="244"/>
      <c r="AQ26" s="244"/>
      <c r="AR26" s="244"/>
      <c r="AS26" s="244"/>
      <c r="AT26" s="244"/>
      <c r="AU26" s="244"/>
      <c r="AV26" s="244"/>
    </row>
    <row r="27" ht="15" customHeight="1">
      <c r="A27" s="1"/>
      <c r="B27" s="57" t="s">
        <v>28</v>
      </c>
      <c r="C27" s="58"/>
      <c r="D27" s="17" t="s">
        <v>32</v>
      </c>
      <c r="E27" s="19">
        <v>0.7107683982683982683982683983</v>
      </c>
      <c r="F27" s="73">
        <v>-7.5650950034712930254486467900</v>
      </c>
      <c r="G27" s="1"/>
      <c r="H27" s="17" t="s">
        <v>32</v>
      </c>
      <c r="I27" s="19">
        <v>0.1306818181818181818181818182</v>
      </c>
      <c r="J27" s="73">
        <v>25.781250000125781250000125800</v>
      </c>
      <c r="K27" s="1"/>
      <c r="L27" s="17" t="s">
        <v>32</v>
      </c>
      <c r="M27" s="19">
        <v>0</v>
      </c>
      <c r="N27" s="73">
        <v>0</v>
      </c>
      <c r="O27" s="1"/>
      <c r="P27" s="17" t="s">
        <v>32</v>
      </c>
      <c r="Q27" s="19">
        <v>0.8414502164502164502164502165</v>
      </c>
      <c r="R27" s="73">
        <v>-3.5957842528898376450791436100</v>
      </c>
      <c r="S27" s="19"/>
      <c r="T27" s="1"/>
      <c r="U27" s="244"/>
      <c r="V27" s="244"/>
      <c r="W27" s="244"/>
      <c r="X27" s="244"/>
      <c r="Y27" s="244"/>
      <c r="Z27" s="244"/>
      <c r="AA27" s="244"/>
      <c r="AB27" s="244"/>
      <c r="AC27" s="244"/>
      <c r="AD27" s="244"/>
      <c r="AE27" s="244"/>
      <c r="AF27" s="244"/>
      <c r="AG27" s="244"/>
      <c r="AH27" s="244"/>
      <c r="AI27" s="244"/>
      <c r="AJ27" s="244"/>
      <c r="AK27" s="244"/>
      <c r="AL27" s="244"/>
      <c r="AM27" s="244"/>
      <c r="AN27" s="244"/>
      <c r="AO27" s="244"/>
      <c r="AP27" s="244"/>
      <c r="AQ27" s="244"/>
      <c r="AR27" s="244"/>
      <c r="AS27" s="244"/>
      <c r="AT27" s="244"/>
      <c r="AU27" s="244"/>
      <c r="AV27" s="244"/>
    </row>
    <row r="28" ht="15" customHeight="1">
      <c r="A28" s="1"/>
      <c r="B28" s="57"/>
      <c r="C28" s="58"/>
      <c r="D28" s="187" t="s">
        <v>27</v>
      </c>
      <c r="E28" s="190">
        <v>0.7220166265016531144069665288</v>
      </c>
      <c r="F28" s="81">
        <v>0.8675082347515130787305923300</v>
      </c>
      <c r="G28" s="191"/>
      <c r="H28" s="187" t="s">
        <v>27</v>
      </c>
      <c r="I28" s="190">
        <v>0.1304897801799678846309703125</v>
      </c>
      <c r="J28" s="81">
        <v>30.147806962382281993446140220</v>
      </c>
      <c r="K28" s="191"/>
      <c r="L28" s="187" t="s">
        <v>27</v>
      </c>
      <c r="M28" s="190">
        <v>0</v>
      </c>
      <c r="N28" s="81">
        <v>-100</v>
      </c>
      <c r="O28" s="191"/>
      <c r="P28" s="187" t="s">
        <v>27</v>
      </c>
      <c r="Q28" s="190">
        <v>0.8525064066816209990379368413</v>
      </c>
      <c r="R28" s="81">
        <v>3.3354090472178864595600044400</v>
      </c>
      <c r="S28" s="19"/>
      <c r="T28" s="1"/>
      <c r="U28" s="244"/>
      <c r="V28" s="244"/>
      <c r="W28" s="244"/>
      <c r="X28" s="244"/>
      <c r="Y28" s="244"/>
      <c r="Z28" s="244"/>
      <c r="AA28" s="244"/>
      <c r="AB28" s="244"/>
      <c r="AC28" s="244"/>
      <c r="AD28" s="244"/>
      <c r="AE28" s="244"/>
      <c r="AF28" s="244"/>
      <c r="AG28" s="244"/>
      <c r="AH28" s="244"/>
      <c r="AI28" s="244"/>
      <c r="AJ28" s="244"/>
      <c r="AK28" s="244"/>
      <c r="AL28" s="244"/>
      <c r="AM28" s="244"/>
      <c r="AN28" s="244"/>
      <c r="AO28" s="244"/>
      <c r="AP28" s="244"/>
      <c r="AQ28" s="244"/>
      <c r="AR28" s="244"/>
      <c r="AS28" s="244"/>
      <c r="AT28" s="244"/>
      <c r="AU28" s="244"/>
      <c r="AV28" s="244"/>
    </row>
    <row r="29" ht="15" customHeight="1">
      <c r="A29" s="1"/>
      <c r="B29" s="57"/>
      <c r="C29" s="58"/>
      <c r="D29" s="406" t="s">
        <v>91</v>
      </c>
      <c r="E29" s="74">
        <v>98.44210952757462936453817324</v>
      </c>
      <c r="F29" s="73">
        <v>-8.360078865760122785187520760</v>
      </c>
      <c r="G29" s="75"/>
      <c r="H29" s="406" t="s">
        <v>91</v>
      </c>
      <c r="I29" s="74">
        <v>100.14716708201460763483203394</v>
      </c>
      <c r="J29" s="73">
        <v>-3.3550753288683909522307561900</v>
      </c>
      <c r="K29" s="75"/>
      <c r="L29" s="406" t="s">
        <v>91</v>
      </c>
      <c r="M29" s="74">
        <v>0</v>
      </c>
      <c r="N29" s="73">
        <v>0</v>
      </c>
      <c r="O29" s="75"/>
      <c r="P29" s="406" t="s">
        <v>91</v>
      </c>
      <c r="Q29" s="74">
        <v>98.70309593627397750381968273</v>
      </c>
      <c r="R29" s="73">
        <v>-6.7074716828739123612150111100</v>
      </c>
      <c r="S29" s="74"/>
      <c r="T29" s="1"/>
      <c r="U29" s="244"/>
      <c r="V29" s="244"/>
      <c r="W29" s="244"/>
      <c r="X29" s="244"/>
      <c r="Y29" s="244"/>
      <c r="Z29" s="244"/>
      <c r="AA29" s="244"/>
      <c r="AB29" s="244"/>
      <c r="AC29" s="244"/>
      <c r="AD29" s="244"/>
      <c r="AE29" s="244"/>
      <c r="AF29" s="244"/>
      <c r="AG29" s="244"/>
      <c r="AH29" s="244"/>
      <c r="AI29" s="244"/>
      <c r="AJ29" s="244"/>
      <c r="AK29" s="244"/>
      <c r="AL29" s="244"/>
      <c r="AM29" s="244"/>
      <c r="AN29" s="244"/>
      <c r="AO29" s="244"/>
      <c r="AP29" s="244"/>
      <c r="AQ29" s="244"/>
      <c r="AR29" s="244"/>
      <c r="AS29" s="244"/>
      <c r="AT29" s="244"/>
      <c r="AU29" s="244"/>
      <c r="AV29" s="244"/>
    </row>
    <row r="30" ht="15" customHeight="1">
      <c r="A30" s="1"/>
      <c r="B30" s="16"/>
      <c r="C30" s="1"/>
      <c r="D30" s="1"/>
      <c r="E30" s="1"/>
      <c r="F30" s="66"/>
      <c r="G30" s="1"/>
      <c r="H30" s="1"/>
      <c r="I30" s="1"/>
      <c r="J30" s="66"/>
      <c r="K30" s="1"/>
      <c r="L30" s="1"/>
      <c r="M30" s="1"/>
      <c r="N30" s="66"/>
      <c r="O30" s="1"/>
      <c r="P30" s="1"/>
      <c r="Q30" s="19"/>
      <c r="R30" s="66"/>
      <c r="S30" s="19"/>
      <c r="T30" s="1"/>
      <c r="U30" s="244"/>
      <c r="V30" s="244"/>
      <c r="W30" s="244"/>
      <c r="X30" s="244"/>
      <c r="Y30" s="244"/>
      <c r="Z30" s="244"/>
      <c r="AA30" s="244"/>
      <c r="AB30" s="244"/>
      <c r="AC30" s="244"/>
      <c r="AD30" s="244"/>
      <c r="AE30" s="244"/>
      <c r="AF30" s="244"/>
      <c r="AG30" s="244"/>
      <c r="AH30" s="244"/>
      <c r="AI30" s="244"/>
      <c r="AJ30" s="244"/>
      <c r="AK30" s="244"/>
      <c r="AL30" s="244"/>
      <c r="AM30" s="244"/>
      <c r="AN30" s="244"/>
      <c r="AO30" s="244"/>
      <c r="AP30" s="244"/>
      <c r="AQ30" s="244"/>
      <c r="AR30" s="244"/>
      <c r="AS30" s="244"/>
      <c r="AT30" s="244"/>
      <c r="AU30" s="244"/>
      <c r="AV30" s="244"/>
    </row>
    <row r="31" ht="15" customHeight="1">
      <c r="A31" s="1"/>
      <c r="B31" s="57" t="s">
        <v>12</v>
      </c>
      <c r="C31" s="58"/>
      <c r="D31" s="17" t="s">
        <v>32</v>
      </c>
      <c r="E31" s="239">
        <v>241.13475447278264179672630377</v>
      </c>
      <c r="F31" s="73">
        <v>11.951229316486039428071224390</v>
      </c>
      <c r="G31" s="77"/>
      <c r="H31" s="76" t="s">
        <v>32</v>
      </c>
      <c r="I31" s="239">
        <v>262.20496894409937888198757764</v>
      </c>
      <c r="J31" s="73">
        <v>-29.565579761928810651976721600</v>
      </c>
      <c r="K31" s="77"/>
      <c r="L31" s="76" t="s">
        <v>32</v>
      </c>
      <c r="M31" s="239">
        <v>0</v>
      </c>
      <c r="N31" s="73">
        <v>0</v>
      </c>
      <c r="O31" s="77"/>
      <c r="P31" s="76" t="s">
        <v>32</v>
      </c>
      <c r="Q31" s="239">
        <v>244.40707395498392282958199357</v>
      </c>
      <c r="R31" s="73">
        <v>4.4180046509130757163499552500</v>
      </c>
      <c r="S31" s="18"/>
      <c r="T31" s="1"/>
      <c r="U31" s="244"/>
      <c r="V31" s="244"/>
      <c r="W31" s="244"/>
      <c r="X31" s="244"/>
      <c r="Y31" s="244"/>
      <c r="Z31" s="244"/>
      <c r="AA31" s="244"/>
      <c r="AB31" s="244"/>
      <c r="AC31" s="244"/>
      <c r="AD31" s="244"/>
      <c r="AE31" s="244"/>
      <c r="AF31" s="244"/>
      <c r="AG31" s="244"/>
      <c r="AH31" s="244"/>
      <c r="AI31" s="244"/>
      <c r="AJ31" s="244"/>
      <c r="AK31" s="244"/>
      <c r="AL31" s="244"/>
      <c r="AM31" s="244"/>
      <c r="AN31" s="244"/>
      <c r="AO31" s="244"/>
      <c r="AP31" s="244"/>
      <c r="AQ31" s="244"/>
      <c r="AR31" s="244"/>
      <c r="AS31" s="244"/>
      <c r="AT31" s="244"/>
      <c r="AU31" s="244"/>
      <c r="AV31" s="244"/>
    </row>
    <row r="32" ht="15" customHeight="1">
      <c r="A32" s="1"/>
      <c r="B32" s="57"/>
      <c r="C32" s="58"/>
      <c r="D32" s="187" t="s">
        <v>27</v>
      </c>
      <c r="E32" s="240">
        <v>250.53120819514260078374623465</v>
      </c>
      <c r="F32" s="81">
        <v>11.343366523279085790993109410</v>
      </c>
      <c r="G32" s="188"/>
      <c r="H32" s="189" t="s">
        <v>27</v>
      </c>
      <c r="I32" s="240">
        <v>245.34439812003220896013341871</v>
      </c>
      <c r="J32" s="81">
        <v>-9.938971417731976184149987410</v>
      </c>
      <c r="K32" s="188"/>
      <c r="L32" s="189" t="s">
        <v>27</v>
      </c>
      <c r="M32" s="240">
        <v>0</v>
      </c>
      <c r="N32" s="81">
        <v>-100</v>
      </c>
      <c r="O32" s="188"/>
      <c r="P32" s="189" t="s">
        <v>27</v>
      </c>
      <c r="Q32" s="240">
        <v>249.73728371406926777699417068</v>
      </c>
      <c r="R32" s="81">
        <v>8.515862154727984890692608280</v>
      </c>
      <c r="S32" s="18"/>
      <c r="T32" s="1"/>
      <c r="U32" s="244"/>
      <c r="V32" s="244"/>
      <c r="W32" s="244"/>
      <c r="X32" s="244"/>
      <c r="Y32" s="244"/>
      <c r="Z32" s="244"/>
      <c r="AA32" s="244"/>
      <c r="AB32" s="244"/>
      <c r="AC32" s="244"/>
      <c r="AD32" s="244"/>
      <c r="AE32" s="244"/>
      <c r="AF32" s="244"/>
      <c r="AG32" s="244"/>
      <c r="AH32" s="244"/>
      <c r="AI32" s="244"/>
      <c r="AJ32" s="244"/>
      <c r="AK32" s="244"/>
      <c r="AL32" s="244"/>
      <c r="AM32" s="244"/>
      <c r="AN32" s="244"/>
      <c r="AO32" s="244"/>
      <c r="AP32" s="244"/>
      <c r="AQ32" s="244"/>
      <c r="AR32" s="244"/>
      <c r="AS32" s="244"/>
      <c r="AT32" s="244"/>
      <c r="AU32" s="244"/>
      <c r="AV32" s="244"/>
    </row>
    <row r="33" ht="15" customHeight="1">
      <c r="A33" s="1"/>
      <c r="B33" s="57"/>
      <c r="C33" s="58"/>
      <c r="D33" s="406" t="s">
        <v>92</v>
      </c>
      <c r="E33" s="74">
        <v>96.24938793453631770156392969</v>
      </c>
      <c r="F33" s="73">
        <v>0.545935345898643063169906700</v>
      </c>
      <c r="G33" s="75"/>
      <c r="H33" s="406" t="s">
        <v>92</v>
      </c>
      <c r="I33" s="74">
        <v>106.87220533800520380187418548</v>
      </c>
      <c r="J33" s="73">
        <v>-21.792565167369882507797449320</v>
      </c>
      <c r="K33" s="75"/>
      <c r="L33" s="406" t="s">
        <v>92</v>
      </c>
      <c r="M33" s="74">
        <v>0</v>
      </c>
      <c r="N33" s="73">
        <v>0</v>
      </c>
      <c r="O33" s="75"/>
      <c r="P33" s="406" t="s">
        <v>92</v>
      </c>
      <c r="Q33" s="74">
        <v>97.86567320672146115259211797</v>
      </c>
      <c r="R33" s="73">
        <v>-3.7762751200568533394110257100</v>
      </c>
      <c r="S33" s="74"/>
      <c r="T33" s="1"/>
      <c r="U33" s="244"/>
      <c r="V33" s="244"/>
      <c r="W33" s="244"/>
      <c r="X33" s="244"/>
      <c r="Y33" s="244"/>
      <c r="Z33" s="244"/>
      <c r="AA33" s="244"/>
      <c r="AB33" s="244"/>
      <c r="AC33" s="244"/>
      <c r="AD33" s="244"/>
      <c r="AE33" s="244"/>
      <c r="AF33" s="244"/>
      <c r="AG33" s="244"/>
      <c r="AH33" s="244"/>
      <c r="AI33" s="244"/>
      <c r="AJ33" s="244"/>
      <c r="AK33" s="244"/>
      <c r="AL33" s="244"/>
      <c r="AM33" s="244"/>
      <c r="AN33" s="244"/>
      <c r="AO33" s="244"/>
      <c r="AP33" s="244"/>
      <c r="AQ33" s="244"/>
      <c r="AR33" s="244"/>
      <c r="AS33" s="244"/>
      <c r="AT33" s="244"/>
      <c r="AU33" s="244"/>
      <c r="AV33" s="244"/>
    </row>
    <row r="34" ht="15" customHeight="1">
      <c r="A34" s="1"/>
      <c r="B34" s="16"/>
      <c r="C34" s="1"/>
      <c r="D34" s="1"/>
      <c r="E34" s="1"/>
      <c r="F34" s="68"/>
      <c r="G34" s="1"/>
      <c r="H34" s="1"/>
      <c r="I34" s="1"/>
      <c r="J34" s="68"/>
      <c r="K34" s="1"/>
      <c r="L34" s="1"/>
      <c r="M34" s="1"/>
      <c r="N34" s="68"/>
      <c r="O34" s="1"/>
      <c r="P34" s="1"/>
      <c r="Q34" s="18"/>
      <c r="R34" s="68"/>
      <c r="S34" s="18"/>
      <c r="T34" s="1"/>
      <c r="U34" s="244"/>
      <c r="V34" s="244"/>
      <c r="W34" s="244"/>
      <c r="X34" s="244"/>
      <c r="Y34" s="244"/>
      <c r="Z34" s="244"/>
      <c r="AA34" s="244"/>
      <c r="AB34" s="244"/>
      <c r="AC34" s="244"/>
      <c r="AD34" s="244"/>
      <c r="AE34" s="244"/>
      <c r="AF34" s="244"/>
      <c r="AG34" s="244"/>
      <c r="AH34" s="244"/>
      <c r="AI34" s="244"/>
      <c r="AJ34" s="244"/>
      <c r="AK34" s="244"/>
      <c r="AL34" s="244"/>
      <c r="AM34" s="244"/>
      <c r="AN34" s="244"/>
      <c r="AO34" s="244"/>
      <c r="AP34" s="244"/>
      <c r="AQ34" s="244"/>
      <c r="AR34" s="244"/>
      <c r="AS34" s="244"/>
      <c r="AT34" s="244"/>
      <c r="AU34" s="244"/>
      <c r="AV34" s="244"/>
    </row>
    <row r="35" ht="15" customHeight="1">
      <c r="A35" s="1"/>
      <c r="B35" s="57" t="s">
        <v>13</v>
      </c>
      <c r="C35" s="58"/>
      <c r="D35" s="17" t="s">
        <v>32</v>
      </c>
      <c r="E35" s="239">
        <v>171.3909632034632034632034632</v>
      </c>
      <c r="F35" s="73">
        <v>3.4820124610906359267518656400</v>
      </c>
      <c r="G35" s="77"/>
      <c r="H35" s="76" t="s">
        <v>32</v>
      </c>
      <c r="I35" s="239">
        <v>34.265422077922077922077922078</v>
      </c>
      <c r="J35" s="73">
        <v>-11.406705794250510883859815150</v>
      </c>
      <c r="K35" s="77"/>
      <c r="L35" s="76" t="s">
        <v>32</v>
      </c>
      <c r="M35" s="239">
        <v>0</v>
      </c>
      <c r="N35" s="73">
        <v>0</v>
      </c>
      <c r="O35" s="77"/>
      <c r="P35" s="76" t="s">
        <v>32</v>
      </c>
      <c r="Q35" s="239">
        <v>205.65638528138528138528138528</v>
      </c>
      <c r="R35" s="73">
        <v>0.6633584824380565084751226300</v>
      </c>
      <c r="S35" s="18"/>
      <c r="T35" s="1"/>
      <c r="U35" s="244"/>
      <c r="V35" s="244"/>
      <c r="W35" s="244"/>
      <c r="X35" s="244"/>
      <c r="Y35" s="244"/>
      <c r="Z35" s="244"/>
      <c r="AA35" s="244"/>
      <c r="AB35" s="244"/>
      <c r="AC35" s="244"/>
      <c r="AD35" s="244"/>
      <c r="AE35" s="244"/>
      <c r="AF35" s="244"/>
      <c r="AG35" s="244"/>
      <c r="AH35" s="244"/>
      <c r="AI35" s="244"/>
      <c r="AJ35" s="244"/>
      <c r="AK35" s="244"/>
      <c r="AL35" s="244"/>
      <c r="AM35" s="244"/>
      <c r="AN35" s="244"/>
      <c r="AO35" s="244"/>
      <c r="AP35" s="244"/>
      <c r="AQ35" s="244"/>
      <c r="AR35" s="244"/>
      <c r="AS35" s="244"/>
      <c r="AT35" s="244"/>
      <c r="AU35" s="244"/>
      <c r="AV35" s="244"/>
    </row>
    <row r="36" ht="15" customHeight="1">
      <c r="A36" s="1"/>
      <c r="B36" s="57"/>
      <c r="C36" s="58"/>
      <c r="D36" s="187" t="s">
        <v>27</v>
      </c>
      <c r="E36" s="240">
        <v>180.8876977744401710539788335</v>
      </c>
      <c r="F36" s="81">
        <v>12.309279396784593284485508780</v>
      </c>
      <c r="G36" s="188"/>
      <c r="H36" s="189" t="s">
        <v>27</v>
      </c>
      <c r="I36" s="240">
        <v>32.01493657906952887584264479</v>
      </c>
      <c r="J36" s="81">
        <v>17.212453627986781436156566400</v>
      </c>
      <c r="K36" s="188"/>
      <c r="L36" s="189" t="s">
        <v>27</v>
      </c>
      <c r="M36" s="240">
        <v>0</v>
      </c>
      <c r="N36" s="81">
        <v>-100</v>
      </c>
      <c r="O36" s="188"/>
      <c r="P36" s="189" t="s">
        <v>27</v>
      </c>
      <c r="Q36" s="240">
        <v>212.90263435350969992982147829</v>
      </c>
      <c r="R36" s="81">
        <v>12.135310038744682230310331470</v>
      </c>
      <c r="S36" s="18"/>
      <c r="T36" s="1"/>
      <c r="U36" s="244"/>
      <c r="V36" s="244"/>
      <c r="W36" s="244"/>
      <c r="X36" s="244"/>
      <c r="Y36" s="244"/>
      <c r="Z36" s="244"/>
      <c r="AA36" s="244"/>
      <c r="AB36" s="244"/>
      <c r="AC36" s="244"/>
      <c r="AD36" s="244"/>
      <c r="AE36" s="244"/>
      <c r="AF36" s="244"/>
      <c r="AG36" s="244"/>
      <c r="AH36" s="244"/>
      <c r="AI36" s="244"/>
      <c r="AJ36" s="244"/>
      <c r="AK36" s="244"/>
      <c r="AL36" s="244"/>
      <c r="AM36" s="244"/>
      <c r="AN36" s="244"/>
      <c r="AO36" s="244"/>
      <c r="AP36" s="244"/>
      <c r="AQ36" s="244"/>
      <c r="AR36" s="244"/>
      <c r="AS36" s="244"/>
      <c r="AT36" s="244"/>
      <c r="AU36" s="244"/>
      <c r="AV36" s="244"/>
    </row>
    <row r="37" ht="15" customHeight="1">
      <c r="A37" s="1"/>
      <c r="B37" s="57"/>
      <c r="C37" s="58"/>
      <c r="D37" s="406" t="s">
        <v>93</v>
      </c>
      <c r="E37" s="74">
        <v>94.74992789018689418197200811</v>
      </c>
      <c r="F37" s="73">
        <v>-7.8597841452456417908275219300</v>
      </c>
      <c r="G37" s="75"/>
      <c r="H37" s="406" t="s">
        <v>93</v>
      </c>
      <c r="I37" s="74">
        <v>107.02948604399622801462344215</v>
      </c>
      <c r="J37" s="73">
        <v>-24.416483519037693456918520580</v>
      </c>
      <c r="K37" s="75"/>
      <c r="L37" s="406" t="s">
        <v>93</v>
      </c>
      <c r="M37" s="74">
        <v>0</v>
      </c>
      <c r="N37" s="73">
        <v>0</v>
      </c>
      <c r="O37" s="75"/>
      <c r="P37" s="406" t="s">
        <v>93</v>
      </c>
      <c r="Q37" s="74">
        <v>96.59644931396989342104513936</v>
      </c>
      <c r="R37" s="73">
        <v>-10.230454218504196826817779170</v>
      </c>
      <c r="S37" s="74"/>
      <c r="T37" s="1"/>
      <c r="U37" s="244"/>
      <c r="V37" s="244"/>
      <c r="W37" s="244"/>
      <c r="X37" s="244"/>
      <c r="Y37" s="244"/>
      <c r="Z37" s="244"/>
      <c r="AA37" s="244"/>
      <c r="AB37" s="244"/>
      <c r="AC37" s="244"/>
      <c r="AD37" s="244"/>
      <c r="AE37" s="244"/>
      <c r="AF37" s="244"/>
      <c r="AG37" s="244"/>
      <c r="AH37" s="244"/>
      <c r="AI37" s="244"/>
      <c r="AJ37" s="244"/>
      <c r="AK37" s="244"/>
      <c r="AL37" s="244"/>
      <c r="AM37" s="244"/>
      <c r="AN37" s="244"/>
      <c r="AO37" s="244"/>
      <c r="AP37" s="244"/>
      <c r="AQ37" s="244"/>
      <c r="AR37" s="244"/>
      <c r="AS37" s="244"/>
      <c r="AT37" s="244"/>
      <c r="AU37" s="244"/>
      <c r="AV37" s="244"/>
    </row>
    <row r="38" ht="18" customHeight="1">
      <c r="A38" s="1"/>
      <c r="B38" s="1"/>
      <c r="C38" s="1"/>
      <c r="D38" s="1"/>
      <c r="E38" s="1"/>
      <c r="F38" s="1"/>
      <c r="G38" s="1"/>
      <c r="H38" s="1"/>
      <c r="I38" s="1"/>
      <c r="J38" s="1"/>
      <c r="K38" s="1"/>
      <c r="L38" s="1"/>
      <c r="M38" s="1"/>
      <c r="N38" s="1"/>
      <c r="O38" s="1"/>
      <c r="P38" s="1"/>
      <c r="Q38" s="1"/>
      <c r="R38" s="1"/>
      <c r="S38" s="1"/>
      <c r="T38" s="1"/>
      <c r="U38" s="244"/>
      <c r="V38" s="244"/>
      <c r="W38" s="244"/>
      <c r="X38" s="244"/>
      <c r="Y38" s="244"/>
      <c r="Z38" s="244"/>
      <c r="AA38" s="244"/>
      <c r="AB38" s="244"/>
      <c r="AC38" s="244"/>
      <c r="AD38" s="244"/>
      <c r="AE38" s="244"/>
      <c r="AF38" s="244"/>
      <c r="AG38" s="244"/>
      <c r="AH38" s="244"/>
      <c r="AI38" s="244"/>
      <c r="AJ38" s="244"/>
      <c r="AK38" s="244"/>
      <c r="AL38" s="244"/>
      <c r="AM38" s="244"/>
      <c r="AN38" s="244"/>
      <c r="AO38" s="244"/>
      <c r="AP38" s="244"/>
      <c r="AQ38" s="244"/>
      <c r="AR38" s="244"/>
      <c r="AS38" s="244"/>
      <c r="AT38" s="244"/>
      <c r="AU38" s="244"/>
      <c r="AV38" s="244"/>
    </row>
    <row r="39" ht="9" customHeight="1">
      <c r="A39" s="1"/>
      <c r="B39" s="1"/>
      <c r="C39" s="1"/>
      <c r="D39" s="1"/>
      <c r="E39" s="1"/>
      <c r="F39" s="1"/>
      <c r="G39" s="1"/>
      <c r="H39" s="1"/>
      <c r="I39" s="1"/>
      <c r="J39" s="1"/>
      <c r="K39" s="1"/>
      <c r="L39" s="1"/>
      <c r="M39" s="1"/>
      <c r="N39" s="1"/>
      <c r="O39" s="1"/>
      <c r="P39" s="1"/>
      <c r="Q39" s="1"/>
      <c r="R39" s="1"/>
      <c r="S39" s="1"/>
      <c r="T39" s="1"/>
      <c r="U39" s="244"/>
      <c r="V39" s="244"/>
      <c r="W39" s="244"/>
      <c r="X39" s="244"/>
      <c r="Y39" s="244"/>
      <c r="Z39" s="244"/>
      <c r="AA39" s="244"/>
      <c r="AB39" s="244"/>
      <c r="AC39" s="244"/>
      <c r="AD39" s="244"/>
      <c r="AE39" s="244"/>
      <c r="AF39" s="244"/>
      <c r="AG39" s="244"/>
      <c r="AH39" s="244"/>
      <c r="AI39" s="244"/>
      <c r="AJ39" s="244"/>
      <c r="AK39" s="244"/>
      <c r="AL39" s="244"/>
      <c r="AM39" s="244"/>
      <c r="AN39" s="244"/>
      <c r="AO39" s="244"/>
      <c r="AP39" s="244"/>
      <c r="AQ39" s="244"/>
      <c r="AR39" s="244"/>
      <c r="AS39" s="244"/>
      <c r="AT39" s="244"/>
      <c r="AU39" s="244"/>
      <c r="AV39" s="244"/>
    </row>
    <row r="40" ht="33.95" customHeight="1">
      <c r="A40" s="1"/>
      <c r="B40" s="654" t="s">
        <v>114</v>
      </c>
      <c r="C40" s="654"/>
      <c r="D40" s="654"/>
      <c r="E40" s="654"/>
      <c r="F40" s="654"/>
      <c r="G40" s="654"/>
      <c r="H40" s="654"/>
      <c r="I40" s="654"/>
      <c r="J40" s="654"/>
      <c r="K40" s="654"/>
      <c r="L40" s="654"/>
      <c r="M40" s="654"/>
      <c r="N40" s="654"/>
      <c r="O40" s="654"/>
      <c r="P40" s="654"/>
      <c r="Q40" s="654"/>
      <c r="R40" s="654"/>
      <c r="S40" s="654"/>
      <c r="T40" s="1"/>
      <c r="U40" s="244"/>
      <c r="V40" s="244"/>
      <c r="W40" s="244"/>
      <c r="X40" s="244"/>
      <c r="Y40" s="244"/>
      <c r="Z40" s="244"/>
      <c r="AA40" s="244"/>
      <c r="AB40" s="244"/>
      <c r="AC40" s="244"/>
      <c r="AD40" s="244"/>
      <c r="AE40" s="244"/>
      <c r="AF40" s="244"/>
      <c r="AG40" s="244"/>
      <c r="AH40" s="244"/>
      <c r="AI40" s="244"/>
      <c r="AJ40" s="244"/>
      <c r="AK40" s="244"/>
      <c r="AL40" s="244"/>
      <c r="AM40" s="244"/>
      <c r="AN40" s="244"/>
      <c r="AO40" s="244"/>
      <c r="AP40" s="244"/>
      <c r="AQ40" s="244"/>
      <c r="AR40" s="244"/>
      <c r="AS40" s="244"/>
      <c r="AT40" s="244"/>
      <c r="AU40" s="244"/>
      <c r="AV40" s="244"/>
    </row>
    <row r="41" ht="9" customHeight="1">
      <c r="A41" s="1"/>
      <c r="B41" s="1"/>
      <c r="C41" s="1"/>
      <c r="D41" s="1"/>
      <c r="E41" s="1"/>
      <c r="F41" s="1"/>
      <c r="G41" s="1"/>
      <c r="H41" s="1"/>
      <c r="I41" s="1"/>
      <c r="J41" s="1"/>
      <c r="K41" s="1"/>
      <c r="L41" s="1"/>
      <c r="M41" s="1"/>
      <c r="N41" s="1"/>
      <c r="O41" s="1"/>
      <c r="P41" s="1"/>
      <c r="Q41" s="80"/>
      <c r="R41" s="241"/>
      <c r="S41" s="1"/>
      <c r="T41" s="1"/>
      <c r="U41" s="244"/>
      <c r="V41" s="244"/>
      <c r="W41" s="244"/>
      <c r="X41" s="244"/>
      <c r="Y41" s="244"/>
      <c r="Z41" s="244"/>
      <c r="AA41" s="244"/>
      <c r="AB41" s="244"/>
      <c r="AC41" s="244"/>
      <c r="AD41" s="244"/>
      <c r="AE41" s="244"/>
      <c r="AF41" s="244"/>
      <c r="AG41" s="244"/>
      <c r="AH41" s="244"/>
      <c r="AI41" s="244"/>
      <c r="AJ41" s="244"/>
      <c r="AK41" s="244"/>
      <c r="AL41" s="244"/>
      <c r="AM41" s="244"/>
      <c r="AN41" s="244"/>
      <c r="AO41" s="244"/>
      <c r="AP41" s="244"/>
      <c r="AQ41" s="244"/>
      <c r="AR41" s="244"/>
      <c r="AS41" s="244"/>
      <c r="AT41" s="244"/>
      <c r="AU41" s="244"/>
      <c r="AV41" s="244"/>
    </row>
    <row r="42" ht="9" customHeight="1">
      <c r="A42" s="1"/>
      <c r="B42" s="1"/>
      <c r="C42" s="1"/>
      <c r="D42" s="1"/>
      <c r="E42" s="1"/>
      <c r="F42" s="1"/>
      <c r="G42" s="1"/>
      <c r="H42" s="1"/>
      <c r="I42" s="1"/>
      <c r="J42" s="1"/>
      <c r="K42" s="1"/>
      <c r="L42" s="1"/>
      <c r="M42" s="1"/>
      <c r="N42" s="1"/>
      <c r="O42" s="1"/>
      <c r="P42" s="1"/>
      <c r="Q42" s="1"/>
      <c r="R42" s="1"/>
      <c r="S42" s="1"/>
      <c r="T42" s="1"/>
      <c r="U42" s="244"/>
      <c r="V42" s="244"/>
      <c r="W42" s="244"/>
      <c r="X42" s="244"/>
      <c r="Y42" s="244"/>
      <c r="Z42" s="244"/>
      <c r="AA42" s="244"/>
      <c r="AB42" s="244"/>
      <c r="AC42" s="244"/>
      <c r="AD42" s="244"/>
      <c r="AE42" s="244"/>
      <c r="AF42" s="244"/>
      <c r="AG42" s="244"/>
      <c r="AH42" s="244"/>
      <c r="AI42" s="244"/>
      <c r="AJ42" s="244"/>
      <c r="AK42" s="244"/>
      <c r="AL42" s="244"/>
      <c r="AM42" s="244"/>
      <c r="AN42" s="244"/>
      <c r="AO42" s="244"/>
      <c r="AP42" s="244"/>
      <c r="AQ42" s="244"/>
      <c r="AR42" s="244"/>
      <c r="AS42" s="244"/>
      <c r="AT42" s="244"/>
      <c r="AU42" s="244"/>
      <c r="AV42" s="244"/>
    </row>
    <row r="43" ht="18" customHeight="1">
      <c r="A43" s="244"/>
      <c r="B43" s="244"/>
      <c r="C43" s="244"/>
      <c r="D43" s="244"/>
      <c r="E43" s="244"/>
      <c r="F43" s="244"/>
      <c r="G43" s="244"/>
      <c r="H43" s="244"/>
      <c r="I43" s="244"/>
      <c r="J43" s="244"/>
      <c r="K43" s="244"/>
      <c r="L43" s="244"/>
      <c r="M43" s="244"/>
      <c r="N43" s="244"/>
      <c r="O43" s="244"/>
      <c r="P43" s="244"/>
      <c r="Q43" s="244"/>
      <c r="R43" s="244"/>
      <c r="S43" s="244"/>
      <c r="T43" s="244"/>
      <c r="U43" s="244"/>
      <c r="V43" s="244"/>
      <c r="W43" s="244"/>
      <c r="X43" s="244"/>
      <c r="Y43" s="244"/>
      <c r="Z43" s="244"/>
      <c r="AA43" s="244"/>
      <c r="AB43" s="244"/>
      <c r="AC43" s="244"/>
      <c r="AD43" s="244"/>
      <c r="AE43" s="244"/>
      <c r="AF43" s="244"/>
      <c r="AG43" s="244"/>
      <c r="AH43" s="244"/>
      <c r="AI43" s="244"/>
      <c r="AJ43" s="244"/>
      <c r="AK43" s="244"/>
      <c r="AL43" s="244"/>
      <c r="AM43" s="244"/>
      <c r="AN43" s="244"/>
      <c r="AO43" s="244"/>
      <c r="AP43" s="244"/>
      <c r="AQ43" s="244"/>
      <c r="AR43" s="244"/>
      <c r="AS43" s="244"/>
      <c r="AT43" s="244"/>
      <c r="AU43" s="244"/>
      <c r="AV43" s="244"/>
    </row>
    <row r="44">
      <c r="A44" s="244"/>
      <c r="B44" s="244"/>
      <c r="C44" s="244"/>
      <c r="D44" s="244"/>
      <c r="E44" s="244"/>
      <c r="F44" s="244"/>
      <c r="G44" s="244"/>
      <c r="H44" s="244"/>
      <c r="I44" s="244"/>
      <c r="J44" s="244"/>
      <c r="K44" s="244"/>
      <c r="L44" s="244"/>
      <c r="M44" s="244"/>
      <c r="N44" s="244"/>
      <c r="O44" s="244"/>
      <c r="P44" s="244"/>
      <c r="Q44" s="244"/>
      <c r="R44" s="244"/>
      <c r="S44" s="244"/>
      <c r="T44" s="244"/>
      <c r="U44" s="244"/>
      <c r="V44" s="244"/>
      <c r="W44" s="244"/>
      <c r="X44" s="244"/>
      <c r="Y44" s="244"/>
      <c r="Z44" s="244"/>
      <c r="AA44" s="244"/>
      <c r="AB44" s="244"/>
      <c r="AC44" s="244"/>
      <c r="AD44" s="244"/>
      <c r="AE44" s="244"/>
      <c r="AF44" s="244"/>
      <c r="AG44" s="244"/>
      <c r="AH44" s="244"/>
      <c r="AI44" s="244"/>
      <c r="AJ44" s="244"/>
      <c r="AK44" s="244"/>
      <c r="AL44" s="244"/>
      <c r="AM44" s="244"/>
      <c r="AN44" s="244"/>
      <c r="AO44" s="244"/>
      <c r="AP44" s="244"/>
      <c r="AQ44" s="244"/>
      <c r="AR44" s="244"/>
      <c r="AS44" s="244"/>
      <c r="AT44" s="244"/>
      <c r="AU44" s="244"/>
      <c r="AV44" s="244"/>
    </row>
    <row r="45">
      <c r="A45" s="244"/>
      <c r="B45" s="244"/>
      <c r="C45" s="244"/>
      <c r="D45" s="244"/>
      <c r="E45" s="244"/>
      <c r="F45" s="244"/>
      <c r="G45" s="244"/>
      <c r="H45" s="244"/>
      <c r="I45" s="244"/>
      <c r="J45" s="244"/>
      <c r="K45" s="244"/>
      <c r="L45" s="244"/>
      <c r="M45" s="244"/>
      <c r="N45" s="244"/>
      <c r="O45" s="244"/>
      <c r="P45" s="244"/>
      <c r="Q45" s="244"/>
      <c r="R45" s="244"/>
      <c r="S45" s="244"/>
      <c r="T45" s="244"/>
      <c r="U45" s="244"/>
      <c r="V45" s="244"/>
      <c r="W45" s="244"/>
      <c r="X45" s="244"/>
      <c r="Y45" s="244"/>
      <c r="Z45" s="244"/>
      <c r="AA45" s="244"/>
      <c r="AB45" s="244"/>
      <c r="AC45" s="244"/>
      <c r="AD45" s="244"/>
      <c r="AE45" s="244"/>
      <c r="AF45" s="244"/>
      <c r="AG45" s="244"/>
      <c r="AH45" s="244"/>
      <c r="AI45" s="244"/>
      <c r="AJ45" s="244"/>
      <c r="AK45" s="244"/>
      <c r="AL45" s="244"/>
      <c r="AM45" s="244"/>
      <c r="AN45" s="244"/>
      <c r="AO45" s="244"/>
      <c r="AP45" s="244"/>
      <c r="AQ45" s="244"/>
      <c r="AR45" s="244"/>
      <c r="AS45" s="244"/>
      <c r="AT45" s="244"/>
      <c r="AU45" s="244"/>
      <c r="AV45" s="244"/>
    </row>
    <row r="46">
      <c r="A46" s="244"/>
      <c r="B46" s="244"/>
      <c r="C46" s="244"/>
      <c r="D46" s="244"/>
      <c r="E46" s="244"/>
      <c r="F46" s="244"/>
      <c r="G46" s="244"/>
      <c r="H46" s="244"/>
      <c r="I46" s="244"/>
      <c r="J46" s="244"/>
      <c r="K46" s="244"/>
      <c r="L46" s="244"/>
      <c r="M46" s="244"/>
      <c r="N46" s="244"/>
      <c r="O46" s="244"/>
      <c r="P46" s="244"/>
      <c r="Q46" s="244"/>
      <c r="R46" s="244"/>
      <c r="S46" s="244"/>
      <c r="T46" s="244"/>
      <c r="U46" s="244"/>
      <c r="V46" s="244"/>
      <c r="W46" s="244"/>
      <c r="X46" s="244"/>
      <c r="Y46" s="244"/>
      <c r="Z46" s="244"/>
      <c r="AA46" s="244"/>
      <c r="AB46" s="244"/>
      <c r="AC46" s="244"/>
      <c r="AD46" s="244"/>
      <c r="AE46" s="244"/>
      <c r="AF46" s="244"/>
      <c r="AG46" s="244"/>
      <c r="AH46" s="244"/>
      <c r="AI46" s="244"/>
      <c r="AJ46" s="244"/>
      <c r="AK46" s="244"/>
      <c r="AL46" s="244"/>
      <c r="AM46" s="244"/>
      <c r="AN46" s="244"/>
      <c r="AO46" s="244"/>
      <c r="AP46" s="244"/>
      <c r="AQ46" s="244"/>
      <c r="AR46" s="244"/>
      <c r="AS46" s="244"/>
      <c r="AT46" s="244"/>
      <c r="AU46" s="244"/>
      <c r="AV46" s="244"/>
    </row>
    <row r="47">
      <c r="A47" s="244"/>
      <c r="B47" s="244"/>
      <c r="C47" s="244"/>
      <c r="D47" s="244"/>
      <c r="E47" s="244"/>
      <c r="F47" s="244"/>
      <c r="G47" s="244"/>
      <c r="H47" s="244"/>
      <c r="I47" s="244"/>
      <c r="J47" s="244"/>
      <c r="K47" s="244"/>
      <c r="L47" s="244"/>
      <c r="M47" s="244"/>
      <c r="N47" s="244"/>
      <c r="O47" s="244"/>
      <c r="P47" s="244"/>
      <c r="Q47" s="244"/>
      <c r="R47" s="244"/>
      <c r="S47" s="244"/>
      <c r="T47" s="244"/>
      <c r="U47" s="244"/>
      <c r="V47" s="244"/>
      <c r="W47" s="244"/>
      <c r="X47" s="244"/>
      <c r="Y47" s="244"/>
      <c r="Z47" s="244"/>
      <c r="AA47" s="244"/>
      <c r="AB47" s="244"/>
      <c r="AC47" s="244"/>
      <c r="AD47" s="244"/>
      <c r="AE47" s="244"/>
      <c r="AF47" s="244"/>
      <c r="AG47" s="244"/>
      <c r="AH47" s="244"/>
      <c r="AI47" s="244"/>
      <c r="AJ47" s="244"/>
      <c r="AK47" s="244"/>
      <c r="AL47" s="244"/>
      <c r="AM47" s="244"/>
      <c r="AN47" s="244"/>
      <c r="AO47" s="244"/>
      <c r="AP47" s="244"/>
      <c r="AQ47" s="244"/>
      <c r="AR47" s="244"/>
      <c r="AS47" s="244"/>
      <c r="AT47" s="244"/>
      <c r="AU47" s="244"/>
      <c r="AV47" s="244"/>
    </row>
    <row r="48">
      <c r="A48" s="244"/>
      <c r="B48" s="244"/>
      <c r="C48" s="244"/>
      <c r="D48" s="244"/>
      <c r="E48" s="244"/>
      <c r="F48" s="244"/>
      <c r="G48" s="244"/>
      <c r="H48" s="244"/>
      <c r="I48" s="244"/>
      <c r="J48" s="244"/>
      <c r="K48" s="244"/>
      <c r="L48" s="244"/>
      <c r="M48" s="244"/>
      <c r="N48" s="244"/>
      <c r="O48" s="244"/>
      <c r="P48" s="244"/>
      <c r="Q48" s="244"/>
      <c r="R48" s="244"/>
      <c r="S48" s="244"/>
      <c r="T48" s="244"/>
      <c r="U48" s="244"/>
      <c r="V48" s="244"/>
      <c r="W48" s="244"/>
      <c r="X48" s="244"/>
      <c r="Y48" s="244"/>
      <c r="Z48" s="244"/>
      <c r="AA48" s="244"/>
      <c r="AB48" s="244"/>
      <c r="AC48" s="244"/>
      <c r="AD48" s="244"/>
      <c r="AE48" s="244"/>
      <c r="AF48" s="244"/>
      <c r="AG48" s="244"/>
      <c r="AH48" s="244"/>
      <c r="AI48" s="244"/>
      <c r="AJ48" s="244"/>
      <c r="AK48" s="244"/>
      <c r="AL48" s="244"/>
      <c r="AM48" s="244"/>
      <c r="AN48" s="244"/>
      <c r="AO48" s="244"/>
      <c r="AP48" s="244"/>
      <c r="AQ48" s="244"/>
      <c r="AR48" s="244"/>
      <c r="AS48" s="244"/>
      <c r="AT48" s="244"/>
      <c r="AU48" s="244"/>
      <c r="AV48" s="244"/>
    </row>
    <row r="49">
      <c r="A49" s="244"/>
      <c r="B49" s="244"/>
      <c r="C49" s="244"/>
      <c r="D49" s="244"/>
      <c r="E49" s="244"/>
      <c r="F49" s="244"/>
      <c r="G49" s="244"/>
      <c r="H49" s="244"/>
      <c r="I49" s="244"/>
      <c r="J49" s="244"/>
      <c r="K49" s="244"/>
      <c r="L49" s="244"/>
      <c r="M49" s="244"/>
      <c r="N49" s="244"/>
      <c r="O49" s="244"/>
      <c r="P49" s="244"/>
      <c r="Q49" s="244"/>
      <c r="R49" s="244"/>
      <c r="S49" s="244"/>
      <c r="T49" s="244"/>
      <c r="U49" s="244"/>
      <c r="V49" s="244"/>
      <c r="W49" s="244"/>
      <c r="X49" s="244"/>
      <c r="Y49" s="244"/>
      <c r="Z49" s="244"/>
      <c r="AA49" s="244"/>
      <c r="AB49" s="244"/>
      <c r="AC49" s="244"/>
      <c r="AD49" s="244"/>
      <c r="AE49" s="244"/>
      <c r="AF49" s="244"/>
      <c r="AG49" s="244"/>
      <c r="AH49" s="244"/>
      <c r="AI49" s="244"/>
      <c r="AJ49" s="244"/>
      <c r="AK49" s="244"/>
      <c r="AL49" s="244"/>
      <c r="AM49" s="244"/>
      <c r="AN49" s="244"/>
      <c r="AO49" s="244"/>
      <c r="AP49" s="244"/>
      <c r="AQ49" s="244"/>
      <c r="AR49" s="244"/>
      <c r="AS49" s="244"/>
      <c r="AT49" s="244"/>
      <c r="AU49" s="244"/>
      <c r="AV49" s="244"/>
    </row>
    <row r="50">
      <c r="A50" s="244"/>
      <c r="B50" s="244"/>
      <c r="C50" s="244"/>
      <c r="D50" s="244"/>
      <c r="E50" s="244"/>
      <c r="F50" s="244"/>
      <c r="G50" s="244"/>
      <c r="H50" s="244"/>
      <c r="I50" s="244"/>
      <c r="J50" s="244"/>
      <c r="K50" s="244"/>
      <c r="L50" s="244"/>
      <c r="M50" s="244"/>
      <c r="N50" s="244"/>
      <c r="O50" s="244"/>
      <c r="P50" s="244"/>
      <c r="Q50" s="244"/>
      <c r="R50" s="244"/>
      <c r="S50" s="244"/>
      <c r="T50" s="244"/>
      <c r="U50" s="244"/>
      <c r="V50" s="244"/>
      <c r="W50" s="244"/>
      <c r="X50" s="244"/>
      <c r="Y50" s="244"/>
      <c r="Z50" s="244"/>
      <c r="AA50" s="244"/>
      <c r="AB50" s="244"/>
      <c r="AC50" s="244"/>
      <c r="AD50" s="244"/>
      <c r="AE50" s="244"/>
      <c r="AF50" s="244"/>
      <c r="AG50" s="244"/>
      <c r="AH50" s="244"/>
      <c r="AI50" s="244"/>
      <c r="AJ50" s="244"/>
      <c r="AK50" s="244"/>
      <c r="AL50" s="244"/>
      <c r="AM50" s="244"/>
      <c r="AN50" s="244"/>
      <c r="AO50" s="244"/>
      <c r="AP50" s="244"/>
      <c r="AQ50" s="244"/>
      <c r="AR50" s="244"/>
      <c r="AS50" s="244"/>
      <c r="AT50" s="244"/>
      <c r="AU50" s="244"/>
      <c r="AV50" s="244"/>
    </row>
    <row r="51">
      <c r="A51" s="244"/>
      <c r="B51" s="244"/>
      <c r="C51" s="244"/>
      <c r="D51" s="244"/>
      <c r="E51" s="244"/>
      <c r="F51" s="244"/>
      <c r="G51" s="244"/>
      <c r="H51" s="244"/>
      <c r="I51" s="244"/>
      <c r="J51" s="244"/>
      <c r="K51" s="244"/>
      <c r="L51" s="244"/>
      <c r="M51" s="244"/>
      <c r="N51" s="244"/>
      <c r="O51" s="244"/>
      <c r="P51" s="244"/>
      <c r="Q51" s="244"/>
      <c r="R51" s="244"/>
      <c r="S51" s="244"/>
      <c r="T51" s="244"/>
      <c r="U51" s="244"/>
      <c r="V51" s="244"/>
      <c r="W51" s="244"/>
      <c r="X51" s="244"/>
      <c r="Y51" s="244"/>
      <c r="Z51" s="244"/>
      <c r="AA51" s="244"/>
      <c r="AB51" s="244"/>
      <c r="AC51" s="244"/>
      <c r="AD51" s="244"/>
      <c r="AE51" s="244"/>
      <c r="AF51" s="244"/>
      <c r="AG51" s="244"/>
      <c r="AH51" s="244"/>
      <c r="AI51" s="244"/>
      <c r="AJ51" s="244"/>
      <c r="AK51" s="244"/>
      <c r="AL51" s="244"/>
      <c r="AM51" s="244"/>
      <c r="AN51" s="244"/>
      <c r="AO51" s="244"/>
      <c r="AP51" s="244"/>
      <c r="AQ51" s="244"/>
      <c r="AR51" s="244"/>
      <c r="AS51" s="244"/>
      <c r="AT51" s="244"/>
      <c r="AU51" s="244"/>
      <c r="AV51" s="244"/>
    </row>
    <row r="52">
      <c r="A52" s="244"/>
      <c r="B52" s="244"/>
      <c r="C52" s="244"/>
      <c r="D52" s="244"/>
      <c r="E52" s="244"/>
      <c r="F52" s="244"/>
      <c r="G52" s="244"/>
      <c r="H52" s="244"/>
      <c r="I52" s="244"/>
      <c r="J52" s="244"/>
      <c r="K52" s="244"/>
      <c r="L52" s="244"/>
      <c r="M52" s="244"/>
      <c r="N52" s="244"/>
      <c r="O52" s="244"/>
      <c r="P52" s="244"/>
      <c r="Q52" s="244"/>
      <c r="R52" s="244"/>
      <c r="S52" s="244"/>
      <c r="T52" s="244"/>
      <c r="U52" s="244"/>
      <c r="V52" s="244"/>
      <c r="W52" s="244"/>
      <c r="X52" s="244"/>
      <c r="Y52" s="244"/>
      <c r="Z52" s="244"/>
      <c r="AA52" s="244"/>
      <c r="AB52" s="244"/>
      <c r="AC52" s="244"/>
      <c r="AD52" s="244"/>
      <c r="AE52" s="244"/>
      <c r="AF52" s="244"/>
      <c r="AG52" s="244"/>
      <c r="AH52" s="244"/>
      <c r="AI52" s="244"/>
      <c r="AJ52" s="244"/>
      <c r="AK52" s="244"/>
      <c r="AL52" s="244"/>
      <c r="AM52" s="244"/>
      <c r="AN52" s="244"/>
      <c r="AO52" s="244"/>
      <c r="AP52" s="244"/>
      <c r="AQ52" s="244"/>
      <c r="AR52" s="244"/>
      <c r="AS52" s="244"/>
      <c r="AT52" s="244"/>
      <c r="AU52" s="244"/>
      <c r="AV52" s="244"/>
    </row>
    <row r="53">
      <c r="A53" s="244"/>
      <c r="B53" s="244"/>
      <c r="C53" s="244"/>
      <c r="D53" s="244"/>
      <c r="E53" s="244"/>
      <c r="F53" s="244"/>
      <c r="G53" s="244"/>
      <c r="H53" s="244"/>
      <c r="I53" s="244"/>
      <c r="J53" s="244"/>
      <c r="K53" s="244"/>
      <c r="L53" s="244"/>
      <c r="M53" s="244"/>
      <c r="N53" s="244"/>
      <c r="O53" s="244"/>
      <c r="P53" s="244"/>
      <c r="Q53" s="244"/>
      <c r="R53" s="244"/>
      <c r="S53" s="244"/>
      <c r="T53" s="244"/>
      <c r="U53" s="244"/>
      <c r="V53" s="244"/>
      <c r="W53" s="244"/>
      <c r="X53" s="244"/>
      <c r="Y53" s="244"/>
      <c r="Z53" s="244"/>
      <c r="AA53" s="244"/>
      <c r="AB53" s="244"/>
      <c r="AC53" s="244"/>
      <c r="AD53" s="244"/>
      <c r="AE53" s="244"/>
      <c r="AF53" s="244"/>
      <c r="AG53" s="244"/>
      <c r="AH53" s="244"/>
      <c r="AI53" s="244"/>
      <c r="AJ53" s="244"/>
      <c r="AK53" s="244"/>
      <c r="AL53" s="244"/>
      <c r="AM53" s="244"/>
      <c r="AN53" s="244"/>
      <c r="AO53" s="244"/>
      <c r="AP53" s="244"/>
      <c r="AQ53" s="244"/>
      <c r="AR53" s="244"/>
      <c r="AS53" s="244"/>
      <c r="AT53" s="244"/>
      <c r="AU53" s="244"/>
      <c r="AV53" s="244"/>
    </row>
    <row r="54">
      <c r="A54" s="244"/>
      <c r="B54" s="244"/>
      <c r="C54" s="244"/>
      <c r="D54" s="244"/>
      <c r="E54" s="244"/>
      <c r="F54" s="244"/>
      <c r="G54" s="244"/>
      <c r="H54" s="244"/>
      <c r="I54" s="244"/>
      <c r="J54" s="244"/>
      <c r="K54" s="244"/>
      <c r="L54" s="244"/>
      <c r="M54" s="244"/>
      <c r="N54" s="244"/>
      <c r="O54" s="244"/>
      <c r="P54" s="244"/>
      <c r="Q54" s="244"/>
      <c r="R54" s="244"/>
      <c r="S54" s="244"/>
      <c r="T54" s="244"/>
      <c r="U54" s="244"/>
      <c r="V54" s="244"/>
      <c r="W54" s="244"/>
      <c r="X54" s="244"/>
      <c r="Y54" s="244"/>
      <c r="Z54" s="244"/>
      <c r="AA54" s="244"/>
      <c r="AB54" s="244"/>
      <c r="AC54" s="244"/>
      <c r="AD54" s="244"/>
      <c r="AE54" s="244"/>
      <c r="AF54" s="244"/>
      <c r="AG54" s="244"/>
      <c r="AH54" s="244"/>
      <c r="AI54" s="244"/>
      <c r="AJ54" s="244"/>
      <c r="AK54" s="244"/>
      <c r="AL54" s="244"/>
      <c r="AM54" s="244"/>
      <c r="AN54" s="244"/>
      <c r="AO54" s="244"/>
      <c r="AP54" s="244"/>
      <c r="AQ54" s="244"/>
      <c r="AR54" s="244"/>
      <c r="AS54" s="244"/>
      <c r="AT54" s="244"/>
      <c r="AU54" s="244"/>
      <c r="AV54" s="244"/>
    </row>
    <row r="55">
      <c r="A55" s="244"/>
      <c r="B55" s="244"/>
      <c r="C55" s="244"/>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row>
    <row r="56">
      <c r="A56" s="244"/>
      <c r="B56" s="244"/>
      <c r="C56" s="244"/>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row>
    <row r="57">
      <c r="A57" s="244"/>
      <c r="B57" s="244"/>
      <c r="C57" s="244"/>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row>
    <row r="58">
      <c r="A58" s="244"/>
      <c r="B58" s="244"/>
      <c r="C58" s="244"/>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row>
    <row r="70">
      <c r="A70" s="244"/>
      <c r="B70" s="244"/>
      <c r="C70" s="244"/>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row>
    <row r="71">
      <c r="A71" s="244"/>
      <c r="B71" s="244"/>
      <c r="C71" s="244"/>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row>
    <row r="72">
      <c r="A72" s="244"/>
      <c r="B72" s="244"/>
      <c r="C72" s="244"/>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row>
    <row r="73">
      <c r="A73" s="244"/>
      <c r="B73" s="244"/>
      <c r="C73" s="244"/>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row>
    <row r="74">
      <c r="A74" s="244"/>
      <c r="B74" s="244"/>
      <c r="C74" s="244"/>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row>
    <row r="75">
      <c r="A75" s="244"/>
      <c r="B75" s="244"/>
      <c r="C75" s="244"/>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row>
    <row r="76">
      <c r="A76" s="244"/>
      <c r="B76" s="244"/>
      <c r="C76" s="244"/>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row>
    <row r="77">
      <c r="A77" s="244"/>
      <c r="B77" s="244"/>
      <c r="C77" s="244"/>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row>
    <row r="78">
      <c r="A78" s="244"/>
      <c r="B78" s="244"/>
      <c r="C78" s="244"/>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row>
    <row r="79">
      <c r="A79" s="244"/>
      <c r="B79" s="244"/>
      <c r="C79" s="244"/>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row>
  </sheetData>
  <mergeCells count="11">
    <mergeCell ref="B40:S40"/>
    <mergeCell ref="D25:F25"/>
    <mergeCell ref="H25:J25"/>
    <mergeCell ref="L25:N25"/>
    <mergeCell ref="P25:R25"/>
    <mergeCell ref="B6:S6"/>
    <mergeCell ref="B23:S23"/>
    <mergeCell ref="D8:F8"/>
    <mergeCell ref="H8:J8"/>
    <mergeCell ref="L8:N8"/>
    <mergeCell ref="P8:R8"/>
  </mergeCells>
  <phoneticPr fontId="0" type="noConversion"/>
  <printOptions horizontalCentered="1" verticalCentered="1"/>
  <pageMargins left="0.25" right="0.25" top="0.3" bottom="0.3" header="0" footer="0"/>
  <pageSetup scale="89" orientation="landscape" r:id="rId1"/>
  <headerFooter alignWithMargins="0">
    <oddHeader/>
    <oddFooter/>
  </headerFooter>
  <drawing r:id="rId33"/>
</worksheet>
</file>

<file path=xl/worksheets/sheet6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5">
    <pageSetUpPr fitToPage="1"/>
  </sheetPr>
  <dimension ref="A1:BM103"/>
  <sheetViews>
    <sheetView showGridLines="0" zoomScale="65" zoomScaleNormal="75" workbookViewId="0"/>
  </sheetViews>
  <sheetFormatPr defaultRowHeight="12.75"/>
  <cols>
    <col min="1" max="1" width="1" customWidth="1"/>
    <col min="2" max="2" width="20.28515625" customWidth="1"/>
    <col min="3" max="33" width="8.28515625" customWidth="1"/>
    <col min="34" max="34" width="1.7109375" customWidth="1"/>
    <col min="35" max="37" width="8.28515625" customWidth="1"/>
    <col min="38" max="38" width="3.7109375" customWidth="1"/>
    <col min="39" max="40" width="9.28515625" customWidth="1"/>
  </cols>
  <sheetData>
    <row r="1" ht="36" customHeight="1">
      <c r="A1" s="6"/>
      <c r="B1" s="39" t="s">
        <v>144</v>
      </c>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c r="BL1" s="244"/>
      <c r="BM1" s="244"/>
    </row>
    <row r="2" ht="15" customHeight="1">
      <c r="A2" s="5"/>
      <c r="B2" s="10" t="s">
        <v>168</v>
      </c>
      <c r="AD2" s="9"/>
      <c r="AE2" s="9"/>
      <c r="AF2" s="216"/>
      <c r="AG2" s="176"/>
      <c r="AI2" s="216"/>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c r="BL2" s="244"/>
      <c r="BM2" s="244"/>
    </row>
    <row r="3" ht="15" customHeight="1">
      <c r="A3" s="5"/>
      <c r="B3" s="10" t="s">
        <v>181</v>
      </c>
      <c r="AF3" s="176"/>
      <c r="AG3" s="176"/>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c r="BL3" s="244"/>
      <c r="BM3" s="244"/>
    </row>
    <row r="4" ht="15" customHeight="1">
      <c r="A4" s="5"/>
      <c r="B4" s="4" t="s">
        <v>182</v>
      </c>
      <c r="T4" s="655"/>
      <c r="U4" s="655"/>
      <c r="V4" s="655"/>
      <c r="W4" s="655"/>
      <c r="X4" s="655"/>
      <c r="Y4" s="655"/>
      <c r="Z4" s="655"/>
      <c r="AA4" s="655"/>
      <c r="AB4" s="655"/>
      <c r="AC4" s="655"/>
      <c r="AD4" s="655"/>
      <c r="AE4" s="655"/>
      <c r="AF4" s="655"/>
      <c r="AG4" s="655"/>
      <c r="AH4" s="655"/>
      <c r="AI4" s="655"/>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c r="BL4" s="244"/>
      <c r="BM4" s="244"/>
    </row>
    <row r="5" ht="24" customHeight="1">
      <c r="A5" s="5"/>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c r="BL5" s="244"/>
      <c r="BM5" s="244"/>
    </row>
    <row r="6" ht="24" customHeight="1">
      <c r="A6" s="5"/>
      <c r="B6" t="s">
        <v>167</v>
      </c>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c r="BL6" s="244"/>
      <c r="BM6" s="244"/>
    </row>
    <row r="7" ht="24" customHeight="1">
      <c r="A7" s="5"/>
      <c r="Y7" s="26"/>
      <c r="Z7" s="26"/>
      <c r="AA7" s="26"/>
      <c r="AB7" s="26"/>
      <c r="AC7" s="26"/>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c r="BL7" s="244"/>
      <c r="BM7" s="244"/>
    </row>
    <row r="8" ht="24" customHeight="1">
      <c r="A8" s="5"/>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c r="BL8" s="244"/>
      <c r="BM8" s="244"/>
    </row>
    <row r="9" ht="24" customHeight="1">
      <c r="A9" s="5"/>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c r="BL9" s="244"/>
      <c r="BM9" s="244"/>
    </row>
    <row r="10" ht="24" customHeight="1">
      <c r="A10" s="5"/>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c r="BL10" s="244"/>
      <c r="BM10" s="244"/>
    </row>
    <row r="11" ht="24" customHeight="1">
      <c r="A11" s="5"/>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c r="BL11" s="244"/>
      <c r="BM11" s="244"/>
    </row>
    <row r="12" ht="24" customHeight="1">
      <c r="A12" s="5"/>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c r="BL12" s="244"/>
      <c r="BM12" s="244"/>
    </row>
    <row r="13" ht="24" customHeight="1">
      <c r="A13" s="5"/>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c r="BL13" s="244"/>
      <c r="BM13" s="244"/>
    </row>
    <row r="14" ht="24" customHeight="1">
      <c r="A14" s="5"/>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c r="BL14" s="244"/>
      <c r="BM14" s="244"/>
    </row>
    <row r="15" ht="24" customHeight="1">
      <c r="A15" s="5"/>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c r="BL15" s="244"/>
      <c r="BM15" s="244"/>
    </row>
    <row r="16" ht="24" customHeight="1">
      <c r="A16" s="5"/>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c r="BL16" s="244"/>
      <c r="BM16" s="244"/>
    </row>
    <row r="17" ht="24" customHeight="1">
      <c r="A17" s="5"/>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c r="BL17" s="244"/>
      <c r="BM17" s="244"/>
    </row>
    <row r="18" ht="24" customHeight="1">
      <c r="A18" s="5"/>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c r="BL18" s="244"/>
      <c r="BM18" s="244"/>
    </row>
    <row r="19" ht="15" customHeight="1">
      <c r="A19" s="5"/>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c r="BL19" s="244"/>
      <c r="BM19" s="244"/>
    </row>
    <row r="20" ht="15" customHeight="1">
      <c r="A20" s="5"/>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c r="BL20" s="244"/>
      <c r="BM20" s="244"/>
    </row>
    <row r="21" ht="30.75" customHeight="1">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c r="BL21" s="244"/>
      <c r="BM21" s="244"/>
    </row>
    <row r="22" ht="18" customHeight="1">
      <c r="A22" s="8"/>
      <c r="B22" s="29"/>
      <c r="X22" s="656"/>
      <c r="Y22" s="656"/>
      <c r="Z22" s="656"/>
      <c r="AA22" s="656"/>
      <c r="AB22" s="656"/>
      <c r="AC22" s="656"/>
      <c r="AD22" s="656"/>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c r="BL22" s="244"/>
      <c r="BM22" s="244"/>
    </row>
    <row r="23" s="21" customFormat="1" ht="16.5">
      <c r="C23" s="50" t="s">
        <v>51</v>
      </c>
      <c r="D23" s="50" t="s">
        <v>52</v>
      </c>
      <c r="E23" s="50" t="s">
        <v>53</v>
      </c>
      <c r="F23" s="50" t="s">
        <v>49</v>
      </c>
      <c r="G23" s="50" t="s">
        <v>47</v>
      </c>
      <c r="H23" s="50" t="s">
        <v>48</v>
      </c>
      <c r="I23" s="50" t="s">
        <v>50</v>
      </c>
      <c r="J23" s="50" t="s">
        <v>51</v>
      </c>
      <c r="K23" s="50" t="s">
        <v>52</v>
      </c>
      <c r="L23" s="50" t="s">
        <v>53</v>
      </c>
      <c r="M23" s="50" t="s">
        <v>49</v>
      </c>
      <c r="N23" s="50" t="s">
        <v>47</v>
      </c>
      <c r="O23" s="50" t="s">
        <v>48</v>
      </c>
      <c r="P23" s="50" t="s">
        <v>50</v>
      </c>
      <c r="Q23" s="50" t="s">
        <v>51</v>
      </c>
      <c r="R23" s="50" t="s">
        <v>52</v>
      </c>
      <c r="S23" s="50" t="s">
        <v>53</v>
      </c>
      <c r="T23" s="50" t="s">
        <v>49</v>
      </c>
      <c r="U23" s="50" t="s">
        <v>47</v>
      </c>
      <c r="V23" s="50" t="s">
        <v>48</v>
      </c>
      <c r="W23" s="50" t="s">
        <v>50</v>
      </c>
      <c r="X23" s="50" t="s">
        <v>51</v>
      </c>
      <c r="Y23" s="50" t="s">
        <v>52</v>
      </c>
      <c r="Z23" s="50" t="s">
        <v>53</v>
      </c>
      <c r="AA23" s="50" t="s">
        <v>49</v>
      </c>
      <c r="AB23" s="50" t="s">
        <v>47</v>
      </c>
      <c r="AC23" s="50" t="s">
        <v>48</v>
      </c>
      <c r="AD23" s="50" t="s">
        <v>50</v>
      </c>
      <c r="AE23" s="50" t="s">
        <v>51</v>
      </c>
      <c r="AF23" s="50" t="s">
        <v>52</v>
      </c>
      <c r="AG23" s="50" t="s">
        <v>53</v>
      </c>
      <c r="AH23" s="0"/>
      <c r="AJ23" s="0"/>
      <c r="AK23" s="0"/>
      <c r="AL23" s="0"/>
      <c r="AM23" s="244"/>
      <c r="AN23" s="244"/>
      <c r="AO23" s="246"/>
      <c r="AP23" s="246"/>
      <c r="AQ23" s="246"/>
      <c r="AR23" s="246"/>
      <c r="AS23" s="246"/>
      <c r="AT23" s="246"/>
      <c r="AU23" s="246"/>
      <c r="AV23" s="246"/>
      <c r="AW23" s="246"/>
      <c r="AX23" s="246"/>
      <c r="AY23" s="246"/>
      <c r="AZ23" s="246"/>
      <c r="BA23" s="246"/>
      <c r="BB23" s="246"/>
      <c r="BC23" s="246"/>
      <c r="BD23" s="246"/>
      <c r="BE23" s="246"/>
      <c r="BF23" s="246"/>
      <c r="BG23" s="246"/>
      <c r="BH23" s="246"/>
      <c r="BI23" s="246"/>
      <c r="BJ23" s="246"/>
      <c r="BK23" s="246"/>
      <c r="BL23" s="246"/>
      <c r="BM23" s="246"/>
    </row>
    <row r="24" s="41" customFormat="1" ht="18">
      <c r="B24" s="615" t="s">
        <v>54</v>
      </c>
      <c r="C24" s="275" t="s">
        <v>183</v>
      </c>
      <c r="D24" s="276"/>
      <c r="E24" s="276"/>
      <c r="F24" s="276"/>
      <c r="G24" s="276"/>
      <c r="H24" s="276"/>
      <c r="I24" s="276"/>
      <c r="J24" s="276"/>
      <c r="K24" s="276"/>
      <c r="L24" s="276"/>
      <c r="M24" s="276"/>
      <c r="N24" s="276"/>
      <c r="O24" s="276"/>
      <c r="P24" s="276"/>
      <c r="Q24" s="276"/>
      <c r="R24" s="276"/>
      <c r="S24" s="277"/>
      <c r="T24" s="277"/>
      <c r="U24" s="277"/>
      <c r="V24" s="277"/>
      <c r="W24" s="277"/>
      <c r="X24" s="277"/>
      <c r="Y24" s="277"/>
      <c r="Z24" s="277"/>
      <c r="AA24" s="277"/>
      <c r="AB24" s="277"/>
      <c r="AC24" s="277"/>
      <c r="AD24" s="277"/>
      <c r="AE24" s="277"/>
      <c r="AF24" s="277"/>
      <c r="AG24" s="278"/>
      <c r="AH24" s="25"/>
      <c r="AI24" s="307" t="s">
        <v>59</v>
      </c>
      <c r="AJ24" s="307" t="s">
        <v>31</v>
      </c>
      <c r="AK24" s="307" t="s">
        <v>31</v>
      </c>
      <c r="AL24" s="25"/>
      <c r="AM24" s="248"/>
      <c r="AN24" s="248"/>
      <c r="AO24" s="253"/>
      <c r="AP24" s="253"/>
      <c r="AQ24" s="253"/>
      <c r="AR24" s="253"/>
      <c r="AS24" s="253"/>
      <c r="AT24" s="253"/>
      <c r="AU24" s="253"/>
      <c r="AV24" s="253"/>
      <c r="AW24" s="253"/>
      <c r="AX24" s="253"/>
      <c r="AY24" s="253"/>
      <c r="AZ24" s="253"/>
      <c r="BA24" s="253"/>
      <c r="BB24" s="253"/>
      <c r="BC24" s="253"/>
      <c r="BD24" s="253"/>
      <c r="BE24" s="253"/>
      <c r="BF24" s="253"/>
      <c r="BG24" s="253"/>
      <c r="BH24" s="253"/>
      <c r="BI24" s="253"/>
      <c r="BJ24" s="253"/>
      <c r="BK24" s="253"/>
      <c r="BL24" s="253"/>
      <c r="BM24" s="253"/>
    </row>
    <row r="25" s="42" customFormat="1">
      <c r="B25" s="615"/>
      <c r="C25" s="284">
        <v>1</v>
      </c>
      <c r="D25">
        <v>2</v>
      </c>
      <c r="E25">
        <v>3</v>
      </c>
      <c r="F25">
        <v>4</v>
      </c>
      <c r="G25">
        <v>5</v>
      </c>
      <c r="H25">
        <v>6</v>
      </c>
      <c r="I25">
        <v>7</v>
      </c>
      <c r="J25">
        <v>8</v>
      </c>
      <c r="K25">
        <v>9</v>
      </c>
      <c r="L25">
        <v>10</v>
      </c>
      <c r="M25">
        <v>11</v>
      </c>
      <c r="N25">
        <v>12</v>
      </c>
      <c r="O25">
        <v>13</v>
      </c>
      <c r="P25">
        <v>14</v>
      </c>
      <c r="Q25">
        <v>15</v>
      </c>
      <c r="R25">
        <v>16</v>
      </c>
      <c r="S25">
        <v>17</v>
      </c>
      <c r="T25">
        <v>18</v>
      </c>
      <c r="U25">
        <v>19</v>
      </c>
      <c r="V25">
        <v>20</v>
      </c>
      <c r="W25">
        <v>21</v>
      </c>
      <c r="X25">
        <v>22</v>
      </c>
      <c r="Y25">
        <v>23</v>
      </c>
      <c r="Z25">
        <v>24</v>
      </c>
      <c r="AA25">
        <v>25</v>
      </c>
      <c r="AB25">
        <v>26</v>
      </c>
      <c r="AC25">
        <v>27</v>
      </c>
      <c r="AD25">
        <v>28</v>
      </c>
      <c r="AE25">
        <v>29</v>
      </c>
      <c r="AF25">
        <v>30</v>
      </c>
      <c r="AG25" s="285">
        <v>31</v>
      </c>
      <c r="AH25" s="25"/>
      <c r="AI25" s="308" t="s">
        <v>31</v>
      </c>
      <c r="AJ25" s="308" t="s">
        <v>88</v>
      </c>
      <c r="AK25" s="308" t="s">
        <v>89</v>
      </c>
      <c r="AL25" s="25"/>
      <c r="AM25" s="248"/>
      <c r="AN25" s="248"/>
      <c r="AO25" s="254"/>
      <c r="AP25" s="254"/>
      <c r="AQ25" s="254"/>
      <c r="AR25" s="254"/>
      <c r="AS25" s="254"/>
      <c r="AT25" s="254"/>
      <c r="AU25" s="254"/>
      <c r="AV25" s="254"/>
      <c r="AW25" s="254"/>
      <c r="AX25" s="254"/>
      <c r="AY25" s="254"/>
      <c r="AZ25" s="254"/>
      <c r="BA25" s="254"/>
      <c r="BB25" s="254"/>
      <c r="BC25" s="254"/>
      <c r="BD25" s="254"/>
      <c r="BE25" s="254"/>
      <c r="BF25" s="254"/>
      <c r="BG25" s="254"/>
      <c r="BH25" s="254"/>
      <c r="BI25" s="254"/>
      <c r="BJ25" s="254"/>
      <c r="BK25" s="254"/>
      <c r="BL25" s="254"/>
      <c r="BM25" s="254"/>
    </row>
    <row r="26" ht="14.25">
      <c r="B26" s="404" t="s">
        <v>32</v>
      </c>
      <c r="C26" s="286">
        <v>93.93939393939393939393939394</v>
      </c>
      <c r="D26" s="287">
        <v>96.96969696969696969696969697</v>
      </c>
      <c r="E26" s="287">
        <v>99.24242424242424242424242424</v>
      </c>
      <c r="F26" s="287">
        <v>97.72727272727272727272727273</v>
      </c>
      <c r="G26" s="287">
        <v>64.393939393939393939393939390</v>
      </c>
      <c r="H26" s="287">
        <v>51.515151515151515151515151520</v>
      </c>
      <c r="I26" s="287">
        <v>82.57575757575757575757575758</v>
      </c>
      <c r="J26" s="287">
        <v>85.60606060606060606060606061</v>
      </c>
      <c r="K26" s="287">
        <v>79.54545454545454545454545455</v>
      </c>
      <c r="L26" s="287">
        <v>85.60606060606060606060606061</v>
      </c>
      <c r="M26" s="287">
        <v>58.333333333333333333333333330</v>
      </c>
      <c r="N26" s="287">
        <v>63.636363636363636363636363640</v>
      </c>
      <c r="O26" s="287">
        <v>69.696969696969696969696969700</v>
      </c>
      <c r="P26" s="287">
        <v>71.212121212121212121212121210</v>
      </c>
      <c r="Q26" s="287">
        <v>81.06060606060606060606060606</v>
      </c>
      <c r="R26" s="287">
        <v>86.36363636363636363636363636</v>
      </c>
      <c r="S26" s="287">
        <v>96.21212121212121212121212121</v>
      </c>
      <c r="T26" s="287">
        <v>89.39393939393939393939393939</v>
      </c>
      <c r="U26" s="287">
        <v>90.15151515151515151515151515</v>
      </c>
      <c r="V26" s="287">
        <v>89.39393939393939393939393939</v>
      </c>
      <c r="W26" s="287">
        <v>95.45454545454545454545454545</v>
      </c>
      <c r="X26" s="287">
        <v>95.45454545454545454545454545</v>
      </c>
      <c r="Y26" s="287">
        <v>73.484848484848484848484848480</v>
      </c>
      <c r="Z26" s="287">
        <v>90.90909090909090909090909091</v>
      </c>
      <c r="AA26" s="287"/>
      <c r="AB26" s="287"/>
      <c r="AC26" s="287"/>
      <c r="AD26" s="287"/>
      <c r="AE26" s="287"/>
      <c r="AF26" s="287"/>
      <c r="AG26" s="288"/>
      <c r="AH26" s="218"/>
      <c r="AI26" s="302">
        <v>82.82828282828282828282828283</v>
      </c>
      <c r="AJ26" s="302">
        <v>79.97159090909090909090909091</v>
      </c>
      <c r="AK26" s="302">
        <v>88.54166666666666666666666667</v>
      </c>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c r="BL26" s="244"/>
      <c r="BM26" s="244"/>
    </row>
    <row r="27" ht="14.25">
      <c r="B27" s="201" t="s">
        <v>26</v>
      </c>
      <c r="C27" s="289">
        <v>91.38431752178121974830590513</v>
      </c>
      <c r="D27" s="202">
        <v>96.61181026137463697967086157</v>
      </c>
      <c r="E27" s="202">
        <v>98.83833494675701839303000968</v>
      </c>
      <c r="F27" s="202">
        <v>84.41432720232333010648596321</v>
      </c>
      <c r="G27" s="202">
        <v>74.733785091965150048402710550</v>
      </c>
      <c r="H27" s="202">
        <v>78.218780251694094869312681510</v>
      </c>
      <c r="I27" s="202">
        <v>79.57405614714424007744433688</v>
      </c>
      <c r="J27" s="202">
        <v>84.60793804453049370764762827</v>
      </c>
      <c r="K27" s="202">
        <v>85.47918683446272991287512101</v>
      </c>
      <c r="L27" s="202">
        <v>82.76863504356243949661181026</v>
      </c>
      <c r="M27" s="202">
        <v>65.44046466602129719264278800</v>
      </c>
      <c r="N27" s="202">
        <v>65.343659244917715392061955470</v>
      </c>
      <c r="O27" s="202">
        <v>75.508228460793804453049370760</v>
      </c>
      <c r="P27" s="202">
        <v>76.766698935140367860600193610</v>
      </c>
      <c r="Q27" s="202">
        <v>80.05808325266214908034849952</v>
      </c>
      <c r="R27" s="202">
        <v>90.22265246853823814133591481</v>
      </c>
      <c r="S27" s="202">
        <v>96.12778315585672797676669894</v>
      </c>
      <c r="T27" s="202">
        <v>89.25459825750242013552758955</v>
      </c>
      <c r="U27" s="202">
        <v>87.80251694094869312681510165</v>
      </c>
      <c r="V27" s="202">
        <v>85.09196515004840271055179090</v>
      </c>
      <c r="W27" s="202">
        <v>78.993223620522749273959341720</v>
      </c>
      <c r="X27" s="202">
        <v>81.60696999031945788964181994</v>
      </c>
      <c r="Y27" s="202">
        <v>85.67279767666989351403678606</v>
      </c>
      <c r="Z27" s="202">
        <v>97.47292418772563176895306859</v>
      </c>
      <c r="AA27" s="202"/>
      <c r="AB27" s="202"/>
      <c r="AC27" s="202"/>
      <c r="AD27" s="202"/>
      <c r="AE27" s="202"/>
      <c r="AF27" s="202"/>
      <c r="AG27" s="290"/>
      <c r="AH27" s="218"/>
      <c r="AI27" s="303">
        <v>83.83307238971928757733658115</v>
      </c>
      <c r="AJ27" s="303">
        <v>79.92497579864472410454985479</v>
      </c>
      <c r="AK27" s="303">
        <v>91.64926557186841452291003386</v>
      </c>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c r="BL27" s="244"/>
      <c r="BM27" s="244"/>
    </row>
    <row r="28" ht="14.25">
      <c r="A28" s="24"/>
      <c r="B28" s="49" t="s">
        <v>91</v>
      </c>
      <c r="C28" s="291">
        <v>102.79596815611652222046303743</v>
      </c>
      <c r="D28" s="292">
        <v>100.37043784536139543312045319</v>
      </c>
      <c r="E28" s="292">
        <v>100.40883863112601459342821184</v>
      </c>
      <c r="F28" s="292">
        <v>115.77095496250072026705646262</v>
      </c>
      <c r="G28" s="292">
        <v>86.16442926672069267468642479</v>
      </c>
      <c r="H28" s="292">
        <v>65.860336033598388206704334180</v>
      </c>
      <c r="I28" s="292">
        <v>103.77221116277980493683351332</v>
      </c>
      <c r="J28" s="292">
        <v>101.17970321063212547725104088</v>
      </c>
      <c r="K28" s="292">
        <v>93.05827241836774407663010529</v>
      </c>
      <c r="L28" s="292">
        <v>103.42814105967307127704667539</v>
      </c>
      <c r="M28" s="292">
        <v>89.13954635111382253480854789</v>
      </c>
      <c r="N28" s="292">
        <v>97.38720538723178995884774379</v>
      </c>
      <c r="O28" s="292">
        <v>92.30380730379973016157631605</v>
      </c>
      <c r="P28" s="292">
        <v>92.76433948569974129984572258</v>
      </c>
      <c r="Q28" s="292">
        <v>101.25224432958460819652689054</v>
      </c>
      <c r="R28" s="292">
        <v>95.72278579793366323686032206</v>
      </c>
      <c r="S28" s="292">
        <v>100.08773535959362830161770681</v>
      </c>
      <c r="T28" s="292">
        <v>100.15611647932960720423635860</v>
      </c>
      <c r="U28" s="292">
        <v>102.67531990249922513898839279</v>
      </c>
      <c r="V28" s="292">
        <v>105.05567621614553103242549733</v>
      </c>
      <c r="W28" s="292">
        <v>120.83890374335030844097332448</v>
      </c>
      <c r="X28" s="292">
        <v>116.96861857006994690128959610</v>
      </c>
      <c r="Y28" s="292">
        <v>85.77384009584385218555371869</v>
      </c>
      <c r="Z28" s="292">
        <v>93.26599326601779149519890906</v>
      </c>
      <c r="AA28" s="292"/>
      <c r="AB28" s="292"/>
      <c r="AC28" s="292"/>
      <c r="AD28" s="292"/>
      <c r="AE28" s="292"/>
      <c r="AF28" s="292"/>
      <c r="AG28" s="293"/>
      <c r="AH28" s="218"/>
      <c r="AI28" s="304">
        <v>98.80144013242603836200111017</v>
      </c>
      <c r="AJ28" s="304">
        <v>100.05832358411765152024824014</v>
      </c>
      <c r="AK28" s="304">
        <v>96.60924843658961679377423073</v>
      </c>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c r="BL28" s="244"/>
      <c r="BM28" s="244"/>
    </row>
    <row r="29" ht="12" customHeight="1">
      <c r="B29" s="0"/>
      <c r="AI29" s="22"/>
      <c r="AJ29" s="22"/>
      <c r="AK29" s="22"/>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c r="BL29" s="244"/>
      <c r="BM29" s="244"/>
    </row>
    <row r="30" ht="18">
      <c r="B30" s="29" t="s">
        <v>87</v>
      </c>
      <c r="AI30" s="22"/>
      <c r="AJ30" s="22"/>
      <c r="AK30" s="22"/>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c r="BL30" s="244"/>
      <c r="BM30" s="244"/>
    </row>
    <row r="31" ht="14.25">
      <c r="B31" s="46" t="s">
        <v>32</v>
      </c>
      <c r="C31" s="286">
        <v>5.0847457627581729388107069900</v>
      </c>
      <c r="D31" s="287">
        <v>1.5873015873499622071050872800</v>
      </c>
      <c r="E31" s="287">
        <v>3.9682539683034769463341127600</v>
      </c>
      <c r="F31" s="287">
        <v>8.403361344556034178377236310</v>
      </c>
      <c r="G31" s="287">
        <v>-16.666666666637254901960773940</v>
      </c>
      <c r="H31" s="287">
        <v>-39.285714285725127551020406220</v>
      </c>
      <c r="I31" s="287">
        <v>-6.0344827586336504161712229400</v>
      </c>
      <c r="J31" s="287">
        <v>-2.5862068965651605231866806600</v>
      </c>
      <c r="K31" s="287">
        <v>-17.968750000002563476562499920</v>
      </c>
      <c r="L31" s="287">
        <v>0.892857142839126275510207300</v>
      </c>
      <c r="M31" s="287">
        <v>-16.304347826123345935727772460</v>
      </c>
      <c r="N31" s="287">
        <v>-20.000000000045714285714259590</v>
      </c>
      <c r="O31" s="287">
        <v>-15.596330275272721151418208510</v>
      </c>
      <c r="P31" s="287">
        <v>-13.761467889952562915579473920</v>
      </c>
      <c r="Q31" s="287">
        <v>3.8834951456351022716561411700</v>
      </c>
      <c r="R31" s="287">
        <v>2.7027027027138056975894825700</v>
      </c>
      <c r="S31" s="287">
        <v>16.513761467830047975759646950</v>
      </c>
      <c r="T31" s="287">
        <v>8.256880733889335914485341250</v>
      </c>
      <c r="U31" s="287">
        <v>1.7094017093599824676747924800</v>
      </c>
      <c r="V31" s="287">
        <v>12.380952380888163265306159140</v>
      </c>
      <c r="W31" s="287">
        <v>4.1322314049208114199849874700</v>
      </c>
      <c r="X31" s="287">
        <v>5.8823529411942659416707889500</v>
      </c>
      <c r="Y31" s="287">
        <v>-17.09401709405110672802979100</v>
      </c>
      <c r="Z31" s="287">
        <v>-2.4390243902248661511005316800</v>
      </c>
      <c r="AA31" s="287"/>
      <c r="AB31" s="287"/>
      <c r="AC31" s="287"/>
      <c r="AD31" s="287"/>
      <c r="AE31" s="287"/>
      <c r="AF31" s="287"/>
      <c r="AG31" s="288"/>
      <c r="AH31" s="218"/>
      <c r="AI31" s="302">
        <v>-3.7064220183327928356198947100</v>
      </c>
      <c r="AJ31" s="302">
        <v>-5.3500791138952962265662466700</v>
      </c>
      <c r="AK31" s="302">
        <v>-1.3118214716364033868759258700</v>
      </c>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c r="BK31" s="244"/>
      <c r="BL31" s="244"/>
      <c r="BM31" s="244"/>
    </row>
    <row r="32" ht="14.25">
      <c r="B32" s="201" t="s">
        <v>26</v>
      </c>
      <c r="C32" s="289">
        <v>7.762557077673424240528784200</v>
      </c>
      <c r="D32" s="202">
        <v>0.1003009026781043229990965400</v>
      </c>
      <c r="E32" s="202">
        <v>4.6106557377003091616836873800</v>
      </c>
      <c r="F32" s="202">
        <v>-7.1352502662781637275283073300</v>
      </c>
      <c r="G32" s="202">
        <v>-8.095238095228248299319726840</v>
      </c>
      <c r="H32" s="202">
        <v>-4.3786982248209516473512730900</v>
      </c>
      <c r="I32" s="202">
        <v>-2.8368794325882802675921602200</v>
      </c>
      <c r="J32" s="202">
        <v>12.339331619517348550432527770</v>
      </c>
      <c r="K32" s="202">
        <v>-1.6703786191350600939479431600</v>
      </c>
      <c r="L32" s="202">
        <v>-9.139213602579928310150067080</v>
      </c>
      <c r="M32" s="202">
        <v>-14.646464646423694010815203280</v>
      </c>
      <c r="N32" s="202">
        <v>-15.625000000037652343749983200</v>
      </c>
      <c r="O32" s="202">
        <v>-10.344827586189686880697578950</v>
      </c>
      <c r="P32" s="202">
        <v>-4.687500000023599008413455700</v>
      </c>
      <c r="Q32" s="202">
        <v>-6.6591422122184823871713906700</v>
      </c>
      <c r="R32" s="202">
        <v>0.2150537634754505723205114200</v>
      </c>
      <c r="S32" s="202">
        <v>2.5826446280632484333378993400</v>
      </c>
      <c r="T32" s="202">
        <v>5.4919908467199427655797674900</v>
      </c>
      <c r="U32" s="202">
        <v>8.622754491005605794399226910</v>
      </c>
      <c r="V32" s="202">
        <v>12.548015364912882462977141300</v>
      </c>
      <c r="W32" s="202">
        <v>18.089725036135358684429344540</v>
      </c>
      <c r="X32" s="202">
        <v>10.629921259886510323020663530</v>
      </c>
      <c r="Y32" s="202">
        <v>1.9585253456330439433838063100</v>
      </c>
      <c r="Z32" s="202">
        <v>5.5445814318020476558286341900</v>
      </c>
      <c r="AA32" s="202"/>
      <c r="AB32" s="202"/>
      <c r="AC32" s="202"/>
      <c r="AD32" s="202"/>
      <c r="AE32" s="202"/>
      <c r="AF32" s="202"/>
      <c r="AG32" s="290"/>
      <c r="AH32" s="218"/>
      <c r="AI32" s="303">
        <v>0.9711198350767311582391054700</v>
      </c>
      <c r="AJ32" s="303">
        <v>0.2115164929069664250117750500</v>
      </c>
      <c r="AK32" s="303">
        <v>0.7473151946409469364010850400</v>
      </c>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c r="BK32" s="244"/>
      <c r="BL32" s="244"/>
      <c r="BM32" s="244"/>
    </row>
    <row r="33" ht="14.25">
      <c r="A33" s="24"/>
      <c r="B33" s="49" t="s">
        <v>91</v>
      </c>
      <c r="C33" s="291">
        <v>-2.484918127037082506647997600</v>
      </c>
      <c r="D33" s="292">
        <v>1.4855107039742018833236283800</v>
      </c>
      <c r="E33" s="292">
        <v>-0.6140882732377224030514194200</v>
      </c>
      <c r="F33" s="292">
        <v>16.732518695586574113207105800</v>
      </c>
      <c r="G33" s="292">
        <v>-9.326424870550324119289381200</v>
      </c>
      <c r="H33" s="292">
        <v>-36.505480905255669899503345100</v>
      </c>
      <c r="I33" s="292">
        <v>-3.2909640070687196869757965900</v>
      </c>
      <c r="J33" s="292">
        <v>-13.286120097790223326596087610</v>
      </c>
      <c r="K33" s="292">
        <v>-16.575240656920688799842659870</v>
      </c>
      <c r="L33" s="292">
        <v>11.041144527935163870990114130</v>
      </c>
      <c r="M33" s="292">
        <v>-1.9423720092285074781076023400</v>
      </c>
      <c r="N33" s="292">
        <v>-5.185185185142696131482349100</v>
      </c>
      <c r="O33" s="292">
        <v>-5.8574453069682964194652496800</v>
      </c>
      <c r="P33" s="292">
        <v>-9.520228605736616791509715410</v>
      </c>
      <c r="Q33" s="292">
        <v>11.294772308393707604996401690</v>
      </c>
      <c r="R33" s="292">
        <v>2.4823106368146046020308760300</v>
      </c>
      <c r="S33" s="292">
        <v>13.580383787414494217383467040</v>
      </c>
      <c r="T33" s="292">
        <v>2.6209476805129470933177675900</v>
      </c>
      <c r="U33" s="292">
        <v>-6.3645530017497718102995819300</v>
      </c>
      <c r="V33" s="292">
        <v>-0.1484370767486981075018418500</v>
      </c>
      <c r="W33" s="292">
        <v>-11.819397180331310007141061630</v>
      </c>
      <c r="X33" s="292">
        <v>-4.2913962738252159714584673500</v>
      </c>
      <c r="Y33" s="292">
        <v>-18.686561398471753752049403800</v>
      </c>
      <c r="Z33" s="292">
        <v>-7.5642024571414917437198752200</v>
      </c>
      <c r="AA33" s="292"/>
      <c r="AB33" s="292"/>
      <c r="AC33" s="292"/>
      <c r="AD33" s="292"/>
      <c r="AE33" s="292"/>
      <c r="AF33" s="292"/>
      <c r="AG33" s="293"/>
      <c r="AH33" s="218"/>
      <c r="AI33" s="304">
        <v>-4.6325542006442235127573173100</v>
      </c>
      <c r="AJ33" s="304">
        <v>-5.5498567444028370151676504800</v>
      </c>
      <c r="AK33" s="304">
        <v>-2.0438625707865860324996466400</v>
      </c>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c r="BL33" s="244"/>
      <c r="BM33" s="244"/>
    </row>
    <row r="34" ht="13.5" customHeight="1">
      <c r="B34" s="176"/>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43"/>
      <c r="AF34" s="43"/>
      <c r="AG34" s="43"/>
      <c r="AI34" s="43"/>
      <c r="AJ34" s="43"/>
      <c r="AK34" s="43"/>
      <c r="AM34" s="244"/>
      <c r="AN34" s="244"/>
      <c r="AO34" s="244"/>
      <c r="AP34" s="244"/>
      <c r="AQ34" s="244"/>
      <c r="AR34" s="244"/>
      <c r="AS34" s="244"/>
      <c r="AT34" s="244"/>
      <c r="AU34" s="244"/>
      <c r="AV34" s="244"/>
      <c r="AW34" s="244"/>
      <c r="AX34" s="244"/>
      <c r="AY34" s="244"/>
      <c r="AZ34" s="244"/>
      <c r="BA34" s="244"/>
      <c r="BB34" s="244"/>
      <c r="BC34" s="244"/>
      <c r="BD34" s="244"/>
      <c r="BE34" s="244"/>
      <c r="BF34" s="244"/>
      <c r="BG34" s="244"/>
      <c r="BH34" s="244"/>
      <c r="BI34" s="244"/>
      <c r="BJ34" s="244"/>
      <c r="BK34" s="244"/>
      <c r="BL34" s="244"/>
      <c r="BM34" s="244"/>
    </row>
    <row r="35" ht="18" customHeight="1">
      <c r="A35" s="8"/>
      <c r="B35" s="29"/>
      <c r="X35" s="656"/>
      <c r="Y35" s="656"/>
      <c r="Z35" s="656"/>
      <c r="AA35" s="656"/>
      <c r="AB35" s="656"/>
      <c r="AC35" s="656"/>
      <c r="AD35" s="656"/>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c r="BL35" s="244"/>
      <c r="BM35" s="244"/>
    </row>
    <row r="36" s="41" customFormat="1" ht="18">
      <c r="B36" s="615" t="s">
        <v>12</v>
      </c>
      <c r="C36" s="275" t="s">
        <v>183</v>
      </c>
      <c r="D36" s="276"/>
      <c r="E36" s="276"/>
      <c r="F36" s="276"/>
      <c r="G36" s="276"/>
      <c r="H36" s="276"/>
      <c r="I36" s="276"/>
      <c r="J36" s="276"/>
      <c r="K36" s="276"/>
      <c r="L36" s="276"/>
      <c r="M36" s="276"/>
      <c r="N36" s="276"/>
      <c r="O36" s="276"/>
      <c r="P36" s="276"/>
      <c r="Q36" s="276"/>
      <c r="R36" s="276"/>
      <c r="S36" s="277"/>
      <c r="T36" s="277"/>
      <c r="U36" s="277"/>
      <c r="V36" s="277"/>
      <c r="W36" s="277"/>
      <c r="X36" s="277"/>
      <c r="Y36" s="277"/>
      <c r="Z36" s="277"/>
      <c r="AA36" s="277"/>
      <c r="AB36" s="277"/>
      <c r="AC36" s="277"/>
      <c r="AD36" s="277"/>
      <c r="AE36" s="277"/>
      <c r="AF36" s="277"/>
      <c r="AG36" s="278"/>
      <c r="AH36" s="25"/>
      <c r="AI36" s="307" t="s">
        <v>59</v>
      </c>
      <c r="AJ36" s="307" t="s">
        <v>31</v>
      </c>
      <c r="AK36" s="307" t="s">
        <v>31</v>
      </c>
      <c r="AL36" s="25"/>
      <c r="AM36" s="248"/>
      <c r="AN36" s="248"/>
      <c r="AO36" s="253"/>
      <c r="AP36" s="253"/>
      <c r="AQ36" s="253"/>
      <c r="AR36" s="253"/>
      <c r="AS36" s="253"/>
      <c r="AT36" s="253"/>
      <c r="AU36" s="253"/>
      <c r="AV36" s="253"/>
      <c r="AW36" s="253"/>
      <c r="AX36" s="253"/>
      <c r="AY36" s="253"/>
      <c r="AZ36" s="253"/>
      <c r="BA36" s="253"/>
      <c r="BB36" s="253"/>
      <c r="BC36" s="253"/>
      <c r="BD36" s="253"/>
      <c r="BE36" s="253"/>
      <c r="BF36" s="253"/>
      <c r="BG36" s="253"/>
      <c r="BH36" s="253"/>
      <c r="BI36" s="253"/>
      <c r="BJ36" s="253"/>
      <c r="BK36" s="253"/>
      <c r="BL36" s="253"/>
      <c r="BM36" s="253"/>
    </row>
    <row r="37" s="42" customFormat="1">
      <c r="B37" s="615"/>
      <c r="C37" s="279">
        <v>1</v>
      </c>
      <c r="D37" s="280">
        <v>2</v>
      </c>
      <c r="E37" s="280">
        <v>3</v>
      </c>
      <c r="F37" s="280">
        <v>4</v>
      </c>
      <c r="G37" s="280">
        <v>5</v>
      </c>
      <c r="H37" s="280">
        <v>6</v>
      </c>
      <c r="I37" s="280">
        <v>7</v>
      </c>
      <c r="J37" s="280">
        <v>8</v>
      </c>
      <c r="K37" s="280">
        <v>9</v>
      </c>
      <c r="L37" s="280">
        <v>10</v>
      </c>
      <c r="M37" s="280">
        <v>11</v>
      </c>
      <c r="N37" s="280">
        <v>12</v>
      </c>
      <c r="O37" s="280">
        <v>13</v>
      </c>
      <c r="P37" s="280">
        <v>14</v>
      </c>
      <c r="Q37" s="280">
        <v>15</v>
      </c>
      <c r="R37" s="280">
        <v>16</v>
      </c>
      <c r="S37" s="280">
        <v>17</v>
      </c>
      <c r="T37" s="280">
        <v>18</v>
      </c>
      <c r="U37" s="280">
        <v>19</v>
      </c>
      <c r="V37" s="280">
        <v>20</v>
      </c>
      <c r="W37" s="280">
        <v>21</v>
      </c>
      <c r="X37" s="280">
        <v>22</v>
      </c>
      <c r="Y37" s="280">
        <v>23</v>
      </c>
      <c r="Z37" s="280">
        <v>24</v>
      </c>
      <c r="AA37" s="280">
        <v>25</v>
      </c>
      <c r="AB37" s="280">
        <v>26</v>
      </c>
      <c r="AC37" s="280">
        <v>27</v>
      </c>
      <c r="AD37" s="280">
        <v>28</v>
      </c>
      <c r="AE37" s="280">
        <v>29</v>
      </c>
      <c r="AF37" s="280">
        <v>30</v>
      </c>
      <c r="AG37" s="281">
        <v>31</v>
      </c>
      <c r="AH37" s="25"/>
      <c r="AI37" s="308" t="s">
        <v>31</v>
      </c>
      <c r="AJ37" s="308" t="s">
        <v>88</v>
      </c>
      <c r="AK37" s="308" t="s">
        <v>89</v>
      </c>
      <c r="AL37" s="25"/>
      <c r="AM37" s="248"/>
      <c r="AN37" s="248"/>
      <c r="AO37" s="254"/>
      <c r="AP37" s="254"/>
      <c r="AQ37" s="254"/>
      <c r="AR37" s="254"/>
      <c r="AS37" s="254"/>
      <c r="AT37" s="254"/>
      <c r="AU37" s="254"/>
      <c r="AV37" s="254"/>
      <c r="AW37" s="254"/>
      <c r="AX37" s="254"/>
      <c r="AY37" s="254"/>
      <c r="AZ37" s="254"/>
      <c r="BA37" s="254"/>
      <c r="BB37" s="254"/>
      <c r="BC37" s="254"/>
      <c r="BD37" s="254"/>
      <c r="BE37" s="254"/>
      <c r="BF37" s="254"/>
      <c r="BG37" s="254"/>
      <c r="BH37" s="254"/>
      <c r="BI37" s="254"/>
      <c r="BJ37" s="254"/>
      <c r="BK37" s="254"/>
      <c r="BL37" s="254"/>
      <c r="BM37" s="254"/>
    </row>
    <row r="38" ht="14.25">
      <c r="B38" s="404" t="s">
        <v>32</v>
      </c>
      <c r="C38" s="294">
        <v>297.04838709677419354838709677</v>
      </c>
      <c r="D38" s="295">
        <v>420.132812500</v>
      </c>
      <c r="E38" s="295">
        <v>408.95419847328244274809160305</v>
      </c>
      <c r="F38" s="295">
        <v>289.93023255813953488372093023</v>
      </c>
      <c r="G38" s="295">
        <v>191.56470588235294117647058824</v>
      </c>
      <c r="H38" s="295">
        <v>173.10294117647058823529411765</v>
      </c>
      <c r="I38" s="295">
        <v>185.79816513761467889908256881</v>
      </c>
      <c r="J38" s="295">
        <v>208.4867256637168141592920354</v>
      </c>
      <c r="K38" s="295">
        <v>277.38095238095238095238095238</v>
      </c>
      <c r="L38" s="295">
        <v>262.84070796460176991150442478</v>
      </c>
      <c r="M38" s="295">
        <v>165.72727272727272727272727273</v>
      </c>
      <c r="N38" s="295">
        <v>148.4047619047619047619047619</v>
      </c>
      <c r="O38" s="295">
        <v>159.23913043478260869565217391</v>
      </c>
      <c r="P38" s="295">
        <v>152.77659574468085106382978723</v>
      </c>
      <c r="Q38" s="295">
        <v>168.46728971962616822429906542</v>
      </c>
      <c r="R38" s="295">
        <v>260.22807017543859649122807018</v>
      </c>
      <c r="S38" s="295">
        <v>288.45669291338582677165354331</v>
      </c>
      <c r="T38" s="295">
        <v>193.83898305084745762711864407</v>
      </c>
      <c r="U38" s="295">
        <v>194.1680672268907563025210084</v>
      </c>
      <c r="V38" s="295">
        <v>202.45762711864406779661016949</v>
      </c>
      <c r="W38" s="295">
        <v>183.62698412698412698412698413</v>
      </c>
      <c r="X38" s="295">
        <v>188.01587301587301587301587302</v>
      </c>
      <c r="Y38" s="295">
        <v>245.53608247422680412371134021</v>
      </c>
      <c r="Z38" s="295">
        <v>275.00833333333333333333333333</v>
      </c>
      <c r="AA38" s="295"/>
      <c r="AB38" s="295"/>
      <c r="AC38" s="295"/>
      <c r="AD38" s="295"/>
      <c r="AE38" s="295"/>
      <c r="AF38" s="295"/>
      <c r="AG38" s="296"/>
      <c r="AH38" s="218"/>
      <c r="AI38" s="305">
        <v>237.93978658536585365853658537</v>
      </c>
      <c r="AJ38" s="305">
        <v>198.37773830669034931912374186</v>
      </c>
      <c r="AK38" s="305">
        <v>309.40534759358288770053475936</v>
      </c>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c r="BK38" s="244"/>
      <c r="BL38" s="244"/>
      <c r="BM38" s="244"/>
    </row>
    <row r="39" ht="14.25">
      <c r="B39" s="201" t="s">
        <v>26</v>
      </c>
      <c r="C39" s="297">
        <v>301.69745762711864406779661017</v>
      </c>
      <c r="D39" s="207">
        <v>397.13426853707414829659318637</v>
      </c>
      <c r="E39" s="207">
        <v>393.97708129285014691478942214</v>
      </c>
      <c r="F39" s="207">
        <v>266.29779816513761467889908257</v>
      </c>
      <c r="G39" s="207">
        <v>179.39512953367875647668393783</v>
      </c>
      <c r="H39" s="207">
        <v>190.80512376237623762376237624</v>
      </c>
      <c r="I39" s="207">
        <v>186.50608272506082725060827251</v>
      </c>
      <c r="J39" s="207">
        <v>197.38684210526315789473684211</v>
      </c>
      <c r="K39" s="207">
        <v>235.39977349943374858437146092</v>
      </c>
      <c r="L39" s="207">
        <v>225.05730994152046783625730994</v>
      </c>
      <c r="M39" s="207">
        <v>170.22065088757396449704142011</v>
      </c>
      <c r="N39" s="207">
        <v>170.1608</v>
      </c>
      <c r="O39" s="207">
        <v>179.76164102564102564102564104</v>
      </c>
      <c r="P39" s="207">
        <v>174.02925598991172761664564943</v>
      </c>
      <c r="Q39" s="207">
        <v>181.7335792019347037484885127</v>
      </c>
      <c r="R39" s="207">
        <v>244.81427038626609442060085837</v>
      </c>
      <c r="S39" s="207">
        <v>266.43615307150050352467270894</v>
      </c>
      <c r="T39" s="207">
        <v>228.80210412147505422993492405</v>
      </c>
      <c r="U39" s="207">
        <v>239.36508269018743109151047409</v>
      </c>
      <c r="V39" s="207">
        <v>240.36346985210466439135381115</v>
      </c>
      <c r="W39" s="207">
        <v>218.13674019607843137254901961</v>
      </c>
      <c r="X39" s="207">
        <v>217.12516014234875444839857651</v>
      </c>
      <c r="Y39" s="207">
        <v>241.01570621468926553672316384</v>
      </c>
      <c r="Z39" s="207">
        <v>270.29382716049382716049382717</v>
      </c>
      <c r="AA39" s="207"/>
      <c r="AB39" s="207"/>
      <c r="AC39" s="207"/>
      <c r="AD39" s="207"/>
      <c r="AE39" s="207"/>
      <c r="AF39" s="207"/>
      <c r="AG39" s="298"/>
      <c r="AH39" s="218"/>
      <c r="AI39" s="306">
        <v>239.19408140976504707170233919</v>
      </c>
      <c r="AJ39" s="306">
        <v>211.53048145344436033308099924</v>
      </c>
      <c r="AK39" s="306">
        <v>287.44351457687569898951477992</v>
      </c>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c r="BL39" s="244"/>
      <c r="BM39" s="244"/>
    </row>
    <row r="40" ht="14.25">
      <c r="A40" s="24"/>
      <c r="B40" s="49" t="s">
        <v>92</v>
      </c>
      <c r="C40" s="291">
        <v>98.45902893352449540410113105</v>
      </c>
      <c r="D40" s="292">
        <v>105.79112551722579247353700251</v>
      </c>
      <c r="E40" s="292">
        <v>103.80151990852680867900957427</v>
      </c>
      <c r="F40" s="292">
        <v>108.87443852554418676719492734</v>
      </c>
      <c r="G40" s="292">
        <v>106.78367154129836276689609903</v>
      </c>
      <c r="H40" s="292">
        <v>90.72237566954803206759805981</v>
      </c>
      <c r="I40" s="292">
        <v>99.62043190380618641947768281</v>
      </c>
      <c r="J40" s="292">
        <v>105.62341615075606557023993441</v>
      </c>
      <c r="K40" s="292">
        <v>117.83399289534974208875058702</v>
      </c>
      <c r="L40" s="292">
        <v>116.78834516991381076931204949</v>
      </c>
      <c r="M40" s="292">
        <v>97.36026261390908583163689417</v>
      </c>
      <c r="N40" s="292">
        <v>87.21442418275061280970985203</v>
      </c>
      <c r="O40" s="292">
        <v>88.58348729254492950960581849</v>
      </c>
      <c r="P40" s="292">
        <v>87.78788076502920119425077388</v>
      </c>
      <c r="Q40" s="292">
        <v>92.70014405673735032409522685</v>
      </c>
      <c r="R40" s="292">
        <v>106.29611981557148839553977409</v>
      </c>
      <c r="S40" s="292">
        <v>108.26484678900781956475439439</v>
      </c>
      <c r="T40" s="292">
        <v>84.71905614465582205107773846</v>
      </c>
      <c r="U40" s="292">
        <v>81.11795799314396668509960460</v>
      </c>
      <c r="V40" s="292">
        <v>84.22978218912379474897922797</v>
      </c>
      <c r="W40" s="292">
        <v>84.17975988909874505395301364</v>
      </c>
      <c r="X40" s="292">
        <v>86.59331460833499405842933010</v>
      </c>
      <c r="Y40" s="292">
        <v>101.87555256481915446914675991</v>
      </c>
      <c r="Z40" s="292">
        <v>101.74421525728512765679650666</v>
      </c>
      <c r="AA40" s="292"/>
      <c r="AB40" s="292"/>
      <c r="AC40" s="292"/>
      <c r="AD40" s="292"/>
      <c r="AE40" s="292"/>
      <c r="AF40" s="292"/>
      <c r="AG40" s="293"/>
      <c r="AH40" s="218"/>
      <c r="AI40" s="304">
        <v>99.47561627903107608547689588</v>
      </c>
      <c r="AJ40" s="304">
        <v>93.78210503926490153024172357</v>
      </c>
      <c r="AK40" s="304">
        <v>107.64039955780857266152719789</v>
      </c>
      <c r="AM40" s="244"/>
      <c r="AN40" s="244"/>
      <c r="AO40" s="244"/>
      <c r="AP40" s="244"/>
      <c r="AQ40" s="244"/>
      <c r="AR40" s="244"/>
      <c r="AS40" s="244"/>
      <c r="AT40" s="244"/>
      <c r="AU40" s="244"/>
      <c r="AV40" s="244"/>
      <c r="AW40" s="244"/>
      <c r="AX40" s="244"/>
      <c r="AY40" s="244"/>
      <c r="AZ40" s="244"/>
      <c r="BA40" s="244"/>
      <c r="BB40" s="244"/>
      <c r="BC40" s="244"/>
      <c r="BD40" s="244"/>
      <c r="BE40" s="244"/>
      <c r="BF40" s="244"/>
      <c r="BG40" s="244"/>
      <c r="BH40" s="244"/>
      <c r="BI40" s="244"/>
      <c r="BJ40" s="244"/>
      <c r="BK40" s="244"/>
      <c r="BL40" s="244"/>
      <c r="BM40" s="244"/>
    </row>
    <row r="41" ht="12" customHeight="1">
      <c r="B41" s="0"/>
      <c r="AI41" s="22"/>
      <c r="AJ41" s="22"/>
      <c r="AK41" s="22"/>
      <c r="AM41" s="244"/>
      <c r="AN41" s="244"/>
      <c r="AO41" s="244"/>
      <c r="AP41" s="244"/>
      <c r="AQ41" s="244"/>
      <c r="AR41" s="244"/>
      <c r="AS41" s="244"/>
      <c r="AT41" s="244"/>
      <c r="AU41" s="244"/>
      <c r="AV41" s="244"/>
      <c r="AW41" s="244"/>
      <c r="AX41" s="244"/>
      <c r="AY41" s="244"/>
      <c r="AZ41" s="244"/>
      <c r="BA41" s="244"/>
      <c r="BB41" s="244"/>
      <c r="BC41" s="244"/>
      <c r="BD41" s="244"/>
      <c r="BE41" s="244"/>
      <c r="BF41" s="244"/>
      <c r="BG41" s="244"/>
      <c r="BH41" s="244"/>
      <c r="BI41" s="244"/>
      <c r="BJ41" s="244"/>
      <c r="BK41" s="244"/>
      <c r="BL41" s="244"/>
      <c r="BM41" s="244"/>
    </row>
    <row r="42" ht="18">
      <c r="B42" s="29" t="s">
        <v>87</v>
      </c>
      <c r="AI42" s="22"/>
      <c r="AJ42" s="22"/>
      <c r="AK42" s="22"/>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c r="BL42" s="244"/>
      <c r="BM42" s="244"/>
    </row>
    <row r="43" ht="14.25">
      <c r="B43" s="46" t="s">
        <v>32</v>
      </c>
      <c r="C43" s="286">
        <v>-18.605541339827349489056864450</v>
      </c>
      <c r="D43" s="287">
        <v>-7.643786637713167064868609800</v>
      </c>
      <c r="E43" s="287">
        <v>-11.568365670199479265071261270</v>
      </c>
      <c r="F43" s="287">
        <v>-27.102415697730294398365331180</v>
      </c>
      <c r="G43" s="287">
        <v>7.2720285479295284184869419500</v>
      </c>
      <c r="H43" s="287">
        <v>-10.759358288763481092656750470</v>
      </c>
      <c r="I43" s="287">
        <v>-10.130151130147710847990950290</v>
      </c>
      <c r="J43" s="287">
        <v>5.3743199729271664520023846900</v>
      </c>
      <c r="K43" s="287">
        <v>-1.3866184180593690648129043900</v>
      </c>
      <c r="L43" s="287">
        <v>-1.3763968908889604831385067200</v>
      </c>
      <c r="M43" s="287">
        <v>-11.632612200610776502651407250</v>
      </c>
      <c r="N43" s="287">
        <v>-3.5437944908428317595301016900</v>
      </c>
      <c r="O43" s="287">
        <v>4.4851024403320540846857472300</v>
      </c>
      <c r="P43" s="287">
        <v>-1.8758533016759899506322162300</v>
      </c>
      <c r="Q43" s="287">
        <v>-13.524714237416830599227164150</v>
      </c>
      <c r="R43" s="287">
        <v>0.8741602565764204145926959900</v>
      </c>
      <c r="S43" s="287">
        <v>3.7990806759759846514002311900</v>
      </c>
      <c r="T43" s="287">
        <v>2.7348495212432164566381889200</v>
      </c>
      <c r="U43" s="287">
        <v>30.149893242918501765251645500</v>
      </c>
      <c r="V43" s="287">
        <v>52.093087554234426002223326040</v>
      </c>
      <c r="W43" s="287">
        <v>28.084770158360033982627156980</v>
      </c>
      <c r="X43" s="287">
        <v>18.839373712704043760919382560</v>
      </c>
      <c r="Y43" s="287">
        <v>5.1488658888293241654974514400</v>
      </c>
      <c r="Z43" s="287">
        <v>3.1910463697184421786804367700</v>
      </c>
      <c r="AA43" s="287"/>
      <c r="AB43" s="287"/>
      <c r="AC43" s="287"/>
      <c r="AD43" s="287"/>
      <c r="AE43" s="287"/>
      <c r="AF43" s="287"/>
      <c r="AG43" s="288"/>
      <c r="AH43" s="218"/>
      <c r="AI43" s="302">
        <v>0.5952873164071157629201997900</v>
      </c>
      <c r="AJ43" s="302">
        <v>-0.1957767486392398343591528900</v>
      </c>
      <c r="AK43" s="302">
        <v>-4.1802429124039930061157869400</v>
      </c>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c r="BL43" s="244"/>
      <c r="BM43" s="244"/>
    </row>
    <row r="44" ht="14.25">
      <c r="B44" s="201" t="s">
        <v>26</v>
      </c>
      <c r="C44" s="289">
        <v>-0.3157416401472670514763234500</v>
      </c>
      <c r="D44" s="202">
        <v>-0.2071188270450100043163516500</v>
      </c>
      <c r="E44" s="202">
        <v>2.8659438264235232130815976600</v>
      </c>
      <c r="F44" s="202">
        <v>-15.283902716147765786352564210</v>
      </c>
      <c r="G44" s="202">
        <v>-11.692572853850986173548967930</v>
      </c>
      <c r="H44" s="202">
        <v>-1.6592852345732348134825579200</v>
      </c>
      <c r="I44" s="202">
        <v>-0.2104544128855724531502003100</v>
      </c>
      <c r="J44" s="202">
        <v>8.557840380773868048909108630</v>
      </c>
      <c r="K44" s="202">
        <v>2.6847517508045040951763238400</v>
      </c>
      <c r="L44" s="202">
        <v>-1.0010969239710437369633416300</v>
      </c>
      <c r="M44" s="202">
        <v>-4.1445510449607536468854687700</v>
      </c>
      <c r="N44" s="202">
        <v>-6.741359274196227923298471800</v>
      </c>
      <c r="O44" s="202">
        <v>-8.763190762120056311346296820</v>
      </c>
      <c r="P44" s="202">
        <v>-4.8698122586749518512821301900</v>
      </c>
      <c r="Q44" s="202">
        <v>-8.481991595548638033047871470</v>
      </c>
      <c r="R44" s="202">
        <v>-3.492978271615887123815432900</v>
      </c>
      <c r="S44" s="202">
        <v>1.2888371952153550600570189300</v>
      </c>
      <c r="T44" s="202">
        <v>31.210644377844816105170549220</v>
      </c>
      <c r="U44" s="202">
        <v>42.084745364259447954136750990</v>
      </c>
      <c r="V44" s="202">
        <v>46.515630851085133606926497380</v>
      </c>
      <c r="W44" s="202">
        <v>43.054481642227023776262516930</v>
      </c>
      <c r="X44" s="202">
        <v>9.039470347892717490905758960</v>
      </c>
      <c r="Y44" s="202">
        <v>-9.854062107420548786763759240</v>
      </c>
      <c r="Z44" s="202">
        <v>-10.482718870084294683271960840</v>
      </c>
      <c r="AA44" s="202"/>
      <c r="AB44" s="202"/>
      <c r="AC44" s="202"/>
      <c r="AD44" s="202"/>
      <c r="AE44" s="202"/>
      <c r="AF44" s="202"/>
      <c r="AG44" s="290"/>
      <c r="AH44" s="218"/>
      <c r="AI44" s="303">
        <v>3.9406566313032379617603418100</v>
      </c>
      <c r="AJ44" s="303">
        <v>4.9137869932428706168642832600</v>
      </c>
      <c r="AK44" s="303">
        <v>-1.1588518646924878171877457300</v>
      </c>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c r="BL44" s="244"/>
      <c r="BM44" s="244"/>
    </row>
    <row r="45" ht="14.25">
      <c r="A45" s="24"/>
      <c r="B45" s="49" t="s">
        <v>92</v>
      </c>
      <c r="C45" s="291">
        <v>-18.347731126845261567033006610</v>
      </c>
      <c r="D45" s="292">
        <v>-7.4521025179724277993977648300</v>
      </c>
      <c r="E45" s="292">
        <v>-14.032155793930274454883816510</v>
      </c>
      <c r="F45" s="292">
        <v>-13.950728799465709151809109830</v>
      </c>
      <c r="G45" s="292">
        <v>21.475658406815960830962953390</v>
      </c>
      <c r="H45" s="292">
        <v>-9.253616954026177373445469670</v>
      </c>
      <c r="I45" s="292">
        <v>-9.940617184795813680042409100</v>
      </c>
      <c r="J45" s="292">
        <v>-2.9325568717223783859447588200</v>
      </c>
      <c r="K45" s="292">
        <v>-3.9649218597849127076198451300</v>
      </c>
      <c r="L45" s="292">
        <v>-0.3790950760985757058637292600</v>
      </c>
      <c r="M45" s="292">
        <v>-7.8118262835042360306004098300</v>
      </c>
      <c r="N45" s="292">
        <v>3.4287061857861990298953752500</v>
      </c>
      <c r="O45" s="292">
        <v>14.520776551862534530895119860</v>
      </c>
      <c r="P45" s="292">
        <v>3.1472227985950140629720996800</v>
      </c>
      <c r="Q45" s="292">
        <v>-5.5100878283441899037931065300</v>
      </c>
      <c r="R45" s="292">
        <v>4.5252028816174635952593418900</v>
      </c>
      <c r="S45" s="292">
        <v>2.478302200152886234888683900</v>
      </c>
      <c r="T45" s="292">
        <v>-21.702351201471087578746885990</v>
      </c>
      <c r="U45" s="292">
        <v>-8.399812443496790191188627610</v>
      </c>
      <c r="V45" s="292">
        <v>3.806731521261802337646304300</v>
      </c>
      <c r="W45" s="292">
        <v>-10.464342893779755535780553190</v>
      </c>
      <c r="X45" s="292">
        <v>8.987482545151276850859666320</v>
      </c>
      <c r="Y45" s="292">
        <v>16.642932945139076562389083810</v>
      </c>
      <c r="Z45" s="292">
        <v>15.275000611297413077063412060</v>
      </c>
      <c r="AA45" s="292"/>
      <c r="AB45" s="292"/>
      <c r="AC45" s="292"/>
      <c r="AD45" s="292"/>
      <c r="AE45" s="292"/>
      <c r="AF45" s="292"/>
      <c r="AG45" s="293"/>
      <c r="AH45" s="218"/>
      <c r="AI45" s="304">
        <v>-3.2185377919993664364064055200</v>
      </c>
      <c r="AJ45" s="304">
        <v>-4.8702500294324043238854830700</v>
      </c>
      <c r="AK45" s="304">
        <v>-3.0568150054402916549402904900</v>
      </c>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c r="BK45" s="244"/>
      <c r="BL45" s="244"/>
      <c r="BM45" s="244"/>
    </row>
    <row r="46" ht="13.5" customHeight="1">
      <c r="B46" s="176"/>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43"/>
      <c r="AF46" s="43"/>
      <c r="AG46" s="43"/>
      <c r="AI46" s="43"/>
      <c r="AJ46" s="43"/>
      <c r="AK46" s="43"/>
      <c r="AM46" s="244"/>
      <c r="AN46" s="244"/>
      <c r="AO46" s="244"/>
      <c r="AP46" s="244"/>
      <c r="AQ46" s="244"/>
      <c r="AR46" s="244"/>
      <c r="AS46" s="244"/>
      <c r="AT46" s="244"/>
      <c r="AU46" s="244"/>
      <c r="AV46" s="244"/>
      <c r="AW46" s="244"/>
      <c r="AX46" s="244"/>
      <c r="AY46" s="244"/>
      <c r="AZ46" s="244"/>
      <c r="BA46" s="244"/>
      <c r="BB46" s="244"/>
      <c r="BC46" s="244"/>
      <c r="BD46" s="244"/>
      <c r="BE46" s="244"/>
      <c r="BF46" s="244"/>
      <c r="BG46" s="244"/>
      <c r="BH46" s="244"/>
      <c r="BI46" s="244"/>
      <c r="BJ46" s="244"/>
      <c r="BK46" s="244"/>
      <c r="BL46" s="244"/>
      <c r="BM46" s="244"/>
    </row>
    <row r="47" ht="18" customHeight="1">
      <c r="A47" s="8"/>
      <c r="B47" s="29"/>
      <c r="X47" s="656"/>
      <c r="Y47" s="656"/>
      <c r="Z47" s="656"/>
      <c r="AA47" s="656"/>
      <c r="AB47" s="656"/>
      <c r="AC47" s="656"/>
      <c r="AD47" s="656"/>
      <c r="AM47" s="244"/>
      <c r="AN47" s="244"/>
      <c r="AO47" s="244"/>
      <c r="AP47" s="244"/>
      <c r="AQ47" s="244"/>
      <c r="AR47" s="244"/>
      <c r="AS47" s="244"/>
      <c r="AT47" s="244"/>
      <c r="AU47" s="244"/>
      <c r="AV47" s="244"/>
      <c r="AW47" s="244"/>
      <c r="AX47" s="244"/>
      <c r="AY47" s="244"/>
      <c r="AZ47" s="244"/>
      <c r="BA47" s="244"/>
      <c r="BB47" s="244"/>
      <c r="BC47" s="244"/>
      <c r="BD47" s="244"/>
      <c r="BE47" s="244"/>
      <c r="BF47" s="244"/>
      <c r="BG47" s="244"/>
      <c r="BH47" s="244"/>
      <c r="BI47" s="244"/>
      <c r="BJ47" s="244"/>
      <c r="BK47" s="244"/>
      <c r="BL47" s="244"/>
      <c r="BM47" s="244"/>
    </row>
    <row r="48" s="41" customFormat="1" ht="18">
      <c r="B48" s="615" t="s">
        <v>13</v>
      </c>
      <c r="C48" s="275" t="s">
        <v>183</v>
      </c>
      <c r="D48" s="276"/>
      <c r="E48" s="276"/>
      <c r="F48" s="276"/>
      <c r="G48" s="276"/>
      <c r="H48" s="276"/>
      <c r="I48" s="276"/>
      <c r="J48" s="276"/>
      <c r="K48" s="276"/>
      <c r="L48" s="276"/>
      <c r="M48" s="276"/>
      <c r="N48" s="276"/>
      <c r="O48" s="276"/>
      <c r="P48" s="276"/>
      <c r="Q48" s="276"/>
      <c r="R48" s="276"/>
      <c r="S48" s="277"/>
      <c r="T48" s="277"/>
      <c r="U48" s="277"/>
      <c r="V48" s="277"/>
      <c r="W48" s="277"/>
      <c r="X48" s="277"/>
      <c r="Y48" s="277"/>
      <c r="Z48" s="277"/>
      <c r="AA48" s="277"/>
      <c r="AB48" s="277"/>
      <c r="AC48" s="277"/>
      <c r="AD48" s="277"/>
      <c r="AE48" s="277"/>
      <c r="AF48" s="277"/>
      <c r="AG48" s="278"/>
      <c r="AH48" s="25"/>
      <c r="AI48" s="307" t="s">
        <v>59</v>
      </c>
      <c r="AJ48" s="307" t="s">
        <v>31</v>
      </c>
      <c r="AK48" s="307" t="s">
        <v>31</v>
      </c>
      <c r="AL48" s="25"/>
      <c r="AM48" s="248"/>
      <c r="AN48" s="248"/>
      <c r="AO48" s="253"/>
      <c r="AP48" s="253"/>
      <c r="AQ48" s="253"/>
      <c r="AR48" s="253"/>
      <c r="AS48" s="253"/>
      <c r="AT48" s="253"/>
      <c r="AU48" s="253"/>
      <c r="AV48" s="253"/>
      <c r="AW48" s="253"/>
      <c r="AX48" s="253"/>
      <c r="AY48" s="253"/>
      <c r="AZ48" s="253"/>
      <c r="BA48" s="253"/>
      <c r="BB48" s="253"/>
      <c r="BC48" s="253"/>
      <c r="BD48" s="253"/>
      <c r="BE48" s="253"/>
      <c r="BF48" s="253"/>
      <c r="BG48" s="253"/>
      <c r="BH48" s="253"/>
      <c r="BI48" s="253"/>
      <c r="BJ48" s="253"/>
      <c r="BK48" s="253"/>
      <c r="BL48" s="253"/>
      <c r="BM48" s="253"/>
    </row>
    <row r="49" s="42" customFormat="1">
      <c r="B49" s="615"/>
      <c r="C49" s="279">
        <v>1</v>
      </c>
      <c r="D49" s="280">
        <v>2</v>
      </c>
      <c r="E49" s="280">
        <v>3</v>
      </c>
      <c r="F49" s="280">
        <v>4</v>
      </c>
      <c r="G49" s="280">
        <v>5</v>
      </c>
      <c r="H49" s="280">
        <v>6</v>
      </c>
      <c r="I49" s="280">
        <v>7</v>
      </c>
      <c r="J49" s="280">
        <v>8</v>
      </c>
      <c r="K49" s="280">
        <v>9</v>
      </c>
      <c r="L49" s="280">
        <v>10</v>
      </c>
      <c r="M49" s="280">
        <v>11</v>
      </c>
      <c r="N49" s="280">
        <v>12</v>
      </c>
      <c r="O49" s="280">
        <v>13</v>
      </c>
      <c r="P49" s="280">
        <v>14</v>
      </c>
      <c r="Q49" s="280">
        <v>15</v>
      </c>
      <c r="R49" s="280">
        <v>16</v>
      </c>
      <c r="S49" s="280">
        <v>17</v>
      </c>
      <c r="T49" s="280">
        <v>18</v>
      </c>
      <c r="U49" s="280">
        <v>19</v>
      </c>
      <c r="V49" s="280">
        <v>20</v>
      </c>
      <c r="W49" s="280">
        <v>21</v>
      </c>
      <c r="X49" s="280">
        <v>22</v>
      </c>
      <c r="Y49" s="280">
        <v>23</v>
      </c>
      <c r="Z49" s="280">
        <v>24</v>
      </c>
      <c r="AA49" s="280">
        <v>25</v>
      </c>
      <c r="AB49" s="280">
        <v>26</v>
      </c>
      <c r="AC49" s="280">
        <v>27</v>
      </c>
      <c r="AD49" s="280">
        <v>28</v>
      </c>
      <c r="AE49" s="280">
        <v>29</v>
      </c>
      <c r="AF49" s="280">
        <v>30</v>
      </c>
      <c r="AG49" s="281">
        <v>31</v>
      </c>
      <c r="AH49" s="25"/>
      <c r="AI49" s="308" t="s">
        <v>31</v>
      </c>
      <c r="AJ49" s="308" t="s">
        <v>88</v>
      </c>
      <c r="AK49" s="308" t="s">
        <v>89</v>
      </c>
      <c r="AL49" s="25"/>
      <c r="AM49" s="248"/>
      <c r="AN49" s="248"/>
      <c r="AO49" s="254"/>
      <c r="AP49" s="254"/>
      <c r="AQ49" s="254"/>
      <c r="AR49" s="254"/>
      <c r="AS49" s="254"/>
      <c r="AT49" s="254"/>
      <c r="AU49" s="254"/>
      <c r="AV49" s="254"/>
      <c r="AW49" s="254"/>
      <c r="AX49" s="254"/>
      <c r="AY49" s="254"/>
      <c r="AZ49" s="254"/>
      <c r="BA49" s="254"/>
      <c r="BB49" s="254"/>
      <c r="BC49" s="254"/>
      <c r="BD49" s="254"/>
      <c r="BE49" s="254"/>
      <c r="BF49" s="254"/>
      <c r="BG49" s="254"/>
      <c r="BH49" s="254"/>
      <c r="BI49" s="254"/>
      <c r="BJ49" s="254"/>
      <c r="BK49" s="254"/>
      <c r="BL49" s="254"/>
      <c r="BM49" s="254"/>
    </row>
    <row r="50" ht="14.25">
      <c r="B50" s="404" t="s">
        <v>32</v>
      </c>
      <c r="C50" s="294">
        <v>279.04545454545454545454545455</v>
      </c>
      <c r="D50" s="295">
        <v>407.40151515151515151515151515</v>
      </c>
      <c r="E50" s="295">
        <v>405.85606060606060606060606061</v>
      </c>
      <c r="F50" s="295">
        <v>283.34090909090909090909090909</v>
      </c>
      <c r="G50" s="295">
        <v>123.35606060606060606060606061</v>
      </c>
      <c r="H50" s="295">
        <v>89.17424242424242424242424242</v>
      </c>
      <c r="I50" s="295">
        <v>153.42424242424242424242424242</v>
      </c>
      <c r="J50" s="295">
        <v>178.47727272727272727272727273</v>
      </c>
      <c r="K50" s="295">
        <v>220.64393939393939393939393939</v>
      </c>
      <c r="L50" s="295">
        <v>225.00757575757575757575757576</v>
      </c>
      <c r="M50" s="295">
        <v>96.67424242424242424242424242</v>
      </c>
      <c r="N50" s="295">
        <v>94.43939393939393939393939394</v>
      </c>
      <c r="O50" s="295">
        <v>110.98484848484848484848484848</v>
      </c>
      <c r="P50" s="295">
        <v>108.79545454545454545454545455</v>
      </c>
      <c r="Q50" s="295">
        <v>136.56060606060606060606060606</v>
      </c>
      <c r="R50" s="295">
        <v>224.74242424242424242424242424</v>
      </c>
      <c r="S50" s="295">
        <v>277.53030303030303030303030303</v>
      </c>
      <c r="T50" s="295">
        <v>173.28030303030303030303030303</v>
      </c>
      <c r="U50" s="295">
        <v>175.04545454545454545454545455</v>
      </c>
      <c r="V50" s="295">
        <v>180.98484848484848484848484848</v>
      </c>
      <c r="W50" s="295">
        <v>175.28030303030303030303030303</v>
      </c>
      <c r="X50" s="295">
        <v>179.46969696969696969696969697</v>
      </c>
      <c r="Y50" s="295">
        <v>180.43181818181818181818181818</v>
      </c>
      <c r="Z50" s="295">
        <v>250.00757575757575757575757576</v>
      </c>
      <c r="AA50" s="295"/>
      <c r="AB50" s="295"/>
      <c r="AC50" s="295"/>
      <c r="AD50" s="295"/>
      <c r="AE50" s="295"/>
      <c r="AF50" s="295"/>
      <c r="AG50" s="296"/>
      <c r="AH50" s="218"/>
      <c r="AI50" s="305">
        <v>197.08143939393939393939393939</v>
      </c>
      <c r="AJ50" s="305">
        <v>158.64583333333333333333333333</v>
      </c>
      <c r="AK50" s="305">
        <v>273.95265151515151515151515152</v>
      </c>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c r="BK50" s="244"/>
      <c r="BL50" s="244"/>
      <c r="BM50" s="244"/>
    </row>
    <row r="51" ht="14.25">
      <c r="B51" s="201" t="s">
        <v>26</v>
      </c>
      <c r="C51" s="297">
        <v>275.7041626331074540174249758</v>
      </c>
      <c r="D51" s="207">
        <v>383.67860600193610842207163601</v>
      </c>
      <c r="E51" s="207">
        <v>389.40038722168441432720232333</v>
      </c>
      <c r="F51" s="207">
        <v>224.79349467570183930300096805</v>
      </c>
      <c r="G51" s="207">
        <v>134.06877057115198451113262343</v>
      </c>
      <c r="H51" s="207">
        <v>149.24544046466602129719264279</v>
      </c>
      <c r="I51" s="207">
        <v>148.41045498547918683446272991</v>
      </c>
      <c r="J51" s="207">
        <v>167.00493707647628267182962246</v>
      </c>
      <c r="K51" s="207">
        <v>201.21781219748305905130687318</v>
      </c>
      <c r="L51" s="207">
        <v>186.27686350435624394966118103</v>
      </c>
      <c r="M51" s="207">
        <v>111.39318489835430784123910939</v>
      </c>
      <c r="N51" s="207">
        <v>111.18929332042594385285575992</v>
      </c>
      <c r="O51" s="207">
        <v>135.73483059051306873184898354</v>
      </c>
      <c r="P51" s="207">
        <v>133.59651500484027105517909003</v>
      </c>
      <c r="Q51" s="207">
        <v>145.49242013552758954501452081</v>
      </c>
      <c r="R51" s="207">
        <v>220.87792836398838334946757018</v>
      </c>
      <c r="S51" s="207">
        <v>256.11916747337850919651500484</v>
      </c>
      <c r="T51" s="207">
        <v>204.21639883833494675701839303</v>
      </c>
      <c r="U51" s="207">
        <v>210.16856727976766698935140368</v>
      </c>
      <c r="V51" s="207">
        <v>204.530000000</v>
      </c>
      <c r="W51" s="207">
        <v>172.31324298160696999031945789</v>
      </c>
      <c r="X51" s="207">
        <v>177.18926427879961277831558567</v>
      </c>
      <c r="Y51" s="207">
        <v>206.48489835430784123910939013</v>
      </c>
      <c r="Z51" s="207">
        <v>263.46329723225030084235860409</v>
      </c>
      <c r="AA51" s="207"/>
      <c r="AB51" s="207"/>
      <c r="AC51" s="207"/>
      <c r="AD51" s="207"/>
      <c r="AE51" s="207"/>
      <c r="AF51" s="207"/>
      <c r="AG51" s="298"/>
      <c r="AH51" s="218"/>
      <c r="AI51" s="306">
        <v>200.52374742017241693974493538</v>
      </c>
      <c r="AJ51" s="306">
        <v>169.06568610842207163601161665</v>
      </c>
      <c r="AK51" s="306">
        <v>263.43987004367310754721157285</v>
      </c>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c r="BK51" s="244"/>
      <c r="BL51" s="244"/>
      <c r="BM51" s="244"/>
    </row>
    <row r="52" ht="14.25">
      <c r="A52" s="24"/>
      <c r="B52" s="49" t="s">
        <v>93</v>
      </c>
      <c r="C52" s="291">
        <v>101.21191202934467503496168364</v>
      </c>
      <c r="D52" s="292">
        <v>106.18301588322015385277185151</v>
      </c>
      <c r="E52" s="292">
        <v>104.22590062166316860449828362</v>
      </c>
      <c r="F52" s="292">
        <v>126.04497719103168529836980581</v>
      </c>
      <c r="G52" s="292">
        <v>92.00954113363023104136047560</v>
      </c>
      <c r="H52" s="292">
        <v>59.750061473626188226912223070</v>
      </c>
      <c r="I52" s="292">
        <v>103.37832495644075840957980514</v>
      </c>
      <c r="J52" s="292">
        <v>106.86945898223211877342266946</v>
      </c>
      <c r="K52" s="292">
        <v>109.65427811001751409169947095</v>
      </c>
      <c r="L52" s="292">
        <v>120.79201438361179457097668858</v>
      </c>
      <c r="M52" s="292">
        <v>86.78649642024106286698702644</v>
      </c>
      <c r="N52" s="292">
        <v>84.93569040614368087820743712</v>
      </c>
      <c r="O52" s="292">
        <v>81.76593141349251319783695758</v>
      </c>
      <c r="P52" s="292">
        <v>81.43584774014922826618515580</v>
      </c>
      <c r="Q52" s="292">
        <v>93.86097635424885890691309021</v>
      </c>
      <c r="R52" s="292">
        <v>101.74960708254003208677179706</v>
      </c>
      <c r="S52" s="292">
        <v>108.35983334169112742095733344</v>
      </c>
      <c r="T52" s="292">
        <v>84.85131655245160265916967057</v>
      </c>
      <c r="U52" s="292">
        <v>83.28812286778087879834787838</v>
      </c>
      <c r="V52" s="292">
        <v>88.48816725411845932063015131</v>
      </c>
      <c r="W52" s="292">
        <v>101.72189902375632250354748786</v>
      </c>
      <c r="X52" s="292">
        <v>101.28700387135690281078578888</v>
      </c>
      <c r="Y52" s="292">
        <v>87.38257355374324940571173662</v>
      </c>
      <c r="Z52" s="292">
        <v>94.89275295038150701956080621</v>
      </c>
      <c r="AA52" s="292"/>
      <c r="AB52" s="292"/>
      <c r="AC52" s="292"/>
      <c r="AD52" s="292"/>
      <c r="AE52" s="292"/>
      <c r="AF52" s="292"/>
      <c r="AG52" s="293"/>
      <c r="AH52" s="218"/>
      <c r="AI52" s="304">
        <v>98.28334146426696939118344622</v>
      </c>
      <c r="AJ52" s="304">
        <v>93.83680212412484448842090991</v>
      </c>
      <c r="AK52" s="304">
        <v>103.99058102697500998718495881</v>
      </c>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c r="BL52" s="244"/>
      <c r="BM52" s="244"/>
    </row>
    <row r="53" ht="12" customHeight="1">
      <c r="B53" s="0"/>
      <c r="AI53" s="22"/>
      <c r="AJ53" s="22"/>
      <c r="AK53" s="22"/>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c r="BL53" s="244"/>
      <c r="BM53" s="244"/>
    </row>
    <row r="54" ht="18">
      <c r="B54" s="29" t="s">
        <v>87</v>
      </c>
      <c r="AI54" s="22"/>
      <c r="AJ54" s="22"/>
      <c r="AK54" s="22"/>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c r="BL54" s="244"/>
      <c r="BM54" s="244"/>
    </row>
    <row r="55" ht="14.25">
      <c r="B55" s="46" t="s">
        <v>32</v>
      </c>
      <c r="C55" s="286">
        <v>-14.466840052009248882782984150</v>
      </c>
      <c r="D55" s="287">
        <v>-6.1778149970399832489970106400</v>
      </c>
      <c r="E55" s="287">
        <v>-8.059173831707757847520913330</v>
      </c>
      <c r="F55" s="287">
        <v>-20.976568277370827743521086090</v>
      </c>
      <c r="G55" s="287">
        <v>-10.606642876734226805226766370</v>
      </c>
      <c r="H55" s="287">
        <v>-45.818181818170844649021861990</v>
      </c>
      <c r="I55" s="287">
        <v>-15.553331665407277457926652390</v>
      </c>
      <c r="J55" s="287">
        <v>2.6491220426196783841779526600</v>
      </c>
      <c r="K55" s="287">
        <v>-19.106210421071515946190772450</v>
      </c>
      <c r="L55" s="287">
        <v>-0.4958290060021845513615329300</v>
      </c>
      <c r="M55" s="287">
        <v>-26.040338472226319285251085760</v>
      </c>
      <c r="N55" s="287">
        <v>-22.835035592718687207004329950</v>
      </c>
      <c r="O55" s="287">
        <v>-11.810739224667492085332931920</v>
      </c>
      <c r="P55" s="287">
        <v>-15.379176241836255375465181360</v>
      </c>
      <c r="Q55" s="287">
        <v>-10.166450712676912923125628810</v>
      </c>
      <c r="R55" s="287">
        <v>3.6004889121791039348136626400</v>
      </c>
      <c r="S55" s="287">
        <v>20.940213264651699027177949020</v>
      </c>
      <c r="T55" s="287">
        <v>11.217543518450105522419225930</v>
      </c>
      <c r="U55" s="287">
        <v>32.374677742815651557579720440</v>
      </c>
      <c r="V55" s="287">
        <v>70.923660299004047108146582280</v>
      </c>
      <c r="W55" s="287">
        <v>33.377529255745266551638595770</v>
      </c>
      <c r="X55" s="287">
        <v>25.829925107547600367548091770</v>
      </c>
      <c r="Y55" s="287">
        <v>-12.825299220391414257267544780</v>
      </c>
      <c r="Z55" s="287">
        <v>0.6741915802453620025306003500</v>
      </c>
      <c r="AA55" s="287"/>
      <c r="AB55" s="287"/>
      <c r="AC55" s="287"/>
      <c r="AD55" s="287"/>
      <c r="AE55" s="287"/>
      <c r="AF55" s="287"/>
      <c r="AG55" s="288"/>
      <c r="AH55" s="218"/>
      <c r="AI55" s="302">
        <v>-3.1331985621078604076332949500</v>
      </c>
      <c r="AJ55" s="302">
        <v>-5.5353816516472831951266669800</v>
      </c>
      <c r="AK55" s="302">
        <v>-5.4372270599469842149096436200</v>
      </c>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c r="BL55" s="244"/>
      <c r="BM55" s="244"/>
    </row>
    <row r="56" ht="14.25">
      <c r="B56" s="201" t="s">
        <v>26</v>
      </c>
      <c r="C56" s="289">
        <v>7.4223058124319666968106507100</v>
      </c>
      <c r="D56" s="202">
        <v>-0.1070256663974167284025876200</v>
      </c>
      <c r="E56" s="202">
        <v>7.6087383676183974453436476200</v>
      </c>
      <c r="F56" s="202">
        <v>-21.328608273146758349319679810</v>
      </c>
      <c r="G56" s="202">
        <v>-18.841269337124650907674679260</v>
      </c>
      <c r="H56" s="202">
        <v>-5.9653283662901272666959499400</v>
      </c>
      <c r="I56" s="202">
        <v>-3.0413635075644994566142662900</v>
      </c>
      <c r="J56" s="202">
        <v>21.953152304325845663617603780</v>
      </c>
      <c r="K56" s="202">
        <v>0.9695276124487347809447863200</v>
      </c>
      <c r="L56" s="202">
        <v>-10.048818140271918685603664400</v>
      </c>
      <c r="M56" s="202">
        <v>-18.183985487866004799484816470</v>
      </c>
      <c r="N56" s="202">
        <v>-21.313021887607218123277778530</v>
      </c>
      <c r="O56" s="202">
        <v>-18.201481372916564430714004410</v>
      </c>
      <c r="P56" s="202">
        <v>-9.329039809016858545765043770</v>
      </c>
      <c r="Q56" s="202">
        <v>-14.576305924960378166613468900</v>
      </c>
      <c r="R56" s="202">
        <v>-3.285436289392706795533159900</v>
      </c>
      <c r="S56" s="202">
        <v>3.9047679079163923529746577500</v>
      </c>
      <c r="T56" s="202">
        <v>38.416720956911094144009252610</v>
      </c>
      <c r="U56" s="202">
        <v>54.336364126268131037108607460</v>
      </c>
      <c r="V56" s="202">
        <v>64.900434722276571682883592350</v>
      </c>
      <c r="W56" s="202">
        <v>68.932644023267040958445105830</v>
      </c>
      <c r="X56" s="202">
        <v>20.630280187997605270159086570</v>
      </c>
      <c r="Y56" s="202">
        <v>-8.088531065752734530657157550</v>
      </c>
      <c r="Z56" s="202">
        <v>-5.5193603223180854418838236100</v>
      </c>
      <c r="AA56" s="202"/>
      <c r="AB56" s="202"/>
      <c r="AC56" s="202"/>
      <c r="AD56" s="202"/>
      <c r="AE56" s="202"/>
      <c r="AF56" s="202"/>
      <c r="AG56" s="290"/>
      <c r="AH56" s="218"/>
      <c r="AI56" s="303">
        <v>4.9500449646061903730632709800</v>
      </c>
      <c r="AJ56" s="303">
        <v>5.1356969561148076951157657600</v>
      </c>
      <c r="AK56" s="303">
        <v>-0.4201969461287427966052484500</v>
      </c>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c r="BL56" s="244"/>
      <c r="BM56" s="244"/>
    </row>
    <row r="57" ht="14.25">
      <c r="A57" s="24"/>
      <c r="B57" s="49" t="s">
        <v>93</v>
      </c>
      <c r="C57" s="291">
        <v>-20.376723157186988538572270760</v>
      </c>
      <c r="D57" s="292">
        <v>-6.0772935946137951425771863100</v>
      </c>
      <c r="E57" s="292">
        <v>-14.560074243947783370735080360</v>
      </c>
      <c r="F57" s="292">
        <v>0.447481591503010823609054200</v>
      </c>
      <c r="G57" s="292">
        <v>10.146322389592204086498654750</v>
      </c>
      <c r="H57" s="292">
        <v>-42.381020489044944366422200970</v>
      </c>
      <c r="I57" s="292">
        <v>-12.904439058260043270776037870</v>
      </c>
      <c r="J57" s="292">
        <v>-15.829053941577806251516247640</v>
      </c>
      <c r="K57" s="292">
        <v>-19.882967176580014299220443520</v>
      </c>
      <c r="L57" s="292">
        <v>10.620193016656024344830318280</v>
      </c>
      <c r="M57" s="292">
        <v>-9.602463565665925221888635100</v>
      </c>
      <c r="N57" s="292">
        <v>-1.9342637645554650481233910500</v>
      </c>
      <c r="O57" s="292">
        <v>7.8127847002138315483244104900</v>
      </c>
      <c r="P57" s="292">
        <v>-6.6726286123289350728078544700</v>
      </c>
      <c r="Q57" s="292">
        <v>5.1623326058492896642388661400</v>
      </c>
      <c r="R57" s="292">
        <v>7.1198431109139732582133209600</v>
      </c>
      <c r="S57" s="292">
        <v>16.395248937851318176289540370</v>
      </c>
      <c r="T57" s="292">
        <v>-19.650210791308092761963348550</v>
      </c>
      <c r="U57" s="292">
        <v>-14.229754930289002693705825930</v>
      </c>
      <c r="V57" s="292">
        <v>3.6526438435390369613239406600</v>
      </c>
      <c r="W57" s="292">
        <v>-21.046917825170652152577591940</v>
      </c>
      <c r="X57" s="292">
        <v>4.310397780244617066920226300</v>
      </c>
      <c r="Y57" s="292">
        <v>-5.1536203365372882744385434500</v>
      </c>
      <c r="Z57" s="292">
        <v>6.5553661825388486061141210700</v>
      </c>
      <c r="AA57" s="292"/>
      <c r="AB57" s="292"/>
      <c r="AC57" s="292"/>
      <c r="AD57" s="292"/>
      <c r="AE57" s="292"/>
      <c r="AF57" s="292"/>
      <c r="AG57" s="293"/>
      <c r="AH57" s="218"/>
      <c r="AI57" s="304">
        <v>-7.7019914850006444585138495700</v>
      </c>
      <c r="AJ57" s="304">
        <v>-10.149814874189240830763894060</v>
      </c>
      <c r="AK57" s="304">
        <v>-5.0382004784268998426228623400</v>
      </c>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c r="BL57" s="244"/>
      <c r="BM57" s="244"/>
    </row>
    <row r="58" ht="13.5" customHeight="1">
      <c r="A58" s="0"/>
      <c r="B58" s="176"/>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0"/>
      <c r="AI58" s="43"/>
      <c r="AJ58" s="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c r="BL58" s="244"/>
      <c r="BM58" s="244"/>
    </row>
    <row r="59">
      <c r="A59" s="4"/>
      <c r="U59" s="4"/>
      <c r="V59" s="4"/>
      <c r="W59" s="4"/>
      <c r="X59" s="4"/>
      <c r="Y59" s="4"/>
      <c r="Z59" s="4"/>
      <c r="AA59" s="4"/>
      <c r="AB59" s="4"/>
      <c r="AC59" s="4"/>
      <c r="AD59" s="4"/>
      <c r="AE59" s="4"/>
      <c r="AF59" s="4"/>
      <c r="AG59" s="4"/>
      <c r="AH59" s="4"/>
      <c r="AI59" s="4"/>
      <c r="AJ59" s="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c r="BL59" s="244"/>
      <c r="BM59" s="244"/>
    </row>
    <row r="60" ht="15">
      <c r="A60" s="9"/>
      <c r="B60" s="657" t="s">
        <v>82</v>
      </c>
      <c r="C60" s="657"/>
      <c r="D60" s="657"/>
      <c r="E60" s="657"/>
      <c r="F60" s="657"/>
      <c r="G60" s="657"/>
      <c r="H60" s="657"/>
      <c r="I60" s="657"/>
      <c r="J60" s="657"/>
      <c r="K60" s="657"/>
      <c r="L60" s="657"/>
      <c r="M60" s="657"/>
      <c r="N60" s="657"/>
      <c r="O60" s="657"/>
      <c r="P60" s="657"/>
      <c r="Q60" s="657"/>
      <c r="R60" s="657"/>
      <c r="S60" s="657"/>
      <c r="T60" s="657"/>
      <c r="U60" s="657"/>
      <c r="V60" s="657"/>
      <c r="W60" s="657"/>
      <c r="X60" s="657"/>
      <c r="Y60" s="657"/>
      <c r="Z60" s="657"/>
      <c r="AA60" s="657"/>
      <c r="AB60" s="657"/>
      <c r="AC60" s="657"/>
      <c r="AD60" s="657"/>
      <c r="AE60" s="657"/>
      <c r="AF60" s="657"/>
      <c r="AG60" s="657"/>
      <c r="AH60" s="657"/>
      <c r="AI60" s="4"/>
      <c r="AJ60" s="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c r="BL60" s="244"/>
      <c r="BM60" s="244"/>
    </row>
    <row r="61" ht="14.25">
      <c r="A61" s="4"/>
      <c r="B61" s="53"/>
      <c r="C61" s="84">
        <v>100</v>
      </c>
      <c r="D61" s="84">
        <v>100</v>
      </c>
      <c r="E61" s="84">
        <v>100</v>
      </c>
      <c r="F61" s="84">
        <v>100</v>
      </c>
      <c r="G61" s="84">
        <v>100</v>
      </c>
      <c r="H61" s="84">
        <v>100</v>
      </c>
      <c r="I61" s="84">
        <v>100</v>
      </c>
      <c r="J61" s="84">
        <v>100</v>
      </c>
      <c r="K61" s="84">
        <v>100</v>
      </c>
      <c r="L61" s="84">
        <v>100</v>
      </c>
      <c r="M61" s="84">
        <v>100</v>
      </c>
      <c r="N61" s="84">
        <v>100</v>
      </c>
      <c r="O61" s="84">
        <v>100</v>
      </c>
      <c r="P61" s="84">
        <v>100</v>
      </c>
      <c r="Q61" s="84">
        <v>100</v>
      </c>
      <c r="R61" s="84">
        <v>100</v>
      </c>
      <c r="S61" s="84">
        <v>100</v>
      </c>
      <c r="T61" s="84">
        <v>100</v>
      </c>
      <c r="U61" s="84">
        <v>100</v>
      </c>
      <c r="V61" s="84">
        <v>100</v>
      </c>
      <c r="W61" s="84">
        <v>100</v>
      </c>
      <c r="X61" s="84">
        <v>100</v>
      </c>
      <c r="Y61" s="84">
        <v>100</v>
      </c>
      <c r="Z61" s="84">
        <v>100</v>
      </c>
      <c r="AA61" s="84">
        <v>100</v>
      </c>
      <c r="AB61" s="84">
        <v>100</v>
      </c>
      <c r="AC61" s="84">
        <v>100</v>
      </c>
      <c r="AD61" s="84">
        <v>100</v>
      </c>
      <c r="AE61" s="84">
        <v>100</v>
      </c>
      <c r="AF61" s="84">
        <v>100</v>
      </c>
      <c r="AG61" s="84">
        <v>100</v>
      </c>
      <c r="AH61" s="4"/>
      <c r="AI61" s="4"/>
      <c r="AJ61" s="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c r="BL61" s="244"/>
      <c r="BM61" s="244"/>
    </row>
    <row r="62" ht="26.1" customHeight="1">
      <c r="A62" s="4"/>
      <c r="B62" s="650" t="s">
        <v>114</v>
      </c>
      <c r="C62" s="650"/>
      <c r="D62" s="650"/>
      <c r="E62" s="650"/>
      <c r="F62" s="650"/>
      <c r="G62" s="650"/>
      <c r="H62" s="650"/>
      <c r="I62" s="650"/>
      <c r="J62" s="650"/>
      <c r="K62" s="650"/>
      <c r="L62" s="650"/>
      <c r="M62" s="650"/>
      <c r="N62" s="650"/>
      <c r="O62" s="650"/>
      <c r="P62" s="650"/>
      <c r="Q62" s="650"/>
      <c r="R62" s="650"/>
      <c r="S62" s="650"/>
      <c r="T62" s="650"/>
      <c r="U62" s="650"/>
      <c r="V62" s="650"/>
      <c r="W62" s="650"/>
      <c r="X62" s="650"/>
      <c r="Y62" s="650"/>
      <c r="Z62" s="650"/>
      <c r="AA62" s="650"/>
      <c r="AB62" s="650"/>
      <c r="AC62" s="650"/>
      <c r="AD62" s="650"/>
      <c r="AE62" s="650"/>
      <c r="AF62" s="650"/>
      <c r="AG62" s="650"/>
      <c r="AH62" s="650"/>
      <c r="AI62" s="650"/>
      <c r="AJ62" s="650"/>
      <c r="AK62" s="650"/>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c r="BL62" s="244"/>
      <c r="BM62" s="24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c r="BL63" s="244"/>
      <c r="BM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c r="BL64" s="244"/>
      <c r="BM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c r="BK65" s="244"/>
      <c r="BL65" s="244"/>
      <c r="BM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c r="BK66" s="244"/>
      <c r="BL66" s="244"/>
      <c r="BM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c r="BK67" s="244"/>
      <c r="BL67" s="244"/>
      <c r="BM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c r="BH68" s="244"/>
      <c r="BI68" s="244"/>
      <c r="BJ68" s="244"/>
      <c r="BK68" s="244"/>
      <c r="BL68" s="244"/>
      <c r="BM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c r="BH69" s="244"/>
      <c r="BI69" s="244"/>
      <c r="BJ69" s="244"/>
      <c r="BK69" s="244"/>
      <c r="BL69" s="244"/>
      <c r="BM69" s="244"/>
    </row>
    <row r="70" s="25" customFormat="1">
      <c r="A70" s="248"/>
      <c r="B70" s="248"/>
      <c r="C70" s="248"/>
      <c r="D70" s="248"/>
      <c r="E70" s="248"/>
      <c r="F70" s="248"/>
      <c r="G70" s="248"/>
      <c r="H70" s="248"/>
      <c r="I70" s="248"/>
      <c r="J70" s="248"/>
      <c r="K70" s="248"/>
      <c r="L70" s="248"/>
      <c r="M70" s="248"/>
      <c r="N70" s="248"/>
      <c r="O70" s="248"/>
      <c r="P70" s="248"/>
      <c r="Q70" s="248"/>
      <c r="R70" s="248"/>
      <c r="S70" s="248"/>
      <c r="T70" s="248"/>
      <c r="U70" s="248"/>
      <c r="V70" s="248"/>
      <c r="W70" s="248"/>
      <c r="X70" s="248"/>
      <c r="Y70" s="248"/>
      <c r="Z70" s="248"/>
      <c r="AA70" s="248"/>
      <c r="AB70" s="248"/>
      <c r="AC70" s="248"/>
      <c r="AD70" s="248"/>
      <c r="AE70" s="248"/>
      <c r="AF70" s="248"/>
      <c r="AG70" s="248"/>
      <c r="AH70" s="248"/>
      <c r="AI70" s="248"/>
      <c r="AJ70" s="248"/>
      <c r="AK70" s="248"/>
      <c r="AL70" s="248"/>
      <c r="AM70" s="248"/>
      <c r="AN70" s="248"/>
      <c r="AO70" s="248"/>
      <c r="AP70" s="248"/>
      <c r="AQ70" s="248"/>
      <c r="AR70" s="248"/>
      <c r="AS70" s="248"/>
      <c r="AT70" s="248"/>
      <c r="AU70" s="248"/>
      <c r="AV70" s="248"/>
      <c r="AW70" s="248"/>
      <c r="AX70" s="248"/>
      <c r="AY70" s="248"/>
      <c r="AZ70" s="248"/>
      <c r="BA70" s="248"/>
      <c r="BB70" s="248"/>
      <c r="BC70" s="248"/>
      <c r="BD70" s="248"/>
      <c r="BE70" s="248"/>
      <c r="BF70" s="248"/>
      <c r="BG70" s="248"/>
      <c r="BH70" s="248"/>
      <c r="BI70" s="248"/>
      <c r="BJ70" s="248"/>
      <c r="BK70" s="248"/>
      <c r="BL70" s="248"/>
      <c r="BM70" s="248"/>
    </row>
    <row r="71" s="25" customFormat="1" ht="10.5" customHeight="1">
      <c r="A71" s="248"/>
      <c r="B71" s="248"/>
      <c r="C71" s="248"/>
      <c r="D71" s="248"/>
      <c r="E71" s="248"/>
      <c r="F71" s="248"/>
      <c r="G71" s="248"/>
      <c r="H71" s="248"/>
      <c r="I71" s="248"/>
      <c r="J71" s="248"/>
      <c r="K71" s="248"/>
      <c r="L71" s="248"/>
      <c r="M71" s="248"/>
      <c r="N71" s="248"/>
      <c r="O71" s="248"/>
      <c r="P71" s="248"/>
      <c r="Q71" s="248"/>
      <c r="R71" s="248"/>
      <c r="S71" s="248"/>
      <c r="T71" s="248"/>
      <c r="U71" s="248"/>
      <c r="V71" s="248"/>
      <c r="W71" s="248"/>
      <c r="X71" s="248"/>
      <c r="Y71" s="248"/>
      <c r="Z71" s="248"/>
      <c r="AA71" s="248"/>
      <c r="AB71" s="248"/>
      <c r="AC71" s="248"/>
      <c r="AD71" s="248"/>
      <c r="AE71" s="248"/>
      <c r="AF71" s="248"/>
      <c r="AG71" s="248"/>
      <c r="AH71" s="248"/>
      <c r="AI71" s="248"/>
      <c r="AJ71" s="248"/>
      <c r="AK71" s="248"/>
      <c r="AL71" s="248"/>
      <c r="AM71" s="248"/>
      <c r="AN71" s="248"/>
      <c r="AO71" s="248"/>
      <c r="AP71" s="248"/>
      <c r="AQ71" s="248"/>
      <c r="AR71" s="248"/>
      <c r="AS71" s="248"/>
      <c r="AT71" s="248"/>
      <c r="AU71" s="248"/>
      <c r="AV71" s="248"/>
      <c r="AW71" s="248"/>
      <c r="AX71" s="248"/>
      <c r="AY71" s="248"/>
      <c r="AZ71" s="248"/>
      <c r="BA71" s="248"/>
      <c r="BB71" s="248"/>
      <c r="BC71" s="248"/>
      <c r="BD71" s="248"/>
      <c r="BE71" s="248"/>
      <c r="BF71" s="248"/>
      <c r="BG71" s="248"/>
      <c r="BH71" s="248"/>
      <c r="BI71" s="248"/>
      <c r="BJ71" s="248"/>
      <c r="BK71" s="248"/>
      <c r="BL71" s="248"/>
      <c r="BM71" s="248"/>
    </row>
    <row r="72" s="25" customFormat="1">
      <c r="A72" s="248"/>
      <c r="B72" s="248"/>
      <c r="C72" s="248"/>
      <c r="D72" s="248"/>
      <c r="E72" s="248"/>
      <c r="F72" s="248"/>
      <c r="G72" s="248"/>
      <c r="H72" s="248"/>
      <c r="I72" s="248"/>
      <c r="J72" s="248"/>
      <c r="K72" s="248"/>
      <c r="L72" s="248"/>
      <c r="M72" s="248"/>
      <c r="N72" s="248"/>
      <c r="O72" s="248"/>
      <c r="P72" s="248"/>
      <c r="Q72" s="248"/>
      <c r="R72" s="248"/>
      <c r="S72" s="248"/>
      <c r="T72" s="248"/>
      <c r="U72" s="248"/>
      <c r="V72" s="248"/>
      <c r="W72" s="248"/>
      <c r="X72" s="248"/>
      <c r="Y72" s="248"/>
      <c r="Z72" s="248"/>
      <c r="AA72" s="248"/>
      <c r="AB72" s="248"/>
      <c r="AC72" s="248"/>
      <c r="AD72" s="248"/>
      <c r="AE72" s="248"/>
      <c r="AF72" s="248"/>
      <c r="AG72" s="248"/>
      <c r="AH72" s="248"/>
      <c r="AI72" s="248"/>
      <c r="AJ72" s="248"/>
      <c r="AK72" s="248"/>
      <c r="AL72" s="248"/>
      <c r="AM72" s="248"/>
      <c r="AN72" s="248"/>
      <c r="AO72" s="248"/>
      <c r="AP72" s="248"/>
      <c r="AQ72" s="248"/>
      <c r="AR72" s="248"/>
      <c r="AS72" s="248"/>
      <c r="AT72" s="248"/>
      <c r="AU72" s="248"/>
      <c r="AV72" s="248"/>
      <c r="AW72" s="248"/>
      <c r="AX72" s="248"/>
      <c r="AY72" s="248"/>
      <c r="AZ72" s="248"/>
      <c r="BA72" s="248"/>
      <c r="BB72" s="248"/>
      <c r="BC72" s="248"/>
      <c r="BD72" s="248"/>
      <c r="BE72" s="248"/>
      <c r="BF72" s="248"/>
      <c r="BG72" s="248"/>
      <c r="BH72" s="248"/>
      <c r="BI72" s="248"/>
      <c r="BJ72" s="248"/>
      <c r="BK72" s="248"/>
      <c r="BL72" s="248"/>
      <c r="BM72" s="248"/>
    </row>
    <row r="73" s="84" customFormat="1">
      <c r="A73" s="249"/>
      <c r="B73" s="249"/>
      <c r="C73" s="249"/>
      <c r="D73" s="249"/>
      <c r="E73" s="249"/>
      <c r="F73" s="249"/>
      <c r="G73" s="249"/>
      <c r="H73" s="249"/>
      <c r="I73" s="249"/>
      <c r="J73" s="249"/>
      <c r="K73" s="249"/>
      <c r="L73" s="249"/>
      <c r="M73" s="249"/>
      <c r="N73" s="249"/>
      <c r="O73" s="249"/>
      <c r="P73" s="249"/>
      <c r="Q73" s="249"/>
      <c r="R73" s="249"/>
      <c r="S73" s="249"/>
      <c r="T73" s="249"/>
      <c r="U73" s="249"/>
      <c r="V73" s="249"/>
      <c r="W73" s="249"/>
      <c r="X73" s="249"/>
      <c r="Y73" s="249"/>
      <c r="Z73" s="249"/>
      <c r="AA73" s="249"/>
      <c r="AB73" s="249"/>
      <c r="AC73" s="249"/>
      <c r="AD73" s="249"/>
      <c r="AE73" s="249"/>
      <c r="AF73" s="249"/>
      <c r="AG73" s="249"/>
      <c r="AH73" s="249"/>
      <c r="AI73" s="249"/>
      <c r="AJ73" s="249"/>
      <c r="AK73" s="249"/>
      <c r="AL73" s="249"/>
      <c r="AM73" s="249"/>
      <c r="AN73" s="249"/>
      <c r="AO73" s="249"/>
      <c r="AP73" s="249"/>
      <c r="AQ73" s="249"/>
      <c r="AR73" s="249"/>
      <c r="AS73" s="249"/>
      <c r="AT73" s="249"/>
      <c r="AU73" s="249"/>
      <c r="AV73" s="249"/>
      <c r="AW73" s="249"/>
      <c r="AX73" s="249"/>
      <c r="AY73" s="249"/>
      <c r="AZ73" s="249"/>
      <c r="BA73" s="249"/>
      <c r="BB73" s="249"/>
      <c r="BC73" s="249"/>
      <c r="BD73" s="249"/>
      <c r="BE73" s="249"/>
      <c r="BF73" s="249"/>
      <c r="BG73" s="249"/>
      <c r="BH73" s="249"/>
      <c r="BI73" s="249"/>
      <c r="BJ73" s="249"/>
      <c r="BK73" s="249"/>
      <c r="BL73" s="249"/>
      <c r="BM73" s="249"/>
    </row>
    <row r="74" s="84" customFormat="1">
      <c r="A74" s="249"/>
      <c r="B74" s="249"/>
      <c r="C74" s="249"/>
      <c r="D74" s="249"/>
      <c r="E74" s="249"/>
      <c r="F74" s="249"/>
      <c r="G74" s="249"/>
      <c r="H74" s="249"/>
      <c r="I74" s="249"/>
      <c r="J74" s="249"/>
      <c r="K74" s="249"/>
      <c r="L74" s="249"/>
      <c r="M74" s="249"/>
      <c r="N74" s="249"/>
      <c r="O74" s="249"/>
      <c r="P74" s="249"/>
      <c r="Q74" s="249"/>
      <c r="R74" s="249"/>
      <c r="S74" s="249"/>
      <c r="T74" s="249"/>
      <c r="U74" s="249"/>
      <c r="V74" s="249"/>
      <c r="W74" s="249"/>
      <c r="X74" s="249"/>
      <c r="Y74" s="249"/>
      <c r="Z74" s="249"/>
      <c r="AA74" s="249"/>
      <c r="AB74" s="249"/>
      <c r="AC74" s="249"/>
      <c r="AD74" s="249"/>
      <c r="AE74" s="249"/>
      <c r="AF74" s="249"/>
      <c r="AG74" s="249"/>
      <c r="AH74" s="249"/>
      <c r="AI74" s="249"/>
      <c r="AJ74" s="249"/>
      <c r="AK74" s="249"/>
      <c r="AL74" s="249"/>
      <c r="AM74" s="249"/>
      <c r="AN74" s="249"/>
      <c r="AO74" s="249"/>
      <c r="AP74" s="249"/>
      <c r="AQ74" s="249"/>
      <c r="AR74" s="249"/>
      <c r="AS74" s="249"/>
      <c r="AT74" s="249"/>
      <c r="AU74" s="249"/>
      <c r="AV74" s="249"/>
      <c r="AW74" s="249"/>
      <c r="AX74" s="249"/>
      <c r="AY74" s="249"/>
      <c r="AZ74" s="249"/>
      <c r="BA74" s="249"/>
      <c r="BB74" s="249"/>
      <c r="BC74" s="249"/>
      <c r="BD74" s="249"/>
      <c r="BE74" s="249"/>
      <c r="BF74" s="249"/>
      <c r="BG74" s="249"/>
      <c r="BH74" s="249"/>
      <c r="BI74" s="249"/>
      <c r="BJ74" s="249"/>
      <c r="BK74" s="249"/>
      <c r="BL74" s="249"/>
      <c r="BM74" s="249"/>
    </row>
    <row r="75" s="84" customFormat="1">
      <c r="A75" s="249"/>
      <c r="B75" s="249"/>
      <c r="C75" s="249"/>
      <c r="D75" s="249"/>
      <c r="E75" s="249"/>
      <c r="F75" s="249"/>
      <c r="G75" s="249"/>
      <c r="H75" s="249"/>
      <c r="I75" s="249"/>
      <c r="J75" s="249"/>
      <c r="K75" s="249"/>
      <c r="L75" s="249"/>
      <c r="M75" s="249"/>
      <c r="N75" s="249"/>
      <c r="O75" s="249"/>
      <c r="P75" s="249"/>
      <c r="Q75" s="249"/>
      <c r="R75" s="249"/>
      <c r="S75" s="249"/>
      <c r="T75" s="249"/>
      <c r="U75" s="249"/>
      <c r="V75" s="249"/>
      <c r="W75" s="249"/>
      <c r="X75" s="249"/>
      <c r="Y75" s="249"/>
      <c r="Z75" s="249"/>
      <c r="AA75" s="249"/>
      <c r="AB75" s="249"/>
      <c r="AC75" s="249"/>
      <c r="AD75" s="249"/>
      <c r="AE75" s="249"/>
      <c r="AF75" s="249"/>
      <c r="AG75" s="249"/>
      <c r="AH75" s="249"/>
      <c r="AI75" s="249"/>
      <c r="AJ75" s="249"/>
      <c r="AK75" s="249"/>
      <c r="AL75" s="249"/>
      <c r="AM75" s="249"/>
      <c r="AN75" s="249"/>
      <c r="AO75" s="249"/>
      <c r="AP75" s="249"/>
      <c r="AQ75" s="249"/>
      <c r="AR75" s="249"/>
      <c r="AS75" s="249"/>
      <c r="AT75" s="249"/>
      <c r="AU75" s="249"/>
      <c r="AV75" s="249"/>
      <c r="AW75" s="249"/>
      <c r="AX75" s="249"/>
      <c r="AY75" s="249"/>
      <c r="AZ75" s="249"/>
      <c r="BA75" s="249"/>
      <c r="BB75" s="249"/>
      <c r="BC75" s="249"/>
      <c r="BD75" s="249"/>
      <c r="BE75" s="249"/>
      <c r="BF75" s="249"/>
      <c r="BG75" s="249"/>
      <c r="BH75" s="249"/>
      <c r="BI75" s="249"/>
      <c r="BJ75" s="249"/>
      <c r="BK75" s="249"/>
      <c r="BL75" s="249"/>
      <c r="BM75" s="249"/>
    </row>
    <row r="76" s="84" customFormat="1">
      <c r="A76" s="250"/>
      <c r="B76" s="250"/>
      <c r="C76" s="250"/>
      <c r="D76" s="250"/>
      <c r="E76" s="250"/>
      <c r="F76" s="250"/>
      <c r="G76" s="250"/>
      <c r="H76" s="250"/>
      <c r="I76" s="249"/>
      <c r="J76" s="249"/>
      <c r="K76" s="249"/>
      <c r="L76" s="249"/>
      <c r="M76" s="249"/>
      <c r="N76" s="249"/>
      <c r="O76" s="249"/>
      <c r="P76" s="249"/>
      <c r="Q76" s="249"/>
      <c r="R76" s="249"/>
      <c r="S76" s="249"/>
      <c r="T76" s="249"/>
      <c r="U76" s="249"/>
      <c r="V76" s="249"/>
      <c r="W76" s="249"/>
      <c r="X76" s="249"/>
      <c r="Y76" s="249"/>
      <c r="Z76" s="249"/>
      <c r="AA76" s="249"/>
      <c r="AB76" s="249"/>
      <c r="AC76" s="249"/>
      <c r="AD76" s="249"/>
      <c r="AE76" s="249"/>
      <c r="AF76" s="249"/>
      <c r="AG76" s="249"/>
      <c r="AH76" s="249"/>
      <c r="AI76" s="249"/>
      <c r="AJ76" s="249"/>
      <c r="AK76" s="249"/>
      <c r="AL76" s="249"/>
      <c r="AM76" s="249"/>
      <c r="AN76" s="249"/>
      <c r="AO76" s="249"/>
      <c r="AP76" s="249"/>
      <c r="AQ76" s="249"/>
      <c r="AR76" s="249"/>
      <c r="AS76" s="249"/>
      <c r="AT76" s="249"/>
      <c r="AU76" s="249"/>
      <c r="AV76" s="249"/>
      <c r="AW76" s="249"/>
      <c r="AX76" s="249"/>
      <c r="AY76" s="249"/>
      <c r="AZ76" s="249"/>
      <c r="BA76" s="249"/>
      <c r="BB76" s="249"/>
      <c r="BC76" s="249"/>
      <c r="BD76" s="249"/>
      <c r="BE76" s="249"/>
      <c r="BF76" s="249"/>
      <c r="BG76" s="249"/>
      <c r="BH76" s="249"/>
      <c r="BI76" s="249"/>
      <c r="BJ76" s="249"/>
      <c r="BK76" s="249"/>
      <c r="BL76" s="249"/>
      <c r="BM76" s="249"/>
    </row>
    <row r="77" s="84" customFormat="1">
      <c r="A77" s="250"/>
      <c r="B77" s="250"/>
      <c r="C77" s="250"/>
      <c r="D77" s="250"/>
      <c r="E77" s="250"/>
      <c r="F77" s="250"/>
      <c r="G77" s="250"/>
      <c r="H77" s="250"/>
      <c r="I77" s="249"/>
      <c r="J77" s="249"/>
      <c r="K77" s="249"/>
      <c r="L77" s="249"/>
      <c r="M77" s="249"/>
      <c r="N77" s="249"/>
      <c r="O77" s="249"/>
      <c r="P77" s="249"/>
      <c r="Q77" s="249"/>
      <c r="R77" s="249"/>
      <c r="S77" s="249"/>
      <c r="T77" s="249"/>
      <c r="U77" s="249"/>
      <c r="V77" s="249"/>
      <c r="W77" s="249"/>
      <c r="X77" s="249"/>
      <c r="Y77" s="249"/>
      <c r="Z77" s="249"/>
      <c r="AA77" s="249"/>
      <c r="AB77" s="249"/>
      <c r="AC77" s="249"/>
      <c r="AD77" s="249"/>
      <c r="AE77" s="249"/>
      <c r="AF77" s="249"/>
      <c r="AG77" s="249"/>
      <c r="AH77" s="249"/>
      <c r="AI77" s="249"/>
      <c r="AJ77" s="249"/>
      <c r="AK77" s="249"/>
      <c r="AL77" s="249"/>
      <c r="AM77" s="249"/>
      <c r="AN77" s="249"/>
      <c r="AO77" s="249"/>
      <c r="AP77" s="249"/>
      <c r="AQ77" s="249"/>
      <c r="AR77" s="249"/>
      <c r="AS77" s="249"/>
      <c r="AT77" s="249"/>
      <c r="AU77" s="249"/>
      <c r="AV77" s="249"/>
      <c r="AW77" s="249"/>
      <c r="AX77" s="249"/>
      <c r="AY77" s="249"/>
      <c r="AZ77" s="249"/>
      <c r="BA77" s="249"/>
      <c r="BB77" s="249"/>
      <c r="BC77" s="249"/>
      <c r="BD77" s="249"/>
      <c r="BE77" s="249"/>
      <c r="BF77" s="249"/>
      <c r="BG77" s="249"/>
      <c r="BH77" s="249"/>
      <c r="BI77" s="249"/>
      <c r="BJ77" s="249"/>
      <c r="BK77" s="249"/>
      <c r="BL77" s="249"/>
      <c r="BM77" s="249"/>
    </row>
    <row r="78" s="84" customFormat="1">
      <c r="A78" s="250"/>
      <c r="B78" s="250"/>
      <c r="C78" s="250"/>
      <c r="D78" s="250"/>
      <c r="E78" s="250"/>
      <c r="F78" s="250"/>
      <c r="G78" s="250"/>
      <c r="H78" s="250"/>
      <c r="I78" s="249"/>
      <c r="J78" s="249"/>
      <c r="K78" s="249"/>
      <c r="L78" s="249"/>
      <c r="M78" s="249"/>
      <c r="N78" s="249"/>
      <c r="O78" s="249"/>
      <c r="P78" s="249"/>
      <c r="Q78" s="249"/>
      <c r="R78" s="249"/>
      <c r="S78" s="249"/>
      <c r="T78" s="249"/>
      <c r="U78" s="249"/>
      <c r="V78" s="249"/>
      <c r="W78" s="249"/>
      <c r="X78" s="249"/>
      <c r="Y78" s="249"/>
      <c r="Z78" s="249"/>
      <c r="AA78" s="249"/>
      <c r="AB78" s="249"/>
      <c r="AC78" s="249"/>
      <c r="AD78" s="249"/>
      <c r="AE78" s="249"/>
      <c r="AF78" s="249"/>
      <c r="AG78" s="249"/>
      <c r="AH78" s="249"/>
      <c r="AI78" s="249"/>
      <c r="AJ78" s="249"/>
      <c r="AK78" s="249"/>
      <c r="AL78" s="249"/>
      <c r="AM78" s="249"/>
      <c r="AN78" s="249"/>
      <c r="AO78" s="249"/>
      <c r="AP78" s="249"/>
      <c r="AQ78" s="249"/>
      <c r="AR78" s="249"/>
      <c r="AS78" s="249"/>
      <c r="AT78" s="249"/>
      <c r="AU78" s="249"/>
      <c r="AV78" s="249"/>
      <c r="AW78" s="249"/>
      <c r="AX78" s="249"/>
      <c r="AY78" s="249"/>
      <c r="AZ78" s="249"/>
      <c r="BA78" s="249"/>
      <c r="BB78" s="249"/>
      <c r="BC78" s="249"/>
      <c r="BD78" s="249"/>
      <c r="BE78" s="249"/>
      <c r="BF78" s="249"/>
      <c r="BG78" s="249"/>
      <c r="BH78" s="249"/>
      <c r="BI78" s="249"/>
      <c r="BJ78" s="249"/>
      <c r="BK78" s="249"/>
      <c r="BL78" s="249"/>
      <c r="BM78" s="249"/>
    </row>
    <row r="79" s="84" customFormat="1">
      <c r="A79" s="249"/>
      <c r="B79" s="249"/>
      <c r="C79" s="249"/>
      <c r="D79" s="249"/>
      <c r="E79" s="249"/>
      <c r="F79" s="249"/>
      <c r="G79" s="249"/>
      <c r="H79" s="249"/>
      <c r="I79" s="249"/>
      <c r="J79" s="249"/>
      <c r="K79" s="249"/>
      <c r="L79" s="249"/>
      <c r="M79" s="249"/>
      <c r="N79" s="249"/>
      <c r="O79" s="249"/>
      <c r="P79" s="249"/>
      <c r="Q79" s="249"/>
      <c r="R79" s="249"/>
      <c r="S79" s="249"/>
      <c r="T79" s="249"/>
      <c r="U79" s="249"/>
      <c r="V79" s="249"/>
      <c r="W79" s="249"/>
      <c r="X79" s="249"/>
      <c r="Y79" s="249"/>
      <c r="Z79" s="249"/>
      <c r="AA79" s="249"/>
      <c r="AB79" s="249"/>
      <c r="AC79" s="249"/>
      <c r="AD79" s="249"/>
      <c r="AE79" s="249"/>
      <c r="AF79" s="249"/>
      <c r="AG79" s="249"/>
      <c r="AH79" s="249"/>
      <c r="AI79" s="249"/>
      <c r="AJ79" s="249"/>
      <c r="AK79" s="249"/>
      <c r="AL79" s="249"/>
      <c r="AM79" s="249"/>
      <c r="AN79" s="249"/>
      <c r="AO79" s="249"/>
      <c r="AP79" s="249"/>
      <c r="AQ79" s="249"/>
      <c r="AR79" s="249"/>
      <c r="AS79" s="249"/>
      <c r="AT79" s="249"/>
      <c r="AU79" s="249"/>
      <c r="AV79" s="249"/>
      <c r="AW79" s="249"/>
      <c r="AX79" s="249"/>
      <c r="AY79" s="249"/>
      <c r="AZ79" s="249"/>
      <c r="BA79" s="249"/>
      <c r="BB79" s="249"/>
      <c r="BC79" s="249"/>
      <c r="BD79" s="249"/>
      <c r="BE79" s="249"/>
      <c r="BF79" s="249"/>
      <c r="BG79" s="249"/>
      <c r="BH79" s="249"/>
      <c r="BI79" s="249"/>
      <c r="BJ79" s="249"/>
      <c r="BK79" s="249"/>
      <c r="BL79" s="249"/>
      <c r="BM79" s="249"/>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c r="BL80" s="244"/>
      <c r="BM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c r="BL81" s="244"/>
      <c r="BM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c r="BL82" s="244"/>
      <c r="BM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c r="BL83" s="244"/>
      <c r="BM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c r="BL84" s="244"/>
      <c r="BM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c r="BL85" s="244"/>
      <c r="BM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c r="BL86" s="244"/>
      <c r="BM86" s="244"/>
    </row>
    <row r="87">
      <c r="A87" s="244"/>
      <c r="B87" s="244"/>
      <c r="C87" s="244"/>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c r="BL87" s="244"/>
      <c r="BM87" s="244"/>
    </row>
    <row r="88">
      <c r="A88" s="244"/>
      <c r="B88" s="244"/>
      <c r="C88" s="244"/>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c r="BL88" s="244"/>
      <c r="BM88" s="244"/>
    </row>
    <row r="89">
      <c r="A89" s="244"/>
      <c r="B89" s="244"/>
      <c r="C89" s="244"/>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c r="BL89" s="244"/>
      <c r="BM89" s="244"/>
    </row>
    <row r="90">
      <c r="A90" s="244"/>
      <c r="B90" s="244"/>
      <c r="C90" s="244"/>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c r="BL90" s="244"/>
      <c r="BM90" s="244"/>
    </row>
    <row r="91">
      <c r="A91" s="244"/>
      <c r="B91" s="244"/>
      <c r="C91" s="244"/>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c r="BL91" s="244"/>
      <c r="BM91" s="244"/>
    </row>
    <row r="92">
      <c r="A92" s="244"/>
      <c r="B92" s="244"/>
      <c r="C92" s="244"/>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c r="BL92" s="244"/>
      <c r="BM92" s="244"/>
    </row>
    <row r="93">
      <c r="A93" s="244"/>
      <c r="B93" s="244"/>
      <c r="C93" s="244"/>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c r="BL93" s="244"/>
      <c r="BM93" s="244"/>
    </row>
    <row r="94">
      <c r="A94" s="244"/>
      <c r="B94" s="244"/>
      <c r="C94" s="244"/>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c r="BL94" s="244"/>
      <c r="BM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c r="BL95" s="244"/>
      <c r="BM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c r="BL96" s="244"/>
      <c r="BM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c r="BL97" s="244"/>
      <c r="BM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c r="BL98" s="244"/>
      <c r="BM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c r="BL99" s="244"/>
      <c r="BM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c r="BL100" s="244"/>
      <c r="BM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c r="BL101" s="244"/>
      <c r="BM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c r="BL102" s="244"/>
      <c r="BM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c r="BL103" s="244"/>
      <c r="BM103" s="244"/>
    </row>
  </sheetData>
  <mergeCells count="8">
    <mergeCell ref="B62:AK62"/>
    <mergeCell ref="T4:AI4"/>
    <mergeCell ref="B48:B49"/>
    <mergeCell ref="X22:AD22"/>
    <mergeCell ref="X35:AD35"/>
    <mergeCell ref="X47:AD47"/>
    <mergeCell ref="B24:B25"/>
    <mergeCell ref="B36:B37"/>
  </mergeCells>
  <phoneticPr fontId="0" type="noConversion"/>
  <printOptions horizontalCentered="1" verticalCentered="1"/>
  <pageMargins left="0.25" right="0.25" top="0.25" bottom="0.25" header="0" footer="0"/>
  <pageSetup scale="45" orientation="landscape" r:id="rId1"/>
  <headerFooter alignWithMargins="0">
    <oddHeader/>
    <oddFooter/>
  </headerFooter>
  <drawing r:id="rId37"/>
</worksheet>
</file>

<file path=xl/worksheets/sheet6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4">
    <pageSetUpPr fitToPage="1"/>
  </sheetPr>
  <dimension ref="A1:BK113"/>
  <sheetViews>
    <sheetView showGridLines="0" zoomScale="65" zoomScaleNormal="75" workbookViewId="0"/>
  </sheetViews>
  <sheetFormatPr defaultRowHeight="12.75"/>
  <cols>
    <col min="1" max="1" width="1" customWidth="1"/>
    <col min="2" max="2" width="21.7109375" customWidth="1"/>
    <col min="3" max="30" width="8.28515625" customWidth="1"/>
    <col min="31" max="31" width="1.7109375" customWidth="1"/>
    <col min="32" max="34" width="8.28515625" customWidth="1"/>
    <col min="35" max="35" width="2" customWidth="1"/>
    <col min="36" max="39" width="9.28515625" bestFit="1" customWidth="1"/>
  </cols>
  <sheetData>
    <row r="1" ht="36" customHeight="1">
      <c r="A1" s="6"/>
      <c r="B1" s="39" t="s">
        <v>146</v>
      </c>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row>
    <row r="2" ht="17.1" customHeight="1">
      <c r="A2" s="5"/>
      <c r="B2" s="10" t="s">
        <v>168</v>
      </c>
      <c r="AG2" s="216"/>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row>
    <row r="3" ht="17.1" customHeight="1">
      <c r="A3" s="5"/>
      <c r="B3" s="10" t="s">
        <v>181</v>
      </c>
      <c r="AG3" s="40"/>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row>
    <row r="4" ht="17.1" customHeight="1">
      <c r="A4" s="5"/>
      <c r="B4" s="4" t="s">
        <v>182</v>
      </c>
      <c r="R4" s="715" t="s">
        <v>184</v>
      </c>
      <c r="S4" s="715"/>
      <c r="T4" s="715"/>
      <c r="U4" s="715"/>
      <c r="V4" s="715"/>
      <c r="W4" s="715"/>
      <c r="X4" s="715"/>
      <c r="Y4" s="715"/>
      <c r="Z4" s="715"/>
      <c r="AA4" s="715"/>
      <c r="AB4" s="715"/>
      <c r="AC4" s="715"/>
      <c r="AD4" s="715"/>
      <c r="AE4" s="715"/>
      <c r="AF4" s="715"/>
      <c r="AG4" s="715"/>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row>
    <row r="5" ht="23.25">
      <c r="A5" s="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row>
    <row r="6" ht="23.25">
      <c r="A6" s="5"/>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row>
    <row r="7" ht="23.25">
      <c r="A7" s="5"/>
      <c r="Y7" s="26"/>
      <c r="Z7" s="26"/>
      <c r="AA7" s="26"/>
      <c r="AB7" s="26"/>
      <c r="AC7" s="26"/>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row>
    <row r="8" ht="23.25">
      <c r="A8" s="5"/>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row>
    <row r="9" ht="23.25">
      <c r="A9" s="5"/>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row>
    <row r="10" ht="23.25">
      <c r="A10" s="5"/>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row>
    <row r="11" ht="23.25">
      <c r="A11" s="5"/>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row>
    <row r="12" ht="23.25">
      <c r="A12" s="5"/>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row>
    <row r="13" ht="23.25">
      <c r="A13" s="5"/>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row>
    <row r="14" ht="23.25">
      <c r="A14" s="5"/>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row>
    <row r="15" ht="23.25">
      <c r="A15" s="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row>
    <row r="16" ht="23.25">
      <c r="A16" s="5"/>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row>
    <row r="17" ht="23.25">
      <c r="A17" s="5"/>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row>
    <row r="18" ht="23.25">
      <c r="A18" s="5"/>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row>
    <row r="19" ht="23.25">
      <c r="A19" s="5"/>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row>
    <row r="20" ht="11.25" customHeight="1">
      <c r="A20" s="5"/>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row>
    <row r="21" ht="20.1" customHeight="1" thickBot="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row>
    <row r="22" ht="18" customHeight="1">
      <c r="A22" s="8"/>
      <c r="B22" s="29"/>
      <c r="X22" s="716" t="s">
        <v>72</v>
      </c>
      <c r="Y22" s="716"/>
      <c r="Z22" s="716"/>
      <c r="AA22" s="716"/>
      <c r="AB22" s="716"/>
      <c r="AC22" s="716"/>
      <c r="AD22" s="716"/>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c r="BK23" s="262"/>
    </row>
    <row r="24" s="41" customFormat="1" ht="18">
      <c r="B24" s="417" t="s">
        <v>75</v>
      </c>
      <c r="C24" s="275" t="s">
        <v>186</v>
      </c>
      <c r="D24" s="276"/>
      <c r="E24" s="276"/>
      <c r="F24" s="276"/>
      <c r="G24" s="658" t="s">
        <v>183</v>
      </c>
      <c r="H24" s="276"/>
      <c r="I24" s="276"/>
      <c r="J24" s="276"/>
      <c r="K24" s="276"/>
      <c r="L24" s="276"/>
      <c r="M24" s="276"/>
      <c r="N24" s="276"/>
      <c r="O24" s="276"/>
      <c r="P24" s="276"/>
      <c r="Q24" s="276"/>
      <c r="R24" s="276"/>
      <c r="S24" s="277"/>
      <c r="T24" s="277"/>
      <c r="U24" s="277"/>
      <c r="V24" s="277"/>
      <c r="W24" s="277"/>
      <c r="X24" s="312"/>
      <c r="Y24" s="277"/>
      <c r="Z24" s="277"/>
      <c r="AA24" s="277"/>
      <c r="AB24" s="277"/>
      <c r="AC24" s="277"/>
      <c r="AD24" s="336"/>
      <c r="AE24" s="25"/>
      <c r="AF24" s="316" t="s">
        <v>58</v>
      </c>
      <c r="AG24" s="317" t="s">
        <v>59</v>
      </c>
      <c r="AH24" s="318" t="s">
        <v>59</v>
      </c>
      <c r="AI24" s="25"/>
      <c r="AJ24" s="248"/>
      <c r="AK24" s="248"/>
      <c r="AL24" s="248"/>
      <c r="AM24" s="248"/>
      <c r="AN24" s="253"/>
      <c r="AO24" s="253"/>
      <c r="AP24" s="253"/>
      <c r="AQ24" s="253"/>
      <c r="AR24" s="253"/>
      <c r="AS24" s="253"/>
      <c r="AT24" s="253"/>
      <c r="AU24" s="253"/>
      <c r="AV24" s="253"/>
      <c r="AW24" s="253"/>
      <c r="AX24" s="253"/>
      <c r="AY24" s="253"/>
      <c r="AZ24" s="253"/>
      <c r="BA24" s="253"/>
      <c r="BB24" s="253"/>
      <c r="BC24" s="253"/>
      <c r="BD24" s="253"/>
      <c r="BE24" s="253"/>
      <c r="BF24" s="253"/>
      <c r="BG24" s="253"/>
      <c r="BH24" s="253"/>
      <c r="BI24" s="253"/>
      <c r="BJ24" s="253"/>
      <c r="BK24" s="253"/>
    </row>
    <row r="25" s="42" customFormat="1">
      <c r="C25" s="284">
        <v>27</v>
      </c>
      <c r="D25">
        <v>28</v>
      </c>
      <c r="E25">
        <v>29</v>
      </c>
      <c r="F25">
        <v>30</v>
      </c>
      <c r="G25" s="717">
        <v>1</v>
      </c>
      <c r="H25">
        <v>2</v>
      </c>
      <c r="I25">
        <v>3</v>
      </c>
      <c r="J25">
        <v>4</v>
      </c>
      <c r="K25">
        <v>5</v>
      </c>
      <c r="L25">
        <v>6</v>
      </c>
      <c r="M25">
        <v>7</v>
      </c>
      <c r="N25">
        <v>8</v>
      </c>
      <c r="O25">
        <v>9</v>
      </c>
      <c r="P25">
        <v>10</v>
      </c>
      <c r="Q25">
        <v>11</v>
      </c>
      <c r="R25">
        <v>12</v>
      </c>
      <c r="S25">
        <v>13</v>
      </c>
      <c r="T25">
        <v>14</v>
      </c>
      <c r="U25">
        <v>15</v>
      </c>
      <c r="V25">
        <v>16</v>
      </c>
      <c r="W25">
        <v>17</v>
      </c>
      <c r="X25" s="323">
        <v>18</v>
      </c>
      <c r="Y25">
        <v>19</v>
      </c>
      <c r="Z25">
        <v>20</v>
      </c>
      <c r="AA25">
        <v>21</v>
      </c>
      <c r="AB25">
        <v>22</v>
      </c>
      <c r="AC25">
        <v>23</v>
      </c>
      <c r="AD25" s="337">
        <v>24</v>
      </c>
      <c r="AE25" s="25"/>
      <c r="AF25" s="324" t="s">
        <v>60</v>
      </c>
      <c r="AG25" s="325">
        <v>28</v>
      </c>
      <c r="AH25" s="326" t="s">
        <v>31</v>
      </c>
      <c r="AI25" s="25"/>
      <c r="AJ25" s="248"/>
      <c r="AK25" s="248"/>
      <c r="AL25" s="248"/>
      <c r="AM25" s="248"/>
      <c r="AN25" s="254"/>
      <c r="AO25" s="254"/>
      <c r="AP25" s="254"/>
      <c r="AQ25" s="254"/>
      <c r="AR25" s="254"/>
      <c r="AS25" s="254"/>
      <c r="AT25" s="254"/>
      <c r="AU25" s="254"/>
      <c r="AV25" s="254"/>
      <c r="AW25" s="254"/>
      <c r="AX25" s="254"/>
      <c r="AY25" s="254"/>
      <c r="AZ25" s="254"/>
      <c r="BA25" s="254"/>
      <c r="BB25" s="254"/>
      <c r="BC25" s="254"/>
      <c r="BD25" s="254"/>
      <c r="BE25" s="254"/>
      <c r="BF25" s="254"/>
      <c r="BG25" s="254"/>
      <c r="BH25" s="254"/>
      <c r="BI25" s="254"/>
      <c r="BJ25" s="254"/>
      <c r="BK25" s="254"/>
    </row>
    <row r="26" ht="14.25" customHeight="1">
      <c r="B26" s="46" t="s">
        <v>32</v>
      </c>
      <c r="C26" s="444">
        <v>81.81818181818181818181818182</v>
      </c>
      <c r="D26" s="445">
        <v>93.93939393939393939393939394</v>
      </c>
      <c r="E26" s="445">
        <v>96.96969696969696969696969697</v>
      </c>
      <c r="F26" s="445">
        <v>95.45454545454545454545454545</v>
      </c>
      <c r="G26" s="660">
        <v>93.93939393939393939393939394</v>
      </c>
      <c r="H26" s="445">
        <v>96.96969696969696969696969697</v>
      </c>
      <c r="I26" s="445">
        <v>99.24242424242424242424242424</v>
      </c>
      <c r="J26" s="445">
        <v>97.72727272727272727272727273</v>
      </c>
      <c r="K26" s="445">
        <v>64.393939393939393939393939390</v>
      </c>
      <c r="L26" s="445">
        <v>51.515151515151515151515151520</v>
      </c>
      <c r="M26" s="445">
        <v>82.57575757575757575757575758</v>
      </c>
      <c r="N26" s="445">
        <v>85.60606060606060606060606061</v>
      </c>
      <c r="O26" s="445">
        <v>79.54545454545454545454545455</v>
      </c>
      <c r="P26" s="445">
        <v>85.60606060606060606060606061</v>
      </c>
      <c r="Q26" s="445">
        <v>58.333333333333333333333333330</v>
      </c>
      <c r="R26" s="445">
        <v>63.636363636363636363636363640</v>
      </c>
      <c r="S26" s="445">
        <v>69.696969696969696969696969700</v>
      </c>
      <c r="T26" s="445">
        <v>71.212121212121212121212121210</v>
      </c>
      <c r="U26" s="445">
        <v>81.06060606060606060606060606</v>
      </c>
      <c r="V26" s="445">
        <v>86.36363636363636363636363636</v>
      </c>
      <c r="W26" s="445">
        <v>96.21212121212121212121212121</v>
      </c>
      <c r="X26" s="446">
        <v>89.39393939393939393939393939</v>
      </c>
      <c r="Y26" s="445">
        <v>90.15151515151515151515151515</v>
      </c>
      <c r="Z26" s="445">
        <v>89.39393939393939393939393939</v>
      </c>
      <c r="AA26" s="445">
        <v>95.45454545454545454545454545</v>
      </c>
      <c r="AB26" s="445">
        <v>95.45454545454545454545454545</v>
      </c>
      <c r="AC26" s="445">
        <v>73.484848484848484848484848480</v>
      </c>
      <c r="AD26" s="447">
        <v>90.90909090909090909090909091</v>
      </c>
      <c r="AE26" s="448"/>
      <c r="AF26" s="444">
        <v>89.17748917748917748917748918</v>
      </c>
      <c r="AG26" s="445">
        <v>84.14502164502164502164502165</v>
      </c>
      <c r="AH26" s="449">
        <v>82.82828282828282828282828283</v>
      </c>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row>
    <row r="27" ht="14.25" customHeight="1">
      <c r="B27" s="47" t="s">
        <v>26</v>
      </c>
      <c r="C27" s="327">
        <v>87.12487899322362052274927396</v>
      </c>
      <c r="D27" s="81">
        <v>97.28944820909970958373668925</v>
      </c>
      <c r="E27" s="81">
        <v>97.57986447241045498547918683</v>
      </c>
      <c r="F27" s="81">
        <v>93.03000968054211035818005808</v>
      </c>
      <c r="G27" s="661">
        <v>91.38431752178121974830590513</v>
      </c>
      <c r="H27" s="81">
        <v>96.61181026137463697967086157</v>
      </c>
      <c r="I27" s="81">
        <v>98.83833494675701839303000968</v>
      </c>
      <c r="J27" s="81">
        <v>84.41432720232333010648596321</v>
      </c>
      <c r="K27" s="81">
        <v>74.733785091965150048402710550</v>
      </c>
      <c r="L27" s="81">
        <v>78.218780251694094869312681510</v>
      </c>
      <c r="M27" s="81">
        <v>79.57405614714424007744433688</v>
      </c>
      <c r="N27" s="81">
        <v>84.60793804453049370764762827</v>
      </c>
      <c r="O27" s="81">
        <v>85.47918683446272991287512101</v>
      </c>
      <c r="P27" s="81">
        <v>82.76863504356243949661181026</v>
      </c>
      <c r="Q27" s="81">
        <v>65.44046466602129719264278800</v>
      </c>
      <c r="R27" s="81">
        <v>65.343659244917715392061955470</v>
      </c>
      <c r="S27" s="81">
        <v>75.508228460793804453049370760</v>
      </c>
      <c r="T27" s="81">
        <v>76.766698935140367860600193610</v>
      </c>
      <c r="U27" s="81">
        <v>80.05808325266214908034849952</v>
      </c>
      <c r="V27" s="81">
        <v>90.22265246853823814133591481</v>
      </c>
      <c r="W27" s="81">
        <v>96.12778315585672797676669894</v>
      </c>
      <c r="X27" s="82">
        <v>89.25459825750242013552758955</v>
      </c>
      <c r="Y27" s="81">
        <v>87.80251694094869312681510165</v>
      </c>
      <c r="Z27" s="81">
        <v>85.09196515004840271055179090</v>
      </c>
      <c r="AA27" s="81">
        <v>78.993223620522749273959341720</v>
      </c>
      <c r="AB27" s="81">
        <v>81.60696999031945788964181994</v>
      </c>
      <c r="AC27" s="81">
        <v>85.67279767666989351403678606</v>
      </c>
      <c r="AD27" s="83">
        <v>97.47292418772563176895306859</v>
      </c>
      <c r="AE27" s="88"/>
      <c r="AF27" s="327">
        <v>86.55642797481960691706935692</v>
      </c>
      <c r="AG27" s="81">
        <v>85.25064066816209990379368413</v>
      </c>
      <c r="AH27" s="328">
        <v>83.83307238971928757733658115</v>
      </c>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row>
    <row r="28" ht="14.25" customHeight="1">
      <c r="A28" s="24"/>
      <c r="B28" s="49" t="s">
        <v>185</v>
      </c>
      <c r="C28" s="450">
        <v>82.72338650818475654259201335</v>
      </c>
      <c r="D28" s="451">
        <v>88.36409133562715045355020332</v>
      </c>
      <c r="E28" s="451">
        <v>91.24178917735376915858617454</v>
      </c>
      <c r="F28" s="451">
        <v>90.49108539255552080075070378</v>
      </c>
      <c r="G28" s="662">
        <v>85.91387759357731206339276405</v>
      </c>
      <c r="H28" s="451">
        <v>93.47304764883745177770826817</v>
      </c>
      <c r="I28" s="451">
        <v>95.18298404754457303722239600</v>
      </c>
      <c r="J28" s="451">
        <v>80.62767177562297987696799082</v>
      </c>
      <c r="K28" s="451">
        <v>68.720675633406318423522051920</v>
      </c>
      <c r="L28" s="451">
        <v>66.760504639766447711396100510</v>
      </c>
      <c r="M28" s="451">
        <v>70.743405275779376498800959230</v>
      </c>
      <c r="N28" s="451">
        <v>77.791679699718486080700656870</v>
      </c>
      <c r="O28" s="451">
        <v>77.885517672818267125430090710</v>
      </c>
      <c r="P28" s="451">
        <v>76.592638932332394953602335520</v>
      </c>
      <c r="Q28" s="451">
        <v>54.186216244395787717651965380</v>
      </c>
      <c r="R28" s="451">
        <v>61.724533416744864977583150870</v>
      </c>
      <c r="S28" s="451">
        <v>67.657178604942133249921801690</v>
      </c>
      <c r="T28" s="451">
        <v>74.997393389636117193201960170</v>
      </c>
      <c r="U28" s="451">
        <v>77.499739338963611719320196020</v>
      </c>
      <c r="V28" s="451">
        <v>86.65415493692002919403607549</v>
      </c>
      <c r="W28" s="451">
        <v>86.90438953185277864664789907</v>
      </c>
      <c r="X28" s="452">
        <v>69.429673652382441872588885410</v>
      </c>
      <c r="Y28" s="451">
        <v>68.824940047961630695443645080</v>
      </c>
      <c r="Z28" s="451">
        <v>70.149098112814096548847878220</v>
      </c>
      <c r="AA28" s="451">
        <v>69.586070274215410280471275150</v>
      </c>
      <c r="AB28" s="451">
        <v>74.340527577937649880095923260</v>
      </c>
      <c r="AC28" s="451">
        <v>79.58502763006985715775205922</v>
      </c>
      <c r="AD28" s="453">
        <v>89.11479512042539881138567407</v>
      </c>
      <c r="AE28" s="448"/>
      <c r="AF28" s="450">
        <v>74.432876059400926463797905770</v>
      </c>
      <c r="AG28" s="451">
        <v>77.755931900442379016041824930</v>
      </c>
      <c r="AH28" s="454">
        <v>76.014405866611058978903833450</v>
      </c>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row>
    <row r="29" ht="12" customHeight="1">
      <c r="B29" s="4"/>
      <c r="X29" s="27"/>
      <c r="AD29" s="28"/>
      <c r="AF29" s="22"/>
      <c r="AG29" s="22"/>
      <c r="AH29" s="22"/>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row>
    <row r="30" ht="18">
      <c r="B30" s="29"/>
      <c r="X30" s="27"/>
      <c r="AD30" s="28"/>
      <c r="AF30" s="22"/>
      <c r="AG30" s="22"/>
      <c r="AH30" s="22"/>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row>
    <row r="31" s="41" customFormat="1" ht="18">
      <c r="B31" s="417" t="s">
        <v>76</v>
      </c>
      <c r="C31" s="275" t="s">
        <v>186</v>
      </c>
      <c r="D31" s="276"/>
      <c r="E31" s="276"/>
      <c r="F31" s="276"/>
      <c r="G31" s="658" t="s">
        <v>183</v>
      </c>
      <c r="H31" s="276"/>
      <c r="I31" s="276"/>
      <c r="J31" s="276"/>
      <c r="K31" s="276"/>
      <c r="L31" s="276"/>
      <c r="M31" s="276"/>
      <c r="N31" s="276"/>
      <c r="O31" s="276"/>
      <c r="P31" s="276"/>
      <c r="Q31" s="276"/>
      <c r="R31" s="276"/>
      <c r="S31" s="277"/>
      <c r="T31" s="277"/>
      <c r="U31" s="277"/>
      <c r="V31" s="277"/>
      <c r="W31" s="277"/>
      <c r="X31" s="312"/>
      <c r="Y31" s="277"/>
      <c r="Z31" s="277"/>
      <c r="AA31" s="277"/>
      <c r="AB31" s="277"/>
      <c r="AC31" s="277"/>
      <c r="AD31" s="336"/>
      <c r="AE31" s="25"/>
      <c r="AF31" s="316" t="s">
        <v>58</v>
      </c>
      <c r="AG31" s="317" t="s">
        <v>59</v>
      </c>
      <c r="AH31" s="318" t="s">
        <v>59</v>
      </c>
      <c r="AI31" s="25"/>
      <c r="AJ31" s="248"/>
      <c r="AK31" s="248"/>
      <c r="AL31" s="248"/>
      <c r="AM31" s="248"/>
      <c r="AN31" s="253"/>
      <c r="AO31" s="253"/>
      <c r="AP31" s="253"/>
      <c r="AQ31" s="253"/>
      <c r="AR31" s="253"/>
      <c r="AS31" s="253"/>
      <c r="AT31" s="253"/>
      <c r="AU31" s="253"/>
      <c r="AV31" s="253"/>
      <c r="AW31" s="253"/>
      <c r="AX31" s="253"/>
      <c r="AY31" s="253"/>
      <c r="AZ31" s="253"/>
      <c r="BA31" s="253"/>
      <c r="BB31" s="253"/>
      <c r="BC31" s="253"/>
      <c r="BD31" s="253"/>
      <c r="BE31" s="253"/>
      <c r="BF31" s="253"/>
      <c r="BG31" s="253"/>
      <c r="BH31" s="253"/>
      <c r="BI31" s="253"/>
      <c r="BJ31" s="253"/>
      <c r="BK31" s="253"/>
    </row>
    <row r="32" s="42" customFormat="1">
      <c r="C32" s="284">
        <v>27</v>
      </c>
      <c r="D32">
        <v>28</v>
      </c>
      <c r="E32">
        <v>29</v>
      </c>
      <c r="F32">
        <v>30</v>
      </c>
      <c r="G32" s="717">
        <v>1</v>
      </c>
      <c r="H32">
        <v>2</v>
      </c>
      <c r="I32">
        <v>3</v>
      </c>
      <c r="J32">
        <v>4</v>
      </c>
      <c r="K32">
        <v>5</v>
      </c>
      <c r="L32">
        <v>6</v>
      </c>
      <c r="M32">
        <v>7</v>
      </c>
      <c r="N32">
        <v>8</v>
      </c>
      <c r="O32">
        <v>9</v>
      </c>
      <c r="P32">
        <v>10</v>
      </c>
      <c r="Q32">
        <v>11</v>
      </c>
      <c r="R32">
        <v>12</v>
      </c>
      <c r="S32">
        <v>13</v>
      </c>
      <c r="T32">
        <v>14</v>
      </c>
      <c r="U32">
        <v>15</v>
      </c>
      <c r="V32">
        <v>16</v>
      </c>
      <c r="W32">
        <v>17</v>
      </c>
      <c r="X32" s="323">
        <v>18</v>
      </c>
      <c r="Y32">
        <v>19</v>
      </c>
      <c r="Z32">
        <v>20</v>
      </c>
      <c r="AA32">
        <v>21</v>
      </c>
      <c r="AB32">
        <v>22</v>
      </c>
      <c r="AC32">
        <v>23</v>
      </c>
      <c r="AD32" s="337">
        <v>24</v>
      </c>
      <c r="AE32" s="25"/>
      <c r="AF32" s="324" t="s">
        <v>60</v>
      </c>
      <c r="AG32" s="325">
        <v>28</v>
      </c>
      <c r="AH32" s="326" t="s">
        <v>31</v>
      </c>
      <c r="AI32" s="25"/>
      <c r="AJ32" s="248"/>
      <c r="AK32" s="248"/>
      <c r="AL32" s="248"/>
      <c r="AM32" s="248"/>
      <c r="AN32" s="254"/>
      <c r="AO32" s="254"/>
      <c r="AP32" s="254"/>
      <c r="AQ32" s="254"/>
      <c r="AR32" s="254"/>
      <c r="AS32" s="254"/>
      <c r="AT32" s="254"/>
      <c r="AU32" s="254"/>
      <c r="AV32" s="254"/>
      <c r="AW32" s="254"/>
      <c r="AX32" s="254"/>
      <c r="AY32" s="254"/>
      <c r="AZ32" s="254"/>
      <c r="BA32" s="254"/>
      <c r="BB32" s="254"/>
      <c r="BC32" s="254"/>
      <c r="BD32" s="254"/>
      <c r="BE32" s="254"/>
      <c r="BF32" s="254"/>
      <c r="BG32" s="254"/>
      <c r="BH32" s="254"/>
      <c r="BI32" s="254"/>
      <c r="BJ32" s="254"/>
      <c r="BK32" s="254"/>
    </row>
    <row r="33" ht="14.25" customHeight="1">
      <c r="B33" s="46" t="s">
        <v>32</v>
      </c>
      <c r="C33" s="444">
        <v>-16.279069767465224445646288770</v>
      </c>
      <c r="D33" s="445">
        <v>1.6393442623417360924482880100</v>
      </c>
      <c r="E33" s="445">
        <v>0.7874015748253704507409063800</v>
      </c>
      <c r="F33" s="445">
        <v>1.6129032257998959417273677400</v>
      </c>
      <c r="G33" s="660">
        <v>5.0847457627581729388107069900</v>
      </c>
      <c r="H33" s="445">
        <v>1.5873015873499622071050872800</v>
      </c>
      <c r="I33" s="445">
        <v>3.9682539683034769463341127600</v>
      </c>
      <c r="J33" s="445">
        <v>8.403361344556034178377236310</v>
      </c>
      <c r="K33" s="445">
        <v>-16.666666666637254901960773940</v>
      </c>
      <c r="L33" s="445">
        <v>-39.285714285725127551020406220</v>
      </c>
      <c r="M33" s="445">
        <v>-6.0344827586336504161712229400</v>
      </c>
      <c r="N33" s="445">
        <v>-2.5862068965651605231866806600</v>
      </c>
      <c r="O33" s="445">
        <v>-17.968750000002563476562499920</v>
      </c>
      <c r="P33" s="445">
        <v>0.892857142839126275510207300</v>
      </c>
      <c r="Q33" s="445">
        <v>-16.304347826123345935727772460</v>
      </c>
      <c r="R33" s="445">
        <v>-20.000000000045714285714259590</v>
      </c>
      <c r="S33" s="445">
        <v>-15.596330275272721151418208510</v>
      </c>
      <c r="T33" s="445">
        <v>-13.761467889952562915579473920</v>
      </c>
      <c r="U33" s="445">
        <v>3.8834951456351022716561411700</v>
      </c>
      <c r="V33" s="445">
        <v>2.7027027027138056975894825700</v>
      </c>
      <c r="W33" s="445">
        <v>16.513761467830047975759646950</v>
      </c>
      <c r="X33" s="446">
        <v>8.256880733889335914485341250</v>
      </c>
      <c r="Y33" s="445">
        <v>1.7094017093599824676747924800</v>
      </c>
      <c r="Z33" s="445">
        <v>12.380952380888163265306159140</v>
      </c>
      <c r="AA33" s="445">
        <v>4.1322314049208114199849874700</v>
      </c>
      <c r="AB33" s="445">
        <v>5.8823529411942659416707889500</v>
      </c>
      <c r="AC33" s="445">
        <v>-17.09401709405110672802979100</v>
      </c>
      <c r="AD33" s="447">
        <v>-2.4390243902248661511005316800</v>
      </c>
      <c r="AE33" s="448"/>
      <c r="AF33" s="444">
        <v>1.6029593094513546017232413500</v>
      </c>
      <c r="AG33" s="445">
        <v>-3.5957842528898376450791436100</v>
      </c>
      <c r="AH33" s="449">
        <v>-3.7064220183327928356198947100</v>
      </c>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row>
    <row r="34" ht="14.25" customHeight="1">
      <c r="B34" s="47" t="s">
        <v>26</v>
      </c>
      <c r="C34" s="327">
        <v>3.8062283737091270458926501900</v>
      </c>
      <c r="D34" s="81">
        <v>34.178905206910702476466181430</v>
      </c>
      <c r="E34" s="81">
        <v>42.372881356006808388394178700</v>
      </c>
      <c r="F34" s="81">
        <v>26.613965744432555838501885440</v>
      </c>
      <c r="G34" s="661">
        <v>7.762557077673424240528784200</v>
      </c>
      <c r="H34" s="81">
        <v>0.1003009026781043229990965400</v>
      </c>
      <c r="I34" s="81">
        <v>4.6106557377003091616836873800</v>
      </c>
      <c r="J34" s="81">
        <v>-7.1352502662781637275283073300</v>
      </c>
      <c r="K34" s="81">
        <v>-8.095238095228248299319726840</v>
      </c>
      <c r="L34" s="81">
        <v>-4.3786982248209516473512730900</v>
      </c>
      <c r="M34" s="81">
        <v>-2.8368794325882802675921602200</v>
      </c>
      <c r="N34" s="81">
        <v>12.339331619517348550432527770</v>
      </c>
      <c r="O34" s="81">
        <v>-1.6703786191350600939479431600</v>
      </c>
      <c r="P34" s="81">
        <v>-9.139213602579928310150067080</v>
      </c>
      <c r="Q34" s="81">
        <v>-14.646464646423694010815203280</v>
      </c>
      <c r="R34" s="81">
        <v>-15.625000000037652343749983200</v>
      </c>
      <c r="S34" s="81">
        <v>-10.344827586189686880697578950</v>
      </c>
      <c r="T34" s="81">
        <v>-4.687500000023599008413455700</v>
      </c>
      <c r="U34" s="81">
        <v>-6.6591422122184823871713906700</v>
      </c>
      <c r="V34" s="81">
        <v>0.2150537634754505723205114200</v>
      </c>
      <c r="W34" s="81">
        <v>2.5826446280632484333378993400</v>
      </c>
      <c r="X34" s="82">
        <v>5.4919908467199427655797674900</v>
      </c>
      <c r="Y34" s="81">
        <v>8.622754491005605794399226910</v>
      </c>
      <c r="Z34" s="81">
        <v>12.548015364912882462977141300</v>
      </c>
      <c r="AA34" s="81">
        <v>18.089725036135358684429344540</v>
      </c>
      <c r="AB34" s="81">
        <v>10.629921259886510323020663530</v>
      </c>
      <c r="AC34" s="81">
        <v>1.9585253456330439433838063100</v>
      </c>
      <c r="AD34" s="83">
        <v>5.5445814318020476558286341900</v>
      </c>
      <c r="AE34" s="88"/>
      <c r="AF34" s="327">
        <v>8.567134550945346201999670820</v>
      </c>
      <c r="AG34" s="81">
        <v>3.3354090472178864595600044400</v>
      </c>
      <c r="AH34" s="328">
        <v>0.9711198350767311582391054700</v>
      </c>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c r="BH34" s="244"/>
      <c r="BI34" s="244"/>
      <c r="BJ34" s="244"/>
      <c r="BK34" s="244"/>
    </row>
    <row r="35" ht="14.25" customHeight="1">
      <c r="A35" s="24"/>
      <c r="B35" s="49" t="s">
        <v>185</v>
      </c>
      <c r="C35" s="450">
        <v>20.523289264886880503267437580</v>
      </c>
      <c r="D35" s="451">
        <v>26.042658004238101892864731910</v>
      </c>
      <c r="E35" s="451">
        <v>24.764875546201741580703805260</v>
      </c>
      <c r="F35" s="451">
        <v>28.161582479037623434323029550</v>
      </c>
      <c r="G35" s="662">
        <v>6.752853063922516898758833500</v>
      </c>
      <c r="H35" s="451">
        <v>1.5047898024949222668993360300</v>
      </c>
      <c r="I35" s="451">
        <v>4.4609888039548665566495622400</v>
      </c>
      <c r="J35" s="451">
        <v>-0.1590613249535624750779269100</v>
      </c>
      <c r="K35" s="451">
        <v>-4.796821452065012499889814300</v>
      </c>
      <c r="L35" s="451">
        <v>-14.114106238227832292526017410</v>
      </c>
      <c r="M35" s="451">
        <v>-10.786922436221479292556481790</v>
      </c>
      <c r="N35" s="451">
        <v>-0.3731761620423793254510065500</v>
      </c>
      <c r="O35" s="451">
        <v>-3.9220952512079818961073919700</v>
      </c>
      <c r="P35" s="451">
        <v>-2.3615422787729802208894120800</v>
      </c>
      <c r="Q35" s="451">
        <v>-10.891668908090164622788366540</v>
      </c>
      <c r="R35" s="451">
        <v>-5.6190573550045331098813545200</v>
      </c>
      <c r="S35" s="451">
        <v>-6.4633529004021841278192796800</v>
      </c>
      <c r="T35" s="451">
        <v>-1.945763864016141129097586500</v>
      </c>
      <c r="U35" s="451">
        <v>-0.9227294223823286335516883500</v>
      </c>
      <c r="V35" s="451">
        <v>2.3500018689074435389265039800</v>
      </c>
      <c r="W35" s="451">
        <v>6.3095645784903595592248529800</v>
      </c>
      <c r="X35" s="452">
        <v>6.474707757008819104527025700</v>
      </c>
      <c r="Y35" s="451">
        <v>2.4518368817836191343540000400</v>
      </c>
      <c r="Z35" s="451">
        <v>1.1206679888144447893617239400</v>
      </c>
      <c r="AA35" s="451">
        <v>0.8042579257221375614724627300</v>
      </c>
      <c r="AB35" s="451">
        <v>6.4112124933900511803525734300</v>
      </c>
      <c r="AC35" s="451">
        <v>2.3983844130494389513962570800</v>
      </c>
      <c r="AD35" s="453">
        <v>3.319906924419181574272817600</v>
      </c>
      <c r="AE35" s="448"/>
      <c r="AF35" s="450">
        <v>3.2515816179107657321427495300</v>
      </c>
      <c r="AG35" s="451">
        <v>2.7930753328382419133843599900</v>
      </c>
      <c r="AH35" s="454">
        <v>0.2452293392296680388279814700</v>
      </c>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row>
    <row r="36" ht="13.5" customHeight="1">
      <c r="B36" s="40"/>
      <c r="C36" s="23"/>
      <c r="D36" s="23"/>
      <c r="E36" s="23"/>
      <c r="F36" s="23"/>
      <c r="G36" s="23"/>
      <c r="H36" s="23"/>
      <c r="I36" s="23"/>
      <c r="J36" s="23"/>
      <c r="K36" s="23"/>
      <c r="L36" s="23"/>
      <c r="M36" s="23"/>
      <c r="N36" s="23"/>
      <c r="O36" s="23"/>
      <c r="P36" s="23"/>
      <c r="Q36" s="23"/>
      <c r="R36" s="23"/>
      <c r="S36" s="23"/>
      <c r="T36" s="23"/>
      <c r="U36" s="23"/>
      <c r="V36" s="23"/>
      <c r="W36" s="23"/>
      <c r="X36" s="44"/>
      <c r="Y36" s="23"/>
      <c r="Z36" s="23"/>
      <c r="AA36" s="23"/>
      <c r="AB36" s="23"/>
      <c r="AC36" s="23"/>
      <c r="AD36" s="45"/>
      <c r="AF36" s="43"/>
      <c r="AG36" s="43"/>
      <c r="AH36" s="43"/>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c r="BK36" s="244"/>
    </row>
    <row r="37" ht="18">
      <c r="B37" s="29"/>
      <c r="X37" s="27"/>
      <c r="AD37" s="28"/>
      <c r="AF37" s="43"/>
      <c r="AG37" s="43"/>
      <c r="AH37" s="43"/>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c r="BK37" s="244"/>
    </row>
    <row r="38" s="41" customFormat="1" ht="18">
      <c r="B38" s="417" t="s">
        <v>91</v>
      </c>
      <c r="C38" s="275" t="s">
        <v>186</v>
      </c>
      <c r="D38" s="276"/>
      <c r="E38" s="276"/>
      <c r="F38" s="276"/>
      <c r="G38" s="658" t="s">
        <v>183</v>
      </c>
      <c r="H38" s="276"/>
      <c r="I38" s="276"/>
      <c r="J38" s="276"/>
      <c r="K38" s="276"/>
      <c r="L38" s="276"/>
      <c r="M38" s="276"/>
      <c r="N38" s="276"/>
      <c r="O38" s="276"/>
      <c r="P38" s="276"/>
      <c r="Q38" s="276"/>
      <c r="R38" s="276"/>
      <c r="S38" s="277"/>
      <c r="T38" s="277"/>
      <c r="U38" s="277"/>
      <c r="V38" s="277"/>
      <c r="W38" s="277"/>
      <c r="X38" s="312"/>
      <c r="Y38" s="277"/>
      <c r="Z38" s="277"/>
      <c r="AA38" s="277"/>
      <c r="AB38" s="277"/>
      <c r="AC38" s="277"/>
      <c r="AD38" s="336"/>
      <c r="AE38" s="25"/>
      <c r="AF38" s="316" t="s">
        <v>58</v>
      </c>
      <c r="AG38" s="317" t="s">
        <v>59</v>
      </c>
      <c r="AH38" s="318" t="s">
        <v>59</v>
      </c>
      <c r="AI38" s="25"/>
      <c r="AJ38" s="248"/>
      <c r="AK38" s="248"/>
      <c r="AL38" s="248"/>
      <c r="AM38" s="248"/>
      <c r="AN38" s="253"/>
      <c r="AO38" s="253"/>
      <c r="AP38" s="253"/>
      <c r="AQ38" s="253"/>
      <c r="AR38" s="253"/>
      <c r="AS38" s="253"/>
      <c r="AT38" s="253"/>
      <c r="AU38" s="253"/>
      <c r="AV38" s="253"/>
      <c r="AW38" s="253"/>
      <c r="AX38" s="253"/>
      <c r="AY38" s="253"/>
      <c r="AZ38" s="253"/>
      <c r="BA38" s="253"/>
      <c r="BB38" s="253"/>
      <c r="BC38" s="253"/>
      <c r="BD38" s="253"/>
      <c r="BE38" s="253"/>
      <c r="BF38" s="253"/>
      <c r="BG38" s="253"/>
      <c r="BH38" s="253"/>
      <c r="BI38" s="253"/>
      <c r="BJ38" s="253"/>
      <c r="BK38" s="253"/>
    </row>
    <row r="39" s="42" customFormat="1">
      <c r="C39" s="279">
        <v>27</v>
      </c>
      <c r="D39">
        <v>28</v>
      </c>
      <c r="E39">
        <v>29</v>
      </c>
      <c r="F39">
        <v>30</v>
      </c>
      <c r="G39" s="717">
        <v>1</v>
      </c>
      <c r="H39">
        <v>2</v>
      </c>
      <c r="I39">
        <v>3</v>
      </c>
      <c r="J39">
        <v>4</v>
      </c>
      <c r="K39">
        <v>5</v>
      </c>
      <c r="L39">
        <v>6</v>
      </c>
      <c r="M39">
        <v>7</v>
      </c>
      <c r="N39">
        <v>8</v>
      </c>
      <c r="O39">
        <v>9</v>
      </c>
      <c r="P39">
        <v>10</v>
      </c>
      <c r="Q39">
        <v>11</v>
      </c>
      <c r="R39">
        <v>12</v>
      </c>
      <c r="S39">
        <v>13</v>
      </c>
      <c r="T39">
        <v>14</v>
      </c>
      <c r="U39">
        <v>15</v>
      </c>
      <c r="V39">
        <v>16</v>
      </c>
      <c r="W39">
        <v>17</v>
      </c>
      <c r="X39" s="323">
        <v>18</v>
      </c>
      <c r="Y39">
        <v>19</v>
      </c>
      <c r="Z39">
        <v>20</v>
      </c>
      <c r="AA39">
        <v>21</v>
      </c>
      <c r="AB39">
        <v>22</v>
      </c>
      <c r="AC39">
        <v>23</v>
      </c>
      <c r="AD39" s="337">
        <v>24</v>
      </c>
      <c r="AE39" s="25"/>
      <c r="AF39" s="324" t="s">
        <v>60</v>
      </c>
      <c r="AG39" s="325">
        <v>28</v>
      </c>
      <c r="AH39" s="326" t="s">
        <v>31</v>
      </c>
      <c r="AI39" s="25"/>
      <c r="AJ39" s="248"/>
      <c r="AK39" s="248"/>
      <c r="AL39" s="248"/>
      <c r="AM39" s="248"/>
      <c r="AN39" s="254"/>
      <c r="AO39" s="254"/>
      <c r="AP39" s="254"/>
      <c r="AQ39" s="254"/>
      <c r="AR39" s="254"/>
      <c r="AS39" s="254"/>
      <c r="AT39" s="254"/>
      <c r="AU39" s="254"/>
      <c r="AV39" s="254"/>
      <c r="AW39" s="254"/>
      <c r="AX39" s="254"/>
      <c r="AY39" s="254"/>
      <c r="AZ39" s="254"/>
      <c r="BA39" s="254"/>
      <c r="BB39" s="254"/>
      <c r="BC39" s="254"/>
      <c r="BD39" s="254"/>
      <c r="BE39" s="254"/>
      <c r="BF39" s="254"/>
      <c r="BG39" s="254"/>
      <c r="BH39" s="254"/>
      <c r="BI39" s="254"/>
      <c r="BJ39" s="254"/>
      <c r="BK39" s="254"/>
    </row>
    <row r="40" ht="14.25" customHeight="1">
      <c r="A40" s="1"/>
      <c r="B40" s="46" t="s">
        <v>26</v>
      </c>
      <c r="C40" s="444">
        <v>93.90909090911636888888889579</v>
      </c>
      <c r="D40" s="445">
        <v>96.55661088496880569562859605</v>
      </c>
      <c r="E40" s="445">
        <v>99.37469937471002198859341831</v>
      </c>
      <c r="F40" s="445">
        <v>102.60618673734660586543734779</v>
      </c>
      <c r="G40" s="660">
        <v>102.79596815611652222046303743</v>
      </c>
      <c r="H40" s="445">
        <v>100.37043784536139543312045319</v>
      </c>
      <c r="I40" s="445">
        <v>100.40883863112601459342821184</v>
      </c>
      <c r="J40" s="445">
        <v>115.77095496250072026705646262</v>
      </c>
      <c r="K40" s="445">
        <v>86.16442926672069267468642479</v>
      </c>
      <c r="L40" s="445">
        <v>65.860336033598388206704334180</v>
      </c>
      <c r="M40" s="445">
        <v>103.77221116277980493683351332</v>
      </c>
      <c r="N40" s="445">
        <v>101.17970321063212547725104088</v>
      </c>
      <c r="O40" s="445">
        <v>93.05827241836774407663010529</v>
      </c>
      <c r="P40" s="445">
        <v>103.42814105967307127704667539</v>
      </c>
      <c r="Q40" s="445">
        <v>89.13954635111382253480854789</v>
      </c>
      <c r="R40" s="445">
        <v>97.38720538723178995884774379</v>
      </c>
      <c r="S40" s="445">
        <v>92.30380730379973016157631605</v>
      </c>
      <c r="T40" s="445">
        <v>92.76433948569974129984572258</v>
      </c>
      <c r="U40" s="445">
        <v>101.25224432958460819652689054</v>
      </c>
      <c r="V40" s="445">
        <v>95.72278579793366323686032206</v>
      </c>
      <c r="W40" s="445">
        <v>100.08773535959362830161770681</v>
      </c>
      <c r="X40" s="446">
        <v>100.15611647932960720423635860</v>
      </c>
      <c r="Y40" s="445">
        <v>102.67531990249922513898839279</v>
      </c>
      <c r="Z40" s="445">
        <v>105.05567621614553103242549733</v>
      </c>
      <c r="AA40" s="445">
        <v>120.83890374335030844097332448</v>
      </c>
      <c r="AB40" s="445">
        <v>116.96861857006994690128959610</v>
      </c>
      <c r="AC40" s="445">
        <v>85.77384009584385218555371869</v>
      </c>
      <c r="AD40" s="447">
        <v>93.26599326601779149519890906</v>
      </c>
      <c r="AE40" s="448"/>
      <c r="AF40" s="444">
        <v>103.02815315282219372972355329</v>
      </c>
      <c r="AG40" s="445">
        <v>98.70309593627397750381968273</v>
      </c>
      <c r="AH40" s="449">
        <v>98.80144013242603836200111017</v>
      </c>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c r="BH40" s="244"/>
      <c r="BI40" s="244"/>
      <c r="BJ40" s="244"/>
      <c r="BK40" s="244"/>
    </row>
    <row r="41" ht="14.25" customHeight="1">
      <c r="A41" s="24"/>
      <c r="B41" s="48" t="s">
        <v>185</v>
      </c>
      <c r="C41" s="329">
        <v>98.90574512453204159093094479</v>
      </c>
      <c r="D41" s="330">
        <v>106.30946634489723924219880114</v>
      </c>
      <c r="E41" s="330">
        <v>106.27772410420436532224412313</v>
      </c>
      <c r="F41" s="330">
        <v>105.48502655307010662774272939</v>
      </c>
      <c r="G41" s="663">
        <v>109.34135039714676528504957960</v>
      </c>
      <c r="H41" s="330">
        <v>103.74081022161029262174594398</v>
      </c>
      <c r="I41" s="330">
        <v>104.26488015221126535804138395</v>
      </c>
      <c r="J41" s="330">
        <v>121.20810458134486873596593261</v>
      </c>
      <c r="K41" s="330">
        <v>93.70387994649211224760656151</v>
      </c>
      <c r="L41" s="330">
        <v>77.164113412708084913512372890</v>
      </c>
      <c r="M41" s="330">
        <v>116.72573189518939212869865974</v>
      </c>
      <c r="N41" s="330">
        <v>110.04526568461632260867598875</v>
      </c>
      <c r="O41" s="330">
        <v>102.13125228187864516847969290</v>
      </c>
      <c r="P41" s="330">
        <v>111.76799990104472310141100916</v>
      </c>
      <c r="Q41" s="330">
        <v>107.65345391571223936975525346</v>
      </c>
      <c r="R41" s="330">
        <v>103.09735872243365950983428982</v>
      </c>
      <c r="S41" s="330">
        <v>103.01489233534483692653579363</v>
      </c>
      <c r="T41" s="330">
        <v>94.95279501540156568003319971</v>
      </c>
      <c r="U41" s="330">
        <v>104.59468219116207343359075973</v>
      </c>
      <c r="V41" s="330">
        <v>99.66473786112715913822582861</v>
      </c>
      <c r="W41" s="330">
        <v>110.71031248289779705450634798</v>
      </c>
      <c r="X41" s="331">
        <v>128.75465876664002168904704173</v>
      </c>
      <c r="Y41" s="330">
        <v>130.98669623052564568091044500</v>
      </c>
      <c r="Z41" s="330">
        <v>127.43419630312797537249243486</v>
      </c>
      <c r="AA41" s="330">
        <v>137.17478954970755152598277093</v>
      </c>
      <c r="AB41" s="330">
        <v>128.40175953085681813451899991</v>
      </c>
      <c r="AC41" s="330">
        <v>92.33501661442615978629449440</v>
      </c>
      <c r="AD41" s="338">
        <v>102.01346564985836128386944494</v>
      </c>
      <c r="AE41" s="88"/>
      <c r="AF41" s="329">
        <v>119.80927501219013508484684770</v>
      </c>
      <c r="AG41" s="330">
        <v>108.21685187029284078860593051</v>
      </c>
      <c r="AH41" s="332">
        <v>108.96392846066666474951815529</v>
      </c>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c r="BH41" s="244"/>
      <c r="BI41" s="244"/>
      <c r="BJ41" s="244"/>
      <c r="BK41" s="244"/>
    </row>
    <row r="42" ht="12" customHeight="1">
      <c r="B42" s="4"/>
      <c r="X42" s="27"/>
      <c r="AD42" s="28"/>
      <c r="AF42" s="43"/>
      <c r="AG42" s="43"/>
      <c r="AH42" s="43"/>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row>
    <row r="43" ht="18">
      <c r="B43" s="29"/>
      <c r="X43" s="27"/>
      <c r="AD43" s="28"/>
      <c r="AF43" s="43"/>
      <c r="AG43" s="43"/>
      <c r="AH43" s="43"/>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row>
    <row r="44" s="41" customFormat="1" ht="18">
      <c r="B44" s="417" t="s">
        <v>77</v>
      </c>
      <c r="C44" s="275" t="s">
        <v>186</v>
      </c>
      <c r="D44" s="276"/>
      <c r="E44" s="276"/>
      <c r="F44" s="276"/>
      <c r="G44" s="658" t="s">
        <v>183</v>
      </c>
      <c r="H44" s="276"/>
      <c r="I44" s="276"/>
      <c r="J44" s="276"/>
      <c r="K44" s="276"/>
      <c r="L44" s="276"/>
      <c r="M44" s="276"/>
      <c r="N44" s="276"/>
      <c r="O44" s="276"/>
      <c r="P44" s="276"/>
      <c r="Q44" s="276"/>
      <c r="R44" s="276"/>
      <c r="S44" s="277"/>
      <c r="T44" s="277"/>
      <c r="U44" s="277"/>
      <c r="V44" s="277"/>
      <c r="W44" s="277"/>
      <c r="X44" s="312"/>
      <c r="Y44" s="277"/>
      <c r="Z44" s="277"/>
      <c r="AA44" s="277"/>
      <c r="AB44" s="277"/>
      <c r="AC44" s="277"/>
      <c r="AD44" s="336"/>
      <c r="AE44" s="25"/>
      <c r="AF44" s="316" t="s">
        <v>58</v>
      </c>
      <c r="AG44" s="317" t="s">
        <v>59</v>
      </c>
      <c r="AH44" s="318" t="s">
        <v>59</v>
      </c>
      <c r="AI44" s="25"/>
      <c r="AJ44" s="248"/>
      <c r="AK44" s="248"/>
      <c r="AL44" s="248"/>
      <c r="AM44" s="248"/>
      <c r="AN44" s="253"/>
      <c r="AO44" s="253"/>
      <c r="AP44" s="253"/>
      <c r="AQ44" s="253"/>
      <c r="AR44" s="253"/>
      <c r="AS44" s="253"/>
      <c r="AT44" s="253"/>
      <c r="AU44" s="253"/>
      <c r="AV44" s="253"/>
      <c r="AW44" s="253"/>
      <c r="AX44" s="253"/>
      <c r="AY44" s="253"/>
      <c r="AZ44" s="253"/>
      <c r="BA44" s="253"/>
      <c r="BB44" s="253"/>
      <c r="BC44" s="253"/>
      <c r="BD44" s="253"/>
      <c r="BE44" s="253"/>
      <c r="BF44" s="253"/>
      <c r="BG44" s="253"/>
      <c r="BH44" s="253"/>
      <c r="BI44" s="253"/>
      <c r="BJ44" s="253"/>
      <c r="BK44" s="253"/>
    </row>
    <row r="45" s="42" customFormat="1">
      <c r="C45" s="284">
        <v>27</v>
      </c>
      <c r="D45">
        <v>28</v>
      </c>
      <c r="E45">
        <v>29</v>
      </c>
      <c r="F45">
        <v>30</v>
      </c>
      <c r="G45" s="717">
        <v>1</v>
      </c>
      <c r="H45">
        <v>2</v>
      </c>
      <c r="I45">
        <v>3</v>
      </c>
      <c r="J45">
        <v>4</v>
      </c>
      <c r="K45">
        <v>5</v>
      </c>
      <c r="L45">
        <v>6</v>
      </c>
      <c r="M45">
        <v>7</v>
      </c>
      <c r="N45">
        <v>8</v>
      </c>
      <c r="O45">
        <v>9</v>
      </c>
      <c r="P45">
        <v>10</v>
      </c>
      <c r="Q45">
        <v>11</v>
      </c>
      <c r="R45">
        <v>12</v>
      </c>
      <c r="S45">
        <v>13</v>
      </c>
      <c r="T45">
        <v>14</v>
      </c>
      <c r="U45">
        <v>15</v>
      </c>
      <c r="V45">
        <v>16</v>
      </c>
      <c r="W45">
        <v>17</v>
      </c>
      <c r="X45" s="323">
        <v>18</v>
      </c>
      <c r="Y45">
        <v>19</v>
      </c>
      <c r="Z45">
        <v>20</v>
      </c>
      <c r="AA45">
        <v>21</v>
      </c>
      <c r="AB45">
        <v>22</v>
      </c>
      <c r="AC45">
        <v>23</v>
      </c>
      <c r="AD45" s="337">
        <v>24</v>
      </c>
      <c r="AE45" s="25"/>
      <c r="AF45" s="324" t="s">
        <v>60</v>
      </c>
      <c r="AG45" s="325">
        <v>28</v>
      </c>
      <c r="AH45" s="326" t="s">
        <v>31</v>
      </c>
      <c r="AI45" s="25"/>
      <c r="AJ45" s="248"/>
      <c r="AK45" s="248"/>
      <c r="AL45" s="248"/>
      <c r="AM45" s="248"/>
      <c r="AN45" s="254"/>
      <c r="AO45" s="254"/>
      <c r="AP45" s="254"/>
      <c r="AQ45" s="254"/>
      <c r="AR45" s="254"/>
      <c r="AS45" s="254"/>
      <c r="AT45" s="254"/>
      <c r="AU45" s="254"/>
      <c r="AV45" s="254"/>
      <c r="AW45" s="254"/>
      <c r="AX45" s="254"/>
      <c r="AY45" s="254"/>
      <c r="AZ45" s="254"/>
      <c r="BA45" s="254"/>
      <c r="BB45" s="254"/>
      <c r="BC45" s="254"/>
      <c r="BD45" s="254"/>
      <c r="BE45" s="254"/>
      <c r="BF45" s="254"/>
      <c r="BG45" s="254"/>
      <c r="BH45" s="254"/>
      <c r="BI45" s="254"/>
      <c r="BJ45" s="254"/>
      <c r="BK45" s="254"/>
    </row>
    <row r="46" ht="14.25" customHeight="1">
      <c r="A46" s="1"/>
      <c r="B46" s="46" t="s">
        <v>26</v>
      </c>
      <c r="C46" s="444">
        <v>-19.348837209299212608027392810</v>
      </c>
      <c r="D46" s="445">
        <v>-24.250876763730988655078874840</v>
      </c>
      <c r="E46" s="445">
        <v>-29.208848893916569323172941130</v>
      </c>
      <c r="F46" s="445">
        <v>-19.745896411673937261320690090</v>
      </c>
      <c r="G46" s="660">
        <v>-2.484918127037082506647997600</v>
      </c>
      <c r="H46" s="445">
        <v>1.4855107039742018833236283800</v>
      </c>
      <c r="I46" s="445">
        <v>-0.6140882732377224030514194200</v>
      </c>
      <c r="J46" s="445">
        <v>16.732518695586574113207105800</v>
      </c>
      <c r="K46" s="445">
        <v>-9.326424870550324119289381200</v>
      </c>
      <c r="L46" s="445">
        <v>-36.505480905255669899503345100</v>
      </c>
      <c r="M46" s="445">
        <v>-3.2909640070687196869757965900</v>
      </c>
      <c r="N46" s="445">
        <v>-13.286120097790223326596087610</v>
      </c>
      <c r="O46" s="445">
        <v>-16.575240656920688799842659870</v>
      </c>
      <c r="P46" s="445">
        <v>11.041144527935163870990114130</v>
      </c>
      <c r="Q46" s="445">
        <v>-1.9423720092285074781076023400</v>
      </c>
      <c r="R46" s="445">
        <v>-5.185185185142696131482349100</v>
      </c>
      <c r="S46" s="445">
        <v>-5.8574453069682964194652496800</v>
      </c>
      <c r="T46" s="445">
        <v>-9.520228605736616791509715410</v>
      </c>
      <c r="U46" s="445">
        <v>11.294772308393707604996401690</v>
      </c>
      <c r="V46" s="445">
        <v>2.4823106368146046020308760300</v>
      </c>
      <c r="W46" s="445">
        <v>13.580383787414494217383467040</v>
      </c>
      <c r="X46" s="446">
        <v>2.6209476805129470933177675900</v>
      </c>
      <c r="Y46" s="445">
        <v>-6.3645530017497718102995819300</v>
      </c>
      <c r="Z46" s="445">
        <v>-0.1484370767486981075018418500</v>
      </c>
      <c r="AA46" s="445">
        <v>-11.819397180331310007141061630</v>
      </c>
      <c r="AB46" s="445">
        <v>-4.2913962738252159714584673500</v>
      </c>
      <c r="AC46" s="445">
        <v>-18.686561398471753752049403800</v>
      </c>
      <c r="AD46" s="447">
        <v>-7.5642024571414917437198752200</v>
      </c>
      <c r="AE46" s="448"/>
      <c r="AF46" s="444">
        <v>-6.4146256325736190216012233100</v>
      </c>
      <c r="AG46" s="445">
        <v>-6.7074716828739123612150111100</v>
      </c>
      <c r="AH46" s="449">
        <v>-4.6325542006442235127573173100</v>
      </c>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c r="BH46" s="244"/>
      <c r="BI46" s="244"/>
      <c r="BJ46" s="244"/>
      <c r="BK46" s="244"/>
    </row>
    <row r="47" ht="14.25" customHeight="1">
      <c r="A47" s="24"/>
      <c r="B47" s="48" t="s">
        <v>185</v>
      </c>
      <c r="C47" s="329">
        <v>-30.535475140798621459647289260</v>
      </c>
      <c r="D47" s="330">
        <v>-19.361154491937975351889774650</v>
      </c>
      <c r="E47" s="330">
        <v>-19.218128392701594760544774330</v>
      </c>
      <c r="F47" s="330">
        <v>-20.715005807345851249919794040</v>
      </c>
      <c r="G47" s="663">
        <v>-1.5625880277265683182931155700</v>
      </c>
      <c r="H47" s="330">
        <v>0.0812885628330883442190274200</v>
      </c>
      <c r="I47" s="330">
        <v>-0.4716926781062410330536263200</v>
      </c>
      <c r="J47" s="330">
        <v>8.576063870296942909276342270</v>
      </c>
      <c r="K47" s="330">
        <v>-12.467908525401669598139821830</v>
      </c>
      <c r="L47" s="330">
        <v>-29.308198290805294364266707410</v>
      </c>
      <c r="M47" s="330">
        <v>5.3270661739031371261693618900</v>
      </c>
      <c r="N47" s="330">
        <v>-2.2213201718433125893766310600</v>
      </c>
      <c r="O47" s="330">
        <v>-14.620067730952732791852707080</v>
      </c>
      <c r="P47" s="330">
        <v>3.3331122773027729238299193600</v>
      </c>
      <c r="Q47" s="330">
        <v>-6.0742680865485167664543021400</v>
      </c>
      <c r="R47" s="330">
        <v>-15.237125464001548249248681390</v>
      </c>
      <c r="S47" s="330">
        <v>-9.764063239337341280142479200</v>
      </c>
      <c r="T47" s="330">
        <v>-12.050171916587348230940966440</v>
      </c>
      <c r="U47" s="330">
        <v>4.8509860434595407061076597700</v>
      </c>
      <c r="V47" s="330">
        <v>0.3446026647203660902643794600</v>
      </c>
      <c r="W47" s="330">
        <v>9.598568980891681601428512930</v>
      </c>
      <c r="X47" s="331">
        <v>1.6737993599114182206689797300</v>
      </c>
      <c r="Y47" s="330">
        <v>-0.7246675072317521998941474300</v>
      </c>
      <c r="Z47" s="330">
        <v>11.135492492424262710825106060</v>
      </c>
      <c r="AA47" s="330">
        <v>3.301421534928934902748627600</v>
      </c>
      <c r="AB47" s="330">
        <v>-0.4969960775548771544321902900</v>
      </c>
      <c r="AC47" s="330">
        <v>-19.035848679484321635222933310</v>
      </c>
      <c r="AD47" s="338">
        <v>-5.5738835681230222520074177200</v>
      </c>
      <c r="AE47" s="88"/>
      <c r="AF47" s="329">
        <v>-1.5967041691207086436335440100</v>
      </c>
      <c r="AG47" s="330">
        <v>-6.2152626186307190090268034700</v>
      </c>
      <c r="AH47" s="332">
        <v>-3.9419844551055314371194015300</v>
      </c>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c r="BH47" s="244"/>
      <c r="BI47" s="244"/>
      <c r="BJ47" s="244"/>
      <c r="BK47" s="244"/>
    </row>
    <row r="48" ht="14.25" customHeight="1">
      <c r="A48" s="24"/>
      <c r="B48" s="53"/>
      <c r="C48" s="472"/>
      <c r="D48" s="472"/>
      <c r="E48" s="472"/>
      <c r="F48" s="472"/>
      <c r="G48" s="472"/>
      <c r="H48" s="472"/>
      <c r="I48" s="472"/>
      <c r="J48" s="472"/>
      <c r="K48" s="472"/>
      <c r="L48" s="472"/>
      <c r="M48" s="472"/>
      <c r="N48" s="472"/>
      <c r="O48" s="472"/>
      <c r="P48" s="472"/>
      <c r="Q48" s="472"/>
      <c r="R48" s="472"/>
      <c r="S48" s="472"/>
      <c r="T48" s="472"/>
      <c r="U48" s="472"/>
      <c r="V48" s="472"/>
      <c r="W48" s="472"/>
      <c r="X48" s="473"/>
      <c r="Y48" s="472"/>
      <c r="Z48" s="472"/>
      <c r="AA48" s="472"/>
      <c r="AB48" s="472"/>
      <c r="AC48" s="472"/>
      <c r="AD48" s="474"/>
      <c r="AE48" s="475"/>
      <c r="AF48" s="472"/>
      <c r="AG48" s="472"/>
      <c r="AH48" s="472"/>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c r="BK48" s="244"/>
    </row>
    <row r="49" ht="18">
      <c r="B49" s="29"/>
      <c r="X49" s="27"/>
      <c r="AD49" s="28"/>
      <c r="AF49" s="43"/>
      <c r="AG49" s="43"/>
      <c r="AH49" s="43"/>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c r="BK49" s="244"/>
    </row>
    <row r="50" s="41" customFormat="1" ht="18">
      <c r="B50" s="417" t="s">
        <v>55</v>
      </c>
      <c r="C50" s="275" t="s">
        <v>186</v>
      </c>
      <c r="D50" s="276"/>
      <c r="E50" s="276"/>
      <c r="F50" s="276"/>
      <c r="G50" s="658" t="s">
        <v>183</v>
      </c>
      <c r="H50" s="276"/>
      <c r="I50" s="276"/>
      <c r="J50" s="276"/>
      <c r="K50" s="276"/>
      <c r="L50" s="276"/>
      <c r="M50" s="276"/>
      <c r="N50" s="276"/>
      <c r="O50" s="276"/>
      <c r="P50" s="276"/>
      <c r="Q50" s="276"/>
      <c r="R50" s="276"/>
      <c r="S50" s="277"/>
      <c r="T50" s="277"/>
      <c r="U50" s="277"/>
      <c r="V50" s="277"/>
      <c r="W50" s="277"/>
      <c r="X50" s="312"/>
      <c r="Y50" s="277"/>
      <c r="Z50" s="277"/>
      <c r="AA50" s="277"/>
      <c r="AB50" s="277"/>
      <c r="AC50" s="277"/>
      <c r="AD50" s="336"/>
      <c r="AE50" s="25"/>
      <c r="AF50" s="316" t="s">
        <v>58</v>
      </c>
      <c r="AG50" s="317" t="s">
        <v>59</v>
      </c>
      <c r="AH50" s="318" t="s">
        <v>59</v>
      </c>
      <c r="AI50" s="25"/>
      <c r="AJ50" s="248"/>
      <c r="AK50" s="248"/>
      <c r="AL50" s="248"/>
      <c r="AM50" s="248"/>
      <c r="AN50" s="253"/>
      <c r="AO50" s="253"/>
      <c r="AP50" s="253"/>
      <c r="AQ50" s="253"/>
      <c r="AR50" s="253"/>
      <c r="AS50" s="253"/>
      <c r="AT50" s="253"/>
      <c r="AU50" s="253"/>
      <c r="AV50" s="253"/>
      <c r="AW50" s="253"/>
      <c r="AX50" s="253"/>
      <c r="AY50" s="253"/>
      <c r="AZ50" s="253"/>
      <c r="BA50" s="253"/>
      <c r="BB50" s="253"/>
      <c r="BC50" s="253"/>
      <c r="BD50" s="253"/>
      <c r="BE50" s="253"/>
      <c r="BF50" s="253"/>
      <c r="BG50" s="253"/>
      <c r="BH50" s="253"/>
      <c r="BI50" s="253"/>
      <c r="BJ50" s="253"/>
      <c r="BK50" s="253"/>
    </row>
    <row r="51" s="42" customFormat="1">
      <c r="C51" s="284">
        <v>27</v>
      </c>
      <c r="D51">
        <v>28</v>
      </c>
      <c r="E51">
        <v>29</v>
      </c>
      <c r="F51">
        <v>30</v>
      </c>
      <c r="G51" s="717">
        <v>1</v>
      </c>
      <c r="H51">
        <v>2</v>
      </c>
      <c r="I51">
        <v>3</v>
      </c>
      <c r="J51">
        <v>4</v>
      </c>
      <c r="K51">
        <v>5</v>
      </c>
      <c r="L51">
        <v>6</v>
      </c>
      <c r="M51">
        <v>7</v>
      </c>
      <c r="N51">
        <v>8</v>
      </c>
      <c r="O51">
        <v>9</v>
      </c>
      <c r="P51">
        <v>10</v>
      </c>
      <c r="Q51">
        <v>11</v>
      </c>
      <c r="R51">
        <v>12</v>
      </c>
      <c r="S51">
        <v>13</v>
      </c>
      <c r="T51">
        <v>14</v>
      </c>
      <c r="U51">
        <v>15</v>
      </c>
      <c r="V51">
        <v>16</v>
      </c>
      <c r="W51">
        <v>17</v>
      </c>
      <c r="X51" s="323">
        <v>18</v>
      </c>
      <c r="Y51">
        <v>19</v>
      </c>
      <c r="Z51">
        <v>20</v>
      </c>
      <c r="AA51">
        <v>21</v>
      </c>
      <c r="AB51">
        <v>22</v>
      </c>
      <c r="AC51">
        <v>23</v>
      </c>
      <c r="AD51" s="337">
        <v>24</v>
      </c>
      <c r="AE51" s="25"/>
      <c r="AF51" s="324" t="s">
        <v>60</v>
      </c>
      <c r="AG51" s="325">
        <v>28</v>
      </c>
      <c r="AH51" s="326" t="s">
        <v>31</v>
      </c>
      <c r="AI51" s="25"/>
      <c r="AJ51" s="248"/>
      <c r="AK51" s="248"/>
      <c r="AL51" s="248"/>
      <c r="AM51" s="248"/>
      <c r="AN51" s="254"/>
      <c r="AO51" s="254"/>
      <c r="AP51" s="254"/>
      <c r="AQ51" s="254"/>
      <c r="AR51" s="254"/>
      <c r="AS51" s="254"/>
      <c r="AT51" s="254"/>
      <c r="AU51" s="254"/>
      <c r="AV51" s="254"/>
      <c r="AW51" s="254"/>
      <c r="AX51" s="254"/>
      <c r="AY51" s="254"/>
      <c r="AZ51" s="254"/>
      <c r="BA51" s="254"/>
      <c r="BB51" s="254"/>
      <c r="BC51" s="254"/>
      <c r="BD51" s="254"/>
      <c r="BE51" s="254"/>
      <c r="BF51" s="254"/>
      <c r="BG51" s="254"/>
      <c r="BH51" s="254"/>
      <c r="BI51" s="254"/>
      <c r="BJ51" s="254"/>
      <c r="BK51" s="254"/>
    </row>
    <row r="52" ht="14.25" customHeight="1">
      <c r="A52" s="1"/>
      <c r="B52" s="46" t="s">
        <v>56</v>
      </c>
      <c r="C52" s="455" t="s">
        <v>234</v>
      </c>
      <c r="D52" s="456" t="s">
        <v>236</v>
      </c>
      <c r="E52" s="456" t="s">
        <v>234</v>
      </c>
      <c r="F52" s="456" t="s">
        <v>237</v>
      </c>
      <c r="G52" s="664" t="s">
        <v>238</v>
      </c>
      <c r="H52" s="456" t="s">
        <v>239</v>
      </c>
      <c r="I52" s="456" t="s">
        <v>239</v>
      </c>
      <c r="J52" s="456" t="s">
        <v>237</v>
      </c>
      <c r="K52" s="456" t="s">
        <v>234</v>
      </c>
      <c r="L52" s="456" t="s">
        <v>235</v>
      </c>
      <c r="M52" s="456" t="s">
        <v>240</v>
      </c>
      <c r="N52" s="456" t="s">
        <v>238</v>
      </c>
      <c r="O52" s="456" t="s">
        <v>241</v>
      </c>
      <c r="P52" s="456" t="s">
        <v>241</v>
      </c>
      <c r="Q52" s="456" t="s">
        <v>239</v>
      </c>
      <c r="R52" s="456" t="s">
        <v>239</v>
      </c>
      <c r="S52" s="456" t="s">
        <v>239</v>
      </c>
      <c r="T52" s="456" t="s">
        <v>239</v>
      </c>
      <c r="U52" s="456" t="s">
        <v>239</v>
      </c>
      <c r="V52" s="456" t="s">
        <v>241</v>
      </c>
      <c r="W52" s="456" t="s">
        <v>241</v>
      </c>
      <c r="X52" s="457" t="s">
        <v>241</v>
      </c>
      <c r="Y52" s="456" t="s">
        <v>241</v>
      </c>
      <c r="Z52" s="456" t="s">
        <v>241</v>
      </c>
      <c r="AA52" s="456" t="s">
        <v>237</v>
      </c>
      <c r="AB52" s="456" t="s">
        <v>237</v>
      </c>
      <c r="AC52" s="456" t="s">
        <v>236</v>
      </c>
      <c r="AD52" s="458" t="s">
        <v>243</v>
      </c>
      <c r="AE52" s="459"/>
      <c r="AF52" s="455" t="s">
        <v>239</v>
      </c>
      <c r="AG52" s="456" t="s">
        <v>238</v>
      </c>
      <c r="AH52" s="460" t="s">
        <v>238</v>
      </c>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row>
    <row r="53" ht="14.25" customHeight="1" thickBot="1">
      <c r="B53" s="48" t="s">
        <v>76</v>
      </c>
      <c r="C53" s="333" t="s">
        <v>235</v>
      </c>
      <c r="D53" s="334" t="s">
        <v>234</v>
      </c>
      <c r="E53" s="334" t="s">
        <v>235</v>
      </c>
      <c r="F53" s="334" t="s">
        <v>235</v>
      </c>
      <c r="G53" s="665" t="s">
        <v>238</v>
      </c>
      <c r="H53" s="334" t="s">
        <v>240</v>
      </c>
      <c r="I53" s="334" t="s">
        <v>239</v>
      </c>
      <c r="J53" s="334" t="s">
        <v>237</v>
      </c>
      <c r="K53" s="334" t="s">
        <v>241</v>
      </c>
      <c r="L53" s="334" t="s">
        <v>235</v>
      </c>
      <c r="M53" s="334" t="s">
        <v>241</v>
      </c>
      <c r="N53" s="334" t="s">
        <v>234</v>
      </c>
      <c r="O53" s="334" t="s">
        <v>234</v>
      </c>
      <c r="P53" s="334" t="s">
        <v>237</v>
      </c>
      <c r="Q53" s="334" t="s">
        <v>238</v>
      </c>
      <c r="R53" s="334" t="s">
        <v>239</v>
      </c>
      <c r="S53" s="334" t="s">
        <v>238</v>
      </c>
      <c r="T53" s="334" t="s">
        <v>241</v>
      </c>
      <c r="U53" s="334" t="s">
        <v>242</v>
      </c>
      <c r="V53" s="334" t="s">
        <v>238</v>
      </c>
      <c r="W53" s="334" t="s">
        <v>242</v>
      </c>
      <c r="X53" s="60" t="s">
        <v>238</v>
      </c>
      <c r="Y53" s="61" t="s">
        <v>236</v>
      </c>
      <c r="Z53" s="61" t="s">
        <v>241</v>
      </c>
      <c r="AA53" s="61" t="s">
        <v>234</v>
      </c>
      <c r="AB53" s="61" t="s">
        <v>236</v>
      </c>
      <c r="AC53" s="61" t="s">
        <v>235</v>
      </c>
      <c r="AD53" s="62" t="s">
        <v>244</v>
      </c>
      <c r="AE53" s="59"/>
      <c r="AF53" s="333" t="s">
        <v>234</v>
      </c>
      <c r="AG53" s="334" t="s">
        <v>235</v>
      </c>
      <c r="AH53" s="335" t="s">
        <v>241</v>
      </c>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row>
    <row r="54" ht="9.95" customHeight="1">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row>
    <row r="55" ht="9.95" customHeight="1">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row>
    <row r="56" ht="24.95" customHeight="1">
      <c r="B56" s="650" t="s">
        <v>114</v>
      </c>
      <c r="C56" s="650"/>
      <c r="D56" s="650"/>
      <c r="E56" s="650"/>
      <c r="F56" s="650"/>
      <c r="G56" s="650"/>
      <c r="H56" s="650"/>
      <c r="I56" s="650"/>
      <c r="J56" s="650"/>
      <c r="K56" s="650"/>
      <c r="L56" s="650"/>
      <c r="M56" s="650"/>
      <c r="N56" s="650"/>
      <c r="O56" s="650"/>
      <c r="P56" s="650"/>
      <c r="Q56" s="650"/>
      <c r="R56" s="650"/>
      <c r="S56" s="650"/>
      <c r="T56" s="650"/>
      <c r="U56" s="650"/>
      <c r="V56" s="650"/>
      <c r="W56" s="650"/>
      <c r="X56" s="650"/>
      <c r="Y56" s="650"/>
      <c r="Z56" s="650"/>
      <c r="AA56" s="650"/>
      <c r="AB56" s="650"/>
      <c r="AC56" s="650"/>
      <c r="AD56" s="650"/>
      <c r="AE56" s="650"/>
      <c r="AF56" s="650"/>
      <c r="AG56" s="650"/>
      <c r="AH56" s="650"/>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row>
    <row r="57" ht="9.95" customHeight="1">
      <c r="B57" s="53"/>
      <c r="AF57" s="80"/>
      <c r="AG57" s="242"/>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row>
    <row r="58" ht="9.95" customHeight="1">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row>
    <row r="65" s="25" customFormat="1">
      <c r="A65" s="248"/>
      <c r="B65" s="248"/>
      <c r="C65" s="248"/>
      <c r="D65" s="248"/>
      <c r="E65" s="248"/>
      <c r="F65" s="248"/>
      <c r="G65" s="248"/>
      <c r="H65" s="248"/>
      <c r="I65" s="248"/>
      <c r="J65" s="248"/>
      <c r="K65" s="248"/>
      <c r="L65" s="248"/>
      <c r="M65" s="248"/>
      <c r="N65" s="248"/>
      <c r="O65" s="248"/>
      <c r="P65" s="248"/>
      <c r="Q65" s="248"/>
      <c r="R65" s="248"/>
      <c r="S65" s="248"/>
      <c r="T65" s="248"/>
      <c r="U65" s="248"/>
      <c r="V65" s="248"/>
      <c r="W65" s="248"/>
      <c r="X65" s="248"/>
      <c r="Y65" s="248"/>
      <c r="Z65" s="248"/>
      <c r="AA65" s="248"/>
      <c r="AB65" s="248"/>
      <c r="AC65" s="248"/>
      <c r="AD65" s="248"/>
      <c r="AE65" s="248"/>
      <c r="AF65" s="248"/>
      <c r="AG65" s="248"/>
      <c r="AH65" s="248"/>
      <c r="AI65" s="248"/>
      <c r="AJ65" s="248"/>
      <c r="AK65" s="248"/>
      <c r="AL65" s="248"/>
      <c r="AM65" s="248"/>
      <c r="AN65" s="248"/>
      <c r="AO65" s="248"/>
      <c r="AP65" s="248"/>
      <c r="AQ65" s="248"/>
      <c r="AR65" s="248"/>
      <c r="AS65" s="248"/>
      <c r="AT65" s="248"/>
      <c r="AU65" s="248"/>
      <c r="AV65" s="248"/>
      <c r="AW65" s="248"/>
      <c r="AX65" s="248"/>
      <c r="AY65" s="248"/>
      <c r="AZ65" s="248"/>
      <c r="BA65" s="248"/>
      <c r="BB65" s="248"/>
      <c r="BC65" s="248"/>
      <c r="BD65" s="248"/>
      <c r="BE65" s="248"/>
      <c r="BF65" s="248"/>
      <c r="BG65" s="248"/>
      <c r="BH65" s="248"/>
      <c r="BI65" s="248"/>
      <c r="BJ65" s="248"/>
      <c r="BK65" s="248"/>
    </row>
    <row r="66" s="25" customFormat="1" ht="10.5" customHeight="1">
      <c r="A66" s="248"/>
      <c r="B66" s="666"/>
      <c r="C66" s="666"/>
      <c r="D66" s="666"/>
      <c r="E66" s="666"/>
      <c r="F66" s="666"/>
      <c r="G66" s="666"/>
      <c r="H66" s="666"/>
      <c r="I66" s="666"/>
      <c r="J66" s="666"/>
      <c r="K66" s="666"/>
      <c r="L66" s="666"/>
      <c r="M66" s="666"/>
      <c r="N66" s="666"/>
      <c r="O66" s="666"/>
      <c r="P66" s="666"/>
      <c r="Q66" s="666"/>
      <c r="R66" s="666"/>
      <c r="S66" s="666"/>
      <c r="T66" s="666"/>
      <c r="U66" s="666"/>
      <c r="V66" s="666"/>
      <c r="W66" s="666"/>
      <c r="X66" s="666"/>
      <c r="Y66" s="666"/>
      <c r="Z66" s="666"/>
      <c r="AA66" s="666"/>
      <c r="AB66" s="666"/>
      <c r="AC66" s="666"/>
      <c r="AD66" s="666"/>
      <c r="AE66" s="666"/>
      <c r="AF66" s="666"/>
      <c r="AG66" s="666"/>
      <c r="AH66" s="666"/>
      <c r="AI66" s="248"/>
      <c r="AJ66" s="248"/>
      <c r="AK66" s="248"/>
      <c r="AL66" s="248"/>
      <c r="AM66" s="248"/>
      <c r="AN66" s="248"/>
      <c r="AO66" s="248"/>
      <c r="AP66" s="248"/>
      <c r="AQ66" s="248"/>
      <c r="AR66" s="248"/>
      <c r="AS66" s="248"/>
      <c r="AT66" s="248"/>
      <c r="AU66" s="248"/>
      <c r="AV66" s="248"/>
      <c r="AW66" s="248"/>
      <c r="AX66" s="248"/>
      <c r="AY66" s="248"/>
      <c r="AZ66" s="248"/>
      <c r="BA66" s="248"/>
      <c r="BB66" s="248"/>
      <c r="BC66" s="248"/>
      <c r="BD66" s="248"/>
      <c r="BE66" s="248"/>
      <c r="BF66" s="248"/>
      <c r="BG66" s="248"/>
      <c r="BH66" s="248"/>
      <c r="BI66" s="248"/>
      <c r="BJ66" s="248"/>
      <c r="BK66" s="248"/>
    </row>
    <row r="67" s="25" customFormat="1">
      <c r="A67" s="248"/>
      <c r="B67" s="666"/>
      <c r="C67" s="666"/>
      <c r="D67" s="666"/>
      <c r="E67" s="666"/>
      <c r="F67" s="666"/>
      <c r="G67" s="666"/>
      <c r="H67" s="666"/>
      <c r="I67" s="666"/>
      <c r="J67" s="666"/>
      <c r="K67" s="666"/>
      <c r="L67" s="666"/>
      <c r="M67" s="666"/>
      <c r="N67" s="666"/>
      <c r="O67" s="666"/>
      <c r="P67" s="666"/>
      <c r="Q67" s="666"/>
      <c r="R67" s="666"/>
      <c r="S67" s="666"/>
      <c r="T67" s="666"/>
      <c r="U67" s="666"/>
      <c r="V67" s="666"/>
      <c r="W67" s="666"/>
      <c r="X67" s="666"/>
      <c r="Y67" s="666"/>
      <c r="Z67" s="666"/>
      <c r="AA67" s="666"/>
      <c r="AB67" s="666"/>
      <c r="AC67" s="666"/>
      <c r="AD67" s="666"/>
      <c r="AE67" s="666"/>
      <c r="AF67" s="666"/>
      <c r="AG67" s="666"/>
      <c r="AH67" s="666"/>
      <c r="AI67" s="248"/>
      <c r="AJ67" s="248"/>
      <c r="AK67" s="248"/>
      <c r="AL67" s="248"/>
      <c r="AM67" s="248"/>
      <c r="AN67" s="248"/>
      <c r="AO67" s="248"/>
      <c r="AP67" s="248"/>
      <c r="AQ67" s="248"/>
      <c r="AR67" s="248"/>
      <c r="AS67" s="248"/>
      <c r="AT67" s="248"/>
      <c r="AU67" s="248"/>
      <c r="AV67" s="248"/>
      <c r="AW67" s="248"/>
      <c r="AX67" s="248"/>
      <c r="AY67" s="248"/>
      <c r="AZ67" s="248"/>
      <c r="BA67" s="248"/>
      <c r="BB67" s="248"/>
      <c r="BC67" s="248"/>
      <c r="BD67" s="248"/>
      <c r="BE67" s="248"/>
      <c r="BF67" s="248"/>
      <c r="BG67" s="248"/>
      <c r="BH67" s="248"/>
      <c r="BI67" s="248"/>
      <c r="BJ67" s="248"/>
      <c r="BK67" s="248"/>
    </row>
    <row r="68" s="84" customFormat="1">
      <c r="A68" s="249"/>
      <c r="B68" s="666"/>
      <c r="C68" s="666"/>
      <c r="D68" s="666"/>
      <c r="E68" s="666"/>
      <c r="F68" s="666"/>
      <c r="G68" s="666"/>
      <c r="H68" s="666"/>
      <c r="I68" s="666"/>
      <c r="J68" s="666"/>
      <c r="K68" s="666"/>
      <c r="L68" s="666"/>
      <c r="M68" s="666"/>
      <c r="N68" s="666"/>
      <c r="O68" s="666"/>
      <c r="P68" s="666"/>
      <c r="Q68" s="666"/>
      <c r="R68" s="666"/>
      <c r="S68" s="666"/>
      <c r="T68" s="666"/>
      <c r="U68" s="666"/>
      <c r="V68" s="666"/>
      <c r="W68" s="666"/>
      <c r="X68" s="666"/>
      <c r="Y68" s="666"/>
      <c r="Z68" s="666"/>
      <c r="AA68" s="666"/>
      <c r="AB68" s="666"/>
      <c r="AC68" s="666"/>
      <c r="AD68" s="666"/>
      <c r="AE68" s="666"/>
      <c r="AF68" s="666"/>
      <c r="AG68" s="666"/>
      <c r="AH68" s="666"/>
      <c r="AI68" s="249"/>
      <c r="AJ68" s="249"/>
      <c r="AK68" s="249"/>
      <c r="AL68" s="249"/>
      <c r="AM68" s="249"/>
      <c r="AN68" s="249"/>
      <c r="AO68" s="249"/>
      <c r="AP68" s="249"/>
      <c r="AQ68" s="249"/>
      <c r="AR68" s="249"/>
      <c r="AS68" s="249"/>
      <c r="AT68" s="249"/>
      <c r="AU68" s="249"/>
      <c r="AV68" s="249"/>
      <c r="AW68" s="249"/>
      <c r="AX68" s="249"/>
      <c r="AY68" s="249"/>
      <c r="AZ68" s="249"/>
      <c r="BA68" s="249"/>
      <c r="BB68" s="249"/>
      <c r="BC68" s="249"/>
      <c r="BD68" s="249"/>
      <c r="BE68" s="249"/>
      <c r="BF68" s="249"/>
      <c r="BG68" s="249"/>
      <c r="BH68" s="249"/>
      <c r="BI68" s="249"/>
      <c r="BJ68" s="249"/>
      <c r="BK68" s="249"/>
    </row>
    <row r="69" s="84" customFormat="1">
      <c r="A69" s="249"/>
      <c r="B69" s="666"/>
      <c r="C69" s="666"/>
      <c r="D69" s="666"/>
      <c r="E69" s="666"/>
      <c r="F69" s="666"/>
      <c r="G69" s="666"/>
      <c r="H69" s="666"/>
      <c r="I69" s="666"/>
      <c r="J69" s="666"/>
      <c r="K69" s="666"/>
      <c r="L69" s="666"/>
      <c r="M69" s="666"/>
      <c r="N69" s="666"/>
      <c r="O69" s="666"/>
      <c r="P69" s="666"/>
      <c r="Q69" s="666"/>
      <c r="R69" s="666"/>
      <c r="S69" s="666"/>
      <c r="T69" s="666"/>
      <c r="U69" s="666"/>
      <c r="V69" s="666"/>
      <c r="W69" s="666"/>
      <c r="X69" s="666"/>
      <c r="Y69" s="666"/>
      <c r="Z69" s="666"/>
      <c r="AA69" s="666"/>
      <c r="AB69" s="666"/>
      <c r="AC69" s="666"/>
      <c r="AD69" s="666"/>
      <c r="AE69" s="666"/>
      <c r="AF69" s="666"/>
      <c r="AG69" s="666"/>
      <c r="AH69" s="666"/>
      <c r="AI69" s="249"/>
      <c r="AJ69" s="249"/>
      <c r="AK69" s="249"/>
      <c r="AL69" s="249"/>
      <c r="AM69" s="249"/>
      <c r="AN69" s="249"/>
      <c r="AO69" s="249"/>
      <c r="AP69" s="249"/>
      <c r="AQ69" s="249"/>
      <c r="AR69" s="249"/>
      <c r="AS69" s="249"/>
      <c r="AT69" s="249"/>
      <c r="AU69" s="249"/>
      <c r="AV69" s="249"/>
      <c r="AW69" s="249"/>
      <c r="AX69" s="249"/>
      <c r="AY69" s="249"/>
      <c r="AZ69" s="249"/>
      <c r="BA69" s="249"/>
      <c r="BB69" s="249"/>
      <c r="BC69" s="249"/>
      <c r="BD69" s="249"/>
      <c r="BE69" s="249"/>
      <c r="BF69" s="249"/>
      <c r="BG69" s="249"/>
      <c r="BH69" s="249"/>
      <c r="BI69" s="249"/>
      <c r="BJ69" s="249"/>
      <c r="BK69" s="249"/>
    </row>
    <row r="70" s="84" customFormat="1">
      <c r="A70" s="249"/>
      <c r="B70" s="666"/>
      <c r="C70" s="666"/>
      <c r="D70" s="666"/>
      <c r="E70" s="666"/>
      <c r="F70" s="666"/>
      <c r="G70" s="666"/>
      <c r="H70" s="666"/>
      <c r="I70" s="666"/>
      <c r="J70" s="666"/>
      <c r="K70" s="666"/>
      <c r="L70" s="666"/>
      <c r="M70" s="666"/>
      <c r="N70" s="666"/>
      <c r="O70" s="666"/>
      <c r="P70" s="666"/>
      <c r="Q70" s="666"/>
      <c r="R70" s="666"/>
      <c r="S70" s="666"/>
      <c r="T70" s="666"/>
      <c r="U70" s="666"/>
      <c r="V70" s="666"/>
      <c r="W70" s="666"/>
      <c r="X70" s="666"/>
      <c r="Y70" s="666"/>
      <c r="Z70" s="666"/>
      <c r="AA70" s="666"/>
      <c r="AB70" s="666"/>
      <c r="AC70" s="666"/>
      <c r="AD70" s="666"/>
      <c r="AE70" s="666"/>
      <c r="AF70" s="666"/>
      <c r="AG70" s="666"/>
      <c r="AH70" s="666"/>
      <c r="AI70" s="249"/>
      <c r="AJ70" s="249"/>
      <c r="AK70" s="249"/>
      <c r="AL70" s="249"/>
      <c r="AM70" s="249"/>
      <c r="AN70" s="249"/>
      <c r="AO70" s="249"/>
      <c r="AP70" s="249"/>
      <c r="AQ70" s="249"/>
      <c r="AR70" s="249"/>
      <c r="AS70" s="249"/>
      <c r="AT70" s="249"/>
      <c r="AU70" s="249"/>
      <c r="AV70" s="249"/>
      <c r="AW70" s="249"/>
      <c r="AX70" s="249"/>
      <c r="AY70" s="249"/>
      <c r="AZ70" s="249"/>
      <c r="BA70" s="249"/>
      <c r="BB70" s="249"/>
      <c r="BC70" s="249"/>
      <c r="BD70" s="249"/>
      <c r="BE70" s="249"/>
      <c r="BF70" s="249"/>
      <c r="BG70" s="249"/>
      <c r="BH70" s="249"/>
      <c r="BI70" s="249"/>
      <c r="BJ70" s="249"/>
      <c r="BK70" s="249"/>
    </row>
    <row r="71" s="84" customFormat="1">
      <c r="A71" s="249"/>
      <c r="B71" s="666">
        <v>1</v>
      </c>
      <c r="C71" s="666">
        <v>2</v>
      </c>
      <c r="D71" s="666">
        <v>3</v>
      </c>
      <c r="E71" s="666">
        <v>4</v>
      </c>
      <c r="F71" s="666">
        <v>5</v>
      </c>
      <c r="G71" s="666">
        <v>6</v>
      </c>
      <c r="H71" s="666">
        <v>7</v>
      </c>
      <c r="I71" s="666">
        <v>8</v>
      </c>
      <c r="J71" s="666">
        <v>9</v>
      </c>
      <c r="K71" s="666">
        <v>10</v>
      </c>
      <c r="L71" s="666">
        <v>11</v>
      </c>
      <c r="M71" s="666">
        <v>12</v>
      </c>
      <c r="N71" s="666"/>
      <c r="O71" s="666"/>
      <c r="P71" s="666"/>
      <c r="Q71" s="666"/>
      <c r="R71" s="666"/>
      <c r="S71" s="666"/>
      <c r="T71" s="666"/>
      <c r="U71" s="666"/>
      <c r="V71" s="666"/>
      <c r="W71" s="666"/>
      <c r="X71" s="666"/>
      <c r="Y71" s="666"/>
      <c r="Z71" s="666"/>
      <c r="AA71" s="666"/>
      <c r="AB71" s="666"/>
      <c r="AC71" s="666"/>
      <c r="AD71" s="666"/>
      <c r="AE71" s="666"/>
      <c r="AF71" s="666"/>
      <c r="AG71" s="666"/>
      <c r="AH71" s="666"/>
      <c r="AI71" s="249"/>
      <c r="AJ71" s="249"/>
      <c r="AK71" s="249"/>
      <c r="AL71" s="249"/>
      <c r="AM71" s="249"/>
      <c r="AN71" s="249"/>
      <c r="AO71" s="249"/>
      <c r="AP71" s="249"/>
      <c r="AQ71" s="249"/>
      <c r="AR71" s="249"/>
      <c r="AS71" s="249"/>
      <c r="AT71" s="249"/>
      <c r="AU71" s="249"/>
      <c r="AV71" s="249"/>
      <c r="AW71" s="249"/>
      <c r="AX71" s="249"/>
      <c r="AY71" s="249"/>
      <c r="AZ71" s="249"/>
      <c r="BA71" s="249"/>
      <c r="BB71" s="249"/>
      <c r="BC71" s="249"/>
      <c r="BD71" s="249"/>
      <c r="BE71" s="249"/>
      <c r="BF71" s="249"/>
      <c r="BG71" s="249"/>
      <c r="BH71" s="249"/>
      <c r="BI71" s="249"/>
      <c r="BJ71" s="249"/>
      <c r="BK71" s="249"/>
    </row>
    <row r="72" s="84" customFormat="1">
      <c r="A72" s="256"/>
      <c r="B72" s="666" t="n">
        <v>45724</v>
      </c>
      <c r="C72" s="666">
        <v>45731</v>
      </c>
      <c r="D72" s="666">
        <v>45738</v>
      </c>
      <c r="E72" s="666">
        <v>45745</v>
      </c>
      <c r="F72" s="666">
        <v>45752</v>
      </c>
      <c r="G72" s="666">
        <v>45759</v>
      </c>
      <c r="H72" s="666">
        <v>45766</v>
      </c>
      <c r="I72" s="666">
        <v>45773</v>
      </c>
      <c r="J72" s="666">
        <v>45780</v>
      </c>
      <c r="K72" s="666">
        <v>45787</v>
      </c>
      <c r="L72" s="666">
        <v>45794</v>
      </c>
      <c r="M72" s="666">
        <v>45801</v>
      </c>
      <c r="N72" s="666"/>
      <c r="O72" s="666"/>
      <c r="P72" s="666"/>
      <c r="Q72" s="666"/>
      <c r="R72" s="666"/>
      <c r="S72" s="666"/>
      <c r="T72" s="666"/>
      <c r="U72" s="666"/>
      <c r="V72" s="666"/>
      <c r="W72" s="666"/>
      <c r="X72" s="666"/>
      <c r="Y72" s="666"/>
      <c r="Z72" s="666"/>
      <c r="AA72" s="666"/>
      <c r="AB72" s="666"/>
      <c r="AC72" s="666"/>
      <c r="AD72" s="666"/>
      <c r="AE72" s="666"/>
      <c r="AF72" s="666"/>
      <c r="AG72" s="666"/>
      <c r="AH72" s="666"/>
      <c r="AI72" s="249"/>
      <c r="AJ72" s="249"/>
      <c r="AK72" s="249"/>
      <c r="AL72" s="249"/>
      <c r="AM72" s="249"/>
      <c r="AN72" s="249"/>
      <c r="AO72" s="249"/>
      <c r="AP72" s="249"/>
      <c r="AQ72" s="249"/>
      <c r="AR72" s="249"/>
      <c r="AS72" s="249"/>
      <c r="AT72" s="249"/>
      <c r="AU72" s="249"/>
      <c r="AV72" s="249"/>
      <c r="AW72" s="249"/>
      <c r="AX72" s="249"/>
      <c r="AY72" s="249"/>
      <c r="AZ72" s="249"/>
      <c r="BA72" s="249"/>
      <c r="BB72" s="249"/>
      <c r="BC72" s="249"/>
      <c r="BD72" s="249"/>
      <c r="BE72" s="249"/>
      <c r="BF72" s="249"/>
      <c r="BG72" s="249"/>
      <c r="BH72" s="249"/>
      <c r="BI72" s="249"/>
      <c r="BJ72" s="249"/>
      <c r="BK72" s="249"/>
    </row>
    <row r="73" s="84" customFormat="1" ht="14.25">
      <c r="A73" s="260" t="s">
        <v>32</v>
      </c>
      <c r="B73" s="666">
        <v>91.34199134199134199134199134</v>
      </c>
      <c r="C73" s="666">
        <v>90.90909090909090909090909091</v>
      </c>
      <c r="D73" s="666">
        <v>90.90909090909090909090909091</v>
      </c>
      <c r="E73" s="666">
        <v>90.25974025974025974025974026</v>
      </c>
      <c r="F73" s="666">
        <v>95.12987012987012987012987013</v>
      </c>
      <c r="G73" s="666">
        <v>93.83116883116883116883116883</v>
      </c>
      <c r="H73" s="666">
        <v>96.21212121212121212121212121</v>
      </c>
      <c r="I73" s="666">
        <v>88.09523809523809523809523810</v>
      </c>
      <c r="J73" s="666">
        <v>94.04761904761904761904761905</v>
      </c>
      <c r="K73" s="666">
        <v>78.138528138528138528138528140</v>
      </c>
      <c r="L73" s="666">
        <v>75.216450216450216450216450220</v>
      </c>
      <c r="M73" s="666">
        <v>89.17748917748917748917748918</v>
      </c>
      <c r="N73" s="666"/>
      <c r="O73" s="666"/>
      <c r="P73" s="666"/>
      <c r="Q73" s="666"/>
      <c r="R73" s="666"/>
      <c r="S73" s="666"/>
      <c r="T73" s="666"/>
      <c r="U73" s="666"/>
      <c r="V73" s="666"/>
      <c r="W73" s="666"/>
      <c r="X73" s="666"/>
      <c r="Y73" s="666"/>
      <c r="Z73" s="666"/>
      <c r="AA73" s="666"/>
      <c r="AB73" s="666"/>
      <c r="AC73" s="666"/>
      <c r="AD73" s="666"/>
      <c r="AE73" s="666"/>
      <c r="AF73" s="666"/>
      <c r="AG73" s="666"/>
      <c r="AH73" s="666"/>
      <c r="AI73" s="249"/>
      <c r="AJ73" s="249"/>
      <c r="AK73" s="249"/>
      <c r="AL73" s="249"/>
      <c r="AM73" s="249"/>
      <c r="AN73" s="249"/>
      <c r="AO73" s="249"/>
      <c r="AP73" s="249"/>
      <c r="AQ73" s="249"/>
      <c r="AR73" s="249"/>
      <c r="AS73" s="249"/>
      <c r="AT73" s="249"/>
      <c r="AU73" s="249"/>
      <c r="AV73" s="249"/>
      <c r="AW73" s="249"/>
      <c r="AX73" s="249"/>
      <c r="AY73" s="249"/>
      <c r="AZ73" s="249"/>
      <c r="BA73" s="249"/>
      <c r="BB73" s="249"/>
      <c r="BC73" s="249"/>
      <c r="BD73" s="249"/>
      <c r="BE73" s="249"/>
      <c r="BF73" s="249"/>
      <c r="BG73" s="249"/>
      <c r="BH73" s="249"/>
      <c r="BI73" s="249"/>
      <c r="BJ73" s="249"/>
      <c r="BK73" s="249"/>
    </row>
    <row r="74" s="84" customFormat="1" ht="14.25">
      <c r="A74" s="260" t="s">
        <v>26</v>
      </c>
      <c r="B74" s="666">
        <v>90.78965564928778868759507675</v>
      </c>
      <c r="C74" s="666">
        <v>86.87595076752869589268427603</v>
      </c>
      <c r="D74" s="666">
        <v>89.64181994191674733785091965</v>
      </c>
      <c r="E74" s="666">
        <v>86.69616927119347254874844420</v>
      </c>
      <c r="F74" s="666">
        <v>84.53554261107587542143739360</v>
      </c>
      <c r="G74" s="666">
        <v>93.04383902641405061540589130</v>
      </c>
      <c r="H74" s="666">
        <v>91.06624256672659383211174111</v>
      </c>
      <c r="I74" s="666">
        <v>81.74526344903886046190015212</v>
      </c>
      <c r="J74" s="666">
        <v>94.55123772645553865302171207</v>
      </c>
      <c r="K74" s="666">
        <v>81.39952980224035403125432167</v>
      </c>
      <c r="L74" s="666">
        <v>78.495367169132900013829345870</v>
      </c>
      <c r="M74" s="666">
        <v>86.55642797481960691706935692</v>
      </c>
      <c r="N74" s="666"/>
      <c r="O74" s="666"/>
      <c r="P74" s="666"/>
      <c r="Q74" s="666"/>
      <c r="R74" s="666"/>
      <c r="S74" s="666"/>
      <c r="T74" s="666"/>
      <c r="U74" s="666"/>
      <c r="V74" s="666"/>
      <c r="W74" s="666"/>
      <c r="X74" s="666"/>
      <c r="Y74" s="666"/>
      <c r="Z74" s="666"/>
      <c r="AA74" s="666"/>
      <c r="AB74" s="666"/>
      <c r="AC74" s="666"/>
      <c r="AD74" s="666"/>
      <c r="AE74" s="666"/>
      <c r="AF74" s="666"/>
      <c r="AG74" s="666"/>
      <c r="AH74" s="666"/>
      <c r="AI74" s="249"/>
      <c r="AJ74" s="249"/>
      <c r="AK74" s="249"/>
      <c r="AL74" s="249"/>
      <c r="AM74" s="249"/>
      <c r="AN74" s="249"/>
      <c r="AO74" s="249"/>
      <c r="AP74" s="249"/>
      <c r="AQ74" s="249"/>
      <c r="AR74" s="249"/>
      <c r="AS74" s="249"/>
      <c r="AT74" s="249"/>
      <c r="AU74" s="249"/>
      <c r="AV74" s="249"/>
      <c r="AW74" s="249"/>
      <c r="AX74" s="249"/>
      <c r="AY74" s="249"/>
      <c r="AZ74" s="249"/>
      <c r="BA74" s="249"/>
      <c r="BB74" s="249"/>
      <c r="BC74" s="249"/>
      <c r="BD74" s="249"/>
      <c r="BE74" s="249"/>
      <c r="BF74" s="249"/>
      <c r="BG74" s="249"/>
      <c r="BH74" s="249"/>
      <c r="BI74" s="249"/>
      <c r="BJ74" s="249"/>
      <c r="BK74" s="249"/>
    </row>
    <row r="75" ht="14.25">
      <c r="A75" s="260" t="s">
        <v>185</v>
      </c>
      <c r="B75" s="666">
        <v>85.56403504857113104535784948</v>
      </c>
      <c r="C75" s="666">
        <v>80.40195772154535041132979277</v>
      </c>
      <c r="D75" s="666">
        <v>88.89781467101054729920709302</v>
      </c>
      <c r="E75" s="666">
        <v>84.58071138483509617530236087</v>
      </c>
      <c r="F75" s="666">
        <v>85.23250100504757225175324965</v>
      </c>
      <c r="G75" s="666">
        <v>88.20322623888466866258545958</v>
      </c>
      <c r="H75" s="666">
        <v>81.27262165422941150185441709</v>
      </c>
      <c r="I75" s="666">
        <v>76.013226685732159613923767820</v>
      </c>
      <c r="J75" s="666">
        <v>89.62718024338293340482893189</v>
      </c>
      <c r="K75" s="666">
        <v>74.160299089920610095774312230</v>
      </c>
      <c r="L75" s="666">
        <v>72.803372209065046099766149810</v>
      </c>
      <c r="M75" s="666">
        <v>74.432876059400926463797905770</v>
      </c>
      <c r="N75" s="666"/>
      <c r="O75" s="666"/>
      <c r="P75" s="666"/>
      <c r="Q75" s="666"/>
      <c r="R75" s="666"/>
      <c r="S75" s="666"/>
      <c r="T75" s="666"/>
      <c r="U75" s="666"/>
      <c r="V75" s="666"/>
      <c r="W75" s="666"/>
      <c r="X75" s="666"/>
      <c r="Y75" s="666"/>
      <c r="Z75" s="666"/>
      <c r="AA75" s="666"/>
      <c r="AB75" s="666"/>
      <c r="AC75" s="666"/>
      <c r="AD75" s="666"/>
      <c r="AE75" s="666"/>
      <c r="AF75" s="666"/>
      <c r="AG75" s="666"/>
      <c r="AH75" s="666"/>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c r="BH75" s="244"/>
      <c r="BI75" s="244"/>
      <c r="BJ75" s="244"/>
      <c r="BK75" s="244"/>
    </row>
    <row r="76">
      <c r="A76" s="256"/>
      <c r="B76" s="666"/>
      <c r="C76" s="666"/>
      <c r="D76" s="666"/>
      <c r="E76" s="666"/>
      <c r="F76" s="666"/>
      <c r="G76" s="666"/>
      <c r="H76" s="666"/>
      <c r="I76" s="666"/>
      <c r="J76" s="666"/>
      <c r="K76" s="666"/>
      <c r="L76" s="666"/>
      <c r="M76" s="666"/>
      <c r="N76" s="666"/>
      <c r="O76" s="666"/>
      <c r="P76" s="666"/>
      <c r="Q76" s="666"/>
      <c r="R76" s="666"/>
      <c r="S76" s="666"/>
      <c r="T76" s="666"/>
      <c r="U76" s="666"/>
      <c r="V76" s="666"/>
      <c r="W76" s="666"/>
      <c r="X76" s="666"/>
      <c r="Y76" s="666"/>
      <c r="Z76" s="666"/>
      <c r="AA76" s="666"/>
      <c r="AB76" s="666"/>
      <c r="AC76" s="666"/>
      <c r="AD76" s="666"/>
      <c r="AE76" s="666"/>
      <c r="AF76" s="666"/>
      <c r="AG76" s="666"/>
      <c r="AH76" s="666"/>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c r="BH76" s="244"/>
      <c r="BI76" s="244"/>
      <c r="BJ76" s="244"/>
      <c r="BK76" s="244"/>
    </row>
    <row r="77">
      <c r="A77" s="256"/>
      <c r="B77" s="666"/>
      <c r="C77" s="666"/>
      <c r="D77" s="666"/>
      <c r="E77" s="666"/>
      <c r="F77" s="666"/>
      <c r="G77" s="666"/>
      <c r="H77" s="666"/>
      <c r="I77" s="666"/>
      <c r="J77" s="666"/>
      <c r="K77" s="666"/>
      <c r="L77" s="666"/>
      <c r="M77" s="666"/>
      <c r="N77" s="666"/>
      <c r="O77" s="666"/>
      <c r="P77" s="666"/>
      <c r="Q77" s="666"/>
      <c r="R77" s="666"/>
      <c r="S77" s="666"/>
      <c r="T77" s="666"/>
      <c r="U77" s="666"/>
      <c r="V77" s="666"/>
      <c r="W77" s="666"/>
      <c r="X77" s="666"/>
      <c r="Y77" s="666"/>
      <c r="Z77" s="666"/>
      <c r="AA77" s="666"/>
      <c r="AB77" s="666"/>
      <c r="AC77" s="666"/>
      <c r="AD77" s="666"/>
      <c r="AE77" s="666"/>
      <c r="AF77" s="666"/>
      <c r="AG77" s="666"/>
      <c r="AH77" s="666"/>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c r="BH77" s="244"/>
      <c r="BI77" s="244"/>
      <c r="BJ77" s="244"/>
      <c r="BK77" s="244"/>
    </row>
    <row r="78">
      <c r="A78" s="244"/>
      <c r="B78" s="666"/>
      <c r="C78" s="666"/>
      <c r="D78" s="666"/>
      <c r="E78" s="666"/>
      <c r="F78" s="666"/>
      <c r="G78" s="666"/>
      <c r="H78" s="666"/>
      <c r="I78" s="666"/>
      <c r="J78" s="666"/>
      <c r="K78" s="666"/>
      <c r="L78" s="666"/>
      <c r="M78" s="666"/>
      <c r="N78" s="666"/>
      <c r="O78" s="666"/>
      <c r="P78" s="666"/>
      <c r="Q78" s="666"/>
      <c r="R78" s="666"/>
      <c r="S78" s="666"/>
      <c r="T78" s="666"/>
      <c r="U78" s="666"/>
      <c r="V78" s="666"/>
      <c r="W78" s="666"/>
      <c r="X78" s="666"/>
      <c r="Y78" s="666"/>
      <c r="Z78" s="666"/>
      <c r="AA78" s="666"/>
      <c r="AB78" s="666"/>
      <c r="AC78" s="666"/>
      <c r="AD78" s="666"/>
      <c r="AE78" s="666"/>
      <c r="AF78" s="666"/>
      <c r="AG78" s="666"/>
      <c r="AH78" s="666"/>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c r="BK78" s="244"/>
    </row>
    <row r="79">
      <c r="A79" s="244"/>
      <c r="B79" s="666"/>
      <c r="C79" s="666"/>
      <c r="D79" s="666"/>
      <c r="E79" s="666"/>
      <c r="F79" s="666"/>
      <c r="G79" s="666"/>
      <c r="H79" s="666"/>
      <c r="I79" s="666"/>
      <c r="J79" s="666"/>
      <c r="K79" s="666"/>
      <c r="L79" s="666"/>
      <c r="M79" s="666"/>
      <c r="N79" s="666"/>
      <c r="O79" s="666"/>
      <c r="P79" s="666"/>
      <c r="Q79" s="666"/>
      <c r="R79" s="666"/>
      <c r="S79" s="666"/>
      <c r="T79" s="666"/>
      <c r="U79" s="666"/>
      <c r="V79" s="666"/>
      <c r="W79" s="666"/>
      <c r="X79" s="666"/>
      <c r="Y79" s="666"/>
      <c r="Z79" s="666"/>
      <c r="AA79" s="666"/>
      <c r="AB79" s="666"/>
      <c r="AC79" s="666"/>
      <c r="AD79" s="666"/>
      <c r="AE79" s="666"/>
      <c r="AF79" s="666"/>
      <c r="AG79" s="666"/>
      <c r="AH79" s="666"/>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c r="BK79" s="244"/>
    </row>
    <row r="80">
      <c r="A80" s="244"/>
      <c r="B80" s="666"/>
      <c r="C80" s="666"/>
      <c r="D80" s="666"/>
      <c r="E80" s="666"/>
      <c r="F80" s="666"/>
      <c r="G80" s="666"/>
      <c r="H80" s="666"/>
      <c r="I80" s="666"/>
      <c r="J80" s="666"/>
      <c r="K80" s="666"/>
      <c r="L80" s="666"/>
      <c r="M80" s="666"/>
      <c r="N80" s="666"/>
      <c r="O80" s="666"/>
      <c r="P80" s="666"/>
      <c r="Q80" s="666"/>
      <c r="R80" s="666"/>
      <c r="S80" s="666"/>
      <c r="T80" s="666"/>
      <c r="U80" s="666"/>
      <c r="V80" s="666"/>
      <c r="W80" s="666"/>
      <c r="X80" s="666"/>
      <c r="Y80" s="666"/>
      <c r="Z80" s="666"/>
      <c r="AA80" s="666"/>
      <c r="AB80" s="666"/>
      <c r="AC80" s="666"/>
      <c r="AD80" s="666"/>
      <c r="AE80" s="666"/>
      <c r="AF80" s="666"/>
      <c r="AG80" s="666"/>
      <c r="AH80" s="666"/>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row>
    <row r="81">
      <c r="A81" s="244"/>
      <c r="B81" s="666"/>
      <c r="C81" s="666"/>
      <c r="D81" s="666"/>
      <c r="E81" s="666"/>
      <c r="F81" s="666"/>
      <c r="G81" s="666"/>
      <c r="H81" s="666"/>
      <c r="I81" s="666"/>
      <c r="J81" s="666"/>
      <c r="K81" s="666"/>
      <c r="L81" s="666"/>
      <c r="M81" s="666"/>
      <c r="N81" s="666"/>
      <c r="O81" s="666"/>
      <c r="P81" s="666"/>
      <c r="Q81" s="666"/>
      <c r="R81" s="666"/>
      <c r="S81" s="666"/>
      <c r="T81" s="666"/>
      <c r="U81" s="666"/>
      <c r="V81" s="666"/>
      <c r="W81" s="666"/>
      <c r="X81" s="666"/>
      <c r="Y81" s="666"/>
      <c r="Z81" s="666"/>
      <c r="AA81" s="666"/>
      <c r="AB81" s="666"/>
      <c r="AC81" s="666"/>
      <c r="AD81" s="666"/>
      <c r="AE81" s="666"/>
      <c r="AF81" s="666"/>
      <c r="AG81" s="666"/>
      <c r="AH81" s="666"/>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row>
    <row r="82">
      <c r="A82" s="244"/>
      <c r="B82" s="666"/>
      <c r="C82" s="666"/>
      <c r="D82" s="666"/>
      <c r="E82" s="666"/>
      <c r="F82" s="666"/>
      <c r="G82" s="666"/>
      <c r="H82" s="666"/>
      <c r="I82" s="666"/>
      <c r="J82" s="666"/>
      <c r="K82" s="666"/>
      <c r="L82" s="666"/>
      <c r="M82" s="666"/>
      <c r="N82" s="666"/>
      <c r="O82" s="666"/>
      <c r="P82" s="666"/>
      <c r="Q82" s="666"/>
      <c r="R82" s="666"/>
      <c r="S82" s="666"/>
      <c r="T82" s="666"/>
      <c r="U82" s="666"/>
      <c r="V82" s="666"/>
      <c r="W82" s="666"/>
      <c r="X82" s="666"/>
      <c r="Y82" s="666"/>
      <c r="Z82" s="666"/>
      <c r="AA82" s="666"/>
      <c r="AB82" s="666"/>
      <c r="AC82" s="666"/>
      <c r="AD82" s="666"/>
      <c r="AE82" s="666"/>
      <c r="AF82" s="666"/>
      <c r="AG82" s="666"/>
      <c r="AH82" s="666"/>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row>
    <row r="83">
      <c r="A83" s="244"/>
      <c r="B83" s="666"/>
      <c r="C83" s="666"/>
      <c r="D83" s="666"/>
      <c r="E83" s="666"/>
      <c r="F83" s="666"/>
      <c r="G83" s="666"/>
      <c r="H83" s="666"/>
      <c r="I83" s="666"/>
      <c r="J83" s="666"/>
      <c r="K83" s="666"/>
      <c r="L83" s="666"/>
      <c r="M83" s="666"/>
      <c r="N83" s="666"/>
      <c r="O83" s="666"/>
      <c r="P83" s="666"/>
      <c r="Q83" s="666"/>
      <c r="R83" s="666"/>
      <c r="S83" s="666"/>
      <c r="T83" s="666"/>
      <c r="U83" s="666"/>
      <c r="V83" s="666"/>
      <c r="W83" s="666"/>
      <c r="X83" s="666"/>
      <c r="Y83" s="666"/>
      <c r="Z83" s="666"/>
      <c r="AA83" s="666"/>
      <c r="AB83" s="666"/>
      <c r="AC83" s="666"/>
      <c r="AD83" s="666"/>
      <c r="AE83" s="666"/>
      <c r="AF83" s="666"/>
      <c r="AG83" s="666"/>
      <c r="AH83" s="666"/>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row>
    <row r="84">
      <c r="A84" s="244"/>
      <c r="B84" s="666"/>
      <c r="C84" s="666"/>
      <c r="D84" s="666"/>
      <c r="E84" s="666"/>
      <c r="F84" s="666"/>
      <c r="G84" s="666"/>
      <c r="H84" s="666"/>
      <c r="I84" s="666"/>
      <c r="J84" s="666"/>
      <c r="K84" s="666"/>
      <c r="L84" s="666"/>
      <c r="M84" s="666"/>
      <c r="N84" s="666"/>
      <c r="O84" s="666"/>
      <c r="P84" s="666"/>
      <c r="Q84" s="666"/>
      <c r="R84" s="666"/>
      <c r="S84" s="666"/>
      <c r="T84" s="666"/>
      <c r="U84" s="666"/>
      <c r="V84" s="666"/>
      <c r="W84" s="666"/>
      <c r="X84" s="666"/>
      <c r="Y84" s="666"/>
      <c r="Z84" s="666"/>
      <c r="AA84" s="666"/>
      <c r="AB84" s="666"/>
      <c r="AC84" s="666"/>
      <c r="AD84" s="666"/>
      <c r="AE84" s="666"/>
      <c r="AF84" s="666"/>
      <c r="AG84" s="666"/>
      <c r="AH84" s="666"/>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row>
    <row r="85">
      <c r="A85" s="244"/>
      <c r="B85" s="666"/>
      <c r="C85" s="666"/>
      <c r="D85" s="666"/>
      <c r="E85" s="666"/>
      <c r="F85" s="666"/>
      <c r="G85" s="666"/>
      <c r="H85" s="666"/>
      <c r="I85" s="666"/>
      <c r="J85" s="666"/>
      <c r="K85" s="666"/>
      <c r="L85" s="666"/>
      <c r="M85" s="666"/>
      <c r="N85" s="666"/>
      <c r="O85" s="666"/>
      <c r="P85" s="666"/>
      <c r="Q85" s="666"/>
      <c r="R85" s="666"/>
      <c r="S85" s="666"/>
      <c r="T85" s="666"/>
      <c r="U85" s="666"/>
      <c r="V85" s="666"/>
      <c r="W85" s="666"/>
      <c r="X85" s="666"/>
      <c r="Y85" s="666"/>
      <c r="Z85" s="666"/>
      <c r="AA85" s="666"/>
      <c r="AB85" s="666"/>
      <c r="AC85" s="666"/>
      <c r="AD85" s="666"/>
      <c r="AE85" s="666"/>
      <c r="AF85" s="666"/>
      <c r="AG85" s="666"/>
      <c r="AH85" s="666"/>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row>
    <row r="86">
      <c r="A86" s="244"/>
      <c r="B86" s="666"/>
      <c r="C86" s="666"/>
      <c r="D86" s="666"/>
      <c r="E86" s="666"/>
      <c r="F86" s="666"/>
      <c r="G86" s="666"/>
      <c r="H86" s="666"/>
      <c r="I86" s="666"/>
      <c r="J86" s="666"/>
      <c r="K86" s="666"/>
      <c r="L86" s="666"/>
      <c r="M86" s="666"/>
      <c r="N86" s="666"/>
      <c r="O86" s="666"/>
      <c r="P86" s="666"/>
      <c r="Q86" s="666"/>
      <c r="R86" s="666"/>
      <c r="S86" s="666"/>
      <c r="T86" s="666"/>
      <c r="U86" s="666"/>
      <c r="V86" s="666"/>
      <c r="W86" s="666"/>
      <c r="X86" s="666"/>
      <c r="Y86" s="666"/>
      <c r="Z86" s="666"/>
      <c r="AA86" s="666"/>
      <c r="AB86" s="666"/>
      <c r="AC86" s="666"/>
      <c r="AD86" s="666"/>
      <c r="AE86" s="666"/>
      <c r="AF86" s="666"/>
      <c r="AG86" s="666"/>
      <c r="AH86" s="666"/>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row>
    <row r="87">
      <c r="A87" s="244"/>
      <c r="B87" s="666"/>
      <c r="C87" s="666"/>
      <c r="D87" s="666"/>
      <c r="E87" s="666"/>
      <c r="F87" s="666"/>
      <c r="G87" s="666"/>
      <c r="H87" s="666"/>
      <c r="I87" s="666"/>
      <c r="J87" s="666"/>
      <c r="K87" s="666"/>
      <c r="L87" s="666"/>
      <c r="M87" s="666"/>
      <c r="N87" s="666"/>
      <c r="O87" s="666"/>
      <c r="P87" s="666"/>
      <c r="Q87" s="666"/>
      <c r="R87" s="666"/>
      <c r="S87" s="666"/>
      <c r="T87" s="666"/>
      <c r="U87" s="666"/>
      <c r="V87" s="666"/>
      <c r="W87" s="666"/>
      <c r="X87" s="666"/>
      <c r="Y87" s="666"/>
      <c r="Z87" s="666"/>
      <c r="AA87" s="666"/>
      <c r="AB87" s="666"/>
      <c r="AC87" s="666"/>
      <c r="AD87" s="666"/>
      <c r="AE87" s="666"/>
      <c r="AF87" s="666"/>
      <c r="AG87" s="666"/>
      <c r="AH87" s="666"/>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row>
    <row r="88">
      <c r="A88" s="244"/>
      <c r="B88" s="666"/>
      <c r="C88" s="666"/>
      <c r="D88" s="666"/>
      <c r="E88" s="666"/>
      <c r="F88" s="666"/>
      <c r="G88" s="666"/>
      <c r="H88" s="666"/>
      <c r="I88" s="666"/>
      <c r="J88" s="666"/>
      <c r="K88" s="666"/>
      <c r="L88" s="666"/>
      <c r="M88" s="666"/>
      <c r="N88" s="666"/>
      <c r="O88" s="666"/>
      <c r="P88" s="666"/>
      <c r="Q88" s="666"/>
      <c r="R88" s="666"/>
      <c r="S88" s="666"/>
      <c r="T88" s="666"/>
      <c r="U88" s="666"/>
      <c r="V88" s="666"/>
      <c r="W88" s="666"/>
      <c r="X88" s="666"/>
      <c r="Y88" s="666"/>
      <c r="Z88" s="666"/>
      <c r="AA88" s="666"/>
      <c r="AB88" s="666"/>
      <c r="AC88" s="666"/>
      <c r="AD88" s="666"/>
      <c r="AE88" s="666"/>
      <c r="AF88" s="666"/>
      <c r="AG88" s="666"/>
      <c r="AH88" s="666"/>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row>
    <row r="89">
      <c r="A89" s="244"/>
      <c r="B89" s="666"/>
      <c r="C89" s="666"/>
      <c r="D89" s="666"/>
      <c r="E89" s="666"/>
      <c r="F89" s="666"/>
      <c r="G89" s="666"/>
      <c r="H89" s="666"/>
      <c r="I89" s="666"/>
      <c r="J89" s="666"/>
      <c r="K89" s="666"/>
      <c r="L89" s="666"/>
      <c r="M89" s="666"/>
      <c r="N89" s="666"/>
      <c r="O89" s="666"/>
      <c r="P89" s="666"/>
      <c r="Q89" s="666"/>
      <c r="R89" s="666"/>
      <c r="S89" s="666"/>
      <c r="T89" s="666"/>
      <c r="U89" s="666"/>
      <c r="V89" s="666"/>
      <c r="W89" s="666"/>
      <c r="X89" s="666"/>
      <c r="Y89" s="666"/>
      <c r="Z89" s="666"/>
      <c r="AA89" s="666"/>
      <c r="AB89" s="666"/>
      <c r="AC89" s="666"/>
      <c r="AD89" s="666"/>
      <c r="AE89" s="666"/>
      <c r="AF89" s="666"/>
      <c r="AG89" s="666"/>
      <c r="AH89" s="666"/>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row>
    <row r="90">
      <c r="A90" s="244"/>
      <c r="B90" s="666"/>
      <c r="C90" s="666"/>
      <c r="D90" s="666"/>
      <c r="E90" s="666"/>
      <c r="F90" s="666"/>
      <c r="G90" s="666"/>
      <c r="H90" s="666"/>
      <c r="I90" s="666"/>
      <c r="J90" s="666"/>
      <c r="K90" s="666"/>
      <c r="L90" s="666"/>
      <c r="M90" s="666"/>
      <c r="N90" s="666"/>
      <c r="O90" s="666"/>
      <c r="P90" s="666"/>
      <c r="Q90" s="666"/>
      <c r="R90" s="666"/>
      <c r="S90" s="666"/>
      <c r="T90" s="666"/>
      <c r="U90" s="666"/>
      <c r="V90" s="666"/>
      <c r="W90" s="666"/>
      <c r="X90" s="666"/>
      <c r="Y90" s="666"/>
      <c r="Z90" s="666"/>
      <c r="AA90" s="666"/>
      <c r="AB90" s="666"/>
      <c r="AC90" s="666"/>
      <c r="AD90" s="666"/>
      <c r="AE90" s="666"/>
      <c r="AF90" s="666"/>
      <c r="AG90" s="666"/>
      <c r="AH90" s="666"/>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row>
    <row r="91">
      <c r="A91" s="244"/>
      <c r="B91" s="666"/>
      <c r="C91" s="666"/>
      <c r="D91" s="666"/>
      <c r="E91" s="666"/>
      <c r="F91" s="666"/>
      <c r="G91" s="666"/>
      <c r="H91" s="666"/>
      <c r="I91" s="666"/>
      <c r="J91" s="666"/>
      <c r="K91" s="666"/>
      <c r="L91" s="666"/>
      <c r="M91" s="666"/>
      <c r="N91" s="666"/>
      <c r="O91" s="666"/>
      <c r="P91" s="666"/>
      <c r="Q91" s="666"/>
      <c r="R91" s="666"/>
      <c r="S91" s="666"/>
      <c r="T91" s="666"/>
      <c r="U91" s="666"/>
      <c r="V91" s="666"/>
      <c r="W91" s="666"/>
      <c r="X91" s="666"/>
      <c r="Y91" s="666"/>
      <c r="Z91" s="666"/>
      <c r="AA91" s="666"/>
      <c r="AB91" s="666"/>
      <c r="AC91" s="666"/>
      <c r="AD91" s="666"/>
      <c r="AE91" s="666"/>
      <c r="AF91" s="666"/>
      <c r="AG91" s="666"/>
      <c r="AH91" s="666"/>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row>
    <row r="92">
      <c r="A92" s="244"/>
      <c r="B92" s="666"/>
      <c r="C92" s="666"/>
      <c r="D92" s="666"/>
      <c r="E92" s="666"/>
      <c r="F92" s="666"/>
      <c r="G92" s="666"/>
      <c r="H92" s="666"/>
      <c r="I92" s="666"/>
      <c r="J92" s="666"/>
      <c r="K92" s="666"/>
      <c r="L92" s="666"/>
      <c r="M92" s="666"/>
      <c r="N92" s="666"/>
      <c r="O92" s="666"/>
      <c r="P92" s="666"/>
      <c r="Q92" s="666"/>
      <c r="R92" s="666"/>
      <c r="S92" s="666"/>
      <c r="T92" s="666"/>
      <c r="U92" s="666"/>
      <c r="V92" s="666"/>
      <c r="W92" s="666"/>
      <c r="X92" s="666"/>
      <c r="Y92" s="666"/>
      <c r="Z92" s="666"/>
      <c r="AA92" s="666"/>
      <c r="AB92" s="666"/>
      <c r="AC92" s="666"/>
      <c r="AD92" s="666"/>
      <c r="AE92" s="666"/>
      <c r="AF92" s="666"/>
      <c r="AG92" s="666"/>
      <c r="AH92" s="666"/>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row>
    <row r="93">
      <c r="A93" s="244"/>
      <c r="B93" s="666"/>
      <c r="C93" s="666"/>
      <c r="D93" s="666"/>
      <c r="E93" s="666"/>
      <c r="F93" s="666"/>
      <c r="G93" s="666"/>
      <c r="H93" s="666"/>
      <c r="I93" s="666"/>
      <c r="J93" s="666"/>
      <c r="K93" s="666"/>
      <c r="L93" s="666"/>
      <c r="M93" s="666"/>
      <c r="N93" s="666"/>
      <c r="O93" s="666"/>
      <c r="P93" s="666"/>
      <c r="Q93" s="666"/>
      <c r="R93" s="666"/>
      <c r="S93" s="666"/>
      <c r="T93" s="666"/>
      <c r="U93" s="666"/>
      <c r="V93" s="666"/>
      <c r="W93" s="666"/>
      <c r="X93" s="666"/>
      <c r="Y93" s="666"/>
      <c r="Z93" s="666"/>
      <c r="AA93" s="666"/>
      <c r="AB93" s="666"/>
      <c r="AC93" s="666"/>
      <c r="AD93" s="666"/>
      <c r="AE93" s="666"/>
      <c r="AF93" s="666"/>
      <c r="AG93" s="666"/>
      <c r="AH93" s="666"/>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row>
    <row r="94">
      <c r="A94" s="244"/>
      <c r="B94" s="666"/>
      <c r="C94" s="666"/>
      <c r="D94" s="666"/>
      <c r="E94" s="666"/>
      <c r="F94" s="666"/>
      <c r="G94" s="666"/>
      <c r="H94" s="666"/>
      <c r="I94" s="666"/>
      <c r="J94" s="666"/>
      <c r="K94" s="666"/>
      <c r="L94" s="666"/>
      <c r="M94" s="666"/>
      <c r="N94" s="666"/>
      <c r="O94" s="666"/>
      <c r="P94" s="666"/>
      <c r="Q94" s="666"/>
      <c r="R94" s="666"/>
      <c r="S94" s="666"/>
      <c r="T94" s="666"/>
      <c r="U94" s="666"/>
      <c r="V94" s="666"/>
      <c r="W94" s="666"/>
      <c r="X94" s="666"/>
      <c r="Y94" s="666"/>
      <c r="Z94" s="666"/>
      <c r="AA94" s="666"/>
      <c r="AB94" s="666"/>
      <c r="AC94" s="666"/>
      <c r="AD94" s="666"/>
      <c r="AE94" s="666"/>
      <c r="AF94" s="666"/>
      <c r="AG94" s="666"/>
      <c r="AH94" s="666"/>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row>
    <row r="95">
      <c r="A95" s="244"/>
      <c r="B95" s="666"/>
      <c r="C95" s="666"/>
      <c r="D95" s="666"/>
      <c r="E95" s="666"/>
      <c r="F95" s="666"/>
      <c r="G95" s="666"/>
      <c r="H95" s="666"/>
      <c r="I95" s="666"/>
      <c r="J95" s="666"/>
      <c r="K95" s="666"/>
      <c r="L95" s="666"/>
      <c r="M95" s="666"/>
      <c r="N95" s="666"/>
      <c r="O95" s="666"/>
      <c r="P95" s="666"/>
      <c r="Q95" s="666"/>
      <c r="R95" s="666"/>
      <c r="S95" s="666"/>
      <c r="T95" s="666"/>
      <c r="U95" s="666"/>
      <c r="V95" s="666"/>
      <c r="W95" s="666"/>
      <c r="X95" s="666"/>
      <c r="Y95" s="666"/>
      <c r="Z95" s="666"/>
      <c r="AA95" s="666"/>
      <c r="AB95" s="666"/>
      <c r="AC95" s="666"/>
      <c r="AD95" s="666"/>
      <c r="AE95" s="666"/>
      <c r="AF95" s="666"/>
      <c r="AG95" s="666"/>
      <c r="AH95" s="666"/>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c r="BK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c r="BK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c r="BK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c r="BK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c r="BK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c r="BK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c r="BK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c r="BK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c r="BK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c r="BK113" s="244"/>
    </row>
  </sheetData>
  <mergeCells count="3">
    <mergeCell ref="X22:AD22"/>
    <mergeCell ref="R4:AG4"/>
    <mergeCell ref="B56:AH56"/>
  </mergeCells>
  <phoneticPr fontId="0" type="noConversion"/>
  <printOptions horizontalCentered="1" verticalCentered="1"/>
  <pageMargins left="0.25" right="0.25" top="0.25" bottom="0.25" header="0" footer="0"/>
  <pageSetup scale="55" orientation="landscape" r:id="rId1"/>
  <headerFooter alignWithMargins="0">
    <oddHeader/>
    <oddFooter/>
  </headerFooter>
  <drawing r:id="rId70"/>
</worksheet>
</file>

<file path=xl/worksheets/sheet6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G105"/>
  <sheetViews>
    <sheetView showGridLines="0" zoomScale="75" workbookViewId="0"/>
  </sheetViews>
  <sheetFormatPr defaultRowHeight="12.75"/>
  <cols>
    <col min="1" max="1" width="13.28515625" customWidth="1"/>
    <col min="2" max="2" width="3.85546875" customWidth="1"/>
    <col min="3" max="3" width="4.28515625" style="30" customWidth="1"/>
    <col min="4" max="15" width="7.7109375" customWidth="1"/>
    <col min="16" max="16" width="1.42578125" customWidth="1"/>
    <col min="17" max="28" width="7.7109375" customWidth="1"/>
    <col min="29" max="29" width="2.28515625" customWidth="1"/>
    <col min="30" max="32" width="9.140625" customWidth="1"/>
  </cols>
  <sheetData>
    <row r="1" ht="23.25">
      <c r="A1" s="39" t="s">
        <v>148</v>
      </c>
      <c r="B1" s="39"/>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row>
    <row r="2" ht="15" customHeight="1">
      <c r="A2" s="10" t="s">
        <v>168</v>
      </c>
      <c r="AA2" s="216"/>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row>
    <row r="3" ht="17.1" customHeight="1">
      <c r="A3" s="10" t="s">
        <v>181</v>
      </c>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row>
    <row r="4" ht="17.1" customHeight="1">
      <c r="A4" t="s">
        <v>182</v>
      </c>
      <c r="B4" s="442"/>
      <c r="C4" s="211"/>
      <c r="D4" s="212"/>
      <c r="E4" s="212"/>
      <c r="F4" s="212"/>
      <c r="G4" s="212"/>
      <c r="H4" s="212"/>
      <c r="I4" s="212"/>
      <c r="J4" s="212"/>
      <c r="K4" s="212"/>
      <c r="L4" s="212"/>
      <c r="M4" s="212"/>
      <c r="N4" s="212"/>
      <c r="O4" s="212"/>
      <c r="P4" s="212"/>
      <c r="Q4" s="212"/>
      <c r="R4" s="667" t="s">
        <v>184</v>
      </c>
      <c r="S4" s="667"/>
      <c r="T4" s="667"/>
      <c r="U4" s="667"/>
      <c r="V4" s="667"/>
      <c r="W4" s="667"/>
      <c r="X4" s="667"/>
      <c r="Y4" s="667"/>
      <c r="Z4" s="667"/>
      <c r="AA4" s="667"/>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row>
    <row r="7" ht="15.75">
      <c r="D7" s="621" t="s">
        <v>54</v>
      </c>
      <c r="E7" s="621"/>
      <c r="F7" s="621"/>
      <c r="G7" s="621"/>
      <c r="H7" s="621"/>
      <c r="I7" s="621"/>
      <c r="J7" s="621"/>
      <c r="K7" s="621"/>
      <c r="L7" s="621"/>
      <c r="M7" s="621"/>
      <c r="N7" s="621"/>
      <c r="O7" s="621"/>
      <c r="Q7" s="621" t="s">
        <v>86</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row>
    <row r="8" ht="15.75">
      <c r="D8" s="619" t="s">
        <v>21</v>
      </c>
      <c r="E8" s="619"/>
      <c r="F8" s="619"/>
      <c r="G8" s="619" t="s">
        <v>24</v>
      </c>
      <c r="H8" s="619"/>
      <c r="I8" s="619"/>
      <c r="J8" s="619" t="s">
        <v>25</v>
      </c>
      <c r="K8" s="619"/>
      <c r="L8" s="619"/>
      <c r="M8" s="619" t="s">
        <v>23</v>
      </c>
      <c r="N8" s="619"/>
      <c r="O8" s="619"/>
      <c r="Q8" s="619" t="s">
        <v>21</v>
      </c>
      <c r="R8" s="619"/>
      <c r="S8" s="619"/>
      <c r="T8" s="619" t="s">
        <v>24</v>
      </c>
      <c r="U8" s="619"/>
      <c r="V8" s="619"/>
      <c r="W8" s="619" t="s">
        <v>25</v>
      </c>
      <c r="X8" s="619"/>
      <c r="Y8" s="619"/>
      <c r="Z8" s="619" t="s">
        <v>23</v>
      </c>
      <c r="AA8" s="619"/>
      <c r="AB8" s="619"/>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row>
    <row r="9" ht="27" customHeight="1">
      <c r="A9" s="92"/>
      <c r="D9" s="339" t="s">
        <v>63</v>
      </c>
      <c r="E9" s="340" t="s">
        <v>26</v>
      </c>
      <c r="F9" s="341" t="s">
        <v>185</v>
      </c>
      <c r="G9" s="339" t="s">
        <v>63</v>
      </c>
      <c r="H9" s="340" t="s">
        <v>26</v>
      </c>
      <c r="I9" s="341" t="s">
        <v>185</v>
      </c>
      <c r="J9" s="340" t="s">
        <v>63</v>
      </c>
      <c r="K9" s="340" t="s">
        <v>26</v>
      </c>
      <c r="L9" s="341" t="s">
        <v>185</v>
      </c>
      <c r="M9" s="339" t="s">
        <v>63</v>
      </c>
      <c r="N9" s="340" t="s">
        <v>26</v>
      </c>
      <c r="O9" s="341" t="s">
        <v>185</v>
      </c>
      <c r="P9" s="96"/>
      <c r="Q9" s="339" t="s">
        <v>63</v>
      </c>
      <c r="R9" s="340" t="s">
        <v>26</v>
      </c>
      <c r="S9" s="341" t="s">
        <v>185</v>
      </c>
      <c r="T9" s="339" t="s">
        <v>63</v>
      </c>
      <c r="U9" s="340" t="s">
        <v>26</v>
      </c>
      <c r="V9" s="341" t="s">
        <v>185</v>
      </c>
      <c r="W9" s="340" t="s">
        <v>63</v>
      </c>
      <c r="X9" s="340" t="s">
        <v>26</v>
      </c>
      <c r="Y9" s="341" t="s">
        <v>185</v>
      </c>
      <c r="Z9" s="339" t="s">
        <v>63</v>
      </c>
      <c r="AA9" s="340" t="s">
        <v>26</v>
      </c>
      <c r="AB9" s="341" t="s">
        <v>185</v>
      </c>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row>
    <row r="10" ht="15.6" customHeight="1">
      <c r="A10" s="92" t="s">
        <v>186</v>
      </c>
      <c r="B10" s="342">
        <v>27</v>
      </c>
      <c r="C10" s="350" t="s">
        <v>49</v>
      </c>
      <c r="D10" s="354">
        <v>78.030303030303030303030303030</v>
      </c>
      <c r="E10" s="355">
        <v>81.12294288480154888673765731</v>
      </c>
      <c r="F10" s="356">
        <v>57.002132688529009529541966710</v>
      </c>
      <c r="G10" s="354">
        <v>3.7878787878787878787878787900</v>
      </c>
      <c r="H10" s="355">
        <v>6.0019361084220716360116166500</v>
      </c>
      <c r="I10" s="356">
        <v>18.500131629292767106280716770</v>
      </c>
      <c r="J10" s="355">
        <v>0</v>
      </c>
      <c r="K10" s="355">
        <v>0</v>
      </c>
      <c r="L10" s="356">
        <v>7.2211221903629799067693298600</v>
      </c>
      <c r="M10" s="354">
        <v>81.81818181818181818181818182</v>
      </c>
      <c r="N10" s="355">
        <v>87.12487899322362052274927396</v>
      </c>
      <c r="O10" s="356">
        <v>82.72338650818475654259201335</v>
      </c>
      <c r="P10" s="4"/>
      <c r="Q10" s="354">
        <v>-17.600000000026367999999991560</v>
      </c>
      <c r="R10" s="355">
        <v>20.057306590258051658032364270</v>
      </c>
      <c r="S10" s="356">
        <v>11.891654121136714243778896710</v>
      </c>
      <c r="T10" s="354">
        <v>25.000000000125000000000125070</v>
      </c>
      <c r="U10" s="355">
        <v>-61.006289308253352319923900590</v>
      </c>
      <c r="V10" s="356">
        <v>63.867428097075340808009007350</v>
      </c>
      <c r="W10" s="355">
        <v>0</v>
      </c>
      <c r="X10" s="355">
        <v>-100</v>
      </c>
      <c r="Y10" s="356">
        <v>12.775229353701075023496448100</v>
      </c>
      <c r="Z10" s="354">
        <v>-16.279069767465224445646288770</v>
      </c>
      <c r="AA10" s="355">
        <v>3.8062283737091270458926501900</v>
      </c>
      <c r="AB10" s="356">
        <v>20.523289264886880503267437580</v>
      </c>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row>
    <row r="11" ht="15.6" customHeight="1">
      <c r="A11" s="92"/>
      <c r="B11" s="344">
        <v>28</v>
      </c>
      <c r="C11" s="351" t="s">
        <v>47</v>
      </c>
      <c r="D11" s="327">
        <v>76.515151515151515151515151520</v>
      </c>
      <c r="E11" s="171">
        <v>83.63988383349467570183930300</v>
      </c>
      <c r="F11" s="328">
        <v>55.331492607082184886226474620</v>
      </c>
      <c r="G11" s="327">
        <v>17.424242424242424242424242420</v>
      </c>
      <c r="H11" s="171">
        <v>13.649564375605033881897386250</v>
      </c>
      <c r="I11" s="328">
        <v>25.873195996598148904644541990</v>
      </c>
      <c r="J11" s="171">
        <v>0</v>
      </c>
      <c r="K11" s="171">
        <v>0</v>
      </c>
      <c r="L11" s="328">
        <v>7.159402731946816662679186700</v>
      </c>
      <c r="M11" s="327">
        <v>93.93939393939393939393939394</v>
      </c>
      <c r="N11" s="171">
        <v>97.28944820909970958373668925</v>
      </c>
      <c r="O11" s="328">
        <v>88.36409133562715045355020332</v>
      </c>
      <c r="P11" s="4"/>
      <c r="Q11" s="327">
        <v>-4.7169811320395158419366186800</v>
      </c>
      <c r="R11" s="171">
        <v>52.112676056433366395556496970</v>
      </c>
      <c r="S11" s="328">
        <v>22.957329091590720161011101240</v>
      </c>
      <c r="T11" s="327">
        <v>43.750000000143750000000143720</v>
      </c>
      <c r="U11" s="171">
        <v>-14.545454545502710743801625770</v>
      </c>
      <c r="V11" s="328">
        <v>38.373782381617063722885315540</v>
      </c>
      <c r="W11" s="171">
        <v>0</v>
      </c>
      <c r="X11" s="171">
        <v>-100</v>
      </c>
      <c r="Y11" s="328">
        <v>11.728039479801472761196980790</v>
      </c>
      <c r="Z11" s="327">
        <v>1.6393442623417360924482880100</v>
      </c>
      <c r="AA11" s="171">
        <v>34.178905206910702476466181430</v>
      </c>
      <c r="AB11" s="328">
        <v>26.042658004238101892864731910</v>
      </c>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row>
    <row r="12" ht="15.6" customHeight="1">
      <c r="A12" s="92"/>
      <c r="B12" s="346">
        <v>29</v>
      </c>
      <c r="C12" s="352" t="s">
        <v>48</v>
      </c>
      <c r="D12" s="359">
        <v>78.787878787878787878787878790</v>
      </c>
      <c r="E12" s="170">
        <v>84.02710551790900290416263311</v>
      </c>
      <c r="F12" s="360">
        <v>56.099839876039360845703593070</v>
      </c>
      <c r="G12" s="359">
        <v>18.181818181818181818181818180</v>
      </c>
      <c r="H12" s="170">
        <v>13.552758954501452081316553730</v>
      </c>
      <c r="I12" s="360">
        <v>28.087672185580945134053481320</v>
      </c>
      <c r="J12" s="170">
        <v>0</v>
      </c>
      <c r="K12" s="170">
        <v>0</v>
      </c>
      <c r="L12" s="360">
        <v>7.0542771157334631788291001500</v>
      </c>
      <c r="M12" s="359">
        <v>96.96969696969696969696969697</v>
      </c>
      <c r="N12" s="170">
        <v>97.57986447241045498547918683</v>
      </c>
      <c r="O12" s="360">
        <v>91.24178917735376915858617454</v>
      </c>
      <c r="P12" s="4"/>
      <c r="Q12" s="359">
        <v>-4.5871559633517717363858009200</v>
      </c>
      <c r="R12" s="170">
        <v>66.283524904114852982193509680</v>
      </c>
      <c r="S12" s="360">
        <v>27.730062409212217000355188240</v>
      </c>
      <c r="T12" s="359">
        <v>33.333333332977777777778725910</v>
      </c>
      <c r="U12" s="170">
        <v>-21.348314606570130034086231500</v>
      </c>
      <c r="V12" s="360">
        <v>25.108482819442185908859691870</v>
      </c>
      <c r="W12" s="170">
        <v>0</v>
      </c>
      <c r="X12" s="170">
        <v>-100</v>
      </c>
      <c r="Y12" s="360">
        <v>4.3576393370229574586886735100</v>
      </c>
      <c r="Z12" s="359">
        <v>0.7874015748253704507409063800</v>
      </c>
      <c r="AA12" s="170">
        <v>42.372881356006808388394178700</v>
      </c>
      <c r="AB12" s="360">
        <v>24.764875546201741580703805260</v>
      </c>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row>
    <row r="13" ht="15.6" customHeight="1">
      <c r="A13" s="92"/>
      <c r="B13" s="344">
        <v>30</v>
      </c>
      <c r="C13" s="351" t="s">
        <v>50</v>
      </c>
      <c r="D13" s="327">
        <v>76.515151515151515151515151520</v>
      </c>
      <c r="E13" s="171">
        <v>76.379477250726040658276863500</v>
      </c>
      <c r="F13" s="328">
        <v>54.094301968981529039563151340</v>
      </c>
      <c r="G13" s="327">
        <v>18.939393939393939393939393940</v>
      </c>
      <c r="H13" s="171">
        <v>16.650532429816069699903194580</v>
      </c>
      <c r="I13" s="328">
        <v>29.427644958036148414194848560</v>
      </c>
      <c r="J13" s="171">
        <v>0</v>
      </c>
      <c r="K13" s="171">
        <v>0</v>
      </c>
      <c r="L13" s="328">
        <v>6.9691384655378433469927038900</v>
      </c>
      <c r="M13" s="327">
        <v>95.45454545454545454545454545</v>
      </c>
      <c r="N13" s="171">
        <v>93.03000968054211035818005808</v>
      </c>
      <c r="O13" s="328">
        <v>90.49108539255552080075070378</v>
      </c>
      <c r="P13" s="4"/>
      <c r="Q13" s="327">
        <v>-4.7169811320395158419366186800</v>
      </c>
      <c r="R13" s="171">
        <v>36.741767764216569899287884740</v>
      </c>
      <c r="S13" s="328">
        <v>9.194223034537472993413783400</v>
      </c>
      <c r="T13" s="327">
        <v>38.888888888518518518519506180</v>
      </c>
      <c r="U13" s="171">
        <v>-2.27272727255291838842944100</v>
      </c>
      <c r="V13" s="328">
        <v>102.55605171858691488397314761</v>
      </c>
      <c r="W13" s="171">
        <v>0</v>
      </c>
      <c r="X13" s="171">
        <v>-100</v>
      </c>
      <c r="Y13" s="328">
        <v>6.5723025201884735766304479700</v>
      </c>
      <c r="Z13" s="327">
        <v>1.6129032257998959417273677400</v>
      </c>
      <c r="AA13" s="171">
        <v>26.613965744432555838501885440</v>
      </c>
      <c r="AB13" s="328">
        <v>28.161582479037623434323029550</v>
      </c>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row>
    <row r="14" ht="15.6" customHeight="1">
      <c r="A14" s="92" t="s">
        <v>183</v>
      </c>
      <c r="B14" s="668">
        <v>1</v>
      </c>
      <c r="C14" s="669" t="s">
        <v>51</v>
      </c>
      <c r="D14" s="670">
        <v>79.54545454545454545454545455</v>
      </c>
      <c r="E14" s="671">
        <v>78.606001936108422071636011620</v>
      </c>
      <c r="F14" s="672">
        <v>55.421713648655821470073403580</v>
      </c>
      <c r="G14" s="670">
        <v>14.393939393939393939393939390</v>
      </c>
      <c r="H14" s="671">
        <v>12.778315585672797676669893510</v>
      </c>
      <c r="I14" s="672">
        <v>23.089690834792349616536114170</v>
      </c>
      <c r="J14" s="671">
        <v>0</v>
      </c>
      <c r="K14" s="671">
        <v>0</v>
      </c>
      <c r="L14" s="672">
        <v>7.402473110129140976783246300</v>
      </c>
      <c r="M14" s="670">
        <v>93.93939393939393939393939394</v>
      </c>
      <c r="N14" s="671">
        <v>91.38431752178121974830590513</v>
      </c>
      <c r="O14" s="672">
        <v>85.91387759357731206339276405</v>
      </c>
      <c r="P14" s="4"/>
      <c r="Q14" s="670">
        <v>52.173913043557655954631421390</v>
      </c>
      <c r="R14" s="671">
        <v>14.851485148569109471060285840</v>
      </c>
      <c r="S14" s="672">
        <v>-6.343027383753841513965360500</v>
      </c>
      <c r="T14" s="670">
        <v>-61.224489795905705955851724320</v>
      </c>
      <c r="U14" s="671">
        <v>-18.518518518621124828532106760</v>
      </c>
      <c r="V14" s="672">
        <v>48.337916226513847333659003220</v>
      </c>
      <c r="W14" s="671">
        <v>0</v>
      </c>
      <c r="X14" s="671">
        <v>-100</v>
      </c>
      <c r="Y14" s="672">
        <v>28.998526925245137038348084360</v>
      </c>
      <c r="Z14" s="670">
        <v>5.0847457627581729388107069900</v>
      </c>
      <c r="AA14" s="671">
        <v>7.762557077673424240528784200</v>
      </c>
      <c r="AB14" s="672">
        <v>6.752853063922516898758833500</v>
      </c>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row>
    <row r="15" ht="15.6" customHeight="1">
      <c r="A15" s="92"/>
      <c r="B15" s="344">
        <v>2</v>
      </c>
      <c r="C15" s="351" t="s">
        <v>52</v>
      </c>
      <c r="D15" s="327">
        <v>72.727272727272727272727272730</v>
      </c>
      <c r="E15" s="171">
        <v>88.38334946757018393030009681</v>
      </c>
      <c r="F15" s="328">
        <v>65.084777030796203292524099460</v>
      </c>
      <c r="G15" s="327">
        <v>24.242424242424242424242424240</v>
      </c>
      <c r="H15" s="171">
        <v>8.228460793804453049370764760</v>
      </c>
      <c r="I15" s="328">
        <v>21.374824817308898992455278680</v>
      </c>
      <c r="J15" s="171">
        <v>0</v>
      </c>
      <c r="K15" s="171">
        <v>0</v>
      </c>
      <c r="L15" s="328">
        <v>7.0134458007323494927288900300</v>
      </c>
      <c r="M15" s="327">
        <v>96.96969696969696969696969697</v>
      </c>
      <c r="N15" s="171">
        <v>96.61181026137463697967086157</v>
      </c>
      <c r="O15" s="328">
        <v>93.47304764883745177770826817</v>
      </c>
      <c r="P15" s="4"/>
      <c r="Q15" s="327">
        <v>88.23529411746989619377179305</v>
      </c>
      <c r="R15" s="171">
        <v>18.417639429251605962576636990</v>
      </c>
      <c r="S15" s="328">
        <v>-4.3469495924426234777671395400</v>
      </c>
      <c r="T15" s="327">
        <v>-57.333333333346986666666662300</v>
      </c>
      <c r="U15" s="171">
        <v>-59.715639810513791244581019910</v>
      </c>
      <c r="V15" s="328">
        <v>23.713978480494478430257603450</v>
      </c>
      <c r="W15" s="171">
        <v>0</v>
      </c>
      <c r="X15" s="171">
        <v>-100</v>
      </c>
      <c r="Y15" s="328">
        <v>3.6394335904529051607346582700</v>
      </c>
      <c r="Z15" s="327">
        <v>1.5873015873499622071050872800</v>
      </c>
      <c r="AA15" s="171">
        <v>0.1003009026781043229990965400</v>
      </c>
      <c r="AB15" s="328">
        <v>1.5047898024949222668993360300</v>
      </c>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row>
    <row r="16" ht="15.6" customHeight="1">
      <c r="A16" s="92"/>
      <c r="B16" s="346">
        <v>3</v>
      </c>
      <c r="C16" s="352" t="s">
        <v>53</v>
      </c>
      <c r="D16" s="359">
        <v>75.757575757575757575757575760</v>
      </c>
      <c r="E16" s="170">
        <v>91.09390125847047434656340755</v>
      </c>
      <c r="F16" s="360">
        <v>67.933844282203036923196286260</v>
      </c>
      <c r="G16" s="359">
        <v>23.484848484848484848484848480</v>
      </c>
      <c r="H16" s="170">
        <v>7.7444336882865440464666021300</v>
      </c>
      <c r="I16" s="360">
        <v>20.250549766157503057391579770</v>
      </c>
      <c r="J16" s="170">
        <v>0</v>
      </c>
      <c r="K16" s="170">
        <v>0</v>
      </c>
      <c r="L16" s="360">
        <v>6.9985899991840330566345299700</v>
      </c>
      <c r="M16" s="359">
        <v>99.24242424242424242424242424</v>
      </c>
      <c r="N16" s="170">
        <v>98.83833494675701839303000968</v>
      </c>
      <c r="O16" s="360">
        <v>95.18298404754457303722239600</v>
      </c>
      <c r="P16" s="4"/>
      <c r="Q16" s="359">
        <v>96.07843137236447520184561776</v>
      </c>
      <c r="R16" s="170">
        <v>24.142480211107179530913880750</v>
      </c>
      <c r="S16" s="360">
        <v>1.1665911086107765816596473100</v>
      </c>
      <c r="T16" s="359">
        <v>-58.666666666679893333333329110</v>
      </c>
      <c r="U16" s="170">
        <v>-60.784313725429257977700789580</v>
      </c>
      <c r="V16" s="360">
        <v>11.224958666332641373032404970</v>
      </c>
      <c r="W16" s="170">
        <v>0</v>
      </c>
      <c r="X16" s="170">
        <v>-100</v>
      </c>
      <c r="Y16" s="360">
        <v>21.484348854461645308436164870</v>
      </c>
      <c r="Z16" s="359">
        <v>3.9682539683034769463341127600</v>
      </c>
      <c r="AA16" s="170">
        <v>4.6106557377003091616836873800</v>
      </c>
      <c r="AB16" s="360">
        <v>4.4609888039548665566495622400</v>
      </c>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row>
    <row r="17" ht="15.6" customHeight="1">
      <c r="A17" s="92"/>
      <c r="B17" s="344">
        <v>4</v>
      </c>
      <c r="C17" s="351" t="s">
        <v>49</v>
      </c>
      <c r="D17" s="327">
        <v>76.515151515151515151515151520</v>
      </c>
      <c r="E17" s="171">
        <v>74.443368828654404646660212970</v>
      </c>
      <c r="F17" s="328">
        <v>54.630372745427696619627655140</v>
      </c>
      <c r="G17" s="327">
        <v>21.212121212121212121212121210</v>
      </c>
      <c r="H17" s="171">
        <v>9.970958373668925459825750240</v>
      </c>
      <c r="I17" s="328">
        <v>18.191350924508397946535806810</v>
      </c>
      <c r="J17" s="171">
        <v>0</v>
      </c>
      <c r="K17" s="171">
        <v>0</v>
      </c>
      <c r="L17" s="328">
        <v>7.8059481056868853108045288700</v>
      </c>
      <c r="M17" s="327">
        <v>97.72727272727272727272727273</v>
      </c>
      <c r="N17" s="171">
        <v>84.41432720232333010648596321</v>
      </c>
      <c r="O17" s="328">
        <v>80.62767177562297987696799082</v>
      </c>
      <c r="P17" s="4"/>
      <c r="Q17" s="327">
        <v>42.253521126704463400119046140</v>
      </c>
      <c r="R17" s="171">
        <v>6.6574202496264840595489841900</v>
      </c>
      <c r="S17" s="328">
        <v>-2.7610339571731079166450604900</v>
      </c>
      <c r="T17" s="327">
        <v>-41.666666666608333333333275010</v>
      </c>
      <c r="U17" s="171">
        <v>-48.499999999956482499999963240</v>
      </c>
      <c r="V17" s="328">
        <v>3.1766299910856962556518867700</v>
      </c>
      <c r="W17" s="171">
        <v>0</v>
      </c>
      <c r="X17" s="171">
        <v>-100</v>
      </c>
      <c r="Y17" s="328">
        <v>12.424374272302030043702754700</v>
      </c>
      <c r="Z17" s="327">
        <v>8.403361344556034178377236310</v>
      </c>
      <c r="AA17" s="171">
        <v>-7.1352502662781637275283073300</v>
      </c>
      <c r="AB17" s="328">
        <v>-0.1590613249535624750779269100</v>
      </c>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row>
    <row r="18" ht="15.6" customHeight="1">
      <c r="A18" s="92"/>
      <c r="B18" s="346">
        <v>5</v>
      </c>
      <c r="C18" s="352" t="s">
        <v>47</v>
      </c>
      <c r="D18" s="359">
        <v>64.393939393939393939393939390</v>
      </c>
      <c r="E18" s="170">
        <v>59.632139399806389157792836400</v>
      </c>
      <c r="F18" s="360">
        <v>45.532573829738610979336179670</v>
      </c>
      <c r="G18" s="359">
        <v>0</v>
      </c>
      <c r="H18" s="170">
        <v>15.101645692158760890609874150</v>
      </c>
      <c r="I18" s="360">
        <v>16.837444311202878017834814770</v>
      </c>
      <c r="J18" s="170">
        <v>0</v>
      </c>
      <c r="K18" s="170">
        <v>0</v>
      </c>
      <c r="L18" s="360">
        <v>6.3506574924648294263510574800</v>
      </c>
      <c r="M18" s="359">
        <v>64.393939393939393939393939390</v>
      </c>
      <c r="N18" s="170">
        <v>74.733785091965150048402710550</v>
      </c>
      <c r="O18" s="360">
        <v>68.720675633406318423522051920</v>
      </c>
      <c r="P18" s="4"/>
      <c r="Q18" s="359">
        <v>-16.666666666637254901960773940</v>
      </c>
      <c r="R18" s="170">
        <v>-13.117066290500073008528242640</v>
      </c>
      <c r="S18" s="360">
        <v>-7.1269800707140811215025947500</v>
      </c>
      <c r="T18" s="359">
        <v>0</v>
      </c>
      <c r="U18" s="170">
        <v>33.333333333557834757835135820</v>
      </c>
      <c r="V18" s="360">
        <v>-2.9342764217110140689054386700</v>
      </c>
      <c r="W18" s="170">
        <v>0</v>
      </c>
      <c r="X18" s="170">
        <v>-100</v>
      </c>
      <c r="Y18" s="360">
        <v>9.304881543958475809066861830</v>
      </c>
      <c r="Z18" s="359">
        <v>-16.666666666637254901960773940</v>
      </c>
      <c r="AA18" s="170">
        <v>-8.095238095228248299319726840</v>
      </c>
      <c r="AB18" s="360">
        <v>-4.796821452065012499889814300</v>
      </c>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row>
    <row r="19" ht="15.6" customHeight="1">
      <c r="A19" s="92"/>
      <c r="B19" s="344">
        <v>6</v>
      </c>
      <c r="C19" s="351" t="s">
        <v>48</v>
      </c>
      <c r="D19" s="327">
        <v>51.515151515151515151515151520</v>
      </c>
      <c r="E19" s="171">
        <v>60.890609874152952565343659240</v>
      </c>
      <c r="F19" s="328">
        <v>44.128863729599232217048569410</v>
      </c>
      <c r="G19" s="327">
        <v>0</v>
      </c>
      <c r="H19" s="171">
        <v>17.328170377541142303969022270</v>
      </c>
      <c r="I19" s="328">
        <v>15.235234958573719503212398130</v>
      </c>
      <c r="J19" s="171">
        <v>0</v>
      </c>
      <c r="K19" s="171">
        <v>0</v>
      </c>
      <c r="L19" s="328">
        <v>7.3964059515934959911351329700</v>
      </c>
      <c r="M19" s="327">
        <v>51.515151515151515151515151520</v>
      </c>
      <c r="N19" s="171">
        <v>78.218780251694094869312681510</v>
      </c>
      <c r="O19" s="328">
        <v>66.760504639766447711396100510</v>
      </c>
      <c r="P19" s="4"/>
      <c r="Q19" s="327">
        <v>-35.849056603749377002491980890</v>
      </c>
      <c r="R19" s="171">
        <v>-12.638888888915339891975300640</v>
      </c>
      <c r="S19" s="328">
        <v>-15.153466849451690153924618550</v>
      </c>
      <c r="T19" s="327">
        <v>-100</v>
      </c>
      <c r="U19" s="171">
        <v>55.652173913209958412098476780</v>
      </c>
      <c r="V19" s="328">
        <v>-21.746444429033624673654089570</v>
      </c>
      <c r="W19" s="171">
        <v>0</v>
      </c>
      <c r="X19" s="171">
        <v>-100</v>
      </c>
      <c r="Y19" s="328">
        <v>18.297998196259905064356037850</v>
      </c>
      <c r="Z19" s="327">
        <v>-39.285714285725127551020406220</v>
      </c>
      <c r="AA19" s="171">
        <v>-4.3786982248209516473512730900</v>
      </c>
      <c r="AB19" s="328">
        <v>-14.114106238227832292526017410</v>
      </c>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row>
    <row r="20" ht="15.6" customHeight="1">
      <c r="A20" s="92"/>
      <c r="B20" s="346">
        <v>7</v>
      </c>
      <c r="C20" s="352" t="s">
        <v>50</v>
      </c>
      <c r="D20" s="359">
        <v>71.969696969696969696969696970</v>
      </c>
      <c r="E20" s="170">
        <v>65.44046466602129719264278800</v>
      </c>
      <c r="F20" s="360">
        <v>48.818980811561675825111934450</v>
      </c>
      <c r="G20" s="359">
        <v>10.606060606060606060606060610</v>
      </c>
      <c r="H20" s="170">
        <v>14.133591481122942884801548890</v>
      </c>
      <c r="I20" s="360">
        <v>14.899226813686404838869668390</v>
      </c>
      <c r="J20" s="170">
        <v>0</v>
      </c>
      <c r="K20" s="170">
        <v>0</v>
      </c>
      <c r="L20" s="360">
        <v>7.0251976505312958348193563900</v>
      </c>
      <c r="M20" s="359">
        <v>82.57575757575757575757575758</v>
      </c>
      <c r="N20" s="170">
        <v>79.57405614714424007744433688</v>
      </c>
      <c r="O20" s="360">
        <v>70.743405275779376498800959230</v>
      </c>
      <c r="P20" s="4"/>
      <c r="Q20" s="359">
        <v>-4.0404040404040404040404040400</v>
      </c>
      <c r="R20" s="170">
        <v>-6.6298342541526739110527752900</v>
      </c>
      <c r="S20" s="360">
        <v>-9.905746601475595587775346070</v>
      </c>
      <c r="T20" s="359">
        <v>-17.647058823606920415224840510</v>
      </c>
      <c r="U20" s="170">
        <v>28.070175438693105570944979040</v>
      </c>
      <c r="V20" s="360">
        <v>-24.088827054326355027925042130</v>
      </c>
      <c r="W20" s="170">
        <v>0</v>
      </c>
      <c r="X20" s="170">
        <v>-100</v>
      </c>
      <c r="Y20" s="360">
        <v>28.118146626324980601430496620</v>
      </c>
      <c r="Z20" s="359">
        <v>-6.0344827586336504161712229400</v>
      </c>
      <c r="AA20" s="170">
        <v>-2.8368794325882802675921602200</v>
      </c>
      <c r="AB20" s="360">
        <v>-10.786922436221479292556481790</v>
      </c>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row>
    <row r="21" ht="15.6" customHeight="1">
      <c r="A21" s="92"/>
      <c r="B21" s="344">
        <v>8</v>
      </c>
      <c r="C21" s="351" t="s">
        <v>51</v>
      </c>
      <c r="D21" s="327">
        <v>75.00</v>
      </c>
      <c r="E21" s="171">
        <v>76.379477250726040658276863500</v>
      </c>
      <c r="F21" s="328">
        <v>58.694602607898433429052249110</v>
      </c>
      <c r="G21" s="327">
        <v>10.606060606060606060606060610</v>
      </c>
      <c r="H21" s="171">
        <v>8.228460793804453049370764760</v>
      </c>
      <c r="I21" s="328">
        <v>11.316786424782253423199056450</v>
      </c>
      <c r="J21" s="171">
        <v>0</v>
      </c>
      <c r="K21" s="171">
        <v>0</v>
      </c>
      <c r="L21" s="328">
        <v>7.7802906670377992284493513100</v>
      </c>
      <c r="M21" s="327">
        <v>85.60606060606060606060606061</v>
      </c>
      <c r="N21" s="171">
        <v>84.60793804453049370764762827</v>
      </c>
      <c r="O21" s="328">
        <v>77.791679699718486080700656870</v>
      </c>
      <c r="P21" s="4"/>
      <c r="Q21" s="327">
        <v>-1.0000000000316799999999898600</v>
      </c>
      <c r="R21" s="171">
        <v>4.6419098143245789036720162700</v>
      </c>
      <c r="S21" s="328">
        <v>-1.6750224231396102845063871300</v>
      </c>
      <c r="T21" s="327">
        <v>-12.499999999912499999999912470</v>
      </c>
      <c r="U21" s="171">
        <v>372.22222221259413580266544162</v>
      </c>
      <c r="V21" s="328">
        <v>-12.894544596529780303369486530</v>
      </c>
      <c r="W21" s="171">
        <v>0</v>
      </c>
      <c r="X21" s="171">
        <v>-100</v>
      </c>
      <c r="Y21" s="328">
        <v>44.172479393039617629806445560</v>
      </c>
      <c r="Z21" s="327">
        <v>-2.5862068965651605231866806600</v>
      </c>
      <c r="AA21" s="171">
        <v>12.339331619517348550432527770</v>
      </c>
      <c r="AB21" s="328">
        <v>-0.3731761620423793254510065500</v>
      </c>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row>
    <row r="22" ht="15.6" customHeight="1">
      <c r="A22" s="92"/>
      <c r="B22" s="346">
        <v>9</v>
      </c>
      <c r="C22" s="352" t="s">
        <v>52</v>
      </c>
      <c r="D22" s="359">
        <v>68.939393939393939393939393940</v>
      </c>
      <c r="E22" s="170">
        <v>74.540174249757986447241045500</v>
      </c>
      <c r="F22" s="360">
        <v>64.551952042989916037634500740</v>
      </c>
      <c r="G22" s="359">
        <v>10.606060606060606060606060610</v>
      </c>
      <c r="H22" s="170">
        <v>10.939012584704743465634075510</v>
      </c>
      <c r="I22" s="360">
        <v>5.7802425469734607109326626700</v>
      </c>
      <c r="J22" s="170">
        <v>0</v>
      </c>
      <c r="K22" s="170">
        <v>0</v>
      </c>
      <c r="L22" s="360">
        <v>7.553323082854890376862927300</v>
      </c>
      <c r="M22" s="359">
        <v>79.54545454545454545454545455</v>
      </c>
      <c r="N22" s="170">
        <v>85.47918683446272991287512101</v>
      </c>
      <c r="O22" s="360">
        <v>77.885517672818267125430090710</v>
      </c>
      <c r="P22" s="4"/>
      <c r="Q22" s="359">
        <v>-9.000000000029119999999990680</v>
      </c>
      <c r="R22" s="170">
        <v>-11.392405063277883789019822930</v>
      </c>
      <c r="S22" s="360">
        <v>-4.6014087689421342320544162900</v>
      </c>
      <c r="T22" s="359">
        <v>-49.999999999949999999999949980</v>
      </c>
      <c r="U22" s="170">
        <v>606.24999998053398437553653217</v>
      </c>
      <c r="V22" s="360">
        <v>-16.163280289690347996717801900</v>
      </c>
      <c r="W22" s="170">
        <v>0</v>
      </c>
      <c r="X22" s="170">
        <v>-100</v>
      </c>
      <c r="Y22" s="360">
        <v>16.119211528213652699822374790</v>
      </c>
      <c r="Z22" s="359">
        <v>-17.968750000002563476562499920</v>
      </c>
      <c r="AA22" s="170">
        <v>-1.6703786191350600939479431600</v>
      </c>
      <c r="AB22" s="360">
        <v>-3.9220952512079818961073919700</v>
      </c>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row>
    <row r="23" ht="15.6" customHeight="1">
      <c r="A23" s="92"/>
      <c r="B23" s="344">
        <v>10</v>
      </c>
      <c r="C23" s="351" t="s">
        <v>53</v>
      </c>
      <c r="D23" s="327">
        <v>75.00</v>
      </c>
      <c r="E23" s="171">
        <v>73.088092933204259438528557600</v>
      </c>
      <c r="F23" s="328">
        <v>64.058230076381679399078763130</v>
      </c>
      <c r="G23" s="327">
        <v>10.606060606060606060606060610</v>
      </c>
      <c r="H23" s="171">
        <v>9.680542110358180058083252660</v>
      </c>
      <c r="I23" s="328">
        <v>4.3465147860372678117841816200</v>
      </c>
      <c r="J23" s="171">
        <v>0</v>
      </c>
      <c r="K23" s="171">
        <v>0</v>
      </c>
      <c r="L23" s="328">
        <v>8.187894069913447742739390780</v>
      </c>
      <c r="M23" s="327">
        <v>85.60606060606060606060606061</v>
      </c>
      <c r="N23" s="171">
        <v>82.76863504356243949661181026</v>
      </c>
      <c r="O23" s="328">
        <v>76.592638932332394953602335520</v>
      </c>
      <c r="P23" s="4"/>
      <c r="Q23" s="327">
        <v>1.0204081632982923781757708700</v>
      </c>
      <c r="R23" s="171">
        <v>-18.201516793060594251398883810</v>
      </c>
      <c r="S23" s="328">
        <v>-1.7123993363613729025004380800</v>
      </c>
      <c r="T23" s="327">
        <v>-0.000000000371428571427191800</v>
      </c>
      <c r="U23" s="171">
        <v>809.0909091245454545466990907</v>
      </c>
      <c r="V23" s="328">
        <v>-37.734119028300964872150185170</v>
      </c>
      <c r="W23" s="171">
        <v>0</v>
      </c>
      <c r="X23" s="171">
        <v>-100</v>
      </c>
      <c r="Y23" s="328">
        <v>30.166816724891238832587291200</v>
      </c>
      <c r="Z23" s="327">
        <v>0.892857142839126275510207300</v>
      </c>
      <c r="AA23" s="171">
        <v>-9.139213602579928310150067080</v>
      </c>
      <c r="AB23" s="328">
        <v>-2.3615422787729802208894120800</v>
      </c>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c r="AZ23" s="244"/>
      <c r="BA23" s="244"/>
      <c r="BB23" s="244"/>
      <c r="BC23" s="244"/>
      <c r="BD23" s="244"/>
      <c r="BE23" s="244"/>
      <c r="BF23" s="244"/>
      <c r="BG23" s="244"/>
    </row>
    <row r="24" ht="15.6" customHeight="1">
      <c r="A24" s="92"/>
      <c r="B24" s="346">
        <v>11</v>
      </c>
      <c r="C24" s="352" t="s">
        <v>49</v>
      </c>
      <c r="D24" s="359">
        <v>57.575757575757575757575757580</v>
      </c>
      <c r="E24" s="170">
        <v>55.953533397870280735721200390</v>
      </c>
      <c r="F24" s="360">
        <v>41.469043044180449783917320450</v>
      </c>
      <c r="G24" s="359">
        <v>0.7575757575757575757575757600</v>
      </c>
      <c r="H24" s="170">
        <v>9.486931268151016456921587610</v>
      </c>
      <c r="I24" s="360">
        <v>5.1793988455180480138280408400</v>
      </c>
      <c r="J24" s="170">
        <v>0</v>
      </c>
      <c r="K24" s="170">
        <v>0</v>
      </c>
      <c r="L24" s="360">
        <v>7.537774354697289919906604100</v>
      </c>
      <c r="M24" s="359">
        <v>58.333333333333333333333333330</v>
      </c>
      <c r="N24" s="170">
        <v>65.44046466602129719264278800</v>
      </c>
      <c r="O24" s="360">
        <v>54.186216244395787717651965380</v>
      </c>
      <c r="P24" s="4"/>
      <c r="Q24" s="359">
        <v>-17.391304347862003780718320860</v>
      </c>
      <c r="R24" s="170">
        <v>-23.035952063925438430073704060</v>
      </c>
      <c r="S24" s="360">
        <v>-11.562718309595615238385441230</v>
      </c>
      <c r="T24" s="359">
        <v>0</v>
      </c>
      <c r="U24" s="170">
        <v>180.00000000209600000001569009</v>
      </c>
      <c r="V24" s="360">
        <v>-29.647020560631500979855597320</v>
      </c>
      <c r="W24" s="170">
        <v>0</v>
      </c>
      <c r="X24" s="170">
        <v>-100</v>
      </c>
      <c r="Y24" s="360">
        <v>14.967357420013159856086420640</v>
      </c>
      <c r="Z24" s="359">
        <v>-16.304347826123345935727772460</v>
      </c>
      <c r="AA24" s="170">
        <v>-14.646464646423694010815203280</v>
      </c>
      <c r="AB24" s="360">
        <v>-10.891668908090164622788366540</v>
      </c>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c r="BB24" s="244"/>
      <c r="BC24" s="244"/>
      <c r="BD24" s="244"/>
      <c r="BE24" s="244"/>
      <c r="BF24" s="244"/>
      <c r="BG24" s="244"/>
    </row>
    <row r="25" ht="15.6" customHeight="1">
      <c r="A25" s="92"/>
      <c r="B25" s="344">
        <v>12</v>
      </c>
      <c r="C25" s="351" t="s">
        <v>47</v>
      </c>
      <c r="D25" s="327">
        <v>55.303030303030303030303030300</v>
      </c>
      <c r="E25" s="171">
        <v>54.791868344627299128751210070</v>
      </c>
      <c r="F25" s="328">
        <v>42.471317495245241878968482690</v>
      </c>
      <c r="G25" s="327">
        <v>8.333333333333333333333333330</v>
      </c>
      <c r="H25" s="171">
        <v>10.551790900290416263310745400</v>
      </c>
      <c r="I25" s="328">
        <v>11.984258892381964348759566580</v>
      </c>
      <c r="J25" s="171">
        <v>0</v>
      </c>
      <c r="K25" s="171">
        <v>0</v>
      </c>
      <c r="L25" s="328">
        <v>7.268957029117658749855101600</v>
      </c>
      <c r="M25" s="327">
        <v>63.636363636363636363636363640</v>
      </c>
      <c r="N25" s="171">
        <v>65.343659244917715392061955470</v>
      </c>
      <c r="O25" s="328">
        <v>61.724533416744864977583150870</v>
      </c>
      <c r="P25" s="4"/>
      <c r="Q25" s="327">
        <v>-30.476190476230204081632630360</v>
      </c>
      <c r="R25" s="171">
        <v>-18.443804034599407436321201560</v>
      </c>
      <c r="S25" s="328">
        <v>-7.8522384825147394732672197800</v>
      </c>
      <c r="T25" s="327">
        <v>0</v>
      </c>
      <c r="U25" s="171">
        <v>7.9207920787858543280087087700</v>
      </c>
      <c r="V25" s="328">
        <v>-9.300266566442021193520011680</v>
      </c>
      <c r="W25" s="171">
        <v>0</v>
      </c>
      <c r="X25" s="171">
        <v>-100</v>
      </c>
      <c r="Y25" s="328">
        <v>19.245375837784633762839877730</v>
      </c>
      <c r="Z25" s="327">
        <v>-20.000000000045714285714259590</v>
      </c>
      <c r="AA25" s="171">
        <v>-15.625000000037652343749983200</v>
      </c>
      <c r="AB25" s="328">
        <v>-5.6190573550045331098813545200</v>
      </c>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c r="BB25" s="244"/>
      <c r="BC25" s="244"/>
      <c r="BD25" s="244"/>
      <c r="BE25" s="244"/>
      <c r="BF25" s="244"/>
      <c r="BG25" s="244"/>
    </row>
    <row r="26" ht="15.6" customHeight="1">
      <c r="A26" s="93"/>
      <c r="B26" s="346">
        <v>13</v>
      </c>
      <c r="C26" s="352" t="s">
        <v>48</v>
      </c>
      <c r="D26" s="359">
        <v>61.363636363636363636363636360</v>
      </c>
      <c r="E26" s="170">
        <v>63.407550822846079380445304930</v>
      </c>
      <c r="F26" s="360">
        <v>46.330214860579350469080715310</v>
      </c>
      <c r="G26" s="359">
        <v>8.333333333333333333333333330</v>
      </c>
      <c r="H26" s="170">
        <v>12.100677637947725072604065830</v>
      </c>
      <c r="I26" s="360">
        <v>14.446572699792396348645648910</v>
      </c>
      <c r="J26" s="170">
        <v>0</v>
      </c>
      <c r="K26" s="170">
        <v>0</v>
      </c>
      <c r="L26" s="360">
        <v>6.8803910445703864321954374600</v>
      </c>
      <c r="M26" s="359">
        <v>69.696969696969696969696969700</v>
      </c>
      <c r="N26" s="170">
        <v>75.508228460793804453049370760</v>
      </c>
      <c r="O26" s="360">
        <v>67.657178604942133249921801690</v>
      </c>
      <c r="P26" s="4"/>
      <c r="Q26" s="359">
        <v>-25.688073394533591448531248800</v>
      </c>
      <c r="R26" s="170">
        <v>-6.1604584527219285966453477500</v>
      </c>
      <c r="S26" s="360">
        <v>-6.3217224522492248700735419200</v>
      </c>
      <c r="T26" s="359">
        <v>0</v>
      </c>
      <c r="U26" s="170">
        <v>-23.780487804938466686496085350</v>
      </c>
      <c r="V26" s="360">
        <v>-13.566994365605652329824352200</v>
      </c>
      <c r="W26" s="170">
        <v>0</v>
      </c>
      <c r="X26" s="170">
        <v>-100</v>
      </c>
      <c r="Y26" s="360">
        <v>11.670170475368806550204936240</v>
      </c>
      <c r="Z26" s="359">
        <v>-15.596330275272721151418208510</v>
      </c>
      <c r="AA26" s="170">
        <v>-10.344827586189686880697578950</v>
      </c>
      <c r="AB26" s="360">
        <v>-6.4633529004021841278192796800</v>
      </c>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row>
    <row r="27" ht="15.6" customHeight="1">
      <c r="A27" s="93"/>
      <c r="B27" s="344">
        <v>14</v>
      </c>
      <c r="C27" s="351" t="s">
        <v>50</v>
      </c>
      <c r="D27" s="327">
        <v>62.878787878787878787878787880</v>
      </c>
      <c r="E27" s="171">
        <v>64.956437560503388189738625360</v>
      </c>
      <c r="F27" s="328">
        <v>48.177356357835345998325219700</v>
      </c>
      <c r="G27" s="327">
        <v>8.333333333333333333333333330</v>
      </c>
      <c r="H27" s="171">
        <v>11.810261374636979670861568250</v>
      </c>
      <c r="I27" s="328">
        <v>19.641106165906796471028512150</v>
      </c>
      <c r="J27" s="171">
        <v>0</v>
      </c>
      <c r="K27" s="171">
        <v>0</v>
      </c>
      <c r="L27" s="328">
        <v>7.1789308658939747238482283100</v>
      </c>
      <c r="M27" s="327">
        <v>71.212121212121212121212121210</v>
      </c>
      <c r="N27" s="171">
        <v>76.766698935140367860600193610</v>
      </c>
      <c r="O27" s="328">
        <v>74.997393389636117193201960170</v>
      </c>
      <c r="P27" s="4"/>
      <c r="Q27" s="327">
        <v>-23.853211009213433212692514200</v>
      </c>
      <c r="R27" s="171">
        <v>-5.0919377651602555971903303100</v>
      </c>
      <c r="S27" s="328">
        <v>-7.5353669267110327629870534700</v>
      </c>
      <c r="T27" s="327">
        <v>0</v>
      </c>
      <c r="U27" s="171">
        <v>1.6666666669276111111117808900</v>
      </c>
      <c r="V27" s="328">
        <v>9.577375766273111295523648210</v>
      </c>
      <c r="W27" s="171">
        <v>0</v>
      </c>
      <c r="X27" s="171">
        <v>-100</v>
      </c>
      <c r="Y27" s="328">
        <v>11.169305128507060129572938220</v>
      </c>
      <c r="Z27" s="327">
        <v>-13.761467889952562915579473920</v>
      </c>
      <c r="AA27" s="171">
        <v>-4.687500000023599008413455700</v>
      </c>
      <c r="AB27" s="328">
        <v>-1.945763864016141129097586500</v>
      </c>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row>
    <row r="28" ht="15.6" customHeight="1">
      <c r="A28" s="92"/>
      <c r="B28" s="346">
        <v>15</v>
      </c>
      <c r="C28" s="352" t="s">
        <v>51</v>
      </c>
      <c r="D28" s="359">
        <v>72.727272727272727272727272730</v>
      </c>
      <c r="E28" s="170">
        <v>74.443368828654404646660212970</v>
      </c>
      <c r="F28" s="360">
        <v>52.125601303695363755734072020</v>
      </c>
      <c r="G28" s="359">
        <v>8.333333333333333333333333330</v>
      </c>
      <c r="H28" s="170">
        <v>5.6147144240077444336882865400</v>
      </c>
      <c r="I28" s="360">
        <v>17.513306216751782795696689290</v>
      </c>
      <c r="J28" s="170">
        <v>0</v>
      </c>
      <c r="K28" s="170">
        <v>0</v>
      </c>
      <c r="L28" s="360">
        <v>7.8608318185164651678894347100</v>
      </c>
      <c r="M28" s="359">
        <v>81.06060606060606060606060606</v>
      </c>
      <c r="N28" s="170">
        <v>80.05808325266214908034849952</v>
      </c>
      <c r="O28" s="360">
        <v>77.499739338963611719320196020</v>
      </c>
      <c r="P28" s="4"/>
      <c r="Q28" s="359">
        <v>-6.7961165048507493637477611900</v>
      </c>
      <c r="R28" s="170">
        <v>-3.1486146095164099131394464100</v>
      </c>
      <c r="S28" s="360">
        <v>-6.5311930171450046555337125400</v>
      </c>
      <c r="T28" s="359">
        <v>0</v>
      </c>
      <c r="U28" s="170">
        <v>-25.641025641228698224851516560</v>
      </c>
      <c r="V28" s="360">
        <v>6.6672092473718251060830492900</v>
      </c>
      <c r="W28" s="170">
        <v>0</v>
      </c>
      <c r="X28" s="170">
        <v>-100</v>
      </c>
      <c r="Y28" s="360">
        <v>30.254912600647531804066524570</v>
      </c>
      <c r="Z28" s="359">
        <v>3.8834951456351022716561411700</v>
      </c>
      <c r="AA28" s="170">
        <v>-6.6591422122184823871713906700</v>
      </c>
      <c r="AB28" s="360">
        <v>-0.9227294223823286335516883500</v>
      </c>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row>
    <row r="29" ht="15.6" customHeight="1">
      <c r="A29" s="92"/>
      <c r="B29" s="344">
        <v>16</v>
      </c>
      <c r="C29" s="351" t="s">
        <v>52</v>
      </c>
      <c r="D29" s="327">
        <v>86.36363636363636363636363636</v>
      </c>
      <c r="E29" s="171">
        <v>78.896418199419167473378509200</v>
      </c>
      <c r="F29" s="328">
        <v>63.147706006453600571261060450</v>
      </c>
      <c r="G29" s="327">
        <v>0</v>
      </c>
      <c r="H29" s="171">
        <v>11.326234269119070667957405610</v>
      </c>
      <c r="I29" s="328">
        <v>15.605798042388915675687717910</v>
      </c>
      <c r="J29" s="171">
        <v>0</v>
      </c>
      <c r="K29" s="171">
        <v>0</v>
      </c>
      <c r="L29" s="328">
        <v>7.9006508880775129470872971300</v>
      </c>
      <c r="M29" s="327">
        <v>86.36363636363636363636363636</v>
      </c>
      <c r="N29" s="171">
        <v>90.22265246853823814133591481</v>
      </c>
      <c r="O29" s="328">
        <v>86.65415493692002919403607549</v>
      </c>
      <c r="P29" s="4"/>
      <c r="Q29" s="327">
        <v>2.7027027027138056975894825700</v>
      </c>
      <c r="R29" s="171">
        <v>-6.6437571591913481838376348100</v>
      </c>
      <c r="S29" s="328">
        <v>-5.0103212846524275495575256200</v>
      </c>
      <c r="T29" s="327">
        <v>0</v>
      </c>
      <c r="U29" s="171">
        <v>154.34782608494385633271913981</v>
      </c>
      <c r="V29" s="328">
        <v>31.653372332006689447088947450</v>
      </c>
      <c r="W29" s="171">
        <v>0</v>
      </c>
      <c r="X29" s="171">
        <v>-100</v>
      </c>
      <c r="Y29" s="328">
        <v>24.766629001841445389688639980</v>
      </c>
      <c r="Z29" s="327">
        <v>2.7027027027138056975894825700</v>
      </c>
      <c r="AA29" s="171">
        <v>0.2150537634754505723205114200</v>
      </c>
      <c r="AB29" s="328">
        <v>2.3500018689074435389265039800</v>
      </c>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row>
    <row r="30" ht="15.6" customHeight="1">
      <c r="A30" s="92"/>
      <c r="B30" s="346">
        <v>17</v>
      </c>
      <c r="C30" s="352" t="s">
        <v>53</v>
      </c>
      <c r="D30" s="359">
        <v>96.21212121212121212121212121</v>
      </c>
      <c r="E30" s="170">
        <v>83.83349467570183930300096806</v>
      </c>
      <c r="F30" s="360">
        <v>68.321201766443064289642165150</v>
      </c>
      <c r="G30" s="359">
        <v>0</v>
      </c>
      <c r="H30" s="170">
        <v>12.294288480154888673765730880</v>
      </c>
      <c r="I30" s="360">
        <v>10.679735619398112949749078410</v>
      </c>
      <c r="J30" s="170">
        <v>0</v>
      </c>
      <c r="K30" s="170">
        <v>0</v>
      </c>
      <c r="L30" s="360">
        <v>7.9034521460116014072566555100</v>
      </c>
      <c r="M30" s="359">
        <v>96.21212121212121212121212121</v>
      </c>
      <c r="N30" s="170">
        <v>96.12778315585672797676669894</v>
      </c>
      <c r="O30" s="360">
        <v>86.90438953185277864664789907</v>
      </c>
      <c r="P30" s="4"/>
      <c r="Q30" s="359">
        <v>16.513761467830047975759646950</v>
      </c>
      <c r="R30" s="170">
        <v>-7.6759061834098153763621551300</v>
      </c>
      <c r="S30" s="360">
        <v>3.1559733572898358928082489300</v>
      </c>
      <c r="T30" s="359">
        <v>0</v>
      </c>
      <c r="U30" s="170">
        <v>477.27272726698078512402414578</v>
      </c>
      <c r="V30" s="360">
        <v>19.172482088503922287872911080</v>
      </c>
      <c r="W30" s="170">
        <v>0</v>
      </c>
      <c r="X30" s="170">
        <v>-100</v>
      </c>
      <c r="Y30" s="360">
        <v>20.589927431149097739928009940</v>
      </c>
      <c r="Z30" s="359">
        <v>16.513761467830047975759646950</v>
      </c>
      <c r="AA30" s="170">
        <v>2.5826446280632484333378993400</v>
      </c>
      <c r="AB30" s="360">
        <v>6.3095645784903595592248529800</v>
      </c>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row>
    <row r="31" ht="15.6" customHeight="1">
      <c r="A31" s="92"/>
      <c r="B31" s="344">
        <v>18</v>
      </c>
      <c r="C31" s="351" t="s">
        <v>49</v>
      </c>
      <c r="D31" s="327">
        <v>76.515151515151515151515151520</v>
      </c>
      <c r="E31" s="171">
        <v>70.474346563407550822846079390</v>
      </c>
      <c r="F31" s="328">
        <v>51.360170456002707932990188950</v>
      </c>
      <c r="G31" s="327">
        <v>12.878787878787878787878787880</v>
      </c>
      <c r="H31" s="171">
        <v>18.780251694094869312681510170</v>
      </c>
      <c r="I31" s="328">
        <v>10.627795026406522641109762900</v>
      </c>
      <c r="J31" s="171">
        <v>0</v>
      </c>
      <c r="K31" s="171">
        <v>0</v>
      </c>
      <c r="L31" s="328">
        <v>7.4417081699732112984889335600</v>
      </c>
      <c r="M31" s="327">
        <v>89.39393939393939393939393939</v>
      </c>
      <c r="N31" s="171">
        <v>89.25459825750242013552758955</v>
      </c>
      <c r="O31" s="328">
        <v>69.429673652382441872588885410</v>
      </c>
      <c r="P31" s="4"/>
      <c r="Q31" s="327">
        <v>-7.3394495413320090901439028200</v>
      </c>
      <c r="R31" s="171">
        <v>-11.327649208237219991068769330</v>
      </c>
      <c r="S31" s="328">
        <v>-0.4774097644422424337060265600</v>
      </c>
      <c r="T31" s="327">
        <v>0</v>
      </c>
      <c r="U31" s="171">
        <v>351.16279069269064359118539418</v>
      </c>
      <c r="V31" s="328">
        <v>37.135243128540572518552306850</v>
      </c>
      <c r="W31" s="171">
        <v>0</v>
      </c>
      <c r="X31" s="171">
        <v>-100</v>
      </c>
      <c r="Y31" s="328">
        <v>27.181327397318631115488918910</v>
      </c>
      <c r="Z31" s="327">
        <v>8.256880733889335914485341250</v>
      </c>
      <c r="AA31" s="171">
        <v>5.4919908467199427655797674900</v>
      </c>
      <c r="AB31" s="328">
        <v>6.474707757008819104527025700</v>
      </c>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row>
    <row r="32" ht="15.6" customHeight="1">
      <c r="A32" s="92"/>
      <c r="B32" s="346">
        <v>19</v>
      </c>
      <c r="C32" s="352" t="s">
        <v>47</v>
      </c>
      <c r="D32" s="359">
        <v>64.393939393939393939393939390</v>
      </c>
      <c r="E32" s="170">
        <v>64.375605033881897386253630200</v>
      </c>
      <c r="F32" s="360">
        <v>47.818761277622852857778923440</v>
      </c>
      <c r="G32" s="359">
        <v>25.757575757575757575757575760</v>
      </c>
      <c r="H32" s="170">
        <v>23.426911907066795740561471440</v>
      </c>
      <c r="I32" s="360">
        <v>13.529593263499949226286723060</v>
      </c>
      <c r="J32" s="170">
        <v>0</v>
      </c>
      <c r="K32" s="170">
        <v>0</v>
      </c>
      <c r="L32" s="360">
        <v>7.4765855068388286113779985800</v>
      </c>
      <c r="M32" s="359">
        <v>90.15151515151515151515151515</v>
      </c>
      <c r="N32" s="170">
        <v>87.80251694094869312681510165</v>
      </c>
      <c r="O32" s="360">
        <v>68.824940047961630695443645080</v>
      </c>
      <c r="P32" s="4"/>
      <c r="Q32" s="359">
        <v>-27.350427350457155380232291090</v>
      </c>
      <c r="R32" s="170">
        <v>-11.214953271049137167313422240</v>
      </c>
      <c r="S32" s="360">
        <v>-4.313570330591294784865963700</v>
      </c>
      <c r="T32" s="359">
        <v>0</v>
      </c>
      <c r="U32" s="170">
        <v>210.25641025556301775148160352</v>
      </c>
      <c r="V32" s="360">
        <v>20.024630822130956604257132110</v>
      </c>
      <c r="W32" s="170">
        <v>0</v>
      </c>
      <c r="X32" s="170">
        <v>-100</v>
      </c>
      <c r="Y32" s="360">
        <v>26.058222490159264591022911770</v>
      </c>
      <c r="Z32" s="359">
        <v>1.7094017093599824676747924800</v>
      </c>
      <c r="AA32" s="170">
        <v>8.622754491005605794399226910</v>
      </c>
      <c r="AB32" s="360">
        <v>2.4518368817836191343540000400</v>
      </c>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row>
    <row r="33" ht="15.6" customHeight="1">
      <c r="A33" s="92"/>
      <c r="B33" s="344">
        <v>20</v>
      </c>
      <c r="C33" s="351" t="s">
        <v>48</v>
      </c>
      <c r="D33" s="327">
        <v>53.030303030303030303030303030</v>
      </c>
      <c r="E33" s="171">
        <v>59.825750242013552758954501450</v>
      </c>
      <c r="F33" s="328">
        <v>46.795833750623280192993364980</v>
      </c>
      <c r="G33" s="327">
        <v>36.363636363636363636363636360</v>
      </c>
      <c r="H33" s="171">
        <v>25.266214908034849951597289450</v>
      </c>
      <c r="I33" s="328">
        <v>16.030252210375722890538757660</v>
      </c>
      <c r="J33" s="171">
        <v>0</v>
      </c>
      <c r="K33" s="171">
        <v>0</v>
      </c>
      <c r="L33" s="328">
        <v>7.3230121518150934653157555900</v>
      </c>
      <c r="M33" s="327">
        <v>89.39393939393939393939393939</v>
      </c>
      <c r="N33" s="171">
        <v>85.09196515004840271055179090</v>
      </c>
      <c r="O33" s="328">
        <v>70.149098112814096548847878220</v>
      </c>
      <c r="P33" s="4"/>
      <c r="Q33" s="327">
        <v>-33.333333333371428571428549660</v>
      </c>
      <c r="R33" s="171">
        <v>-8.849557522084368392199841900</v>
      </c>
      <c r="S33" s="328">
        <v>-5.5696703396416486749454469900</v>
      </c>
      <c r="T33" s="327">
        <v>0</v>
      </c>
      <c r="U33" s="171">
        <v>166.32653061086978342358061114</v>
      </c>
      <c r="V33" s="328">
        <v>18.370727398132111033855810070</v>
      </c>
      <c r="W33" s="171">
        <v>0</v>
      </c>
      <c r="X33" s="171">
        <v>-100</v>
      </c>
      <c r="Y33" s="328">
        <v>16.732577437079942276168693890</v>
      </c>
      <c r="Z33" s="327">
        <v>12.380952380888163265306159140</v>
      </c>
      <c r="AA33" s="171">
        <v>12.548015364912882462977141300</v>
      </c>
      <c r="AB33" s="328">
        <v>1.1206679888144447893617239400</v>
      </c>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row>
    <row r="34" ht="15.6" customHeight="1">
      <c r="A34" s="92"/>
      <c r="B34" s="346">
        <v>21</v>
      </c>
      <c r="C34" s="352" t="s">
        <v>50</v>
      </c>
      <c r="D34" s="359">
        <v>57.575757575757575757575757580</v>
      </c>
      <c r="E34" s="170">
        <v>53.920619554695062923523717330</v>
      </c>
      <c r="F34" s="360">
        <v>47.552894829618310627074095350</v>
      </c>
      <c r="G34" s="359">
        <v>37.878787878787878787878787880</v>
      </c>
      <c r="H34" s="170">
        <v>25.072604065827686350435624390</v>
      </c>
      <c r="I34" s="360">
        <v>15.026670209687304060886145380</v>
      </c>
      <c r="J34" s="170">
        <v>0</v>
      </c>
      <c r="K34" s="170">
        <v>0</v>
      </c>
      <c r="L34" s="360">
        <v>7.0065052349097955925110344300</v>
      </c>
      <c r="M34" s="359">
        <v>95.45454545454545454545454545</v>
      </c>
      <c r="N34" s="170">
        <v>78.993223620522749273959341720</v>
      </c>
      <c r="O34" s="360">
        <v>69.586070274215410280471275150</v>
      </c>
      <c r="P34" s="4"/>
      <c r="Q34" s="359">
        <v>-37.190082644650939143501118660</v>
      </c>
      <c r="R34" s="170">
        <v>-12.695924764911218688888665490</v>
      </c>
      <c r="S34" s="360">
        <v>-7.0093631887345143215021038200</v>
      </c>
      <c r="T34" s="359">
        <v>0</v>
      </c>
      <c r="U34" s="170">
        <v>439.58333333007335069446414007</v>
      </c>
      <c r="V34" s="360">
        <v>29.023591571165427692681096780</v>
      </c>
      <c r="W34" s="170">
        <v>0</v>
      </c>
      <c r="X34" s="170">
        <v>-100</v>
      </c>
      <c r="Y34" s="360">
        <v>12.155427325235936262898668990</v>
      </c>
      <c r="Z34" s="359">
        <v>4.1322314049208114199849874700</v>
      </c>
      <c r="AA34" s="170">
        <v>18.089725036135358684429344540</v>
      </c>
      <c r="AB34" s="360">
        <v>0.8042579257221375614724627300</v>
      </c>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row>
    <row r="35" ht="15.6" customHeight="1">
      <c r="A35" s="92"/>
      <c r="B35" s="344">
        <v>22</v>
      </c>
      <c r="C35" s="351" t="s">
        <v>51</v>
      </c>
      <c r="D35" s="327">
        <v>62.878787878787878787878787880</v>
      </c>
      <c r="E35" s="171">
        <v>60.890609874152952565343659240</v>
      </c>
      <c r="F35" s="328">
        <v>52.902848087269477946870387400</v>
      </c>
      <c r="G35" s="327">
        <v>32.575757575757575757575757580</v>
      </c>
      <c r="H35" s="171">
        <v>20.716360116166505324298160700</v>
      </c>
      <c r="I35" s="328">
        <v>15.267810759207576108541113340</v>
      </c>
      <c r="J35" s="171">
        <v>0</v>
      </c>
      <c r="K35" s="171">
        <v>0</v>
      </c>
      <c r="L35" s="328">
        <v>6.1698687314605958246844225200</v>
      </c>
      <c r="M35" s="327">
        <v>95.45454545454545454545454545</v>
      </c>
      <c r="N35" s="171">
        <v>81.60696999031945788964181994</v>
      </c>
      <c r="O35" s="328">
        <v>74.340527577937649880095923260</v>
      </c>
      <c r="P35" s="4"/>
      <c r="Q35" s="327">
        <v>-30.252100840324412117788289820</v>
      </c>
      <c r="R35" s="171">
        <v>-8.972503617978994347419046920</v>
      </c>
      <c r="S35" s="328">
        <v>1.6719465405978521775198858500</v>
      </c>
      <c r="T35" s="327">
        <v>0</v>
      </c>
      <c r="U35" s="171">
        <v>234.37500000157783203125744544</v>
      </c>
      <c r="V35" s="328">
        <v>29.101970458520542915054534970</v>
      </c>
      <c r="W35" s="171">
        <v>0</v>
      </c>
      <c r="X35" s="171">
        <v>-100</v>
      </c>
      <c r="Y35" s="328">
        <v>2.7882349944191618014982341800</v>
      </c>
      <c r="Z35" s="327">
        <v>5.8823529411942659416707889500</v>
      </c>
      <c r="AA35" s="171">
        <v>10.629921259886510323020663530</v>
      </c>
      <c r="AB35" s="328">
        <v>6.4112124933900511803525734300</v>
      </c>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row>
    <row r="36" ht="15.6" customHeight="1">
      <c r="A36" s="92"/>
      <c r="B36" s="346">
        <v>23</v>
      </c>
      <c r="C36" s="352" t="s">
        <v>52</v>
      </c>
      <c r="D36" s="359">
        <v>71.969696969696969696969696970</v>
      </c>
      <c r="E36" s="170">
        <v>78.799612778315585672797676670</v>
      </c>
      <c r="F36" s="360">
        <v>62.065939869818784243541889060</v>
      </c>
      <c r="G36" s="359">
        <v>1.5151515151515151515151515200</v>
      </c>
      <c r="H36" s="170">
        <v>6.8731848983543078412391093900</v>
      </c>
      <c r="I36" s="360">
        <v>10.263707980753153828527170400</v>
      </c>
      <c r="J36" s="170">
        <v>0</v>
      </c>
      <c r="K36" s="170">
        <v>0</v>
      </c>
      <c r="L36" s="360">
        <v>7.2553797794979190856829997700</v>
      </c>
      <c r="M36" s="359">
        <v>73.484848484848484848484848480</v>
      </c>
      <c r="N36" s="170">
        <v>85.67279767666989351403678606</v>
      </c>
      <c r="O36" s="360">
        <v>79.58502763006985715775205922</v>
      </c>
      <c r="P36" s="4"/>
      <c r="Q36" s="359">
        <v>-18.803418803452114836730207680</v>
      </c>
      <c r="R36" s="170">
        <v>4.3589743589657961867192643500</v>
      </c>
      <c r="S36" s="360">
        <v>-3.311429212214393970292184400</v>
      </c>
      <c r="T36" s="359">
        <v>0</v>
      </c>
      <c r="U36" s="170">
        <v>-10.126582278681236981252558260</v>
      </c>
      <c r="V36" s="360">
        <v>43.433084091132956901804672080</v>
      </c>
      <c r="W36" s="170">
        <v>0</v>
      </c>
      <c r="X36" s="170">
        <v>-100</v>
      </c>
      <c r="Y36" s="360">
        <v>13.834271266019175300453832450</v>
      </c>
      <c r="Z36" s="359">
        <v>-17.09401709405110672802979100</v>
      </c>
      <c r="AA36" s="170">
        <v>1.9585253456330439433838063100</v>
      </c>
      <c r="AB36" s="360">
        <v>2.3983844130494389513962570800</v>
      </c>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row>
    <row r="37" ht="15.6" customHeight="1">
      <c r="A37" s="92"/>
      <c r="B37" s="348">
        <v>24</v>
      </c>
      <c r="C37" s="353" t="s">
        <v>53</v>
      </c>
      <c r="D37" s="329">
        <v>90.15151515151515151515151515</v>
      </c>
      <c r="E37" s="330">
        <v>89.41034897713598074608904933</v>
      </c>
      <c r="F37" s="332">
        <v>72.030917465516078186044514770</v>
      </c>
      <c r="G37" s="329">
        <v>0.7575757575757575757575757600</v>
      </c>
      <c r="H37" s="330">
        <v>8.062575210589651022864019250</v>
      </c>
      <c r="I37" s="332">
        <v>9.291645967113777009083270470</v>
      </c>
      <c r="J37" s="330">
        <v>0</v>
      </c>
      <c r="K37" s="330">
        <v>0</v>
      </c>
      <c r="L37" s="332">
        <v>7.7922316877955436162578888300</v>
      </c>
      <c r="M37" s="329">
        <v>90.90909090909090909090909091</v>
      </c>
      <c r="N37" s="330">
        <v>97.47292418772563176895306859</v>
      </c>
      <c r="O37" s="332">
        <v>89.11479512042539881138567407</v>
      </c>
      <c r="P37" s="4"/>
      <c r="Q37" s="329">
        <v>-3.2520325203063255998413605900</v>
      </c>
      <c r="R37" s="330">
        <v>6.0400579717601610591690321800</v>
      </c>
      <c r="S37" s="332">
        <v>-2.5432090833937065855581134100</v>
      </c>
      <c r="T37" s="329">
        <v>0</v>
      </c>
      <c r="U37" s="330">
        <v>6.7774383655944347723930803900</v>
      </c>
      <c r="V37" s="332">
        <v>48.441685126711295499700339240</v>
      </c>
      <c r="W37" s="330">
        <v>0</v>
      </c>
      <c r="X37" s="330">
        <v>-100</v>
      </c>
      <c r="Y37" s="332">
        <v>28.135288752593823557968072820</v>
      </c>
      <c r="Z37" s="329">
        <v>-2.4390243902248661511005316800</v>
      </c>
      <c r="AA37" s="330">
        <v>5.5445814318020476558286341900</v>
      </c>
      <c r="AB37" s="332">
        <v>3.319906924419181574272817600</v>
      </c>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row>
    <row r="38" ht="21" customHeight="1">
      <c r="B38" s="54"/>
      <c r="C38"/>
      <c r="D38" s="88"/>
      <c r="E38" s="88"/>
      <c r="F38" s="88"/>
      <c r="G38" s="88"/>
      <c r="H38" s="88"/>
      <c r="I38" s="88"/>
      <c r="J38" s="88"/>
      <c r="K38" s="88"/>
      <c r="L38" s="88"/>
      <c r="M38" s="88"/>
      <c r="N38" s="88"/>
      <c r="O38" s="88"/>
      <c r="P38" s="4"/>
      <c r="Q38" s="4"/>
      <c r="R38" s="4"/>
      <c r="S38" s="4"/>
      <c r="T38" s="4"/>
      <c r="U38" s="4"/>
      <c r="V38" s="4"/>
      <c r="W38" s="4"/>
      <c r="X38" s="4"/>
      <c r="Y38" s="4"/>
      <c r="Z38" s="4"/>
      <c r="AA38" s="4"/>
      <c r="AB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row>
    <row r="39" ht="15.6" customHeight="1">
      <c r="A39" s="54"/>
      <c r="B39" s="53"/>
      <c r="C39" s="53" t="s">
        <v>14</v>
      </c>
      <c r="D39" s="354">
        <v>72.159090909090909090909090910</v>
      </c>
      <c r="E39" s="355">
        <v>70.498547918683446272991287520</v>
      </c>
      <c r="F39" s="356">
        <v>51.115429733534965966519282810</v>
      </c>
      <c r="G39" s="354">
        <v>9.659090909090909090909090910</v>
      </c>
      <c r="H39" s="355">
        <v>11.060019361084220716360116170</v>
      </c>
      <c r="I39" s="356">
        <v>13.124669106431433926938581830</v>
      </c>
      <c r="J39" s="355">
        <v>0</v>
      </c>
      <c r="K39" s="355">
        <v>0</v>
      </c>
      <c r="L39" s="356">
        <v>7.501638205180091608992349100</v>
      </c>
      <c r="M39" s="354">
        <v>81.81818181818181818181818182</v>
      </c>
      <c r="N39" s="355">
        <v>81.55856727976766698935140368</v>
      </c>
      <c r="O39" s="356">
        <v>71.741737045146491502450213740</v>
      </c>
      <c r="P39" s="4"/>
      <c r="Q39" s="354">
        <v>-4.0302267002596247676211377600</v>
      </c>
      <c r="R39" s="355">
        <v>-2.6078234704068053039090522500</v>
      </c>
      <c r="S39" s="356">
        <v>-0.5647911168622281651147392500</v>
      </c>
      <c r="T39" s="354">
        <v>-1.9230769232278106508873418200</v>
      </c>
      <c r="U39" s="355">
        <v>4.5766590385684880792181068200</v>
      </c>
      <c r="V39" s="356">
        <v>19.226169033653424815814377980</v>
      </c>
      <c r="W39" s="355">
        <v>0</v>
      </c>
      <c r="X39" s="355">
        <v>-100</v>
      </c>
      <c r="Y39" s="356">
        <v>16.511732367442640418031908160</v>
      </c>
      <c r="Z39" s="354">
        <v>-3.786191536772329502333811800</v>
      </c>
      <c r="AA39" s="355">
        <v>-2.937788018422780200789992300</v>
      </c>
      <c r="AB39" s="356">
        <v>4.1962663244255428356916034700</v>
      </c>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row>
    <row r="40" ht="15.6" customHeight="1">
      <c r="A40" s="54"/>
      <c r="C40" s="53" t="s">
        <v>15</v>
      </c>
      <c r="D40" s="327">
        <v>65.151515151515151515151515150</v>
      </c>
      <c r="E40" s="171">
        <v>65.609874152952565343659244920</v>
      </c>
      <c r="F40" s="328">
        <v>47.788536302422222650577515110</v>
      </c>
      <c r="G40" s="327">
        <v>12.878787878787878787878787880</v>
      </c>
      <c r="H40" s="171">
        <v>15.682478218780251694094869310</v>
      </c>
      <c r="I40" s="328">
        <v>17.056123115920735124381411600</v>
      </c>
      <c r="J40" s="171">
        <v>0</v>
      </c>
      <c r="K40" s="171">
        <v>0</v>
      </c>
      <c r="L40" s="328">
        <v>7.0639006900920333625658360900</v>
      </c>
      <c r="M40" s="327">
        <v>78.030303030303030303030303030</v>
      </c>
      <c r="N40" s="171">
        <v>81.29235237173281703775411423</v>
      </c>
      <c r="O40" s="328">
        <v>71.908560108434991137524762800</v>
      </c>
      <c r="P40" s="4"/>
      <c r="Q40" s="327">
        <v>-20.000000000005953488372092580</v>
      </c>
      <c r="R40" s="171">
        <v>-0.3308823528872378892733272100</v>
      </c>
      <c r="S40" s="328">
        <v>0.5586711626343174992939544900</v>
      </c>
      <c r="T40" s="327">
        <v>325.00000000042500000000042504</v>
      </c>
      <c r="U40" s="171">
        <v>40.563991323056736981286723200</v>
      </c>
      <c r="V40" s="328">
        <v>12.711967357029883863973177420</v>
      </c>
      <c r="W40" s="171">
        <v>0</v>
      </c>
      <c r="X40" s="171">
        <v>-100</v>
      </c>
      <c r="Y40" s="328">
        <v>16.543041325788990722888092580</v>
      </c>
      <c r="Z40" s="327">
        <v>-7.6233183856535381769189003200</v>
      </c>
      <c r="AA40" s="171">
        <v>4.1873449131339140303185197500</v>
      </c>
      <c r="AB40" s="328">
        <v>4.6449251326205141201696484200</v>
      </c>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row>
    <row r="41" ht="15.6" customHeight="1">
      <c r="A41" s="54"/>
      <c r="B41" s="22"/>
      <c r="C41" s="53" t="s">
        <v>16</v>
      </c>
      <c r="D41" s="359">
        <v>61.174242424242424242424242420</v>
      </c>
      <c r="E41" s="170">
        <v>67.037754114230396902226524680</v>
      </c>
      <c r="F41" s="360">
        <v>48.338688054210305931206560690</v>
      </c>
      <c r="G41" s="359">
        <v>15.719696969696969696969696970</v>
      </c>
      <c r="H41" s="170">
        <v>17.061955469506292352371732820</v>
      </c>
      <c r="I41" s="360">
        <v>18.449933013580695969112571510</v>
      </c>
      <c r="J41" s="170">
        <v>0</v>
      </c>
      <c r="K41" s="170">
        <v>0</v>
      </c>
      <c r="L41" s="360">
        <v>7.1635215659281097668688565400</v>
      </c>
      <c r="M41" s="359">
        <v>76.893939393939393939393939390</v>
      </c>
      <c r="N41" s="170">
        <v>84.09970958373668925459825750</v>
      </c>
      <c r="O41" s="360">
        <v>73.952142633719111667187988740</v>
      </c>
      <c r="P41" s="4"/>
      <c r="Q41" s="359">
        <v>-24.708624708624708624708624710</v>
      </c>
      <c r="R41" s="170">
        <v>5.8059587471256798295399840800</v>
      </c>
      <c r="S41" s="360">
        <v>-0.8149816878738260417227498600</v>
      </c>
      <c r="T41" s="359">
        <v>245.83333332987500000003458334</v>
      </c>
      <c r="U41" s="170">
        <v>27.027027027234847820794106760</v>
      </c>
      <c r="V41" s="360">
        <v>2.2492370166053915294039025500</v>
      </c>
      <c r="W41" s="170">
        <v>0</v>
      </c>
      <c r="X41" s="170">
        <v>-100</v>
      </c>
      <c r="Y41" s="360">
        <v>12.604160807223625375866482520</v>
      </c>
      <c r="Z41" s="359">
        <v>-10.375275938237328772129852190</v>
      </c>
      <c r="AA41" s="170">
        <v>8.458177278358668393596660700</v>
      </c>
      <c r="AB41" s="360">
        <v>1.1081274505836201830303046800</v>
      </c>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row>
    <row r="42" ht="15.6" customHeight="1">
      <c r="A42" s="54"/>
      <c r="B42" s="22"/>
      <c r="C42" s="53" t="s">
        <v>17</v>
      </c>
      <c r="D42" s="327">
        <v>67.234848484848484848484848480</v>
      </c>
      <c r="E42" s="171">
        <v>65.174249757986447241045498550</v>
      </c>
      <c r="F42" s="328">
        <v>49.660883491999215372518600210</v>
      </c>
      <c r="G42" s="327">
        <v>18.939393939393939393939393940</v>
      </c>
      <c r="H42" s="171">
        <v>16.916747337850919651500484030</v>
      </c>
      <c r="I42" s="328">
        <v>19.748662036829163446244793620</v>
      </c>
      <c r="J42" s="171">
        <v>0</v>
      </c>
      <c r="K42" s="171">
        <v>0</v>
      </c>
      <c r="L42" s="328">
        <v>7.0449430542182273745428307500</v>
      </c>
      <c r="M42" s="327">
        <v>86.17424242424242424242424242</v>
      </c>
      <c r="N42" s="171">
        <v>82.09099709583736689254598258</v>
      </c>
      <c r="O42" s="328">
        <v>76.454488583046606193306224590</v>
      </c>
      <c r="P42" s="4"/>
      <c r="Q42" s="327">
        <v>-18.390804597737170035671803370</v>
      </c>
      <c r="R42" s="171">
        <v>1.7762660620111190524752868100</v>
      </c>
      <c r="S42" s="328">
        <v>-4.0216092635789464860876513200</v>
      </c>
      <c r="T42" s="327">
        <v>185.71428571376326530612340432</v>
      </c>
      <c r="U42" s="171">
        <v>52.620087335695375755613043740</v>
      </c>
      <c r="V42" s="328">
        <v>23.959444755508671517559387620</v>
      </c>
      <c r="W42" s="171">
        <v>0</v>
      </c>
      <c r="X42" s="171">
        <v>-100</v>
      </c>
      <c r="Y42" s="328">
        <v>13.961168689987894680922093530</v>
      </c>
      <c r="Z42" s="327">
        <v>-3.1914893617548574015391292700</v>
      </c>
      <c r="AA42" s="171">
        <v>8.439897698211105369535782760</v>
      </c>
      <c r="AB42" s="328">
        <v>3.5194877858726883156815427500</v>
      </c>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row>
    <row r="43" ht="15.6" customHeight="1">
      <c r="A43" s="54"/>
      <c r="B43" s="22"/>
      <c r="C43" s="53" t="s">
        <v>18</v>
      </c>
      <c r="D43" s="359">
        <v>72.537878787878787878787878790</v>
      </c>
      <c r="E43" s="170">
        <v>72.579864472410454985479186830</v>
      </c>
      <c r="F43" s="360">
        <v>54.786191411879774150432528030</v>
      </c>
      <c r="G43" s="359">
        <v>16.477272727272727272727272730</v>
      </c>
      <c r="H43" s="170">
        <v>11.834462729912875121006776380</v>
      </c>
      <c r="I43" s="360">
        <v>16.796898558883490485993243310</v>
      </c>
      <c r="J43" s="170">
        <v>0</v>
      </c>
      <c r="K43" s="170">
        <v>0</v>
      </c>
      <c r="L43" s="360">
        <v>7.3033660817860002994516137100</v>
      </c>
      <c r="M43" s="359">
        <v>89.01515151515151515151515152</v>
      </c>
      <c r="N43" s="170">
        <v>84.41432720232333010648596321</v>
      </c>
      <c r="O43" s="360">
        <v>78.886456052549264935877385050</v>
      </c>
      <c r="P43" s="4"/>
      <c r="Q43" s="359">
        <v>-2.0460358055865150018641786200</v>
      </c>
      <c r="R43" s="170">
        <v>1.7990495587065538599520982800</v>
      </c>
      <c r="S43" s="360">
        <v>-3.3201249428338151588230911500</v>
      </c>
      <c r="T43" s="359">
        <v>33.846153846219739644970446660</v>
      </c>
      <c r="U43" s="170">
        <v>51.863354038014135257131100600</v>
      </c>
      <c r="V43" s="360">
        <v>18.282894623380959478679857130</v>
      </c>
      <c r="W43" s="170">
        <v>0</v>
      </c>
      <c r="X43" s="170">
        <v>-100</v>
      </c>
      <c r="Y43" s="360">
        <v>26.070099193351693556814573480</v>
      </c>
      <c r="Z43" s="359">
        <v>3.0701754386398891966759185600</v>
      </c>
      <c r="AA43" s="170">
        <v>5.6329497274468737813215278900</v>
      </c>
      <c r="AB43" s="360">
        <v>2.9025244611762417279447839400</v>
      </c>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row>
    <row r="44" ht="15.6" customHeight="1">
      <c r="A44" s="54"/>
      <c r="B44" s="22"/>
      <c r="C44" s="53" t="s">
        <v>19</v>
      </c>
      <c r="D44" s="327">
        <v>75.00</v>
      </c>
      <c r="E44" s="171">
        <v>80.15488867376573088092933204</v>
      </c>
      <c r="F44" s="328">
        <v>63.712593737514626036240387430</v>
      </c>
      <c r="G44" s="327">
        <v>9.090909090909090909090909090</v>
      </c>
      <c r="H44" s="171">
        <v>9.341723136495643756050338820</v>
      </c>
      <c r="I44" s="328">
        <v>13.256143346856107301900707420</v>
      </c>
      <c r="J44" s="171">
        <v>0</v>
      </c>
      <c r="K44" s="171">
        <v>0</v>
      </c>
      <c r="L44" s="328">
        <v>7.4306998877906679755905285600</v>
      </c>
      <c r="M44" s="327">
        <v>84.09090909090909090909090909</v>
      </c>
      <c r="N44" s="171">
        <v>89.49661181026137463697967086</v>
      </c>
      <c r="O44" s="328">
        <v>84.39943697216140131373162340</v>
      </c>
      <c r="P44" s="4"/>
      <c r="Q44" s="327">
        <v>4.4854881266534875140106238900</v>
      </c>
      <c r="R44" s="171">
        <v>0.5769814758878121596861129800</v>
      </c>
      <c r="S44" s="328">
        <v>-4.3276024839397555220884075400</v>
      </c>
      <c r="T44" s="327">
        <v>-53.398058252485097558676523380</v>
      </c>
      <c r="U44" s="171">
        <v>9.659090909286550878099522610</v>
      </c>
      <c r="V44" s="328">
        <v>22.794067275376124934879473780</v>
      </c>
      <c r="W44" s="171">
        <v>0</v>
      </c>
      <c r="X44" s="171">
        <v>-100</v>
      </c>
      <c r="Y44" s="328">
        <v>14.415550165429914956221667660</v>
      </c>
      <c r="Z44" s="327">
        <v>-7.8838174274072967063239219600</v>
      </c>
      <c r="AA44" s="171">
        <v>0.1353912807812344238618942900</v>
      </c>
      <c r="AB44" s="328">
        <v>0.6139223878575967303053363200</v>
      </c>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row>
    <row r="45" ht="15.6" customHeight="1">
      <c r="A45" s="54"/>
      <c r="B45" s="22"/>
      <c r="C45" s="53" t="s">
        <v>20</v>
      </c>
      <c r="D45" s="364">
        <v>84.28030303030303030303030303</v>
      </c>
      <c r="E45" s="365">
        <v>84.35645946112813845854549564</v>
      </c>
      <c r="F45" s="366">
        <v>68.086048397635964699490432330</v>
      </c>
      <c r="G45" s="364">
        <v>8.712121212121212121212121210</v>
      </c>
      <c r="H45" s="365">
        <v>9.445459872347315950294901230</v>
      </c>
      <c r="I45" s="366">
        <v>11.142111534676665207002027570</v>
      </c>
      <c r="J45" s="365">
        <v>0</v>
      </c>
      <c r="K45" s="365">
        <v>0</v>
      </c>
      <c r="L45" s="366">
        <v>7.7205419757261564557221162700</v>
      </c>
      <c r="M45" s="364">
        <v>92.99242424242424242424242424</v>
      </c>
      <c r="N45" s="365">
        <v>93.80191933347545440884039687</v>
      </c>
      <c r="O45" s="366">
        <v>86.94870190803878636221457617</v>
      </c>
      <c r="P45" s="4"/>
      <c r="Q45" s="364">
        <v>16.797900262452476904953811760</v>
      </c>
      <c r="R45" s="365">
        <v>-0.1258193429000580363912638300</v>
      </c>
      <c r="S45" s="366">
        <v>-0.0448283630719131132758181100</v>
      </c>
      <c r="T45" s="364">
        <v>-48.314606741693826537053120060</v>
      </c>
      <c r="U45" s="365">
        <v>23.900445055794566465316901260</v>
      </c>
      <c r="V45" s="366">
        <v>10.294869523961202247236219130</v>
      </c>
      <c r="W45" s="365">
        <v>0</v>
      </c>
      <c r="X45" s="365">
        <v>-100</v>
      </c>
      <c r="Y45" s="366">
        <v>25.097643585380680806497611330</v>
      </c>
      <c r="Z45" s="364">
        <v>4.4680851063260769578995330300</v>
      </c>
      <c r="AA45" s="365">
        <v>0.9610655602408683855440239600</v>
      </c>
      <c r="AB45" s="366">
        <v>3.0316195118015630647726264100</v>
      </c>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row>
    <row r="46" ht="20.25" customHeight="1">
      <c r="B46" s="54"/>
      <c r="C46"/>
      <c r="D46" s="88"/>
      <c r="E46" s="88"/>
      <c r="F46" s="88"/>
      <c r="G46" s="88"/>
      <c r="H46" s="88"/>
      <c r="I46" s="88"/>
      <c r="J46" s="88"/>
      <c r="K46" s="88"/>
      <c r="L46" s="88"/>
      <c r="M46" s="88"/>
      <c r="N46" s="88"/>
      <c r="O46" s="88"/>
      <c r="P46" s="4"/>
      <c r="Q46" s="4"/>
      <c r="R46" s="4"/>
      <c r="S46" s="4"/>
      <c r="T46" s="4"/>
      <c r="U46" s="4"/>
      <c r="V46" s="4"/>
      <c r="W46" s="4"/>
      <c r="X46" s="4"/>
      <c r="Y46" s="4"/>
      <c r="Z46" s="4"/>
      <c r="AA46" s="4"/>
      <c r="AB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row>
    <row r="47" ht="15.6" customHeight="1">
      <c r="A47" s="22"/>
      <c r="B47" s="22"/>
      <c r="C47" s="53" t="s">
        <v>72</v>
      </c>
      <c r="D47" s="354">
        <v>68.073593073593073593073593070</v>
      </c>
      <c r="E47" s="355">
        <v>68.242413289086083267972616230</v>
      </c>
      <c r="F47" s="356">
        <v>54.361052248067355998184766280</v>
      </c>
      <c r="G47" s="354">
        <v>21.103896103896103896103896100</v>
      </c>
      <c r="H47" s="355">
        <v>18.314014685733523649096740680</v>
      </c>
      <c r="I47" s="356">
        <v>12.862496488149143680710420460</v>
      </c>
      <c r="J47" s="355">
        <v>0</v>
      </c>
      <c r="K47" s="355">
        <v>0</v>
      </c>
      <c r="L47" s="356">
        <v>7.2093273231844267849027190400</v>
      </c>
      <c r="M47" s="354">
        <v>89.17748917748917748917748918</v>
      </c>
      <c r="N47" s="355">
        <v>86.55642797481960691706935692</v>
      </c>
      <c r="O47" s="356">
        <v>74.432876059400926463797905770</v>
      </c>
      <c r="P47" s="4"/>
      <c r="Q47" s="354">
        <v>-22.441430332955215965432137370</v>
      </c>
      <c r="R47" s="355">
        <v>-5.6119184213071000473740739100</v>
      </c>
      <c r="S47" s="356">
        <v>-3.0279497917431426049442889900</v>
      </c>
      <c r="T47" s="354">
        <v>0</v>
      </c>
      <c r="U47" s="355">
        <v>171.37016432924884782369161893</v>
      </c>
      <c r="V47" s="356">
        <v>29.639029341211756116709725370</v>
      </c>
      <c r="W47" s="355">
        <v>0</v>
      </c>
      <c r="X47" s="355">
        <v>-100</v>
      </c>
      <c r="Y47" s="356">
        <v>18.019387862528785325576388600</v>
      </c>
      <c r="Z47" s="354">
        <v>1.6029593094513546017232413500</v>
      </c>
      <c r="AA47" s="355">
        <v>8.567134550945346201999670820</v>
      </c>
      <c r="AB47" s="356">
        <v>3.2515816179107657321427495300</v>
      </c>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row>
    <row r="48" ht="15.6" customHeight="1">
      <c r="A48" s="22"/>
      <c r="B48" s="22"/>
      <c r="C48" s="53" t="s">
        <v>61</v>
      </c>
      <c r="D48" s="327">
        <v>71.076839826839826839826839830</v>
      </c>
      <c r="E48" s="171">
        <v>72.201662650165311440696652880</v>
      </c>
      <c r="F48" s="328">
        <v>54.784053018456724972426472370</v>
      </c>
      <c r="G48" s="327">
        <v>13.068181818181818181818181820</v>
      </c>
      <c r="H48" s="171">
        <v>13.048978017996788463097031250</v>
      </c>
      <c r="I48" s="328">
        <v>15.653505816168327351653333840</v>
      </c>
      <c r="J48" s="171">
        <v>0</v>
      </c>
      <c r="K48" s="171">
        <v>0</v>
      </c>
      <c r="L48" s="328">
        <v>7.3183730658173266919620187200</v>
      </c>
      <c r="M48" s="327">
        <v>84.14502164502164502164502165</v>
      </c>
      <c r="N48" s="171">
        <v>85.25064066816209990379368413</v>
      </c>
      <c r="O48" s="328">
        <v>77.755931900442379016041824930</v>
      </c>
      <c r="P48" s="4"/>
      <c r="Q48" s="327">
        <v>-7.5650950034712930254486467900</v>
      </c>
      <c r="R48" s="171">
        <v>0.8675082347515130787305923300</v>
      </c>
      <c r="S48" s="328">
        <v>-1.8672139385015382543586034700</v>
      </c>
      <c r="T48" s="327">
        <v>25.781250000125781250000125800</v>
      </c>
      <c r="U48" s="171">
        <v>30.147806962382281993446140220</v>
      </c>
      <c r="V48" s="328">
        <v>15.081801262065539605820717140</v>
      </c>
      <c r="W48" s="171">
        <v>0</v>
      </c>
      <c r="X48" s="171">
        <v>-100</v>
      </c>
      <c r="Y48" s="328">
        <v>17.760204051055746702723966340</v>
      </c>
      <c r="Z48" s="327">
        <v>-3.5957842528898376450791436100</v>
      </c>
      <c r="AA48" s="171">
        <v>3.3354090472178864595600044400</v>
      </c>
      <c r="AB48" s="328">
        <v>2.7930753328382419133843599900</v>
      </c>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row>
    <row r="49" ht="15.6" customHeight="1">
      <c r="A49" s="54"/>
      <c r="B49" s="22"/>
      <c r="C49" s="53" t="s">
        <v>31</v>
      </c>
      <c r="D49" s="364">
        <v>70.012626262626262626262626260</v>
      </c>
      <c r="E49" s="365">
        <v>70.686547696570727174520409330</v>
      </c>
      <c r="F49" s="366">
        <v>54.642738224006508955287751690</v>
      </c>
      <c r="G49" s="364">
        <v>12.815656565656565656565656570</v>
      </c>
      <c r="H49" s="365">
        <v>13.146524693148560402816171830</v>
      </c>
      <c r="I49" s="366">
        <v>14.017063253466881511963323280</v>
      </c>
      <c r="J49" s="365">
        <v>0</v>
      </c>
      <c r="K49" s="365">
        <v>0</v>
      </c>
      <c r="L49" s="366">
        <v>7.3546043891376685116527584800</v>
      </c>
      <c r="M49" s="364">
        <v>82.82828282828282828282828283</v>
      </c>
      <c r="N49" s="365">
        <v>83.83307238971928757733658115</v>
      </c>
      <c r="O49" s="366">
        <v>76.014405866611058978903833450</v>
      </c>
      <c r="P49" s="4"/>
      <c r="Q49" s="364">
        <v>-6.7675493905039723897681847900</v>
      </c>
      <c r="R49" s="365">
        <v>-2.8838520092927882169883980300</v>
      </c>
      <c r="S49" s="366">
        <v>-2.8116263599187703127497418400</v>
      </c>
      <c r="T49" s="364">
        <v>17.341040462612235624311159160</v>
      </c>
      <c r="U49" s="365">
        <v>40.486482842305882131863244240</v>
      </c>
      <c r="V49" s="366">
        <v>4.4230947743390342297962340700</v>
      </c>
      <c r="W49" s="365">
        <v>0</v>
      </c>
      <c r="X49" s="365">
        <v>-100</v>
      </c>
      <c r="Y49" s="366">
        <v>18.976087835548677332856780110</v>
      </c>
      <c r="Z49" s="364">
        <v>-3.7064220183327928356198947100</v>
      </c>
      <c r="AA49" s="365">
        <v>0.9711198350767311582391054700</v>
      </c>
      <c r="AB49" s="366">
        <v>0.2452293392296680388279814700</v>
      </c>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row>
    <row r="50" ht="9.95" customHeight="1">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row>
    <row r="51" ht="9.95" customHeight="1">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row>
    <row r="52" ht="24.95" customHeight="1">
      <c r="D52" s="650" t="s">
        <v>114</v>
      </c>
      <c r="E52" s="650"/>
      <c r="F52" s="650"/>
      <c r="G52" s="650"/>
      <c r="H52" s="650"/>
      <c r="I52" s="650"/>
      <c r="J52" s="650"/>
      <c r="K52" s="650"/>
      <c r="L52" s="650"/>
      <c r="M52" s="650"/>
      <c r="N52" s="650"/>
      <c r="O52" s="650"/>
      <c r="P52" s="650"/>
      <c r="Q52" s="650"/>
      <c r="R52" s="650"/>
      <c r="S52" s="650"/>
      <c r="T52" s="650"/>
      <c r="U52" s="650"/>
      <c r="V52" s="650"/>
      <c r="W52" s="650"/>
      <c r="X52" s="650"/>
      <c r="Y52" s="650"/>
      <c r="Z52" s="650"/>
      <c r="AA52" s="650"/>
      <c r="AB52" s="650"/>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row>
    <row r="53" ht="9.95" customHeight="1">
      <c r="A53" s="53"/>
      <c r="C53"/>
      <c r="Z53" s="80"/>
      <c r="AA53" s="242"/>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c r="BB70" s="244"/>
      <c r="BC70" s="244"/>
      <c r="BD70" s="244"/>
      <c r="BE70" s="244"/>
      <c r="BF70" s="244"/>
      <c r="BG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c r="AZ71" s="244"/>
      <c r="BA71" s="244"/>
      <c r="BB71" s="244"/>
      <c r="BC71" s="244"/>
      <c r="BD71" s="244"/>
      <c r="BE71" s="244"/>
      <c r="BF71" s="244"/>
      <c r="BG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c r="BB72" s="244"/>
      <c r="BC72" s="244"/>
      <c r="BD72" s="244"/>
      <c r="BE72" s="244"/>
      <c r="BF72" s="244"/>
      <c r="BG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c r="BB73" s="244"/>
      <c r="BC73" s="244"/>
      <c r="BD73" s="244"/>
      <c r="BE73" s="244"/>
      <c r="BF73" s="244"/>
      <c r="BG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c r="BB74" s="244"/>
      <c r="BC74" s="244"/>
      <c r="BD74" s="244"/>
      <c r="BE74" s="244"/>
      <c r="BF74" s="244"/>
      <c r="BG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row>
  </sheetData>
  <mergeCells count="12">
    <mergeCell ref="D8:F8"/>
    <mergeCell ref="M8:O8"/>
    <mergeCell ref="D52:AB52"/>
    <mergeCell ref="R4:AA4"/>
    <mergeCell ref="J8:L8"/>
    <mergeCell ref="G8:I8"/>
    <mergeCell ref="Q7:AB7"/>
    <mergeCell ref="D7:O7"/>
    <mergeCell ref="Q8:S8"/>
    <mergeCell ref="T8:V8"/>
    <mergeCell ref="W8:Y8"/>
    <mergeCell ref="Z8:AB8"/>
  </mergeCells>
  <phoneticPr fontId="0" type="noConversion"/>
  <printOptions horizontalCentered="1" verticalCentered="1"/>
  <pageMargins left="0.25" right="0.25" top="0.25" bottom="0.25" header="0.17" footer="0.28"/>
  <pageSetup scale="67" orientation="landscape" r:id="rId1"/>
  <headerFooter alignWithMargins="0">
    <oddHeader/>
    <oddFooter/>
  </headerFooter>
  <drawing r:id="rId41"/>
</worksheet>
</file>

<file path=xl/worksheets/sheet7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K113"/>
  <sheetViews>
    <sheetView showGridLines="0" zoomScale="65" workbookViewId="0"/>
  </sheetViews>
  <sheetFormatPr defaultRowHeight="12.75"/>
  <cols>
    <col min="1" max="1" width="1" customWidth="1"/>
    <col min="2" max="2" width="21.7109375" customWidth="1"/>
    <col min="3" max="30" width="8.28515625" customWidth="1"/>
    <col min="31" max="31" width="1.7109375" customWidth="1"/>
    <col min="32" max="34" width="8.28515625" style="1" customWidth="1"/>
    <col min="35" max="35" width="2" style="1" customWidth="1"/>
    <col min="36" max="39" width="9.28515625" style="1" bestFit="1" customWidth="1"/>
  </cols>
  <sheetData>
    <row r="1" ht="36" customHeight="1">
      <c r="A1" s="6"/>
      <c r="B1" s="39" t="s">
        <v>150</v>
      </c>
      <c r="AF1"/>
      <c r="AG1"/>
      <c r="AH1"/>
      <c r="AI1"/>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row>
    <row r="2" ht="17.1" customHeight="1">
      <c r="A2" s="5"/>
      <c r="B2" s="10" t="s">
        <v>168</v>
      </c>
      <c r="AF2"/>
      <c r="AG2" s="216"/>
      <c r="AH2"/>
      <c r="AI2"/>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row>
    <row r="3" ht="17.1" customHeight="1">
      <c r="A3" s="5"/>
      <c r="B3" s="10" t="s">
        <v>181</v>
      </c>
      <c r="AF3"/>
      <c r="AG3"/>
      <c r="AH3"/>
      <c r="AI3"/>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row>
    <row r="4" ht="17.1" customHeight="1">
      <c r="A4" s="5"/>
      <c r="B4" s="4" t="s">
        <v>182</v>
      </c>
      <c r="R4" s="715" t="s">
        <v>184</v>
      </c>
      <c r="S4" s="715"/>
      <c r="T4" s="715"/>
      <c r="U4" s="715"/>
      <c r="V4" s="715"/>
      <c r="W4" s="715"/>
      <c r="X4" s="715"/>
      <c r="Y4" s="715"/>
      <c r="Z4" s="715"/>
      <c r="AA4" s="715"/>
      <c r="AB4" s="715"/>
      <c r="AC4" s="715"/>
      <c r="AD4" s="715"/>
      <c r="AE4" s="715"/>
      <c r="AF4" s="715"/>
      <c r="AG4" s="715"/>
      <c r="AH4"/>
      <c r="AI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row>
    <row r="5" ht="23.25">
      <c r="A5" s="5"/>
      <c r="AF5"/>
      <c r="AG5"/>
      <c r="AH5"/>
      <c r="AI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row>
    <row r="6" ht="23.25">
      <c r="A6" s="5"/>
      <c r="AF6"/>
      <c r="AG6"/>
      <c r="AH6"/>
      <c r="AI6"/>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row>
    <row r="7" ht="23.25">
      <c r="A7" s="5"/>
      <c r="Y7" s="26"/>
      <c r="Z7" s="26"/>
      <c r="AA7" s="26"/>
      <c r="AB7" s="26"/>
      <c r="AC7" s="26"/>
      <c r="AF7"/>
      <c r="AG7"/>
      <c r="AH7"/>
      <c r="AI7"/>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row>
    <row r="8" ht="23.25">
      <c r="A8" s="5"/>
      <c r="AF8"/>
      <c r="AG8"/>
      <c r="AH8"/>
      <c r="AI8"/>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row>
    <row r="9" ht="23.25">
      <c r="A9" s="5"/>
      <c r="AF9"/>
      <c r="AG9"/>
      <c r="AH9"/>
      <c r="AI9"/>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row>
    <row r="10" ht="23.25">
      <c r="A10" s="5"/>
      <c r="AF10"/>
      <c r="AG10"/>
      <c r="AH10"/>
      <c r="AI10"/>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row>
    <row r="11" ht="23.25">
      <c r="A11" s="5"/>
      <c r="AF11"/>
      <c r="AG11"/>
      <c r="AH11"/>
      <c r="AI11"/>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row>
    <row r="12" ht="23.25">
      <c r="A12" s="5"/>
      <c r="AF12"/>
      <c r="AG12"/>
      <c r="AH12"/>
      <c r="AI12"/>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row>
    <row r="13" ht="23.25">
      <c r="A13" s="5"/>
      <c r="AF13"/>
      <c r="AG13"/>
      <c r="AH13"/>
      <c r="AI13"/>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row>
    <row r="14" ht="23.25">
      <c r="A14" s="5"/>
      <c r="AF14"/>
      <c r="AG14"/>
      <c r="AH14"/>
      <c r="AI1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row>
    <row r="15" ht="23.25">
      <c r="A15" s="5"/>
      <c r="AF15"/>
      <c r="AG15"/>
      <c r="AH15"/>
      <c r="AI1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row>
    <row r="16" ht="23.25">
      <c r="A16" s="5"/>
      <c r="AF16"/>
      <c r="AG16"/>
      <c r="AH16"/>
      <c r="AI16"/>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row>
    <row r="17" ht="23.25">
      <c r="A17" s="5"/>
      <c r="AF17"/>
      <c r="AG17"/>
      <c r="AH17"/>
      <c r="AI17"/>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row>
    <row r="18" ht="23.25">
      <c r="A18" s="5"/>
      <c r="AF18"/>
      <c r="AG18"/>
      <c r="AH18"/>
      <c r="AI18"/>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row>
    <row r="19" ht="23.25">
      <c r="A19" s="5"/>
      <c r="AF19"/>
      <c r="AG19"/>
      <c r="AH19"/>
      <c r="AI19"/>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row>
    <row r="20" ht="11.25" customHeight="1">
      <c r="A20" s="5"/>
      <c r="AF20"/>
      <c r="AG20"/>
      <c r="AH20"/>
      <c r="AI20"/>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row>
    <row r="21" ht="20.1" customHeight="1" thickBot="1">
      <c r="AF21"/>
      <c r="AG21"/>
      <c r="AH21"/>
      <c r="AI2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row>
    <row r="22" ht="18" customHeight="1">
      <c r="A22" s="8"/>
      <c r="B22" s="29"/>
      <c r="X22" s="716" t="s">
        <v>72</v>
      </c>
      <c r="Y22" s="716"/>
      <c r="Z22" s="716"/>
      <c r="AA22" s="716"/>
      <c r="AB22" s="716"/>
      <c r="AC22" s="716"/>
      <c r="AD22" s="716"/>
      <c r="AF22"/>
      <c r="AG22"/>
      <c r="AH22"/>
      <c r="AI22"/>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c r="BK23" s="262"/>
    </row>
    <row r="24" s="41" customFormat="1" ht="18">
      <c r="B24" s="418" t="s">
        <v>12</v>
      </c>
      <c r="C24" s="275" t="s">
        <v>186</v>
      </c>
      <c r="D24" s="276"/>
      <c r="E24" s="276"/>
      <c r="F24" s="276"/>
      <c r="G24" s="658" t="s">
        <v>183</v>
      </c>
      <c r="H24" s="276"/>
      <c r="I24" s="276"/>
      <c r="J24" s="276"/>
      <c r="K24" s="276"/>
      <c r="L24" s="276"/>
      <c r="M24" s="276"/>
      <c r="N24" s="276"/>
      <c r="O24" s="276"/>
      <c r="P24" s="276"/>
      <c r="Q24" s="276"/>
      <c r="R24" s="276"/>
      <c r="S24" s="277"/>
      <c r="T24" s="277"/>
      <c r="U24" s="277"/>
      <c r="V24" s="277"/>
      <c r="W24" s="277"/>
      <c r="X24" s="312"/>
      <c r="Y24" s="277"/>
      <c r="Z24" s="277"/>
      <c r="AA24" s="277"/>
      <c r="AB24" s="277"/>
      <c r="AC24" s="277"/>
      <c r="AD24" s="336"/>
      <c r="AE24" s="25"/>
      <c r="AF24" s="316" t="s">
        <v>58</v>
      </c>
      <c r="AG24" s="317" t="s">
        <v>59</v>
      </c>
      <c r="AH24" s="318" t="s">
        <v>59</v>
      </c>
      <c r="AI24" s="25"/>
      <c r="AJ24" s="248"/>
      <c r="AK24" s="248"/>
      <c r="AL24" s="248"/>
      <c r="AM24" s="248"/>
      <c r="AN24" s="253"/>
      <c r="AO24" s="253"/>
      <c r="AP24" s="253"/>
      <c r="AQ24" s="253"/>
      <c r="AR24" s="253"/>
      <c r="AS24" s="253"/>
      <c r="AT24" s="253"/>
      <c r="AU24" s="253"/>
      <c r="AV24" s="253"/>
      <c r="AW24" s="253"/>
      <c r="AX24" s="253"/>
      <c r="AY24" s="253"/>
      <c r="AZ24" s="253"/>
      <c r="BA24" s="253"/>
      <c r="BB24" s="253"/>
      <c r="BC24" s="253"/>
      <c r="BD24" s="253"/>
      <c r="BE24" s="253"/>
      <c r="BF24" s="253"/>
      <c r="BG24" s="253"/>
      <c r="BH24" s="253"/>
      <c r="BI24" s="253"/>
      <c r="BJ24" s="253"/>
      <c r="BK24" s="253"/>
    </row>
    <row r="25" s="42" customFormat="1">
      <c r="C25" s="284">
        <v>27</v>
      </c>
      <c r="D25">
        <v>28</v>
      </c>
      <c r="E25">
        <v>29</v>
      </c>
      <c r="F25">
        <v>30</v>
      </c>
      <c r="G25" s="717">
        <v>1</v>
      </c>
      <c r="H25">
        <v>2</v>
      </c>
      <c r="I25">
        <v>3</v>
      </c>
      <c r="J25">
        <v>4</v>
      </c>
      <c r="K25">
        <v>5</v>
      </c>
      <c r="L25">
        <v>6</v>
      </c>
      <c r="M25">
        <v>7</v>
      </c>
      <c r="N25">
        <v>8</v>
      </c>
      <c r="O25">
        <v>9</v>
      </c>
      <c r="P25">
        <v>10</v>
      </c>
      <c r="Q25">
        <v>11</v>
      </c>
      <c r="R25">
        <v>12</v>
      </c>
      <c r="S25">
        <v>13</v>
      </c>
      <c r="T25">
        <v>14</v>
      </c>
      <c r="U25">
        <v>15</v>
      </c>
      <c r="V25">
        <v>16</v>
      </c>
      <c r="W25">
        <v>17</v>
      </c>
      <c r="X25" s="323">
        <v>18</v>
      </c>
      <c r="Y25">
        <v>19</v>
      </c>
      <c r="Z25">
        <v>20</v>
      </c>
      <c r="AA25">
        <v>21</v>
      </c>
      <c r="AB25">
        <v>22</v>
      </c>
      <c r="AC25">
        <v>23</v>
      </c>
      <c r="AD25" s="337">
        <v>24</v>
      </c>
      <c r="AE25" s="25"/>
      <c r="AF25" s="324" t="s">
        <v>60</v>
      </c>
      <c r="AG25" s="325">
        <v>28</v>
      </c>
      <c r="AH25" s="326" t="s">
        <v>31</v>
      </c>
      <c r="AI25" s="25"/>
      <c r="AJ25" s="248"/>
      <c r="AK25" s="248"/>
      <c r="AL25" s="248"/>
      <c r="AM25" s="248"/>
      <c r="AN25" s="254"/>
      <c r="AO25" s="254"/>
      <c r="AP25" s="254"/>
      <c r="AQ25" s="254"/>
      <c r="AR25" s="254"/>
      <c r="AS25" s="254"/>
      <c r="AT25" s="254"/>
      <c r="AU25" s="254"/>
      <c r="AV25" s="254"/>
      <c r="AW25" s="254"/>
      <c r="AX25" s="254"/>
      <c r="AY25" s="254"/>
      <c r="AZ25" s="254"/>
      <c r="BA25" s="254"/>
      <c r="BB25" s="254"/>
      <c r="BC25" s="254"/>
      <c r="BD25" s="254"/>
      <c r="BE25" s="254"/>
      <c r="BF25" s="254"/>
      <c r="BG25" s="254"/>
      <c r="BH25" s="254"/>
      <c r="BI25" s="254"/>
      <c r="BJ25" s="254"/>
      <c r="BK25" s="254"/>
    </row>
    <row r="26" ht="14.25" customHeight="1">
      <c r="B26" s="46" t="s">
        <v>32</v>
      </c>
      <c r="C26" s="461">
        <v>248.25925925925925925925925926</v>
      </c>
      <c r="D26" s="462">
        <v>285.42741935483870967741935484</v>
      </c>
      <c r="E26" s="462">
        <v>311.484375000</v>
      </c>
      <c r="F26" s="462">
        <v>267.27777777777777777777777778</v>
      </c>
      <c r="G26" s="673">
        <v>297.04838709677419354838709677</v>
      </c>
      <c r="H26" s="462">
        <v>420.132812500</v>
      </c>
      <c r="I26" s="462">
        <v>408.95419847328244274809160305</v>
      </c>
      <c r="J26" s="462">
        <v>289.93023255813953488372093023</v>
      </c>
      <c r="K26" s="462">
        <v>191.56470588235294117647058824</v>
      </c>
      <c r="L26" s="462">
        <v>173.10294117647058823529411765</v>
      </c>
      <c r="M26" s="462">
        <v>185.79816513761467889908256881</v>
      </c>
      <c r="N26" s="462">
        <v>208.4867256637168141592920354</v>
      </c>
      <c r="O26" s="462">
        <v>277.38095238095238095238095238</v>
      </c>
      <c r="P26" s="462">
        <v>262.84070796460176991150442478</v>
      </c>
      <c r="Q26" s="462">
        <v>165.72727272727272727272727273</v>
      </c>
      <c r="R26" s="462">
        <v>148.4047619047619047619047619</v>
      </c>
      <c r="S26" s="462">
        <v>159.23913043478260869565217391</v>
      </c>
      <c r="T26" s="462">
        <v>152.77659574468085106382978723</v>
      </c>
      <c r="U26" s="462">
        <v>168.46728971962616822429906542</v>
      </c>
      <c r="V26" s="462">
        <v>260.22807017543859649122807018</v>
      </c>
      <c r="W26" s="462">
        <v>288.45669291338582677165354331</v>
      </c>
      <c r="X26" s="463">
        <v>193.83898305084745762711864407</v>
      </c>
      <c r="Y26" s="462">
        <v>194.1680672268907563025210084</v>
      </c>
      <c r="Z26" s="462">
        <v>202.45762711864406779661016949</v>
      </c>
      <c r="AA26" s="462">
        <v>183.62698412698412698412698413</v>
      </c>
      <c r="AB26" s="462">
        <v>188.01587301587301587301587302</v>
      </c>
      <c r="AC26" s="462">
        <v>245.53608247422680412371134021</v>
      </c>
      <c r="AD26" s="464">
        <v>275.00833333333333333333333333</v>
      </c>
      <c r="AE26" s="465"/>
      <c r="AF26" s="461">
        <v>210.57524271844660194174757282</v>
      </c>
      <c r="AG26" s="462">
        <v>244.40707395498392282958199357</v>
      </c>
      <c r="AH26" s="466">
        <v>237.93978658536585365853658537</v>
      </c>
      <c r="AI26"/>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row>
    <row r="27" ht="14.25" customHeight="1">
      <c r="B27" s="47" t="s">
        <v>26</v>
      </c>
      <c r="C27" s="370">
        <v>252.23926666666666666666666667</v>
      </c>
      <c r="D27" s="85">
        <v>308.74</v>
      </c>
      <c r="E27" s="85">
        <v>326.95688492063492063492063492</v>
      </c>
      <c r="F27" s="85">
        <v>332.71536940686784599375650364</v>
      </c>
      <c r="G27" s="674">
        <v>301.69745762711864406779661017</v>
      </c>
      <c r="H27" s="85">
        <v>397.13426853707414829659318637</v>
      </c>
      <c r="I27" s="85">
        <v>393.97708129285014691478942214</v>
      </c>
      <c r="J27" s="85">
        <v>266.29779816513761467889908257</v>
      </c>
      <c r="K27" s="85">
        <v>179.39512953367875647668393783</v>
      </c>
      <c r="L27" s="85">
        <v>190.80512376237623762376237624</v>
      </c>
      <c r="M27" s="85">
        <v>186.50608272506082725060827251</v>
      </c>
      <c r="N27" s="85">
        <v>197.38684210526315789473684211</v>
      </c>
      <c r="O27" s="85">
        <v>235.39977349943374858437146092</v>
      </c>
      <c r="P27" s="85">
        <v>225.05730994152046783625730994</v>
      </c>
      <c r="Q27" s="85">
        <v>170.22065088757396449704142011</v>
      </c>
      <c r="R27" s="85">
        <v>170.1608</v>
      </c>
      <c r="S27" s="85">
        <v>179.76164102564102564102564104</v>
      </c>
      <c r="T27" s="85">
        <v>174.02925598991172761664564943</v>
      </c>
      <c r="U27" s="85">
        <v>181.7335792019347037484885127</v>
      </c>
      <c r="V27" s="85">
        <v>244.81427038626609442060085837</v>
      </c>
      <c r="W27" s="85">
        <v>266.43615307150050352467270894</v>
      </c>
      <c r="X27" s="86">
        <v>228.80210412147505422993492405</v>
      </c>
      <c r="Y27" s="85">
        <v>239.36508269018743109151047409</v>
      </c>
      <c r="Z27" s="85">
        <v>240.36346985210466439135381115</v>
      </c>
      <c r="AA27" s="85">
        <v>218.13674019607843137254901961</v>
      </c>
      <c r="AB27" s="85">
        <v>217.12516014234875444839857651</v>
      </c>
      <c r="AC27" s="85">
        <v>241.01570621468926553672316384</v>
      </c>
      <c r="AD27" s="87">
        <v>270.29382716049382716049382717</v>
      </c>
      <c r="AE27" s="169"/>
      <c r="AF27" s="370">
        <v>237.39520525492286117164268923</v>
      </c>
      <c r="AG27" s="85">
        <v>249.73728371406926777699417068</v>
      </c>
      <c r="AH27" s="371">
        <v>239.19408140976504707170233919</v>
      </c>
      <c r="AI27"/>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row>
    <row r="28" ht="14.25" customHeight="1">
      <c r="A28" s="24"/>
      <c r="B28" s="49" t="s">
        <v>185</v>
      </c>
      <c r="C28" s="467">
        <v>238.97769095034030753718174943</v>
      </c>
      <c r="D28" s="468">
        <v>269.46395280235988200589970501</v>
      </c>
      <c r="E28" s="468">
        <v>280.38212775682779110958747572</v>
      </c>
      <c r="F28" s="468">
        <v>265.43899066712754925682682337</v>
      </c>
      <c r="G28" s="675">
        <v>285.45558252427184466019417476</v>
      </c>
      <c r="H28" s="468">
        <v>327.43658672615727830451756832</v>
      </c>
      <c r="I28" s="468">
        <v>346.25260159929893745207580239</v>
      </c>
      <c r="J28" s="468">
        <v>268.1900944006207164101900944</v>
      </c>
      <c r="K28" s="468">
        <v>207.9854346836595357305416477</v>
      </c>
      <c r="L28" s="468">
        <v>206.61018272684679056692175543</v>
      </c>
      <c r="M28" s="468">
        <v>214.78983050847457627118644068</v>
      </c>
      <c r="N28" s="468">
        <v>228.08390296206942769065808873</v>
      </c>
      <c r="O28" s="468">
        <v>229.53949129852744310575635877</v>
      </c>
      <c r="P28" s="468">
        <v>224.55132044650149741355839913</v>
      </c>
      <c r="Q28" s="468">
        <v>186.62632287858379834519915336</v>
      </c>
      <c r="R28" s="468">
        <v>194.66908783783783783783783784</v>
      </c>
      <c r="S28" s="468">
        <v>201.01710587147480351363846509</v>
      </c>
      <c r="T28" s="468">
        <v>203.77492006117058251077436396</v>
      </c>
      <c r="U28" s="468">
        <v>206.79348849724202879052872326</v>
      </c>
      <c r="V28" s="468">
        <v>229.93394296715196727228973649</v>
      </c>
      <c r="W28" s="468">
        <v>226.72153569286142771445710858</v>
      </c>
      <c r="X28" s="469">
        <v>196.92536416879411323021474696</v>
      </c>
      <c r="Y28" s="468">
        <v>198.88032116346008180578700197</v>
      </c>
      <c r="Z28" s="468">
        <v>197.78567181926278240190249703</v>
      </c>
      <c r="AA28" s="468">
        <v>193.30356607731495355109379682</v>
      </c>
      <c r="AB28" s="468">
        <v>190.14291725105189340813464236</v>
      </c>
      <c r="AC28" s="468">
        <v>213.32176077557971963841215774</v>
      </c>
      <c r="AD28" s="470">
        <v>234.34187434187434187434187434</v>
      </c>
      <c r="AE28" s="465"/>
      <c r="AF28" s="467">
        <v>204.75204114304010245737613063</v>
      </c>
      <c r="AG28" s="468">
        <v>235.32563741547420646323008256</v>
      </c>
      <c r="AH28" s="471">
        <v>229.75940287930137792688014722</v>
      </c>
      <c r="AI28"/>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row>
    <row r="29" ht="14.25">
      <c r="A29" s="24"/>
      <c r="B29" s="53"/>
      <c r="C29" s="489"/>
      <c r="D29" s="489"/>
      <c r="E29" s="489"/>
      <c r="F29" s="489"/>
      <c r="G29" s="489"/>
      <c r="H29" s="489"/>
      <c r="I29" s="489"/>
      <c r="J29" s="489"/>
      <c r="K29" s="489"/>
      <c r="L29" s="489"/>
      <c r="M29" s="489"/>
      <c r="N29" s="489"/>
      <c r="O29" s="489"/>
      <c r="P29" s="489"/>
      <c r="Q29" s="489"/>
      <c r="R29" s="489"/>
      <c r="S29" s="489"/>
      <c r="T29" s="489"/>
      <c r="U29" s="489"/>
      <c r="V29" s="489"/>
      <c r="W29" s="489"/>
      <c r="X29" s="490"/>
      <c r="Y29" s="489"/>
      <c r="Z29" s="489"/>
      <c r="AA29" s="489"/>
      <c r="AB29" s="489"/>
      <c r="AC29" s="489"/>
      <c r="AD29" s="491"/>
      <c r="AE29" s="169"/>
      <c r="AF29" s="489"/>
      <c r="AG29" s="489"/>
      <c r="AH29" s="489"/>
      <c r="AI29"/>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row>
    <row r="30" ht="0" hidden="1" customHeight="1">
      <c r="A30" s="24"/>
      <c r="B30" s="236" t="s">
        <v>82</v>
      </c>
      <c r="C30" s="367"/>
      <c r="D30" s="368"/>
      <c r="E30" s="368"/>
      <c r="F30" s="368"/>
      <c r="G30" s="368"/>
      <c r="H30" s="368"/>
      <c r="I30" s="368"/>
      <c r="J30" s="368"/>
      <c r="K30" s="368"/>
      <c r="L30" s="368"/>
      <c r="M30" s="368"/>
      <c r="N30" s="368"/>
      <c r="O30" s="368"/>
      <c r="P30" s="368"/>
      <c r="Q30" s="368"/>
      <c r="R30" s="368"/>
      <c r="S30" s="368"/>
      <c r="T30" s="368"/>
      <c r="U30" s="368"/>
      <c r="V30" s="368"/>
      <c r="W30" s="368"/>
      <c r="X30" s="369"/>
      <c r="Y30" s="368"/>
      <c r="Z30" s="368"/>
      <c r="AA30" s="368"/>
      <c r="AB30" s="368"/>
      <c r="AC30" s="368"/>
      <c r="AD30" s="372"/>
      <c r="AE30" s="169"/>
      <c r="AF30" s="489"/>
      <c r="AG30" s="489"/>
      <c r="AH30" s="489"/>
      <c r="AI30"/>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row>
    <row r="31" ht="0" hidden="1" customHeight="1">
      <c r="B31" s="4"/>
      <c r="X31" s="27"/>
      <c r="AD31" s="28"/>
      <c r="AF31" s="22"/>
      <c r="AG31" s="22"/>
      <c r="AH31" s="22"/>
      <c r="AI31"/>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c r="BK31" s="244"/>
    </row>
    <row r="32" ht="18">
      <c r="B32" s="29"/>
      <c r="X32" s="27"/>
      <c r="AD32" s="28"/>
      <c r="AF32" s="22"/>
      <c r="AG32" s="22"/>
      <c r="AH32" s="22"/>
      <c r="AI32"/>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c r="BK32" s="244"/>
    </row>
    <row r="33" s="41" customFormat="1" ht="18">
      <c r="B33" s="418" t="s">
        <v>78</v>
      </c>
      <c r="C33" s="275" t="s">
        <v>186</v>
      </c>
      <c r="D33" s="276"/>
      <c r="E33" s="276"/>
      <c r="F33" s="276"/>
      <c r="G33" s="658" t="s">
        <v>183</v>
      </c>
      <c r="H33" s="276"/>
      <c r="I33" s="276"/>
      <c r="J33" s="276"/>
      <c r="K33" s="276"/>
      <c r="L33" s="276"/>
      <c r="M33" s="276"/>
      <c r="N33" s="276"/>
      <c r="O33" s="276"/>
      <c r="P33" s="276"/>
      <c r="Q33" s="276"/>
      <c r="R33" s="276"/>
      <c r="S33" s="277"/>
      <c r="T33" s="277"/>
      <c r="U33" s="277"/>
      <c r="V33" s="277"/>
      <c r="W33" s="277"/>
      <c r="X33" s="312"/>
      <c r="Y33" s="277"/>
      <c r="Z33" s="277"/>
      <c r="AA33" s="277"/>
      <c r="AB33" s="277"/>
      <c r="AC33" s="277"/>
      <c r="AD33" s="336"/>
      <c r="AE33" s="25"/>
      <c r="AF33" s="316" t="s">
        <v>58</v>
      </c>
      <c r="AG33" s="317" t="s">
        <v>59</v>
      </c>
      <c r="AH33" s="318" t="s">
        <v>59</v>
      </c>
      <c r="AI33" s="25"/>
      <c r="AJ33" s="248"/>
      <c r="AK33" s="248"/>
      <c r="AL33" s="248"/>
      <c r="AM33" s="248"/>
      <c r="AN33" s="253"/>
      <c r="AO33" s="253"/>
      <c r="AP33" s="253"/>
      <c r="AQ33" s="253"/>
      <c r="AR33" s="253"/>
      <c r="AS33" s="253"/>
      <c r="AT33" s="253"/>
      <c r="AU33" s="253"/>
      <c r="AV33" s="253"/>
      <c r="AW33" s="253"/>
      <c r="AX33" s="253"/>
      <c r="AY33" s="253"/>
      <c r="AZ33" s="253"/>
      <c r="BA33" s="253"/>
      <c r="BB33" s="253"/>
      <c r="BC33" s="253"/>
      <c r="BD33" s="253"/>
      <c r="BE33" s="253"/>
      <c r="BF33" s="253"/>
      <c r="BG33" s="253"/>
      <c r="BH33" s="253"/>
      <c r="BI33" s="253"/>
      <c r="BJ33" s="253"/>
      <c r="BK33" s="253"/>
    </row>
    <row r="34" s="42" customFormat="1">
      <c r="C34" s="284">
        <v>27</v>
      </c>
      <c r="D34">
        <v>28</v>
      </c>
      <c r="E34">
        <v>29</v>
      </c>
      <c r="F34">
        <v>30</v>
      </c>
      <c r="G34" s="717">
        <v>1</v>
      </c>
      <c r="H34">
        <v>2</v>
      </c>
      <c r="I34">
        <v>3</v>
      </c>
      <c r="J34">
        <v>4</v>
      </c>
      <c r="K34">
        <v>5</v>
      </c>
      <c r="L34">
        <v>6</v>
      </c>
      <c r="M34">
        <v>7</v>
      </c>
      <c r="N34">
        <v>8</v>
      </c>
      <c r="O34">
        <v>9</v>
      </c>
      <c r="P34">
        <v>10</v>
      </c>
      <c r="Q34">
        <v>11</v>
      </c>
      <c r="R34">
        <v>12</v>
      </c>
      <c r="S34">
        <v>13</v>
      </c>
      <c r="T34">
        <v>14</v>
      </c>
      <c r="U34">
        <v>15</v>
      </c>
      <c r="V34">
        <v>16</v>
      </c>
      <c r="W34">
        <v>17</v>
      </c>
      <c r="X34" s="323">
        <v>18</v>
      </c>
      <c r="Y34">
        <v>19</v>
      </c>
      <c r="Z34">
        <v>20</v>
      </c>
      <c r="AA34">
        <v>21</v>
      </c>
      <c r="AB34">
        <v>22</v>
      </c>
      <c r="AC34">
        <v>23</v>
      </c>
      <c r="AD34" s="337">
        <v>24</v>
      </c>
      <c r="AE34" s="25"/>
      <c r="AF34" s="324" t="s">
        <v>60</v>
      </c>
      <c r="AG34" s="325">
        <v>28</v>
      </c>
      <c r="AH34" s="326" t="s">
        <v>31</v>
      </c>
      <c r="AI34" s="25"/>
      <c r="AJ34" s="248"/>
      <c r="AK34" s="248"/>
      <c r="AL34" s="248"/>
      <c r="AM34" s="248"/>
      <c r="AN34" s="254"/>
      <c r="AO34" s="254"/>
      <c r="AP34" s="254"/>
      <c r="AQ34" s="254"/>
      <c r="AR34" s="254"/>
      <c r="AS34" s="254"/>
      <c r="AT34" s="254"/>
      <c r="AU34" s="254"/>
      <c r="AV34" s="254"/>
      <c r="AW34" s="254"/>
      <c r="AX34" s="254"/>
      <c r="AY34" s="254"/>
      <c r="AZ34" s="254"/>
      <c r="BA34" s="254"/>
      <c r="BB34" s="254"/>
      <c r="BC34" s="254"/>
      <c r="BD34" s="254"/>
      <c r="BE34" s="254"/>
      <c r="BF34" s="254"/>
      <c r="BG34" s="254"/>
      <c r="BH34" s="254"/>
      <c r="BI34" s="254"/>
      <c r="BJ34" s="254"/>
      <c r="BK34" s="254"/>
    </row>
    <row r="35" ht="14.25" customHeight="1">
      <c r="B35" s="46" t="s">
        <v>32</v>
      </c>
      <c r="C35" s="444">
        <v>18.044395298346388832166190340</v>
      </c>
      <c r="D35" s="445">
        <v>39.668478907793841615267961070</v>
      </c>
      <c r="E35" s="445">
        <v>53.888258091494352817341186950</v>
      </c>
      <c r="F35" s="445">
        <v>36.019225332202431439072660450</v>
      </c>
      <c r="G35" s="660">
        <v>-18.605541339827349489056864450</v>
      </c>
      <c r="H35" s="445">
        <v>-7.643786637713167064868609800</v>
      </c>
      <c r="I35" s="445">
        <v>-11.568365670199479265071261270</v>
      </c>
      <c r="J35" s="445">
        <v>-27.102415697730294398365331180</v>
      </c>
      <c r="K35" s="445">
        <v>7.2720285479295284184869419500</v>
      </c>
      <c r="L35" s="445">
        <v>-10.759358288763481092656750470</v>
      </c>
      <c r="M35" s="445">
        <v>-10.130151130147710847990950290</v>
      </c>
      <c r="N35" s="445">
        <v>5.3743199729271664520023846900</v>
      </c>
      <c r="O35" s="445">
        <v>-1.3866184180593690648129043900</v>
      </c>
      <c r="P35" s="445">
        <v>-1.3763968908889604831385067200</v>
      </c>
      <c r="Q35" s="445">
        <v>-11.632612200610776502651407250</v>
      </c>
      <c r="R35" s="445">
        <v>-3.5437944908428317595301016900</v>
      </c>
      <c r="S35" s="445">
        <v>4.4851024403320540846857472300</v>
      </c>
      <c r="T35" s="445">
        <v>-1.8758533016759899506322162300</v>
      </c>
      <c r="U35" s="445">
        <v>-13.524714237416830599227164150</v>
      </c>
      <c r="V35" s="445">
        <v>0.8741602565764204145926959900</v>
      </c>
      <c r="W35" s="445">
        <v>3.7990806759759846514002311900</v>
      </c>
      <c r="X35" s="446">
        <v>2.7348495212432164566381889200</v>
      </c>
      <c r="Y35" s="445">
        <v>30.149893242918501765251645500</v>
      </c>
      <c r="Z35" s="445">
        <v>52.093087554234426002223326040</v>
      </c>
      <c r="AA35" s="445">
        <v>28.084770158360033982627156980</v>
      </c>
      <c r="AB35" s="445">
        <v>18.839373712704043760919382560</v>
      </c>
      <c r="AC35" s="445">
        <v>5.1488658888293241654974514400</v>
      </c>
      <c r="AD35" s="447">
        <v>3.1910463697184421786804367700</v>
      </c>
      <c r="AE35" s="448"/>
      <c r="AF35" s="444">
        <v>15.177086755297531024134062630</v>
      </c>
      <c r="AG35" s="445">
        <v>4.4180046509130757163499552500</v>
      </c>
      <c r="AH35" s="449">
        <v>0.5952873164071157629201997900</v>
      </c>
      <c r="AI35"/>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row>
    <row r="36" ht="14.25" customHeight="1">
      <c r="B36" s="47" t="s">
        <v>26</v>
      </c>
      <c r="C36" s="327">
        <v>18.638053578422025263062124500</v>
      </c>
      <c r="D36" s="81">
        <v>57.748535558296518762358440040</v>
      </c>
      <c r="E36" s="81">
        <v>70.602431317376797184219190190</v>
      </c>
      <c r="F36" s="81">
        <v>53.050971469503813601280777790</v>
      </c>
      <c r="G36" s="661">
        <v>-0.3157416401472670514763234500</v>
      </c>
      <c r="H36" s="81">
        <v>-0.2071188270450100043163516500</v>
      </c>
      <c r="I36" s="81">
        <v>2.8659438264235232130815976600</v>
      </c>
      <c r="J36" s="81">
        <v>-15.283902716147765786352564210</v>
      </c>
      <c r="K36" s="81">
        <v>-11.692572853850986173548967930</v>
      </c>
      <c r="L36" s="81">
        <v>-1.6592852345732348134825579200</v>
      </c>
      <c r="M36" s="81">
        <v>-0.2104544128855724531502003100</v>
      </c>
      <c r="N36" s="81">
        <v>8.557840380773868048909108630</v>
      </c>
      <c r="O36" s="81">
        <v>2.6847517508045040951763238400</v>
      </c>
      <c r="P36" s="81">
        <v>-1.0010969239710437369633416300</v>
      </c>
      <c r="Q36" s="81">
        <v>-4.1445510449607536468854687700</v>
      </c>
      <c r="R36" s="81">
        <v>-6.741359274196227923298471800</v>
      </c>
      <c r="S36" s="81">
        <v>-8.763190762120056311346296820</v>
      </c>
      <c r="T36" s="81">
        <v>-4.8698122586749518512821301900</v>
      </c>
      <c r="U36" s="81">
        <v>-8.481991595548638033047871470</v>
      </c>
      <c r="V36" s="81">
        <v>-3.492978271615887123815432900</v>
      </c>
      <c r="W36" s="81">
        <v>1.2888371952153550600570189300</v>
      </c>
      <c r="X36" s="82">
        <v>31.210644377844816105170549220</v>
      </c>
      <c r="Y36" s="81">
        <v>42.084745364259447954136750990</v>
      </c>
      <c r="Z36" s="81">
        <v>46.515630851085133606926497380</v>
      </c>
      <c r="AA36" s="81">
        <v>43.054481642227023776262516930</v>
      </c>
      <c r="AB36" s="81">
        <v>9.039470347892717490905758960</v>
      </c>
      <c r="AC36" s="81">
        <v>-9.854062107420548786763759240</v>
      </c>
      <c r="AD36" s="83">
        <v>-10.482718870084294683271960840</v>
      </c>
      <c r="AE36" s="88"/>
      <c r="AF36" s="327">
        <v>14.198200462332479174993734660</v>
      </c>
      <c r="AG36" s="81">
        <v>8.515862154727984890692608280</v>
      </c>
      <c r="AH36" s="328">
        <v>3.9406566313032379617603418100</v>
      </c>
      <c r="AI36"/>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c r="BK36" s="244"/>
    </row>
    <row r="37" ht="14.25" customHeight="1">
      <c r="A37" s="24"/>
      <c r="B37" s="49" t="s">
        <v>185</v>
      </c>
      <c r="C37" s="450">
        <v>5.9658298927888029846474207600</v>
      </c>
      <c r="D37" s="451">
        <v>15.276168032289406711044783640</v>
      </c>
      <c r="E37" s="451">
        <v>17.443933770330888165260761730</v>
      </c>
      <c r="F37" s="451">
        <v>13.050716780563929720899643760</v>
      </c>
      <c r="G37" s="662">
        <v>3.0488647524396100333251346100</v>
      </c>
      <c r="H37" s="451">
        <v>-3.1787710833697164835347548700</v>
      </c>
      <c r="I37" s="451">
        <v>2.261116179705005799017409300</v>
      </c>
      <c r="J37" s="451">
        <v>-6.5789141707016189159927414400</v>
      </c>
      <c r="K37" s="451">
        <v>-6.2727531470473605343944598500</v>
      </c>
      <c r="L37" s="451">
        <v>-4.1148726145950780202884622800</v>
      </c>
      <c r="M37" s="451">
        <v>-0.4700370553185834951649993700</v>
      </c>
      <c r="N37" s="451">
        <v>7.2583577335922920890111126900</v>
      </c>
      <c r="O37" s="451">
        <v>-0.1533991890990098200190237400</v>
      </c>
      <c r="P37" s="451">
        <v>0.1931741114286224534999589500</v>
      </c>
      <c r="Q37" s="451">
        <v>0.2776270353172040724995801600</v>
      </c>
      <c r="R37" s="451">
        <v>2.2478870604357677078297341800</v>
      </c>
      <c r="S37" s="451">
        <v>1.3964436135615348876421496400</v>
      </c>
      <c r="T37" s="451">
        <v>3.9451602759710328399811822500</v>
      </c>
      <c r="U37" s="451">
        <v>1.827259691795307511809331100</v>
      </c>
      <c r="V37" s="451">
        <v>0.758501840965543143934138300</v>
      </c>
      <c r="W37" s="451">
        <v>-0.9869640478045057455973823200</v>
      </c>
      <c r="X37" s="452">
        <v>3.1905201662143469488623822600</v>
      </c>
      <c r="Y37" s="451">
        <v>3.4551998122261788970432630100</v>
      </c>
      <c r="Z37" s="451">
        <v>1.8683487617906800472776102300</v>
      </c>
      <c r="AA37" s="451">
        <v>2.9476800762358427595465209100</v>
      </c>
      <c r="AB37" s="451">
        <v>-1.7768664694577891547314400700</v>
      </c>
      <c r="AC37" s="451">
        <v>-4.8869259181652426601472199700</v>
      </c>
      <c r="AD37" s="453">
        <v>-3.7345559010669700345649277300</v>
      </c>
      <c r="AE37" s="448"/>
      <c r="AF37" s="450">
        <v>-0.4034512379666573696387947600</v>
      </c>
      <c r="AG37" s="451">
        <v>2.3777950193218862164787897300</v>
      </c>
      <c r="AH37" s="454">
        <v>0.3870473435776669043687190400</v>
      </c>
      <c r="AI37"/>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c r="BK37" s="244"/>
    </row>
    <row r="38" ht="13.5" customHeight="1">
      <c r="B38" s="40"/>
      <c r="C38" s="23"/>
      <c r="D38" s="23"/>
      <c r="E38" s="23"/>
      <c r="F38" s="23"/>
      <c r="G38" s="23"/>
      <c r="H38" s="23"/>
      <c r="I38" s="23"/>
      <c r="J38" s="23"/>
      <c r="K38" s="23"/>
      <c r="L38" s="23"/>
      <c r="M38" s="23"/>
      <c r="N38" s="23"/>
      <c r="O38" s="23"/>
      <c r="P38" s="23"/>
      <c r="Q38" s="23"/>
      <c r="R38" s="23"/>
      <c r="S38" s="23"/>
      <c r="T38" s="23"/>
      <c r="U38" s="23"/>
      <c r="V38" s="23"/>
      <c r="W38" s="23"/>
      <c r="X38" s="44"/>
      <c r="Y38" s="23"/>
      <c r="Z38" s="23"/>
      <c r="AA38" s="23"/>
      <c r="AB38" s="23"/>
      <c r="AC38" s="23"/>
      <c r="AD38" s="45"/>
      <c r="AF38" s="43"/>
      <c r="AG38" s="43"/>
      <c r="AH38" s="43"/>
      <c r="AI38"/>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c r="BK38" s="244"/>
    </row>
    <row r="39" ht="18">
      <c r="B39" s="29"/>
      <c r="X39" s="27"/>
      <c r="AD39" s="28"/>
      <c r="AF39" s="43"/>
      <c r="AG39" s="43"/>
      <c r="AH39" s="43"/>
      <c r="AI39"/>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row>
    <row r="40" s="41" customFormat="1" ht="18">
      <c r="B40" s="418" t="s">
        <v>92</v>
      </c>
      <c r="C40" s="275" t="s">
        <v>186</v>
      </c>
      <c r="D40" s="276"/>
      <c r="E40" s="276"/>
      <c r="F40" s="276"/>
      <c r="G40" s="658" t="s">
        <v>183</v>
      </c>
      <c r="H40" s="276"/>
      <c r="I40" s="276"/>
      <c r="J40" s="276"/>
      <c r="K40" s="276"/>
      <c r="L40" s="276"/>
      <c r="M40" s="276"/>
      <c r="N40" s="276"/>
      <c r="O40" s="276"/>
      <c r="P40" s="276"/>
      <c r="Q40" s="276"/>
      <c r="R40" s="276"/>
      <c r="S40" s="277"/>
      <c r="T40" s="277"/>
      <c r="U40" s="277"/>
      <c r="V40" s="277"/>
      <c r="W40" s="277"/>
      <c r="X40" s="312"/>
      <c r="Y40" s="277"/>
      <c r="Z40" s="277"/>
      <c r="AA40" s="277"/>
      <c r="AB40" s="277"/>
      <c r="AC40" s="277"/>
      <c r="AD40" s="336"/>
      <c r="AE40" s="25"/>
      <c r="AF40" s="316" t="s">
        <v>58</v>
      </c>
      <c r="AG40" s="317" t="s">
        <v>59</v>
      </c>
      <c r="AH40" s="318" t="s">
        <v>59</v>
      </c>
      <c r="AI40" s="25"/>
      <c r="AJ40" s="248"/>
      <c r="AK40" s="248"/>
      <c r="AL40" s="248"/>
      <c r="AM40" s="248"/>
      <c r="AN40" s="253"/>
      <c r="AO40" s="253"/>
      <c r="AP40" s="253"/>
      <c r="AQ40" s="253"/>
      <c r="AR40" s="253"/>
      <c r="AS40" s="253"/>
      <c r="AT40" s="253"/>
      <c r="AU40" s="253"/>
      <c r="AV40" s="253"/>
      <c r="AW40" s="253"/>
      <c r="AX40" s="253"/>
      <c r="AY40" s="253"/>
      <c r="AZ40" s="253"/>
      <c r="BA40" s="253"/>
      <c r="BB40" s="253"/>
      <c r="BC40" s="253"/>
      <c r="BD40" s="253"/>
      <c r="BE40" s="253"/>
      <c r="BF40" s="253"/>
      <c r="BG40" s="253"/>
      <c r="BH40" s="253"/>
      <c r="BI40" s="253"/>
      <c r="BJ40" s="253"/>
      <c r="BK40" s="253"/>
    </row>
    <row r="41" s="42" customFormat="1">
      <c r="C41" s="279">
        <v>27</v>
      </c>
      <c r="D41" s="280">
        <v>28</v>
      </c>
      <c r="E41" s="280">
        <v>29</v>
      </c>
      <c r="F41" s="280">
        <v>30</v>
      </c>
      <c r="G41" s="676">
        <v>1</v>
      </c>
      <c r="H41" s="280">
        <v>2</v>
      </c>
      <c r="I41" s="280">
        <v>3</v>
      </c>
      <c r="J41" s="280">
        <v>4</v>
      </c>
      <c r="K41" s="280">
        <v>5</v>
      </c>
      <c r="L41" s="280">
        <v>6</v>
      </c>
      <c r="M41" s="280">
        <v>7</v>
      </c>
      <c r="N41" s="280">
        <v>8</v>
      </c>
      <c r="O41" s="280">
        <v>9</v>
      </c>
      <c r="P41" s="280">
        <v>10</v>
      </c>
      <c r="Q41" s="280">
        <v>11</v>
      </c>
      <c r="R41" s="280">
        <v>12</v>
      </c>
      <c r="S41" s="280">
        <v>13</v>
      </c>
      <c r="T41" s="280">
        <v>14</v>
      </c>
      <c r="U41" s="280">
        <v>15</v>
      </c>
      <c r="V41" s="280">
        <v>16</v>
      </c>
      <c r="W41" s="280">
        <v>17</v>
      </c>
      <c r="X41" s="315">
        <v>18</v>
      </c>
      <c r="Y41" s="280">
        <v>19</v>
      </c>
      <c r="Z41" s="280">
        <v>20</v>
      </c>
      <c r="AA41" s="280">
        <v>21</v>
      </c>
      <c r="AB41" s="280">
        <v>22</v>
      </c>
      <c r="AC41" s="280">
        <v>23</v>
      </c>
      <c r="AD41" s="373">
        <v>24</v>
      </c>
      <c r="AE41" s="25"/>
      <c r="AF41" s="324" t="s">
        <v>60</v>
      </c>
      <c r="AG41" s="325">
        <v>28</v>
      </c>
      <c r="AH41" s="326" t="s">
        <v>31</v>
      </c>
      <c r="AI41" s="25"/>
      <c r="AJ41" s="248"/>
      <c r="AK41" s="248"/>
      <c r="AL41" s="248"/>
      <c r="AM41" s="248"/>
      <c r="AN41" s="254"/>
      <c r="AO41" s="254"/>
      <c r="AP41" s="254"/>
      <c r="AQ41" s="254"/>
      <c r="AR41" s="254"/>
      <c r="AS41" s="254"/>
      <c r="AT41" s="254"/>
      <c r="AU41" s="254"/>
      <c r="AV41" s="254"/>
      <c r="AW41" s="254"/>
      <c r="AX41" s="254"/>
      <c r="AY41" s="254"/>
      <c r="AZ41" s="254"/>
      <c r="BA41" s="254"/>
      <c r="BB41" s="254"/>
      <c r="BC41" s="254"/>
      <c r="BD41" s="254"/>
      <c r="BE41" s="254"/>
      <c r="BF41" s="254"/>
      <c r="BG41" s="254"/>
      <c r="BH41" s="254"/>
      <c r="BI41" s="254"/>
      <c r="BJ41" s="254"/>
      <c r="BK41" s="254"/>
    </row>
    <row r="42" ht="14.25" customHeight="1">
      <c r="A42" s="1"/>
      <c r="B42" s="46" t="s">
        <v>26</v>
      </c>
      <c r="C42" s="444">
        <v>98.42213012270616016269936714</v>
      </c>
      <c r="D42" s="445">
        <v>92.44912202981107393840103480</v>
      </c>
      <c r="E42" s="445">
        <v>95.26772163725580239118717659</v>
      </c>
      <c r="F42" s="445">
        <v>80.33226065096674544931950244</v>
      </c>
      <c r="G42" s="660">
        <v>98.45902893352449540410113105</v>
      </c>
      <c r="H42" s="445">
        <v>105.79112551722579247353700251</v>
      </c>
      <c r="I42" s="445">
        <v>103.80151990852680867900957427</v>
      </c>
      <c r="J42" s="445">
        <v>108.87443852554418676719492734</v>
      </c>
      <c r="K42" s="445">
        <v>106.78367154129836276689609903</v>
      </c>
      <c r="L42" s="445">
        <v>90.72237566954803206759805981</v>
      </c>
      <c r="M42" s="445">
        <v>99.62043190380618641947768281</v>
      </c>
      <c r="N42" s="445">
        <v>105.62341615075606557023993441</v>
      </c>
      <c r="O42" s="445">
        <v>117.83399289534974208875058702</v>
      </c>
      <c r="P42" s="445">
        <v>116.78834516991381076931204949</v>
      </c>
      <c r="Q42" s="445">
        <v>97.36026261390908583163689417</v>
      </c>
      <c r="R42" s="445">
        <v>87.21442418275061280970985203</v>
      </c>
      <c r="S42" s="445">
        <v>88.58348729254492950960581849</v>
      </c>
      <c r="T42" s="445">
        <v>87.78788076502920119425077388</v>
      </c>
      <c r="U42" s="445">
        <v>92.70014405673735032409522685</v>
      </c>
      <c r="V42" s="445">
        <v>106.29611981557148839553977409</v>
      </c>
      <c r="W42" s="445">
        <v>108.26484678900781956475439439</v>
      </c>
      <c r="X42" s="446">
        <v>84.71905614465582205107773846</v>
      </c>
      <c r="Y42" s="445">
        <v>81.11795799314396668509960460</v>
      </c>
      <c r="Z42" s="445">
        <v>84.22978218912379474897922797</v>
      </c>
      <c r="AA42" s="445">
        <v>84.17975988909874505395301364</v>
      </c>
      <c r="AB42" s="445">
        <v>86.59331460833499405842933010</v>
      </c>
      <c r="AC42" s="445">
        <v>101.87555256481915446914675991</v>
      </c>
      <c r="AD42" s="447">
        <v>101.74421525728512765679650666</v>
      </c>
      <c r="AE42" s="448"/>
      <c r="AF42" s="444">
        <v>88.70239923015470607507983450</v>
      </c>
      <c r="AG42" s="445">
        <v>97.86567320672146115259211797</v>
      </c>
      <c r="AH42" s="449">
        <v>99.47561627903107608547689588</v>
      </c>
      <c r="AI42"/>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row>
    <row r="43" ht="14.25" customHeight="1">
      <c r="A43" s="24"/>
      <c r="B43" s="48" t="s">
        <v>185</v>
      </c>
      <c r="C43" s="329">
        <v>103.88386391719281429750866911</v>
      </c>
      <c r="D43" s="330">
        <v>105.92415660292226289903560731</v>
      </c>
      <c r="E43" s="330">
        <v>111.09280662502772135036631804</v>
      </c>
      <c r="F43" s="330">
        <v>100.69273436658892757927651921</v>
      </c>
      <c r="G43" s="663">
        <v>104.06115882196395018992135383</v>
      </c>
      <c r="H43" s="330">
        <v>128.30967263023416612315872534</v>
      </c>
      <c r="I43" s="330">
        <v>118.10862837834897098047971630</v>
      </c>
      <c r="J43" s="330">
        <v>108.10624203184250694366058405</v>
      </c>
      <c r="K43" s="330">
        <v>92.10486598433233186973585624</v>
      </c>
      <c r="L43" s="330">
        <v>83.78238617859607978529238688</v>
      </c>
      <c r="M43" s="330">
        <v>86.50231004780367501850570920</v>
      </c>
      <c r="N43" s="330">
        <v>91.40790864945888423236818800</v>
      </c>
      <c r="O43" s="330">
        <v>120.84236608341957079332093385</v>
      </c>
      <c r="P43" s="330">
        <v>117.05150851126895375573323117</v>
      </c>
      <c r="Q43" s="330">
        <v>88.80166000756385395960986245</v>
      </c>
      <c r="R43" s="330">
        <v>76.234374729496888881068120930</v>
      </c>
      <c r="S43" s="330">
        <v>79.216706331736800713832763480</v>
      </c>
      <c r="T43" s="330">
        <v>74.973208527721295361011234590</v>
      </c>
      <c r="U43" s="330">
        <v>81.46643830224239797413246528</v>
      </c>
      <c r="V43" s="330">
        <v>113.17514361616459715011717867</v>
      </c>
      <c r="W43" s="330">
        <v>127.22950734777469213893717748</v>
      </c>
      <c r="X43" s="331">
        <v>98.43271529242573049833438977</v>
      </c>
      <c r="Y43" s="330">
        <v>97.63060824266505071950464645</v>
      </c>
      <c r="Z43" s="330">
        <v>102.36213030821182904672131386</v>
      </c>
      <c r="AA43" s="330">
        <v>94.99410065386672027493171510</v>
      </c>
      <c r="AB43" s="330">
        <v>98.88134448236215913201988557</v>
      </c>
      <c r="AC43" s="330">
        <v>115.10128248590357456409660969</v>
      </c>
      <c r="AD43" s="338">
        <v>117.35347517622983662996717432</v>
      </c>
      <c r="AE43" s="88"/>
      <c r="AF43" s="329">
        <v>102.84402614154143868062507641</v>
      </c>
      <c r="AG43" s="330">
        <v>103.85909356890400728025474051</v>
      </c>
      <c r="AH43" s="332">
        <v>103.56041302490817848251492750</v>
      </c>
      <c r="AI43"/>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row>
    <row r="44" ht="12" customHeight="1">
      <c r="B44" s="4"/>
      <c r="X44" s="27"/>
      <c r="AD44" s="28"/>
      <c r="AF44" s="43"/>
      <c r="AG44" s="43"/>
      <c r="AH44" s="43"/>
      <c r="AI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row>
    <row r="45" ht="18">
      <c r="B45" s="29"/>
      <c r="X45" s="27"/>
      <c r="AD45" s="28"/>
      <c r="AF45" s="43"/>
      <c r="AG45" s="43"/>
      <c r="AH45" s="43"/>
      <c r="AI45"/>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c r="BK45" s="244"/>
    </row>
    <row r="46" s="41" customFormat="1" ht="18">
      <c r="B46" s="418" t="s">
        <v>77</v>
      </c>
      <c r="C46" s="275" t="s">
        <v>186</v>
      </c>
      <c r="D46" s="276"/>
      <c r="E46" s="276"/>
      <c r="F46" s="276"/>
      <c r="G46" s="658" t="s">
        <v>183</v>
      </c>
      <c r="H46" s="276"/>
      <c r="I46" s="276"/>
      <c r="J46" s="276"/>
      <c r="K46" s="276"/>
      <c r="L46" s="276"/>
      <c r="M46" s="276"/>
      <c r="N46" s="276"/>
      <c r="O46" s="276"/>
      <c r="P46" s="276"/>
      <c r="Q46" s="276"/>
      <c r="R46" s="276"/>
      <c r="S46" s="277"/>
      <c r="T46" s="277"/>
      <c r="U46" s="277"/>
      <c r="V46" s="277"/>
      <c r="W46" s="277"/>
      <c r="X46" s="312"/>
      <c r="Y46" s="277"/>
      <c r="Z46" s="277"/>
      <c r="AA46" s="277"/>
      <c r="AB46" s="277"/>
      <c r="AC46" s="277"/>
      <c r="AD46" s="336"/>
      <c r="AE46" s="25"/>
      <c r="AF46" s="316" t="s">
        <v>58</v>
      </c>
      <c r="AG46" s="317" t="s">
        <v>59</v>
      </c>
      <c r="AH46" s="318" t="s">
        <v>59</v>
      </c>
      <c r="AI46" s="25"/>
      <c r="AJ46" s="248"/>
      <c r="AK46" s="248"/>
      <c r="AL46" s="248"/>
      <c r="AM46" s="248"/>
      <c r="AN46" s="253"/>
      <c r="AO46" s="253"/>
      <c r="AP46" s="253"/>
      <c r="AQ46" s="253"/>
      <c r="AR46" s="253"/>
      <c r="AS46" s="253"/>
      <c r="AT46" s="253"/>
      <c r="AU46" s="253"/>
      <c r="AV46" s="253"/>
      <c r="AW46" s="253"/>
      <c r="AX46" s="253"/>
      <c r="AY46" s="253"/>
      <c r="AZ46" s="253"/>
      <c r="BA46" s="253"/>
      <c r="BB46" s="253"/>
      <c r="BC46" s="253"/>
      <c r="BD46" s="253"/>
      <c r="BE46" s="253"/>
      <c r="BF46" s="253"/>
      <c r="BG46" s="253"/>
      <c r="BH46" s="253"/>
      <c r="BI46" s="253"/>
      <c r="BJ46" s="253"/>
      <c r="BK46" s="253"/>
    </row>
    <row r="47" s="42" customFormat="1">
      <c r="C47" s="284">
        <v>27</v>
      </c>
      <c r="D47">
        <v>28</v>
      </c>
      <c r="E47">
        <v>29</v>
      </c>
      <c r="F47">
        <v>30</v>
      </c>
      <c r="G47" s="717">
        <v>1</v>
      </c>
      <c r="H47">
        <v>2</v>
      </c>
      <c r="I47">
        <v>3</v>
      </c>
      <c r="J47">
        <v>4</v>
      </c>
      <c r="K47">
        <v>5</v>
      </c>
      <c r="L47">
        <v>6</v>
      </c>
      <c r="M47">
        <v>7</v>
      </c>
      <c r="N47">
        <v>8</v>
      </c>
      <c r="O47">
        <v>9</v>
      </c>
      <c r="P47">
        <v>10</v>
      </c>
      <c r="Q47">
        <v>11</v>
      </c>
      <c r="R47">
        <v>12</v>
      </c>
      <c r="S47">
        <v>13</v>
      </c>
      <c r="T47">
        <v>14</v>
      </c>
      <c r="U47">
        <v>15</v>
      </c>
      <c r="V47">
        <v>16</v>
      </c>
      <c r="W47">
        <v>17</v>
      </c>
      <c r="X47" s="323">
        <v>18</v>
      </c>
      <c r="Y47">
        <v>19</v>
      </c>
      <c r="Z47">
        <v>20</v>
      </c>
      <c r="AA47">
        <v>21</v>
      </c>
      <c r="AB47">
        <v>22</v>
      </c>
      <c r="AC47">
        <v>23</v>
      </c>
      <c r="AD47" s="337">
        <v>24</v>
      </c>
      <c r="AE47" s="25"/>
      <c r="AF47" s="324" t="s">
        <v>60</v>
      </c>
      <c r="AG47" s="325">
        <v>28</v>
      </c>
      <c r="AH47" s="326" t="s">
        <v>31</v>
      </c>
      <c r="AI47" s="25"/>
      <c r="AJ47" s="248"/>
      <c r="AK47" s="248"/>
      <c r="AL47" s="248"/>
      <c r="AM47" s="248"/>
      <c r="AN47" s="254"/>
      <c r="AO47" s="254"/>
      <c r="AP47" s="254"/>
      <c r="AQ47" s="254"/>
      <c r="AR47" s="254"/>
      <c r="AS47" s="254"/>
      <c r="AT47" s="254"/>
      <c r="AU47" s="254"/>
      <c r="AV47" s="254"/>
      <c r="AW47" s="254"/>
      <c r="AX47" s="254"/>
      <c r="AY47" s="254"/>
      <c r="AZ47" s="254"/>
      <c r="BA47" s="254"/>
      <c r="BB47" s="254"/>
      <c r="BC47" s="254"/>
      <c r="BD47" s="254"/>
      <c r="BE47" s="254"/>
      <c r="BF47" s="254"/>
      <c r="BG47" s="254"/>
      <c r="BH47" s="254"/>
      <c r="BI47" s="254"/>
      <c r="BJ47" s="254"/>
      <c r="BK47" s="254"/>
    </row>
    <row r="48" ht="14.25" customHeight="1">
      <c r="A48" s="1"/>
      <c r="B48" s="46" t="s">
        <v>26</v>
      </c>
      <c r="C48" s="444">
        <v>-0.5003944874371497874871300600</v>
      </c>
      <c r="D48" s="445">
        <v>-11.461315052199619844404313840</v>
      </c>
      <c r="E48" s="445">
        <v>-9.797148315387357929973435510</v>
      </c>
      <c r="F48" s="445">
        <v>-11.128152911263704015758108800</v>
      </c>
      <c r="G48" s="660">
        <v>-18.347731126845261567033006610</v>
      </c>
      <c r="H48" s="445">
        <v>-7.4521025179724277993977648300</v>
      </c>
      <c r="I48" s="445">
        <v>-14.032155793930274454883816510</v>
      </c>
      <c r="J48" s="445">
        <v>-13.950728799465709151809109830</v>
      </c>
      <c r="K48" s="445">
        <v>21.475658406815960830962953390</v>
      </c>
      <c r="L48" s="445">
        <v>-9.253616954026177373445469670</v>
      </c>
      <c r="M48" s="445">
        <v>-9.940617184795813680042409100</v>
      </c>
      <c r="N48" s="445">
        <v>-2.9325568717223783859447588200</v>
      </c>
      <c r="O48" s="445">
        <v>-3.9649218597849127076198451300</v>
      </c>
      <c r="P48" s="445">
        <v>-0.3790950760985757058637292600</v>
      </c>
      <c r="Q48" s="445">
        <v>-7.8118262835042360306004098300</v>
      </c>
      <c r="R48" s="445">
        <v>3.4287061857861990298953752500</v>
      </c>
      <c r="S48" s="445">
        <v>14.520776551862534530895119860</v>
      </c>
      <c r="T48" s="445">
        <v>3.1472227985950140629720996800</v>
      </c>
      <c r="U48" s="445">
        <v>-5.5100878283441899037931065300</v>
      </c>
      <c r="V48" s="445">
        <v>4.5252028816174635952593418900</v>
      </c>
      <c r="W48" s="445">
        <v>2.478302200152886234888683900</v>
      </c>
      <c r="X48" s="446">
        <v>-21.702351201471087578746885990</v>
      </c>
      <c r="Y48" s="445">
        <v>-8.399812443496790191188627610</v>
      </c>
      <c r="Z48" s="445">
        <v>3.806731521261802337646304300</v>
      </c>
      <c r="AA48" s="445">
        <v>-10.464342893779755535780553190</v>
      </c>
      <c r="AB48" s="445">
        <v>8.987482545151276850859666320</v>
      </c>
      <c r="AC48" s="445">
        <v>16.642932945139076562389083810</v>
      </c>
      <c r="AD48" s="447">
        <v>15.275000611297413077063412060</v>
      </c>
      <c r="AE48" s="448"/>
      <c r="AF48" s="444">
        <v>0.8571818899042529084646341300</v>
      </c>
      <c r="AG48" s="445">
        <v>-3.7762751200568533394110257100</v>
      </c>
      <c r="AH48" s="449">
        <v>-3.2185377919993664364064055200</v>
      </c>
      <c r="AI48"/>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c r="BK48" s="244"/>
    </row>
    <row r="49" ht="14.25" customHeight="1">
      <c r="A49" s="24"/>
      <c r="B49" s="48" t="s">
        <v>185</v>
      </c>
      <c r="C49" s="329">
        <v>11.398547454203641113681960410</v>
      </c>
      <c r="D49" s="330">
        <v>21.159890454235637133804481110</v>
      </c>
      <c r="E49" s="330">
        <v>31.031253084897902282805458980</v>
      </c>
      <c r="F49" s="330">
        <v>20.316995067097021158281117910</v>
      </c>
      <c r="G49" s="663">
        <v>-21.013726006850562369129990160</v>
      </c>
      <c r="H49" s="330">
        <v>-4.6116080164791423324322901800</v>
      </c>
      <c r="I49" s="330">
        <v>-13.523695385440340650986363190</v>
      </c>
      <c r="J49" s="330">
        <v>-21.968810729212506444801661520</v>
      </c>
      <c r="K49" s="330">
        <v>14.451274469024903763930415270</v>
      </c>
      <c r="L49" s="330">
        <v>-6.9296311694367353057465880800</v>
      </c>
      <c r="M49" s="330">
        <v>-9.705734624125264977969854340</v>
      </c>
      <c r="N49" s="330">
        <v>-1.7565416816961899092713440900</v>
      </c>
      <c r="O49" s="330">
        <v>-1.2351138836397886445250884500</v>
      </c>
      <c r="P49" s="330">
        <v>-1.5665448432448178855697762900</v>
      </c>
      <c r="Q49" s="330">
        <v>-11.877264737984605264665691280</v>
      </c>
      <c r="R49" s="330">
        <v>-5.6643532867216018236049292800</v>
      </c>
      <c r="S49" s="330">
        <v>3.0461214582342655922827473400</v>
      </c>
      <c r="T49" s="330">
        <v>-5.6000813911856437110589529200</v>
      </c>
      <c r="U49" s="330">
        <v>-15.076487352850592223518926750</v>
      </c>
      <c r="V49" s="330">
        <v>0.1147877484193260938606770600</v>
      </c>
      <c r="W49" s="330">
        <v>4.8337521193763931143927768300</v>
      </c>
      <c r="X49" s="331">
        <v>-0.4415818858763096712351086500</v>
      </c>
      <c r="Y49" s="330">
        <v>25.803143272717854854597052160</v>
      </c>
      <c r="Z49" s="330">
        <v>49.303576039925527480179291700</v>
      </c>
      <c r="AA49" s="330">
        <v>24.417344872202819144278927730</v>
      </c>
      <c r="AB49" s="330">
        <v>20.989190062514406576418826750</v>
      </c>
      <c r="AC49" s="330">
        <v>10.551432496396347150406587230</v>
      </c>
      <c r="AD49" s="338">
        <v>7.1942765502526969526036708900</v>
      </c>
      <c r="AE49" s="88"/>
      <c r="AF49" s="329">
        <v>15.643652502909486644755673740</v>
      </c>
      <c r="AG49" s="330">
        <v>1.9928243533579508984974736100</v>
      </c>
      <c r="AH49" s="332">
        <v>0.2074370930427372974646792600</v>
      </c>
      <c r="AI49"/>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c r="BK49" s="244"/>
    </row>
    <row r="50" ht="14.25" customHeight="1">
      <c r="B50" s="53"/>
      <c r="C50" s="472"/>
      <c r="D50" s="472"/>
      <c r="E50" s="472"/>
      <c r="F50" s="472"/>
      <c r="G50" s="472"/>
      <c r="H50" s="472"/>
      <c r="I50" s="472"/>
      <c r="J50" s="472"/>
      <c r="K50" s="472"/>
      <c r="L50" s="472"/>
      <c r="M50" s="472"/>
      <c r="N50" s="472"/>
      <c r="O50" s="472"/>
      <c r="P50" s="472"/>
      <c r="Q50" s="472"/>
      <c r="R50" s="472"/>
      <c r="S50" s="472"/>
      <c r="T50" s="472"/>
      <c r="U50" s="472"/>
      <c r="V50" s="472"/>
      <c r="W50" s="472"/>
      <c r="X50" s="473"/>
      <c r="Y50" s="472"/>
      <c r="Z50" s="472"/>
      <c r="AA50" s="472"/>
      <c r="AB50" s="472"/>
      <c r="AC50" s="472"/>
      <c r="AD50" s="474"/>
      <c r="AE50" s="475"/>
      <c r="AF50" s="472"/>
      <c r="AG50" s="472"/>
      <c r="AH50" s="472"/>
      <c r="AI50"/>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c r="BK50" s="244"/>
    </row>
    <row r="51" ht="18">
      <c r="B51" s="29"/>
      <c r="X51" s="27"/>
      <c r="AD51" s="28"/>
      <c r="AF51" s="43"/>
      <c r="AG51" s="43"/>
      <c r="AH51" s="43"/>
      <c r="AI51"/>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c r="BK51" s="244"/>
    </row>
    <row r="52" ht="18">
      <c r="B52" s="418" t="s">
        <v>55</v>
      </c>
      <c r="C52" s="275" t="s">
        <v>186</v>
      </c>
      <c r="D52" s="276"/>
      <c r="E52" s="276"/>
      <c r="F52" s="276"/>
      <c r="G52" s="658" t="s">
        <v>183</v>
      </c>
      <c r="H52" s="276"/>
      <c r="I52" s="276"/>
      <c r="J52" s="276"/>
      <c r="K52" s="276"/>
      <c r="L52" s="276"/>
      <c r="M52" s="276"/>
      <c r="N52" s="276"/>
      <c r="O52" s="276"/>
      <c r="P52" s="276"/>
      <c r="Q52" s="276"/>
      <c r="R52" s="276"/>
      <c r="S52" s="277"/>
      <c r="T52" s="277"/>
      <c r="U52" s="277"/>
      <c r="V52" s="277"/>
      <c r="W52" s="277"/>
      <c r="X52" s="312"/>
      <c r="Y52" s="277"/>
      <c r="Z52" s="277"/>
      <c r="AA52" s="277"/>
      <c r="AB52" s="277"/>
      <c r="AC52" s="277"/>
      <c r="AD52" s="336"/>
      <c r="AE52" s="25"/>
      <c r="AF52" s="316" t="s">
        <v>58</v>
      </c>
      <c r="AG52" s="317" t="s">
        <v>59</v>
      </c>
      <c r="AH52" s="318" t="s">
        <v>59</v>
      </c>
      <c r="AI52"/>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row>
    <row r="53">
      <c r="B53" s="42"/>
      <c r="C53" s="284">
        <v>27</v>
      </c>
      <c r="D53" s="42">
        <v>28</v>
      </c>
      <c r="E53" s="42">
        <v>29</v>
      </c>
      <c r="F53" s="42">
        <v>30</v>
      </c>
      <c r="G53" s="659">
        <v>1</v>
      </c>
      <c r="H53" s="42">
        <v>2</v>
      </c>
      <c r="I53" s="42">
        <v>3</v>
      </c>
      <c r="J53" s="42">
        <v>4</v>
      </c>
      <c r="K53" s="42">
        <v>5</v>
      </c>
      <c r="L53" s="42">
        <v>6</v>
      </c>
      <c r="M53" s="42">
        <v>7</v>
      </c>
      <c r="N53" s="42">
        <v>8</v>
      </c>
      <c r="O53" s="42">
        <v>9</v>
      </c>
      <c r="P53" s="42">
        <v>10</v>
      </c>
      <c r="Q53" s="42">
        <v>11</v>
      </c>
      <c r="R53" s="42">
        <v>12</v>
      </c>
      <c r="S53" s="42">
        <v>13</v>
      </c>
      <c r="T53" s="42">
        <v>14</v>
      </c>
      <c r="U53" s="42">
        <v>15</v>
      </c>
      <c r="V53" s="42">
        <v>16</v>
      </c>
      <c r="W53" s="42">
        <v>17</v>
      </c>
      <c r="X53" s="323">
        <v>18</v>
      </c>
      <c r="Y53" s="42">
        <v>19</v>
      </c>
      <c r="Z53" s="42">
        <v>20</v>
      </c>
      <c r="AA53" s="42">
        <v>21</v>
      </c>
      <c r="AB53" s="42">
        <v>22</v>
      </c>
      <c r="AC53" s="42">
        <v>23</v>
      </c>
      <c r="AD53" s="337">
        <v>24</v>
      </c>
      <c r="AE53" s="25"/>
      <c r="AF53" s="324" t="s">
        <v>60</v>
      </c>
      <c r="AG53" s="325">
        <v>28</v>
      </c>
      <c r="AH53" s="326" t="s">
        <v>31</v>
      </c>
      <c r="AI53"/>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row>
    <row r="54" ht="14.25" customHeight="1">
      <c r="B54" s="46" t="s">
        <v>56</v>
      </c>
      <c r="C54" s="455" t="s">
        <v>238</v>
      </c>
      <c r="D54" s="456" t="s">
        <v>241</v>
      </c>
      <c r="E54" s="456" t="s">
        <v>239</v>
      </c>
      <c r="F54" s="456" t="s">
        <v>236</v>
      </c>
      <c r="G54" s="664" t="s">
        <v>239</v>
      </c>
      <c r="H54" s="456" t="s">
        <v>238</v>
      </c>
      <c r="I54" s="456" t="s">
        <v>240</v>
      </c>
      <c r="J54" s="456" t="s">
        <v>238</v>
      </c>
      <c r="K54" s="456" t="s">
        <v>240</v>
      </c>
      <c r="L54" s="456" t="s">
        <v>241</v>
      </c>
      <c r="M54" s="456" t="s">
        <v>238</v>
      </c>
      <c r="N54" s="456" t="s">
        <v>240</v>
      </c>
      <c r="O54" s="456" t="s">
        <v>242</v>
      </c>
      <c r="P54" s="456" t="s">
        <v>242</v>
      </c>
      <c r="Q54" s="456" t="s">
        <v>239</v>
      </c>
      <c r="R54" s="456" t="s">
        <v>236</v>
      </c>
      <c r="S54" s="456" t="s">
        <v>236</v>
      </c>
      <c r="T54" s="456" t="s">
        <v>236</v>
      </c>
      <c r="U54" s="456" t="s">
        <v>236</v>
      </c>
      <c r="V54" s="456" t="s">
        <v>239</v>
      </c>
      <c r="W54" s="456" t="s">
        <v>240</v>
      </c>
      <c r="X54" s="457" t="s">
        <v>236</v>
      </c>
      <c r="Y54" s="456" t="s">
        <v>241</v>
      </c>
      <c r="Z54" s="456" t="s">
        <v>241</v>
      </c>
      <c r="AA54" s="456" t="s">
        <v>236</v>
      </c>
      <c r="AB54" s="456" t="s">
        <v>236</v>
      </c>
      <c r="AC54" s="456" t="s">
        <v>239</v>
      </c>
      <c r="AD54" s="458" t="s">
        <v>245</v>
      </c>
      <c r="AE54" s="459"/>
      <c r="AF54" s="455" t="s">
        <v>241</v>
      </c>
      <c r="AG54" s="456" t="s">
        <v>236</v>
      </c>
      <c r="AH54" s="460" t="s">
        <v>239</v>
      </c>
      <c r="AI5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row>
    <row r="55" ht="14.25" customHeight="1" thickBot="1">
      <c r="B55" s="48" t="s">
        <v>78</v>
      </c>
      <c r="C55" s="333" t="s">
        <v>241</v>
      </c>
      <c r="D55" s="334" t="s">
        <v>234</v>
      </c>
      <c r="E55" s="334" t="s">
        <v>234</v>
      </c>
      <c r="F55" s="334" t="s">
        <v>236</v>
      </c>
      <c r="G55" s="665" t="s">
        <v>235</v>
      </c>
      <c r="H55" s="334" t="s">
        <v>234</v>
      </c>
      <c r="I55" s="334" t="s">
        <v>235</v>
      </c>
      <c r="J55" s="334" t="s">
        <v>234</v>
      </c>
      <c r="K55" s="334" t="s">
        <v>240</v>
      </c>
      <c r="L55" s="334" t="s">
        <v>241</v>
      </c>
      <c r="M55" s="334" t="s">
        <v>234</v>
      </c>
      <c r="N55" s="334" t="s">
        <v>239</v>
      </c>
      <c r="O55" s="334" t="s">
        <v>236</v>
      </c>
      <c r="P55" s="334" t="s">
        <v>239</v>
      </c>
      <c r="Q55" s="334" t="s">
        <v>241</v>
      </c>
      <c r="R55" s="334" t="s">
        <v>238</v>
      </c>
      <c r="S55" s="334" t="s">
        <v>237</v>
      </c>
      <c r="T55" s="334" t="s">
        <v>240</v>
      </c>
      <c r="U55" s="334" t="s">
        <v>236</v>
      </c>
      <c r="V55" s="334" t="s">
        <v>240</v>
      </c>
      <c r="W55" s="334" t="s">
        <v>238</v>
      </c>
      <c r="X55" s="60" t="s">
        <v>235</v>
      </c>
      <c r="Y55" s="61" t="s">
        <v>236</v>
      </c>
      <c r="Z55" s="61" t="s">
        <v>240</v>
      </c>
      <c r="AA55" s="61" t="s">
        <v>239</v>
      </c>
      <c r="AB55" s="61" t="s">
        <v>239</v>
      </c>
      <c r="AC55" s="61" t="s">
        <v>242</v>
      </c>
      <c r="AD55" s="62" t="s">
        <v>246</v>
      </c>
      <c r="AE55" s="59"/>
      <c r="AF55" s="333" t="s">
        <v>239</v>
      </c>
      <c r="AG55" s="334" t="s">
        <v>236</v>
      </c>
      <c r="AH55" s="335" t="s">
        <v>236</v>
      </c>
      <c r="AI55"/>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row>
    <row r="56" ht="9.95" customHeight="1">
      <c r="AF56"/>
      <c r="AG56"/>
      <c r="AH56"/>
      <c r="AI56"/>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row>
    <row r="57" ht="9.95" customHeight="1">
      <c r="AF57"/>
      <c r="AG57"/>
      <c r="AH57"/>
      <c r="AI57"/>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row>
    <row r="58" ht="24.95" customHeight="1">
      <c r="B58" s="650" t="s">
        <v>114</v>
      </c>
      <c r="C58" s="650"/>
      <c r="D58" s="650"/>
      <c r="E58" s="650"/>
      <c r="F58" s="650"/>
      <c r="G58" s="650"/>
      <c r="H58" s="650"/>
      <c r="I58" s="650"/>
      <c r="J58" s="650"/>
      <c r="K58" s="650"/>
      <c r="L58" s="650"/>
      <c r="M58" s="650"/>
      <c r="N58" s="650"/>
      <c r="O58" s="650"/>
      <c r="P58" s="650"/>
      <c r="Q58" s="650"/>
      <c r="R58" s="650"/>
      <c r="S58" s="650"/>
      <c r="T58" s="650"/>
      <c r="U58" s="650"/>
      <c r="V58" s="650"/>
      <c r="W58" s="650"/>
      <c r="X58" s="650"/>
      <c r="Y58" s="650"/>
      <c r="Z58" s="650"/>
      <c r="AA58" s="650"/>
      <c r="AB58" s="650"/>
      <c r="AC58" s="650"/>
      <c r="AD58" s="650"/>
      <c r="AE58" s="650"/>
      <c r="AF58" s="650"/>
      <c r="AG58" s="650"/>
      <c r="AH58" s="650"/>
      <c r="AI58"/>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row>
    <row r="59" ht="9.95" customHeight="1">
      <c r="AF59" s="80"/>
      <c r="AG59" s="242"/>
      <c r="AH59"/>
      <c r="AI59"/>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row>
    <row r="60" ht="9.95" customHeight="1">
      <c r="B60" s="53"/>
      <c r="AF60"/>
      <c r="AG60"/>
      <c r="AH60"/>
      <c r="AI60"/>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row>
    <row r="61" ht="9.95" customHeight="1">
      <c r="AF61"/>
      <c r="AG61"/>
      <c r="AH61"/>
      <c r="AI61"/>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c r="BK65" s="244"/>
    </row>
    <row r="66">
      <c r="A66" s="244"/>
      <c r="B66" s="666"/>
      <c r="C66" s="666"/>
      <c r="D66" s="666"/>
      <c r="E66" s="666"/>
      <c r="F66" s="666"/>
      <c r="G66" s="666"/>
      <c r="H66" s="666"/>
      <c r="I66" s="666"/>
      <c r="J66" s="666"/>
      <c r="K66" s="666"/>
      <c r="L66" s="666"/>
      <c r="M66" s="666"/>
      <c r="N66" s="666"/>
      <c r="O66" s="666"/>
      <c r="P66" s="666"/>
      <c r="Q66" s="666"/>
      <c r="R66" s="666"/>
      <c r="S66" s="666"/>
      <c r="T66" s="666"/>
      <c r="U66" s="666"/>
      <c r="V66" s="666"/>
      <c r="W66" s="666"/>
      <c r="X66" s="666"/>
      <c r="Y66" s="666"/>
      <c r="Z66" s="666"/>
      <c r="AA66" s="666"/>
      <c r="AB66" s="666"/>
      <c r="AC66" s="666"/>
      <c r="AD66" s="666"/>
      <c r="AE66" s="666"/>
      <c r="AF66" s="666"/>
      <c r="AG66" s="666"/>
      <c r="AH66" s="666"/>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c r="BK66" s="244"/>
    </row>
    <row r="67">
      <c r="A67" s="244"/>
      <c r="B67" s="666"/>
      <c r="C67" s="666"/>
      <c r="D67" s="666"/>
      <c r="E67" s="666"/>
      <c r="F67" s="666"/>
      <c r="G67" s="666"/>
      <c r="H67" s="666"/>
      <c r="I67" s="666"/>
      <c r="J67" s="666"/>
      <c r="K67" s="666"/>
      <c r="L67" s="666"/>
      <c r="M67" s="666"/>
      <c r="N67" s="666"/>
      <c r="O67" s="666"/>
      <c r="P67" s="666"/>
      <c r="Q67" s="666"/>
      <c r="R67" s="666"/>
      <c r="S67" s="666"/>
      <c r="T67" s="666"/>
      <c r="U67" s="666"/>
      <c r="V67" s="666"/>
      <c r="W67" s="666"/>
      <c r="X67" s="666"/>
      <c r="Y67" s="666"/>
      <c r="Z67" s="666"/>
      <c r="AA67" s="666"/>
      <c r="AB67" s="666"/>
      <c r="AC67" s="666"/>
      <c r="AD67" s="666"/>
      <c r="AE67" s="666"/>
      <c r="AF67" s="666"/>
      <c r="AG67" s="666"/>
      <c r="AH67" s="666"/>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c r="BK67" s="244"/>
    </row>
    <row r="68" s="25" customFormat="1">
      <c r="A68" s="248"/>
      <c r="B68" s="666"/>
      <c r="C68" s="666"/>
      <c r="D68" s="666"/>
      <c r="E68" s="666"/>
      <c r="F68" s="666"/>
      <c r="G68" s="666"/>
      <c r="H68" s="666"/>
      <c r="I68" s="666"/>
      <c r="J68" s="666"/>
      <c r="K68" s="666"/>
      <c r="L68" s="666"/>
      <c r="M68" s="666"/>
      <c r="N68" s="666"/>
      <c r="O68" s="666"/>
      <c r="P68" s="666"/>
      <c r="Q68" s="666"/>
      <c r="R68" s="666"/>
      <c r="S68" s="666"/>
      <c r="T68" s="666"/>
      <c r="U68" s="666"/>
      <c r="V68" s="666"/>
      <c r="W68" s="666"/>
      <c r="X68" s="666"/>
      <c r="Y68" s="666"/>
      <c r="Z68" s="666"/>
      <c r="AA68" s="666"/>
      <c r="AB68" s="666"/>
      <c r="AC68" s="666"/>
      <c r="AD68" s="666"/>
      <c r="AE68" s="666"/>
      <c r="AF68" s="666"/>
      <c r="AG68" s="666"/>
      <c r="AH68" s="666"/>
      <c r="AI68" s="248"/>
      <c r="AJ68" s="248"/>
      <c r="AK68" s="248"/>
      <c r="AL68" s="248"/>
      <c r="AM68" s="248"/>
      <c r="AN68" s="248"/>
      <c r="AO68" s="248"/>
      <c r="AP68" s="248"/>
      <c r="AQ68" s="248"/>
      <c r="AR68" s="248"/>
      <c r="AS68" s="248"/>
      <c r="AT68" s="248"/>
      <c r="AU68" s="248"/>
      <c r="AV68" s="248"/>
      <c r="AW68" s="248"/>
      <c r="AX68" s="248"/>
      <c r="AY68" s="248"/>
      <c r="AZ68" s="248"/>
      <c r="BA68" s="248"/>
      <c r="BB68" s="248"/>
      <c r="BC68" s="248"/>
      <c r="BD68" s="248"/>
      <c r="BE68" s="248"/>
      <c r="BF68" s="248"/>
      <c r="BG68" s="248"/>
      <c r="BH68" s="248"/>
      <c r="BI68" s="248"/>
      <c r="BJ68" s="248"/>
      <c r="BK68" s="248"/>
    </row>
    <row r="69" s="25" customFormat="1" ht="10.5" customHeight="1">
      <c r="A69" s="248"/>
      <c r="B69" s="666"/>
      <c r="C69" s="666"/>
      <c r="D69" s="666"/>
      <c r="E69" s="666"/>
      <c r="F69" s="666"/>
      <c r="G69" s="666"/>
      <c r="H69" s="666"/>
      <c r="I69" s="666"/>
      <c r="J69" s="666"/>
      <c r="K69" s="666"/>
      <c r="L69" s="666"/>
      <c r="M69" s="666"/>
      <c r="N69" s="666"/>
      <c r="O69" s="666"/>
      <c r="P69" s="666"/>
      <c r="Q69" s="666"/>
      <c r="R69" s="666"/>
      <c r="S69" s="666"/>
      <c r="T69" s="666"/>
      <c r="U69" s="666"/>
      <c r="V69" s="666"/>
      <c r="W69" s="666"/>
      <c r="X69" s="666"/>
      <c r="Y69" s="666"/>
      <c r="Z69" s="666"/>
      <c r="AA69" s="666"/>
      <c r="AB69" s="666"/>
      <c r="AC69" s="666"/>
      <c r="AD69" s="666"/>
      <c r="AE69" s="666"/>
      <c r="AF69" s="666"/>
      <c r="AG69" s="666"/>
      <c r="AH69" s="666"/>
      <c r="AI69" s="248"/>
      <c r="AJ69" s="248"/>
      <c r="AK69" s="248"/>
      <c r="AL69" s="248"/>
      <c r="AM69" s="248"/>
      <c r="AN69" s="248"/>
      <c r="AO69" s="248"/>
      <c r="AP69" s="248"/>
      <c r="AQ69" s="248"/>
      <c r="AR69" s="248"/>
      <c r="AS69" s="248"/>
      <c r="AT69" s="248"/>
      <c r="AU69" s="248"/>
      <c r="AV69" s="248"/>
      <c r="AW69" s="248"/>
      <c r="AX69" s="248"/>
      <c r="AY69" s="248"/>
      <c r="AZ69" s="248"/>
      <c r="BA69" s="248"/>
      <c r="BB69" s="248"/>
      <c r="BC69" s="248"/>
      <c r="BD69" s="248"/>
      <c r="BE69" s="248"/>
      <c r="BF69" s="248"/>
      <c r="BG69" s="248"/>
      <c r="BH69" s="248"/>
      <c r="BI69" s="248"/>
      <c r="BJ69" s="248"/>
      <c r="BK69" s="248"/>
    </row>
    <row r="70" s="84" customFormat="1">
      <c r="A70" s="256"/>
      <c r="B70" s="666"/>
      <c r="C70" s="666"/>
      <c r="D70" s="666"/>
      <c r="E70" s="666"/>
      <c r="F70" s="666"/>
      <c r="G70" s="666"/>
      <c r="H70" s="666"/>
      <c r="I70" s="666"/>
      <c r="J70" s="666"/>
      <c r="K70" s="666"/>
      <c r="L70" s="666"/>
      <c r="M70" s="666"/>
      <c r="N70" s="666"/>
      <c r="O70" s="666"/>
      <c r="P70" s="666"/>
      <c r="Q70" s="666"/>
      <c r="R70" s="666"/>
      <c r="S70" s="666"/>
      <c r="T70" s="666"/>
      <c r="U70" s="666"/>
      <c r="V70" s="666"/>
      <c r="W70" s="666"/>
      <c r="X70" s="666"/>
      <c r="Y70" s="666"/>
      <c r="Z70" s="666"/>
      <c r="AA70" s="666"/>
      <c r="AB70" s="666"/>
      <c r="AC70" s="666"/>
      <c r="AD70" s="666"/>
      <c r="AE70" s="666"/>
      <c r="AF70" s="666"/>
      <c r="AG70" s="666"/>
      <c r="AH70" s="666"/>
      <c r="AI70" s="249"/>
      <c r="AJ70" s="249"/>
      <c r="AK70" s="249"/>
      <c r="AL70" s="249"/>
      <c r="AM70" s="249"/>
      <c r="AN70" s="249"/>
      <c r="AO70" s="249"/>
      <c r="AP70" s="249"/>
      <c r="AQ70" s="249"/>
      <c r="AR70" s="249"/>
      <c r="AS70" s="249"/>
      <c r="AT70" s="249"/>
      <c r="AU70" s="249"/>
      <c r="AV70" s="249"/>
      <c r="AW70" s="249"/>
      <c r="AX70" s="249"/>
      <c r="AY70" s="249"/>
      <c r="AZ70" s="249"/>
      <c r="BA70" s="249"/>
      <c r="BB70" s="249"/>
      <c r="BC70" s="249"/>
      <c r="BD70" s="249"/>
      <c r="BE70" s="249"/>
      <c r="BF70" s="249"/>
      <c r="BG70" s="249"/>
      <c r="BH70" s="249"/>
      <c r="BI70" s="249"/>
      <c r="BJ70" s="249"/>
      <c r="BK70" s="249"/>
    </row>
    <row r="71" s="84" customFormat="1">
      <c r="A71" s="256"/>
      <c r="B71" s="666">
        <v>1</v>
      </c>
      <c r="C71" s="666">
        <v>2</v>
      </c>
      <c r="D71" s="666">
        <v>3</v>
      </c>
      <c r="E71" s="666">
        <v>4</v>
      </c>
      <c r="F71" s="666">
        <v>5</v>
      </c>
      <c r="G71" s="666">
        <v>6</v>
      </c>
      <c r="H71" s="666">
        <v>7</v>
      </c>
      <c r="I71" s="666">
        <v>8</v>
      </c>
      <c r="J71" s="666">
        <v>9</v>
      </c>
      <c r="K71" s="666">
        <v>10</v>
      </c>
      <c r="L71" s="666">
        <v>11</v>
      </c>
      <c r="M71" s="666">
        <v>12</v>
      </c>
      <c r="N71" s="666"/>
      <c r="O71" s="666"/>
      <c r="P71" s="666"/>
      <c r="Q71" s="666"/>
      <c r="R71" s="666"/>
      <c r="S71" s="666"/>
      <c r="T71" s="666"/>
      <c r="U71" s="666"/>
      <c r="V71" s="666"/>
      <c r="W71" s="666"/>
      <c r="X71" s="666"/>
      <c r="Y71" s="666"/>
      <c r="Z71" s="666"/>
      <c r="AA71" s="666"/>
      <c r="AB71" s="666"/>
      <c r="AC71" s="666"/>
      <c r="AD71" s="666"/>
      <c r="AE71" s="666"/>
      <c r="AF71" s="666"/>
      <c r="AG71" s="666"/>
      <c r="AH71" s="666"/>
      <c r="AI71" s="249"/>
      <c r="AJ71" s="249"/>
      <c r="AK71" s="249"/>
      <c r="AL71" s="249"/>
      <c r="AM71" s="249"/>
      <c r="AN71" s="249"/>
      <c r="AO71" s="249"/>
      <c r="AP71" s="249"/>
      <c r="AQ71" s="249"/>
      <c r="AR71" s="249"/>
      <c r="AS71" s="249"/>
      <c r="AT71" s="249"/>
      <c r="AU71" s="249"/>
      <c r="AV71" s="249"/>
      <c r="AW71" s="249"/>
      <c r="AX71" s="249"/>
      <c r="AY71" s="249"/>
      <c r="AZ71" s="249"/>
      <c r="BA71" s="249"/>
      <c r="BB71" s="249"/>
      <c r="BC71" s="249"/>
      <c r="BD71" s="249"/>
      <c r="BE71" s="249"/>
      <c r="BF71" s="249"/>
      <c r="BG71" s="249"/>
      <c r="BH71" s="249"/>
      <c r="BI71" s="249"/>
      <c r="BJ71" s="249"/>
      <c r="BK71" s="249"/>
    </row>
    <row r="72" s="84" customFormat="1">
      <c r="A72" s="256"/>
      <c r="B72" s="666" t="n">
        <v>45724</v>
      </c>
      <c r="C72" s="666">
        <v>45731</v>
      </c>
      <c r="D72" s="666">
        <v>45738</v>
      </c>
      <c r="E72" s="666">
        <v>45745</v>
      </c>
      <c r="F72" s="666">
        <v>45752</v>
      </c>
      <c r="G72" s="666">
        <v>45759</v>
      </c>
      <c r="H72" s="666">
        <v>45766</v>
      </c>
      <c r="I72" s="666">
        <v>45773</v>
      </c>
      <c r="J72" s="666">
        <v>45780</v>
      </c>
      <c r="K72" s="666">
        <v>45787</v>
      </c>
      <c r="L72" s="666">
        <v>45794</v>
      </c>
      <c r="M72" s="666">
        <v>45801</v>
      </c>
      <c r="N72" s="666"/>
      <c r="O72" s="666"/>
      <c r="P72" s="666"/>
      <c r="Q72" s="666"/>
      <c r="R72" s="666"/>
      <c r="S72" s="666"/>
      <c r="T72" s="666"/>
      <c r="U72" s="666"/>
      <c r="V72" s="666"/>
      <c r="W72" s="666"/>
      <c r="X72" s="666"/>
      <c r="Y72" s="666"/>
      <c r="Z72" s="666"/>
      <c r="AA72" s="666"/>
      <c r="AB72" s="666"/>
      <c r="AC72" s="666"/>
      <c r="AD72" s="666"/>
      <c r="AE72" s="666"/>
      <c r="AF72" s="666"/>
      <c r="AG72" s="666"/>
      <c r="AH72" s="666"/>
      <c r="AI72" s="249"/>
      <c r="AJ72" s="249"/>
      <c r="AK72" s="249"/>
      <c r="AL72" s="249"/>
      <c r="AM72" s="249"/>
      <c r="AN72" s="249"/>
      <c r="AO72" s="249"/>
      <c r="AP72" s="249"/>
      <c r="AQ72" s="249"/>
      <c r="AR72" s="249"/>
      <c r="AS72" s="249"/>
      <c r="AT72" s="249"/>
      <c r="AU72" s="249"/>
      <c r="AV72" s="249"/>
      <c r="AW72" s="249"/>
      <c r="AX72" s="249"/>
      <c r="AY72" s="249"/>
      <c r="AZ72" s="249"/>
      <c r="BA72" s="249"/>
      <c r="BB72" s="249"/>
      <c r="BC72" s="249"/>
      <c r="BD72" s="249"/>
      <c r="BE72" s="249"/>
      <c r="BF72" s="249"/>
      <c r="BG72" s="249"/>
      <c r="BH72" s="249"/>
      <c r="BI72" s="249"/>
      <c r="BJ72" s="249"/>
      <c r="BK72" s="249"/>
    </row>
    <row r="73" s="84" customFormat="1" ht="14.25">
      <c r="A73" s="260" t="s">
        <v>32</v>
      </c>
      <c r="B73" s="666">
        <v>294.28199052132701421800947867</v>
      </c>
      <c r="C73" s="666">
        <v>272.44761904761904761904761905</v>
      </c>
      <c r="D73" s="666">
        <v>292.02738095238095238095238095</v>
      </c>
      <c r="E73" s="666">
        <v>328.03836930455635491606714628</v>
      </c>
      <c r="F73" s="666">
        <v>264.93856655290102389078498294</v>
      </c>
      <c r="G73" s="666">
        <v>297.68166089965397923875432526</v>
      </c>
      <c r="H73" s="666">
        <v>261.60854893138357705286839145</v>
      </c>
      <c r="I73" s="666">
        <v>236.04422604422604422604422604</v>
      </c>
      <c r="J73" s="666">
        <v>322.13578826237054085155350978</v>
      </c>
      <c r="K73" s="666">
        <v>232.81440443213296398891966759</v>
      </c>
      <c r="L73" s="666">
        <v>199.37266187050359712230215827</v>
      </c>
      <c r="M73" s="666">
        <v>210.57524271844660194174757282</v>
      </c>
      <c r="N73" s="666"/>
      <c r="O73" s="666"/>
      <c r="P73" s="666"/>
      <c r="Q73" s="666"/>
      <c r="R73" s="666"/>
      <c r="S73" s="666"/>
      <c r="T73" s="666"/>
      <c r="U73" s="666"/>
      <c r="V73" s="666"/>
      <c r="W73" s="666"/>
      <c r="X73" s="666"/>
      <c r="Y73" s="666"/>
      <c r="Z73" s="666"/>
      <c r="AA73" s="666"/>
      <c r="AB73" s="666"/>
      <c r="AC73" s="666"/>
      <c r="AD73" s="666"/>
      <c r="AE73" s="666"/>
      <c r="AF73" s="666"/>
      <c r="AG73" s="666"/>
      <c r="AH73" s="666"/>
      <c r="AI73" s="249"/>
      <c r="AJ73" s="249"/>
      <c r="AK73" s="249"/>
      <c r="AL73" s="249"/>
      <c r="AM73" s="249"/>
      <c r="AN73" s="249"/>
      <c r="AO73" s="249"/>
      <c r="AP73" s="249"/>
      <c r="AQ73" s="249"/>
      <c r="AR73" s="249"/>
      <c r="AS73" s="249"/>
      <c r="AT73" s="249"/>
      <c r="AU73" s="249"/>
      <c r="AV73" s="249"/>
      <c r="AW73" s="249"/>
      <c r="AX73" s="249"/>
      <c r="AY73" s="249"/>
      <c r="AZ73" s="249"/>
      <c r="BA73" s="249"/>
      <c r="BB73" s="249"/>
      <c r="BC73" s="249"/>
      <c r="BD73" s="249"/>
      <c r="BE73" s="249"/>
      <c r="BF73" s="249"/>
      <c r="BG73" s="249"/>
      <c r="BH73" s="249"/>
      <c r="BI73" s="249"/>
      <c r="BJ73" s="249"/>
      <c r="BK73" s="249"/>
    </row>
    <row r="74" s="84" customFormat="1" ht="14.25">
      <c r="A74" s="260" t="s">
        <v>26</v>
      </c>
      <c r="B74" s="666">
        <v>317.11276923076923076923076924</v>
      </c>
      <c r="C74" s="666">
        <v>285.67296720789557465775230818</v>
      </c>
      <c r="D74" s="666">
        <v>300.09978864547979018821351435</v>
      </c>
      <c r="E74" s="666">
        <v>306.30572340086138140054235125</v>
      </c>
      <c r="F74" s="666">
        <v>252.22283348722976896495920952</v>
      </c>
      <c r="G74" s="666">
        <v>283.71227407847800237812128419</v>
      </c>
      <c r="H74" s="666">
        <v>258.67207137433561123766135156</v>
      </c>
      <c r="I74" s="666">
        <v>234.59271866012519032312637456</v>
      </c>
      <c r="J74" s="666">
        <v>332.01755887084978791867778265</v>
      </c>
      <c r="K74" s="666">
        <v>212.53505946313285762827047231</v>
      </c>
      <c r="L74" s="666">
        <v>202.81512508809020436927413671</v>
      </c>
      <c r="M74" s="666">
        <v>237.39520525492286117164268923</v>
      </c>
      <c r="N74" s="666"/>
      <c r="O74" s="666"/>
      <c r="P74" s="666"/>
      <c r="Q74" s="666"/>
      <c r="R74" s="666"/>
      <c r="S74" s="666"/>
      <c r="T74" s="666"/>
      <c r="U74" s="666"/>
      <c r="V74" s="666"/>
      <c r="W74" s="666"/>
      <c r="X74" s="666"/>
      <c r="Y74" s="666"/>
      <c r="Z74" s="666"/>
      <c r="AA74" s="666"/>
      <c r="AB74" s="666"/>
      <c r="AC74" s="666"/>
      <c r="AD74" s="666"/>
      <c r="AE74" s="666"/>
      <c r="AF74" s="666"/>
      <c r="AG74" s="666"/>
      <c r="AH74" s="666"/>
      <c r="AI74" s="249"/>
      <c r="AJ74" s="249"/>
      <c r="AK74" s="249"/>
      <c r="AL74" s="249"/>
      <c r="AM74" s="249"/>
      <c r="AN74" s="249"/>
      <c r="AO74" s="249"/>
      <c r="AP74" s="249"/>
      <c r="AQ74" s="249"/>
      <c r="AR74" s="249"/>
      <c r="AS74" s="249"/>
      <c r="AT74" s="249"/>
      <c r="AU74" s="249"/>
      <c r="AV74" s="249"/>
      <c r="AW74" s="249"/>
      <c r="AX74" s="249"/>
      <c r="AY74" s="249"/>
      <c r="AZ74" s="249"/>
      <c r="BA74" s="249"/>
      <c r="BB74" s="249"/>
      <c r="BC74" s="249"/>
      <c r="BD74" s="249"/>
      <c r="BE74" s="249"/>
      <c r="BF74" s="249"/>
      <c r="BG74" s="249"/>
      <c r="BH74" s="249"/>
      <c r="BI74" s="249"/>
      <c r="BJ74" s="249"/>
      <c r="BK74" s="249"/>
    </row>
    <row r="75" s="84" customFormat="1" ht="14.25">
      <c r="A75" s="260" t="s">
        <v>185</v>
      </c>
      <c r="B75" s="666">
        <v>289.62673644313855034163812438</v>
      </c>
      <c r="C75" s="666">
        <v>265.91052232316317279404962348</v>
      </c>
      <c r="D75" s="666">
        <v>286.60591050570634894072760133</v>
      </c>
      <c r="E75" s="666">
        <v>303.53818418460672576333192627</v>
      </c>
      <c r="F75" s="666">
        <v>260.3981971594780147790996279</v>
      </c>
      <c r="G75" s="666">
        <v>261.89942077443977236266612628</v>
      </c>
      <c r="H75" s="666">
        <v>255.10352979986804486474598636</v>
      </c>
      <c r="I75" s="666">
        <v>229.51864479846373914917798287</v>
      </c>
      <c r="J75" s="666">
        <v>288.92838980938294583949611952</v>
      </c>
      <c r="K75" s="666">
        <v>226.77635622326216634196308422</v>
      </c>
      <c r="L75" s="666">
        <v>209.30259012234543148246654937</v>
      </c>
      <c r="M75" s="666">
        <v>204.75204114304010245737613063</v>
      </c>
      <c r="N75" s="666"/>
      <c r="O75" s="666"/>
      <c r="P75" s="666"/>
      <c r="Q75" s="666"/>
      <c r="R75" s="666"/>
      <c r="S75" s="666"/>
      <c r="T75" s="666"/>
      <c r="U75" s="666"/>
      <c r="V75" s="666"/>
      <c r="W75" s="666"/>
      <c r="X75" s="666"/>
      <c r="Y75" s="666"/>
      <c r="Z75" s="666"/>
      <c r="AA75" s="666"/>
      <c r="AB75" s="666"/>
      <c r="AC75" s="666"/>
      <c r="AD75" s="666"/>
      <c r="AE75" s="666"/>
      <c r="AF75" s="666"/>
      <c r="AG75" s="666"/>
      <c r="AH75" s="666"/>
      <c r="AI75" s="249"/>
      <c r="AJ75" s="249"/>
      <c r="AK75" s="249"/>
      <c r="AL75" s="249"/>
      <c r="AM75" s="249"/>
      <c r="AN75" s="249"/>
      <c r="AO75" s="249"/>
      <c r="AP75" s="249"/>
      <c r="AQ75" s="249"/>
      <c r="AR75" s="249"/>
      <c r="AS75" s="249"/>
      <c r="AT75" s="249"/>
      <c r="AU75" s="249"/>
      <c r="AV75" s="249"/>
      <c r="AW75" s="249"/>
      <c r="AX75" s="249"/>
      <c r="AY75" s="249"/>
      <c r="AZ75" s="249"/>
      <c r="BA75" s="249"/>
      <c r="BB75" s="249"/>
      <c r="BC75" s="249"/>
      <c r="BD75" s="249"/>
      <c r="BE75" s="249"/>
      <c r="BF75" s="249"/>
      <c r="BG75" s="249"/>
      <c r="BH75" s="249"/>
      <c r="BI75" s="249"/>
      <c r="BJ75" s="249"/>
      <c r="BK75" s="249"/>
    </row>
    <row r="76" s="84" customFormat="1">
      <c r="A76" s="256"/>
      <c r="B76" s="666"/>
      <c r="C76" s="666"/>
      <c r="D76" s="666"/>
      <c r="E76" s="666"/>
      <c r="F76" s="666"/>
      <c r="G76" s="666"/>
      <c r="H76" s="666"/>
      <c r="I76" s="666"/>
      <c r="J76" s="666"/>
      <c r="K76" s="666"/>
      <c r="L76" s="666"/>
      <c r="M76" s="666"/>
      <c r="N76" s="666"/>
      <c r="O76" s="666"/>
      <c r="P76" s="666"/>
      <c r="Q76" s="666"/>
      <c r="R76" s="666"/>
      <c r="S76" s="666"/>
      <c r="T76" s="666"/>
      <c r="U76" s="666"/>
      <c r="V76" s="666"/>
      <c r="W76" s="666"/>
      <c r="X76" s="666"/>
      <c r="Y76" s="666"/>
      <c r="Z76" s="666"/>
      <c r="AA76" s="666"/>
      <c r="AB76" s="666"/>
      <c r="AC76" s="666"/>
      <c r="AD76" s="666"/>
      <c r="AE76" s="666"/>
      <c r="AF76" s="666"/>
      <c r="AG76" s="666"/>
      <c r="AH76" s="666"/>
      <c r="AI76" s="249"/>
      <c r="AJ76" s="249"/>
      <c r="AK76" s="249"/>
      <c r="AL76" s="249"/>
      <c r="AM76" s="249"/>
      <c r="AN76" s="249"/>
      <c r="AO76" s="249"/>
      <c r="AP76" s="249"/>
      <c r="AQ76" s="249"/>
      <c r="AR76" s="249"/>
      <c r="AS76" s="249"/>
      <c r="AT76" s="249"/>
      <c r="AU76" s="249"/>
      <c r="AV76" s="249"/>
      <c r="AW76" s="249"/>
      <c r="AX76" s="249"/>
      <c r="AY76" s="249"/>
      <c r="AZ76" s="249"/>
      <c r="BA76" s="249"/>
      <c r="BB76" s="249"/>
      <c r="BC76" s="249"/>
      <c r="BD76" s="249"/>
      <c r="BE76" s="249"/>
      <c r="BF76" s="249"/>
      <c r="BG76" s="249"/>
      <c r="BH76" s="249"/>
      <c r="BI76" s="249"/>
      <c r="BJ76" s="249"/>
      <c r="BK76" s="249"/>
    </row>
    <row r="77">
      <c r="A77" s="256"/>
      <c r="B77" s="666"/>
      <c r="C77" s="666"/>
      <c r="D77" s="666"/>
      <c r="E77" s="666"/>
      <c r="F77" s="666"/>
      <c r="G77" s="666"/>
      <c r="H77" s="666"/>
      <c r="I77" s="666"/>
      <c r="J77" s="666"/>
      <c r="K77" s="666"/>
      <c r="L77" s="666"/>
      <c r="M77" s="666"/>
      <c r="N77" s="666"/>
      <c r="O77" s="666"/>
      <c r="P77" s="666"/>
      <c r="Q77" s="666"/>
      <c r="R77" s="666"/>
      <c r="S77" s="666"/>
      <c r="T77" s="666"/>
      <c r="U77" s="666"/>
      <c r="V77" s="666"/>
      <c r="W77" s="666"/>
      <c r="X77" s="666"/>
      <c r="Y77" s="666"/>
      <c r="Z77" s="666"/>
      <c r="AA77" s="666"/>
      <c r="AB77" s="666"/>
      <c r="AC77" s="666"/>
      <c r="AD77" s="666"/>
      <c r="AE77" s="666"/>
      <c r="AF77" s="666"/>
      <c r="AG77" s="666"/>
      <c r="AH77" s="666"/>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c r="BH77" s="244"/>
      <c r="BI77" s="244"/>
      <c r="BJ77" s="244"/>
      <c r="BK77" s="244"/>
    </row>
    <row r="78">
      <c r="A78" s="256"/>
      <c r="B78" s="666"/>
      <c r="C78" s="666"/>
      <c r="D78" s="666"/>
      <c r="E78" s="666"/>
      <c r="F78" s="666"/>
      <c r="G78" s="666"/>
      <c r="H78" s="666"/>
      <c r="I78" s="666"/>
      <c r="J78" s="666"/>
      <c r="K78" s="666"/>
      <c r="L78" s="666"/>
      <c r="M78" s="666"/>
      <c r="N78" s="666"/>
      <c r="O78" s="666"/>
      <c r="P78" s="666"/>
      <c r="Q78" s="666"/>
      <c r="R78" s="666"/>
      <c r="S78" s="666"/>
      <c r="T78" s="666"/>
      <c r="U78" s="666"/>
      <c r="V78" s="666"/>
      <c r="W78" s="666"/>
      <c r="X78" s="666"/>
      <c r="Y78" s="666"/>
      <c r="Z78" s="666"/>
      <c r="AA78" s="666"/>
      <c r="AB78" s="666"/>
      <c r="AC78" s="666"/>
      <c r="AD78" s="666"/>
      <c r="AE78" s="666"/>
      <c r="AF78" s="666"/>
      <c r="AG78" s="666"/>
      <c r="AH78" s="666"/>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c r="BK78" s="244"/>
    </row>
    <row r="79">
      <c r="A79" s="256"/>
      <c r="B79" s="666"/>
      <c r="C79" s="666"/>
      <c r="D79" s="666"/>
      <c r="E79" s="666"/>
      <c r="F79" s="666"/>
      <c r="G79" s="666"/>
      <c r="H79" s="666"/>
      <c r="I79" s="666"/>
      <c r="J79" s="666"/>
      <c r="K79" s="666"/>
      <c r="L79" s="666"/>
      <c r="M79" s="666"/>
      <c r="N79" s="666"/>
      <c r="O79" s="666"/>
      <c r="P79" s="666"/>
      <c r="Q79" s="666"/>
      <c r="R79" s="666"/>
      <c r="S79" s="666"/>
      <c r="T79" s="666"/>
      <c r="U79" s="666"/>
      <c r="V79" s="666"/>
      <c r="W79" s="666"/>
      <c r="X79" s="666"/>
      <c r="Y79" s="666"/>
      <c r="Z79" s="666"/>
      <c r="AA79" s="666"/>
      <c r="AB79" s="666"/>
      <c r="AC79" s="666"/>
      <c r="AD79" s="666"/>
      <c r="AE79" s="666"/>
      <c r="AF79" s="666"/>
      <c r="AG79" s="666"/>
      <c r="AH79" s="666"/>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c r="BK79" s="244"/>
    </row>
    <row r="80">
      <c r="A80" s="244"/>
      <c r="B80" s="666"/>
      <c r="C80" s="666"/>
      <c r="D80" s="666"/>
      <c r="E80" s="666"/>
      <c r="F80" s="666"/>
      <c r="G80" s="666"/>
      <c r="H80" s="666"/>
      <c r="I80" s="666"/>
      <c r="J80" s="666"/>
      <c r="K80" s="666"/>
      <c r="L80" s="666"/>
      <c r="M80" s="666"/>
      <c r="N80" s="666"/>
      <c r="O80" s="666"/>
      <c r="P80" s="666"/>
      <c r="Q80" s="666"/>
      <c r="R80" s="666"/>
      <c r="S80" s="666"/>
      <c r="T80" s="666"/>
      <c r="U80" s="666"/>
      <c r="V80" s="666"/>
      <c r="W80" s="666"/>
      <c r="X80" s="666"/>
      <c r="Y80" s="666"/>
      <c r="Z80" s="666"/>
      <c r="AA80" s="666"/>
      <c r="AB80" s="666"/>
      <c r="AC80" s="666"/>
      <c r="AD80" s="666"/>
      <c r="AE80" s="666"/>
      <c r="AF80" s="666"/>
      <c r="AG80" s="666"/>
      <c r="AH80" s="666"/>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row>
    <row r="81">
      <c r="A81" s="244"/>
      <c r="B81" s="666"/>
      <c r="C81" s="666"/>
      <c r="D81" s="666"/>
      <c r="E81" s="666"/>
      <c r="F81" s="666"/>
      <c r="G81" s="666"/>
      <c r="H81" s="666"/>
      <c r="I81" s="666"/>
      <c r="J81" s="666"/>
      <c r="K81" s="666"/>
      <c r="L81" s="666"/>
      <c r="M81" s="666"/>
      <c r="N81" s="666"/>
      <c r="O81" s="666"/>
      <c r="P81" s="666"/>
      <c r="Q81" s="666"/>
      <c r="R81" s="666"/>
      <c r="S81" s="666"/>
      <c r="T81" s="666"/>
      <c r="U81" s="666"/>
      <c r="V81" s="666"/>
      <c r="W81" s="666"/>
      <c r="X81" s="666"/>
      <c r="Y81" s="666"/>
      <c r="Z81" s="666"/>
      <c r="AA81" s="666"/>
      <c r="AB81" s="666"/>
      <c r="AC81" s="666"/>
      <c r="AD81" s="666"/>
      <c r="AE81" s="666"/>
      <c r="AF81" s="666"/>
      <c r="AG81" s="666"/>
      <c r="AH81" s="666"/>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row>
    <row r="82">
      <c r="A82" s="244"/>
      <c r="B82" s="666"/>
      <c r="C82" s="666"/>
      <c r="D82" s="666"/>
      <c r="E82" s="666"/>
      <c r="F82" s="666"/>
      <c r="G82" s="666"/>
      <c r="H82" s="666"/>
      <c r="I82" s="666"/>
      <c r="J82" s="666"/>
      <c r="K82" s="666"/>
      <c r="L82" s="666"/>
      <c r="M82" s="666"/>
      <c r="N82" s="666"/>
      <c r="O82" s="666"/>
      <c r="P82" s="666"/>
      <c r="Q82" s="666"/>
      <c r="R82" s="666"/>
      <c r="S82" s="666"/>
      <c r="T82" s="666"/>
      <c r="U82" s="666"/>
      <c r="V82" s="666"/>
      <c r="W82" s="666"/>
      <c r="X82" s="666"/>
      <c r="Y82" s="666"/>
      <c r="Z82" s="666"/>
      <c r="AA82" s="666"/>
      <c r="AB82" s="666"/>
      <c r="AC82" s="666"/>
      <c r="AD82" s="666"/>
      <c r="AE82" s="666"/>
      <c r="AF82" s="666"/>
      <c r="AG82" s="666"/>
      <c r="AH82" s="666"/>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row>
    <row r="83">
      <c r="A83" s="244"/>
      <c r="B83" s="666"/>
      <c r="C83" s="666"/>
      <c r="D83" s="666"/>
      <c r="E83" s="666"/>
      <c r="F83" s="666"/>
      <c r="G83" s="666"/>
      <c r="H83" s="666"/>
      <c r="I83" s="666"/>
      <c r="J83" s="666"/>
      <c r="K83" s="666"/>
      <c r="L83" s="666"/>
      <c r="M83" s="666"/>
      <c r="N83" s="666"/>
      <c r="O83" s="666"/>
      <c r="P83" s="666"/>
      <c r="Q83" s="666"/>
      <c r="R83" s="666"/>
      <c r="S83" s="666"/>
      <c r="T83" s="666"/>
      <c r="U83" s="666"/>
      <c r="V83" s="666"/>
      <c r="W83" s="666"/>
      <c r="X83" s="666"/>
      <c r="Y83" s="666"/>
      <c r="Z83" s="666"/>
      <c r="AA83" s="666"/>
      <c r="AB83" s="666"/>
      <c r="AC83" s="666"/>
      <c r="AD83" s="666"/>
      <c r="AE83" s="666"/>
      <c r="AF83" s="666"/>
      <c r="AG83" s="666"/>
      <c r="AH83" s="666"/>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row>
    <row r="84">
      <c r="A84" s="244"/>
      <c r="B84" s="666"/>
      <c r="C84" s="666"/>
      <c r="D84" s="666"/>
      <c r="E84" s="666"/>
      <c r="F84" s="666"/>
      <c r="G84" s="666"/>
      <c r="H84" s="666"/>
      <c r="I84" s="666"/>
      <c r="J84" s="666"/>
      <c r="K84" s="666"/>
      <c r="L84" s="666"/>
      <c r="M84" s="666"/>
      <c r="N84" s="666"/>
      <c r="O84" s="666"/>
      <c r="P84" s="666"/>
      <c r="Q84" s="666"/>
      <c r="R84" s="666"/>
      <c r="S84" s="666"/>
      <c r="T84" s="666"/>
      <c r="U84" s="666"/>
      <c r="V84" s="666"/>
      <c r="W84" s="666"/>
      <c r="X84" s="666"/>
      <c r="Y84" s="666"/>
      <c r="Z84" s="666"/>
      <c r="AA84" s="666"/>
      <c r="AB84" s="666"/>
      <c r="AC84" s="666"/>
      <c r="AD84" s="666"/>
      <c r="AE84" s="666"/>
      <c r="AF84" s="666"/>
      <c r="AG84" s="666"/>
      <c r="AH84" s="666"/>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row>
    <row r="85">
      <c r="A85" s="244"/>
      <c r="B85" s="666"/>
      <c r="C85" s="666"/>
      <c r="D85" s="666"/>
      <c r="E85" s="666"/>
      <c r="F85" s="666"/>
      <c r="G85" s="666"/>
      <c r="H85" s="666"/>
      <c r="I85" s="666"/>
      <c r="J85" s="666"/>
      <c r="K85" s="666"/>
      <c r="L85" s="666"/>
      <c r="M85" s="666"/>
      <c r="N85" s="666"/>
      <c r="O85" s="666"/>
      <c r="P85" s="666"/>
      <c r="Q85" s="666"/>
      <c r="R85" s="666"/>
      <c r="S85" s="666"/>
      <c r="T85" s="666"/>
      <c r="U85" s="666"/>
      <c r="V85" s="666"/>
      <c r="W85" s="666"/>
      <c r="X85" s="666"/>
      <c r="Y85" s="666"/>
      <c r="Z85" s="666"/>
      <c r="AA85" s="666"/>
      <c r="AB85" s="666"/>
      <c r="AC85" s="666"/>
      <c r="AD85" s="666"/>
      <c r="AE85" s="666"/>
      <c r="AF85" s="666"/>
      <c r="AG85" s="666"/>
      <c r="AH85" s="666"/>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row>
    <row r="86">
      <c r="A86" s="244"/>
      <c r="B86" s="666"/>
      <c r="C86" s="666"/>
      <c r="D86" s="666"/>
      <c r="E86" s="666"/>
      <c r="F86" s="666"/>
      <c r="G86" s="666"/>
      <c r="H86" s="666"/>
      <c r="I86" s="666"/>
      <c r="J86" s="666"/>
      <c r="K86" s="666"/>
      <c r="L86" s="666"/>
      <c r="M86" s="666"/>
      <c r="N86" s="666"/>
      <c r="O86" s="666"/>
      <c r="P86" s="666"/>
      <c r="Q86" s="666"/>
      <c r="R86" s="666"/>
      <c r="S86" s="666"/>
      <c r="T86" s="666"/>
      <c r="U86" s="666"/>
      <c r="V86" s="666"/>
      <c r="W86" s="666"/>
      <c r="X86" s="666"/>
      <c r="Y86" s="666"/>
      <c r="Z86" s="666"/>
      <c r="AA86" s="666"/>
      <c r="AB86" s="666"/>
      <c r="AC86" s="666"/>
      <c r="AD86" s="666"/>
      <c r="AE86" s="666"/>
      <c r="AF86" s="666"/>
      <c r="AG86" s="666"/>
      <c r="AH86" s="666"/>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row>
    <row r="87">
      <c r="A87" s="244"/>
      <c r="B87" s="666"/>
      <c r="C87" s="666"/>
      <c r="D87" s="666"/>
      <c r="E87" s="666"/>
      <c r="F87" s="666"/>
      <c r="G87" s="666"/>
      <c r="H87" s="666"/>
      <c r="I87" s="666"/>
      <c r="J87" s="666"/>
      <c r="K87" s="666"/>
      <c r="L87" s="666"/>
      <c r="M87" s="666"/>
      <c r="N87" s="666"/>
      <c r="O87" s="666"/>
      <c r="P87" s="666"/>
      <c r="Q87" s="666"/>
      <c r="R87" s="666"/>
      <c r="S87" s="666"/>
      <c r="T87" s="666"/>
      <c r="U87" s="666"/>
      <c r="V87" s="666"/>
      <c r="W87" s="666"/>
      <c r="X87" s="666"/>
      <c r="Y87" s="666"/>
      <c r="Z87" s="666"/>
      <c r="AA87" s="666"/>
      <c r="AB87" s="666"/>
      <c r="AC87" s="666"/>
      <c r="AD87" s="666"/>
      <c r="AE87" s="666"/>
      <c r="AF87" s="666"/>
      <c r="AG87" s="666"/>
      <c r="AH87" s="666"/>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row>
    <row r="88">
      <c r="A88" s="244"/>
      <c r="B88" s="666"/>
      <c r="C88" s="666"/>
      <c r="D88" s="666"/>
      <c r="E88" s="666"/>
      <c r="F88" s="666"/>
      <c r="G88" s="666"/>
      <c r="H88" s="666"/>
      <c r="I88" s="666"/>
      <c r="J88" s="666"/>
      <c r="K88" s="666"/>
      <c r="L88" s="666"/>
      <c r="M88" s="666"/>
      <c r="N88" s="666"/>
      <c r="O88" s="666"/>
      <c r="P88" s="666"/>
      <c r="Q88" s="666"/>
      <c r="R88" s="666"/>
      <c r="S88" s="666"/>
      <c r="T88" s="666"/>
      <c r="U88" s="666"/>
      <c r="V88" s="666"/>
      <c r="W88" s="666"/>
      <c r="X88" s="666"/>
      <c r="Y88" s="666"/>
      <c r="Z88" s="666"/>
      <c r="AA88" s="666"/>
      <c r="AB88" s="666"/>
      <c r="AC88" s="666"/>
      <c r="AD88" s="666"/>
      <c r="AE88" s="666"/>
      <c r="AF88" s="666"/>
      <c r="AG88" s="666"/>
      <c r="AH88" s="666"/>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row>
    <row r="89">
      <c r="A89" s="244"/>
      <c r="B89" s="666"/>
      <c r="C89" s="666"/>
      <c r="D89" s="666"/>
      <c r="E89" s="666"/>
      <c r="F89" s="666"/>
      <c r="G89" s="666"/>
      <c r="H89" s="666"/>
      <c r="I89" s="666"/>
      <c r="J89" s="666"/>
      <c r="K89" s="666"/>
      <c r="L89" s="666"/>
      <c r="M89" s="666"/>
      <c r="N89" s="666"/>
      <c r="O89" s="666"/>
      <c r="P89" s="666"/>
      <c r="Q89" s="666"/>
      <c r="R89" s="666"/>
      <c r="S89" s="666"/>
      <c r="T89" s="666"/>
      <c r="U89" s="666"/>
      <c r="V89" s="666"/>
      <c r="W89" s="666"/>
      <c r="X89" s="666"/>
      <c r="Y89" s="666"/>
      <c r="Z89" s="666"/>
      <c r="AA89" s="666"/>
      <c r="AB89" s="666"/>
      <c r="AC89" s="666"/>
      <c r="AD89" s="666"/>
      <c r="AE89" s="666"/>
      <c r="AF89" s="666"/>
      <c r="AG89" s="666"/>
      <c r="AH89" s="666"/>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row>
    <row r="90">
      <c r="A90" s="244"/>
      <c r="B90" s="666"/>
      <c r="C90" s="666"/>
      <c r="D90" s="666"/>
      <c r="E90" s="666"/>
      <c r="F90" s="666"/>
      <c r="G90" s="666"/>
      <c r="H90" s="666"/>
      <c r="I90" s="666"/>
      <c r="J90" s="666"/>
      <c r="K90" s="666"/>
      <c r="L90" s="666"/>
      <c r="M90" s="666"/>
      <c r="N90" s="666"/>
      <c r="O90" s="666"/>
      <c r="P90" s="666"/>
      <c r="Q90" s="666"/>
      <c r="R90" s="666"/>
      <c r="S90" s="666"/>
      <c r="T90" s="666"/>
      <c r="U90" s="666"/>
      <c r="V90" s="666"/>
      <c r="W90" s="666"/>
      <c r="X90" s="666"/>
      <c r="Y90" s="666"/>
      <c r="Z90" s="666"/>
      <c r="AA90" s="666"/>
      <c r="AB90" s="666"/>
      <c r="AC90" s="666"/>
      <c r="AD90" s="666"/>
      <c r="AE90" s="666"/>
      <c r="AF90" s="666"/>
      <c r="AG90" s="666"/>
      <c r="AH90" s="666"/>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row>
    <row r="91">
      <c r="A91" s="244"/>
      <c r="B91" s="666"/>
      <c r="C91" s="666"/>
      <c r="D91" s="666"/>
      <c r="E91" s="666"/>
      <c r="F91" s="666"/>
      <c r="G91" s="666"/>
      <c r="H91" s="666"/>
      <c r="I91" s="666"/>
      <c r="J91" s="666"/>
      <c r="K91" s="666"/>
      <c r="L91" s="666"/>
      <c r="M91" s="666"/>
      <c r="N91" s="666"/>
      <c r="O91" s="666"/>
      <c r="P91" s="666"/>
      <c r="Q91" s="666"/>
      <c r="R91" s="666"/>
      <c r="S91" s="666"/>
      <c r="T91" s="666"/>
      <c r="U91" s="666"/>
      <c r="V91" s="666"/>
      <c r="W91" s="666"/>
      <c r="X91" s="666"/>
      <c r="Y91" s="666"/>
      <c r="Z91" s="666"/>
      <c r="AA91" s="666"/>
      <c r="AB91" s="666"/>
      <c r="AC91" s="666"/>
      <c r="AD91" s="666"/>
      <c r="AE91" s="666"/>
      <c r="AF91" s="666"/>
      <c r="AG91" s="666"/>
      <c r="AH91" s="666"/>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row>
    <row r="92">
      <c r="A92" s="244"/>
      <c r="B92" s="666"/>
      <c r="C92" s="666"/>
      <c r="D92" s="666"/>
      <c r="E92" s="666"/>
      <c r="F92" s="666"/>
      <c r="G92" s="666"/>
      <c r="H92" s="666"/>
      <c r="I92" s="666"/>
      <c r="J92" s="666"/>
      <c r="K92" s="666"/>
      <c r="L92" s="666"/>
      <c r="M92" s="666"/>
      <c r="N92" s="666"/>
      <c r="O92" s="666"/>
      <c r="P92" s="666"/>
      <c r="Q92" s="666"/>
      <c r="R92" s="666"/>
      <c r="S92" s="666"/>
      <c r="T92" s="666"/>
      <c r="U92" s="666"/>
      <c r="V92" s="666"/>
      <c r="W92" s="666"/>
      <c r="X92" s="666"/>
      <c r="Y92" s="666"/>
      <c r="Z92" s="666"/>
      <c r="AA92" s="666"/>
      <c r="AB92" s="666"/>
      <c r="AC92" s="666"/>
      <c r="AD92" s="666"/>
      <c r="AE92" s="666"/>
      <c r="AF92" s="666"/>
      <c r="AG92" s="666"/>
      <c r="AH92" s="666"/>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row>
    <row r="93">
      <c r="A93" s="244"/>
      <c r="B93" s="666"/>
      <c r="C93" s="666"/>
      <c r="D93" s="666"/>
      <c r="E93" s="666"/>
      <c r="F93" s="666"/>
      <c r="G93" s="666"/>
      <c r="H93" s="666"/>
      <c r="I93" s="666"/>
      <c r="J93" s="666"/>
      <c r="K93" s="666"/>
      <c r="L93" s="666"/>
      <c r="M93" s="666"/>
      <c r="N93" s="666"/>
      <c r="O93" s="666"/>
      <c r="P93" s="666"/>
      <c r="Q93" s="666"/>
      <c r="R93" s="666"/>
      <c r="S93" s="666"/>
      <c r="T93" s="666"/>
      <c r="U93" s="666"/>
      <c r="V93" s="666"/>
      <c r="W93" s="666"/>
      <c r="X93" s="666"/>
      <c r="Y93" s="666"/>
      <c r="Z93" s="666"/>
      <c r="AA93" s="666"/>
      <c r="AB93" s="666"/>
      <c r="AC93" s="666"/>
      <c r="AD93" s="666"/>
      <c r="AE93" s="666"/>
      <c r="AF93" s="666"/>
      <c r="AG93" s="666"/>
      <c r="AH93" s="666"/>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row>
    <row r="94">
      <c r="A94" s="244"/>
      <c r="B94" s="666"/>
      <c r="C94" s="666"/>
      <c r="D94" s="666"/>
      <c r="E94" s="666"/>
      <c r="F94" s="666"/>
      <c r="G94" s="666"/>
      <c r="H94" s="666"/>
      <c r="I94" s="666"/>
      <c r="J94" s="666"/>
      <c r="K94" s="666"/>
      <c r="L94" s="666"/>
      <c r="M94" s="666"/>
      <c r="N94" s="666"/>
      <c r="O94" s="666"/>
      <c r="P94" s="666"/>
      <c r="Q94" s="666"/>
      <c r="R94" s="666"/>
      <c r="S94" s="666"/>
      <c r="T94" s="666"/>
      <c r="U94" s="666"/>
      <c r="V94" s="666"/>
      <c r="W94" s="666"/>
      <c r="X94" s="666"/>
      <c r="Y94" s="666"/>
      <c r="Z94" s="666"/>
      <c r="AA94" s="666"/>
      <c r="AB94" s="666"/>
      <c r="AC94" s="666"/>
      <c r="AD94" s="666"/>
      <c r="AE94" s="666"/>
      <c r="AF94" s="666"/>
      <c r="AG94" s="666"/>
      <c r="AH94" s="666"/>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row>
    <row r="95">
      <c r="A95" s="244"/>
      <c r="B95" s="666"/>
      <c r="C95" s="666"/>
      <c r="D95" s="666"/>
      <c r="E95" s="666"/>
      <c r="F95" s="666"/>
      <c r="G95" s="666"/>
      <c r="H95" s="666"/>
      <c r="I95" s="666"/>
      <c r="J95" s="666"/>
      <c r="K95" s="666"/>
      <c r="L95" s="666"/>
      <c r="M95" s="666"/>
      <c r="N95" s="666"/>
      <c r="O95" s="666"/>
      <c r="P95" s="666"/>
      <c r="Q95" s="666"/>
      <c r="R95" s="666"/>
      <c r="S95" s="666"/>
      <c r="T95" s="666"/>
      <c r="U95" s="666"/>
      <c r="V95" s="666"/>
      <c r="W95" s="666"/>
      <c r="X95" s="666"/>
      <c r="Y95" s="666"/>
      <c r="Z95" s="666"/>
      <c r="AA95" s="666"/>
      <c r="AB95" s="666"/>
      <c r="AC95" s="666"/>
      <c r="AD95" s="666"/>
      <c r="AE95" s="666"/>
      <c r="AF95" s="666"/>
      <c r="AG95" s="666"/>
      <c r="AH95" s="666"/>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c r="BK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c r="BK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c r="BK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c r="BK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c r="BK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c r="BK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c r="BK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c r="BK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c r="BK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c r="BK113" s="244"/>
    </row>
  </sheetData>
  <mergeCells count="3">
    <mergeCell ref="X22:AD22"/>
    <mergeCell ref="R4:AG4"/>
    <mergeCell ref="B58:AH58"/>
  </mergeCells>
  <phoneticPr fontId="0" type="noConversion"/>
  <printOptions horizontalCentered="1" verticalCentered="1"/>
  <pageMargins left="0.25" right="0.25" top="0.25" bottom="0.25" header="0.19" footer="0.28"/>
  <pageSetup scale="55" orientation="landscape" r:id="rId1"/>
  <headerFooter alignWithMargins="0">
    <oddHeader/>
    <oddFooter/>
  </headerFooter>
  <drawing r:id="rId77"/>
</worksheet>
</file>

<file path=xl/worksheets/sheet7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A105"/>
  <sheetViews>
    <sheetView showGridLines="0" zoomScaleNormal="100" workbookViewId="0"/>
  </sheetViews>
  <sheetFormatPr defaultRowHeight="12.75"/>
  <cols>
    <col min="1" max="1" width="13.28515625" customWidth="1"/>
    <col min="2" max="2" width="3.85546875" customWidth="1"/>
    <col min="3" max="3" width="4.28515625" style="30" customWidth="1"/>
    <col min="4" max="15" width="7.7109375" customWidth="1"/>
    <col min="16" max="16" width="1.42578125" customWidth="1"/>
    <col min="17" max="28" width="7.7109375" customWidth="1"/>
    <col min="29" max="29" width="2.28515625" customWidth="1"/>
    <col min="30" max="32" width="9.140625" customWidth="1"/>
  </cols>
  <sheetData>
    <row r="1" ht="23.25">
      <c r="A1" s="39" t="s">
        <v>152</v>
      </c>
      <c r="B1" s="39"/>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row>
    <row r="2" ht="15" customHeight="1">
      <c r="A2" s="10" t="s">
        <v>168</v>
      </c>
      <c r="AA2" s="216"/>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row>
    <row r="3" ht="17.1" customHeight="1">
      <c r="A3" s="10" t="s">
        <v>181</v>
      </c>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row>
    <row r="4" ht="17.1" customHeight="1">
      <c r="A4" t="s">
        <v>182</v>
      </c>
      <c r="B4" s="442"/>
      <c r="C4" s="211"/>
      <c r="D4" s="212"/>
      <c r="E4" s="212"/>
      <c r="F4" s="212"/>
      <c r="G4" s="212"/>
      <c r="H4" s="212"/>
      <c r="I4" s="212"/>
      <c r="J4" s="212"/>
      <c r="K4" s="212"/>
      <c r="L4" s="212"/>
      <c r="M4" s="212"/>
      <c r="N4" s="212"/>
      <c r="O4" s="212"/>
      <c r="P4" s="212"/>
      <c r="Q4" s="212"/>
      <c r="R4" s="677" t="s">
        <v>184</v>
      </c>
      <c r="S4" s="677"/>
      <c r="T4" s="677"/>
      <c r="U4" s="677"/>
      <c r="V4" s="677"/>
      <c r="W4" s="677"/>
      <c r="X4" s="677"/>
      <c r="Y4" s="677"/>
      <c r="Z4" s="677"/>
      <c r="AA4" s="677"/>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c r="AZ6" s="244"/>
      <c r="BA6" s="244"/>
    </row>
    <row r="7" ht="15.75">
      <c r="D7" s="621" t="s">
        <v>12</v>
      </c>
      <c r="E7" s="621"/>
      <c r="F7" s="621"/>
      <c r="G7" s="621"/>
      <c r="H7" s="621"/>
      <c r="I7" s="621"/>
      <c r="J7" s="621"/>
      <c r="K7" s="621"/>
      <c r="L7" s="621"/>
      <c r="M7" s="621"/>
      <c r="N7" s="621"/>
      <c r="O7" s="621"/>
      <c r="Q7" s="621" t="s">
        <v>86</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row>
    <row r="8" ht="15.75">
      <c r="D8" s="678" t="s">
        <v>21</v>
      </c>
      <c r="E8" s="678"/>
      <c r="F8" s="678"/>
      <c r="G8" s="678" t="s">
        <v>24</v>
      </c>
      <c r="H8" s="678"/>
      <c r="I8" s="678"/>
      <c r="J8" s="678" t="s">
        <v>25</v>
      </c>
      <c r="K8" s="678"/>
      <c r="L8" s="678"/>
      <c r="M8" s="678" t="s">
        <v>23</v>
      </c>
      <c r="N8" s="678"/>
      <c r="O8" s="678"/>
      <c r="Q8" s="678" t="s">
        <v>21</v>
      </c>
      <c r="R8" s="678"/>
      <c r="S8" s="678"/>
      <c r="T8" s="678" t="s">
        <v>24</v>
      </c>
      <c r="U8" s="678"/>
      <c r="V8" s="678"/>
      <c r="W8" s="678" t="s">
        <v>25</v>
      </c>
      <c r="X8" s="678"/>
      <c r="Y8" s="678"/>
      <c r="Z8" s="678" t="s">
        <v>23</v>
      </c>
      <c r="AA8" s="678"/>
      <c r="AB8" s="678"/>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row>
    <row r="9" ht="27" customHeight="1">
      <c r="A9" s="92"/>
      <c r="D9" s="339" t="s">
        <v>63</v>
      </c>
      <c r="E9" s="340" t="s">
        <v>26</v>
      </c>
      <c r="F9" s="341" t="s">
        <v>185</v>
      </c>
      <c r="G9" s="339" t="s">
        <v>63</v>
      </c>
      <c r="H9" s="340" t="s">
        <v>26</v>
      </c>
      <c r="I9" s="341" t="s">
        <v>185</v>
      </c>
      <c r="J9" s="339" t="s">
        <v>63</v>
      </c>
      <c r="K9" s="340" t="s">
        <v>26</v>
      </c>
      <c r="L9" s="341" t="s">
        <v>185</v>
      </c>
      <c r="M9" s="339" t="s">
        <v>63</v>
      </c>
      <c r="N9" s="340" t="s">
        <v>26</v>
      </c>
      <c r="O9" s="341" t="s">
        <v>185</v>
      </c>
      <c r="P9" s="96"/>
      <c r="Q9" s="339" t="s">
        <v>63</v>
      </c>
      <c r="R9" s="340" t="s">
        <v>26</v>
      </c>
      <c r="S9" s="341" t="s">
        <v>185</v>
      </c>
      <c r="T9" s="339" t="s">
        <v>63</v>
      </c>
      <c r="U9" s="340" t="s">
        <v>26</v>
      </c>
      <c r="V9" s="341" t="s">
        <v>185</v>
      </c>
      <c r="W9" s="339" t="s">
        <v>63</v>
      </c>
      <c r="X9" s="340" t="s">
        <v>26</v>
      </c>
      <c r="Y9" s="341" t="s">
        <v>185</v>
      </c>
      <c r="Z9" s="339" t="s">
        <v>63</v>
      </c>
      <c r="AA9" s="340" t="s">
        <v>26</v>
      </c>
      <c r="AB9" s="341" t="s">
        <v>185</v>
      </c>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row>
    <row r="10" ht="15.6" customHeight="1">
      <c r="A10" s="92" t="s">
        <v>186</v>
      </c>
      <c r="B10" s="342">
        <v>27</v>
      </c>
      <c r="C10" s="343" t="s">
        <v>49</v>
      </c>
      <c r="D10" s="374">
        <v>245.4077669902912621359223301</v>
      </c>
      <c r="E10" s="382">
        <v>250.61144323693437902203732677</v>
      </c>
      <c r="F10" s="375">
        <v>234.995784855727160445018738</v>
      </c>
      <c r="G10" s="374">
        <v>307</v>
      </c>
      <c r="H10" s="382">
        <v>274.24113818466113515375355097</v>
      </c>
      <c r="I10" s="375">
        <v>278.16967677006185376564652872</v>
      </c>
      <c r="J10" s="374">
        <v>0</v>
      </c>
      <c r="K10" s="382">
        <v>0</v>
      </c>
      <c r="L10" s="375">
        <v>170.00229574313269313956097592</v>
      </c>
      <c r="M10" s="374">
        <v>248.25925925925925925925925926</v>
      </c>
      <c r="N10" s="382">
        <v>252.23926666666666666666666667</v>
      </c>
      <c r="O10" s="375">
        <v>238.97769095034030753718174943</v>
      </c>
      <c r="P10" s="4"/>
      <c r="Q10" s="354">
        <v>17.155403581524624835740495200</v>
      </c>
      <c r="R10" s="355">
        <v>21.217671140214666541018314030</v>
      </c>
      <c r="S10" s="356">
        <v>16.012737872745144185434144960</v>
      </c>
      <c r="T10" s="354">
        <v>29.809725158562367864693446090</v>
      </c>
      <c r="U10" s="355">
        <v>13.621031703509949641764160380</v>
      </c>
      <c r="V10" s="356">
        <v>-22.452238607501781967428516030</v>
      </c>
      <c r="W10" s="354">
        <v>0</v>
      </c>
      <c r="X10" s="355">
        <v>-100</v>
      </c>
      <c r="Y10" s="356">
        <v>-1.9569704835240355431075674800</v>
      </c>
      <c r="Z10" s="354">
        <v>18.044395298346388832166190340</v>
      </c>
      <c r="AA10" s="355">
        <v>18.638053578422025263062124500</v>
      </c>
      <c r="AB10" s="356">
        <v>5.9658298927888029846474207600</v>
      </c>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row>
    <row r="11" ht="15.6" customHeight="1">
      <c r="A11" s="92"/>
      <c r="B11" s="344">
        <v>28</v>
      </c>
      <c r="C11" s="345" t="s">
        <v>47</v>
      </c>
      <c r="D11" s="370">
        <v>290.85148514851485148514851485</v>
      </c>
      <c r="E11" s="172">
        <v>314.00316862602755325228930057</v>
      </c>
      <c r="F11" s="371">
        <v>270.05454251857947940088590076</v>
      </c>
      <c r="G11" s="370">
        <v>261.60869565217391304347826087</v>
      </c>
      <c r="H11" s="172">
        <v>276.48909437668222687958896682</v>
      </c>
      <c r="I11" s="371">
        <v>292.37700115467010649311947808</v>
      </c>
      <c r="J11" s="370">
        <v>0</v>
      </c>
      <c r="K11" s="172">
        <v>0</v>
      </c>
      <c r="L11" s="371">
        <v>182.09465331812984441421366685</v>
      </c>
      <c r="M11" s="370">
        <v>285.42741935483870967741935484</v>
      </c>
      <c r="N11" s="172">
        <v>308.74</v>
      </c>
      <c r="O11" s="371">
        <v>269.46395280235988200589970501</v>
      </c>
      <c r="P11" s="4"/>
      <c r="Q11" s="327">
        <v>43.349874114203348482731470470</v>
      </c>
      <c r="R11" s="171">
        <v>68.239600027114461038548059460</v>
      </c>
      <c r="S11" s="328">
        <v>30.017215450192671999135701380</v>
      </c>
      <c r="T11" s="327">
        <v>22.211361472548397334179625520</v>
      </c>
      <c r="U11" s="171">
        <v>20.244580745739593720534494810</v>
      </c>
      <c r="V11" s="328">
        <v>-9.11059789081282333835712100</v>
      </c>
      <c r="W11" s="327">
        <v>0</v>
      </c>
      <c r="X11" s="171">
        <v>-100</v>
      </c>
      <c r="Y11" s="328">
        <v>13.731464248641815624985270420</v>
      </c>
      <c r="Z11" s="327">
        <v>39.668478907793841615267961070</v>
      </c>
      <c r="AA11" s="171">
        <v>57.748535558296518762358440040</v>
      </c>
      <c r="AB11" s="328">
        <v>15.276168032289406711044783640</v>
      </c>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row>
    <row r="12" ht="15.6" customHeight="1">
      <c r="A12" s="92"/>
      <c r="B12" s="346">
        <v>29</v>
      </c>
      <c r="C12" s="347" t="s">
        <v>48</v>
      </c>
      <c r="D12" s="378">
        <v>321.28846153846153846153846154</v>
      </c>
      <c r="E12" s="173">
        <v>332.98787278491512046821122171</v>
      </c>
      <c r="F12" s="379">
        <v>285.85712424495575532108601979</v>
      </c>
      <c r="G12" s="378">
        <v>269</v>
      </c>
      <c r="H12" s="173">
        <v>289.56476016209768166851899694</v>
      </c>
      <c r="I12" s="379">
        <v>298.66674273758086269555269833</v>
      </c>
      <c r="J12" s="378">
        <v>0</v>
      </c>
      <c r="K12" s="173">
        <v>0</v>
      </c>
      <c r="L12" s="379">
        <v>164.03871163353338702112055306</v>
      </c>
      <c r="M12" s="378">
        <v>311.484375000</v>
      </c>
      <c r="N12" s="173">
        <v>326.95688492063492063492063492</v>
      </c>
      <c r="O12" s="379">
        <v>280.38212775682779110958747572</v>
      </c>
      <c r="P12" s="4"/>
      <c r="Q12" s="359">
        <v>58.506573312646473477266207220</v>
      </c>
      <c r="R12" s="170">
        <v>89.59375469106964254247501931</v>
      </c>
      <c r="S12" s="360">
        <v>31.654865992023894901909847790</v>
      </c>
      <c r="T12" s="359">
        <v>34.053156146157134027218246320</v>
      </c>
      <c r="U12" s="170">
        <v>20.745175629979637283856825700</v>
      </c>
      <c r="V12" s="360">
        <v>-3.5337938587197017471659687200</v>
      </c>
      <c r="W12" s="359">
        <v>0</v>
      </c>
      <c r="X12" s="170">
        <v>-100</v>
      </c>
      <c r="Y12" s="360">
        <v>14.095623756682989473296922140</v>
      </c>
      <c r="Z12" s="359">
        <v>53.888258091494352817341186950</v>
      </c>
      <c r="AA12" s="170">
        <v>70.602431317376797184219190190</v>
      </c>
      <c r="AB12" s="360">
        <v>17.443933770330888165260761730</v>
      </c>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row>
    <row r="13" ht="15.6" customHeight="1">
      <c r="A13" s="92"/>
      <c r="B13" s="344">
        <v>30</v>
      </c>
      <c r="C13" s="345" t="s">
        <v>50</v>
      </c>
      <c r="D13" s="370">
        <v>265.16831683168316831683168317</v>
      </c>
      <c r="E13" s="172">
        <v>340.63548170461799064557847484</v>
      </c>
      <c r="F13" s="371">
        <v>270.97507543314959946159568613</v>
      </c>
      <c r="G13" s="370">
        <v>275.8</v>
      </c>
      <c r="H13" s="172">
        <v>296.38415659916514756185222874</v>
      </c>
      <c r="I13" s="371">
        <v>280.58571078028909038352400715</v>
      </c>
      <c r="J13" s="370">
        <v>0</v>
      </c>
      <c r="K13" s="172">
        <v>0</v>
      </c>
      <c r="L13" s="371">
        <v>158.50999987250611728389647577</v>
      </c>
      <c r="M13" s="370">
        <v>267.27777777777777777777777778</v>
      </c>
      <c r="N13" s="172">
        <v>332.71536940686784599375650364</v>
      </c>
      <c r="O13" s="371">
        <v>265.43899066712754925682682337</v>
      </c>
      <c r="P13" s="4"/>
      <c r="Q13" s="327">
        <v>44.483610487083684448957858260</v>
      </c>
      <c r="R13" s="171">
        <v>69.569862999318703440475526120</v>
      </c>
      <c r="S13" s="328">
        <v>22.858003508841465035081860190</v>
      </c>
      <c r="T13" s="327">
        <v>1.0667752442955591703890759100</v>
      </c>
      <c r="U13" s="171">
        <v>8.450544437102340385398039350</v>
      </c>
      <c r="V13" s="328">
        <v>-10.220384439507148467838685340</v>
      </c>
      <c r="W13" s="327">
        <v>0</v>
      </c>
      <c r="X13" s="171">
        <v>-100</v>
      </c>
      <c r="Y13" s="328">
        <v>-6.7359004485049173526320836700</v>
      </c>
      <c r="Z13" s="327">
        <v>36.019225332202431439072660450</v>
      </c>
      <c r="AA13" s="171">
        <v>53.050971469503813601280777790</v>
      </c>
      <c r="AB13" s="328">
        <v>13.050716780563929720899643760</v>
      </c>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row>
    <row r="14" ht="15.6" customHeight="1">
      <c r="A14" s="92" t="s">
        <v>183</v>
      </c>
      <c r="B14" s="668">
        <v>1</v>
      </c>
      <c r="C14" s="679" t="s">
        <v>51</v>
      </c>
      <c r="D14" s="680">
        <v>271.36190476190476190476190476</v>
      </c>
      <c r="E14" s="681">
        <v>298.44272101730538518120787633</v>
      </c>
      <c r="F14" s="682">
        <v>287.61067772488196313057946149</v>
      </c>
      <c r="G14" s="680">
        <v>439</v>
      </c>
      <c r="H14" s="681">
        <v>321.71901919657596388529700329</v>
      </c>
      <c r="I14" s="682">
        <v>315.83281662883884683339433985</v>
      </c>
      <c r="J14" s="680">
        <v>0</v>
      </c>
      <c r="K14" s="681">
        <v>0</v>
      </c>
      <c r="L14" s="682">
        <v>174.56831542144697997321428183</v>
      </c>
      <c r="M14" s="680">
        <v>297.04838709677419354838709677</v>
      </c>
      <c r="N14" s="681">
        <v>301.69745762711864406779661017</v>
      </c>
      <c r="O14" s="682">
        <v>285.45558252427184466019417476</v>
      </c>
      <c r="P14" s="4"/>
      <c r="Q14" s="670">
        <v>-11.583456445346171201054938020</v>
      </c>
      <c r="R14" s="671">
        <v>6.509714689427409418902580600</v>
      </c>
      <c r="S14" s="672">
        <v>7.1607550824925000133705870300</v>
      </c>
      <c r="T14" s="670">
        <v>-1.7179147439217901305598470400</v>
      </c>
      <c r="U14" s="671">
        <v>-20.871974336797077732662802110</v>
      </c>
      <c r="V14" s="672">
        <v>-9.987041005605724899774343350</v>
      </c>
      <c r="W14" s="670">
        <v>0</v>
      </c>
      <c r="X14" s="671">
        <v>-100</v>
      </c>
      <c r="Y14" s="672">
        <v>5.4662288473905528969546669600</v>
      </c>
      <c r="Z14" s="670">
        <v>-18.605541339827349489056864450</v>
      </c>
      <c r="AA14" s="671">
        <v>-0.3157416401472670514763234500</v>
      </c>
      <c r="AB14" s="672">
        <v>3.0488647524396100333251346100</v>
      </c>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row>
    <row r="15" ht="15.6" customHeight="1">
      <c r="A15" s="92"/>
      <c r="B15" s="344">
        <v>2</v>
      </c>
      <c r="C15" s="345" t="s">
        <v>52</v>
      </c>
      <c r="D15" s="370">
        <v>413.84375</v>
      </c>
      <c r="E15" s="172">
        <v>398.9003285870755750273822563</v>
      </c>
      <c r="F15" s="371">
        <v>342.7646888750623369586230871</v>
      </c>
      <c r="G15" s="370">
        <v>439</v>
      </c>
      <c r="H15" s="172">
        <v>378.16470588235294117647058824</v>
      </c>
      <c r="I15" s="371">
        <v>325.02014386094768885367235244</v>
      </c>
      <c r="J15" s="370">
        <v>0</v>
      </c>
      <c r="K15" s="172">
        <v>0</v>
      </c>
      <c r="L15" s="371">
        <v>192.55637311659555968999431193</v>
      </c>
      <c r="M15" s="370">
        <v>420.132812500</v>
      </c>
      <c r="N15" s="172">
        <v>397.13426853707414829659318637</v>
      </c>
      <c r="O15" s="371">
        <v>327.43658672615727830451756832</v>
      </c>
      <c r="P15" s="4"/>
      <c r="Q15" s="327">
        <v>-11.449417872881595379617817390</v>
      </c>
      <c r="R15" s="171">
        <v>0.610976447751244476632627100</v>
      </c>
      <c r="S15" s="328">
        <v>0.6842894925388782462408029600</v>
      </c>
      <c r="T15" s="327">
        <v>-1.6665173371561688020786667900</v>
      </c>
      <c r="U15" s="171">
        <v>-9.609035138235826028747142070</v>
      </c>
      <c r="V15" s="328">
        <v>-17.413684488504970358120675140</v>
      </c>
      <c r="W15" s="327">
        <v>0</v>
      </c>
      <c r="X15" s="171">
        <v>-100</v>
      </c>
      <c r="Y15" s="328">
        <v>10.522474322216078889851686720</v>
      </c>
      <c r="Z15" s="327">
        <v>-7.643786637713167064868609800</v>
      </c>
      <c r="AA15" s="171">
        <v>-0.2071188270450100043163516500</v>
      </c>
      <c r="AB15" s="328">
        <v>-3.1787710833697164835347548700</v>
      </c>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row>
    <row r="16" ht="15.6" customHeight="1">
      <c r="A16" s="92"/>
      <c r="B16" s="346">
        <v>3</v>
      </c>
      <c r="C16" s="347" t="s">
        <v>53</v>
      </c>
      <c r="D16" s="378">
        <v>399.64</v>
      </c>
      <c r="E16" s="173">
        <v>397.97516216862613083765900172</v>
      </c>
      <c r="F16" s="379">
        <v>367.31867601446806583499080709</v>
      </c>
      <c r="G16" s="378">
        <v>439</v>
      </c>
      <c r="H16" s="173">
        <v>346.94965499153513602203599246</v>
      </c>
      <c r="I16" s="379">
        <v>328.32634971813161790419995309</v>
      </c>
      <c r="J16" s="378">
        <v>0</v>
      </c>
      <c r="K16" s="173">
        <v>0</v>
      </c>
      <c r="L16" s="379">
        <v>193.63858031191453409363728067</v>
      </c>
      <c r="M16" s="378">
        <v>408.95419847328244274809160305</v>
      </c>
      <c r="N16" s="173">
        <v>393.97708129285014691478942214</v>
      </c>
      <c r="O16" s="379">
        <v>346.25260159929893745207580239</v>
      </c>
      <c r="P16" s="4"/>
      <c r="Q16" s="359">
        <v>-17.168007802975894074520812290</v>
      </c>
      <c r="R16" s="170">
        <v>5.3526872058779024057046902900</v>
      </c>
      <c r="S16" s="360">
        <v>8.609527924082240432172053140</v>
      </c>
      <c r="T16" s="359">
        <v>-2.1923179752250245076196417400</v>
      </c>
      <c r="U16" s="170">
        <v>-16.888636871077473303033467630</v>
      </c>
      <c r="V16" s="360">
        <v>-17.420989498981166940986183620</v>
      </c>
      <c r="W16" s="359">
        <v>0</v>
      </c>
      <c r="X16" s="170">
        <v>-100</v>
      </c>
      <c r="Y16" s="360">
        <v>23.525826024655691034969333520</v>
      </c>
      <c r="Z16" s="359">
        <v>-11.568365670199479265071261270</v>
      </c>
      <c r="AA16" s="170">
        <v>2.8659438264235232130815976600</v>
      </c>
      <c r="AB16" s="360">
        <v>2.261116179705005799017409300</v>
      </c>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row>
    <row r="17" ht="15.6" customHeight="1">
      <c r="A17" s="92"/>
      <c r="B17" s="344">
        <v>4</v>
      </c>
      <c r="C17" s="345" t="s">
        <v>49</v>
      </c>
      <c r="D17" s="370">
        <v>248.6039603960396039603960396</v>
      </c>
      <c r="E17" s="172">
        <v>261.40926265104997883531252338</v>
      </c>
      <c r="F17" s="371">
        <v>267.98587657662484908561926877</v>
      </c>
      <c r="G17" s="370">
        <v>439</v>
      </c>
      <c r="H17" s="172">
        <v>302.79569923633559490917154881</v>
      </c>
      <c r="I17" s="371">
        <v>307.75891081915563345733828738</v>
      </c>
      <c r="J17" s="370">
        <v>0</v>
      </c>
      <c r="K17" s="172">
        <v>0</v>
      </c>
      <c r="L17" s="371">
        <v>177.40628189044187873778630321</v>
      </c>
      <c r="M17" s="370">
        <v>289.93023255813953488372093023</v>
      </c>
      <c r="N17" s="172">
        <v>266.29779816513761467889908257</v>
      </c>
      <c r="O17" s="371">
        <v>268.1900944006207164101900944</v>
      </c>
      <c r="P17" s="4"/>
      <c r="Q17" s="327">
        <v>-30.266746254267312421008593540</v>
      </c>
      <c r="R17" s="171">
        <v>-12.478551525335847927863244840</v>
      </c>
      <c r="S17" s="328">
        <v>-4.5083773865382344906369575500</v>
      </c>
      <c r="T17" s="327">
        <v>-4.2921378934459735658809102100</v>
      </c>
      <c r="U17" s="171">
        <v>-21.196368553545053856443316980</v>
      </c>
      <c r="V17" s="328">
        <v>-13.265110190931012626599577070</v>
      </c>
      <c r="W17" s="327">
        <v>0</v>
      </c>
      <c r="X17" s="171">
        <v>-100</v>
      </c>
      <c r="Y17" s="328">
        <v>6.1466181173553332287032839300</v>
      </c>
      <c r="Z17" s="327">
        <v>-27.102415697730294398365331180</v>
      </c>
      <c r="AA17" s="171">
        <v>-15.283902716147765786352564210</v>
      </c>
      <c r="AB17" s="328">
        <v>-6.5789141707016189159927414400</v>
      </c>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row>
    <row r="18" ht="15.6" customHeight="1">
      <c r="A18" s="92"/>
      <c r="B18" s="346">
        <v>5</v>
      </c>
      <c r="C18" s="347" t="s">
        <v>47</v>
      </c>
      <c r="D18" s="378">
        <v>191.56470588235294117647058824</v>
      </c>
      <c r="E18" s="173">
        <v>170.91238702579651219654685534</v>
      </c>
      <c r="F18" s="379">
        <v>204.36043355944247882859579133</v>
      </c>
      <c r="G18" s="378">
        <v>0</v>
      </c>
      <c r="H18" s="173">
        <v>212.89108712890608004440472507</v>
      </c>
      <c r="I18" s="379">
        <v>235.97592317584102266589957522</v>
      </c>
      <c r="J18" s="378">
        <v>0</v>
      </c>
      <c r="K18" s="173">
        <v>0</v>
      </c>
      <c r="L18" s="379">
        <v>159.7648118154726102597893525</v>
      </c>
      <c r="M18" s="378">
        <v>191.56470588235294117647058824</v>
      </c>
      <c r="N18" s="173">
        <v>179.39512953367875647668393783</v>
      </c>
      <c r="O18" s="379">
        <v>207.9854346836595357305416477</v>
      </c>
      <c r="P18" s="4"/>
      <c r="Q18" s="359">
        <v>7.2720285479295284184869419500</v>
      </c>
      <c r="R18" s="170">
        <v>-17.143846947342385985799345460</v>
      </c>
      <c r="S18" s="360">
        <v>-4.9324414817187374309945664700</v>
      </c>
      <c r="T18" s="359">
        <v>0</v>
      </c>
      <c r="U18" s="170">
        <v>13.235017604226885622695362470</v>
      </c>
      <c r="V18" s="360">
        <v>-10.518032909167318195451736780</v>
      </c>
      <c r="W18" s="359">
        <v>0</v>
      </c>
      <c r="X18" s="170">
        <v>-100</v>
      </c>
      <c r="Y18" s="360">
        <v>2.6389039971968656733020377100</v>
      </c>
      <c r="Z18" s="359">
        <v>7.2720285479295284184869419500</v>
      </c>
      <c r="AA18" s="170">
        <v>-11.692572853850986173548967930</v>
      </c>
      <c r="AB18" s="360">
        <v>-6.2727531470473605343944598500</v>
      </c>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row>
    <row r="19" ht="15.6" customHeight="1">
      <c r="A19" s="92"/>
      <c r="B19" s="344">
        <v>6</v>
      </c>
      <c r="C19" s="345" t="s">
        <v>48</v>
      </c>
      <c r="D19" s="370">
        <v>173.10294117647058823529411765</v>
      </c>
      <c r="E19" s="172">
        <v>179.50184915642830021325710033</v>
      </c>
      <c r="F19" s="371">
        <v>206.78136662622113498115123726</v>
      </c>
      <c r="G19" s="370">
        <v>0</v>
      </c>
      <c r="H19" s="172">
        <v>230.52445184696424115006303855</v>
      </c>
      <c r="I19" s="371">
        <v>231.76634845599134805947623898</v>
      </c>
      <c r="J19" s="370">
        <v>0</v>
      </c>
      <c r="K19" s="172">
        <v>0</v>
      </c>
      <c r="L19" s="371">
        <v>153.77178404155945853647182349</v>
      </c>
      <c r="M19" s="370">
        <v>173.10294117647058823529411765</v>
      </c>
      <c r="N19" s="172">
        <v>190.80512376237623762376237624</v>
      </c>
      <c r="O19" s="371">
        <v>206.61018272684679056692175543</v>
      </c>
      <c r="P19" s="4"/>
      <c r="Q19" s="327">
        <v>-10.146849984288731006602926470</v>
      </c>
      <c r="R19" s="171">
        <v>-8.824956191501587158342537410</v>
      </c>
      <c r="S19" s="328">
        <v>-1.5271835232108863842796894900</v>
      </c>
      <c r="T19" s="327">
        <v>-100</v>
      </c>
      <c r="U19" s="171">
        <v>27.976606341176895184246268040</v>
      </c>
      <c r="V19" s="328">
        <v>-8.679683249619497593735305770</v>
      </c>
      <c r="W19" s="327">
        <v>0</v>
      </c>
      <c r="X19" s="171">
        <v>-100</v>
      </c>
      <c r="Y19" s="328">
        <v>8.431412422175032495582554190</v>
      </c>
      <c r="Z19" s="327">
        <v>-10.759358288763481092656750470</v>
      </c>
      <c r="AA19" s="171">
        <v>-1.6592852345732348134825579200</v>
      </c>
      <c r="AB19" s="328">
        <v>-4.1148726145950780202884622800</v>
      </c>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row>
    <row r="20" ht="15.6" customHeight="1">
      <c r="A20" s="92"/>
      <c r="B20" s="346">
        <v>7</v>
      </c>
      <c r="C20" s="347" t="s">
        <v>50</v>
      </c>
      <c r="D20" s="378">
        <v>173.47368421052631578947368421</v>
      </c>
      <c r="E20" s="173">
        <v>182.51331360946745562130177515</v>
      </c>
      <c r="F20" s="379">
        <v>216.09848507816169058799964395</v>
      </c>
      <c r="G20" s="378">
        <v>269.42857142857142857142857143</v>
      </c>
      <c r="H20" s="173">
        <v>204.99315068493150684931506849</v>
      </c>
      <c r="I20" s="379">
        <v>237.7385478014236947143204737</v>
      </c>
      <c r="J20" s="378">
        <v>0</v>
      </c>
      <c r="K20" s="173">
        <v>0</v>
      </c>
      <c r="L20" s="379">
        <v>157.02557296809858154633538918</v>
      </c>
      <c r="M20" s="378">
        <v>185.79816513761467889908256881</v>
      </c>
      <c r="N20" s="173">
        <v>186.50608272506082725060827251</v>
      </c>
      <c r="O20" s="379">
        <v>214.78983050847457627118644068</v>
      </c>
      <c r="P20" s="4"/>
      <c r="Q20" s="359">
        <v>-15.652989849028427818756875030</v>
      </c>
      <c r="R20" s="170">
        <v>-2.6243621881582539511424857100</v>
      </c>
      <c r="S20" s="360">
        <v>2.9790390150988596482063973400</v>
      </c>
      <c r="T20" s="359">
        <v>26.492287055667337357478202550</v>
      </c>
      <c r="U20" s="170">
        <v>10.775656426918530235016873940</v>
      </c>
      <c r="V20" s="360">
        <v>-6.0804400364298701392249092700</v>
      </c>
      <c r="W20" s="359">
        <v>0</v>
      </c>
      <c r="X20" s="170">
        <v>-100</v>
      </c>
      <c r="Y20" s="360">
        <v>11.311527889844739427616864840</v>
      </c>
      <c r="Z20" s="359">
        <v>-10.130151130147710847990950290</v>
      </c>
      <c r="AA20" s="170">
        <v>-0.2104544128855724531502003100</v>
      </c>
      <c r="AB20" s="360">
        <v>-0.4700370553185834951649993700</v>
      </c>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row>
    <row r="21" ht="15.6" customHeight="1">
      <c r="A21" s="92"/>
      <c r="B21" s="344">
        <v>8</v>
      </c>
      <c r="C21" s="345" t="s">
        <v>51</v>
      </c>
      <c r="D21" s="370">
        <v>198.64646464646464646464646465</v>
      </c>
      <c r="E21" s="172">
        <v>197.48680648963005756803336564</v>
      </c>
      <c r="F21" s="371">
        <v>237.63680463590365211911536562</v>
      </c>
      <c r="G21" s="370">
        <v>278.07142857142857142857142857</v>
      </c>
      <c r="H21" s="172">
        <v>196.45893740802217151554911189</v>
      </c>
      <c r="I21" s="371">
        <v>235.23765522955526634054500534</v>
      </c>
      <c r="J21" s="370">
        <v>0</v>
      </c>
      <c r="K21" s="172">
        <v>0</v>
      </c>
      <c r="L21" s="371">
        <v>145.61124461224107174396161608</v>
      </c>
      <c r="M21" s="370">
        <v>208.4867256637168141592920354</v>
      </c>
      <c r="N21" s="172">
        <v>197.38684210526315789473684211</v>
      </c>
      <c r="O21" s="371">
        <v>228.08390296206942769065808873</v>
      </c>
      <c r="P21" s="4"/>
      <c r="Q21" s="327">
        <v>1.2778957104438903154106580200</v>
      </c>
      <c r="R21" s="171">
        <v>9.088780282720465803281894680</v>
      </c>
      <c r="S21" s="328">
        <v>9.751805979496211118976343120</v>
      </c>
      <c r="T21" s="327">
        <v>33.327625326426644976240421250</v>
      </c>
      <c r="U21" s="171">
        <v>-10.970244882427350362509855560</v>
      </c>
      <c r="V21" s="328">
        <v>4.724917545408130602321763700</v>
      </c>
      <c r="W21" s="327">
        <v>0</v>
      </c>
      <c r="X21" s="171">
        <v>-100</v>
      </c>
      <c r="Y21" s="328">
        <v>3.2867264136515885467880194700</v>
      </c>
      <c r="Z21" s="327">
        <v>5.3743199729271664520023846900</v>
      </c>
      <c r="AA21" s="171">
        <v>8.557840380773868048909108630</v>
      </c>
      <c r="AB21" s="328">
        <v>7.2583577335922920890111126900</v>
      </c>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row>
    <row r="22" ht="15.6" customHeight="1">
      <c r="A22" s="92"/>
      <c r="B22" s="346">
        <v>9</v>
      </c>
      <c r="C22" s="347" t="s">
        <v>52</v>
      </c>
      <c r="D22" s="378">
        <v>263.2967032967032967032967033</v>
      </c>
      <c r="E22" s="173">
        <v>240.84935064935064935064935065</v>
      </c>
      <c r="F22" s="379">
        <v>238.35865329929219841680014177</v>
      </c>
      <c r="G22" s="378">
        <v>368.92857142857142857142857143</v>
      </c>
      <c r="H22" s="173">
        <v>198.26548672566371681415929204</v>
      </c>
      <c r="I22" s="379">
        <v>235.28046526472130880710422786</v>
      </c>
      <c r="J22" s="378">
        <v>0</v>
      </c>
      <c r="K22" s="173">
        <v>0</v>
      </c>
      <c r="L22" s="379">
        <v>149.77614238515478413616448574</v>
      </c>
      <c r="M22" s="378">
        <v>277.38095238095238095238095238</v>
      </c>
      <c r="N22" s="173">
        <v>235.39977349943374858437146092</v>
      </c>
      <c r="O22" s="379">
        <v>229.53949129852744310575635877</v>
      </c>
      <c r="P22" s="4"/>
      <c r="Q22" s="359">
        <v>-9.910113153800281700096933110</v>
      </c>
      <c r="R22" s="170">
        <v>4.5115542453182156449676132400</v>
      </c>
      <c r="S22" s="360">
        <v>0.9333981454778491459141629900</v>
      </c>
      <c r="T22" s="359">
        <v>52.404839185618460293795882970</v>
      </c>
      <c r="U22" s="170">
        <v>-8.157322161037961071022350270</v>
      </c>
      <c r="V22" s="360">
        <v>-3.8365588157447589314710925700</v>
      </c>
      <c r="W22" s="359">
        <v>0</v>
      </c>
      <c r="X22" s="170">
        <v>-100</v>
      </c>
      <c r="Y22" s="360">
        <v>0.4608092567066733663980114500</v>
      </c>
      <c r="Z22" s="359">
        <v>-1.3866184180593690648129043900</v>
      </c>
      <c r="AA22" s="170">
        <v>2.6847517508045040951763238400</v>
      </c>
      <c r="AB22" s="360">
        <v>-0.1533991890990098200190237400</v>
      </c>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row>
    <row r="23" ht="15.6" customHeight="1">
      <c r="A23" s="92"/>
      <c r="B23" s="344">
        <v>10</v>
      </c>
      <c r="C23" s="345" t="s">
        <v>53</v>
      </c>
      <c r="D23" s="370">
        <v>248.42424242424242424242424242</v>
      </c>
      <c r="E23" s="172">
        <v>228.01589403973509933774834437</v>
      </c>
      <c r="F23" s="371">
        <v>231.80279202669823250145026396</v>
      </c>
      <c r="G23" s="370">
        <v>364.78571428571428571428571429</v>
      </c>
      <c r="H23" s="172">
        <v>202.72</v>
      </c>
      <c r="I23" s="371">
        <v>250.11430412452578543842979315</v>
      </c>
      <c r="J23" s="370">
        <v>0</v>
      </c>
      <c r="K23" s="172">
        <v>0</v>
      </c>
      <c r="L23" s="371">
        <v>154.24919923031529511301786162</v>
      </c>
      <c r="M23" s="370">
        <v>262.84070796460176991150442478</v>
      </c>
      <c r="N23" s="172">
        <v>225.05730994152046783625730994</v>
      </c>
      <c r="O23" s="371">
        <v>224.55132044650149741355839913</v>
      </c>
      <c r="P23" s="4"/>
      <c r="Q23" s="327">
        <v>-5.9398997118881305422630634700</v>
      </c>
      <c r="R23" s="171">
        <v>-0.0141661636901428114526464500</v>
      </c>
      <c r="S23" s="328">
        <v>0.1014242676445579675700400300</v>
      </c>
      <c r="T23" s="327">
        <v>28.769541099350921308174450380</v>
      </c>
      <c r="U23" s="171">
        <v>-2.0673947952863307773569553600</v>
      </c>
      <c r="V23" s="328">
        <v>12.204477078246008580817710750</v>
      </c>
      <c r="W23" s="327">
        <v>0</v>
      </c>
      <c r="X23" s="171">
        <v>-100</v>
      </c>
      <c r="Y23" s="328">
        <v>4.0292300497948138822972516400</v>
      </c>
      <c r="Z23" s="327">
        <v>-1.3763968908889604831385067200</v>
      </c>
      <c r="AA23" s="171">
        <v>-1.0010969239710437369633416300</v>
      </c>
      <c r="AB23" s="328">
        <v>0.1931741114286224534999589500</v>
      </c>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c r="AZ23" s="244"/>
      <c r="BA23" s="244"/>
    </row>
    <row r="24" ht="15.6" customHeight="1">
      <c r="A24" s="92"/>
      <c r="B24" s="346">
        <v>11</v>
      </c>
      <c r="C24" s="347" t="s">
        <v>49</v>
      </c>
      <c r="D24" s="378">
        <v>164.05263157894736842105263158</v>
      </c>
      <c r="E24" s="173">
        <v>167.36383015423438659122189201</v>
      </c>
      <c r="F24" s="379">
        <v>187.84199950082201487085507164</v>
      </c>
      <c r="G24" s="378">
        <v>293</v>
      </c>
      <c r="H24" s="173">
        <v>187.07006296788290357422190218</v>
      </c>
      <c r="I24" s="379">
        <v>224.93190994914845541733450971</v>
      </c>
      <c r="J24" s="378">
        <v>0</v>
      </c>
      <c r="K24" s="173">
        <v>0</v>
      </c>
      <c r="L24" s="379">
        <v>153.61752639338226641721168602</v>
      </c>
      <c r="M24" s="378">
        <v>165.72727272727272727272727273</v>
      </c>
      <c r="N24" s="173">
        <v>170.22065088757396449704142011</v>
      </c>
      <c r="O24" s="379">
        <v>186.62632287858379834519915336</v>
      </c>
      <c r="P24" s="4"/>
      <c r="Q24" s="359">
        <v>-12.525547089018728352525010840</v>
      </c>
      <c r="R24" s="170">
        <v>-5.1164007574948286197119811100</v>
      </c>
      <c r="S24" s="360">
        <v>-0.1053485405718306240675690300</v>
      </c>
      <c r="T24" s="359">
        <v>0</v>
      </c>
      <c r="U24" s="170">
        <v>-8.885874630813663888119104790</v>
      </c>
      <c r="V24" s="360">
        <v>7.7163165638728646033716266800</v>
      </c>
      <c r="W24" s="359">
        <v>0</v>
      </c>
      <c r="X24" s="170">
        <v>-100</v>
      </c>
      <c r="Y24" s="360">
        <v>4.6413666160859727306090781300</v>
      </c>
      <c r="Z24" s="359">
        <v>-11.632612200610776502651407250</v>
      </c>
      <c r="AA24" s="170">
        <v>-4.1445510449607536468854687700</v>
      </c>
      <c r="AB24" s="360">
        <v>0.2776270353172040724995801600</v>
      </c>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row>
    <row r="25" ht="15.6" customHeight="1">
      <c r="A25" s="92"/>
      <c r="B25" s="344">
        <v>12</v>
      </c>
      <c r="C25" s="345" t="s">
        <v>47</v>
      </c>
      <c r="D25" s="370">
        <v>145.3013698630136986301369863</v>
      </c>
      <c r="E25" s="172">
        <v>166.63152545681387378497228134</v>
      </c>
      <c r="F25" s="371">
        <v>188.29564370664706071655987994</v>
      </c>
      <c r="G25" s="370">
        <v>169</v>
      </c>
      <c r="H25" s="172">
        <v>188.48712469214080218078613545</v>
      </c>
      <c r="I25" s="371">
        <v>243.78164333414891242461059009</v>
      </c>
      <c r="J25" s="370">
        <v>0</v>
      </c>
      <c r="K25" s="172">
        <v>0</v>
      </c>
      <c r="L25" s="371">
        <v>150.93667761352747887950065976</v>
      </c>
      <c r="M25" s="370">
        <v>148.4047619047619047619047619</v>
      </c>
      <c r="N25" s="172">
        <v>170.1608</v>
      </c>
      <c r="O25" s="371">
        <v>194.66908783783783783783783784</v>
      </c>
      <c r="P25" s="4"/>
      <c r="Q25" s="327">
        <v>-5.560855242211772716320123600</v>
      </c>
      <c r="R25" s="171">
        <v>-7.4053902012356767760544268300</v>
      </c>
      <c r="S25" s="328">
        <v>-0.766862885607548585582224100</v>
      </c>
      <c r="T25" s="327">
        <v>0</v>
      </c>
      <c r="U25" s="171">
        <v>-6.0030182033483986523532914400</v>
      </c>
      <c r="V25" s="328">
        <v>16.534687828711725011495124380</v>
      </c>
      <c r="W25" s="327">
        <v>0</v>
      </c>
      <c r="X25" s="171">
        <v>-100</v>
      </c>
      <c r="Y25" s="328">
        <v>-2.2815088109889908444755347600</v>
      </c>
      <c r="Z25" s="327">
        <v>-3.5437944908428317595301016900</v>
      </c>
      <c r="AA25" s="171">
        <v>-6.741359274196227923298471800</v>
      </c>
      <c r="AB25" s="328">
        <v>2.2478870604357677078297341800</v>
      </c>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row>
    <row r="26" ht="15.6" customHeight="1">
      <c r="A26" s="92"/>
      <c r="B26" s="346">
        <v>13</v>
      </c>
      <c r="C26" s="347" t="s">
        <v>48</v>
      </c>
      <c r="D26" s="378">
        <v>157.91358024691358024691358025</v>
      </c>
      <c r="E26" s="173">
        <v>177.67033037852608504535651449</v>
      </c>
      <c r="F26" s="379">
        <v>195.53921012670428353322416187</v>
      </c>
      <c r="G26" s="378">
        <v>169</v>
      </c>
      <c r="H26" s="173">
        <v>190.72010881652331436233186416</v>
      </c>
      <c r="I26" s="379">
        <v>253.56516064770909270492727967</v>
      </c>
      <c r="J26" s="378">
        <v>0</v>
      </c>
      <c r="K26" s="173">
        <v>0</v>
      </c>
      <c r="L26" s="379">
        <v>127.5696515850993970242286888</v>
      </c>
      <c r="M26" s="378">
        <v>159.23913043478260869565217391</v>
      </c>
      <c r="N26" s="173">
        <v>179.76164102564102564102564104</v>
      </c>
      <c r="O26" s="379">
        <v>201.01710587147480351363846509</v>
      </c>
      <c r="P26" s="4"/>
      <c r="Q26" s="359">
        <v>3.6153397959924425477974264900</v>
      </c>
      <c r="R26" s="170">
        <v>-8.53958571368253598513033700</v>
      </c>
      <c r="S26" s="360">
        <v>-1.324275344365183582391715900</v>
      </c>
      <c r="T26" s="359">
        <v>0</v>
      </c>
      <c r="U26" s="170">
        <v>-9.341453451356624849654834740</v>
      </c>
      <c r="V26" s="360">
        <v>17.156441850042490886624830480</v>
      </c>
      <c r="W26" s="359">
        <v>0</v>
      </c>
      <c r="X26" s="170">
        <v>-100</v>
      </c>
      <c r="Y26" s="360">
        <v>-14.728150326619453080648695710</v>
      </c>
      <c r="Z26" s="359">
        <v>4.4851024403320540846857472300</v>
      </c>
      <c r="AA26" s="170">
        <v>-8.763190762120056311346296820</v>
      </c>
      <c r="AB26" s="360">
        <v>1.3964436135615348876421496400</v>
      </c>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row>
    <row r="27" ht="15.6" customHeight="1">
      <c r="A27" s="92"/>
      <c r="B27" s="344">
        <v>14</v>
      </c>
      <c r="C27" s="345" t="s">
        <v>50</v>
      </c>
      <c r="D27" s="370">
        <v>150.6265060240963855421686747</v>
      </c>
      <c r="E27" s="172">
        <v>171.66194773283825058499413966</v>
      </c>
      <c r="F27" s="371">
        <v>194.08726720406395735916741168</v>
      </c>
      <c r="G27" s="370">
        <v>169</v>
      </c>
      <c r="H27" s="172">
        <v>187.04945140381585129072895316</v>
      </c>
      <c r="I27" s="371">
        <v>245.48855919358986067162367192</v>
      </c>
      <c r="J27" s="370">
        <v>0</v>
      </c>
      <c r="K27" s="172">
        <v>0</v>
      </c>
      <c r="L27" s="371">
        <v>154.66224334305620589593799182</v>
      </c>
      <c r="M27" s="370">
        <v>152.77659574468085106382978723</v>
      </c>
      <c r="N27" s="172">
        <v>174.02925598991172761664564943</v>
      </c>
      <c r="O27" s="371">
        <v>203.77492006117058251077436396</v>
      </c>
      <c r="P27" s="4"/>
      <c r="Q27" s="327">
        <v>-3.256795965889883560230957600</v>
      </c>
      <c r="R27" s="171">
        <v>-3.78650072488124381092706300</v>
      </c>
      <c r="S27" s="328">
        <v>-0.6892960022878327361577152100</v>
      </c>
      <c r="T27" s="327">
        <v>0</v>
      </c>
      <c r="U27" s="171">
        <v>-11.063183672160071180910990270</v>
      </c>
      <c r="V27" s="328">
        <v>14.855700888063992271447720650</v>
      </c>
      <c r="W27" s="327">
        <v>0</v>
      </c>
      <c r="X27" s="171">
        <v>-100</v>
      </c>
      <c r="Y27" s="328">
        <v>1.8748744491473624438180246700</v>
      </c>
      <c r="Z27" s="327">
        <v>-1.8758533016759899506322162300</v>
      </c>
      <c r="AA27" s="171">
        <v>-4.8698122586749518512821301900</v>
      </c>
      <c r="AB27" s="328">
        <v>3.9451602759710328399811822500</v>
      </c>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row>
    <row r="28" ht="15.6" customHeight="1">
      <c r="A28" s="92"/>
      <c r="B28" s="346">
        <v>15</v>
      </c>
      <c r="C28" s="347" t="s">
        <v>51</v>
      </c>
      <c r="D28" s="378">
        <v>168.40625</v>
      </c>
      <c r="E28" s="173">
        <v>180.94498631395079428455467856</v>
      </c>
      <c r="F28" s="379">
        <v>206.90756696997973257420242109</v>
      </c>
      <c r="G28" s="378">
        <v>169</v>
      </c>
      <c r="H28" s="173">
        <v>192.18923318227308957202503783</v>
      </c>
      <c r="I28" s="379">
        <v>230.84071736084538410727403222</v>
      </c>
      <c r="J28" s="378">
        <v>0</v>
      </c>
      <c r="K28" s="173">
        <v>0</v>
      </c>
      <c r="L28" s="379">
        <v>152.46172035868126122871857145</v>
      </c>
      <c r="M28" s="378">
        <v>168.46728971962616822429906542</v>
      </c>
      <c r="N28" s="173">
        <v>181.7335792019347037484885127</v>
      </c>
      <c r="O28" s="379">
        <v>206.79348849724202879052872326</v>
      </c>
      <c r="P28" s="4"/>
      <c r="Q28" s="359">
        <v>-13.556046297226931083258496540</v>
      </c>
      <c r="R28" s="170">
        <v>-8.209656503896694929842355230</v>
      </c>
      <c r="S28" s="360">
        <v>0.3101857199340213592790827400</v>
      </c>
      <c r="T28" s="359">
        <v>0</v>
      </c>
      <c r="U28" s="170">
        <v>-12.380895903716818322674585800</v>
      </c>
      <c r="V28" s="360">
        <v>8.266838636519646521080865400</v>
      </c>
      <c r="W28" s="359">
        <v>0</v>
      </c>
      <c r="X28" s="170">
        <v>-100</v>
      </c>
      <c r="Y28" s="360">
        <v>4.3652820836512574182439799400</v>
      </c>
      <c r="Z28" s="359">
        <v>-13.524714237416830599227164150</v>
      </c>
      <c r="AA28" s="170">
        <v>-8.481991595548638033047871470</v>
      </c>
      <c r="AB28" s="360">
        <v>1.827259691795307511809331100</v>
      </c>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row>
    <row r="29" ht="15.6" customHeight="1">
      <c r="A29" s="92"/>
      <c r="B29" s="344">
        <v>16</v>
      </c>
      <c r="C29" s="345" t="s">
        <v>52</v>
      </c>
      <c r="D29" s="370">
        <v>260.22807017543859649122807018</v>
      </c>
      <c r="E29" s="172">
        <v>237.575355999202069757268792</v>
      </c>
      <c r="F29" s="371">
        <v>238.68281856069878089601530152</v>
      </c>
      <c r="G29" s="370">
        <v>0</v>
      </c>
      <c r="H29" s="172">
        <v>295.23918684316506963953790181</v>
      </c>
      <c r="I29" s="371">
        <v>230.98545413598249011242638661</v>
      </c>
      <c r="J29" s="370">
        <v>0</v>
      </c>
      <c r="K29" s="172">
        <v>0</v>
      </c>
      <c r="L29" s="371">
        <v>157.92961030300557265519728834</v>
      </c>
      <c r="M29" s="370">
        <v>260.22807017543859649122807018</v>
      </c>
      <c r="N29" s="172">
        <v>244.81427038626609442060085837</v>
      </c>
      <c r="O29" s="371">
        <v>229.93394296715196727228973649</v>
      </c>
      <c r="P29" s="4"/>
      <c r="Q29" s="327">
        <v>0.8741602565764204145926959900</v>
      </c>
      <c r="R29" s="171">
        <v>-6.6183302687853155557822183800</v>
      </c>
      <c r="S29" s="328">
        <v>0.985744801247283101135031700</v>
      </c>
      <c r="T29" s="327">
        <v>0</v>
      </c>
      <c r="U29" s="171">
        <v>13.174623453769581597294732480</v>
      </c>
      <c r="V29" s="328">
        <v>2.5103137967663017370621772500</v>
      </c>
      <c r="W29" s="327">
        <v>0</v>
      </c>
      <c r="X29" s="171">
        <v>-100</v>
      </c>
      <c r="Y29" s="328">
        <v>6.6928371286399081161654708500</v>
      </c>
      <c r="Z29" s="327">
        <v>0.8741602565764204145926959900</v>
      </c>
      <c r="AA29" s="171">
        <v>-3.492978271615887123815432900</v>
      </c>
      <c r="AB29" s="328">
        <v>0.758501840965543143934138300</v>
      </c>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row>
    <row r="30" ht="15.6" customHeight="1">
      <c r="A30" s="92"/>
      <c r="B30" s="346">
        <v>17</v>
      </c>
      <c r="C30" s="347" t="s">
        <v>53</v>
      </c>
      <c r="D30" s="378">
        <v>288.45669291338582677165354331</v>
      </c>
      <c r="E30" s="173">
        <v>265.30956910129023809977515297</v>
      </c>
      <c r="F30" s="379">
        <v>235.5963581560384370826169704</v>
      </c>
      <c r="G30" s="378">
        <v>0</v>
      </c>
      <c r="H30" s="173">
        <v>274.11821384474530555586391718</v>
      </c>
      <c r="I30" s="379">
        <v>223.60731866065681965251565364</v>
      </c>
      <c r="J30" s="378">
        <v>0</v>
      </c>
      <c r="K30" s="173">
        <v>0</v>
      </c>
      <c r="L30" s="379">
        <v>154.21150956815024912693941911</v>
      </c>
      <c r="M30" s="378">
        <v>288.45669291338582677165354331</v>
      </c>
      <c r="N30" s="173">
        <v>266.43615307150050352467270894</v>
      </c>
      <c r="O30" s="379">
        <v>226.72153569286142771445710858</v>
      </c>
      <c r="P30" s="4"/>
      <c r="Q30" s="359">
        <v>3.7990806759759846514002311900</v>
      </c>
      <c r="R30" s="170">
        <v>0.7065305934804539674901158900</v>
      </c>
      <c r="S30" s="360">
        <v>-1.3402236719979001901883561600</v>
      </c>
      <c r="T30" s="359">
        <v>0</v>
      </c>
      <c r="U30" s="170">
        <v>-2.638197500487987463079931400</v>
      </c>
      <c r="V30" s="360">
        <v>3.6444508947373416065652718200</v>
      </c>
      <c r="W30" s="359">
        <v>0</v>
      </c>
      <c r="X30" s="170">
        <v>-100</v>
      </c>
      <c r="Y30" s="360">
        <v>4.2721443088759654691376704300</v>
      </c>
      <c r="Z30" s="359">
        <v>3.7990806759759846514002311900</v>
      </c>
      <c r="AA30" s="170">
        <v>1.2888371952153550600570189300</v>
      </c>
      <c r="AB30" s="360">
        <v>-0.9869640478045057455973823200</v>
      </c>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row>
    <row r="31" ht="15.6" customHeight="1">
      <c r="A31" s="92"/>
      <c r="B31" s="344">
        <v>18</v>
      </c>
      <c r="C31" s="345" t="s">
        <v>49</v>
      </c>
      <c r="D31" s="370">
        <v>200.98019801980198019801980198</v>
      </c>
      <c r="E31" s="172">
        <v>227.68739601670165060461569193</v>
      </c>
      <c r="F31" s="371">
        <v>194.86780927130498466063682727</v>
      </c>
      <c r="G31" s="370">
        <v>151.41176470588235294117647059</v>
      </c>
      <c r="H31" s="172">
        <v>232.98513247340823896824626934</v>
      </c>
      <c r="I31" s="371">
        <v>236.68295785059769683809889761</v>
      </c>
      <c r="J31" s="370">
        <v>0</v>
      </c>
      <c r="K31" s="172">
        <v>0</v>
      </c>
      <c r="L31" s="371">
        <v>154.34653967064407027797848598</v>
      </c>
      <c r="M31" s="370">
        <v>193.83898305084745762711864407</v>
      </c>
      <c r="N31" s="172">
        <v>228.80210412147505422993492405</v>
      </c>
      <c r="O31" s="371">
        <v>196.92536416879411323021474696</v>
      </c>
      <c r="P31" s="4"/>
      <c r="Q31" s="327">
        <v>6.5197003994689982095233709500</v>
      </c>
      <c r="R31" s="171">
        <v>30.305610926624806212704346290</v>
      </c>
      <c r="S31" s="328">
        <v>1.3843074987284480329415069900</v>
      </c>
      <c r="T31" s="327">
        <v>0</v>
      </c>
      <c r="U31" s="171">
        <v>37.237718706109421108231378030</v>
      </c>
      <c r="V31" s="328">
        <v>9.834169348720196280078753340</v>
      </c>
      <c r="W31" s="327">
        <v>0</v>
      </c>
      <c r="X31" s="171">
        <v>-100</v>
      </c>
      <c r="Y31" s="328">
        <v>5.647457638973306524925960100</v>
      </c>
      <c r="Z31" s="327">
        <v>2.7348495212432164566381889200</v>
      </c>
      <c r="AA31" s="171">
        <v>31.210644377844816105170549220</v>
      </c>
      <c r="AB31" s="328">
        <v>3.1905201662143469488623822600</v>
      </c>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row>
    <row r="32" ht="15.6" customHeight="1">
      <c r="A32" s="92"/>
      <c r="B32" s="346">
        <v>19</v>
      </c>
      <c r="C32" s="347" t="s">
        <v>47</v>
      </c>
      <c r="D32" s="378">
        <v>216.2</v>
      </c>
      <c r="E32" s="173">
        <v>243.55653681690684815066629651</v>
      </c>
      <c r="F32" s="379">
        <v>199.82553866087341320740127469</v>
      </c>
      <c r="G32" s="378">
        <v>139.08823529411764705882352941</v>
      </c>
      <c r="H32" s="173">
        <v>227.84724387089647099093765626</v>
      </c>
      <c r="I32" s="379">
        <v>222.96058778993412400207814136</v>
      </c>
      <c r="J32" s="378">
        <v>0</v>
      </c>
      <c r="K32" s="173">
        <v>0</v>
      </c>
      <c r="L32" s="379">
        <v>149.25936214978775693290860221</v>
      </c>
      <c r="M32" s="378">
        <v>194.1680672268907563025210084</v>
      </c>
      <c r="N32" s="173">
        <v>239.36508269018743109151047409</v>
      </c>
      <c r="O32" s="379">
        <v>198.88032116346008180578700197</v>
      </c>
      <c r="P32" s="4"/>
      <c r="Q32" s="359">
        <v>44.917788599288437190168842950</v>
      </c>
      <c r="R32" s="170">
        <v>46.056613372221804766204192790</v>
      </c>
      <c r="S32" s="360">
        <v>4.0373548991169996817593801200</v>
      </c>
      <c r="T32" s="359">
        <v>0</v>
      </c>
      <c r="U32" s="170">
        <v>22.989805576716570873616530070</v>
      </c>
      <c r="V32" s="360">
        <v>1.8469227205231275943869969600</v>
      </c>
      <c r="W32" s="359">
        <v>0</v>
      </c>
      <c r="X32" s="170">
        <v>-100</v>
      </c>
      <c r="Y32" s="360">
        <v>4.4202701509295485396632966400</v>
      </c>
      <c r="Z32" s="359">
        <v>30.149893242918501765251645500</v>
      </c>
      <c r="AA32" s="170">
        <v>42.084745364259447954136750990</v>
      </c>
      <c r="AB32" s="360">
        <v>3.4551998122261788970432630100</v>
      </c>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row>
    <row r="33" ht="15.6" customHeight="1">
      <c r="A33" s="92"/>
      <c r="B33" s="344">
        <v>20</v>
      </c>
      <c r="C33" s="345" t="s">
        <v>48</v>
      </c>
      <c r="D33" s="370">
        <v>223.81428571428571428571428571</v>
      </c>
      <c r="E33" s="172">
        <v>244.69358410019557169798142068</v>
      </c>
      <c r="F33" s="371">
        <v>201.34402492074295956022813747</v>
      </c>
      <c r="G33" s="370">
        <v>171.3125</v>
      </c>
      <c r="H33" s="172">
        <v>230.1105556554756195043964828</v>
      </c>
      <c r="I33" s="371">
        <v>212.47071399844117714333084626</v>
      </c>
      <c r="J33" s="370">
        <v>0</v>
      </c>
      <c r="K33" s="172">
        <v>0</v>
      </c>
      <c r="L33" s="371">
        <v>142.90101210782211548667049355</v>
      </c>
      <c r="M33" s="370">
        <v>202.45762711864406779661016949</v>
      </c>
      <c r="N33" s="172">
        <v>240.36346985210466439135381115</v>
      </c>
      <c r="O33" s="371">
        <v>197.78567181926278240190249703</v>
      </c>
      <c r="P33" s="4"/>
      <c r="Q33" s="327">
        <v>68.136939257333318637126278890</v>
      </c>
      <c r="R33" s="171">
        <v>50.233551018098286659549317490</v>
      </c>
      <c r="S33" s="328">
        <v>2.7761311915379608460280167400</v>
      </c>
      <c r="T33" s="327">
        <v>0</v>
      </c>
      <c r="U33" s="171">
        <v>33.666790452325782410222668140</v>
      </c>
      <c r="V33" s="328">
        <v>1.2304207279588120631215457200</v>
      </c>
      <c r="W33" s="327">
        <v>0</v>
      </c>
      <c r="X33" s="171">
        <v>-100</v>
      </c>
      <c r="Y33" s="328">
        <v>-2.3888661109253219630943569900</v>
      </c>
      <c r="Z33" s="327">
        <v>52.093087554234426002223326040</v>
      </c>
      <c r="AA33" s="171">
        <v>46.515630851085133606926497380</v>
      </c>
      <c r="AB33" s="328">
        <v>1.8683487617906800472776102300</v>
      </c>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row>
    <row r="34" ht="15.6" customHeight="1">
      <c r="A34" s="92"/>
      <c r="B34" s="346">
        <v>21</v>
      </c>
      <c r="C34" s="347" t="s">
        <v>50</v>
      </c>
      <c r="D34" s="378">
        <v>194.44736842105263157894736842</v>
      </c>
      <c r="E34" s="173">
        <v>212.22930174651524015088858855</v>
      </c>
      <c r="F34" s="379">
        <v>195.80573247660971195815247017</v>
      </c>
      <c r="G34" s="378">
        <v>167.18</v>
      </c>
      <c r="H34" s="173">
        <v>230.84115415903865342067589258</v>
      </c>
      <c r="I34" s="379">
        <v>206.6856389196271214049701596</v>
      </c>
      <c r="J34" s="378">
        <v>0</v>
      </c>
      <c r="K34" s="173">
        <v>0</v>
      </c>
      <c r="L34" s="379">
        <v>147.62126937959088665981766024</v>
      </c>
      <c r="M34" s="378">
        <v>183.62698412698412698412698413</v>
      </c>
      <c r="N34" s="173">
        <v>218.13674019607843137254901961</v>
      </c>
      <c r="O34" s="379">
        <v>193.30356607731495355109379682</v>
      </c>
      <c r="P34" s="4"/>
      <c r="Q34" s="359">
        <v>35.632279811802249618748780060</v>
      </c>
      <c r="R34" s="170">
        <v>41.071722897651469975304922290</v>
      </c>
      <c r="S34" s="360">
        <v>4.2035319754174500656320239200</v>
      </c>
      <c r="T34" s="359">
        <v>0</v>
      </c>
      <c r="U34" s="170">
        <v>29.428284304414041470194996720</v>
      </c>
      <c r="V34" s="360">
        <v>1.5090938159961255169422505100</v>
      </c>
      <c r="W34" s="359">
        <v>0</v>
      </c>
      <c r="X34" s="170">
        <v>-100</v>
      </c>
      <c r="Y34" s="360">
        <v>-6.0329201740663598027222647100</v>
      </c>
      <c r="Z34" s="359">
        <v>28.084770158360033982627156980</v>
      </c>
      <c r="AA34" s="170">
        <v>43.054481642227023776262516930</v>
      </c>
      <c r="AB34" s="360">
        <v>2.9476800762358427595465209100</v>
      </c>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row>
    <row r="35" ht="15.6" customHeight="1">
      <c r="A35" s="92"/>
      <c r="B35" s="344">
        <v>22</v>
      </c>
      <c r="C35" s="345" t="s">
        <v>51</v>
      </c>
      <c r="D35" s="370">
        <v>200.31325301204819277108433735</v>
      </c>
      <c r="E35" s="172">
        <v>210.63854580558494810483077722</v>
      </c>
      <c r="F35" s="371">
        <v>187.96261322848908653734984534</v>
      </c>
      <c r="G35" s="370">
        <v>164.27906976744186046511627907</v>
      </c>
      <c r="H35" s="172">
        <v>236.19095648732274599094131369</v>
      </c>
      <c r="I35" s="371">
        <v>199.27195494616608054254554335</v>
      </c>
      <c r="J35" s="370">
        <v>0</v>
      </c>
      <c r="K35" s="172">
        <v>0</v>
      </c>
      <c r="L35" s="371">
        <v>186.24718972440107944969256492</v>
      </c>
      <c r="M35" s="370">
        <v>188.01587301587301587301587302</v>
      </c>
      <c r="N35" s="172">
        <v>217.12516014234875444839857651</v>
      </c>
      <c r="O35" s="371">
        <v>190.14291725105189340813464236</v>
      </c>
      <c r="P35" s="4"/>
      <c r="Q35" s="327">
        <v>26.612190515938602723786536160</v>
      </c>
      <c r="R35" s="171">
        <v>10.075615074987641612320475440</v>
      </c>
      <c r="S35" s="328">
        <v>-4.399158133335085206704338700</v>
      </c>
      <c r="T35" s="327">
        <v>0</v>
      </c>
      <c r="U35" s="171">
        <v>-16.875587615422089919194601820</v>
      </c>
      <c r="V35" s="328">
        <v>-1.7648370761419699322640391700</v>
      </c>
      <c r="W35" s="327">
        <v>0</v>
      </c>
      <c r="X35" s="171">
        <v>-100</v>
      </c>
      <c r="Y35" s="328">
        <v>24.947039402120672861735813330</v>
      </c>
      <c r="Z35" s="327">
        <v>18.839373712704043760919382560</v>
      </c>
      <c r="AA35" s="171">
        <v>9.039470347892717490905758960</v>
      </c>
      <c r="AB35" s="328">
        <v>-1.7768664694577891547314400700</v>
      </c>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row>
    <row r="36" ht="15.6" customHeight="1">
      <c r="A36" s="92"/>
      <c r="B36" s="346">
        <v>23</v>
      </c>
      <c r="C36" s="347" t="s">
        <v>52</v>
      </c>
      <c r="D36" s="378">
        <v>244.83157894736842105263157895</v>
      </c>
      <c r="E36" s="173">
        <v>237.51217366048073177501819924</v>
      </c>
      <c r="F36" s="379">
        <v>219.67020463500409789593586082</v>
      </c>
      <c r="G36" s="378">
        <v>279</v>
      </c>
      <c r="H36" s="173">
        <v>281.1829667657561173962702228</v>
      </c>
      <c r="I36" s="379">
        <v>202.35957351410096819162892632</v>
      </c>
      <c r="J36" s="378">
        <v>0</v>
      </c>
      <c r="K36" s="173">
        <v>0</v>
      </c>
      <c r="L36" s="379">
        <v>174.52166284558762166421575024</v>
      </c>
      <c r="M36" s="378">
        <v>245.53608247422680412371134021</v>
      </c>
      <c r="N36" s="173">
        <v>241.01570621468926553672316384</v>
      </c>
      <c r="O36" s="379">
        <v>213.32176077557971963841215774</v>
      </c>
      <c r="P36" s="4"/>
      <c r="Q36" s="359">
        <v>4.8471678812804128516051589100</v>
      </c>
      <c r="R36" s="170">
        <v>-10.813714787183170791902029720</v>
      </c>
      <c r="S36" s="360">
        <v>-5.1890400535431233883316082600</v>
      </c>
      <c r="T36" s="359">
        <v>0</v>
      </c>
      <c r="U36" s="170">
        <v>-2.8410131634869809104524532400</v>
      </c>
      <c r="V36" s="360">
        <v>-7.2452413447289842567037014900</v>
      </c>
      <c r="W36" s="359">
        <v>0</v>
      </c>
      <c r="X36" s="170">
        <v>-100</v>
      </c>
      <c r="Y36" s="360">
        <v>11.505627544698014853717414120</v>
      </c>
      <c r="Z36" s="359">
        <v>5.1488658888293241654974514400</v>
      </c>
      <c r="AA36" s="170">
        <v>-9.854062107420548786763759240</v>
      </c>
      <c r="AB36" s="360">
        <v>-4.8869259181652426601472199700</v>
      </c>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row>
    <row r="37" ht="15.6" customHeight="1">
      <c r="A37" s="92"/>
      <c r="B37" s="348">
        <v>24</v>
      </c>
      <c r="C37" s="349" t="s">
        <v>53</v>
      </c>
      <c r="D37" s="380">
        <v>274.97478991596638655462184874</v>
      </c>
      <c r="E37" s="383">
        <v>268.22072678331090174966352627</v>
      </c>
      <c r="F37" s="381">
        <v>245.60193011809133899693466905</v>
      </c>
      <c r="G37" s="380">
        <v>279</v>
      </c>
      <c r="H37" s="383">
        <v>293.28358208955223880597014927</v>
      </c>
      <c r="I37" s="381">
        <v>208.66949671809983829992745501</v>
      </c>
      <c r="J37" s="380">
        <v>0</v>
      </c>
      <c r="K37" s="383">
        <v>0</v>
      </c>
      <c r="L37" s="381">
        <v>160.86696661340560682604718867</v>
      </c>
      <c r="M37" s="380">
        <v>275.00833333333333333333333333</v>
      </c>
      <c r="N37" s="383">
        <v>270.29382716049382716049382717</v>
      </c>
      <c r="O37" s="381">
        <v>234.34187434187434187434187434</v>
      </c>
      <c r="P37" s="4"/>
      <c r="Q37" s="329">
        <v>3.1784599135374364251487541500</v>
      </c>
      <c r="R37" s="330">
        <v>-11.734303584757777143114636780</v>
      </c>
      <c r="S37" s="332">
        <v>-3.1258339944807900057234544700</v>
      </c>
      <c r="T37" s="329">
        <v>0</v>
      </c>
      <c r="U37" s="330">
        <v>1.4730432571780307463410604900</v>
      </c>
      <c r="V37" s="332">
        <v>-3.4621522532331823649118383800</v>
      </c>
      <c r="W37" s="329">
        <v>0</v>
      </c>
      <c r="X37" s="330">
        <v>-100</v>
      </c>
      <c r="Y37" s="332">
        <v>8.084352988037450235589658910</v>
      </c>
      <c r="Z37" s="329">
        <v>3.1910463697184421786804367700</v>
      </c>
      <c r="AA37" s="330">
        <v>-10.482718870084294683271960840</v>
      </c>
      <c r="AB37" s="332">
        <v>-3.7345559010669700345649277300</v>
      </c>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row>
    <row r="38" ht="21" customHeight="1">
      <c r="B38" s="54"/>
      <c r="C38"/>
      <c r="D38" s="169"/>
      <c r="E38" s="169"/>
      <c r="F38" s="169"/>
      <c r="G38" s="169"/>
      <c r="H38" s="169"/>
      <c r="I38" s="169"/>
      <c r="J38" s="169"/>
      <c r="K38" s="169"/>
      <c r="L38" s="169"/>
      <c r="M38" s="169"/>
      <c r="N38" s="169"/>
      <c r="O38" s="169"/>
      <c r="P38" s="4"/>
      <c r="Q38" s="4"/>
      <c r="R38" s="4"/>
      <c r="S38" s="4"/>
      <c r="T38" s="4"/>
      <c r="U38" s="4"/>
      <c r="V38" s="4"/>
      <c r="W38" s="4"/>
      <c r="X38" s="4"/>
      <c r="Y38" s="4"/>
      <c r="Z38" s="4"/>
      <c r="AA38" s="4"/>
      <c r="AB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row>
    <row r="39" ht="15.6" customHeight="1">
      <c r="A39" s="54"/>
      <c r="B39" s="53"/>
      <c r="C39" s="53" t="s">
        <v>14</v>
      </c>
      <c r="D39" s="374">
        <v>218.24934383202099737532808399</v>
      </c>
      <c r="E39" s="382">
        <v>231.21484055630440111043909632</v>
      </c>
      <c r="F39" s="375">
        <v>224.16666229639093810813695833</v>
      </c>
      <c r="G39" s="374">
        <v>327.33333333333333333333333333</v>
      </c>
      <c r="H39" s="382">
        <v>244.47021763563518504440024585</v>
      </c>
      <c r="I39" s="375">
        <v>274.77180381449693649988752488</v>
      </c>
      <c r="J39" s="374">
        <v>0</v>
      </c>
      <c r="K39" s="382">
        <v>0</v>
      </c>
      <c r="L39" s="375">
        <v>163.92978446429694095075885045</v>
      </c>
      <c r="M39" s="374">
        <v>231.12731481481481481481481481</v>
      </c>
      <c r="N39" s="382">
        <v>233.01237982195845697329376854</v>
      </c>
      <c r="O39" s="375">
        <v>227.12589470624568542673400429</v>
      </c>
      <c r="P39" s="4"/>
      <c r="Q39" s="354">
        <v>-2.9905173750317923157768507900</v>
      </c>
      <c r="R39" s="355">
        <v>8.808205801517123545264042270</v>
      </c>
      <c r="S39" s="356">
        <v>2.8365065068517600973312588600</v>
      </c>
      <c r="T39" s="354">
        <v>-25.874958266204092094535895870</v>
      </c>
      <c r="U39" s="355">
        <v>-17.637394151638749856397557340</v>
      </c>
      <c r="V39" s="356">
        <v>-10.464817216490435872095231260</v>
      </c>
      <c r="W39" s="354">
        <v>0</v>
      </c>
      <c r="X39" s="355">
        <v>-100</v>
      </c>
      <c r="Y39" s="356">
        <v>3.2725214685683661036941415900</v>
      </c>
      <c r="Z39" s="354">
        <v>-7.5729527767070975985476121300</v>
      </c>
      <c r="AA39" s="355">
        <v>4.720392336020519175160933500</v>
      </c>
      <c r="AB39" s="356">
        <v>0.2068344211975676480859176900</v>
      </c>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row>
    <row r="40" ht="15.6" customHeight="1">
      <c r="A40" s="54"/>
      <c r="C40" s="53" t="s">
        <v>15</v>
      </c>
      <c r="D40" s="370">
        <v>216.98546511627906976744186047</v>
      </c>
      <c r="E40" s="172">
        <v>233.44127941445155444689716599</v>
      </c>
      <c r="F40" s="371">
        <v>218.67248132745719245755568104</v>
      </c>
      <c r="G40" s="370">
        <v>185.36764705882352941176470588</v>
      </c>
      <c r="H40" s="172">
        <v>228.2100331904657961334286775</v>
      </c>
      <c r="I40" s="371">
        <v>256.15532902422905346802267806</v>
      </c>
      <c r="J40" s="370">
        <v>0</v>
      </c>
      <c r="K40" s="172">
        <v>0</v>
      </c>
      <c r="L40" s="371">
        <v>160.37184566744954381964330042</v>
      </c>
      <c r="M40" s="370">
        <v>211.76699029126213592233009709</v>
      </c>
      <c r="N40" s="172">
        <v>232.43209586186364989580232212</v>
      </c>
      <c r="O40" s="371">
        <v>221.8359734657628593177946134</v>
      </c>
      <c r="P40" s="4"/>
      <c r="Q40" s="327">
        <v>27.234699721828739326589980620</v>
      </c>
      <c r="R40" s="171">
        <v>26.473051023100158076977661390</v>
      </c>
      <c r="S40" s="328">
        <v>8.730584327043177345725994090</v>
      </c>
      <c r="T40" s="327">
        <v>-13.404894804637183340489480460</v>
      </c>
      <c r="U40" s="171">
        <v>11.163269866548415622525276430</v>
      </c>
      <c r="V40" s="328">
        <v>-1.9978557672855335371571083900</v>
      </c>
      <c r="W40" s="327">
        <v>0</v>
      </c>
      <c r="X40" s="171">
        <v>-100</v>
      </c>
      <c r="Y40" s="328">
        <v>4.5297158495181314544763271200</v>
      </c>
      <c r="Z40" s="327">
        <v>23.048161952519678637312651770</v>
      </c>
      <c r="AA40" s="171">
        <v>24.092136168729516297784399600</v>
      </c>
      <c r="AB40" s="328">
        <v>5.5465817406423952111818832200</v>
      </c>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row>
    <row r="41" ht="15.6" customHeight="1">
      <c r="A41" s="54"/>
      <c r="B41" s="22"/>
      <c r="C41" s="53" t="s">
        <v>16</v>
      </c>
      <c r="D41" s="378">
        <v>227.99690402476780185758513932</v>
      </c>
      <c r="E41" s="173">
        <v>241.70932782258309545653685615</v>
      </c>
      <c r="F41" s="379">
        <v>225.71465289874177761828506455</v>
      </c>
      <c r="G41" s="378">
        <v>199.2530120481927710843373494</v>
      </c>
      <c r="H41" s="173">
        <v>235.03803110843237671686937376</v>
      </c>
      <c r="I41" s="379">
        <v>257.3041184368246551482741314</v>
      </c>
      <c r="J41" s="378">
        <v>0</v>
      </c>
      <c r="K41" s="173">
        <v>0</v>
      </c>
      <c r="L41" s="379">
        <v>147.229542268912471868867957</v>
      </c>
      <c r="M41" s="378">
        <v>222.12068965517241379310344828</v>
      </c>
      <c r="N41" s="173">
        <v>240.35587050359712230215827338</v>
      </c>
      <c r="O41" s="379">
        <v>225.99312678439251348207676853</v>
      </c>
      <c r="P41" s="4"/>
      <c r="Q41" s="359">
        <v>33.796607335607047327544279660</v>
      </c>
      <c r="R41" s="170">
        <v>31.982600744894969741346830230</v>
      </c>
      <c r="S41" s="360">
        <v>10.095824352308346787687853080</v>
      </c>
      <c r="T41" s="359">
        <v>-2.7243228405735412644147315400</v>
      </c>
      <c r="U41" s="170">
        <v>13.654832885293533676758323140</v>
      </c>
      <c r="V41" s="360">
        <v>1.19511073034196216482385700</v>
      </c>
      <c r="W41" s="359">
        <v>0</v>
      </c>
      <c r="X41" s="170">
        <v>-100</v>
      </c>
      <c r="Y41" s="360">
        <v>1.292568430323449280815701200</v>
      </c>
      <c r="Z41" s="359">
        <v>28.967793403953768948637518890</v>
      </c>
      <c r="AA41" s="170">
        <v>28.526270070427037921502594510</v>
      </c>
      <c r="AB41" s="360">
        <v>6.6122653123618884937400671600</v>
      </c>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row>
    <row r="42" ht="15.6" customHeight="1">
      <c r="A42" s="54"/>
      <c r="B42" s="22"/>
      <c r="C42" s="53" t="s">
        <v>17</v>
      </c>
      <c r="D42" s="370">
        <v>198.70985915492957746478873239</v>
      </c>
      <c r="E42" s="172">
        <v>232.28268959022913090454416197</v>
      </c>
      <c r="F42" s="371">
        <v>220.8461323496169436692229653</v>
      </c>
      <c r="G42" s="370">
        <v>208.85</v>
      </c>
      <c r="H42" s="172">
        <v>233.9269913211916315794886578</v>
      </c>
      <c r="I42" s="371">
        <v>249.72022121249272412126666091</v>
      </c>
      <c r="J42" s="370">
        <v>0</v>
      </c>
      <c r="K42" s="172">
        <v>0</v>
      </c>
      <c r="L42" s="371">
        <v>154.45236885849065432807616312</v>
      </c>
      <c r="M42" s="370">
        <v>200.93846153846153846153846154</v>
      </c>
      <c r="N42" s="172">
        <v>232.62153596698113207547169811</v>
      </c>
      <c r="O42" s="371">
        <v>222.18659438818996965667723569</v>
      </c>
      <c r="P42" s="4"/>
      <c r="Q42" s="327">
        <v>16.599609799118306616496303120</v>
      </c>
      <c r="R42" s="171">
        <v>29.739911393836002384101169230</v>
      </c>
      <c r="S42" s="328">
        <v>8.597596372881447238111166980</v>
      </c>
      <c r="T42" s="327">
        <v>-14.335520918785890073831009020</v>
      </c>
      <c r="U42" s="171">
        <v>4.0240236314890228457171260700</v>
      </c>
      <c r="V42" s="328">
        <v>1.2894090106984928882867638100</v>
      </c>
      <c r="W42" s="327">
        <v>0</v>
      </c>
      <c r="X42" s="171">
        <v>-100</v>
      </c>
      <c r="Y42" s="328">
        <v>-0.7153500201462743268181460400</v>
      </c>
      <c r="Z42" s="327">
        <v>14.244159537252919774719173100</v>
      </c>
      <c r="AA42" s="171">
        <v>25.306893586757896409522295380</v>
      </c>
      <c r="AB42" s="328">
        <v>6.474661291711518270367537900</v>
      </c>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row>
    <row r="43" ht="15.6" customHeight="1">
      <c r="A43" s="54"/>
      <c r="B43" s="22"/>
      <c r="C43" s="53" t="s">
        <v>18</v>
      </c>
      <c r="D43" s="378">
        <v>211.36292428198433420365535248</v>
      </c>
      <c r="E43" s="173">
        <v>223.33808588646588241116379718</v>
      </c>
      <c r="F43" s="379">
        <v>230.97432057310096848295541498</v>
      </c>
      <c r="G43" s="378">
        <v>243.18390804597701149425287356</v>
      </c>
      <c r="H43" s="173">
        <v>247.15288430774809539656395147</v>
      </c>
      <c r="I43" s="379">
        <v>253.61597266269653694971934165</v>
      </c>
      <c r="J43" s="378">
        <v>0</v>
      </c>
      <c r="K43" s="173">
        <v>0</v>
      </c>
      <c r="L43" s="379">
        <v>163.37438345269509480457054295</v>
      </c>
      <c r="M43" s="378">
        <v>217.25319148936170212765957447</v>
      </c>
      <c r="N43" s="173">
        <v>226.67680045871559633027522936</v>
      </c>
      <c r="O43" s="379">
        <v>229.5368424530795664816283373</v>
      </c>
      <c r="P43" s="4"/>
      <c r="Q43" s="359">
        <v>3.7132967650607610247439155800</v>
      </c>
      <c r="R43" s="170">
        <v>5.5512090857417311107014417700</v>
      </c>
      <c r="S43" s="360">
        <v>3.5898724355109373848338494100</v>
      </c>
      <c r="T43" s="359">
        <v>-37.333674187321311428513504010</v>
      </c>
      <c r="U43" s="170">
        <v>-24.301672861428251297857489040</v>
      </c>
      <c r="V43" s="360">
        <v>0.8855106924774012952052646900</v>
      </c>
      <c r="W43" s="359">
        <v>0</v>
      </c>
      <c r="X43" s="170">
        <v>-100</v>
      </c>
      <c r="Y43" s="360">
        <v>8.569262894208377165446729060</v>
      </c>
      <c r="Z43" s="359">
        <v>-5.5673015221557471453010238600</v>
      </c>
      <c r="AA43" s="170">
        <v>1.9379023267314699271248145300</v>
      </c>
      <c r="AB43" s="360">
        <v>3.0438305151231360003574156400</v>
      </c>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row>
    <row r="44" ht="15.6" customHeight="1">
      <c r="A44" s="54"/>
      <c r="B44" s="22"/>
      <c r="C44" s="53" t="s">
        <v>19</v>
      </c>
      <c r="D44" s="370">
        <v>294.47979797979797979797979798</v>
      </c>
      <c r="E44" s="172">
        <v>282.79251947433001283727019315</v>
      </c>
      <c r="F44" s="371">
        <v>260.55127400386685666400579682</v>
      </c>
      <c r="G44" s="370">
        <v>411.89583333333333333333333333</v>
      </c>
      <c r="H44" s="172">
        <v>282.52584326688859451544331692</v>
      </c>
      <c r="I44" s="371">
        <v>263.81916566010385373787292593</v>
      </c>
      <c r="J44" s="370">
        <v>0</v>
      </c>
      <c r="K44" s="172">
        <v>0</v>
      </c>
      <c r="L44" s="371">
        <v>168.07834440247319141578999821</v>
      </c>
      <c r="M44" s="370">
        <v>307.17342342342342342342342342</v>
      </c>
      <c r="N44" s="172">
        <v>282.76468361276365603028664143</v>
      </c>
      <c r="O44" s="371">
        <v>252.92303653602643688810648877</v>
      </c>
      <c r="P44" s="4"/>
      <c r="Q44" s="327">
        <v>2.3765499273890255116959536800</v>
      </c>
      <c r="R44" s="171">
        <v>-0.4847942097387128162414362400</v>
      </c>
      <c r="S44" s="328">
        <v>-0.4639961280584735096192574100</v>
      </c>
      <c r="T44" s="327">
        <v>5.3756012849574162404670822100</v>
      </c>
      <c r="U44" s="171">
        <v>-21.441359467798066851640089330</v>
      </c>
      <c r="V44" s="328">
        <v>-10.429539919357755798920982700</v>
      </c>
      <c r="W44" s="327">
        <v>0</v>
      </c>
      <c r="X44" s="171">
        <v>-100</v>
      </c>
      <c r="Y44" s="328">
        <v>6.9212439862825683840864805500</v>
      </c>
      <c r="Z44" s="327">
        <v>-0.817541707367192144290714800</v>
      </c>
      <c r="AA44" s="171">
        <v>-2.4625626384845226220252553300</v>
      </c>
      <c r="AB44" s="328">
        <v>-1.9251048256012012576685232100</v>
      </c>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row>
    <row r="45" ht="15.6" customHeight="1">
      <c r="A45" s="54"/>
      <c r="B45" s="22"/>
      <c r="C45" s="53" t="s">
        <v>20</v>
      </c>
      <c r="D45" s="384">
        <v>300.93033707865168539325842697</v>
      </c>
      <c r="E45" s="385">
        <v>293.81832389102376208201639024</v>
      </c>
      <c r="F45" s="386">
        <v>270.2073579423153857753113269</v>
      </c>
      <c r="G45" s="384">
        <v>412.93478260869565217391304348</v>
      </c>
      <c r="H45" s="385">
        <v>274.84308785664555991216966468</v>
      </c>
      <c r="I45" s="386">
        <v>270.65930684549773901398338129</v>
      </c>
      <c r="J45" s="384">
        <v>0</v>
      </c>
      <c r="K45" s="385">
        <v>0</v>
      </c>
      <c r="L45" s="386">
        <v>164.83587267251992066804371321</v>
      </c>
      <c r="M45" s="384">
        <v>311.4236252545824847250509165</v>
      </c>
      <c r="N45" s="385">
        <v>291.9075972043569608077819992</v>
      </c>
      <c r="O45" s="386">
        <v>260.90889468477381059447792068</v>
      </c>
      <c r="P45" s="4"/>
      <c r="Q45" s="364">
        <v>0.9637710698731214586973791500</v>
      </c>
      <c r="R45" s="365">
        <v>1.6662600307419468226202739300</v>
      </c>
      <c r="S45" s="366">
        <v>1.7492628007962495488936594500</v>
      </c>
      <c r="T45" s="364">
        <v>-2.3327868075874023456739835100</v>
      </c>
      <c r="U45" s="365">
        <v>-25.478408758517718390906348340</v>
      </c>
      <c r="V45" s="366">
        <v>-9.472420841073410871638055630</v>
      </c>
      <c r="W45" s="364">
        <v>0</v>
      </c>
      <c r="X45" s="365">
        <v>-100</v>
      </c>
      <c r="Y45" s="366">
        <v>9.677458031946770922488358210</v>
      </c>
      <c r="Z45" s="364">
        <v>-3.1879939217579074539169516900</v>
      </c>
      <c r="AA45" s="365">
        <v>-0.8652241896074401324517690800</v>
      </c>
      <c r="AB45" s="366">
        <v>-0.0855946309077226367519127800</v>
      </c>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row>
    <row r="46" ht="20.25" customHeight="1">
      <c r="B46" s="54"/>
      <c r="C46"/>
      <c r="D46" s="169"/>
      <c r="E46" s="169"/>
      <c r="F46" s="169"/>
      <c r="G46" s="169"/>
      <c r="H46" s="169"/>
      <c r="I46" s="169"/>
      <c r="J46" s="169"/>
      <c r="K46" s="169"/>
      <c r="L46" s="169"/>
      <c r="M46" s="169"/>
      <c r="N46" s="169"/>
      <c r="O46" s="169"/>
      <c r="P46" s="4"/>
      <c r="Q46" s="4"/>
      <c r="R46" s="4"/>
      <c r="S46" s="4"/>
      <c r="T46" s="4"/>
      <c r="U46" s="4"/>
      <c r="V46" s="4"/>
      <c r="W46" s="4"/>
      <c r="X46" s="4"/>
      <c r="Y46" s="4"/>
      <c r="Z46" s="4"/>
      <c r="AA46" s="4"/>
      <c r="AB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row>
    <row r="47" ht="15.6" customHeight="1">
      <c r="A47" s="22"/>
      <c r="B47" s="22"/>
      <c r="C47" s="53" t="s">
        <v>72</v>
      </c>
      <c r="D47" s="374">
        <v>225.32273449920508744038155803</v>
      </c>
      <c r="E47" s="382">
        <v>237.24503933347961528965983405</v>
      </c>
      <c r="F47" s="375">
        <v>209.09343022104079629446142132</v>
      </c>
      <c r="G47" s="374">
        <v>163.00512820512820512820512821</v>
      </c>
      <c r="H47" s="382">
        <v>237.95475951153538246541379582</v>
      </c>
      <c r="I47" s="375">
        <v>212.15642887876995033496734054</v>
      </c>
      <c r="J47" s="374">
        <v>0</v>
      </c>
      <c r="K47" s="382">
        <v>0</v>
      </c>
      <c r="L47" s="375">
        <v>158.80581413780099981738068898</v>
      </c>
      <c r="M47" s="374">
        <v>210.57524271844660194174757282</v>
      </c>
      <c r="N47" s="382">
        <v>237.39520525492286117164268923</v>
      </c>
      <c r="O47" s="375">
        <v>204.75204114304010245737613063</v>
      </c>
      <c r="P47" s="4"/>
      <c r="Q47" s="354">
        <v>23.243434528794176049300258340</v>
      </c>
      <c r="R47" s="355">
        <v>14.908539296444674912623503280</v>
      </c>
      <c r="S47" s="356">
        <v>-0.7574588809235676246396616600</v>
      </c>
      <c r="T47" s="354">
        <v>0</v>
      </c>
      <c r="U47" s="355">
        <v>4.8276943820091819130030545400</v>
      </c>
      <c r="V47" s="356">
        <v>0.4785538511146469190188981100</v>
      </c>
      <c r="W47" s="354">
        <v>0</v>
      </c>
      <c r="X47" s="355">
        <v>-100</v>
      </c>
      <c r="Y47" s="356">
        <v>6.1048834155816543023596669600</v>
      </c>
      <c r="Z47" s="354">
        <v>15.177086755297531024134062630</v>
      </c>
      <c r="AA47" s="355">
        <v>14.198200462332479174993734660</v>
      </c>
      <c r="AB47" s="356">
        <v>-0.4034512379666573696387947600</v>
      </c>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row>
    <row r="48" ht="15.6" customHeight="1">
      <c r="A48" s="22"/>
      <c r="B48" s="22"/>
      <c r="C48" s="53" t="s">
        <v>61</v>
      </c>
      <c r="D48" s="370">
        <v>241.13475447278264179672630377</v>
      </c>
      <c r="E48" s="172">
        <v>250.53120819514260078374623465</v>
      </c>
      <c r="F48" s="371">
        <v>238.43885831280920213154993032</v>
      </c>
      <c r="G48" s="370">
        <v>262.20496894409937888198757764</v>
      </c>
      <c r="H48" s="172">
        <v>245.34439812003220896013341871</v>
      </c>
      <c r="I48" s="371">
        <v>259.43154567074292844001826223</v>
      </c>
      <c r="J48" s="370">
        <v>0</v>
      </c>
      <c r="K48" s="172">
        <v>0</v>
      </c>
      <c r="L48" s="371">
        <v>160.45970357359962131139354763</v>
      </c>
      <c r="M48" s="370">
        <v>244.40707395498392282958199357</v>
      </c>
      <c r="N48" s="172">
        <v>249.73728371406926777699417068</v>
      </c>
      <c r="O48" s="371">
        <v>235.32563741547420646323008256</v>
      </c>
      <c r="P48" s="4"/>
      <c r="Q48" s="327">
        <v>11.951229316486039428071224390</v>
      </c>
      <c r="R48" s="171">
        <v>11.343366523279085790993109410</v>
      </c>
      <c r="S48" s="328">
        <v>4.1871456066125758377216575300</v>
      </c>
      <c r="T48" s="327">
        <v>-29.565579761928810651976721600</v>
      </c>
      <c r="U48" s="171">
        <v>-9.938971417731976184149987410</v>
      </c>
      <c r="V48" s="328">
        <v>-3.5816034663939407200167257300</v>
      </c>
      <c r="W48" s="327">
        <v>0</v>
      </c>
      <c r="X48" s="171">
        <v>-100</v>
      </c>
      <c r="Y48" s="328">
        <v>4.8342194010642954955787465100</v>
      </c>
      <c r="Z48" s="327">
        <v>4.4180046509130757163499552500</v>
      </c>
      <c r="AA48" s="171">
        <v>8.515862154727984890692608280</v>
      </c>
      <c r="AB48" s="328">
        <v>2.3777950193218862164787897300</v>
      </c>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row>
    <row r="49" ht="15.6" customHeight="1">
      <c r="A49" s="54"/>
      <c r="B49" s="22"/>
      <c r="C49" s="53" t="s">
        <v>31</v>
      </c>
      <c r="D49" s="384">
        <v>233.8196573489630297565374211</v>
      </c>
      <c r="E49" s="385">
        <v>239.25725232474476669592884638</v>
      </c>
      <c r="F49" s="386">
        <v>233.88407380040659550437900529</v>
      </c>
      <c r="G49" s="384">
        <v>260.44827586206896551724137931</v>
      </c>
      <c r="H49" s="385">
        <v>238.85442252660202241545605193</v>
      </c>
      <c r="I49" s="386">
        <v>250.74093326181727141515551774</v>
      </c>
      <c r="J49" s="384">
        <v>0</v>
      </c>
      <c r="K49" s="385">
        <v>0</v>
      </c>
      <c r="L49" s="386">
        <v>159.12572573745088268700412793</v>
      </c>
      <c r="M49" s="384">
        <v>237.93978658536585365853658537</v>
      </c>
      <c r="N49" s="385">
        <v>239.19408140976504707170233919</v>
      </c>
      <c r="O49" s="386">
        <v>229.75940287930137792688014722</v>
      </c>
      <c r="P49" s="4"/>
      <c r="Q49" s="364">
        <v>9.159675269106049799155053950</v>
      </c>
      <c r="R49" s="365">
        <v>6.5528764325822045866829104700</v>
      </c>
      <c r="S49" s="366">
        <v>1.8725782690427382277363656800</v>
      </c>
      <c r="T49" s="364">
        <v>-33.232245089003423747615592330</v>
      </c>
      <c r="U49" s="365">
        <v>-14.54626263345906413778493300</v>
      </c>
      <c r="V49" s="366">
        <v>-3.9588138808890044877257913900</v>
      </c>
      <c r="W49" s="364">
        <v>0</v>
      </c>
      <c r="X49" s="365">
        <v>-100</v>
      </c>
      <c r="Y49" s="366">
        <v>4.3620574088206274294354077700</v>
      </c>
      <c r="Z49" s="364">
        <v>0.5952873164071157629201997900</v>
      </c>
      <c r="AA49" s="365">
        <v>3.9406566313032379617603418100</v>
      </c>
      <c r="AB49" s="366">
        <v>0.3870473435776669043687190400</v>
      </c>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row>
    <row r="50" ht="9.95" customHeight="1">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row>
    <row r="51" ht="9.95" customHeight="1">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row>
    <row r="52" ht="24.75" customHeight="1">
      <c r="D52" s="650" t="s">
        <v>114</v>
      </c>
      <c r="E52" s="650"/>
      <c r="F52" s="650"/>
      <c r="G52" s="650"/>
      <c r="H52" s="650"/>
      <c r="I52" s="650"/>
      <c r="J52" s="650"/>
      <c r="K52" s="650"/>
      <c r="L52" s="650"/>
      <c r="M52" s="650"/>
      <c r="N52" s="650"/>
      <c r="O52" s="650"/>
      <c r="P52" s="650"/>
      <c r="Q52" s="650"/>
      <c r="R52" s="650"/>
      <c r="S52" s="650"/>
      <c r="T52" s="650"/>
      <c r="U52" s="650"/>
      <c r="V52" s="650"/>
      <c r="W52" s="650"/>
      <c r="X52" s="650"/>
      <c r="Y52" s="650"/>
      <c r="Z52" s="650"/>
      <c r="AA52" s="650"/>
      <c r="AB52" s="650"/>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row>
    <row r="53" ht="9.95" customHeight="1">
      <c r="A53" s="53"/>
      <c r="C53"/>
      <c r="Z53" s="80"/>
      <c r="AA53" s="242"/>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c r="AZ71" s="244"/>
      <c r="BA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c r="AZ77" s="244"/>
      <c r="BA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c r="AZ88" s="244"/>
      <c r="BA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c r="AZ90" s="244"/>
      <c r="BA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c r="AZ91" s="244"/>
      <c r="BA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c r="AZ92" s="244"/>
      <c r="BA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c r="AZ93" s="244"/>
      <c r="BA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c r="AZ94" s="244"/>
      <c r="BA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row>
  </sheetData>
  <mergeCells count="12">
    <mergeCell ref="Q8:S8"/>
    <mergeCell ref="T8:V8"/>
    <mergeCell ref="D52:AB52"/>
    <mergeCell ref="R4:AA4"/>
    <mergeCell ref="D7:O7"/>
    <mergeCell ref="Q7:AB7"/>
    <mergeCell ref="W8:Y8"/>
    <mergeCell ref="Z8:AB8"/>
    <mergeCell ref="D8:F8"/>
    <mergeCell ref="G8:I8"/>
    <mergeCell ref="J8:L8"/>
    <mergeCell ref="M8:O8"/>
  </mergeCells>
  <phoneticPr fontId="0" type="noConversion"/>
  <printOptions horizontalCentered="1" verticalCentered="1"/>
  <pageMargins left="0.25" right="0.25" top="0.25" bottom="0.25" header="0.17" footer="0.28"/>
  <pageSetup scale="67" orientation="landscape" r:id="rId1"/>
  <headerFooter alignWithMargins="0">
    <oddHeader/>
    <oddFooter/>
  </headerFooter>
  <drawing r:id="rId45"/>
</worksheet>
</file>

<file path=xl/worksheets/sheet8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J113"/>
  <sheetViews>
    <sheetView showGridLines="0" zoomScale="65" workbookViewId="0"/>
  </sheetViews>
  <sheetFormatPr defaultRowHeight="12.75"/>
  <cols>
    <col min="1" max="1" width="1" customWidth="1"/>
    <col min="2" max="2" width="21.7109375" customWidth="1"/>
    <col min="3" max="30" width="8.28515625" customWidth="1"/>
    <col min="31" max="31" width="1.7109375" customWidth="1"/>
    <col min="32" max="34" width="8.28515625" customWidth="1"/>
    <col min="35" max="35" width="2" customWidth="1"/>
    <col min="36" max="39" width="9.28515625" bestFit="1" customWidth="1"/>
  </cols>
  <sheetData>
    <row r="1" ht="36" customHeight="1">
      <c r="A1" s="4"/>
      <c r="B1" s="39" t="s">
        <v>154</v>
      </c>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row>
    <row r="2" ht="17.1" customHeight="1">
      <c r="A2" s="5"/>
      <c r="B2" s="10" t="s">
        <v>168</v>
      </c>
      <c r="AG2" s="216"/>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row>
    <row r="3" ht="17.1" customHeight="1">
      <c r="A3" s="5"/>
      <c r="B3" s="10" t="s">
        <v>181</v>
      </c>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row>
    <row r="4" ht="17.1" customHeight="1">
      <c r="A4" s="5"/>
      <c r="B4" s="4" t="s">
        <v>182</v>
      </c>
      <c r="R4" s="715" t="s">
        <v>187</v>
      </c>
      <c r="S4" s="715"/>
      <c r="T4" s="715"/>
      <c r="U4" s="715"/>
      <c r="V4" s="715"/>
      <c r="W4" s="715"/>
      <c r="X4" s="715"/>
      <c r="Y4" s="715"/>
      <c r="Z4" s="715"/>
      <c r="AA4" s="715"/>
      <c r="AB4" s="715"/>
      <c r="AC4" s="715"/>
      <c r="AD4" s="715"/>
      <c r="AE4" s="715"/>
      <c r="AF4" s="715"/>
      <c r="AG4" s="715"/>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row>
    <row r="5" ht="23.25">
      <c r="A5" s="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row>
    <row r="6" ht="23.25">
      <c r="A6" s="5"/>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row>
    <row r="7" ht="23.25">
      <c r="A7" s="5"/>
      <c r="Y7" s="26"/>
      <c r="Z7" s="26"/>
      <c r="AA7" s="26"/>
      <c r="AB7" s="26"/>
      <c r="AC7" s="26"/>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row>
    <row r="8" ht="23.25">
      <c r="A8" s="5"/>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row>
    <row r="9" ht="23.25">
      <c r="A9" s="5"/>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row>
    <row r="10" ht="23.25">
      <c r="A10" s="5"/>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row>
    <row r="11" ht="23.25">
      <c r="A11" s="5"/>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row>
    <row r="12" ht="23.25">
      <c r="A12" s="5"/>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row>
    <row r="13" ht="23.25">
      <c r="A13" s="5"/>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row>
    <row r="14" ht="23.25">
      <c r="A14" s="5"/>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row>
    <row r="15" ht="23.25">
      <c r="A15" s="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row>
    <row r="16" ht="23.25">
      <c r="A16" s="5"/>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row>
    <row r="17" ht="23.25">
      <c r="A17" s="5"/>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row>
    <row r="18" ht="23.25">
      <c r="A18" s="5"/>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row>
    <row r="19" ht="23.25">
      <c r="A19" s="5"/>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row>
    <row r="20" ht="11.25" customHeight="1">
      <c r="A20" s="5"/>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row>
    <row r="21" ht="20.1" customHeight="1" thickBot="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row>
    <row r="22" ht="18" customHeight="1">
      <c r="A22" s="8"/>
      <c r="B22" s="29"/>
      <c r="X22" s="716" t="s">
        <v>72</v>
      </c>
      <c r="Y22" s="716"/>
      <c r="Z22" s="716"/>
      <c r="AA22" s="716"/>
      <c r="AB22" s="716"/>
      <c r="AC22" s="716"/>
      <c r="AD22" s="716"/>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row>
    <row r="24" s="41" customFormat="1" ht="18">
      <c r="B24" s="417" t="s">
        <v>13</v>
      </c>
      <c r="C24" s="275" t="s">
        <v>186</v>
      </c>
      <c r="D24" s="276"/>
      <c r="E24" s="276"/>
      <c r="F24" s="276"/>
      <c r="G24" s="658" t="s">
        <v>183</v>
      </c>
      <c r="H24" s="276"/>
      <c r="I24" s="276"/>
      <c r="J24" s="276"/>
      <c r="K24" s="276"/>
      <c r="L24" s="276"/>
      <c r="M24" s="276"/>
      <c r="N24" s="276"/>
      <c r="O24" s="276"/>
      <c r="P24" s="276"/>
      <c r="Q24" s="276"/>
      <c r="R24" s="276"/>
      <c r="S24" s="277"/>
      <c r="T24" s="277"/>
      <c r="U24" s="277"/>
      <c r="V24" s="277"/>
      <c r="W24" s="277"/>
      <c r="X24" s="312"/>
      <c r="Y24" s="277"/>
      <c r="Z24" s="277"/>
      <c r="AA24" s="277"/>
      <c r="AB24" s="277"/>
      <c r="AC24" s="277"/>
      <c r="AD24" s="336"/>
      <c r="AE24" s="25"/>
      <c r="AF24" s="316" t="s">
        <v>58</v>
      </c>
      <c r="AG24" s="317" t="s">
        <v>59</v>
      </c>
      <c r="AH24" s="318" t="s">
        <v>59</v>
      </c>
      <c r="AI24" s="25"/>
      <c r="AJ24" s="248"/>
      <c r="AK24" s="248"/>
      <c r="AL24" s="248"/>
      <c r="AM24" s="248"/>
      <c r="AN24" s="253"/>
      <c r="AO24" s="253"/>
      <c r="AP24" s="253"/>
      <c r="AQ24" s="253"/>
      <c r="AR24" s="253"/>
      <c r="AS24" s="253"/>
      <c r="AT24" s="253"/>
      <c r="AU24" s="253"/>
      <c r="AV24" s="253"/>
      <c r="AW24" s="253"/>
      <c r="AX24" s="253"/>
      <c r="AY24" s="253"/>
      <c r="AZ24" s="253"/>
      <c r="BA24" s="253"/>
      <c r="BB24" s="253"/>
      <c r="BC24" s="253"/>
      <c r="BD24" s="253"/>
      <c r="BE24" s="253"/>
      <c r="BF24" s="253"/>
      <c r="BG24" s="253"/>
      <c r="BH24" s="253"/>
      <c r="BI24" s="253"/>
      <c r="BJ24" s="253"/>
    </row>
    <row r="25" s="42" customFormat="1">
      <c r="C25" s="279">
        <v>27</v>
      </c>
      <c r="D25" s="280">
        <v>28</v>
      </c>
      <c r="E25" s="280">
        <v>29</v>
      </c>
      <c r="F25" s="280">
        <v>30</v>
      </c>
      <c r="G25" s="676">
        <v>1</v>
      </c>
      <c r="H25" s="280">
        <v>2</v>
      </c>
      <c r="I25" s="280">
        <v>3</v>
      </c>
      <c r="J25" s="280">
        <v>4</v>
      </c>
      <c r="K25" s="280">
        <v>5</v>
      </c>
      <c r="L25" s="280">
        <v>6</v>
      </c>
      <c r="M25" s="280">
        <v>7</v>
      </c>
      <c r="N25" s="280">
        <v>8</v>
      </c>
      <c r="O25" s="280">
        <v>9</v>
      </c>
      <c r="P25" s="280">
        <v>10</v>
      </c>
      <c r="Q25" s="280">
        <v>11</v>
      </c>
      <c r="R25" s="280">
        <v>12</v>
      </c>
      <c r="S25" s="280">
        <v>13</v>
      </c>
      <c r="T25" s="280">
        <v>14</v>
      </c>
      <c r="U25" s="280">
        <v>15</v>
      </c>
      <c r="V25" s="280">
        <v>16</v>
      </c>
      <c r="W25" s="280">
        <v>17</v>
      </c>
      <c r="X25" s="315">
        <v>18</v>
      </c>
      <c r="Y25" s="280">
        <v>19</v>
      </c>
      <c r="Z25" s="280">
        <v>20</v>
      </c>
      <c r="AA25" s="280">
        <v>21</v>
      </c>
      <c r="AB25" s="280">
        <v>22</v>
      </c>
      <c r="AC25" s="280">
        <v>23</v>
      </c>
      <c r="AD25" s="373">
        <v>24</v>
      </c>
      <c r="AE25" s="25"/>
      <c r="AF25" s="319" t="s">
        <v>60</v>
      </c>
      <c r="AG25" s="320">
        <v>28</v>
      </c>
      <c r="AH25" s="321" t="s">
        <v>31</v>
      </c>
      <c r="AI25" s="25"/>
      <c r="AJ25" s="248"/>
      <c r="AK25" s="248"/>
      <c r="AL25" s="248"/>
      <c r="AM25" s="248"/>
      <c r="AN25" s="254"/>
      <c r="AO25" s="254"/>
      <c r="AP25" s="254"/>
      <c r="AQ25" s="254"/>
      <c r="AR25" s="254"/>
      <c r="AS25" s="254"/>
      <c r="AT25" s="254"/>
      <c r="AU25" s="254"/>
      <c r="AV25" s="254"/>
      <c r="AW25" s="254"/>
      <c r="AX25" s="254"/>
      <c r="AY25" s="254"/>
      <c r="AZ25" s="254"/>
      <c r="BA25" s="254"/>
      <c r="BB25" s="254"/>
      <c r="BC25" s="254"/>
      <c r="BD25" s="254"/>
      <c r="BE25" s="254"/>
      <c r="BF25" s="254"/>
      <c r="BG25" s="254"/>
      <c r="BH25" s="254"/>
      <c r="BI25" s="254"/>
      <c r="BJ25" s="254"/>
    </row>
    <row r="26" ht="14.25" customHeight="1">
      <c r="B26" s="46" t="s">
        <v>32</v>
      </c>
      <c r="C26" s="461">
        <v>203.12121212121212121212121212</v>
      </c>
      <c r="D26" s="462">
        <v>268.12878787878787878787878788</v>
      </c>
      <c r="E26" s="462">
        <v>302.04545454545454545454545455</v>
      </c>
      <c r="F26" s="462">
        <v>255.12878787878787878787878788</v>
      </c>
      <c r="G26" s="673">
        <v>279.04545454545454545454545455</v>
      </c>
      <c r="H26" s="462">
        <v>407.40151515151515151515151515</v>
      </c>
      <c r="I26" s="462">
        <v>405.85606060606060606060606061</v>
      </c>
      <c r="J26" s="462">
        <v>283.34090909090909090909090909</v>
      </c>
      <c r="K26" s="462">
        <v>123.35606060606060606060606061</v>
      </c>
      <c r="L26" s="462">
        <v>89.17424242424242424242424242</v>
      </c>
      <c r="M26" s="462">
        <v>153.42424242424242424242424242</v>
      </c>
      <c r="N26" s="462">
        <v>178.47727272727272727272727273</v>
      </c>
      <c r="O26" s="462">
        <v>220.64393939393939393939393939</v>
      </c>
      <c r="P26" s="462">
        <v>225.00757575757575757575757576</v>
      </c>
      <c r="Q26" s="462">
        <v>96.67424242424242424242424242</v>
      </c>
      <c r="R26" s="462">
        <v>94.43939393939393939393939394</v>
      </c>
      <c r="S26" s="462">
        <v>110.98484848484848484848484848</v>
      </c>
      <c r="T26" s="462">
        <v>108.79545454545454545454545455</v>
      </c>
      <c r="U26" s="462">
        <v>136.56060606060606060606060606</v>
      </c>
      <c r="V26" s="462">
        <v>224.74242424242424242424242424</v>
      </c>
      <c r="W26" s="462">
        <v>277.53030303030303030303030303</v>
      </c>
      <c r="X26" s="463">
        <v>173.28030303030303030303030303</v>
      </c>
      <c r="Y26" s="462">
        <v>175.04545454545454545454545455</v>
      </c>
      <c r="Z26" s="462">
        <v>180.98484848484848484848484848</v>
      </c>
      <c r="AA26" s="462">
        <v>175.28030303030303030303030303</v>
      </c>
      <c r="AB26" s="462">
        <v>179.46969696969696969696969697</v>
      </c>
      <c r="AC26" s="462">
        <v>180.43181818181818181818181818</v>
      </c>
      <c r="AD26" s="464">
        <v>250.00757575757575757575757576</v>
      </c>
      <c r="AE26" s="465"/>
      <c r="AF26" s="461">
        <v>187.78571428571428571428571429</v>
      </c>
      <c r="AG26" s="462">
        <v>205.65638528138528138528138528</v>
      </c>
      <c r="AH26" s="466">
        <v>197.08143939393939393939393939</v>
      </c>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row>
    <row r="27" ht="14.25" customHeight="1">
      <c r="B27" s="47" t="s">
        <v>26</v>
      </c>
      <c r="C27" s="370">
        <v>219.76315585672797676669893514</v>
      </c>
      <c r="D27" s="85">
        <v>300.3714424007744433688286544</v>
      </c>
      <c r="E27" s="85">
        <v>319.04408518877057115198451113</v>
      </c>
      <c r="F27" s="85">
        <v>309.52514036786060019361084221</v>
      </c>
      <c r="G27" s="674">
        <v>275.7041626331074540174249758</v>
      </c>
      <c r="H27" s="85">
        <v>383.67860600193610842207163601</v>
      </c>
      <c r="I27" s="85">
        <v>389.40038722168441432720232333</v>
      </c>
      <c r="J27" s="85">
        <v>224.79349467570183930300096805</v>
      </c>
      <c r="K27" s="85">
        <v>134.06877057115198451113262343</v>
      </c>
      <c r="L27" s="85">
        <v>149.24544046466602129719264279</v>
      </c>
      <c r="M27" s="85">
        <v>148.41045498547918683446272991</v>
      </c>
      <c r="N27" s="85">
        <v>167.00493707647628267182962246</v>
      </c>
      <c r="O27" s="85">
        <v>201.21781219748305905130687318</v>
      </c>
      <c r="P27" s="85">
        <v>186.27686350435624394966118103</v>
      </c>
      <c r="Q27" s="85">
        <v>111.39318489835430784123910939</v>
      </c>
      <c r="R27" s="85">
        <v>111.18929332042594385285575992</v>
      </c>
      <c r="S27" s="85">
        <v>135.73483059051306873184898354</v>
      </c>
      <c r="T27" s="85">
        <v>133.59651500484027105517909003</v>
      </c>
      <c r="U27" s="85">
        <v>145.49242013552758954501452081</v>
      </c>
      <c r="V27" s="85">
        <v>220.87792836398838334946757018</v>
      </c>
      <c r="W27" s="85">
        <v>256.11916747337850919651500484</v>
      </c>
      <c r="X27" s="86">
        <v>204.21639883833494675701839303</v>
      </c>
      <c r="Y27" s="85">
        <v>210.16856727976766698935140368</v>
      </c>
      <c r="Z27" s="85">
        <v>204.530000000</v>
      </c>
      <c r="AA27" s="85">
        <v>172.31324298160696999031945789</v>
      </c>
      <c r="AB27" s="85">
        <v>177.18926427879961277831558567</v>
      </c>
      <c r="AC27" s="85">
        <v>206.48489835430784123910939013</v>
      </c>
      <c r="AD27" s="87">
        <v>263.46329723225030084235860409</v>
      </c>
      <c r="AE27" s="169"/>
      <c r="AF27" s="370">
        <v>205.48080985215247694235326207</v>
      </c>
      <c r="AG27" s="85">
        <v>212.90263435350969992982147829</v>
      </c>
      <c r="AH27" s="371">
        <v>200.52374742017241693974493538</v>
      </c>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row>
    <row r="28" ht="14.25" customHeight="1">
      <c r="A28" s="24"/>
      <c r="B28" s="49" t="s">
        <v>185</v>
      </c>
      <c r="C28" s="467">
        <v>197.69043895318527786466478991</v>
      </c>
      <c r="D28" s="468">
        <v>238.10937337086852257324575123</v>
      </c>
      <c r="E28" s="468">
        <v>255.82566989886351788134709624</v>
      </c>
      <c r="F28" s="468">
        <v>240.19862370972786987801063497</v>
      </c>
      <c r="G28" s="675">
        <v>245.24595975393598164946303827</v>
      </c>
      <c r="H28" s="468">
        <v>306.06495673026795954540715254</v>
      </c>
      <c r="I28" s="468">
        <v>329.57355854446877280784068397</v>
      </c>
      <c r="J28" s="468">
        <v>216.23542904806589510999895736</v>
      </c>
      <c r="K28" s="468">
        <v>142.92899593368783234282139506</v>
      </c>
      <c r="L28" s="468">
        <v>137.93400062558648733187363153</v>
      </c>
      <c r="M28" s="468">
        <v>151.9496402877697841726618705</v>
      </c>
      <c r="N28" s="468">
        <v>177.43029923886977374622041497</v>
      </c>
      <c r="O28" s="468">
        <v>178.77802106141174017307892816</v>
      </c>
      <c r="P28" s="468">
        <v>171.98978208737357939735168387</v>
      </c>
      <c r="Q28" s="468">
        <v>101.12574288395370659993744135</v>
      </c>
      <c r="R28" s="468">
        <v>120.1585861745386299655927432</v>
      </c>
      <c r="S28" s="468">
        <v>136.00250234594932749452611824</v>
      </c>
      <c r="T28" s="468">
        <v>152.82587842769262850589093942</v>
      </c>
      <c r="U28" s="468">
        <v>160.26441455531227192159316025</v>
      </c>
      <c r="V28" s="468">
        <v>199.24731519132520070899801898</v>
      </c>
      <c r="W28" s="468">
        <v>197.03096653112292774476071317</v>
      </c>
      <c r="X28" s="469">
        <v>136.72463768115942028985507246</v>
      </c>
      <c r="Y28" s="468">
        <v>136.87926180794494838911479512</v>
      </c>
      <c r="Z28" s="468">
        <v>138.74486497758315087060786154</v>
      </c>
      <c r="AA28" s="468">
        <v>134.51235533312480450422270879</v>
      </c>
      <c r="AB28" s="468">
        <v>141.35324783651339797727035763</v>
      </c>
      <c r="AC28" s="468">
        <v>169.77218225419664268585131894</v>
      </c>
      <c r="AD28" s="470">
        <v>208.83328120112605567719737254</v>
      </c>
      <c r="AE28" s="465"/>
      <c r="AF28" s="467">
        <v>152.40283301309263148487421243</v>
      </c>
      <c r="AG28" s="468">
        <v>182.97964237305807527890730894</v>
      </c>
      <c r="AH28" s="471">
        <v>174.65024502137420498383901574</v>
      </c>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row>
    <row r="29" ht="0" hidden="1" customHeight="1">
      <c r="A29" s="24"/>
      <c r="B29" s="53"/>
      <c r="C29" s="492"/>
      <c r="D29" s="492"/>
      <c r="E29" s="492"/>
      <c r="F29" s="492"/>
      <c r="G29" s="492"/>
      <c r="H29" s="492"/>
      <c r="I29" s="492"/>
      <c r="J29" s="492"/>
      <c r="K29" s="492"/>
      <c r="L29" s="492"/>
      <c r="M29" s="492"/>
      <c r="N29" s="492"/>
      <c r="O29" s="492"/>
      <c r="P29" s="492"/>
      <c r="Q29" s="492"/>
      <c r="R29" s="492"/>
      <c r="S29" s="492"/>
      <c r="T29" s="492"/>
      <c r="U29" s="492"/>
      <c r="V29" s="492"/>
      <c r="W29" s="492"/>
      <c r="X29" s="493"/>
      <c r="Y29" s="492"/>
      <c r="Z29" s="492"/>
      <c r="AA29" s="492"/>
      <c r="AB29" s="492"/>
      <c r="AC29" s="492"/>
      <c r="AD29" s="494"/>
      <c r="AE29" s="169"/>
      <c r="AF29" s="492"/>
      <c r="AG29" s="492"/>
      <c r="AH29" s="492"/>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row>
    <row r="30" ht="0" hidden="1" customHeight="1">
      <c r="A30" s="24"/>
      <c r="B30" s="236" t="s">
        <v>82</v>
      </c>
      <c r="C30" s="367"/>
      <c r="D30" s="368"/>
      <c r="E30" s="368"/>
      <c r="F30" s="368"/>
      <c r="G30" s="368"/>
      <c r="H30" s="368"/>
      <c r="I30" s="368"/>
      <c r="J30" s="368"/>
      <c r="K30" s="368"/>
      <c r="L30" s="368"/>
      <c r="M30" s="368"/>
      <c r="N30" s="368"/>
      <c r="O30" s="368"/>
      <c r="P30" s="368"/>
      <c r="Q30" s="368"/>
      <c r="R30" s="368"/>
      <c r="S30" s="368"/>
      <c r="T30" s="368"/>
      <c r="U30" s="368"/>
      <c r="V30" s="368"/>
      <c r="W30" s="368"/>
      <c r="X30" s="369"/>
      <c r="Y30" s="368"/>
      <c r="Z30" s="368"/>
      <c r="AA30" s="368"/>
      <c r="AB30" s="368"/>
      <c r="AC30" s="368"/>
      <c r="AD30" s="372"/>
      <c r="AE30" s="169"/>
      <c r="AF30" s="492"/>
      <c r="AG30" s="492"/>
      <c r="AH30" s="492"/>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row>
    <row r="31" ht="12" customHeight="1">
      <c r="B31" s="4"/>
      <c r="X31" s="27"/>
      <c r="AD31" s="28"/>
      <c r="AF31" s="22"/>
      <c r="AG31" s="22"/>
      <c r="AH31" s="22"/>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row>
    <row r="32" ht="18">
      <c r="B32" s="29"/>
      <c r="X32" s="27"/>
      <c r="AD32" s="28"/>
      <c r="AF32" s="22"/>
      <c r="AG32" s="22"/>
      <c r="AH32" s="22"/>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row>
    <row r="33" s="41" customFormat="1" ht="18">
      <c r="B33" s="417" t="s">
        <v>79</v>
      </c>
      <c r="C33" s="275" t="s">
        <v>186</v>
      </c>
      <c r="D33" s="276"/>
      <c r="E33" s="276"/>
      <c r="F33" s="276"/>
      <c r="G33" s="658" t="s">
        <v>183</v>
      </c>
      <c r="H33" s="276"/>
      <c r="I33" s="276"/>
      <c r="J33" s="276"/>
      <c r="K33" s="276"/>
      <c r="L33" s="276"/>
      <c r="M33" s="276"/>
      <c r="N33" s="276"/>
      <c r="O33" s="276"/>
      <c r="P33" s="276"/>
      <c r="Q33" s="276"/>
      <c r="R33" s="276"/>
      <c r="S33" s="277"/>
      <c r="T33" s="277"/>
      <c r="U33" s="277"/>
      <c r="V33" s="277"/>
      <c r="W33" s="277"/>
      <c r="X33" s="312"/>
      <c r="Y33" s="277"/>
      <c r="Z33" s="277"/>
      <c r="AA33" s="277"/>
      <c r="AB33" s="277"/>
      <c r="AC33" s="277"/>
      <c r="AD33" s="336"/>
      <c r="AE33" s="25"/>
      <c r="AF33" s="316" t="s">
        <v>58</v>
      </c>
      <c r="AG33" s="317" t="s">
        <v>59</v>
      </c>
      <c r="AH33" s="318" t="s">
        <v>59</v>
      </c>
      <c r="AI33" s="25"/>
      <c r="AJ33" s="248"/>
      <c r="AK33" s="248"/>
      <c r="AL33" s="248"/>
      <c r="AM33" s="248"/>
      <c r="AN33" s="253"/>
      <c r="AO33" s="253"/>
      <c r="AP33" s="253"/>
      <c r="AQ33" s="253"/>
      <c r="AR33" s="253"/>
      <c r="AS33" s="253"/>
      <c r="AT33" s="253"/>
      <c r="AU33" s="253"/>
      <c r="AV33" s="253"/>
      <c r="AW33" s="253"/>
      <c r="AX33" s="253"/>
      <c r="AY33" s="253"/>
      <c r="AZ33" s="253"/>
      <c r="BA33" s="253"/>
      <c r="BB33" s="253"/>
      <c r="BC33" s="253"/>
      <c r="BD33" s="253"/>
      <c r="BE33" s="253"/>
      <c r="BF33" s="253"/>
      <c r="BG33" s="253"/>
      <c r="BH33" s="253"/>
      <c r="BI33" s="253"/>
      <c r="BJ33" s="253"/>
    </row>
    <row r="34" s="42" customFormat="1">
      <c r="C34" s="279">
        <v>27</v>
      </c>
      <c r="D34" s="280">
        <v>28</v>
      </c>
      <c r="E34" s="280">
        <v>29</v>
      </c>
      <c r="F34" s="280">
        <v>30</v>
      </c>
      <c r="G34" s="676">
        <v>1</v>
      </c>
      <c r="H34" s="280">
        <v>2</v>
      </c>
      <c r="I34" s="280">
        <v>3</v>
      </c>
      <c r="J34" s="280">
        <v>4</v>
      </c>
      <c r="K34" s="280">
        <v>5</v>
      </c>
      <c r="L34" s="280">
        <v>6</v>
      </c>
      <c r="M34" s="280">
        <v>7</v>
      </c>
      <c r="N34" s="280">
        <v>8</v>
      </c>
      <c r="O34" s="280">
        <v>9</v>
      </c>
      <c r="P34" s="280">
        <v>10</v>
      </c>
      <c r="Q34" s="280">
        <v>11</v>
      </c>
      <c r="R34" s="280">
        <v>12</v>
      </c>
      <c r="S34" s="280">
        <v>13</v>
      </c>
      <c r="T34" s="280">
        <v>14</v>
      </c>
      <c r="U34" s="280">
        <v>15</v>
      </c>
      <c r="V34" s="280">
        <v>16</v>
      </c>
      <c r="W34" s="280">
        <v>17</v>
      </c>
      <c r="X34" s="315">
        <v>18</v>
      </c>
      <c r="Y34" s="280">
        <v>19</v>
      </c>
      <c r="Z34" s="280">
        <v>20</v>
      </c>
      <c r="AA34" s="280">
        <v>21</v>
      </c>
      <c r="AB34" s="280">
        <v>22</v>
      </c>
      <c r="AC34" s="280">
        <v>23</v>
      </c>
      <c r="AD34" s="373">
        <v>24</v>
      </c>
      <c r="AE34" s="25"/>
      <c r="AF34" s="319" t="s">
        <v>60</v>
      </c>
      <c r="AG34" s="320">
        <v>28</v>
      </c>
      <c r="AH34" s="321" t="s">
        <v>31</v>
      </c>
      <c r="AI34" s="25"/>
      <c r="AJ34" s="248"/>
      <c r="AK34" s="248"/>
      <c r="AL34" s="248"/>
      <c r="AM34" s="248"/>
      <c r="AN34" s="254"/>
      <c r="AO34" s="254"/>
      <c r="AP34" s="254"/>
      <c r="AQ34" s="254"/>
      <c r="AR34" s="254"/>
      <c r="AS34" s="254"/>
      <c r="AT34" s="254"/>
      <c r="AU34" s="254"/>
      <c r="AV34" s="254"/>
      <c r="AW34" s="254"/>
      <c r="AX34" s="254"/>
      <c r="AY34" s="254"/>
      <c r="AZ34" s="254"/>
      <c r="BA34" s="254"/>
      <c r="BB34" s="254"/>
      <c r="BC34" s="254"/>
      <c r="BD34" s="254"/>
      <c r="BE34" s="254"/>
      <c r="BF34" s="254"/>
      <c r="BG34" s="254"/>
      <c r="BH34" s="254"/>
      <c r="BI34" s="254"/>
      <c r="BJ34" s="254"/>
    </row>
    <row r="35" ht="14.25" customHeight="1">
      <c r="B35" s="46" t="s">
        <v>32</v>
      </c>
      <c r="C35" s="444">
        <v>-1.172134168815350860806027500</v>
      </c>
      <c r="D35" s="445">
        <v>41.958126102991050336845628680</v>
      </c>
      <c r="E35" s="445">
        <v>55.099976659165032285276173970</v>
      </c>
      <c r="F35" s="445">
        <v>38.213083805309277505563751590</v>
      </c>
      <c r="G35" s="660">
        <v>-14.466840052009248882782984150</v>
      </c>
      <c r="H35" s="445">
        <v>-6.1778149970399832489970106400</v>
      </c>
      <c r="I35" s="445">
        <v>-8.059173831707757847520913330</v>
      </c>
      <c r="J35" s="445">
        <v>-20.976568277370827743521086090</v>
      </c>
      <c r="K35" s="445">
        <v>-10.606642876734226805226766370</v>
      </c>
      <c r="L35" s="445">
        <v>-45.818181818170844649021861990</v>
      </c>
      <c r="M35" s="445">
        <v>-15.553331665407277457926652390</v>
      </c>
      <c r="N35" s="445">
        <v>2.6491220426196783841779526600</v>
      </c>
      <c r="O35" s="445">
        <v>-19.106210421071515946190772450</v>
      </c>
      <c r="P35" s="445">
        <v>-0.4958290060021845513615329300</v>
      </c>
      <c r="Q35" s="445">
        <v>-26.040338472226319285251085760</v>
      </c>
      <c r="R35" s="445">
        <v>-22.835035592718687207004329950</v>
      </c>
      <c r="S35" s="445">
        <v>-11.810739224667492085332931920</v>
      </c>
      <c r="T35" s="445">
        <v>-15.379176241836255375465181360</v>
      </c>
      <c r="U35" s="445">
        <v>-10.166450712676912923125628810</v>
      </c>
      <c r="V35" s="445">
        <v>3.6004889121791039348136626400</v>
      </c>
      <c r="W35" s="445">
        <v>20.940213264651699027177949020</v>
      </c>
      <c r="X35" s="446">
        <v>11.217543518450105522419225930</v>
      </c>
      <c r="Y35" s="445">
        <v>32.374677742815651557579720440</v>
      </c>
      <c r="Z35" s="445">
        <v>70.923660299004047108146582280</v>
      </c>
      <c r="AA35" s="445">
        <v>33.377529255745266551638595770</v>
      </c>
      <c r="AB35" s="445">
        <v>25.829925107547600367548091770</v>
      </c>
      <c r="AC35" s="445">
        <v>-12.825299220391414257267544780</v>
      </c>
      <c r="AD35" s="447">
        <v>0.6741915802453620025306003500</v>
      </c>
      <c r="AE35" s="448"/>
      <c r="AF35" s="444">
        <v>17.023328589841653687919053680</v>
      </c>
      <c r="AG35" s="445">
        <v>0.6633584824380565084751226300</v>
      </c>
      <c r="AH35" s="449">
        <v>-3.1331985621078604076332949500</v>
      </c>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row>
    <row r="36" ht="14.25" customHeight="1">
      <c r="B36" s="47" t="s">
        <v>26</v>
      </c>
      <c r="C36" s="327">
        <v>23.153688835775432043620138900</v>
      </c>
      <c r="D36" s="81">
        <v>111.66525799209540399844879030</v>
      </c>
      <c r="E36" s="81">
        <v>142.89159712983014186870517819</v>
      </c>
      <c r="F36" s="81">
        <v>93.78390458787800367600108762</v>
      </c>
      <c r="G36" s="661">
        <v>7.4223058124319666968106507100</v>
      </c>
      <c r="H36" s="81">
        <v>-0.1070256663974167284025876200</v>
      </c>
      <c r="I36" s="81">
        <v>7.6087383676183974453436476200</v>
      </c>
      <c r="J36" s="81">
        <v>-21.328608273146758349319679810</v>
      </c>
      <c r="K36" s="81">
        <v>-18.841269337124650907674679260</v>
      </c>
      <c r="L36" s="81">
        <v>-5.9653283662901272666959499400</v>
      </c>
      <c r="M36" s="81">
        <v>-3.0413635075644994566142662900</v>
      </c>
      <c r="N36" s="81">
        <v>21.953152304325845663617603780</v>
      </c>
      <c r="O36" s="81">
        <v>0.9695276124487347809447863200</v>
      </c>
      <c r="P36" s="81">
        <v>-10.048818140271918685603664400</v>
      </c>
      <c r="Q36" s="81">
        <v>-18.183985487866004799484816470</v>
      </c>
      <c r="R36" s="81">
        <v>-21.313021887607218123277778530</v>
      </c>
      <c r="S36" s="81">
        <v>-18.201481372916564430714004410</v>
      </c>
      <c r="T36" s="81">
        <v>-9.329039809016858545765043770</v>
      </c>
      <c r="U36" s="81">
        <v>-14.576305924960378166613468900</v>
      </c>
      <c r="V36" s="81">
        <v>-3.285436289392706795533159900</v>
      </c>
      <c r="W36" s="81">
        <v>3.9047679079163923529746577500</v>
      </c>
      <c r="X36" s="82">
        <v>38.416720956911094144009252610</v>
      </c>
      <c r="Y36" s="81">
        <v>54.336364126268131037108607460</v>
      </c>
      <c r="Z36" s="81">
        <v>64.900434722276571682883592350</v>
      </c>
      <c r="AA36" s="81">
        <v>68.932644023267040958445105830</v>
      </c>
      <c r="AB36" s="81">
        <v>20.630280187997605270159086570</v>
      </c>
      <c r="AC36" s="81">
        <v>-8.088531065752734530657157550</v>
      </c>
      <c r="AD36" s="83">
        <v>-5.5193603223180854418838236100</v>
      </c>
      <c r="AE36" s="88"/>
      <c r="AF36" s="327">
        <v>23.981713950685222536465525670</v>
      </c>
      <c r="AG36" s="81">
        <v>12.135310038744682230310331470</v>
      </c>
      <c r="AH36" s="328">
        <v>4.9500449646061903730632709800</v>
      </c>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row>
    <row r="37" ht="14.25" customHeight="1">
      <c r="A37" s="24"/>
      <c r="B37" s="49" t="s">
        <v>185</v>
      </c>
      <c r="C37" s="450">
        <v>27.713503683576703737326731090</v>
      </c>
      <c r="D37" s="451">
        <v>45.297146233265573960991248430</v>
      </c>
      <c r="E37" s="451">
        <v>46.528777805027615288280111940</v>
      </c>
      <c r="F37" s="451">
        <v>44.887587629909773282147040240</v>
      </c>
      <c r="G37" s="662">
        <v>10.007603173137288004010262340</v>
      </c>
      <c r="H37" s="451">
        <v>-1.7218151039373928131228459600</v>
      </c>
      <c r="I37" s="451">
        <v>6.8229731232574810400620509200</v>
      </c>
      <c r="J37" s="451">
        <v>-6.7275109875757559529966191900</v>
      </c>
      <c r="K37" s="451">
        <v>-10.768681830547460904920805670</v>
      </c>
      <c r="L37" s="451">
        <v>-17.648201360369589279459656310</v>
      </c>
      <c r="M37" s="451">
        <v>-11.206256959020344157826096150</v>
      </c>
      <c r="N37" s="451">
        <v>6.8580951107555178857711238500</v>
      </c>
      <c r="O37" s="451">
        <v>-4.0694779780098420630609922800</v>
      </c>
      <c r="P37" s="451">
        <v>-2.1729300556385082744836692600</v>
      </c>
      <c r="Q37" s="451">
        <v>-10.644280090254273576497679370</v>
      </c>
      <c r="R37" s="451">
        <v>-3.4974803577480574960295121300</v>
      </c>
      <c r="S37" s="451">
        <v>-5.1571663656474051223065020500</v>
      </c>
      <c r="T37" s="451">
        <v>1.9226329089460669425930896600</v>
      </c>
      <c r="U37" s="451">
        <v>0.887669606700246792140869300</v>
      </c>
      <c r="V37" s="451">
        <v>3.1263285172797563496026946300</v>
      </c>
      <c r="W37" s="451">
        <v>5.2603273966897101148509983500</v>
      </c>
      <c r="X37" s="452">
        <v>9.871804779823069288178691250</v>
      </c>
      <c r="Y37" s="451">
        <v>5.9917525573285483037857343900</v>
      </c>
      <c r="Z37" s="451">
        <v>3.0099547371032174883433627900</v>
      </c>
      <c r="AA37" s="451">
        <v>3.7756449525971233808423279700</v>
      </c>
      <c r="AB37" s="451">
        <v>4.5204273388423230732463287900</v>
      </c>
      <c r="AC37" s="451">
        <v>-2.6057487746330535174026057400</v>
      </c>
      <c r="AD37" s="453">
        <v>-0.5386327566065389347403530100</v>
      </c>
      <c r="AE37" s="448"/>
      <c r="AF37" s="450">
        <v>2.8350118336608784759311096100</v>
      </c>
      <c r="AG37" s="451">
        <v>5.2372839582668727121494984400</v>
      </c>
      <c r="AH37" s="454">
        <v>0.6332258364908267637155412500</v>
      </c>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row>
    <row r="38" ht="13.5" customHeight="1">
      <c r="B38" s="40"/>
      <c r="C38" s="23"/>
      <c r="D38" s="23"/>
      <c r="E38" s="23"/>
      <c r="F38" s="23"/>
      <c r="G38" s="23"/>
      <c r="H38" s="23"/>
      <c r="I38" s="23"/>
      <c r="J38" s="23"/>
      <c r="K38" s="23"/>
      <c r="L38" s="23"/>
      <c r="M38" s="23"/>
      <c r="N38" s="23"/>
      <c r="O38" s="23"/>
      <c r="P38" s="23"/>
      <c r="Q38" s="23"/>
      <c r="R38" s="23"/>
      <c r="S38" s="23"/>
      <c r="T38" s="23"/>
      <c r="U38" s="23"/>
      <c r="V38" s="23"/>
      <c r="W38" s="23"/>
      <c r="X38" s="44"/>
      <c r="Y38" s="23"/>
      <c r="Z38" s="23"/>
      <c r="AA38" s="23"/>
      <c r="AB38" s="23"/>
      <c r="AC38" s="23"/>
      <c r="AD38" s="45"/>
      <c r="AF38" s="43"/>
      <c r="AG38" s="43"/>
      <c r="AH38" s="43"/>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row>
    <row r="39" ht="18">
      <c r="B39" s="29"/>
      <c r="X39" s="27"/>
      <c r="AD39" s="28"/>
      <c r="AF39" s="43"/>
      <c r="AG39" s="43"/>
      <c r="AH39" s="43"/>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row>
    <row r="40" s="41" customFormat="1" ht="18">
      <c r="B40" s="417" t="s">
        <v>93</v>
      </c>
      <c r="C40" s="275" t="s">
        <v>186</v>
      </c>
      <c r="D40" s="276"/>
      <c r="E40" s="276"/>
      <c r="F40" s="276"/>
      <c r="G40" s="658" t="s">
        <v>183</v>
      </c>
      <c r="H40" s="276"/>
      <c r="I40" s="276"/>
      <c r="J40" s="276"/>
      <c r="K40" s="276"/>
      <c r="L40" s="276"/>
      <c r="M40" s="276"/>
      <c r="N40" s="276"/>
      <c r="O40" s="276"/>
      <c r="P40" s="276"/>
      <c r="Q40" s="276"/>
      <c r="R40" s="276"/>
      <c r="S40" s="277"/>
      <c r="T40" s="277"/>
      <c r="U40" s="277"/>
      <c r="V40" s="277"/>
      <c r="W40" s="277"/>
      <c r="X40" s="312"/>
      <c r="Y40" s="277"/>
      <c r="Z40" s="277"/>
      <c r="AA40" s="277"/>
      <c r="AB40" s="277"/>
      <c r="AC40" s="277"/>
      <c r="AD40" s="336"/>
      <c r="AE40" s="25"/>
      <c r="AF40" s="316" t="s">
        <v>58</v>
      </c>
      <c r="AG40" s="317" t="s">
        <v>59</v>
      </c>
      <c r="AH40" s="318" t="s">
        <v>59</v>
      </c>
      <c r="AI40" s="25"/>
      <c r="AJ40" s="248"/>
      <c r="AK40" s="248"/>
      <c r="AL40" s="248"/>
      <c r="AM40" s="248"/>
      <c r="AN40" s="253"/>
      <c r="AO40" s="253"/>
      <c r="AP40" s="253"/>
      <c r="AQ40" s="253"/>
      <c r="AR40" s="253"/>
      <c r="AS40" s="253"/>
      <c r="AT40" s="253"/>
      <c r="AU40" s="253"/>
      <c r="AV40" s="253"/>
      <c r="AW40" s="253"/>
      <c r="AX40" s="253"/>
      <c r="AY40" s="253"/>
      <c r="AZ40" s="253"/>
      <c r="BA40" s="253"/>
      <c r="BB40" s="253"/>
      <c r="BC40" s="253"/>
      <c r="BD40" s="253"/>
      <c r="BE40" s="253"/>
      <c r="BF40" s="253"/>
      <c r="BG40" s="253"/>
      <c r="BH40" s="253"/>
      <c r="BI40" s="253"/>
      <c r="BJ40" s="253"/>
    </row>
    <row r="41" s="42" customFormat="1">
      <c r="C41" s="279">
        <v>27</v>
      </c>
      <c r="D41" s="280">
        <v>28</v>
      </c>
      <c r="E41" s="280">
        <v>29</v>
      </c>
      <c r="F41" s="280">
        <v>30</v>
      </c>
      <c r="G41" s="676">
        <v>1</v>
      </c>
      <c r="H41" s="280">
        <v>2</v>
      </c>
      <c r="I41" s="280">
        <v>3</v>
      </c>
      <c r="J41" s="280">
        <v>4</v>
      </c>
      <c r="K41" s="280">
        <v>5</v>
      </c>
      <c r="L41" s="280">
        <v>6</v>
      </c>
      <c r="M41" s="280">
        <v>7</v>
      </c>
      <c r="N41" s="280">
        <v>8</v>
      </c>
      <c r="O41" s="280">
        <v>9</v>
      </c>
      <c r="P41" s="280">
        <v>10</v>
      </c>
      <c r="Q41" s="280">
        <v>11</v>
      </c>
      <c r="R41" s="280">
        <v>12</v>
      </c>
      <c r="S41" s="280">
        <v>13</v>
      </c>
      <c r="T41" s="280">
        <v>14</v>
      </c>
      <c r="U41" s="280">
        <v>15</v>
      </c>
      <c r="V41" s="280">
        <v>16</v>
      </c>
      <c r="W41" s="280">
        <v>17</v>
      </c>
      <c r="X41" s="315">
        <v>18</v>
      </c>
      <c r="Y41" s="280">
        <v>19</v>
      </c>
      <c r="Z41" s="280">
        <v>20</v>
      </c>
      <c r="AA41" s="280">
        <v>21</v>
      </c>
      <c r="AB41" s="280">
        <v>22</v>
      </c>
      <c r="AC41" s="280">
        <v>23</v>
      </c>
      <c r="AD41" s="373">
        <v>24</v>
      </c>
      <c r="AE41" s="25"/>
      <c r="AF41" s="319" t="s">
        <v>60</v>
      </c>
      <c r="AG41" s="320">
        <v>28</v>
      </c>
      <c r="AH41" s="321" t="s">
        <v>31</v>
      </c>
      <c r="AI41" s="25"/>
      <c r="AJ41" s="248"/>
      <c r="AK41" s="248"/>
      <c r="AL41" s="248"/>
      <c r="AM41" s="248"/>
      <c r="AN41" s="254"/>
      <c r="AO41" s="254"/>
      <c r="AP41" s="254"/>
      <c r="AQ41" s="254"/>
      <c r="AR41" s="254"/>
      <c r="AS41" s="254"/>
      <c r="AT41" s="254"/>
      <c r="AU41" s="254"/>
      <c r="AV41" s="254"/>
      <c r="AW41" s="254"/>
      <c r="AX41" s="254"/>
      <c r="AY41" s="254"/>
      <c r="AZ41" s="254"/>
      <c r="BA41" s="254"/>
      <c r="BB41" s="254"/>
      <c r="BC41" s="254"/>
      <c r="BD41" s="254"/>
      <c r="BE41" s="254"/>
      <c r="BF41" s="254"/>
      <c r="BG41" s="254"/>
      <c r="BH41" s="254"/>
      <c r="BI41" s="254"/>
      <c r="BJ41" s="254"/>
    </row>
    <row r="42" ht="14.25" customHeight="1">
      <c r="A42" s="1"/>
      <c r="B42" s="46" t="s">
        <v>26</v>
      </c>
      <c r="C42" s="444">
        <v>92.42732765161985648626763736</v>
      </c>
      <c r="D42" s="445">
        <v>89.26573902488732493288439503</v>
      </c>
      <c r="E42" s="445">
        <v>94.67201197812953869363755341</v>
      </c>
      <c r="F42" s="445">
        <v>82.42586937382311025255769701</v>
      </c>
      <c r="G42" s="660">
        <v>101.21191202934467503496168364</v>
      </c>
      <c r="H42" s="445">
        <v>106.18301588322015385277185151</v>
      </c>
      <c r="I42" s="445">
        <v>104.22590062166316860449828362</v>
      </c>
      <c r="J42" s="445">
        <v>126.04497719103168529836980581</v>
      </c>
      <c r="K42" s="445">
        <v>92.00954113363023104136047560</v>
      </c>
      <c r="L42" s="445">
        <v>59.750061473626188226912223070</v>
      </c>
      <c r="M42" s="445">
        <v>103.37832495644075840957980514</v>
      </c>
      <c r="N42" s="445">
        <v>106.86945898223211877342266946</v>
      </c>
      <c r="O42" s="445">
        <v>109.65427811001751409169947095</v>
      </c>
      <c r="P42" s="445">
        <v>120.79201438361179457097668858</v>
      </c>
      <c r="Q42" s="445">
        <v>86.78649642024106286698702644</v>
      </c>
      <c r="R42" s="445">
        <v>84.93569040614368087820743712</v>
      </c>
      <c r="S42" s="445">
        <v>81.76593141349251319783695758</v>
      </c>
      <c r="T42" s="445">
        <v>81.43584774014922826618515580</v>
      </c>
      <c r="U42" s="445">
        <v>93.86097635424885890691309021</v>
      </c>
      <c r="V42" s="445">
        <v>101.74960708254003208677179706</v>
      </c>
      <c r="W42" s="445">
        <v>108.35983334169112742095733344</v>
      </c>
      <c r="X42" s="446">
        <v>84.85131655245160265916967057</v>
      </c>
      <c r="Y42" s="445">
        <v>83.28812286778087879834787838</v>
      </c>
      <c r="Z42" s="445">
        <v>88.48816725411845932063015131</v>
      </c>
      <c r="AA42" s="445">
        <v>101.72189902375632250354748786</v>
      </c>
      <c r="AB42" s="445">
        <v>101.28700387135690281078578888</v>
      </c>
      <c r="AC42" s="445">
        <v>87.38257355374324940571173662</v>
      </c>
      <c r="AD42" s="447">
        <v>94.89275295038150701956080621</v>
      </c>
      <c r="AE42" s="448"/>
      <c r="AF42" s="444">
        <v>91.38844372902092684264707939</v>
      </c>
      <c r="AG42" s="445">
        <v>96.59644931396989342104513936</v>
      </c>
      <c r="AH42" s="449">
        <v>98.28334146426696939118344622</v>
      </c>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row>
    <row r="43" ht="14.25" customHeight="1">
      <c r="A43" s="24"/>
      <c r="B43" s="48" t="s">
        <v>185</v>
      </c>
      <c r="C43" s="329">
        <v>102.74710967144838427839145825</v>
      </c>
      <c r="D43" s="330">
        <v>112.60740561486716919889434899</v>
      </c>
      <c r="E43" s="330">
        <v>118.06690652459551379301049773</v>
      </c>
      <c r="F43" s="330">
        <v>106.21575758366218744585735763</v>
      </c>
      <c r="G43" s="663">
        <v>113.78187629491296941907881879</v>
      </c>
      <c r="H43" s="330">
        <v>133.10949397925076956039460625</v>
      </c>
      <c r="I43" s="330">
        <v>123.14581982803718042724277449</v>
      </c>
      <c r="J43" s="330">
        <v>131.03352690084933513359754700</v>
      </c>
      <c r="K43" s="330">
        <v>86.30583304683772729408906910</v>
      </c>
      <c r="L43" s="330">
        <v>64.649935490736459330097693720</v>
      </c>
      <c r="M43" s="330">
        <v>100.97045450956610108710557227</v>
      </c>
      <c r="N43" s="330">
        <v>100.59007593002085617626527661</v>
      </c>
      <c r="O43" s="330">
        <v>123.41782176801299941329698339</v>
      </c>
      <c r="P43" s="330">
        <v>130.82612991697013723078367285</v>
      </c>
      <c r="Q43" s="330">
        <v>95.59805413260218719603650236</v>
      </c>
      <c r="R43" s="330">
        <v>78.595626784626585614752492210</v>
      </c>
      <c r="S43" s="330">
        <v>81.60500473923396898644890353</v>
      </c>
      <c r="T43" s="330">
        <v>71.189157009769327759898123880</v>
      </c>
      <c r="U43" s="330">
        <v>85.20956223471878262174109729</v>
      </c>
      <c r="V43" s="330">
        <v>112.79571020901639191192818157</v>
      </c>
      <c r="W43" s="330">
        <v>140.85618515528966697716280887</v>
      </c>
      <c r="X43" s="331">
        <v>126.73670668949926291203927210</v>
      </c>
      <c r="Y43" s="330">
        <v>127.88310824697315828381723129</v>
      </c>
      <c r="Z43" s="330">
        <v>130.44435807701281129051926946</v>
      </c>
      <c r="AA43" s="330">
        <v>130.30795765656413000056030987</v>
      </c>
      <c r="AB43" s="330">
        <v>126.96538616310067107452620698</v>
      </c>
      <c r="AC43" s="330">
        <v>106.27878830682490841887919010</v>
      </c>
      <c r="AD43" s="338">
        <v>119.71634708781220728039379265</v>
      </c>
      <c r="AE43" s="88"/>
      <c r="AF43" s="329">
        <v>123.21668211349647309864487645</v>
      </c>
      <c r="AG43" s="330">
        <v>112.39304144121499798764948277</v>
      </c>
      <c r="AH43" s="332">
        <v>112.84349436199811007761617731</v>
      </c>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row>
    <row r="44" ht="12" customHeight="1">
      <c r="B44" s="4"/>
      <c r="X44" s="27"/>
      <c r="AD44" s="28"/>
      <c r="AF44" s="43"/>
      <c r="AG44" s="43"/>
      <c r="AH44" s="43"/>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row>
    <row r="45" ht="18">
      <c r="B45" s="29"/>
      <c r="X45" s="27"/>
      <c r="AD45" s="28"/>
      <c r="AF45" s="43"/>
      <c r="AG45" s="43"/>
      <c r="AH45" s="43"/>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row>
    <row r="46" s="41" customFormat="1" ht="18">
      <c r="B46" s="417" t="s">
        <v>77</v>
      </c>
      <c r="C46" s="275" t="s">
        <v>186</v>
      </c>
      <c r="D46" s="276"/>
      <c r="E46" s="276"/>
      <c r="F46" s="276"/>
      <c r="G46" s="658" t="s">
        <v>183</v>
      </c>
      <c r="H46" s="276"/>
      <c r="I46" s="276"/>
      <c r="J46" s="276"/>
      <c r="K46" s="276"/>
      <c r="L46" s="276"/>
      <c r="M46" s="276"/>
      <c r="N46" s="276"/>
      <c r="O46" s="276"/>
      <c r="P46" s="276"/>
      <c r="Q46" s="276"/>
      <c r="R46" s="276"/>
      <c r="S46" s="277"/>
      <c r="T46" s="277"/>
      <c r="U46" s="277"/>
      <c r="V46" s="277"/>
      <c r="W46" s="277"/>
      <c r="X46" s="312"/>
      <c r="Y46" s="277"/>
      <c r="Z46" s="277"/>
      <c r="AA46" s="277"/>
      <c r="AB46" s="277"/>
      <c r="AC46" s="277"/>
      <c r="AD46" s="336"/>
      <c r="AE46" s="25"/>
      <c r="AF46" s="316" t="s">
        <v>58</v>
      </c>
      <c r="AG46" s="317" t="s">
        <v>59</v>
      </c>
      <c r="AH46" s="318" t="s">
        <v>59</v>
      </c>
      <c r="AI46" s="25"/>
      <c r="AJ46" s="248"/>
      <c r="AK46" s="248"/>
      <c r="AL46" s="248"/>
      <c r="AM46" s="248"/>
      <c r="AN46" s="253"/>
      <c r="AO46" s="253"/>
      <c r="AP46" s="253"/>
      <c r="AQ46" s="253"/>
      <c r="AR46" s="253"/>
      <c r="AS46" s="253"/>
      <c r="AT46" s="253"/>
      <c r="AU46" s="253"/>
      <c r="AV46" s="253"/>
      <c r="AW46" s="253"/>
      <c r="AX46" s="253"/>
      <c r="AY46" s="253"/>
      <c r="AZ46" s="253"/>
      <c r="BA46" s="253"/>
      <c r="BB46" s="253"/>
      <c r="BC46" s="253"/>
      <c r="BD46" s="253"/>
      <c r="BE46" s="253"/>
      <c r="BF46" s="253"/>
      <c r="BG46" s="253"/>
      <c r="BH46" s="253"/>
      <c r="BI46" s="253"/>
      <c r="BJ46" s="253"/>
    </row>
    <row r="47" s="42" customFormat="1">
      <c r="C47" s="279">
        <v>27</v>
      </c>
      <c r="D47" s="280">
        <v>28</v>
      </c>
      <c r="E47" s="280">
        <v>29</v>
      </c>
      <c r="F47" s="280">
        <v>30</v>
      </c>
      <c r="G47" s="676">
        <v>1</v>
      </c>
      <c r="H47" s="280">
        <v>2</v>
      </c>
      <c r="I47" s="280">
        <v>3</v>
      </c>
      <c r="J47" s="280">
        <v>4</v>
      </c>
      <c r="K47" s="280">
        <v>5</v>
      </c>
      <c r="L47" s="280">
        <v>6</v>
      </c>
      <c r="M47" s="280">
        <v>7</v>
      </c>
      <c r="N47" s="280">
        <v>8</v>
      </c>
      <c r="O47" s="280">
        <v>9</v>
      </c>
      <c r="P47" s="280">
        <v>10</v>
      </c>
      <c r="Q47" s="280">
        <v>11</v>
      </c>
      <c r="R47" s="280">
        <v>12</v>
      </c>
      <c r="S47" s="280">
        <v>13</v>
      </c>
      <c r="T47" s="280">
        <v>14</v>
      </c>
      <c r="U47" s="280">
        <v>15</v>
      </c>
      <c r="V47" s="280">
        <v>16</v>
      </c>
      <c r="W47" s="280">
        <v>17</v>
      </c>
      <c r="X47" s="315">
        <v>18</v>
      </c>
      <c r="Y47" s="280">
        <v>19</v>
      </c>
      <c r="Z47" s="280">
        <v>20</v>
      </c>
      <c r="AA47" s="280">
        <v>21</v>
      </c>
      <c r="AB47" s="280">
        <v>22</v>
      </c>
      <c r="AC47" s="280">
        <v>23</v>
      </c>
      <c r="AD47" s="373">
        <v>24</v>
      </c>
      <c r="AE47" s="25"/>
      <c r="AF47" s="319" t="s">
        <v>60</v>
      </c>
      <c r="AG47" s="320">
        <v>28</v>
      </c>
      <c r="AH47" s="321" t="s">
        <v>31</v>
      </c>
      <c r="AI47" s="25"/>
      <c r="AJ47" s="248"/>
      <c r="AK47" s="248"/>
      <c r="AL47" s="248"/>
      <c r="AM47" s="248"/>
      <c r="AN47" s="254"/>
      <c r="AO47" s="254"/>
      <c r="AP47" s="254"/>
      <c r="AQ47" s="254"/>
      <c r="AR47" s="254"/>
      <c r="AS47" s="254"/>
      <c r="AT47" s="254"/>
      <c r="AU47" s="254"/>
      <c r="AV47" s="254"/>
      <c r="AW47" s="254"/>
      <c r="AX47" s="254"/>
      <c r="AY47" s="254"/>
      <c r="AZ47" s="254"/>
      <c r="BA47" s="254"/>
      <c r="BB47" s="254"/>
      <c r="BC47" s="254"/>
      <c r="BD47" s="254"/>
      <c r="BE47" s="254"/>
      <c r="BF47" s="254"/>
      <c r="BG47" s="254"/>
      <c r="BH47" s="254"/>
      <c r="BI47" s="254"/>
      <c r="BJ47" s="254"/>
    </row>
    <row r="48" ht="14.25" customHeight="1">
      <c r="A48" s="1"/>
      <c r="B48" s="46" t="s">
        <v>26</v>
      </c>
      <c r="C48" s="444">
        <v>-19.752411181941688624527806490</v>
      </c>
      <c r="D48" s="445">
        <v>-32.932722427108409531131225020</v>
      </c>
      <c r="E48" s="445">
        <v>-36.144362961949294610168271440</v>
      </c>
      <c r="F48" s="445">
        <v>-28.676695776535852964420404750</v>
      </c>
      <c r="G48" s="660">
        <v>-20.376723157186988538572270760</v>
      </c>
      <c r="H48" s="445">
        <v>-6.0772935946137951425771863100</v>
      </c>
      <c r="I48" s="445">
        <v>-14.560074243947783370735080360</v>
      </c>
      <c r="J48" s="445">
        <v>0.447481591503010823609054200</v>
      </c>
      <c r="K48" s="445">
        <v>10.146322389592204086498654750</v>
      </c>
      <c r="L48" s="445">
        <v>-42.381020489044944366422200970</v>
      </c>
      <c r="M48" s="445">
        <v>-12.904439058260043270776037870</v>
      </c>
      <c r="N48" s="445">
        <v>-15.829053941577806251516247640</v>
      </c>
      <c r="O48" s="445">
        <v>-19.882967176580014299220443520</v>
      </c>
      <c r="P48" s="445">
        <v>10.620193016656024344830318280</v>
      </c>
      <c r="Q48" s="445">
        <v>-9.602463565665925221888635100</v>
      </c>
      <c r="R48" s="445">
        <v>-1.9342637645554650481233910500</v>
      </c>
      <c r="S48" s="445">
        <v>7.8127847002138315483244104900</v>
      </c>
      <c r="T48" s="445">
        <v>-6.6726286123289350728078544700</v>
      </c>
      <c r="U48" s="445">
        <v>5.1623326058492896642388661400</v>
      </c>
      <c r="V48" s="445">
        <v>7.1198431109139732582133209600</v>
      </c>
      <c r="W48" s="445">
        <v>16.395248937851318176289540370</v>
      </c>
      <c r="X48" s="446">
        <v>-19.650210791308092761963348550</v>
      </c>
      <c r="Y48" s="445">
        <v>-14.229754930289002693705825930</v>
      </c>
      <c r="Z48" s="445">
        <v>3.6526438435390369613239406600</v>
      </c>
      <c r="AA48" s="445">
        <v>-21.046917825170652152577591940</v>
      </c>
      <c r="AB48" s="445">
        <v>4.310397780244617066920226300</v>
      </c>
      <c r="AC48" s="445">
        <v>-5.1536203365372882744385434500</v>
      </c>
      <c r="AD48" s="447">
        <v>6.5553661825388486061141210700</v>
      </c>
      <c r="AE48" s="448"/>
      <c r="AF48" s="444">
        <v>-5.6124287519533147590872556300</v>
      </c>
      <c r="AG48" s="445">
        <v>-10.230454218504196826817779170</v>
      </c>
      <c r="AH48" s="449">
        <v>-7.7019914850006444585138495700</v>
      </c>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row>
    <row r="49" ht="14.25" customHeight="1">
      <c r="A49" s="24"/>
      <c r="B49" s="48" t="s">
        <v>185</v>
      </c>
      <c r="C49" s="329">
        <v>-22.617528310834301909851294610</v>
      </c>
      <c r="D49" s="330">
        <v>-2.2980631188173610520114515600</v>
      </c>
      <c r="E49" s="330">
        <v>5.849498632627447036381672500</v>
      </c>
      <c r="F49" s="330">
        <v>-4.6066774481655084585452590200</v>
      </c>
      <c r="G49" s="663">
        <v>-22.247956067726400792670995040</v>
      </c>
      <c r="H49" s="330">
        <v>-4.5340681635623130396520172500</v>
      </c>
      <c r="I49" s="330">
        <v>-13.931597782642147875815774500</v>
      </c>
      <c r="J49" s="330">
        <v>-15.276806098631948992873761440</v>
      </c>
      <c r="K49" s="330">
        <v>0.1815942620985746487264700</v>
      </c>
      <c r="L49" s="330">
        <v>-34.206879416295476729790449110</v>
      </c>
      <c r="M49" s="330">
        <v>-4.8956993561928813075814397400</v>
      </c>
      <c r="N49" s="330">
        <v>-3.9388434388900727122350969400</v>
      </c>
      <c r="O49" s="330">
        <v>-15.674607128274977875806880930</v>
      </c>
      <c r="P49" s="330">
        <v>1.7143527354410083939116012100</v>
      </c>
      <c r="Q49" s="330">
        <v>-17.230075923049122593216721800</v>
      </c>
      <c r="R49" s="330">
        <v>-20.038394133784989276912117220</v>
      </c>
      <c r="S49" s="330">
        <v>-7.0153670066735976805433268700</v>
      </c>
      <c r="T49" s="330">
        <v>-16.975433872700496944516701860</v>
      </c>
      <c r="U49" s="330">
        <v>-10.956859606753683851610193550</v>
      </c>
      <c r="V49" s="330">
        <v>0.4597859748662869047306426700</v>
      </c>
      <c r="W49" s="330">
        <v>14.896292131919270367978396510</v>
      </c>
      <c r="X49" s="331">
        <v>1.2248262793450835531577898500</v>
      </c>
      <c r="Y49" s="330">
        <v>24.891488770565476458346041510</v>
      </c>
      <c r="Z49" s="330">
        <v>65.929264540841941877227548830</v>
      </c>
      <c r="AA49" s="330">
        <v>28.524885888965204676421759740</v>
      </c>
      <c r="AB49" s="330">
        <v>20.387878533680022869082813610</v>
      </c>
      <c r="AC49" s="330">
        <v>-10.492970906552635974088206380</v>
      </c>
      <c r="AD49" s="338">
        <v>1.2193923836613553287551661800</v>
      </c>
      <c r="AE49" s="88"/>
      <c r="AF49" s="329">
        <v>13.797165482072398326183505410</v>
      </c>
      <c r="AG49" s="330">
        <v>-4.3462975324397943657863917100</v>
      </c>
      <c r="AH49" s="332">
        <v>-3.7427245000900085616896063800</v>
      </c>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row>
    <row r="50" ht="14.25" customHeight="1">
      <c r="B50" s="53"/>
      <c r="C50" s="472"/>
      <c r="D50" s="472"/>
      <c r="E50" s="472"/>
      <c r="F50" s="472"/>
      <c r="G50" s="472"/>
      <c r="H50" s="472"/>
      <c r="I50" s="472"/>
      <c r="J50" s="472"/>
      <c r="K50" s="472"/>
      <c r="L50" s="472"/>
      <c r="M50" s="472"/>
      <c r="N50" s="472"/>
      <c r="O50" s="472"/>
      <c r="P50" s="472"/>
      <c r="Q50" s="472"/>
      <c r="R50" s="472"/>
      <c r="S50" s="472"/>
      <c r="T50" s="472"/>
      <c r="U50" s="472"/>
      <c r="V50" s="472"/>
      <c r="W50" s="472"/>
      <c r="X50" s="473"/>
      <c r="Y50" s="472"/>
      <c r="Z50" s="472"/>
      <c r="AA50" s="472"/>
      <c r="AB50" s="472"/>
      <c r="AC50" s="472"/>
      <c r="AD50" s="474"/>
      <c r="AE50" s="475"/>
      <c r="AF50" s="472"/>
      <c r="AG50" s="472"/>
      <c r="AH50" s="472"/>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row>
    <row r="51" ht="18">
      <c r="B51" s="29"/>
      <c r="X51" s="27"/>
      <c r="AD51" s="28"/>
      <c r="AF51" s="43"/>
      <c r="AG51" s="43"/>
      <c r="AH51" s="43"/>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row>
    <row r="52" ht="18">
      <c r="B52" s="417" t="s">
        <v>55</v>
      </c>
      <c r="C52" s="275" t="s">
        <v>186</v>
      </c>
      <c r="D52" s="276"/>
      <c r="E52" s="276"/>
      <c r="F52" s="276"/>
      <c r="G52" s="658" t="s">
        <v>183</v>
      </c>
      <c r="H52" s="276"/>
      <c r="I52" s="276"/>
      <c r="J52" s="276"/>
      <c r="K52" s="276"/>
      <c r="L52" s="276"/>
      <c r="M52" s="276"/>
      <c r="N52" s="276"/>
      <c r="O52" s="276"/>
      <c r="P52" s="276"/>
      <c r="Q52" s="276"/>
      <c r="R52" s="276"/>
      <c r="S52" s="277"/>
      <c r="T52" s="277"/>
      <c r="U52" s="277"/>
      <c r="V52" s="277"/>
      <c r="W52" s="277"/>
      <c r="X52" s="312"/>
      <c r="Y52" s="277"/>
      <c r="Z52" s="277"/>
      <c r="AA52" s="277"/>
      <c r="AB52" s="277"/>
      <c r="AC52" s="277"/>
      <c r="AD52" s="336"/>
      <c r="AE52" s="25"/>
      <c r="AF52" s="316" t="s">
        <v>58</v>
      </c>
      <c r="AG52" s="317" t="s">
        <v>59</v>
      </c>
      <c r="AH52" s="318" t="s">
        <v>59</v>
      </c>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row>
    <row r="53">
      <c r="B53" s="42"/>
      <c r="C53" s="279">
        <v>27</v>
      </c>
      <c r="D53" s="280">
        <v>28</v>
      </c>
      <c r="E53" s="280">
        <v>29</v>
      </c>
      <c r="F53" s="280">
        <v>30</v>
      </c>
      <c r="G53" s="676">
        <v>1</v>
      </c>
      <c r="H53" s="280">
        <v>2</v>
      </c>
      <c r="I53" s="280">
        <v>3</v>
      </c>
      <c r="J53" s="280">
        <v>4</v>
      </c>
      <c r="K53" s="280">
        <v>5</v>
      </c>
      <c r="L53" s="280">
        <v>6</v>
      </c>
      <c r="M53" s="280">
        <v>7</v>
      </c>
      <c r="N53" s="280">
        <v>8</v>
      </c>
      <c r="O53" s="280">
        <v>9</v>
      </c>
      <c r="P53" s="280">
        <v>10</v>
      </c>
      <c r="Q53" s="280">
        <v>11</v>
      </c>
      <c r="R53" s="280">
        <v>12</v>
      </c>
      <c r="S53" s="280">
        <v>13</v>
      </c>
      <c r="T53" s="280">
        <v>14</v>
      </c>
      <c r="U53" s="280">
        <v>15</v>
      </c>
      <c r="V53" s="280">
        <v>16</v>
      </c>
      <c r="W53" s="280">
        <v>17</v>
      </c>
      <c r="X53" s="315">
        <v>18</v>
      </c>
      <c r="Y53" s="280">
        <v>19</v>
      </c>
      <c r="Z53" s="280">
        <v>20</v>
      </c>
      <c r="AA53" s="280">
        <v>21</v>
      </c>
      <c r="AB53" s="280">
        <v>22</v>
      </c>
      <c r="AC53" s="280">
        <v>23</v>
      </c>
      <c r="AD53" s="373">
        <v>24</v>
      </c>
      <c r="AE53" s="25"/>
      <c r="AF53" s="319" t="s">
        <v>60</v>
      </c>
      <c r="AG53" s="320">
        <v>28</v>
      </c>
      <c r="AH53" s="321" t="s">
        <v>31</v>
      </c>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row>
    <row r="54" ht="14.25" customHeight="1">
      <c r="B54" s="46" t="s">
        <v>56</v>
      </c>
      <c r="C54" s="444" t="s">
        <v>236</v>
      </c>
      <c r="D54" s="445" t="s">
        <v>236</v>
      </c>
      <c r="E54" s="445" t="s">
        <v>236</v>
      </c>
      <c r="F54" s="445" t="s">
        <v>236</v>
      </c>
      <c r="G54" s="660" t="s">
        <v>239</v>
      </c>
      <c r="H54" s="445" t="s">
        <v>240</v>
      </c>
      <c r="I54" s="445" t="s">
        <v>240</v>
      </c>
      <c r="J54" s="445" t="s">
        <v>237</v>
      </c>
      <c r="K54" s="445" t="s">
        <v>241</v>
      </c>
      <c r="L54" s="445" t="s">
        <v>234</v>
      </c>
      <c r="M54" s="445" t="s">
        <v>238</v>
      </c>
      <c r="N54" s="445" t="s">
        <v>239</v>
      </c>
      <c r="O54" s="445" t="s">
        <v>238</v>
      </c>
      <c r="P54" s="445" t="s">
        <v>237</v>
      </c>
      <c r="Q54" s="445" t="s">
        <v>239</v>
      </c>
      <c r="R54" s="445" t="s">
        <v>239</v>
      </c>
      <c r="S54" s="445" t="s">
        <v>241</v>
      </c>
      <c r="T54" s="445" t="s">
        <v>241</v>
      </c>
      <c r="U54" s="445" t="s">
        <v>241</v>
      </c>
      <c r="V54" s="445" t="s">
        <v>239</v>
      </c>
      <c r="W54" s="445" t="s">
        <v>240</v>
      </c>
      <c r="X54" s="446" t="s">
        <v>236</v>
      </c>
      <c r="Y54" s="445" t="s">
        <v>236</v>
      </c>
      <c r="Z54" s="445" t="s">
        <v>241</v>
      </c>
      <c r="AA54" s="445" t="s">
        <v>241</v>
      </c>
      <c r="AB54" s="445" t="s">
        <v>238</v>
      </c>
      <c r="AC54" s="445" t="s">
        <v>239</v>
      </c>
      <c r="AD54" s="447" t="s">
        <v>247</v>
      </c>
      <c r="AE54" s="448"/>
      <c r="AF54" s="444" t="s">
        <v>241</v>
      </c>
      <c r="AG54" s="445" t="s">
        <v>236</v>
      </c>
      <c r="AH54" s="449" t="s">
        <v>236</v>
      </c>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row>
    <row r="55" ht="14.25" customHeight="1" thickBot="1">
      <c r="B55" s="48" t="s">
        <v>79</v>
      </c>
      <c r="C55" s="329" t="s">
        <v>234</v>
      </c>
      <c r="D55" s="330" t="s">
        <v>235</v>
      </c>
      <c r="E55" s="330" t="s">
        <v>235</v>
      </c>
      <c r="F55" s="330" t="s">
        <v>235</v>
      </c>
      <c r="G55" s="663" t="s">
        <v>234</v>
      </c>
      <c r="H55" s="330" t="s">
        <v>234</v>
      </c>
      <c r="I55" s="330" t="s">
        <v>235</v>
      </c>
      <c r="J55" s="330" t="s">
        <v>239</v>
      </c>
      <c r="K55" s="330" t="s">
        <v>238</v>
      </c>
      <c r="L55" s="330" t="s">
        <v>235</v>
      </c>
      <c r="M55" s="330" t="s">
        <v>234</v>
      </c>
      <c r="N55" s="330" t="s">
        <v>236</v>
      </c>
      <c r="O55" s="330" t="s">
        <v>234</v>
      </c>
      <c r="P55" s="330" t="s">
        <v>238</v>
      </c>
      <c r="Q55" s="330" t="s">
        <v>238</v>
      </c>
      <c r="R55" s="330" t="s">
        <v>239</v>
      </c>
      <c r="S55" s="330" t="s">
        <v>240</v>
      </c>
      <c r="T55" s="330" t="s">
        <v>239</v>
      </c>
      <c r="U55" s="330" t="s">
        <v>240</v>
      </c>
      <c r="V55" s="330" t="s">
        <v>238</v>
      </c>
      <c r="W55" s="330" t="s">
        <v>237</v>
      </c>
      <c r="X55" s="89" t="s">
        <v>236</v>
      </c>
      <c r="Y55" s="90" t="s">
        <v>241</v>
      </c>
      <c r="Z55" s="90" t="s">
        <v>238</v>
      </c>
      <c r="AA55" s="90" t="s">
        <v>236</v>
      </c>
      <c r="AB55" s="90" t="s">
        <v>238</v>
      </c>
      <c r="AC55" s="90" t="s">
        <v>236</v>
      </c>
      <c r="AD55" s="91" t="s">
        <v>245</v>
      </c>
      <c r="AE55" s="88"/>
      <c r="AF55" s="329" t="s">
        <v>241</v>
      </c>
      <c r="AG55" s="330" t="s">
        <v>235</v>
      </c>
      <c r="AH55" s="332" t="s">
        <v>234</v>
      </c>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row>
    <row r="56" ht="9.95" customHeight="1">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row>
    <row r="57" ht="9.95" customHeight="1">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row>
    <row r="58" ht="24.95" customHeight="1">
      <c r="B58" s="650" t="s">
        <v>114</v>
      </c>
      <c r="C58" s="650"/>
      <c r="D58" s="650"/>
      <c r="E58" s="650"/>
      <c r="F58" s="650"/>
      <c r="G58" s="650"/>
      <c r="H58" s="650"/>
      <c r="I58" s="650"/>
      <c r="J58" s="650"/>
      <c r="K58" s="650"/>
      <c r="L58" s="650"/>
      <c r="M58" s="650"/>
      <c r="N58" s="650"/>
      <c r="O58" s="650"/>
      <c r="P58" s="650"/>
      <c r="Q58" s="650"/>
      <c r="R58" s="650"/>
      <c r="S58" s="650"/>
      <c r="T58" s="650"/>
      <c r="U58" s="650"/>
      <c r="V58" s="650"/>
      <c r="W58" s="650"/>
      <c r="X58" s="650"/>
      <c r="Y58" s="650"/>
      <c r="Z58" s="650"/>
      <c r="AA58" s="650"/>
      <c r="AB58" s="650"/>
      <c r="AC58" s="650"/>
      <c r="AD58" s="650"/>
      <c r="AE58" s="650"/>
      <c r="AF58" s="650"/>
      <c r="AG58" s="650"/>
      <c r="AH58" s="650"/>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row>
    <row r="59" ht="9.95" customHeight="1">
      <c r="AF59" s="80"/>
      <c r="AG59" s="242"/>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row>
    <row r="60" ht="9.95" customHeight="1">
      <c r="B60" s="53"/>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row>
    <row r="61" ht="9.95" customHeight="1">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row>
    <row r="65">
      <c r="A65" s="666"/>
      <c r="B65" s="666"/>
      <c r="C65" s="666"/>
      <c r="D65" s="666"/>
      <c r="E65" s="666"/>
      <c r="F65" s="666"/>
      <c r="G65" s="666"/>
      <c r="H65" s="666"/>
      <c r="I65" s="666"/>
      <c r="J65" s="666"/>
      <c r="K65" s="666"/>
      <c r="L65" s="666"/>
      <c r="M65" s="666"/>
      <c r="N65" s="666"/>
      <c r="O65" s="666"/>
      <c r="P65" s="666"/>
      <c r="Q65" s="666"/>
      <c r="R65" s="666"/>
      <c r="S65" s="666"/>
      <c r="T65" s="666"/>
      <c r="U65" s="666"/>
      <c r="V65" s="666"/>
      <c r="W65" s="666"/>
      <c r="X65" s="666"/>
      <c r="Y65" s="666"/>
      <c r="Z65" s="666"/>
      <c r="AA65" s="666"/>
      <c r="AB65" s="666"/>
      <c r="AC65" s="666"/>
      <c r="AD65" s="666"/>
      <c r="AE65" s="666"/>
      <c r="AF65" s="666"/>
      <c r="AG65" s="666"/>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row>
    <row r="66">
      <c r="A66" s="666"/>
      <c r="B66" s="666"/>
      <c r="C66" s="666"/>
      <c r="D66" s="666"/>
      <c r="E66" s="666"/>
      <c r="F66" s="666"/>
      <c r="G66" s="666"/>
      <c r="H66" s="666"/>
      <c r="I66" s="666"/>
      <c r="J66" s="666"/>
      <c r="K66" s="666"/>
      <c r="L66" s="666"/>
      <c r="M66" s="666"/>
      <c r="N66" s="666"/>
      <c r="O66" s="666"/>
      <c r="P66" s="666"/>
      <c r="Q66" s="666"/>
      <c r="R66" s="666"/>
      <c r="S66" s="666"/>
      <c r="T66" s="666"/>
      <c r="U66" s="666"/>
      <c r="V66" s="666"/>
      <c r="W66" s="666"/>
      <c r="X66" s="666"/>
      <c r="Y66" s="666"/>
      <c r="Z66" s="666"/>
      <c r="AA66" s="666"/>
      <c r="AB66" s="666"/>
      <c r="AC66" s="666"/>
      <c r="AD66" s="666"/>
      <c r="AE66" s="666"/>
      <c r="AF66" s="666"/>
      <c r="AG66" s="666"/>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row>
    <row r="67">
      <c r="A67" s="666"/>
      <c r="B67" s="666"/>
      <c r="C67" s="666"/>
      <c r="D67" s="666"/>
      <c r="E67" s="666"/>
      <c r="F67" s="666"/>
      <c r="G67" s="666"/>
      <c r="H67" s="666"/>
      <c r="I67" s="666"/>
      <c r="J67" s="666"/>
      <c r="K67" s="666"/>
      <c r="L67" s="666"/>
      <c r="M67" s="666"/>
      <c r="N67" s="666"/>
      <c r="O67" s="666"/>
      <c r="P67" s="666"/>
      <c r="Q67" s="666"/>
      <c r="R67" s="666"/>
      <c r="S67" s="666"/>
      <c r="T67" s="666"/>
      <c r="U67" s="666"/>
      <c r="V67" s="666"/>
      <c r="W67" s="666"/>
      <c r="X67" s="666"/>
      <c r="Y67" s="666"/>
      <c r="Z67" s="666"/>
      <c r="AA67" s="666"/>
      <c r="AB67" s="666"/>
      <c r="AC67" s="666"/>
      <c r="AD67" s="666"/>
      <c r="AE67" s="666"/>
      <c r="AF67" s="666"/>
      <c r="AG67" s="666"/>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row>
    <row r="68" s="25" customFormat="1">
      <c r="A68" s="666"/>
      <c r="B68" s="666"/>
      <c r="C68" s="666"/>
      <c r="D68" s="666"/>
      <c r="E68" s="666"/>
      <c r="F68" s="666"/>
      <c r="G68" s="666"/>
      <c r="H68" s="666"/>
      <c r="I68" s="666"/>
      <c r="J68" s="666"/>
      <c r="K68" s="666"/>
      <c r="L68" s="666"/>
      <c r="M68" s="666"/>
      <c r="N68" s="666"/>
      <c r="O68" s="666"/>
      <c r="P68" s="666"/>
      <c r="Q68" s="666"/>
      <c r="R68" s="666"/>
      <c r="S68" s="666"/>
      <c r="T68" s="666"/>
      <c r="U68" s="666"/>
      <c r="V68" s="666"/>
      <c r="W68" s="666"/>
      <c r="X68" s="666"/>
      <c r="Y68" s="666"/>
      <c r="Z68" s="666"/>
      <c r="AA68" s="666"/>
      <c r="AB68" s="666"/>
      <c r="AC68" s="666"/>
      <c r="AD68" s="666"/>
      <c r="AE68" s="666"/>
      <c r="AF68" s="666"/>
      <c r="AG68" s="666"/>
      <c r="AH68" s="248"/>
      <c r="AI68" s="248"/>
      <c r="AJ68" s="248"/>
      <c r="AK68" s="248"/>
      <c r="AL68" s="248"/>
      <c r="AM68" s="248"/>
      <c r="AN68" s="248"/>
      <c r="AO68" s="248"/>
      <c r="AP68" s="248"/>
      <c r="AQ68" s="248"/>
      <c r="AR68" s="248"/>
      <c r="AS68" s="248"/>
      <c r="AT68" s="248"/>
      <c r="AU68" s="248"/>
      <c r="AV68" s="248"/>
      <c r="AW68" s="248"/>
      <c r="AX68" s="248"/>
      <c r="AY68" s="248"/>
      <c r="AZ68" s="248"/>
      <c r="BA68" s="248"/>
      <c r="BB68" s="248"/>
      <c r="BC68" s="248"/>
      <c r="BD68" s="248"/>
      <c r="BE68" s="248"/>
      <c r="BF68" s="248"/>
      <c r="BG68" s="248"/>
      <c r="BH68" s="248"/>
      <c r="BI68" s="248"/>
      <c r="BJ68" s="248"/>
    </row>
    <row r="69" s="25" customFormat="1" ht="10.5" customHeight="1">
      <c r="A69" s="666"/>
      <c r="B69" s="666"/>
      <c r="C69" s="666"/>
      <c r="D69" s="666"/>
      <c r="E69" s="666"/>
      <c r="F69" s="666"/>
      <c r="G69" s="666"/>
      <c r="H69" s="666"/>
      <c r="I69" s="666"/>
      <c r="J69" s="666"/>
      <c r="K69" s="666"/>
      <c r="L69" s="666"/>
      <c r="M69" s="666"/>
      <c r="N69" s="666"/>
      <c r="O69" s="666"/>
      <c r="P69" s="666"/>
      <c r="Q69" s="666"/>
      <c r="R69" s="666"/>
      <c r="S69" s="666"/>
      <c r="T69" s="666"/>
      <c r="U69" s="666"/>
      <c r="V69" s="666"/>
      <c r="W69" s="666"/>
      <c r="X69" s="666"/>
      <c r="Y69" s="666"/>
      <c r="Z69" s="666"/>
      <c r="AA69" s="666"/>
      <c r="AB69" s="666"/>
      <c r="AC69" s="666"/>
      <c r="AD69" s="666"/>
      <c r="AE69" s="666"/>
      <c r="AF69" s="666"/>
      <c r="AG69" s="666"/>
      <c r="AH69" s="248"/>
      <c r="AI69" s="248"/>
      <c r="AJ69" s="248"/>
      <c r="AK69" s="248"/>
      <c r="AL69" s="248"/>
      <c r="AM69" s="248"/>
      <c r="AN69" s="248"/>
      <c r="AO69" s="248"/>
      <c r="AP69" s="248"/>
      <c r="AQ69" s="248"/>
      <c r="AR69" s="248"/>
      <c r="AS69" s="248"/>
      <c r="AT69" s="248"/>
      <c r="AU69" s="248"/>
      <c r="AV69" s="248"/>
      <c r="AW69" s="248"/>
      <c r="AX69" s="248"/>
      <c r="AY69" s="248"/>
      <c r="AZ69" s="248"/>
      <c r="BA69" s="248"/>
      <c r="BB69" s="248"/>
      <c r="BC69" s="248"/>
      <c r="BD69" s="248"/>
      <c r="BE69" s="248"/>
      <c r="BF69" s="248"/>
      <c r="BG69" s="248"/>
      <c r="BH69" s="248"/>
      <c r="BI69" s="248"/>
      <c r="BJ69" s="248"/>
    </row>
    <row r="70" s="25" customFormat="1">
      <c r="A70" s="666"/>
      <c r="B70" s="666"/>
      <c r="C70" s="666"/>
      <c r="D70" s="666"/>
      <c r="E70" s="666"/>
      <c r="F70" s="666"/>
      <c r="G70" s="666"/>
      <c r="H70" s="666"/>
      <c r="I70" s="666"/>
      <c r="J70" s="666"/>
      <c r="K70" s="666"/>
      <c r="L70" s="666"/>
      <c r="M70" s="666"/>
      <c r="N70" s="666"/>
      <c r="O70" s="666"/>
      <c r="P70" s="666"/>
      <c r="Q70" s="666"/>
      <c r="R70" s="666"/>
      <c r="S70" s="666"/>
      <c r="T70" s="666"/>
      <c r="U70" s="666"/>
      <c r="V70" s="666"/>
      <c r="W70" s="666"/>
      <c r="X70" s="666"/>
      <c r="Y70" s="666"/>
      <c r="Z70" s="666"/>
      <c r="AA70" s="666"/>
      <c r="AB70" s="666"/>
      <c r="AC70" s="666"/>
      <c r="AD70" s="666"/>
      <c r="AE70" s="666"/>
      <c r="AF70" s="666"/>
      <c r="AG70" s="666"/>
      <c r="AH70" s="248"/>
      <c r="AI70" s="248"/>
      <c r="AJ70" s="248"/>
      <c r="AK70" s="248"/>
      <c r="AL70" s="248"/>
      <c r="AM70" s="248"/>
      <c r="AN70" s="248"/>
      <c r="AO70" s="248"/>
      <c r="AP70" s="248"/>
      <c r="AQ70" s="248"/>
      <c r="AR70" s="248"/>
      <c r="AS70" s="248"/>
      <c r="AT70" s="248"/>
      <c r="AU70" s="248"/>
      <c r="AV70" s="248"/>
      <c r="AW70" s="248"/>
      <c r="AX70" s="248"/>
      <c r="AY70" s="248"/>
      <c r="AZ70" s="248"/>
      <c r="BA70" s="248"/>
      <c r="BB70" s="248"/>
      <c r="BC70" s="248"/>
      <c r="BD70" s="248"/>
      <c r="BE70" s="248"/>
      <c r="BF70" s="248"/>
      <c r="BG70" s="248"/>
      <c r="BH70" s="248"/>
      <c r="BI70" s="248"/>
      <c r="BJ70" s="248"/>
    </row>
    <row r="71" s="25" customFormat="1">
      <c r="A71" s="666"/>
      <c r="B71" s="666">
        <v>1</v>
      </c>
      <c r="C71" s="666">
        <v>2</v>
      </c>
      <c r="D71" s="666">
        <v>3</v>
      </c>
      <c r="E71" s="666">
        <v>4</v>
      </c>
      <c r="F71" s="666">
        <v>5</v>
      </c>
      <c r="G71" s="666">
        <v>6</v>
      </c>
      <c r="H71" s="666">
        <v>7</v>
      </c>
      <c r="I71" s="666">
        <v>8</v>
      </c>
      <c r="J71" s="666">
        <v>9</v>
      </c>
      <c r="K71" s="666">
        <v>10</v>
      </c>
      <c r="L71" s="666">
        <v>11</v>
      </c>
      <c r="M71" s="666">
        <v>12</v>
      </c>
      <c r="N71" s="666"/>
      <c r="O71" s="666"/>
      <c r="P71" s="666"/>
      <c r="Q71" s="666"/>
      <c r="R71" s="666"/>
      <c r="S71" s="666"/>
      <c r="T71" s="666"/>
      <c r="U71" s="666"/>
      <c r="V71" s="666"/>
      <c r="W71" s="666"/>
      <c r="X71" s="666"/>
      <c r="Y71" s="666"/>
      <c r="Z71" s="666"/>
      <c r="AA71" s="666"/>
      <c r="AB71" s="666"/>
      <c r="AC71" s="666"/>
      <c r="AD71" s="666"/>
      <c r="AE71" s="666"/>
      <c r="AF71" s="666"/>
      <c r="AG71" s="666"/>
      <c r="AH71" s="248"/>
      <c r="AI71" s="248"/>
      <c r="AJ71" s="248"/>
      <c r="AK71" s="248"/>
      <c r="AL71" s="248"/>
      <c r="AM71" s="248"/>
      <c r="AN71" s="248"/>
      <c r="AO71" s="248"/>
      <c r="AP71" s="248"/>
      <c r="AQ71" s="248"/>
      <c r="AR71" s="248"/>
      <c r="AS71" s="248"/>
      <c r="AT71" s="248"/>
      <c r="AU71" s="248"/>
      <c r="AV71" s="248"/>
      <c r="AW71" s="248"/>
      <c r="AX71" s="248"/>
      <c r="AY71" s="248"/>
      <c r="AZ71" s="248"/>
      <c r="BA71" s="248"/>
      <c r="BB71" s="248"/>
      <c r="BC71" s="248"/>
      <c r="BD71" s="248"/>
      <c r="BE71" s="248"/>
      <c r="BF71" s="248"/>
      <c r="BG71" s="248"/>
      <c r="BH71" s="248"/>
      <c r="BI71" s="248"/>
      <c r="BJ71" s="248"/>
    </row>
    <row r="72" s="25" customFormat="1">
      <c r="A72" s="666"/>
      <c r="B72" s="666" t="n">
        <v>45724</v>
      </c>
      <c r="C72" s="666">
        <v>45731</v>
      </c>
      <c r="D72" s="666">
        <v>45738</v>
      </c>
      <c r="E72" s="666">
        <v>45745</v>
      </c>
      <c r="F72" s="666">
        <v>45752</v>
      </c>
      <c r="G72" s="666">
        <v>45759</v>
      </c>
      <c r="H72" s="666">
        <v>45766</v>
      </c>
      <c r="I72" s="666">
        <v>45773</v>
      </c>
      <c r="J72" s="666">
        <v>45780</v>
      </c>
      <c r="K72" s="666">
        <v>45787</v>
      </c>
      <c r="L72" s="666">
        <v>45794</v>
      </c>
      <c r="M72" s="666">
        <v>45801</v>
      </c>
      <c r="N72" s="666"/>
      <c r="O72" s="666"/>
      <c r="P72" s="666"/>
      <c r="Q72" s="666"/>
      <c r="R72" s="666"/>
      <c r="S72" s="666"/>
      <c r="T72" s="666"/>
      <c r="U72" s="666"/>
      <c r="V72" s="666"/>
      <c r="W72" s="666"/>
      <c r="X72" s="666"/>
      <c r="Y72" s="666"/>
      <c r="Z72" s="666"/>
      <c r="AA72" s="666"/>
      <c r="AB72" s="666"/>
      <c r="AC72" s="666"/>
      <c r="AD72" s="666"/>
      <c r="AE72" s="666"/>
      <c r="AF72" s="666"/>
      <c r="AG72" s="666"/>
      <c r="AH72" s="248"/>
      <c r="AI72" s="248"/>
      <c r="AJ72" s="248"/>
      <c r="AK72" s="248"/>
      <c r="AL72" s="248"/>
      <c r="AM72" s="248"/>
      <c r="AN72" s="248"/>
      <c r="AO72" s="248"/>
      <c r="AP72" s="248"/>
      <c r="AQ72" s="248"/>
      <c r="AR72" s="248"/>
      <c r="AS72" s="248"/>
      <c r="AT72" s="248"/>
      <c r="AU72" s="248"/>
      <c r="AV72" s="248"/>
      <c r="AW72" s="248"/>
      <c r="AX72" s="248"/>
      <c r="AY72" s="248"/>
      <c r="AZ72" s="248"/>
      <c r="BA72" s="248"/>
      <c r="BB72" s="248"/>
      <c r="BC72" s="248"/>
      <c r="BD72" s="248"/>
      <c r="BE72" s="248"/>
      <c r="BF72" s="248"/>
      <c r="BG72" s="248"/>
      <c r="BH72" s="248"/>
      <c r="BI72" s="248"/>
      <c r="BJ72" s="248"/>
    </row>
    <row r="73" s="25" customFormat="1" ht="14.25">
      <c r="A73" s="666" t="s">
        <v>32</v>
      </c>
      <c r="B73" s="666">
        <v>268.8030303030303030303030303</v>
      </c>
      <c r="C73" s="666">
        <v>247.67965367965367965367965368</v>
      </c>
      <c r="D73" s="666">
        <v>265.47943722943722943722943723</v>
      </c>
      <c r="E73" s="666">
        <v>296.08658008658008658008658009</v>
      </c>
      <c r="F73" s="666">
        <v>252.03571428571428571428571429</v>
      </c>
      <c r="G73" s="666">
        <v>279.31818181818181818181818182</v>
      </c>
      <c r="H73" s="666">
        <v>251.6991341991341991341991342</v>
      </c>
      <c r="I73" s="666">
        <v>207.94372294372294372294372294</v>
      </c>
      <c r="J73" s="666">
        <v>302.96103896103896103896103896</v>
      </c>
      <c r="K73" s="666">
        <v>181.91774891774891774891774892</v>
      </c>
      <c r="L73" s="666">
        <v>149.96103896103896103896103896</v>
      </c>
      <c r="M73" s="666">
        <v>187.78571428571428571428571429</v>
      </c>
      <c r="N73" s="666"/>
      <c r="O73" s="666"/>
      <c r="P73" s="666"/>
      <c r="Q73" s="666"/>
      <c r="R73" s="666"/>
      <c r="S73" s="666"/>
      <c r="T73" s="666"/>
      <c r="U73" s="666"/>
      <c r="V73" s="666"/>
      <c r="W73" s="666"/>
      <c r="X73" s="666"/>
      <c r="Y73" s="666"/>
      <c r="Z73" s="666"/>
      <c r="AA73" s="666"/>
      <c r="AB73" s="666"/>
      <c r="AC73" s="666"/>
      <c r="AD73" s="666"/>
      <c r="AE73" s="666"/>
      <c r="AF73" s="666"/>
      <c r="AG73" s="666"/>
      <c r="AH73" s="248"/>
      <c r="AI73" s="248"/>
      <c r="AJ73" s="248"/>
      <c r="AK73" s="248"/>
      <c r="AL73" s="248"/>
      <c r="AM73" s="248"/>
      <c r="AN73" s="248"/>
      <c r="AO73" s="248"/>
      <c r="AP73" s="248"/>
      <c r="AQ73" s="248"/>
      <c r="AR73" s="248"/>
      <c r="AS73" s="248"/>
      <c r="AT73" s="248"/>
      <c r="AU73" s="248"/>
      <c r="AV73" s="248"/>
      <c r="AW73" s="248"/>
      <c r="AX73" s="248"/>
      <c r="AY73" s="248"/>
      <c r="AZ73" s="248"/>
      <c r="BA73" s="248"/>
      <c r="BB73" s="248"/>
      <c r="BC73" s="248"/>
      <c r="BD73" s="248"/>
      <c r="BE73" s="248"/>
      <c r="BF73" s="248"/>
      <c r="BG73" s="248"/>
      <c r="BH73" s="248"/>
      <c r="BI73" s="248"/>
      <c r="BJ73" s="248"/>
    </row>
    <row r="74" s="25" customFormat="1" ht="14.25">
      <c r="A74" s="666" t="s">
        <v>26</v>
      </c>
      <c r="B74" s="666">
        <v>287.90559120453602544599640437</v>
      </c>
      <c r="C74" s="666">
        <v>248.18110634766975522057806666</v>
      </c>
      <c r="D74" s="666">
        <v>269.01491218365371317936661596</v>
      </c>
      <c r="E74" s="666">
        <v>265.55532844696445858110911354</v>
      </c>
      <c r="F74" s="666">
        <v>213.21794087746007372471971731</v>
      </c>
      <c r="G74" s="666">
        <v>263.97679159175770986032360669</v>
      </c>
      <c r="H74" s="666">
        <v>235.56293597012861291660904439</v>
      </c>
      <c r="I74" s="666">
        <v>191.76843590098188355690775826</v>
      </c>
      <c r="J74" s="666">
        <v>313.92671138155165260683169686</v>
      </c>
      <c r="K74" s="666">
        <v>173.00253906790208823122666298</v>
      </c>
      <c r="L74" s="666">
        <v>159.20047711243258193887429125</v>
      </c>
      <c r="M74" s="666">
        <v>205.48080985215247694235326207</v>
      </c>
      <c r="N74" s="666"/>
      <c r="O74" s="666"/>
      <c r="P74" s="666"/>
      <c r="Q74" s="666"/>
      <c r="R74" s="666"/>
      <c r="S74" s="666"/>
      <c r="T74" s="666"/>
      <c r="U74" s="666"/>
      <c r="V74" s="666"/>
      <c r="W74" s="666"/>
      <c r="X74" s="666"/>
      <c r="Y74" s="666"/>
      <c r="Z74" s="666"/>
      <c r="AA74" s="666"/>
      <c r="AB74" s="666"/>
      <c r="AC74" s="666"/>
      <c r="AD74" s="666"/>
      <c r="AE74" s="666"/>
      <c r="AF74" s="666"/>
      <c r="AG74" s="666"/>
      <c r="AH74" s="248"/>
      <c r="AI74" s="248"/>
      <c r="AJ74" s="248"/>
      <c r="AK74" s="248"/>
      <c r="AL74" s="248"/>
      <c r="AM74" s="248"/>
      <c r="AN74" s="248"/>
      <c r="AO74" s="248"/>
      <c r="AP74" s="248"/>
      <c r="AQ74" s="248"/>
      <c r="AR74" s="248"/>
      <c r="AS74" s="248"/>
      <c r="AT74" s="248"/>
      <c r="AU74" s="248"/>
      <c r="AV74" s="248"/>
      <c r="AW74" s="248"/>
      <c r="AX74" s="248"/>
      <c r="AY74" s="248"/>
      <c r="AZ74" s="248"/>
      <c r="BA74" s="248"/>
      <c r="BB74" s="248"/>
      <c r="BC74" s="248"/>
      <c r="BD74" s="248"/>
      <c r="BE74" s="248"/>
      <c r="BF74" s="248"/>
      <c r="BG74" s="248"/>
      <c r="BH74" s="248"/>
      <c r="BI74" s="248"/>
      <c r="BJ74" s="248"/>
    </row>
    <row r="75" s="25" customFormat="1" ht="14.25">
      <c r="A75" s="666" t="s">
        <v>185</v>
      </c>
      <c r="B75" s="666">
        <v>247.81632228023980601300188929</v>
      </c>
      <c r="C75" s="666">
        <v>213.79726573541006530697252347</v>
      </c>
      <c r="D75" s="666">
        <v>254.78639115752517814373484477</v>
      </c>
      <c r="E75" s="666">
        <v>256.73475550795138424004403386</v>
      </c>
      <c r="F75" s="666">
        <v>221.94389601107785768526376915</v>
      </c>
      <c r="G75" s="666">
        <v>231.00373862400762619717890284</v>
      </c>
      <c r="H75" s="666">
        <v>207.32932660083113633316948925</v>
      </c>
      <c r="I75" s="666">
        <v>174.46452775667664626063124656</v>
      </c>
      <c r="J75" s="666">
        <v>258.9583687087597003142827353</v>
      </c>
      <c r="K75" s="666">
        <v>168.17802404039501318200098306</v>
      </c>
      <c r="L75" s="666">
        <v>152.37934372998495613447130494</v>
      </c>
      <c r="M75" s="666">
        <v>152.40283301309263148487421243</v>
      </c>
      <c r="N75" s="666"/>
      <c r="O75" s="666"/>
      <c r="P75" s="666"/>
      <c r="Q75" s="666"/>
      <c r="R75" s="666"/>
      <c r="S75" s="666"/>
      <c r="T75" s="666"/>
      <c r="U75" s="666"/>
      <c r="V75" s="666"/>
      <c r="W75" s="666"/>
      <c r="X75" s="666"/>
      <c r="Y75" s="666"/>
      <c r="Z75" s="666"/>
      <c r="AA75" s="666"/>
      <c r="AB75" s="666"/>
      <c r="AC75" s="666"/>
      <c r="AD75" s="666"/>
      <c r="AE75" s="666"/>
      <c r="AF75" s="666"/>
      <c r="AG75" s="666"/>
      <c r="AH75" s="248"/>
      <c r="AI75" s="248"/>
      <c r="AJ75" s="248"/>
      <c r="AK75" s="248"/>
      <c r="AL75" s="248"/>
      <c r="AM75" s="248"/>
      <c r="AN75" s="248"/>
      <c r="AO75" s="248"/>
      <c r="AP75" s="248"/>
      <c r="AQ75" s="248"/>
      <c r="AR75" s="248"/>
      <c r="AS75" s="248"/>
      <c r="AT75" s="248"/>
      <c r="AU75" s="248"/>
      <c r="AV75" s="248"/>
      <c r="AW75" s="248"/>
      <c r="AX75" s="248"/>
      <c r="AY75" s="248"/>
      <c r="AZ75" s="248"/>
      <c r="BA75" s="248"/>
      <c r="BB75" s="248"/>
      <c r="BC75" s="248"/>
      <c r="BD75" s="248"/>
      <c r="BE75" s="248"/>
      <c r="BF75" s="248"/>
      <c r="BG75" s="248"/>
      <c r="BH75" s="248"/>
      <c r="BI75" s="248"/>
      <c r="BJ75" s="248"/>
    </row>
    <row r="76" s="25" customFormat="1">
      <c r="A76" s="666"/>
      <c r="B76" s="666"/>
      <c r="C76" s="666"/>
      <c r="D76" s="666"/>
      <c r="E76" s="666"/>
      <c r="F76" s="666"/>
      <c r="G76" s="666"/>
      <c r="H76" s="666"/>
      <c r="I76" s="666"/>
      <c r="J76" s="666"/>
      <c r="K76" s="666"/>
      <c r="L76" s="666"/>
      <c r="M76" s="666"/>
      <c r="N76" s="666"/>
      <c r="O76" s="666"/>
      <c r="P76" s="666"/>
      <c r="Q76" s="666"/>
      <c r="R76" s="666"/>
      <c r="S76" s="666"/>
      <c r="T76" s="666"/>
      <c r="U76" s="666"/>
      <c r="V76" s="666"/>
      <c r="W76" s="666"/>
      <c r="X76" s="666"/>
      <c r="Y76" s="666"/>
      <c r="Z76" s="666"/>
      <c r="AA76" s="666"/>
      <c r="AB76" s="666"/>
      <c r="AC76" s="666"/>
      <c r="AD76" s="666"/>
      <c r="AE76" s="666"/>
      <c r="AF76" s="666"/>
      <c r="AG76" s="666"/>
      <c r="AH76" s="248"/>
      <c r="AI76" s="248"/>
      <c r="AJ76" s="248"/>
      <c r="AK76" s="248"/>
      <c r="AL76" s="248"/>
      <c r="AM76" s="248"/>
      <c r="AN76" s="248"/>
      <c r="AO76" s="248"/>
      <c r="AP76" s="248"/>
      <c r="AQ76" s="248"/>
      <c r="AR76" s="248"/>
      <c r="AS76" s="248"/>
      <c r="AT76" s="248"/>
      <c r="AU76" s="248"/>
      <c r="AV76" s="248"/>
      <c r="AW76" s="248"/>
      <c r="AX76" s="248"/>
      <c r="AY76" s="248"/>
      <c r="AZ76" s="248"/>
      <c r="BA76" s="248"/>
      <c r="BB76" s="248"/>
      <c r="BC76" s="248"/>
      <c r="BD76" s="248"/>
      <c r="BE76" s="248"/>
      <c r="BF76" s="248"/>
      <c r="BG76" s="248"/>
      <c r="BH76" s="248"/>
      <c r="BI76" s="248"/>
      <c r="BJ76" s="248"/>
    </row>
    <row r="77" s="25" customFormat="1">
      <c r="A77" s="666"/>
      <c r="B77" s="666"/>
      <c r="C77" s="666"/>
      <c r="D77" s="666"/>
      <c r="E77" s="666"/>
      <c r="F77" s="666"/>
      <c r="G77" s="666"/>
      <c r="H77" s="666"/>
      <c r="I77" s="666"/>
      <c r="J77" s="666"/>
      <c r="K77" s="666"/>
      <c r="L77" s="666"/>
      <c r="M77" s="666"/>
      <c r="N77" s="666"/>
      <c r="O77" s="666"/>
      <c r="P77" s="666"/>
      <c r="Q77" s="666"/>
      <c r="R77" s="666"/>
      <c r="S77" s="666"/>
      <c r="T77" s="666"/>
      <c r="U77" s="666"/>
      <c r="V77" s="666"/>
      <c r="W77" s="666"/>
      <c r="X77" s="666"/>
      <c r="Y77" s="666"/>
      <c r="Z77" s="666"/>
      <c r="AA77" s="666"/>
      <c r="AB77" s="666"/>
      <c r="AC77" s="666"/>
      <c r="AD77" s="666"/>
      <c r="AE77" s="666"/>
      <c r="AF77" s="666"/>
      <c r="AG77" s="666"/>
      <c r="AH77" s="248"/>
      <c r="AI77" s="248"/>
      <c r="AJ77" s="248"/>
      <c r="AK77" s="248"/>
      <c r="AL77" s="248"/>
      <c r="AM77" s="248"/>
      <c r="AN77" s="248"/>
      <c r="AO77" s="248"/>
      <c r="AP77" s="248"/>
      <c r="AQ77" s="248"/>
      <c r="AR77" s="248"/>
      <c r="AS77" s="248"/>
      <c r="AT77" s="248"/>
      <c r="AU77" s="248"/>
      <c r="AV77" s="248"/>
      <c r="AW77" s="248"/>
      <c r="AX77" s="248"/>
      <c r="AY77" s="248"/>
      <c r="AZ77" s="248"/>
      <c r="BA77" s="248"/>
      <c r="BB77" s="248"/>
      <c r="BC77" s="248"/>
      <c r="BD77" s="248"/>
      <c r="BE77" s="248"/>
      <c r="BF77" s="248"/>
      <c r="BG77" s="248"/>
      <c r="BH77" s="248"/>
      <c r="BI77" s="248"/>
      <c r="BJ77" s="248"/>
    </row>
    <row r="78">
      <c r="A78" s="666"/>
      <c r="B78" s="666"/>
      <c r="C78" s="666"/>
      <c r="D78" s="666"/>
      <c r="E78" s="666"/>
      <c r="F78" s="666"/>
      <c r="G78" s="666"/>
      <c r="H78" s="666"/>
      <c r="I78" s="666"/>
      <c r="J78" s="666"/>
      <c r="K78" s="666"/>
      <c r="L78" s="666"/>
      <c r="M78" s="666"/>
      <c r="N78" s="666"/>
      <c r="O78" s="666"/>
      <c r="P78" s="666"/>
      <c r="Q78" s="666"/>
      <c r="R78" s="666"/>
      <c r="S78" s="666"/>
      <c r="T78" s="666"/>
      <c r="U78" s="666"/>
      <c r="V78" s="666"/>
      <c r="W78" s="666"/>
      <c r="X78" s="666"/>
      <c r="Y78" s="666"/>
      <c r="Z78" s="666"/>
      <c r="AA78" s="666"/>
      <c r="AB78" s="666"/>
      <c r="AC78" s="666"/>
      <c r="AD78" s="666"/>
      <c r="AE78" s="666"/>
      <c r="AF78" s="666"/>
      <c r="AG78" s="666"/>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row>
    <row r="79">
      <c r="A79" s="666"/>
      <c r="B79" s="666"/>
      <c r="C79" s="666"/>
      <c r="D79" s="666"/>
      <c r="E79" s="666"/>
      <c r="F79" s="666"/>
      <c r="G79" s="666"/>
      <c r="H79" s="666"/>
      <c r="I79" s="666"/>
      <c r="J79" s="666"/>
      <c r="K79" s="666"/>
      <c r="L79" s="666"/>
      <c r="M79" s="666"/>
      <c r="N79" s="666"/>
      <c r="O79" s="666"/>
      <c r="P79" s="666"/>
      <c r="Q79" s="666"/>
      <c r="R79" s="666"/>
      <c r="S79" s="666"/>
      <c r="T79" s="666"/>
      <c r="U79" s="666"/>
      <c r="V79" s="666"/>
      <c r="W79" s="666"/>
      <c r="X79" s="666"/>
      <c r="Y79" s="666"/>
      <c r="Z79" s="666"/>
      <c r="AA79" s="666"/>
      <c r="AB79" s="666"/>
      <c r="AC79" s="666"/>
      <c r="AD79" s="666"/>
      <c r="AE79" s="666"/>
      <c r="AF79" s="666"/>
      <c r="AG79" s="666"/>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row>
    <row r="80">
      <c r="A80" s="666"/>
      <c r="B80" s="666"/>
      <c r="C80" s="666"/>
      <c r="D80" s="666"/>
      <c r="E80" s="666"/>
      <c r="F80" s="666"/>
      <c r="G80" s="666"/>
      <c r="H80" s="666"/>
      <c r="I80" s="666"/>
      <c r="J80" s="666"/>
      <c r="K80" s="666"/>
      <c r="L80" s="666"/>
      <c r="M80" s="666"/>
      <c r="N80" s="666"/>
      <c r="O80" s="666"/>
      <c r="P80" s="666"/>
      <c r="Q80" s="666"/>
      <c r="R80" s="666"/>
      <c r="S80" s="666"/>
      <c r="T80" s="666"/>
      <c r="U80" s="666"/>
      <c r="V80" s="666"/>
      <c r="W80" s="666"/>
      <c r="X80" s="666"/>
      <c r="Y80" s="666"/>
      <c r="Z80" s="666"/>
      <c r="AA80" s="666"/>
      <c r="AB80" s="666"/>
      <c r="AC80" s="666"/>
      <c r="AD80" s="666"/>
      <c r="AE80" s="666"/>
      <c r="AF80" s="666"/>
      <c r="AG80" s="666"/>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row>
    <row r="81">
      <c r="A81" s="666"/>
      <c r="B81" s="666"/>
      <c r="C81" s="666"/>
      <c r="D81" s="666"/>
      <c r="E81" s="666"/>
      <c r="F81" s="666"/>
      <c r="G81" s="666"/>
      <c r="H81" s="666"/>
      <c r="I81" s="666"/>
      <c r="J81" s="666"/>
      <c r="K81" s="666"/>
      <c r="L81" s="666"/>
      <c r="M81" s="666"/>
      <c r="N81" s="666"/>
      <c r="O81" s="666"/>
      <c r="P81" s="666"/>
      <c r="Q81" s="666"/>
      <c r="R81" s="666"/>
      <c r="S81" s="666"/>
      <c r="T81" s="666"/>
      <c r="U81" s="666"/>
      <c r="V81" s="666"/>
      <c r="W81" s="666"/>
      <c r="X81" s="666"/>
      <c r="Y81" s="666"/>
      <c r="Z81" s="666"/>
      <c r="AA81" s="666"/>
      <c r="AB81" s="666"/>
      <c r="AC81" s="666"/>
      <c r="AD81" s="666"/>
      <c r="AE81" s="666"/>
      <c r="AF81" s="666"/>
      <c r="AG81" s="666"/>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row>
    <row r="82">
      <c r="A82" s="666"/>
      <c r="B82" s="666"/>
      <c r="C82" s="666"/>
      <c r="D82" s="666"/>
      <c r="E82" s="666"/>
      <c r="F82" s="666"/>
      <c r="G82" s="666"/>
      <c r="H82" s="666"/>
      <c r="I82" s="666"/>
      <c r="J82" s="666"/>
      <c r="K82" s="666"/>
      <c r="L82" s="666"/>
      <c r="M82" s="666"/>
      <c r="N82" s="666"/>
      <c r="O82" s="666"/>
      <c r="P82" s="666"/>
      <c r="Q82" s="666"/>
      <c r="R82" s="666"/>
      <c r="S82" s="666"/>
      <c r="T82" s="666"/>
      <c r="U82" s="666"/>
      <c r="V82" s="666"/>
      <c r="W82" s="666"/>
      <c r="X82" s="666"/>
      <c r="Y82" s="666"/>
      <c r="Z82" s="666"/>
      <c r="AA82" s="666"/>
      <c r="AB82" s="666"/>
      <c r="AC82" s="666"/>
      <c r="AD82" s="666"/>
      <c r="AE82" s="666"/>
      <c r="AF82" s="666"/>
      <c r="AG82" s="666"/>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row>
    <row r="83">
      <c r="A83" s="666"/>
      <c r="B83" s="666"/>
      <c r="C83" s="666"/>
      <c r="D83" s="666"/>
      <c r="E83" s="666"/>
      <c r="F83" s="666"/>
      <c r="G83" s="666"/>
      <c r="H83" s="666"/>
      <c r="I83" s="666"/>
      <c r="J83" s="666"/>
      <c r="K83" s="666"/>
      <c r="L83" s="666"/>
      <c r="M83" s="666"/>
      <c r="N83" s="666"/>
      <c r="O83" s="666"/>
      <c r="P83" s="666"/>
      <c r="Q83" s="666"/>
      <c r="R83" s="666"/>
      <c r="S83" s="666"/>
      <c r="T83" s="666"/>
      <c r="U83" s="666"/>
      <c r="V83" s="666"/>
      <c r="W83" s="666"/>
      <c r="X83" s="666"/>
      <c r="Y83" s="666"/>
      <c r="Z83" s="666"/>
      <c r="AA83" s="666"/>
      <c r="AB83" s="666"/>
      <c r="AC83" s="666"/>
      <c r="AD83" s="666"/>
      <c r="AE83" s="666"/>
      <c r="AF83" s="666"/>
      <c r="AG83" s="666"/>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row>
    <row r="84">
      <c r="A84" s="666"/>
      <c r="B84" s="666"/>
      <c r="C84" s="666"/>
      <c r="D84" s="666"/>
      <c r="E84" s="666"/>
      <c r="F84" s="666"/>
      <c r="G84" s="666"/>
      <c r="H84" s="666"/>
      <c r="I84" s="666"/>
      <c r="J84" s="666"/>
      <c r="K84" s="666"/>
      <c r="L84" s="666"/>
      <c r="M84" s="666"/>
      <c r="N84" s="666"/>
      <c r="O84" s="666"/>
      <c r="P84" s="666"/>
      <c r="Q84" s="666"/>
      <c r="R84" s="666"/>
      <c r="S84" s="666"/>
      <c r="T84" s="666"/>
      <c r="U84" s="666"/>
      <c r="V84" s="666"/>
      <c r="W84" s="666"/>
      <c r="X84" s="666"/>
      <c r="Y84" s="666"/>
      <c r="Z84" s="666"/>
      <c r="AA84" s="666"/>
      <c r="AB84" s="666"/>
      <c r="AC84" s="666"/>
      <c r="AD84" s="666"/>
      <c r="AE84" s="666"/>
      <c r="AF84" s="666"/>
      <c r="AG84" s="666"/>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row>
    <row r="85">
      <c r="A85" s="666"/>
      <c r="B85" s="666"/>
      <c r="C85" s="666"/>
      <c r="D85" s="666"/>
      <c r="E85" s="666"/>
      <c r="F85" s="666"/>
      <c r="G85" s="666"/>
      <c r="H85" s="666"/>
      <c r="I85" s="666"/>
      <c r="J85" s="666"/>
      <c r="K85" s="666"/>
      <c r="L85" s="666"/>
      <c r="M85" s="666"/>
      <c r="N85" s="666"/>
      <c r="O85" s="666"/>
      <c r="P85" s="666"/>
      <c r="Q85" s="666"/>
      <c r="R85" s="666"/>
      <c r="S85" s="666"/>
      <c r="T85" s="666"/>
      <c r="U85" s="666"/>
      <c r="V85" s="666"/>
      <c r="W85" s="666"/>
      <c r="X85" s="666"/>
      <c r="Y85" s="666"/>
      <c r="Z85" s="666"/>
      <c r="AA85" s="666"/>
      <c r="AB85" s="666"/>
      <c r="AC85" s="666"/>
      <c r="AD85" s="666"/>
      <c r="AE85" s="666"/>
      <c r="AF85" s="666"/>
      <c r="AG85" s="666"/>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row>
    <row r="86">
      <c r="A86" s="666"/>
      <c r="B86" s="666"/>
      <c r="C86" s="666"/>
      <c r="D86" s="666"/>
      <c r="E86" s="666"/>
      <c r="F86" s="666"/>
      <c r="G86" s="666"/>
      <c r="H86" s="666"/>
      <c r="I86" s="666"/>
      <c r="J86" s="666"/>
      <c r="K86" s="666"/>
      <c r="L86" s="666"/>
      <c r="M86" s="666"/>
      <c r="N86" s="666"/>
      <c r="O86" s="666"/>
      <c r="P86" s="666"/>
      <c r="Q86" s="666"/>
      <c r="R86" s="666"/>
      <c r="S86" s="666"/>
      <c r="T86" s="666"/>
      <c r="U86" s="666"/>
      <c r="V86" s="666"/>
      <c r="W86" s="666"/>
      <c r="X86" s="666"/>
      <c r="Y86" s="666"/>
      <c r="Z86" s="666"/>
      <c r="AA86" s="666"/>
      <c r="AB86" s="666"/>
      <c r="AC86" s="666"/>
      <c r="AD86" s="666"/>
      <c r="AE86" s="666"/>
      <c r="AF86" s="666"/>
      <c r="AG86" s="666"/>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row>
    <row r="87">
      <c r="A87" s="666"/>
      <c r="B87" s="666"/>
      <c r="C87" s="666"/>
      <c r="D87" s="666"/>
      <c r="E87" s="666"/>
      <c r="F87" s="666"/>
      <c r="G87" s="666"/>
      <c r="H87" s="666"/>
      <c r="I87" s="666"/>
      <c r="J87" s="666"/>
      <c r="K87" s="666"/>
      <c r="L87" s="666"/>
      <c r="M87" s="666"/>
      <c r="N87" s="666"/>
      <c r="O87" s="666"/>
      <c r="P87" s="666"/>
      <c r="Q87" s="666"/>
      <c r="R87" s="666"/>
      <c r="S87" s="666"/>
      <c r="T87" s="666"/>
      <c r="U87" s="666"/>
      <c r="V87" s="666"/>
      <c r="W87" s="666"/>
      <c r="X87" s="666"/>
      <c r="Y87" s="666"/>
      <c r="Z87" s="666"/>
      <c r="AA87" s="666"/>
      <c r="AB87" s="666"/>
      <c r="AC87" s="666"/>
      <c r="AD87" s="666"/>
      <c r="AE87" s="666"/>
      <c r="AF87" s="666"/>
      <c r="AG87" s="666"/>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row>
    <row r="88">
      <c r="A88" s="666"/>
      <c r="B88" s="666"/>
      <c r="C88" s="666"/>
      <c r="D88" s="666"/>
      <c r="E88" s="666"/>
      <c r="F88" s="666"/>
      <c r="G88" s="666"/>
      <c r="H88" s="666"/>
      <c r="I88" s="666"/>
      <c r="J88" s="666"/>
      <c r="K88" s="666"/>
      <c r="L88" s="666"/>
      <c r="M88" s="666"/>
      <c r="N88" s="666"/>
      <c r="O88" s="666"/>
      <c r="P88" s="666"/>
      <c r="Q88" s="666"/>
      <c r="R88" s="666"/>
      <c r="S88" s="666"/>
      <c r="T88" s="666"/>
      <c r="U88" s="666"/>
      <c r="V88" s="666"/>
      <c r="W88" s="666"/>
      <c r="X88" s="666"/>
      <c r="Y88" s="666"/>
      <c r="Z88" s="666"/>
      <c r="AA88" s="666"/>
      <c r="AB88" s="666"/>
      <c r="AC88" s="666"/>
      <c r="AD88" s="666"/>
      <c r="AE88" s="666"/>
      <c r="AF88" s="666"/>
      <c r="AG88" s="666"/>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row>
    <row r="89">
      <c r="A89" s="666"/>
      <c r="B89" s="666"/>
      <c r="C89" s="666"/>
      <c r="D89" s="666"/>
      <c r="E89" s="666"/>
      <c r="F89" s="666"/>
      <c r="G89" s="666"/>
      <c r="H89" s="666"/>
      <c r="I89" s="666"/>
      <c r="J89" s="666"/>
      <c r="K89" s="666"/>
      <c r="L89" s="666"/>
      <c r="M89" s="666"/>
      <c r="N89" s="666"/>
      <c r="O89" s="666"/>
      <c r="P89" s="666"/>
      <c r="Q89" s="666"/>
      <c r="R89" s="666"/>
      <c r="S89" s="666"/>
      <c r="T89" s="666"/>
      <c r="U89" s="666"/>
      <c r="V89" s="666"/>
      <c r="W89" s="666"/>
      <c r="X89" s="666"/>
      <c r="Y89" s="666"/>
      <c r="Z89" s="666"/>
      <c r="AA89" s="666"/>
      <c r="AB89" s="666"/>
      <c r="AC89" s="666"/>
      <c r="AD89" s="666"/>
      <c r="AE89" s="666"/>
      <c r="AF89" s="666"/>
      <c r="AG89" s="666"/>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row>
    <row r="90">
      <c r="A90" s="666"/>
      <c r="B90" s="666"/>
      <c r="C90" s="666"/>
      <c r="D90" s="666"/>
      <c r="E90" s="666"/>
      <c r="F90" s="666"/>
      <c r="G90" s="666"/>
      <c r="H90" s="666"/>
      <c r="I90" s="666"/>
      <c r="J90" s="666"/>
      <c r="K90" s="666"/>
      <c r="L90" s="666"/>
      <c r="M90" s="666"/>
      <c r="N90" s="666"/>
      <c r="O90" s="666"/>
      <c r="P90" s="666"/>
      <c r="Q90" s="666"/>
      <c r="R90" s="666"/>
      <c r="S90" s="666"/>
      <c r="T90" s="666"/>
      <c r="U90" s="666"/>
      <c r="V90" s="666"/>
      <c r="W90" s="666"/>
      <c r="X90" s="666"/>
      <c r="Y90" s="666"/>
      <c r="Z90" s="666"/>
      <c r="AA90" s="666"/>
      <c r="AB90" s="666"/>
      <c r="AC90" s="666"/>
      <c r="AD90" s="666"/>
      <c r="AE90" s="666"/>
      <c r="AF90" s="666"/>
      <c r="AG90" s="666"/>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row>
    <row r="91">
      <c r="A91" s="666"/>
      <c r="B91" s="666"/>
      <c r="C91" s="666"/>
      <c r="D91" s="666"/>
      <c r="E91" s="666"/>
      <c r="F91" s="666"/>
      <c r="G91" s="666"/>
      <c r="H91" s="666"/>
      <c r="I91" s="666"/>
      <c r="J91" s="666"/>
      <c r="K91" s="666"/>
      <c r="L91" s="666"/>
      <c r="M91" s="666"/>
      <c r="N91" s="666"/>
      <c r="O91" s="666"/>
      <c r="P91" s="666"/>
      <c r="Q91" s="666"/>
      <c r="R91" s="666"/>
      <c r="S91" s="666"/>
      <c r="T91" s="666"/>
      <c r="U91" s="666"/>
      <c r="V91" s="666"/>
      <c r="W91" s="666"/>
      <c r="X91" s="666"/>
      <c r="Y91" s="666"/>
      <c r="Z91" s="666"/>
      <c r="AA91" s="666"/>
      <c r="AB91" s="666"/>
      <c r="AC91" s="666"/>
      <c r="AD91" s="666"/>
      <c r="AE91" s="666"/>
      <c r="AF91" s="666"/>
      <c r="AG91" s="666"/>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row>
    <row r="92">
      <c r="A92" s="666"/>
      <c r="B92" s="666"/>
      <c r="C92" s="666"/>
      <c r="D92" s="666"/>
      <c r="E92" s="666"/>
      <c r="F92" s="666"/>
      <c r="G92" s="666"/>
      <c r="H92" s="666"/>
      <c r="I92" s="666"/>
      <c r="J92" s="666"/>
      <c r="K92" s="666"/>
      <c r="L92" s="666"/>
      <c r="M92" s="666"/>
      <c r="N92" s="666"/>
      <c r="O92" s="666"/>
      <c r="P92" s="666"/>
      <c r="Q92" s="666"/>
      <c r="R92" s="666"/>
      <c r="S92" s="666"/>
      <c r="T92" s="666"/>
      <c r="U92" s="666"/>
      <c r="V92" s="666"/>
      <c r="W92" s="666"/>
      <c r="X92" s="666"/>
      <c r="Y92" s="666"/>
      <c r="Z92" s="666"/>
      <c r="AA92" s="666"/>
      <c r="AB92" s="666"/>
      <c r="AC92" s="666"/>
      <c r="AD92" s="666"/>
      <c r="AE92" s="666"/>
      <c r="AF92" s="666"/>
      <c r="AG92" s="666"/>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row>
    <row r="93">
      <c r="A93" s="666"/>
      <c r="B93" s="666"/>
      <c r="C93" s="666"/>
      <c r="D93" s="666"/>
      <c r="E93" s="666"/>
      <c r="F93" s="666"/>
      <c r="G93" s="666"/>
      <c r="H93" s="666"/>
      <c r="I93" s="666"/>
      <c r="J93" s="666"/>
      <c r="K93" s="666"/>
      <c r="L93" s="666"/>
      <c r="M93" s="666"/>
      <c r="N93" s="666"/>
      <c r="O93" s="666"/>
      <c r="P93" s="666"/>
      <c r="Q93" s="666"/>
      <c r="R93" s="666"/>
      <c r="S93" s="666"/>
      <c r="T93" s="666"/>
      <c r="U93" s="666"/>
      <c r="V93" s="666"/>
      <c r="W93" s="666"/>
      <c r="X93" s="666"/>
      <c r="Y93" s="666"/>
      <c r="Z93" s="666"/>
      <c r="AA93" s="666"/>
      <c r="AB93" s="666"/>
      <c r="AC93" s="666"/>
      <c r="AD93" s="666"/>
      <c r="AE93" s="666"/>
      <c r="AF93" s="666"/>
      <c r="AG93" s="666"/>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row>
    <row r="94">
      <c r="A94" s="666"/>
      <c r="B94" s="666"/>
      <c r="C94" s="666"/>
      <c r="D94" s="666"/>
      <c r="E94" s="666"/>
      <c r="F94" s="666"/>
      <c r="G94" s="666"/>
      <c r="H94" s="666"/>
      <c r="I94" s="666"/>
      <c r="J94" s="666"/>
      <c r="K94" s="666"/>
      <c r="L94" s="666"/>
      <c r="M94" s="666"/>
      <c r="N94" s="666"/>
      <c r="O94" s="666"/>
      <c r="P94" s="666"/>
      <c r="Q94" s="666"/>
      <c r="R94" s="666"/>
      <c r="S94" s="666"/>
      <c r="T94" s="666"/>
      <c r="U94" s="666"/>
      <c r="V94" s="666"/>
      <c r="W94" s="666"/>
      <c r="X94" s="666"/>
      <c r="Y94" s="666"/>
      <c r="Z94" s="666"/>
      <c r="AA94" s="666"/>
      <c r="AB94" s="666"/>
      <c r="AC94" s="666"/>
      <c r="AD94" s="666"/>
      <c r="AE94" s="666"/>
      <c r="AF94" s="666"/>
      <c r="AG94" s="666"/>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row>
  </sheetData>
  <mergeCells count="3">
    <mergeCell ref="X22:AD22"/>
    <mergeCell ref="R4:AG4"/>
    <mergeCell ref="B58:AH58"/>
  </mergeCells>
  <phoneticPr fontId="0" type="noConversion"/>
  <printOptions horizontalCentered="1" verticalCentered="1"/>
  <pageMargins left="0.25" right="0.25" top="0.25" bottom="0.25" header="0.23" footer="0.28"/>
  <pageSetup scale="55" orientation="landscape" r:id="rId1"/>
  <headerFooter alignWithMargins="0">
    <oddHeader/>
    <oddFooter/>
  </headerFooter>
  <drawing r:id="rId84"/>
</worksheet>
</file>

<file path=xl/worksheets/sheet8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AY105"/>
  <sheetViews>
    <sheetView showGridLines="0" zoomScaleNormal="100" workbookViewId="0"/>
  </sheetViews>
  <sheetFormatPr defaultRowHeight="12.75"/>
  <cols>
    <col min="1" max="1" width="13.28515625" customWidth="1"/>
    <col min="2" max="2" width="3.85546875" customWidth="1"/>
    <col min="3" max="3" width="4.28515625" style="30" customWidth="1"/>
    <col min="4" max="15" width="7.7109375" customWidth="1"/>
    <col min="16" max="16" width="1.42578125" customWidth="1"/>
    <col min="17" max="28" width="7.7109375" customWidth="1"/>
    <col min="29" max="29" width="2.28515625" customWidth="1"/>
    <col min="30" max="32" width="9.140625" customWidth="1"/>
  </cols>
  <sheetData>
    <row r="1" ht="23.25">
      <c r="A1" s="39" t="s">
        <v>156</v>
      </c>
      <c r="B1" s="39"/>
      <c r="AD1" s="244"/>
      <c r="AE1" s="244"/>
      <c r="AF1" s="244"/>
      <c r="AG1" s="244"/>
      <c r="AH1" s="244"/>
      <c r="AI1" s="244"/>
      <c r="AJ1" s="244"/>
      <c r="AK1" s="244"/>
      <c r="AL1" s="244"/>
      <c r="AM1" s="244"/>
      <c r="AN1" s="244"/>
      <c r="AO1" s="244"/>
      <c r="AP1" s="244"/>
      <c r="AQ1" s="244"/>
      <c r="AR1" s="244"/>
      <c r="AS1" s="244"/>
      <c r="AT1" s="244"/>
      <c r="AU1" s="244"/>
      <c r="AV1" s="244"/>
      <c r="AW1" s="244"/>
      <c r="AX1" s="244"/>
      <c r="AY1" s="244"/>
    </row>
    <row r="2" ht="15" customHeight="1">
      <c r="A2" s="10" t="s">
        <v>168</v>
      </c>
      <c r="AA2" s="216"/>
      <c r="AD2" s="244"/>
      <c r="AE2" s="244"/>
      <c r="AF2" s="244"/>
      <c r="AG2" s="244"/>
      <c r="AH2" s="244"/>
      <c r="AI2" s="244"/>
      <c r="AJ2" s="244"/>
      <c r="AK2" s="244"/>
      <c r="AL2" s="244"/>
      <c r="AM2" s="244"/>
      <c r="AN2" s="244"/>
      <c r="AO2" s="244"/>
      <c r="AP2" s="244"/>
      <c r="AQ2" s="244"/>
      <c r="AR2" s="244"/>
      <c r="AS2" s="244"/>
      <c r="AT2" s="244"/>
      <c r="AU2" s="244"/>
      <c r="AV2" s="244"/>
      <c r="AW2" s="244"/>
      <c r="AX2" s="244"/>
      <c r="AY2" s="244"/>
    </row>
    <row r="3" ht="17.1" customHeight="1">
      <c r="A3" s="10" t="s">
        <v>181</v>
      </c>
      <c r="AD3" s="244"/>
      <c r="AE3" s="244"/>
      <c r="AF3" s="244"/>
      <c r="AG3" s="244"/>
      <c r="AH3" s="244"/>
      <c r="AI3" s="244"/>
      <c r="AJ3" s="244"/>
      <c r="AK3" s="244"/>
      <c r="AL3" s="244"/>
      <c r="AM3" s="244"/>
      <c r="AN3" s="244"/>
      <c r="AO3" s="244"/>
      <c r="AP3" s="244"/>
      <c r="AQ3" s="244"/>
      <c r="AR3" s="244"/>
      <c r="AS3" s="244"/>
      <c r="AT3" s="244"/>
      <c r="AU3" s="244"/>
      <c r="AV3" s="244"/>
      <c r="AW3" s="244"/>
      <c r="AX3" s="244"/>
      <c r="AY3" s="244"/>
    </row>
    <row r="4" ht="17.1" customHeight="1">
      <c r="A4" t="s">
        <v>182</v>
      </c>
      <c r="B4" s="442"/>
      <c r="C4" s="211"/>
      <c r="D4" s="212"/>
      <c r="E4" s="212"/>
      <c r="F4" s="212"/>
      <c r="G4" s="212"/>
      <c r="H4" s="212"/>
      <c r="I4" s="212"/>
      <c r="J4" s="212"/>
      <c r="K4" s="212"/>
      <c r="L4" s="212"/>
      <c r="M4" s="212"/>
      <c r="N4" s="212"/>
      <c r="O4" s="212"/>
      <c r="P4" s="212"/>
      <c r="Q4" s="212"/>
      <c r="R4" s="677" t="s">
        <v>184</v>
      </c>
      <c r="S4" s="677"/>
      <c r="T4" s="677"/>
      <c r="U4" s="677"/>
      <c r="V4" s="677"/>
      <c r="W4" s="677"/>
      <c r="X4" s="677"/>
      <c r="Y4" s="677"/>
      <c r="Z4" s="677"/>
      <c r="AA4" s="677"/>
      <c r="AD4" s="244"/>
      <c r="AE4" s="244"/>
      <c r="AF4" s="244"/>
      <c r="AG4" s="244"/>
      <c r="AH4" s="244"/>
      <c r="AI4" s="244"/>
      <c r="AJ4" s="244"/>
      <c r="AK4" s="244"/>
      <c r="AL4" s="244"/>
      <c r="AM4" s="244"/>
      <c r="AN4" s="244"/>
      <c r="AO4" s="244"/>
      <c r="AP4" s="244"/>
      <c r="AQ4" s="244"/>
      <c r="AR4" s="244"/>
      <c r="AS4" s="244"/>
      <c r="AT4" s="244"/>
      <c r="AU4" s="244"/>
      <c r="AV4" s="244"/>
      <c r="AW4" s="244"/>
      <c r="AX4" s="244"/>
      <c r="AY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row>
    <row r="7" ht="15.75">
      <c r="D7" s="621" t="s">
        <v>13</v>
      </c>
      <c r="E7" s="621"/>
      <c r="F7" s="621"/>
      <c r="G7" s="621"/>
      <c r="H7" s="621"/>
      <c r="I7" s="621"/>
      <c r="J7" s="621"/>
      <c r="K7" s="621"/>
      <c r="L7" s="621"/>
      <c r="M7" s="621"/>
      <c r="N7" s="621"/>
      <c r="O7" s="621"/>
      <c r="Q7" s="621" t="s">
        <v>86</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row>
    <row r="8" ht="15.75">
      <c r="D8" s="619" t="s">
        <v>21</v>
      </c>
      <c r="E8" s="619"/>
      <c r="F8" s="619"/>
      <c r="G8" s="619" t="s">
        <v>24</v>
      </c>
      <c r="H8" s="619"/>
      <c r="I8" s="619"/>
      <c r="J8" s="619" t="s">
        <v>25</v>
      </c>
      <c r="K8" s="619"/>
      <c r="L8" s="619"/>
      <c r="M8" s="619" t="s">
        <v>23</v>
      </c>
      <c r="N8" s="619"/>
      <c r="O8" s="619"/>
      <c r="Q8" s="619" t="s">
        <v>21</v>
      </c>
      <c r="R8" s="619"/>
      <c r="S8" s="619"/>
      <c r="T8" s="619" t="s">
        <v>24</v>
      </c>
      <c r="U8" s="619"/>
      <c r="V8" s="619"/>
      <c r="W8" s="619" t="s">
        <v>25</v>
      </c>
      <c r="X8" s="619"/>
      <c r="Y8" s="619"/>
      <c r="Z8" s="619" t="s">
        <v>23</v>
      </c>
      <c r="AA8" s="619"/>
      <c r="AB8" s="619"/>
      <c r="AD8" s="244"/>
      <c r="AE8" s="244"/>
      <c r="AF8" s="244"/>
      <c r="AG8" s="244"/>
      <c r="AH8" s="244"/>
      <c r="AI8" s="244"/>
      <c r="AJ8" s="244"/>
      <c r="AK8" s="244"/>
      <c r="AL8" s="244"/>
      <c r="AM8" s="244"/>
      <c r="AN8" s="244"/>
      <c r="AO8" s="244"/>
      <c r="AP8" s="244"/>
      <c r="AQ8" s="244"/>
      <c r="AR8" s="244"/>
      <c r="AS8" s="244"/>
      <c r="AT8" s="244"/>
      <c r="AU8" s="244"/>
      <c r="AV8" s="244"/>
      <c r="AW8" s="244"/>
      <c r="AX8" s="244"/>
      <c r="AY8" s="244"/>
    </row>
    <row r="9" ht="27" customHeight="1">
      <c r="A9" s="92"/>
      <c r="D9" s="339" t="s">
        <v>63</v>
      </c>
      <c r="E9" s="340" t="s">
        <v>26</v>
      </c>
      <c r="F9" s="341" t="s">
        <v>185</v>
      </c>
      <c r="G9" s="339" t="s">
        <v>63</v>
      </c>
      <c r="H9" s="340" t="s">
        <v>26</v>
      </c>
      <c r="I9" s="341" t="s">
        <v>185</v>
      </c>
      <c r="J9" s="339" t="s">
        <v>63</v>
      </c>
      <c r="K9" s="340" t="s">
        <v>26</v>
      </c>
      <c r="L9" s="341" t="s">
        <v>185</v>
      </c>
      <c r="M9" s="339" t="s">
        <v>63</v>
      </c>
      <c r="N9" s="340" t="s">
        <v>26</v>
      </c>
      <c r="O9" s="341" t="s">
        <v>185</v>
      </c>
      <c r="P9" s="96"/>
      <c r="Q9" s="339" t="s">
        <v>63</v>
      </c>
      <c r="R9" s="340" t="s">
        <v>26</v>
      </c>
      <c r="S9" s="341" t="s">
        <v>185</v>
      </c>
      <c r="T9" s="339" t="s">
        <v>63</v>
      </c>
      <c r="U9" s="340" t="s">
        <v>26</v>
      </c>
      <c r="V9" s="341" t="s">
        <v>185</v>
      </c>
      <c r="W9" s="339" t="s">
        <v>63</v>
      </c>
      <c r="X9" s="340" t="s">
        <v>26</v>
      </c>
      <c r="Y9" s="341" t="s">
        <v>185</v>
      </c>
      <c r="Z9" s="339" t="s">
        <v>63</v>
      </c>
      <c r="AA9" s="340" t="s">
        <v>26</v>
      </c>
      <c r="AB9" s="341" t="s">
        <v>185</v>
      </c>
      <c r="AD9" s="244"/>
      <c r="AE9" s="244"/>
      <c r="AF9" s="244"/>
      <c r="AG9" s="244"/>
      <c r="AH9" s="244"/>
      <c r="AI9" s="244"/>
      <c r="AJ9" s="244"/>
      <c r="AK9" s="244"/>
      <c r="AL9" s="244"/>
      <c r="AM9" s="244"/>
      <c r="AN9" s="244"/>
      <c r="AO9" s="244"/>
      <c r="AP9" s="244"/>
      <c r="AQ9" s="244"/>
      <c r="AR9" s="244"/>
      <c r="AS9" s="244"/>
      <c r="AT9" s="244"/>
      <c r="AU9" s="244"/>
      <c r="AV9" s="244"/>
      <c r="AW9" s="244"/>
      <c r="AX9" s="244"/>
      <c r="AY9" s="244"/>
    </row>
    <row r="10" ht="15.6" customHeight="1">
      <c r="A10" s="92" t="s">
        <v>186</v>
      </c>
      <c r="B10" s="342">
        <v>27</v>
      </c>
      <c r="C10" s="343" t="s">
        <v>49</v>
      </c>
      <c r="D10" s="374">
        <v>191.49242424242424242424242424</v>
      </c>
      <c r="E10" s="382">
        <v>203.30337795987513031991024185</v>
      </c>
      <c r="F10" s="375">
        <v>133.95260909591175546003296682</v>
      </c>
      <c r="G10" s="374">
        <v>11.628787878787878787878787879</v>
      </c>
      <c r="H10" s="382">
        <v>16.459777896852846446788693282</v>
      </c>
      <c r="I10" s="375">
        <v>51.461756355239667924592234302</v>
      </c>
      <c r="J10" s="374">
        <v>0</v>
      </c>
      <c r="K10" s="382">
        <v>0</v>
      </c>
      <c r="L10" s="375">
        <v>12.276073502033854480039588781</v>
      </c>
      <c r="M10" s="374">
        <v>203.12121212121212121212121212</v>
      </c>
      <c r="N10" s="382">
        <v>219.76315585672797676669893514</v>
      </c>
      <c r="O10" s="375">
        <v>197.69043895318527786466478991</v>
      </c>
      <c r="P10" s="4"/>
      <c r="Q10" s="354">
        <v>-3.4639474488060123337822436900</v>
      </c>
      <c r="R10" s="355">
        <v>45.530671082328349002528529400</v>
      </c>
      <c r="S10" s="356">
        <v>29.808571396972960551124652690</v>
      </c>
      <c r="T10" s="354">
        <v>62.262156447448252126460071560</v>
      </c>
      <c r="U10" s="355">
        <v>-55.694943612451540365056404670</v>
      </c>
      <c r="V10" s="356">
        <v>27.075522140449157322048773940</v>
      </c>
      <c r="W10" s="354">
        <v>0</v>
      </c>
      <c r="X10" s="355">
        <v>-100</v>
      </c>
      <c r="Y10" s="356">
        <v>10.568251402073019145787195620</v>
      </c>
      <c r="Z10" s="354">
        <v>-1.172134168815350860806027500</v>
      </c>
      <c r="AA10" s="355">
        <v>23.153688835775432043620138900</v>
      </c>
      <c r="AB10" s="356">
        <v>27.713503683576703737326731090</v>
      </c>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row>
    <row r="11" ht="15.6" customHeight="1">
      <c r="A11" s="92"/>
      <c r="B11" s="344">
        <v>28</v>
      </c>
      <c r="C11" s="345" t="s">
        <v>47</v>
      </c>
      <c r="D11" s="370">
        <v>222.54545454545454545454545455</v>
      </c>
      <c r="E11" s="172">
        <v>262.63188547230184512098543629</v>
      </c>
      <c r="F11" s="371">
        <v>149.42520922875742026463859114</v>
      </c>
      <c r="G11" s="370">
        <v>45.583333333333333333333333333</v>
      </c>
      <c r="H11" s="172">
        <v>37.739556928472598247843218124</v>
      </c>
      <c r="I11" s="371">
        <v>75.64727455772382959002594396</v>
      </c>
      <c r="J11" s="370">
        <v>0</v>
      </c>
      <c r="K11" s="172">
        <v>0</v>
      </c>
      <c r="L11" s="371">
        <v>13.036889584387272718581216124</v>
      </c>
      <c r="M11" s="370">
        <v>268.12878787878787878787878788</v>
      </c>
      <c r="N11" s="172">
        <v>300.3714424007744433688286544</v>
      </c>
      <c r="O11" s="371">
        <v>238.10937337086852257324575123</v>
      </c>
      <c r="P11" s="4"/>
      <c r="Q11" s="327">
        <v>36.588087599401488418200519070</v>
      </c>
      <c r="R11" s="171">
        <v>155.91375778769950680076172547</v>
      </c>
      <c r="S11" s="328">
        <v>59.865695476560695738922028450</v>
      </c>
      <c r="T11" s="327">
        <v>75.678832116583148809206910190</v>
      </c>
      <c r="U11" s="171">
        <v>2.754459910091799120210189600</v>
      </c>
      <c r="V11" s="328">
        <v>25.767103482630151124688042900</v>
      </c>
      <c r="W11" s="327">
        <v>0</v>
      </c>
      <c r="X11" s="171">
        <v>-100</v>
      </c>
      <c r="Y11" s="328">
        <v>27.069935276876150214731883740</v>
      </c>
      <c r="Z11" s="327">
        <v>41.958126102991050336845628680</v>
      </c>
      <c r="AA11" s="171">
        <v>111.66525799209540399844879030</v>
      </c>
      <c r="AB11" s="328">
        <v>45.297146233265573960991248430</v>
      </c>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row>
    <row r="12" ht="15.6" customHeight="1">
      <c r="A12" s="92"/>
      <c r="B12" s="346">
        <v>29</v>
      </c>
      <c r="C12" s="347" t="s">
        <v>48</v>
      </c>
      <c r="D12" s="378">
        <v>253.13636363636363636363636364</v>
      </c>
      <c r="E12" s="173">
        <v>279.80007122682122416883576035</v>
      </c>
      <c r="F12" s="379">
        <v>160.36538897567106852378239214</v>
      </c>
      <c r="G12" s="378">
        <v>48.909090909090909090909090909</v>
      </c>
      <c r="H12" s="173">
        <v>39.244013961949346983148750795</v>
      </c>
      <c r="I12" s="379">
        <v>83.88853562748409742219180181</v>
      </c>
      <c r="J12" s="378">
        <v>0</v>
      </c>
      <c r="K12" s="173">
        <v>0</v>
      </c>
      <c r="L12" s="379">
        <v>11.571745295708351935372902285</v>
      </c>
      <c r="M12" s="378">
        <v>302.04545454545454545454545455</v>
      </c>
      <c r="N12" s="173">
        <v>319.04408518877057115198451113</v>
      </c>
      <c r="O12" s="379">
        <v>255.82566989886351788134709624</v>
      </c>
      <c r="P12" s="4"/>
      <c r="Q12" s="359">
        <v>51.235629582681181451646044630</v>
      </c>
      <c r="R12" s="170">
        <v>215.26317829836939888114420520</v>
      </c>
      <c r="S12" s="360">
        <v>68.162842496326167826142216360</v>
      </c>
      <c r="T12" s="359">
        <v>78.737541528476727629938175050</v>
      </c>
      <c r="U12" s="170">
        <v>-5.0318843359971014151686732600</v>
      </c>
      <c r="V12" s="360">
        <v>20.687406936934949287245064270</v>
      </c>
      <c r="W12" s="359">
        <v>0</v>
      </c>
      <c r="X12" s="170">
        <v>-100</v>
      </c>
      <c r="Y12" s="360">
        <v>19.067499539445447988320046800</v>
      </c>
      <c r="Z12" s="359">
        <v>55.099976659165032285276173970</v>
      </c>
      <c r="AA12" s="170">
        <v>142.89159712983014186870517819</v>
      </c>
      <c r="AB12" s="360">
        <v>46.528777805027615288280111940</v>
      </c>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row>
    <row r="13" ht="15.6" customHeight="1">
      <c r="A13" s="92"/>
      <c r="B13" s="344">
        <v>30</v>
      </c>
      <c r="C13" s="345" t="s">
        <v>50</v>
      </c>
      <c r="D13" s="370">
        <v>202.89393939393939393939393939</v>
      </c>
      <c r="E13" s="172">
        <v>260.17560025647976245823951273</v>
      </c>
      <c r="F13" s="371">
        <v>146.58207556548342736129259076</v>
      </c>
      <c r="G13" s="370">
        <v>52.234848484848484848484848485</v>
      </c>
      <c r="H13" s="172">
        <v>49.34954011138083773537132947</v>
      </c>
      <c r="I13" s="371">
        <v>82.56976677140563224897558409</v>
      </c>
      <c r="J13" s="370">
        <v>0</v>
      </c>
      <c r="K13" s="172">
        <v>0</v>
      </c>
      <c r="L13" s="371">
        <v>11.046781372838810267742460107</v>
      </c>
      <c r="M13" s="370">
        <v>255.12878787878787878787878788</v>
      </c>
      <c r="N13" s="172">
        <v>309.52514036786060019361084221</v>
      </c>
      <c r="O13" s="371">
        <v>240.19862370972786987801063497</v>
      </c>
      <c r="P13" s="4"/>
      <c r="Q13" s="327">
        <v>37.668345841460868235152342070</v>
      </c>
      <c r="R13" s="171">
        <v>131.87282826071241036589694345</v>
      </c>
      <c r="S13" s="328">
        <v>34.153842367169828520614152920</v>
      </c>
      <c r="T13" s="327">
        <v>40.370521172718452251482819970</v>
      </c>
      <c r="U13" s="171">
        <v>5.9857593362886321777258754700</v>
      </c>
      <c r="V13" s="328">
        <v>81.85404452764313349064229845</v>
      </c>
      <c r="W13" s="327">
        <v>0</v>
      </c>
      <c r="X13" s="171">
        <v>-100</v>
      </c>
      <c r="Y13" s="328">
        <v>-0.6063016828824075673864626300</v>
      </c>
      <c r="Z13" s="327">
        <v>38.213083805309277505563751590</v>
      </c>
      <c r="AA13" s="171">
        <v>93.78390458787800367600108762</v>
      </c>
      <c r="AB13" s="328">
        <v>44.887587629909773282147040240</v>
      </c>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row>
    <row r="14" ht="15.6" customHeight="1">
      <c r="A14" s="92" t="s">
        <v>183</v>
      </c>
      <c r="B14" s="668">
        <v>1</v>
      </c>
      <c r="C14" s="679" t="s">
        <v>51</v>
      </c>
      <c r="D14" s="680">
        <v>215.85606060606060606060606061</v>
      </c>
      <c r="E14" s="681">
        <v>234.59389106103772775134636552</v>
      </c>
      <c r="F14" s="682">
        <v>159.39876623164241542697408547</v>
      </c>
      <c r="G14" s="680">
        <v>63.189393939393939393939393939</v>
      </c>
      <c r="H14" s="681">
        <v>41.110271572069726266078610294</v>
      </c>
      <c r="I14" s="682">
        <v>72.924820914415531129375365373</v>
      </c>
      <c r="J14" s="680">
        <v>0</v>
      </c>
      <c r="K14" s="681">
        <v>0</v>
      </c>
      <c r="L14" s="682">
        <v>12.922372607878035093113587422</v>
      </c>
      <c r="M14" s="680">
        <v>279.04545454545454545454545455</v>
      </c>
      <c r="N14" s="681">
        <v>275.7041626331074540174249758</v>
      </c>
      <c r="O14" s="682">
        <v>245.24595975393598164946303827</v>
      </c>
      <c r="P14" s="4"/>
      <c r="Q14" s="670">
        <v>34.546914104940402917970055110</v>
      </c>
      <c r="R14" s="671">
        <v>22.327989148289324111202797470</v>
      </c>
      <c r="S14" s="672">
        <v>0.3635190429523231722759920300</v>
      </c>
      <c r="T14" s="670">
        <v>-61.890620002739960364417334120</v>
      </c>
      <c r="U14" s="671">
        <v>-35.525312422526354967099960310</v>
      </c>
      <c r="V14" s="672">
        <v>33.523347706032949891391556120</v>
      </c>
      <c r="W14" s="670">
        <v>0</v>
      </c>
      <c r="X14" s="671">
        <v>-100</v>
      </c>
      <c r="Y14" s="672">
        <v>36.049881616238781005782984520</v>
      </c>
      <c r="Z14" s="670">
        <v>-14.466840052009248882782984150</v>
      </c>
      <c r="AA14" s="671">
        <v>7.4223058124319666968106507100</v>
      </c>
      <c r="AB14" s="672">
        <v>10.007603173137288004010262340</v>
      </c>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row>
    <row r="15" ht="15.6" customHeight="1">
      <c r="A15" s="92"/>
      <c r="B15" s="344">
        <v>2</v>
      </c>
      <c r="C15" s="345" t="s">
        <v>52</v>
      </c>
      <c r="D15" s="370">
        <v>300.97727272727272727272727273</v>
      </c>
      <c r="E15" s="172">
        <v>352.56147144240077444336882865</v>
      </c>
      <c r="F15" s="371">
        <v>223.08763349463664102146035157</v>
      </c>
      <c r="G15" s="370">
        <v>106.42424242424242424242424242</v>
      </c>
      <c r="H15" s="172">
        <v>31.117134559535333978702807357</v>
      </c>
      <c r="I15" s="371">
        <v>69.472486371242932518145865532</v>
      </c>
      <c r="J15" s="370">
        <v>0</v>
      </c>
      <c r="K15" s="172">
        <v>0</v>
      </c>
      <c r="L15" s="371">
        <v>13.504836864388386005800935441</v>
      </c>
      <c r="M15" s="370">
        <v>407.40151515151515151515151515</v>
      </c>
      <c r="N15" s="172">
        <v>383.67860600193610842207163601</v>
      </c>
      <c r="O15" s="371">
        <v>306.06495673026795954540715254</v>
      </c>
      <c r="P15" s="4"/>
      <c r="Q15" s="327">
        <v>66.683448709863644209066344760</v>
      </c>
      <c r="R15" s="171">
        <v>19.141143316208711098631624170</v>
      </c>
      <c r="S15" s="328">
        <v>-3.6924058192744684689746622400</v>
      </c>
      <c r="T15" s="327">
        <v>-58.044380730521469006454719540</v>
      </c>
      <c r="U15" s="171">
        <v>-63.586578136251848456361691820</v>
      </c>
      <c r="V15" s="328">
        <v>2.1708165998125189855459625600</v>
      </c>
      <c r="W15" s="327">
        <v>0</v>
      </c>
      <c r="X15" s="171">
        <v>-100</v>
      </c>
      <c r="Y15" s="328">
        <v>14.544866377260768381448896050</v>
      </c>
      <c r="Z15" s="327">
        <v>-6.1778149970399832489970106400</v>
      </c>
      <c r="AA15" s="171">
        <v>-0.1070256663974167284025876200</v>
      </c>
      <c r="AB15" s="328">
        <v>-1.7218151039373928131228459600</v>
      </c>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row>
    <row r="16" ht="15.6" customHeight="1">
      <c r="A16" s="92"/>
      <c r="B16" s="346">
        <v>3</v>
      </c>
      <c r="C16" s="347" t="s">
        <v>53</v>
      </c>
      <c r="D16" s="378">
        <v>302.75757575757575757575757576</v>
      </c>
      <c r="E16" s="173">
        <v>362.53110125912603012414048463</v>
      </c>
      <c r="F16" s="379">
        <v>249.53369738311861217306500905</v>
      </c>
      <c r="G16" s="378">
        <v>103.09848484848484848484848485</v>
      </c>
      <c r="H16" s="173">
        <v>26.869285962558384203061838719</v>
      </c>
      <c r="I16" s="379">
        <v>66.487890845078568048099205446</v>
      </c>
      <c r="J16" s="378">
        <v>0</v>
      </c>
      <c r="K16" s="173">
        <v>0</v>
      </c>
      <c r="L16" s="379">
        <v>13.551970316271592586676469491</v>
      </c>
      <c r="M16" s="378">
        <v>405.85606060606060606060606061</v>
      </c>
      <c r="N16" s="173">
        <v>389.40038722168441432720232333</v>
      </c>
      <c r="O16" s="379">
        <v>329.57355854446877280784068397</v>
      </c>
      <c r="P16" s="4"/>
      <c r="Q16" s="359">
        <v>62.415670974551129854296941340</v>
      </c>
      <c r="R16" s="170">
        <v>30.787438866398779985500707330</v>
      </c>
      <c r="S16" s="360">
        <v>9.876557019952131025462208140</v>
      </c>
      <c r="T16" s="359">
        <v>-59.572824763088686753086389190</v>
      </c>
      <c r="U16" s="170">
        <v>-67.407308576914061706638428250</v>
      </c>
      <c r="V16" s="360">
        <v>-8.151529702983414510697947220</v>
      </c>
      <c r="W16" s="359">
        <v>0</v>
      </c>
      <c r="X16" s="170">
        <v>-100</v>
      </c>
      <c r="Y16" s="360">
        <v>50.064545411794389158880112280</v>
      </c>
      <c r="Z16" s="359">
        <v>-8.059173831707757847520913330</v>
      </c>
      <c r="AA16" s="170">
        <v>7.6087383676183974453436476200</v>
      </c>
      <c r="AB16" s="360">
        <v>6.8229731232574810400620509200</v>
      </c>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row>
    <row r="17" ht="15.6" customHeight="1">
      <c r="A17" s="92"/>
      <c r="B17" s="344">
        <v>4</v>
      </c>
      <c r="C17" s="345" t="s">
        <v>49</v>
      </c>
      <c r="D17" s="370">
        <v>190.21969696969696969696969697</v>
      </c>
      <c r="E17" s="172">
        <v>194.60186154758706072057631218</v>
      </c>
      <c r="F17" s="371">
        <v>146.40168327891196713096529528</v>
      </c>
      <c r="G17" s="370">
        <v>93.12121212121212121212121212</v>
      </c>
      <c r="H17" s="172">
        <v>30.191633128114778582424655883</v>
      </c>
      <c r="I17" s="371">
        <v>55.985503468557444278825113919</v>
      </c>
      <c r="J17" s="370">
        <v>0</v>
      </c>
      <c r="K17" s="172">
        <v>0</v>
      </c>
      <c r="L17" s="371">
        <v>13.848242300596483700208548166</v>
      </c>
      <c r="M17" s="370">
        <v>283.34090909090909090909090909</v>
      </c>
      <c r="N17" s="172">
        <v>224.79349467570183930300096805</v>
      </c>
      <c r="O17" s="371">
        <v>216.23542904806589510999895736</v>
      </c>
      <c r="P17" s="4"/>
      <c r="Q17" s="327">
        <v>-0.8019911504550187116118261700</v>
      </c>
      <c r="R17" s="171">
        <v>-6.651880891783656362335109600</v>
      </c>
      <c r="S17" s="328">
        <v>-7.1449335130798358902718252700</v>
      </c>
      <c r="T17" s="327">
        <v>-44.170413771192032407565646900</v>
      </c>
      <c r="U17" s="171">
        <v>-59.416129805066408094187103120</v>
      </c>
      <c r="V17" s="328">
        <v>-10.509863668396168681956858280</v>
      </c>
      <c r="W17" s="327">
        <v>0</v>
      </c>
      <c r="X17" s="171">
        <v>-100</v>
      </c>
      <c r="Y17" s="328">
        <v>19.334671228825166308687491540</v>
      </c>
      <c r="Z17" s="327">
        <v>-20.976568277370827743521086090</v>
      </c>
      <c r="AA17" s="171">
        <v>-21.328608273146758349319679810</v>
      </c>
      <c r="AB17" s="328">
        <v>-6.7275109875757559529966191900</v>
      </c>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row>
    <row r="18" ht="15.6" customHeight="1">
      <c r="A18" s="92"/>
      <c r="B18" s="346">
        <v>5</v>
      </c>
      <c r="C18" s="347" t="s">
        <v>47</v>
      </c>
      <c r="D18" s="378">
        <v>123.35606060606060606060606061</v>
      </c>
      <c r="E18" s="173">
        <v>101.91871288275958520142581112</v>
      </c>
      <c r="F18" s="379">
        <v>93.05056528922706787310713393</v>
      </c>
      <c r="G18" s="378">
        <v>0</v>
      </c>
      <c r="H18" s="173">
        <v>32.150057688392399309706812305</v>
      </c>
      <c r="I18" s="379">
        <v>39.732314652579118072770280111</v>
      </c>
      <c r="J18" s="378">
        <v>0</v>
      </c>
      <c r="K18" s="173">
        <v>0</v>
      </c>
      <c r="L18" s="379">
        <v>10.14611599188164639694398102</v>
      </c>
      <c r="M18" s="378">
        <v>123.35606060606060606060606061</v>
      </c>
      <c r="N18" s="173">
        <v>134.06877057115198451113262343</v>
      </c>
      <c r="O18" s="379">
        <v>142.92899593368783234282139506</v>
      </c>
      <c r="P18" s="4"/>
      <c r="Q18" s="359">
        <v>-10.606642876734226805226766370</v>
      </c>
      <c r="R18" s="170">
        <v>-28.012143469071810517797610790</v>
      </c>
      <c r="S18" s="360">
        <v>-11.707887430946107994092906140</v>
      </c>
      <c r="T18" s="359">
        <v>0</v>
      </c>
      <c r="U18" s="170">
        <v>50.980023471960016632924422660</v>
      </c>
      <c r="V18" s="360">
        <v>-13.143681171415708818025840140</v>
      </c>
      <c r="W18" s="359">
        <v>0</v>
      </c>
      <c r="X18" s="170">
        <v>-100</v>
      </c>
      <c r="Y18" s="360">
        <v>12.189332432341364010204499850</v>
      </c>
      <c r="Z18" s="359">
        <v>-10.606642876734226805226766370</v>
      </c>
      <c r="AA18" s="170">
        <v>-18.841269337124650907674679260</v>
      </c>
      <c r="AB18" s="360">
        <v>-10.768681830547460904920805670</v>
      </c>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row>
    <row r="19" ht="15.6" customHeight="1">
      <c r="A19" s="92"/>
      <c r="B19" s="344">
        <v>6</v>
      </c>
      <c r="C19" s="345" t="s">
        <v>48</v>
      </c>
      <c r="D19" s="370">
        <v>89.17424242424242424242424242</v>
      </c>
      <c r="E19" s="172">
        <v>109.29977068673126895850795364</v>
      </c>
      <c r="F19" s="371">
        <v>91.25026749668811000570701483</v>
      </c>
      <c r="G19" s="370">
        <v>0</v>
      </c>
      <c r="H19" s="172">
        <v>39.945669777934752338684689159</v>
      </c>
      <c r="I19" s="371">
        <v>35.310147742176975847988007712</v>
      </c>
      <c r="J19" s="370">
        <v>0</v>
      </c>
      <c r="K19" s="172">
        <v>0</v>
      </c>
      <c r="L19" s="371">
        <v>11.373585386721401478178608998</v>
      </c>
      <c r="M19" s="370">
        <v>89.17424242424242424242424242</v>
      </c>
      <c r="N19" s="172">
        <v>149.24544046466602129719264279</v>
      </c>
      <c r="O19" s="371">
        <v>137.93400062558648733187363153</v>
      </c>
      <c r="P19" s="4"/>
      <c r="Q19" s="327">
        <v>-42.358356593685625098651491790</v>
      </c>
      <c r="R19" s="171">
        <v>-20.348468672846839325091830660</v>
      </c>
      <c r="S19" s="328">
        <v>-16.449229123794272086769483510</v>
      </c>
      <c r="T19" s="327">
        <v>-100</v>
      </c>
      <c r="U19" s="171">
        <v>99.19836986994697803409309754</v>
      </c>
      <c r="V19" s="328">
        <v>-28.538605184255225037969385810</v>
      </c>
      <c r="W19" s="327">
        <v>0</v>
      </c>
      <c r="X19" s="171">
        <v>-100</v>
      </c>
      <c r="Y19" s="328">
        <v>28.272190311635899284073876290</v>
      </c>
      <c r="Z19" s="327">
        <v>-45.818181818170844649021861990</v>
      </c>
      <c r="AA19" s="171">
        <v>-5.9653283662901272666959499400</v>
      </c>
      <c r="AB19" s="328">
        <v>-17.648201360369589279459656310</v>
      </c>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row>
    <row r="20" ht="15.6" customHeight="1">
      <c r="A20" s="92"/>
      <c r="B20" s="346">
        <v>7</v>
      </c>
      <c r="C20" s="347" t="s">
        <v>50</v>
      </c>
      <c r="D20" s="378">
        <v>124.84848484848484848484848485</v>
      </c>
      <c r="E20" s="173">
        <v>119.43756050338818973862536302</v>
      </c>
      <c r="F20" s="379">
        <v>105.49707796438322702882589446</v>
      </c>
      <c r="G20" s="378">
        <v>28.575757575757575757575757576</v>
      </c>
      <c r="H20" s="173">
        <v>28.972894482090997095837366893</v>
      </c>
      <c r="I20" s="379">
        <v>35.421205460498390014578751654</v>
      </c>
      <c r="J20" s="378">
        <v>0</v>
      </c>
      <c r="K20" s="173">
        <v>0</v>
      </c>
      <c r="L20" s="379">
        <v>11.031356862888167129257224396</v>
      </c>
      <c r="M20" s="378">
        <v>153.42424242424242424242424242</v>
      </c>
      <c r="N20" s="173">
        <v>148.41045498547918683446272991</v>
      </c>
      <c r="O20" s="379">
        <v>151.9496402877697841726618705</v>
      </c>
      <c r="P20" s="4"/>
      <c r="Q20" s="359">
        <v>-19.060949855115171160552035750</v>
      </c>
      <c r="R20" s="170">
        <v>-9.080205579054669814425539440</v>
      </c>
      <c r="S20" s="360">
        <v>-7.2218036423256350296026614200</v>
      </c>
      <c r="T20" s="359">
        <v>4.1701187517950865189186159100</v>
      </c>
      <c r="U20" s="170">
        <v>41.870577529153615978981749180</v>
      </c>
      <c r="V20" s="360">
        <v>-28.704560406265792248341108880</v>
      </c>
      <c r="W20" s="359">
        <v>0</v>
      </c>
      <c r="X20" s="170">
        <v>-100</v>
      </c>
      <c r="Y20" s="360">
        <v>42.610266515030846767903189460</v>
      </c>
      <c r="Z20" s="359">
        <v>-15.553331665407277457926652390</v>
      </c>
      <c r="AA20" s="170">
        <v>-3.0413635075644994566142662900</v>
      </c>
      <c r="AB20" s="360">
        <v>-11.206256959020344157826096150</v>
      </c>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row>
    <row r="21" ht="15.6" customHeight="1">
      <c r="A21" s="92"/>
      <c r="B21" s="344">
        <v>8</v>
      </c>
      <c r="C21" s="345" t="s">
        <v>51</v>
      </c>
      <c r="D21" s="370">
        <v>148.98484848484848484848484848</v>
      </c>
      <c r="E21" s="172">
        <v>150.83939043593234793918521345</v>
      </c>
      <c r="F21" s="371">
        <v>139.4799781311516103472950414</v>
      </c>
      <c r="G21" s="370">
        <v>29.492424242424242424242424242</v>
      </c>
      <c r="H21" s="172">
        <v>16.165546640543934732644409014</v>
      </c>
      <c r="I21" s="371">
        <v>26.621343032994391027490229068</v>
      </c>
      <c r="J21" s="370">
        <v>0</v>
      </c>
      <c r="K21" s="172">
        <v>0</v>
      </c>
      <c r="L21" s="371">
        <v>11.328978074723772371435144502</v>
      </c>
      <c r="M21" s="370">
        <v>178.47727272727272727272727273</v>
      </c>
      <c r="N21" s="172">
        <v>167.00493707647628267182962246</v>
      </c>
      <c r="O21" s="371">
        <v>177.43029923886977374622041497</v>
      </c>
      <c r="P21" s="4"/>
      <c r="Q21" s="327">
        <v>0.2651167533455857112319779100</v>
      </c>
      <c r="R21" s="171">
        <v>14.152583080946078272959478770</v>
      </c>
      <c r="S21" s="328">
        <v>7.9134386195221202026307383400</v>
      </c>
      <c r="T21" s="327">
        <v>16.661672160637298372449581930</v>
      </c>
      <c r="U21" s="171">
        <v>320.41828805272739366691559279</v>
      </c>
      <c r="V21" s="328">
        <v>-8.778883650892762458142384120</v>
      </c>
      <c r="W21" s="327">
        <v>0</v>
      </c>
      <c r="X21" s="171">
        <v>-100</v>
      </c>
      <c r="Y21" s="328">
        <v>48.911034356387818116103335830</v>
      </c>
      <c r="Z21" s="327">
        <v>2.6491220426196783841779526600</v>
      </c>
      <c r="AA21" s="171">
        <v>21.953152304325845663617603780</v>
      </c>
      <c r="AB21" s="328">
        <v>6.8580951107555178857711238500</v>
      </c>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row>
    <row r="22" ht="15.6" customHeight="1">
      <c r="A22" s="92"/>
      <c r="B22" s="346">
        <v>9</v>
      </c>
      <c r="C22" s="347" t="s">
        <v>52</v>
      </c>
      <c r="D22" s="378">
        <v>181.51515151515151515151515152</v>
      </c>
      <c r="E22" s="173">
        <v>179.52952565343659244917715392</v>
      </c>
      <c r="F22" s="379">
        <v>153.86516356807570118355962128</v>
      </c>
      <c r="G22" s="378">
        <v>39.128787878787878787878787879</v>
      </c>
      <c r="H22" s="173">
        <v>21.688286544046466602129719264</v>
      </c>
      <c r="I22" s="379">
        <v>13.59978155794853550984791616</v>
      </c>
      <c r="J22" s="378">
        <v>0</v>
      </c>
      <c r="K22" s="173">
        <v>0</v>
      </c>
      <c r="L22" s="379">
        <v>11.313075935387503479671390731</v>
      </c>
      <c r="M22" s="378">
        <v>220.64393939393939393939393939</v>
      </c>
      <c r="N22" s="173">
        <v>201.21781219748305905130687318</v>
      </c>
      <c r="O22" s="379">
        <v>178.77802106141174017307892816</v>
      </c>
      <c r="P22" s="4"/>
      <c r="Q22" s="359">
        <v>-18.018202969961622464806543690</v>
      </c>
      <c r="R22" s="170">
        <v>-7.39482535222485051764150900</v>
      </c>
      <c r="S22" s="360">
        <v>-3.7109600876185630853517764100</v>
      </c>
      <c r="T22" s="359">
        <v>-23.797580407222249164825251620</v>
      </c>
      <c r="U22" s="170">
        <v>548.63891223053324895320466383</v>
      </c>
      <c r="V22" s="360">
        <v>-19.379725350219364184303316830</v>
      </c>
      <c r="W22" s="359">
        <v>0</v>
      </c>
      <c r="X22" s="170">
        <v>-100</v>
      </c>
      <c r="Y22" s="360">
        <v>16.654299602506428244145111310</v>
      </c>
      <c r="Z22" s="359">
        <v>-19.106210421071515946190772450</v>
      </c>
      <c r="AA22" s="170">
        <v>0.9695276124487347809447863200</v>
      </c>
      <c r="AB22" s="360">
        <v>-4.0694779780098420630609922800</v>
      </c>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row>
    <row r="23" ht="15.6" customHeight="1">
      <c r="A23" s="92"/>
      <c r="B23" s="344">
        <v>10</v>
      </c>
      <c r="C23" s="345" t="s">
        <v>53</v>
      </c>
      <c r="D23" s="370">
        <v>186.31818181818181818181818182</v>
      </c>
      <c r="E23" s="172">
        <v>166.65246853823814133591481123</v>
      </c>
      <c r="F23" s="371">
        <v>148.48876583993888062565971698</v>
      </c>
      <c r="G23" s="370">
        <v>38.689393939393939393939393939</v>
      </c>
      <c r="H23" s="172">
        <v>19.624394966118102613746369797</v>
      </c>
      <c r="I23" s="371">
        <v>10.871255210766733244570429754</v>
      </c>
      <c r="J23" s="370">
        <v>0</v>
      </c>
      <c r="K23" s="172">
        <v>0</v>
      </c>
      <c r="L23" s="371">
        <v>12.629761036667965527121537132</v>
      </c>
      <c r="M23" s="370">
        <v>225.00757575757575757575757576</v>
      </c>
      <c r="N23" s="172">
        <v>186.27686350435624394966118103</v>
      </c>
      <c r="O23" s="371">
        <v>171.98978208737357939735168387</v>
      </c>
      <c r="P23" s="4"/>
      <c r="Q23" s="327">
        <v>-4.9801027701418657980986989200</v>
      </c>
      <c r="R23" s="171">
        <v>-18.213104500091488568559707320</v>
      </c>
      <c r="S23" s="328">
        <v>-1.6127118572907976736037587800</v>
      </c>
      <c r="T23" s="327">
        <v>28.769541099149617436562053020</v>
      </c>
      <c r="U23" s="171">
        <v>790.29641095444482379856094003</v>
      </c>
      <c r="V23" s="328">
        <v>-30.134893857468505839296058750</v>
      </c>
      <c r="W23" s="327">
        <v>0</v>
      </c>
      <c r="X23" s="171">
        <v>-100</v>
      </c>
      <c r="Y23" s="328">
        <v>35.411537219174844162752277510</v>
      </c>
      <c r="Z23" s="327">
        <v>-0.4958290060021845513615329300</v>
      </c>
      <c r="AA23" s="171">
        <v>-10.048818140271918685603664400</v>
      </c>
      <c r="AB23" s="328">
        <v>-2.1729300556385082744836692600</v>
      </c>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row>
    <row r="24" ht="15.6" customHeight="1">
      <c r="A24" s="92"/>
      <c r="B24" s="346">
        <v>11</v>
      </c>
      <c r="C24" s="347" t="s">
        <v>49</v>
      </c>
      <c r="D24" s="378">
        <v>94.45454545454545454545454545</v>
      </c>
      <c r="E24" s="173">
        <v>93.64597660130442928337488247</v>
      </c>
      <c r="F24" s="379">
        <v>77.896279628045106962828178144</v>
      </c>
      <c r="G24" s="378">
        <v>2.2196969696969696969696969697</v>
      </c>
      <c r="H24" s="173">
        <v>17.747208297049878557864226927</v>
      </c>
      <c r="I24" s="379">
        <v>11.650120747107890479177804484</v>
      </c>
      <c r="J24" s="378">
        <v>0</v>
      </c>
      <c r="K24" s="173">
        <v>0</v>
      </c>
      <c r="L24" s="379">
        <v>11.579342508800709157931458726</v>
      </c>
      <c r="M24" s="378">
        <v>96.67424242424242424242424242</v>
      </c>
      <c r="N24" s="173">
        <v>111.39318489835430784123910939</v>
      </c>
      <c r="O24" s="379">
        <v>101.12574288395370659993744135</v>
      </c>
      <c r="P24" s="4"/>
      <c r="Q24" s="359">
        <v>-27.738495421339843965873406260</v>
      </c>
      <c r="R24" s="170">
        <v>-26.973741195476021546073805370</v>
      </c>
      <c r="S24" s="360">
        <v>-11.655885695107062040090068400</v>
      </c>
      <c r="T24" s="359">
        <v>0</v>
      </c>
      <c r="U24" s="170">
        <v>155.11955103193952308332299025</v>
      </c>
      <c r="V24" s="360">
        <v>-24.218361954635522175959891980</v>
      </c>
      <c r="W24" s="359">
        <v>0</v>
      </c>
      <c r="X24" s="170">
        <v>-100</v>
      </c>
      <c r="Y24" s="360">
        <v>20.303413967047251890936654640</v>
      </c>
      <c r="Z24" s="359">
        <v>-26.040338472226319285251085760</v>
      </c>
      <c r="AA24" s="170">
        <v>-18.183985487866004799484816470</v>
      </c>
      <c r="AB24" s="360">
        <v>-10.644280090254273576497679370</v>
      </c>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row>
    <row r="25" ht="15.6" customHeight="1">
      <c r="A25" s="92"/>
      <c r="B25" s="344">
        <v>12</v>
      </c>
      <c r="C25" s="345" t="s">
        <v>47</v>
      </c>
      <c r="D25" s="370">
        <v>80.35606060606060606060606061</v>
      </c>
      <c r="E25" s="172">
        <v>91.30052604894158040880378629</v>
      </c>
      <c r="F25" s="371">
        <v>79.97164066836583935065754943</v>
      </c>
      <c r="G25" s="370">
        <v>14.083333333333333333333333333</v>
      </c>
      <c r="H25" s="172">
        <v>19.888767271484363444051973634</v>
      </c>
      <c r="I25" s="371">
        <v>29.215423269267625276124338687</v>
      </c>
      <c r="J25" s="370">
        <v>0</v>
      </c>
      <c r="K25" s="172">
        <v>0</v>
      </c>
      <c r="L25" s="371">
        <v>10.971522236905165338810855079</v>
      </c>
      <c r="M25" s="370">
        <v>94.43939393939393939393939394</v>
      </c>
      <c r="N25" s="172">
        <v>111.18929332042594385285575992</v>
      </c>
      <c r="O25" s="371">
        <v>120.1585861745386299655927432</v>
      </c>
      <c r="P25" s="4"/>
      <c r="Q25" s="327">
        <v>-34.342308882718363164182169720</v>
      </c>
      <c r="R25" s="171">
        <v>-24.483358579111921220900855530</v>
      </c>
      <c r="S25" s="328">
        <v>-8.558885465510543655969847310</v>
      </c>
      <c r="T25" s="327">
        <v>0</v>
      </c>
      <c r="U25" s="171">
        <v>1.4422872853490368673419675100</v>
      </c>
      <c r="V25" s="328">
        <v>5.696651218201417255205075900</v>
      </c>
      <c r="W25" s="327">
        <v>0</v>
      </c>
      <c r="X25" s="171">
        <v>-100</v>
      </c>
      <c r="Y25" s="328">
        <v>16.524782081086674767354557200</v>
      </c>
      <c r="Z25" s="327">
        <v>-22.835035592718687207004329950</v>
      </c>
      <c r="AA25" s="171">
        <v>-21.313021887607218123277778530</v>
      </c>
      <c r="AB25" s="328">
        <v>-3.4974803577480574960295121300</v>
      </c>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row>
    <row r="26" ht="15.6" customHeight="1">
      <c r="A26" s="92"/>
      <c r="B26" s="346">
        <v>13</v>
      </c>
      <c r="C26" s="347" t="s">
        <v>48</v>
      </c>
      <c r="D26" s="378">
        <v>96.90151515151515151515151515</v>
      </c>
      <c r="E26" s="173">
        <v>112.65640503188246438016313357</v>
      </c>
      <c r="F26" s="379">
        <v>90.59373618838183012887214053</v>
      </c>
      <c r="G26" s="378">
        <v>14.083333333333333333333333333</v>
      </c>
      <c r="H26" s="173">
        <v>23.078425558630604351685849969</v>
      </c>
      <c r="I26" s="379">
        <v>36.631475274316674430060545716</v>
      </c>
      <c r="J26" s="378">
        <v>0</v>
      </c>
      <c r="K26" s="173">
        <v>0</v>
      </c>
      <c r="L26" s="379">
        <v>8.777290883250822935593431996</v>
      </c>
      <c r="M26" s="378">
        <v>110.98484848484848484848484848</v>
      </c>
      <c r="N26" s="173">
        <v>135.73483059051306873184898354</v>
      </c>
      <c r="O26" s="379">
        <v>136.00250234594932749452611824</v>
      </c>
      <c r="P26" s="4"/>
      <c r="Q26" s="359">
        <v>-23.001444738752347526518329840</v>
      </c>
      <c r="R26" s="170">
        <v>-14.173966536460178148026607510</v>
      </c>
      <c r="S26" s="360">
        <v>-7.5622807847893757553814919100</v>
      </c>
      <c r="T26" s="359">
        <v>0</v>
      </c>
      <c r="U26" s="170">
        <v>-30.900498057374764810030539630</v>
      </c>
      <c r="V26" s="360">
        <v>1.2618339853655068891696089600</v>
      </c>
      <c r="W26" s="359">
        <v>0</v>
      </c>
      <c r="X26" s="170">
        <v>-100</v>
      </c>
      <c r="Y26" s="360">
        <v>-4.7767801033501563730100865800</v>
      </c>
      <c r="Z26" s="359">
        <v>-11.810739224667492085332931920</v>
      </c>
      <c r="AA26" s="170">
        <v>-18.201481372916564430714004410</v>
      </c>
      <c r="AB26" s="360">
        <v>-5.1571663656474051223065020500</v>
      </c>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row>
    <row r="27" ht="15.6" customHeight="1">
      <c r="A27" s="92"/>
      <c r="B27" s="344">
        <v>14</v>
      </c>
      <c r="C27" s="345" t="s">
        <v>50</v>
      </c>
      <c r="D27" s="370">
        <v>94.71212121212121212121212121</v>
      </c>
      <c r="E27" s="172">
        <v>111.50548589422503982820045277</v>
      </c>
      <c r="F27" s="371">
        <v>93.50611436608598334297053513</v>
      </c>
      <c r="G27" s="370">
        <v>14.083333333333333333333333333</v>
      </c>
      <c r="H27" s="172">
        <v>22.091029110615231226978637256</v>
      </c>
      <c r="I27" s="371">
        <v>48.21666853636793400073540042</v>
      </c>
      <c r="J27" s="370">
        <v>0</v>
      </c>
      <c r="K27" s="172">
        <v>0</v>
      </c>
      <c r="L27" s="371">
        <v>11.103095525238711162185003871</v>
      </c>
      <c r="M27" s="370">
        <v>108.79545454545454545454545455</v>
      </c>
      <c r="N27" s="172">
        <v>133.59651500484027105517909003</v>
      </c>
      <c r="O27" s="371">
        <v>152.82587842769262850589093942</v>
      </c>
      <c r="P27" s="4"/>
      <c r="Q27" s="327">
        <v>-26.333156561203040505818933050</v>
      </c>
      <c r="R27" s="171">
        <v>-8.685632229647262365583576740</v>
      </c>
      <c r="S27" s="328">
        <v>-8.172721946123898917288563270</v>
      </c>
      <c r="T27" s="327">
        <v>0</v>
      </c>
      <c r="U27" s="171">
        <v>-9.580903399934823811374279390</v>
      </c>
      <c r="V27" s="328">
        <v>25.855862951152973548206354640</v>
      </c>
      <c r="W27" s="327">
        <v>0</v>
      </c>
      <c r="X27" s="171">
        <v>-100</v>
      </c>
      <c r="Y27" s="328">
        <v>13.253590025554367648573095410</v>
      </c>
      <c r="Z27" s="327">
        <v>-15.379176241836255375465181360</v>
      </c>
      <c r="AA27" s="171">
        <v>-9.329039809016858545765043770</v>
      </c>
      <c r="AB27" s="328">
        <v>1.9226329089460669425930896600</v>
      </c>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row>
    <row r="28" ht="15.6" customHeight="1">
      <c r="A28" s="92"/>
      <c r="B28" s="346">
        <v>15</v>
      </c>
      <c r="C28" s="347" t="s">
        <v>51</v>
      </c>
      <c r="D28" s="378">
        <v>122.47727272727272727272727273</v>
      </c>
      <c r="E28" s="173">
        <v>134.70154353865262420602376361</v>
      </c>
      <c r="F28" s="379">
        <v>107.851813425948113330114814</v>
      </c>
      <c r="G28" s="378">
        <v>14.083333333333333333333333333</v>
      </c>
      <c r="H28" s="173">
        <v>10.790876596874965338990757206</v>
      </c>
      <c r="I28" s="379">
        <v>40.42784170435134660358995541</v>
      </c>
      <c r="J28" s="378">
        <v>0</v>
      </c>
      <c r="K28" s="173">
        <v>0</v>
      </c>
      <c r="L28" s="379">
        <v>11.984759425012811987888390848</v>
      </c>
      <c r="M28" s="378">
        <v>136.56060606060606060606060606</v>
      </c>
      <c r="N28" s="173">
        <v>145.49242013552758954501452081</v>
      </c>
      <c r="O28" s="379">
        <v>160.26441455531227192159316025</v>
      </c>
      <c r="P28" s="4"/>
      <c r="Q28" s="359">
        <v>-19.430878102288230956849663870</v>
      </c>
      <c r="R28" s="170">
        <v>-11.099780669395959314439644840</v>
      </c>
      <c r="S28" s="360">
        <v>-6.2412661253418543978335219100</v>
      </c>
      <c r="T28" s="359">
        <v>0</v>
      </c>
      <c r="U28" s="170">
        <v>-34.847332851567037946292870220</v>
      </c>
      <c r="V28" s="360">
        <v>15.485215313712714894309019150</v>
      </c>
      <c r="W28" s="359">
        <v>0</v>
      </c>
      <c r="X28" s="170">
        <v>-100</v>
      </c>
      <c r="Y28" s="360">
        <v>35.940906964128043038834758450</v>
      </c>
      <c r="Z28" s="359">
        <v>-10.166450712676912923125628810</v>
      </c>
      <c r="AA28" s="170">
        <v>-14.576305924960378166613468900</v>
      </c>
      <c r="AB28" s="360">
        <v>0.887669606700246792140869300</v>
      </c>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row>
    <row r="29" ht="15.6" customHeight="1">
      <c r="A29" s="92"/>
      <c r="B29" s="344">
        <v>16</v>
      </c>
      <c r="C29" s="345" t="s">
        <v>52</v>
      </c>
      <c r="D29" s="370">
        <v>224.74242424242424242424242424</v>
      </c>
      <c r="E29" s="172">
        <v>187.43844640788933867587034412</v>
      </c>
      <c r="F29" s="371">
        <v>150.72272455262713344793516527</v>
      </c>
      <c r="G29" s="370">
        <v>0</v>
      </c>
      <c r="H29" s="172">
        <v>33.439481956099044673597226052</v>
      </c>
      <c r="I29" s="371">
        <v>36.047123479756302099121180693</v>
      </c>
      <c r="J29" s="370">
        <v>0</v>
      </c>
      <c r="K29" s="172">
        <v>0</v>
      </c>
      <c r="L29" s="371">
        <v>12.477467158941765161941673003</v>
      </c>
      <c r="M29" s="370">
        <v>224.74242424242424242424242424</v>
      </c>
      <c r="N29" s="172">
        <v>220.87792836398838334946757018</v>
      </c>
      <c r="O29" s="371">
        <v>199.24731519132520070899801898</v>
      </c>
      <c r="P29" s="4"/>
      <c r="Q29" s="327">
        <v>3.6004889121791039348136626400</v>
      </c>
      <c r="R29" s="171">
        <v>-12.822381636943495118687873030</v>
      </c>
      <c r="S29" s="328">
        <v>-4.0739654649850289031229046700</v>
      </c>
      <c r="T29" s="327">
        <v>0</v>
      </c>
      <c r="U29" s="171">
        <v>187.85719443611888308296498597</v>
      </c>
      <c r="V29" s="328">
        <v>34.958285101507261263847231480</v>
      </c>
      <c r="W29" s="327">
        <v>0</v>
      </c>
      <c r="X29" s="171">
        <v>-100</v>
      </c>
      <c r="Y29" s="328">
        <v>33.117056272147233558820578640</v>
      </c>
      <c r="Z29" s="327">
        <v>3.6004889121791039348136626400</v>
      </c>
      <c r="AA29" s="171">
        <v>-3.285436289392706795533159900</v>
      </c>
      <c r="AB29" s="328">
        <v>3.1263285172797563496026946300</v>
      </c>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row>
    <row r="30" ht="15.6" customHeight="1">
      <c r="A30" s="92"/>
      <c r="B30" s="346">
        <v>17</v>
      </c>
      <c r="C30" s="347" t="s">
        <v>53</v>
      </c>
      <c r="D30" s="378">
        <v>277.53030303030303030303030303</v>
      </c>
      <c r="E30" s="173">
        <v>222.41828348665764394424519119</v>
      </c>
      <c r="F30" s="379">
        <v>160.96226321017886104241456738</v>
      </c>
      <c r="G30" s="378">
        <v>0</v>
      </c>
      <c r="H30" s="173">
        <v>33.700883986720865252269813635</v>
      </c>
      <c r="I30" s="379">
        <v>23.880670458583209799957068611</v>
      </c>
      <c r="J30" s="378">
        <v>0</v>
      </c>
      <c r="K30" s="173">
        <v>0</v>
      </c>
      <c r="L30" s="379">
        <v>12.188032862360856902389077178</v>
      </c>
      <c r="M30" s="378">
        <v>277.53030303030303030303030303</v>
      </c>
      <c r="N30" s="173">
        <v>256.11916747337850919651500484</v>
      </c>
      <c r="O30" s="379">
        <v>197.03096653112292774476071317</v>
      </c>
      <c r="P30" s="4"/>
      <c r="Q30" s="359">
        <v>20.940213264651699027177949020</v>
      </c>
      <c r="R30" s="170">
        <v>-7.0236082153655956905135923700</v>
      </c>
      <c r="S30" s="360">
        <v>1.7734525833293394648751663900</v>
      </c>
      <c r="T30" s="359">
        <v>0</v>
      </c>
      <c r="U30" s="170">
        <v>462.04313261230747733793651432</v>
      </c>
      <c r="V30" s="360">
        <v>23.515664677746984441127742020</v>
      </c>
      <c r="W30" s="359">
        <v>0</v>
      </c>
      <c r="X30" s="170">
        <v>-100</v>
      </c>
      <c r="Y30" s="360">
        <v>25.741703153953362774878905110</v>
      </c>
      <c r="Z30" s="359">
        <v>20.940213264651699027177949020</v>
      </c>
      <c r="AA30" s="170">
        <v>3.9047679079163923529746577500</v>
      </c>
      <c r="AB30" s="360">
        <v>5.2603273966897101148509983500</v>
      </c>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row>
    <row r="31" ht="15.6" customHeight="1">
      <c r="A31" s="92"/>
      <c r="B31" s="344">
        <v>18</v>
      </c>
      <c r="C31" s="345" t="s">
        <v>49</v>
      </c>
      <c r="D31" s="370">
        <v>153.78030303030303030303030303</v>
      </c>
      <c r="E31" s="172">
        <v>160.46120455000852046482112656</v>
      </c>
      <c r="F31" s="371">
        <v>100.08443900562048850702224377</v>
      </c>
      <c r="G31" s="370">
        <v>19.5</v>
      </c>
      <c r="H31" s="172">
        <v>43.755194288326426292197266463</v>
      </c>
      <c r="I31" s="371">
        <v>25.154179622797668347140990592</v>
      </c>
      <c r="J31" s="370">
        <v>0</v>
      </c>
      <c r="K31" s="172">
        <v>0</v>
      </c>
      <c r="L31" s="371">
        <v>11.48601905274126343569183811</v>
      </c>
      <c r="M31" s="370">
        <v>173.28030303030303030303030303</v>
      </c>
      <c r="N31" s="172">
        <v>204.21639883833494675701839303</v>
      </c>
      <c r="O31" s="371">
        <v>136.72463768115942028985507246</v>
      </c>
      <c r="P31" s="4"/>
      <c r="Q31" s="327">
        <v>-1.2982592628418357015001151100</v>
      </c>
      <c r="R31" s="171">
        <v>15.545048422124173869609593230</v>
      </c>
      <c r="S31" s="328">
        <v>0.9002889151585558239699706100</v>
      </c>
      <c r="T31" s="327">
        <v>0</v>
      </c>
      <c r="U31" s="171">
        <v>519.16552160136446628064669407</v>
      </c>
      <c r="V31" s="328">
        <v>50.621355174755426910511484450</v>
      </c>
      <c r="W31" s="327">
        <v>0</v>
      </c>
      <c r="X31" s="171">
        <v>-100</v>
      </c>
      <c r="Y31" s="328">
        <v>34.363838986502500179641360190</v>
      </c>
      <c r="Z31" s="327">
        <v>11.217543518450105522419225930</v>
      </c>
      <c r="AA31" s="171">
        <v>38.416720956911094144009252610</v>
      </c>
      <c r="AB31" s="328">
        <v>9.871804779823069288178691250</v>
      </c>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row>
    <row r="32" ht="15.6" customHeight="1">
      <c r="A32" s="92"/>
      <c r="B32" s="346">
        <v>19</v>
      </c>
      <c r="C32" s="347" t="s">
        <v>47</v>
      </c>
      <c r="D32" s="378">
        <v>139.21969696969696969696969697</v>
      </c>
      <c r="E32" s="173">
        <v>156.79099417545310166524016184</v>
      </c>
      <c r="F32" s="379">
        <v>95.55409730396701914293038199</v>
      </c>
      <c r="G32" s="378">
        <v>35.825757575757575757575757576</v>
      </c>
      <c r="H32" s="173">
        <v>53.377573104314565324111241835</v>
      </c>
      <c r="I32" s="379">
        <v>30.165660665886817566703335781</v>
      </c>
      <c r="J32" s="378">
        <v>0</v>
      </c>
      <c r="K32" s="173">
        <v>0</v>
      </c>
      <c r="L32" s="379">
        <v>11.159503838091111679481077344</v>
      </c>
      <c r="M32" s="378">
        <v>175.04545454545454545454545455</v>
      </c>
      <c r="N32" s="173">
        <v>210.16856727976766698935140368</v>
      </c>
      <c r="O32" s="379">
        <v>136.87926180794494838911479512</v>
      </c>
      <c r="P32" s="4"/>
      <c r="Q32" s="359">
        <v>5.2821541106086396898486333600</v>
      </c>
      <c r="R32" s="170">
        <v>29.676432433335238106719676160</v>
      </c>
      <c r="S32" s="360">
        <v>-0.4503695744916651384697493300</v>
      </c>
      <c r="T32" s="359">
        <v>0</v>
      </c>
      <c r="U32" s="170">
        <v>281.58375576404200736797749772</v>
      </c>
      <c r="V32" s="360">
        <v>22.241392999184458741141389660</v>
      </c>
      <c r="W32" s="359">
        <v>0</v>
      </c>
      <c r="X32" s="170">
        <v>-100</v>
      </c>
      <c r="Y32" s="360">
        <v>31.630336471384452332422931870</v>
      </c>
      <c r="Z32" s="359">
        <v>32.374677742815651557579720440</v>
      </c>
      <c r="AA32" s="170">
        <v>54.336364126268131037108607460</v>
      </c>
      <c r="AB32" s="360">
        <v>5.9917525573285483037857343900</v>
      </c>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row>
    <row r="33" ht="15.6" customHeight="1">
      <c r="A33" s="92"/>
      <c r="B33" s="344">
        <v>20</v>
      </c>
      <c r="C33" s="345" t="s">
        <v>48</v>
      </c>
      <c r="D33" s="370">
        <v>118.68939393939393939393939394</v>
      </c>
      <c r="E33" s="172">
        <v>146.38977248201438848920863309</v>
      </c>
      <c r="F33" s="371">
        <v>94.22061516872438204774070592</v>
      </c>
      <c r="G33" s="370">
        <v>62.295454545454545454545454545</v>
      </c>
      <c r="H33" s="172">
        <v>58.140227517985611510791366904</v>
      </c>
      <c r="I33" s="371">
        <v>34.05959132713619727275208784</v>
      </c>
      <c r="J33" s="370">
        <v>0</v>
      </c>
      <c r="K33" s="172">
        <v>0</v>
      </c>
      <c r="L33" s="371">
        <v>10.464658481722571550115067776</v>
      </c>
      <c r="M33" s="370">
        <v>180.98484848484848484848484848</v>
      </c>
      <c r="N33" s="172">
        <v>204.530000000</v>
      </c>
      <c r="O33" s="371">
        <v>138.74486497758315087060786154</v>
      </c>
      <c r="P33" s="4"/>
      <c r="Q33" s="327">
        <v>12.091292838195747427514964610</v>
      </c>
      <c r="R33" s="171">
        <v>36.938546503222580098578043680</v>
      </c>
      <c r="S33" s="328">
        <v>-2.9481605036489110732961903700</v>
      </c>
      <c r="T33" s="327">
        <v>0</v>
      </c>
      <c r="U33" s="171">
        <v>255.99012559238490412379430955</v>
      </c>
      <c r="V33" s="328">
        <v>19.827185363680436102224378600</v>
      </c>
      <c r="W33" s="327">
        <v>0</v>
      </c>
      <c r="X33" s="171">
        <v>-100</v>
      </c>
      <c r="Y33" s="328">
        <v>13.943992453774382933419620230</v>
      </c>
      <c r="Z33" s="327">
        <v>70.923660299004047108146582280</v>
      </c>
      <c r="AA33" s="171">
        <v>64.900434722276571682883592350</v>
      </c>
      <c r="AB33" s="328">
        <v>3.0099547371032174883433627900</v>
      </c>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row>
    <row r="34" ht="15.6" customHeight="1">
      <c r="A34" s="92"/>
      <c r="B34" s="346">
        <v>21</v>
      </c>
      <c r="C34" s="347" t="s">
        <v>50</v>
      </c>
      <c r="D34" s="378">
        <v>111.95454545454545454545454545</v>
      </c>
      <c r="E34" s="173">
        <v>114.43535437832428728368339189</v>
      </c>
      <c r="F34" s="379">
        <v>93.11129403496600100458323171</v>
      </c>
      <c r="G34" s="378">
        <v>63.325757575757575757575757576</v>
      </c>
      <c r="H34" s="173">
        <v>57.877888603282682706636066</v>
      </c>
      <c r="I34" s="379">
        <v>31.057969331237476895607985798</v>
      </c>
      <c r="J34" s="378">
        <v>0</v>
      </c>
      <c r="K34" s="173">
        <v>0</v>
      </c>
      <c r="L34" s="379">
        <v>10.343091966921326604031491283</v>
      </c>
      <c r="M34" s="378">
        <v>175.28030303030303030303030303</v>
      </c>
      <c r="N34" s="173">
        <v>172.31324298160696999031945789</v>
      </c>
      <c r="O34" s="379">
        <v>134.51235533312480450422270879</v>
      </c>
      <c r="P34" s="4"/>
      <c r="Q34" s="359">
        <v>-14.809477143043456407480867520</v>
      </c>
      <c r="R34" s="170">
        <v>23.161363094043974107669074260</v>
      </c>
      <c r="S34" s="360">
        <v>-3.1004720363205985333613131900</v>
      </c>
      <c r="T34" s="359">
        <v>0</v>
      </c>
      <c r="U34" s="170">
        <v>598.37345072556630380639237243</v>
      </c>
      <c r="V34" s="360">
        <v>30.970678612406805463768869310</v>
      </c>
      <c r="W34" s="359">
        <v>0</v>
      </c>
      <c r="X34" s="170">
        <v>-100</v>
      </c>
      <c r="Y34" s="360">
        <v>5.3891799236404356569067032700</v>
      </c>
      <c r="Z34" s="359">
        <v>33.377529255745266551638595770</v>
      </c>
      <c r="AA34" s="170">
        <v>68.932644023267040958445105830</v>
      </c>
      <c r="AB34" s="360">
        <v>3.7756449525971233808423279700</v>
      </c>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row>
    <row r="35" ht="15.6" customHeight="1">
      <c r="A35" s="92"/>
      <c r="B35" s="344">
        <v>22</v>
      </c>
      <c r="C35" s="345" t="s">
        <v>51</v>
      </c>
      <c r="D35" s="370">
        <v>125.95454545454545454545454545</v>
      </c>
      <c r="E35" s="172">
        <v>128.25909517106769831359008603</v>
      </c>
      <c r="F35" s="371">
        <v>99.43757573712946544724021679</v>
      </c>
      <c r="G35" s="370">
        <v>53.515151515151515151515151515</v>
      </c>
      <c r="H35" s="172">
        <v>48.930169107731914464725499642</v>
      </c>
      <c r="I35" s="371">
        <v>30.424464977354018472574426223</v>
      </c>
      <c r="J35" s="370">
        <v>0</v>
      </c>
      <c r="K35" s="172">
        <v>0</v>
      </c>
      <c r="L35" s="371">
        <v>11.49120712202991405745571462</v>
      </c>
      <c r="M35" s="370">
        <v>179.46969696969696969696969697</v>
      </c>
      <c r="N35" s="172">
        <v>177.18926427879961277831558567</v>
      </c>
      <c r="O35" s="371">
        <v>141.35324783651339797727035763</v>
      </c>
      <c r="P35" s="4"/>
      <c r="Q35" s="327">
        <v>-11.690657035116656660580220610</v>
      </c>
      <c r="R35" s="171">
        <v>0.1990765298893778119498432900</v>
      </c>
      <c r="S35" s="328">
        <v>-2.8007631649603938572462752800</v>
      </c>
      <c r="T35" s="327">
        <v>0</v>
      </c>
      <c r="U35" s="171">
        <v>177.94725391091557401816157140</v>
      </c>
      <c r="V35" s="328">
        <v>26.823531018078610535547954710</v>
      </c>
      <c r="W35" s="327">
        <v>0</v>
      </c>
      <c r="X35" s="171">
        <v>-100</v>
      </c>
      <c r="Y35" s="328">
        <v>28.430856478579142460276636990</v>
      </c>
      <c r="Z35" s="327">
        <v>25.829925107547600367548091770</v>
      </c>
      <c r="AA35" s="171">
        <v>20.630280187997605270159086570</v>
      </c>
      <c r="AB35" s="328">
        <v>4.5204273388423230732463287900</v>
      </c>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row>
    <row r="36" ht="15.6" customHeight="1">
      <c r="A36" s="92"/>
      <c r="B36" s="346">
        <v>23</v>
      </c>
      <c r="C36" s="347" t="s">
        <v>52</v>
      </c>
      <c r="D36" s="378">
        <v>176.20454545454545454545454545</v>
      </c>
      <c r="E36" s="173">
        <v>187.15867314581927944323796145</v>
      </c>
      <c r="F36" s="379">
        <v>136.34037712066951934908508359</v>
      </c>
      <c r="G36" s="378">
        <v>4.2272727272727272727272727273</v>
      </c>
      <c r="H36" s="173">
        <v>19.326225208488561795871428673</v>
      </c>
      <c r="I36" s="379">
        <v>20.76959569658482637285418514</v>
      </c>
      <c r="J36" s="378">
        <v>0</v>
      </c>
      <c r="K36" s="173">
        <v>0</v>
      </c>
      <c r="L36" s="379">
        <v>12.66220943694229696391205022</v>
      </c>
      <c r="M36" s="378">
        <v>180.43181818181818181818181818</v>
      </c>
      <c r="N36" s="173">
        <v>206.48489835430784123910939013</v>
      </c>
      <c r="O36" s="379">
        <v>169.77218225419664268585131894</v>
      </c>
      <c r="P36" s="4"/>
      <c r="Q36" s="359">
        <v>-14.867684198979044556820163080</v>
      </c>
      <c r="R36" s="170">
        <v>-6.9261074830311155396182766300</v>
      </c>
      <c r="S36" s="360">
        <v>-8.328637877522671498209657960</v>
      </c>
      <c r="T36" s="359">
        <v>0</v>
      </c>
      <c r="U36" s="170">
        <v>-12.679897906460909360067318290</v>
      </c>
      <c r="V36" s="360">
        <v>33.041010981140667736289686350</v>
      </c>
      <c r="W36" s="359">
        <v>0</v>
      </c>
      <c r="X36" s="170">
        <v>-100</v>
      </c>
      <c r="Y36" s="360">
        <v>26.931618536511800346371703460</v>
      </c>
      <c r="Z36" s="359">
        <v>-12.825299220391414257267544780</v>
      </c>
      <c r="AA36" s="170">
        <v>-8.088531065752734530657157550</v>
      </c>
      <c r="AB36" s="360">
        <v>-2.6057487746330535174026057400</v>
      </c>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row>
    <row r="37" ht="15.6" customHeight="1">
      <c r="A37" s="92"/>
      <c r="B37" s="348">
        <v>24</v>
      </c>
      <c r="C37" s="349" t="s">
        <v>53</v>
      </c>
      <c r="D37" s="380">
        <v>247.89393939393939393939393939</v>
      </c>
      <c r="E37" s="383">
        <v>239.81708784596871239470517449</v>
      </c>
      <c r="F37" s="381">
        <v>176.90932357707684741203913292</v>
      </c>
      <c r="G37" s="380">
        <v>2.1136363636363636363636363636</v>
      </c>
      <c r="H37" s="383">
        <v>23.646209386281588447653429603</v>
      </c>
      <c r="I37" s="381">
        <v>19.388830876403938896663697962</v>
      </c>
      <c r="J37" s="380">
        <v>0</v>
      </c>
      <c r="K37" s="383">
        <v>0</v>
      </c>
      <c r="L37" s="381">
        <v>12.535126747645269368494541647</v>
      </c>
      <c r="M37" s="380">
        <v>250.00757575757575757575757576</v>
      </c>
      <c r="N37" s="383">
        <v>263.46329723225030084235860409</v>
      </c>
      <c r="O37" s="381">
        <v>208.83328120112605567719737254</v>
      </c>
      <c r="P37" s="4"/>
      <c r="Q37" s="329">
        <v>-0.176937156789529546171137100</v>
      </c>
      <c r="R37" s="330">
        <v>-6.4030043521212382341364586600</v>
      </c>
      <c r="S37" s="332">
        <v>-5.5895465837597228330171396100</v>
      </c>
      <c r="T37" s="329">
        <v>0</v>
      </c>
      <c r="U37" s="330">
        <v>8.350316221912038039181904050</v>
      </c>
      <c r="V37" s="332">
        <v>43.302407981110125794749322600</v>
      </c>
      <c r="W37" s="329">
        <v>0</v>
      </c>
      <c r="X37" s="330">
        <v>-100</v>
      </c>
      <c r="Y37" s="332">
        <v>38.494197797237914531465917500</v>
      </c>
      <c r="Z37" s="329">
        <v>0.6741915802453620025306003500</v>
      </c>
      <c r="AA37" s="330">
        <v>-5.5193603223180854418838236100</v>
      </c>
      <c r="AB37" s="332">
        <v>-0.5386327566065389347403530100</v>
      </c>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row>
    <row r="38" ht="21" customHeight="1">
      <c r="B38" s="54"/>
      <c r="C38"/>
      <c r="D38" s="169"/>
      <c r="E38" s="169"/>
      <c r="F38" s="169"/>
      <c r="G38" s="169"/>
      <c r="H38" s="169"/>
      <c r="I38" s="169"/>
      <c r="J38" s="169"/>
      <c r="K38" s="169"/>
      <c r="L38" s="169"/>
      <c r="M38" s="169"/>
      <c r="N38" s="169"/>
      <c r="O38" s="169"/>
      <c r="P38" s="4"/>
      <c r="Q38" s="4"/>
      <c r="R38" s="4"/>
      <c r="S38" s="4"/>
      <c r="T38" s="4"/>
      <c r="U38" s="4"/>
      <c r="V38" s="4"/>
      <c r="W38" s="4"/>
      <c r="X38" s="4"/>
      <c r="Y38" s="4"/>
      <c r="Z38" s="4"/>
      <c r="AA38" s="4"/>
      <c r="AB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row>
    <row r="39" ht="15.6" customHeight="1">
      <c r="A39" s="54"/>
      <c r="B39" s="53"/>
      <c r="C39" s="53" t="s">
        <v>14</v>
      </c>
      <c r="D39" s="374">
        <v>157.48674242424242424242424242</v>
      </c>
      <c r="E39" s="382">
        <v>163.00310516469378519717064076</v>
      </c>
      <c r="F39" s="375">
        <v>114.583752752122329515212171</v>
      </c>
      <c r="G39" s="374">
        <v>31.617424242424242424242424242</v>
      </c>
      <c r="H39" s="382">
        <v>27.038453402585982469818710639</v>
      </c>
      <c r="I39" s="375">
        <v>36.062890048425667757434035825</v>
      </c>
      <c r="J39" s="374">
        <v>0</v>
      </c>
      <c r="K39" s="382">
        <v>0</v>
      </c>
      <c r="L39" s="375">
        <v>12.297419341043077693467858446</v>
      </c>
      <c r="M39" s="374">
        <v>189.10416666666666666666666667</v>
      </c>
      <c r="N39" s="382">
        <v>190.0415585672797676669893514</v>
      </c>
      <c r="O39" s="375">
        <v>162.94406214159107496611406527</v>
      </c>
      <c r="P39" s="4"/>
      <c r="Q39" s="354">
        <v>-6.9002194455690680163314665800</v>
      </c>
      <c r="R39" s="355">
        <v>5.9706798728942866551437617300</v>
      </c>
      <c r="S39" s="356">
        <v>2.255695053145982272947260200</v>
      </c>
      <c r="T39" s="354">
        <v>-27.300439837949606194199677470</v>
      </c>
      <c r="U39" s="355">
        <v>-13.867938506490285991006592850</v>
      </c>
      <c r="V39" s="356">
        <v>6.7493683694918929421828502900</v>
      </c>
      <c r="W39" s="354">
        <v>0</v>
      </c>
      <c r="X39" s="355">
        <v>-100</v>
      </c>
      <c r="Y39" s="356">
        <v>20.324603821481917153981696490</v>
      </c>
      <c r="Z39" s="354">
        <v>-11.072417816323658129120697770</v>
      </c>
      <c r="AA39" s="355">
        <v>1.643929197126952950760925300</v>
      </c>
      <c r="AB39" s="356">
        <v>4.4117800688141873109399924100</v>
      </c>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row>
    <row r="40" ht="15.6" customHeight="1">
      <c r="A40" s="54"/>
      <c r="C40" s="53" t="s">
        <v>15</v>
      </c>
      <c r="D40" s="370">
        <v>141.36931818181818181818181818</v>
      </c>
      <c r="E40" s="172">
        <v>153.16052964486402809911379889</v>
      </c>
      <c r="F40" s="371">
        <v>104.50037812257933665783341412</v>
      </c>
      <c r="G40" s="370">
        <v>23.873106060606060606060606061</v>
      </c>
      <c r="H40" s="172">
        <v>35.788988748165981581428311476</v>
      </c>
      <c r="I40" s="371">
        <v>43.690168286364347626405974635</v>
      </c>
      <c r="J40" s="370">
        <v>0</v>
      </c>
      <c r="K40" s="172">
        <v>0</v>
      </c>
      <c r="L40" s="371">
        <v>11.328507912816299033454282392</v>
      </c>
      <c r="M40" s="370">
        <v>165.24242424242424242424242424</v>
      </c>
      <c r="N40" s="172">
        <v>188.94951839303000968054211036</v>
      </c>
      <c r="O40" s="371">
        <v>159.51905432175998331769367115</v>
      </c>
      <c r="P40" s="4"/>
      <c r="Q40" s="327">
        <v>1.7877597774238487292351696700</v>
      </c>
      <c r="R40" s="171">
        <v>26.054574016059118505945089630</v>
      </c>
      <c r="S40" s="328">
        <v>9.338030746553419394599439330</v>
      </c>
      <c r="T40" s="327">
        <v>268.02919708269893547873064414</v>
      </c>
      <c r="U40" s="171">
        <v>56.255529009603396523824477780</v>
      </c>
      <c r="V40" s="328">
        <v>10.460144816958773854629701840</v>
      </c>
      <c r="W40" s="327">
        <v>0</v>
      </c>
      <c r="X40" s="171">
        <v>-100</v>
      </c>
      <c r="Y40" s="328">
        <v>21.822109940682311301250848550</v>
      </c>
      <c r="Z40" s="327">
        <v>13.667808799202206143910750120</v>
      </c>
      <c r="AA40" s="171">
        <v>29.288301920246874255567085680</v>
      </c>
      <c r="AB40" s="328">
        <v>10.449141442532082524744459480</v>
      </c>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row>
    <row r="41" ht="15.6" customHeight="1">
      <c r="A41" s="54"/>
      <c r="B41" s="22"/>
      <c r="C41" s="53" t="s">
        <v>16</v>
      </c>
      <c r="D41" s="378">
        <v>139.47537878787878787878787879</v>
      </c>
      <c r="E41" s="173">
        <v>162.03650485686233649917887016</v>
      </c>
      <c r="F41" s="379">
        <v>109.10750195736634767652556335</v>
      </c>
      <c r="G41" s="378">
        <v>31.321969696969696969696969697</v>
      </c>
      <c r="H41" s="173">
        <v>40.102084204125078796077664206</v>
      </c>
      <c r="I41" s="379">
        <v>47.472437492778486243248110773</v>
      </c>
      <c r="J41" s="378">
        <v>0</v>
      </c>
      <c r="K41" s="173">
        <v>0</v>
      </c>
      <c r="L41" s="379">
        <v>10.546820011850786974815002764</v>
      </c>
      <c r="M41" s="378">
        <v>170.79734848484848484848484848</v>
      </c>
      <c r="N41" s="173">
        <v>202.13858906098741529525653437</v>
      </c>
      <c r="O41" s="379">
        <v>167.12675946199562089458867688</v>
      </c>
      <c r="P41" s="4"/>
      <c r="Q41" s="359">
        <v>0.7373057562160442019335355800</v>
      </c>
      <c r="R41" s="170">
        <v>39.645456097546390982862247090</v>
      </c>
      <c r="S41" s="360">
        <v>9.198563544762416842010551570</v>
      </c>
      <c r="T41" s="359">
        <v>236.41171684318073992959686297</v>
      </c>
      <c r="U41" s="170">
        <v>44.372355286839440690414413910</v>
      </c>
      <c r="V41" s="360">
        <v>3.4712286200129041652490287300</v>
      </c>
      <c r="W41" s="359">
        <v>0</v>
      </c>
      <c r="X41" s="170">
        <v>-100</v>
      </c>
      <c r="Y41" s="360">
        <v>14.059646640707922544543568640</v>
      </c>
      <c r="Z41" s="359">
        <v>15.587028966893629480369745230</v>
      </c>
      <c r="AA41" s="170">
        <v>39.397249842362159171939031660</v>
      </c>
      <c r="AB41" s="360">
        <v>7.793665089988439886112003500</v>
      </c>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row>
    <row r="42" ht="15.6" customHeight="1">
      <c r="A42" s="54"/>
      <c r="B42" s="22"/>
      <c r="C42" s="53" t="s">
        <v>17</v>
      </c>
      <c r="D42" s="370">
        <v>133.60227272727272727272727273</v>
      </c>
      <c r="E42" s="172">
        <v>151.3885002581043198271871801</v>
      </c>
      <c r="F42" s="371">
        <v>109.67414048272965968441806301</v>
      </c>
      <c r="G42" s="370">
        <v>39.554924242424242424242424242</v>
      </c>
      <c r="H42" s="172">
        <v>39.572838076842437191205849903</v>
      </c>
      <c r="I42" s="371">
        <v>49.316402524877358289974430492</v>
      </c>
      <c r="J42" s="370">
        <v>0</v>
      </c>
      <c r="K42" s="172">
        <v>0</v>
      </c>
      <c r="L42" s="371">
        <v>10.881081431971753790804044915</v>
      </c>
      <c r="M42" s="370">
        <v>173.15719696969696969696969697</v>
      </c>
      <c r="N42" s="172">
        <v>190.96133833494675701839303001</v>
      </c>
      <c r="O42" s="371">
        <v>169.87162443957877176519653842</v>
      </c>
      <c r="P42" s="4"/>
      <c r="Q42" s="327">
        <v>-4.8439966006979786489644739900</v>
      </c>
      <c r="R42" s="171">
        <v>32.044437408792558251158630840</v>
      </c>
      <c r="S42" s="328">
        <v>4.2302253772230312645553838200</v>
      </c>
      <c r="T42" s="327">
        <v>144.75565451752513239937417074</v>
      </c>
      <c r="U42" s="171">
        <v>58.761555717277411237833416420</v>
      </c>
      <c r="V42" s="328">
        <v>25.557789005544016917333607090</v>
      </c>
      <c r="W42" s="327">
        <v>0</v>
      </c>
      <c r="X42" s="171">
        <v>-100</v>
      </c>
      <c r="Y42" s="328">
        <v>13.145947446582581256848709900</v>
      </c>
      <c r="Z42" s="327">
        <v>10.598069339264583821378975070</v>
      </c>
      <c r="AA42" s="171">
        <v>35.882667214268303845382876590</v>
      </c>
      <c r="AB42" s="328">
        <v>10.222023990850805764204685230</v>
      </c>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row>
    <row r="43" ht="15.6" customHeight="1">
      <c r="A43" s="54"/>
      <c r="B43" s="22"/>
      <c r="C43" s="53" t="s">
        <v>18</v>
      </c>
      <c r="D43" s="378">
        <v>153.31818181818181818181818182</v>
      </c>
      <c r="E43" s="173">
        <v>162.09848005167259955253635715</v>
      </c>
      <c r="F43" s="379">
        <v>126.54203338146790113790603941</v>
      </c>
      <c r="G43" s="378">
        <v>40.070075757575757575757575758</v>
      </c>
      <c r="H43" s="173">
        <v>29.249215979305135200609819039</v>
      </c>
      <c r="I43" s="379">
        <v>42.599617657278821808257494018</v>
      </c>
      <c r="J43" s="378">
        <v>0</v>
      </c>
      <c r="K43" s="173">
        <v>0</v>
      </c>
      <c r="L43" s="379">
        <v>11.931829307411133377473209348</v>
      </c>
      <c r="M43" s="378">
        <v>193.38825757575757575757575758</v>
      </c>
      <c r="N43" s="173">
        <v>191.34769603097773475314617619</v>
      </c>
      <c r="O43" s="379">
        <v>181.07348034615785632363674278</v>
      </c>
      <c r="P43" s="4"/>
      <c r="Q43" s="359">
        <v>1.5912855780107925477363963900</v>
      </c>
      <c r="R43" s="170">
        <v>7.4501276470201193982493352800</v>
      </c>
      <c r="S43" s="360">
        <v>0.1505592425024832668957911800</v>
      </c>
      <c r="T43" s="359">
        <v>-16.123533142990492343690892130</v>
      </c>
      <c r="U43" s="170">
        <v>14.958018542947786823032941420</v>
      </c>
      <c r="V43" s="360">
        <v>19.330302302906583716285371280</v>
      </c>
      <c r="W43" s="359">
        <v>0</v>
      </c>
      <c r="X43" s="170">
        <v>-100</v>
      </c>
      <c r="Y43" s="360">
        <v>36.873377423697311526091793770</v>
      </c>
      <c r="Z43" s="359">
        <v>-2.6680520074761835344642551200</v>
      </c>
      <c r="AA43" s="170">
        <v>7.6800131179897568782554143900</v>
      </c>
      <c r="AB43" s="360">
        <v>6.0347029015251023636155815300</v>
      </c>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row>
    <row r="44" ht="15.6" customHeight="1">
      <c r="A44" s="54"/>
      <c r="B44" s="22"/>
      <c r="C44" s="53" t="s">
        <v>19</v>
      </c>
      <c r="D44" s="370">
        <v>220.85984848484848484848484848</v>
      </c>
      <c r="E44" s="172">
        <v>226.67202916238649625291357205</v>
      </c>
      <c r="F44" s="371">
        <v>166.00397468400224875051005543</v>
      </c>
      <c r="G44" s="370">
        <v>37.445075757575757575757575758</v>
      </c>
      <c r="H44" s="172">
        <v>26.392782067042351762575295336</v>
      </c>
      <c r="I44" s="371">
        <v>34.972246776383149124992286881</v>
      </c>
      <c r="J44" s="370">
        <v>0</v>
      </c>
      <c r="K44" s="172">
        <v>0</v>
      </c>
      <c r="L44" s="371">
        <v>12.489397348914987902831512349</v>
      </c>
      <c r="M44" s="370">
        <v>258.30492424242424242424242424</v>
      </c>
      <c r="N44" s="172">
        <v>253.06481122942884801548886738</v>
      </c>
      <c r="O44" s="371">
        <v>213.46561880930038577833385466</v>
      </c>
      <c r="P44" s="4"/>
      <c r="Q44" s="327">
        <v>6.9686379188519822645824918200</v>
      </c>
      <c r="R44" s="171">
        <v>0.0893900933300342747005815300</v>
      </c>
      <c r="S44" s="328">
        <v>-4.7715187041154534081092224800</v>
      </c>
      <c r="T44" s="327">
        <v>-50.892923673037359793453870510</v>
      </c>
      <c r="U44" s="171">
        <v>-13.853308961967601561640834480</v>
      </c>
      <c r="V44" s="328">
        <v>9.987211010591578219225065700</v>
      </c>
      <c r="W44" s="327">
        <v>0</v>
      </c>
      <c r="X44" s="171">
        <v>-100</v>
      </c>
      <c r="Y44" s="328">
        <v>22.334529551427147809364146350</v>
      </c>
      <c r="Z44" s="327">
        <v>-8.636905639147971601675309260</v>
      </c>
      <c r="AA44" s="171">
        <v>-2.3305054528046039323414903400</v>
      </c>
      <c r="AB44" s="328">
        <v>-1.3230010872371829479209692300</v>
      </c>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row>
    <row r="45" ht="15.6" customHeight="1">
      <c r="A45" s="54"/>
      <c r="B45" s="22"/>
      <c r="C45" s="53" t="s">
        <v>20</v>
      </c>
      <c r="D45" s="384">
        <v>253.625</v>
      </c>
      <c r="E45" s="385">
        <v>247.85473528249763194975141539</v>
      </c>
      <c r="F45" s="386">
        <v>183.97351250257830031329460658</v>
      </c>
      <c r="G45" s="384">
        <v>35.975378787878787878787878788</v>
      </c>
      <c r="H45" s="385">
        <v>25.960193575419735129182862938</v>
      </c>
      <c r="I45" s="386">
        <v>30.157161847708112497322600443</v>
      </c>
      <c r="J45" s="384">
        <v>0</v>
      </c>
      <c r="K45" s="385">
        <v>0</v>
      </c>
      <c r="L45" s="386">
        <v>12.726222740736421096170406362</v>
      </c>
      <c r="M45" s="384">
        <v>289.60037878787878787878787879</v>
      </c>
      <c r="N45" s="385">
        <v>273.81492885791736707893427832</v>
      </c>
      <c r="O45" s="386">
        <v>226.85689709102283390678761339</v>
      </c>
      <c r="P45" s="4"/>
      <c r="Q45" s="364">
        <v>17.923564635411751604016967040</v>
      </c>
      <c r="R45" s="365">
        <v>1.5383442104477157193409505400</v>
      </c>
      <c r="S45" s="366">
        <v>1.7036502719479717477414854500</v>
      </c>
      <c r="T45" s="364">
        <v>-49.520316776921748853348378160</v>
      </c>
      <c r="U45" s="365">
        <v>-7.6674167890886641045953932700</v>
      </c>
      <c r="V45" s="366">
        <v>-0.1527246839982979119584136200</v>
      </c>
      <c r="W45" s="364">
        <v>0</v>
      </c>
      <c r="X45" s="365">
        <v>-100</v>
      </c>
      <c r="Y45" s="366">
        <v>37.203915541818053297878184400</v>
      </c>
      <c r="Z45" s="364">
        <v>1.1376489030297298099613387700</v>
      </c>
      <c r="AA45" s="365">
        <v>0.0875259989780986595085848400</v>
      </c>
      <c r="AB45" s="366">
        <v>2.9434299774119269636030211600</v>
      </c>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row>
    <row r="46" ht="20.25" customHeight="1">
      <c r="B46" s="54"/>
      <c r="C46"/>
      <c r="D46" s="169"/>
      <c r="E46" s="169"/>
      <c r="F46" s="169"/>
      <c r="G46" s="169"/>
      <c r="H46" s="169"/>
      <c r="I46" s="169"/>
      <c r="J46" s="169"/>
      <c r="K46" s="169"/>
      <c r="L46" s="169"/>
      <c r="M46" s="169"/>
      <c r="N46" s="169"/>
      <c r="O46" s="169"/>
      <c r="P46" s="4"/>
      <c r="Q46" s="4"/>
      <c r="R46" s="4"/>
      <c r="S46" s="4"/>
      <c r="T46" s="4"/>
      <c r="U46" s="4"/>
      <c r="V46" s="4"/>
      <c r="W46" s="4"/>
      <c r="X46" s="4"/>
      <c r="Y46" s="4"/>
      <c r="Z46" s="4"/>
      <c r="AA46" s="4"/>
      <c r="AB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row>
    <row r="47" ht="15.6" customHeight="1">
      <c r="A47" s="22"/>
      <c r="B47" s="22"/>
      <c r="C47" s="53" t="s">
        <v>72</v>
      </c>
      <c r="D47" s="374">
        <v>153.38528138528138528138528139</v>
      </c>
      <c r="E47" s="382">
        <v>161.90174024980799829349807648</v>
      </c>
      <c r="F47" s="375">
        <v>113.66538884973624613009157095</v>
      </c>
      <c r="G47" s="374">
        <v>34.4004329004329004329004329</v>
      </c>
      <c r="H47" s="382">
        <v>43.579069602344478648855185588</v>
      </c>
      <c r="I47" s="375">
        <v>27.288613213914420546328101333</v>
      </c>
      <c r="J47" s="374">
        <v>0</v>
      </c>
      <c r="K47" s="382">
        <v>0</v>
      </c>
      <c r="L47" s="375">
        <v>11.448830949441964808454540143</v>
      </c>
      <c r="M47" s="374">
        <v>187.78571428571428571428571429</v>
      </c>
      <c r="N47" s="382">
        <v>205.48080985215247694235326207</v>
      </c>
      <c r="O47" s="375">
        <v>152.40283301309263148487421243</v>
      </c>
      <c r="P47" s="4"/>
      <c r="Q47" s="354">
        <v>-4.4141549708895080864864412100</v>
      </c>
      <c r="R47" s="355">
        <v>8.459965812018756521784040040</v>
      </c>
      <c r="S47" s="356">
        <v>-3.7624731979633922871421869400</v>
      </c>
      <c r="T47" s="354">
        <v>0</v>
      </c>
      <c r="U47" s="355">
        <v>184.47108650742178681214489069</v>
      </c>
      <c r="V47" s="356">
        <v>30.259421909075190908704109450</v>
      </c>
      <c r="W47" s="354">
        <v>0</v>
      </c>
      <c r="X47" s="355">
        <v>-100</v>
      </c>
      <c r="Y47" s="356">
        <v>25.224333899838098037187825090</v>
      </c>
      <c r="Z47" s="354">
        <v>17.023328589841653687919053680</v>
      </c>
      <c r="AA47" s="355">
        <v>23.981713950685222536465525670</v>
      </c>
      <c r="AB47" s="356">
        <v>2.8350118336608784759311096100</v>
      </c>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row>
    <row r="48" ht="15.6" customHeight="1">
      <c r="A48" s="22"/>
      <c r="B48" s="22"/>
      <c r="C48" s="53" t="s">
        <v>61</v>
      </c>
      <c r="D48" s="370">
        <v>171.3909632034632034632034632</v>
      </c>
      <c r="E48" s="172">
        <v>180.8876977744401710539788335</v>
      </c>
      <c r="F48" s="371">
        <v>130.62647055469230339081427328</v>
      </c>
      <c r="G48" s="370">
        <v>34.265422077922077922077922078</v>
      </c>
      <c r="H48" s="172">
        <v>32.01493657906952887584264479</v>
      </c>
      <c r="I48" s="371">
        <v>40.610132090545134763947847577</v>
      </c>
      <c r="J48" s="370">
        <v>0</v>
      </c>
      <c r="K48" s="172">
        <v>0</v>
      </c>
      <c r="L48" s="371">
        <v>11.743039727820637124145188082</v>
      </c>
      <c r="M48" s="370">
        <v>205.65638528138528138528138528</v>
      </c>
      <c r="N48" s="172">
        <v>212.90263435350969992982147829</v>
      </c>
      <c r="O48" s="371">
        <v>182.97964237305807527890730894</v>
      </c>
      <c r="P48" s="4"/>
      <c r="Q48" s="327">
        <v>3.4820124610906359267518656400</v>
      </c>
      <c r="R48" s="171">
        <v>12.309279396784593284485508780</v>
      </c>
      <c r="S48" s="328">
        <v>2.2417487016325580129130968800</v>
      </c>
      <c r="T48" s="327">
        <v>-11.406705794250510883859815150</v>
      </c>
      <c r="U48" s="171">
        <v>17.212453627986781436156566400</v>
      </c>
      <c r="V48" s="328">
        <v>10.960027478846646751952026430</v>
      </c>
      <c r="W48" s="327">
        <v>0</v>
      </c>
      <c r="X48" s="171">
        <v>-100</v>
      </c>
      <c r="Y48" s="328">
        <v>23.452990682367052744037791230</v>
      </c>
      <c r="Z48" s="327">
        <v>0.6633584824380565084751226300</v>
      </c>
      <c r="AA48" s="171">
        <v>12.135310038744682230310331470</v>
      </c>
      <c r="AB48" s="328">
        <v>5.2372839582668727121494984400</v>
      </c>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row>
    <row r="49" ht="15.6" customHeight="1">
      <c r="A49" s="54"/>
      <c r="B49" s="22"/>
      <c r="C49" s="53" t="s">
        <v>31</v>
      </c>
      <c r="D49" s="384">
        <v>163.70328282828282828282828283</v>
      </c>
      <c r="E49" s="385">
        <v>169.12269178203528447680984945</v>
      </c>
      <c r="F49" s="386">
        <v>127.80066219439836763887721296</v>
      </c>
      <c r="G49" s="384">
        <v>33.378156565656565656565656566</v>
      </c>
      <c r="H49" s="385">
        <v>31.401055638137132462935085937</v>
      </c>
      <c r="I49" s="386">
        <v>35.146515217642106091864757003</v>
      </c>
      <c r="J49" s="384">
        <v>0</v>
      </c>
      <c r="K49" s="385">
        <v>0</v>
      </c>
      <c r="L49" s="386">
        <v>11.703067609333731253097045791</v>
      </c>
      <c r="M49" s="384">
        <v>197.08143939393939393939393939</v>
      </c>
      <c r="N49" s="385">
        <v>200.52374742017241693974493538</v>
      </c>
      <c r="O49" s="386">
        <v>174.65024502137420498383901574</v>
      </c>
      <c r="P49" s="4"/>
      <c r="Q49" s="364">
        <v>1.7722403308058493241000468900</v>
      </c>
      <c r="R49" s="365">
        <v>3.4800491646721675760673790600</v>
      </c>
      <c r="S49" s="366">
        <v>-0.9916979950953803690777469200</v>
      </c>
      <c r="T49" s="364">
        <v>-21.654021693966164205068788230</v>
      </c>
      <c r="U49" s="365">
        <v>20.050950083080223964044143020</v>
      </c>
      <c r="V49" s="366">
        <v>0.2891788036238654886805190600</v>
      </c>
      <c r="W49" s="364">
        <v>0</v>
      </c>
      <c r="X49" s="365">
        <v>-100</v>
      </c>
      <c r="Y49" s="366">
        <v>24.165893090120187244243848190</v>
      </c>
      <c r="Z49" s="364">
        <v>-3.1331985621078604076332949500</v>
      </c>
      <c r="AA49" s="365">
        <v>4.9500449646061903730632709800</v>
      </c>
      <c r="AB49" s="366">
        <v>0.6332258364908267637155412500</v>
      </c>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row>
    <row r="50" ht="9.95" customHeight="1">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row>
    <row r="51" ht="9.95" customHeight="1">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row>
    <row r="52" ht="24.95" customHeight="1">
      <c r="D52" s="650" t="s">
        <v>114</v>
      </c>
      <c r="E52" s="650"/>
      <c r="F52" s="650"/>
      <c r="G52" s="650"/>
      <c r="H52" s="650"/>
      <c r="I52" s="650"/>
      <c r="J52" s="650"/>
      <c r="K52" s="650"/>
      <c r="L52" s="650"/>
      <c r="M52" s="650"/>
      <c r="N52" s="650"/>
      <c r="O52" s="650"/>
      <c r="P52" s="650"/>
      <c r="Q52" s="650"/>
      <c r="R52" s="650"/>
      <c r="S52" s="650"/>
      <c r="T52" s="650"/>
      <c r="U52" s="650"/>
      <c r="V52" s="650"/>
      <c r="W52" s="650"/>
      <c r="X52" s="650"/>
      <c r="Y52" s="650"/>
      <c r="Z52" s="650"/>
      <c r="AA52" s="650"/>
      <c r="AB52" s="650"/>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row>
    <row r="53" ht="9.95" customHeight="1">
      <c r="A53" s="53"/>
      <c r="C53"/>
      <c r="Z53" s="80"/>
      <c r="AA53" s="242"/>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row>
  </sheetData>
  <mergeCells count="12">
    <mergeCell ref="Q8:S8"/>
    <mergeCell ref="T8:V8"/>
    <mergeCell ref="D52:AB52"/>
    <mergeCell ref="R4:AA4"/>
    <mergeCell ref="D7:O7"/>
    <mergeCell ref="Q7:AB7"/>
    <mergeCell ref="W8:Y8"/>
    <mergeCell ref="Z8:AB8"/>
    <mergeCell ref="D8:F8"/>
    <mergeCell ref="G8:I8"/>
    <mergeCell ref="J8:L8"/>
    <mergeCell ref="M8:O8"/>
  </mergeCells>
  <phoneticPr fontId="0" type="noConversion"/>
  <printOptions horizontalCentered="1" verticalCentered="1"/>
  <pageMargins left="0.25" right="0.25" top="0.25" bottom="0.25" header="0.25" footer="0.25"/>
  <pageSetup scale="67" orientation="landscape" r:id="rId1"/>
  <headerFooter alignWithMargins="0">
    <oddHeader/>
    <oddFooter/>
  </headerFooter>
  <drawing r:id="rId49"/>
</worksheet>
</file>

<file path=xl/worksheets/sheet8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AY105"/>
  <sheetViews>
    <sheetView showGridLines="0" zoomScale="75" workbookViewId="0"/>
  </sheetViews>
  <sheetFormatPr defaultRowHeight="12.75"/>
  <cols>
    <col min="1" max="1" width="13.28515625" customWidth="1"/>
    <col min="2" max="2" width="3.85546875" customWidth="1"/>
    <col min="3" max="3" width="4.28515625" style="30" customWidth="1"/>
    <col min="4" max="15" width="8.7109375" customWidth="1"/>
    <col min="16" max="16" width="1.42578125" customWidth="1"/>
    <col min="17" max="25" width="8.7109375" customWidth="1"/>
    <col min="26" max="28" width="7.42578125" hidden="1" customWidth="1"/>
    <col min="29" max="29" width="2.28515625" customWidth="1"/>
    <col min="30" max="32" width="9.140625" customWidth="1"/>
  </cols>
  <sheetData>
    <row r="1" ht="23.25">
      <c r="A1" s="39" t="s">
        <v>158</v>
      </c>
      <c r="B1" s="39"/>
      <c r="AD1" s="244"/>
      <c r="AE1" s="244"/>
      <c r="AF1" s="244"/>
      <c r="AG1" s="244"/>
      <c r="AH1" s="244"/>
      <c r="AI1" s="244"/>
      <c r="AJ1" s="244"/>
      <c r="AK1" s="244"/>
      <c r="AL1" s="244"/>
      <c r="AM1" s="244"/>
      <c r="AN1" s="244"/>
      <c r="AO1" s="244"/>
      <c r="AP1" s="244"/>
      <c r="AQ1" s="244"/>
      <c r="AR1" s="244"/>
      <c r="AS1" s="244"/>
      <c r="AT1" s="244"/>
      <c r="AU1" s="244"/>
      <c r="AV1" s="244"/>
      <c r="AW1" s="244"/>
      <c r="AX1" s="244"/>
      <c r="AY1" s="244"/>
    </row>
    <row r="2" ht="15" customHeight="1">
      <c r="A2" s="10" t="s">
        <v>168</v>
      </c>
      <c r="X2" s="216"/>
      <c r="AD2" s="244"/>
      <c r="AE2" s="244"/>
      <c r="AF2" s="244"/>
      <c r="AG2" s="244"/>
      <c r="AH2" s="244"/>
      <c r="AI2" s="244"/>
      <c r="AJ2" s="244"/>
      <c r="AK2" s="244"/>
      <c r="AL2" s="244"/>
      <c r="AM2" s="244"/>
      <c r="AN2" s="244"/>
      <c r="AO2" s="244"/>
      <c r="AP2" s="244"/>
      <c r="AQ2" s="244"/>
      <c r="AR2" s="244"/>
      <c r="AS2" s="244"/>
      <c r="AT2" s="244"/>
      <c r="AU2" s="244"/>
      <c r="AV2" s="244"/>
      <c r="AW2" s="244"/>
      <c r="AX2" s="244"/>
      <c r="AY2" s="244"/>
    </row>
    <row r="3" ht="17.1" customHeight="1">
      <c r="A3" s="10" t="s">
        <v>181</v>
      </c>
      <c r="AD3" s="244"/>
      <c r="AE3" s="244"/>
      <c r="AF3" s="244"/>
      <c r="AG3" s="244"/>
      <c r="AH3" s="244"/>
      <c r="AI3" s="244"/>
      <c r="AJ3" s="244"/>
      <c r="AK3" s="244"/>
      <c r="AL3" s="244"/>
      <c r="AM3" s="244"/>
      <c r="AN3" s="244"/>
      <c r="AO3" s="244"/>
      <c r="AP3" s="244"/>
      <c r="AQ3" s="244"/>
      <c r="AR3" s="244"/>
      <c r="AS3" s="244"/>
      <c r="AT3" s="244"/>
      <c r="AU3" s="244"/>
      <c r="AV3" s="244"/>
      <c r="AW3" s="244"/>
      <c r="AX3" s="244"/>
      <c r="AY3" s="244"/>
    </row>
    <row r="4" ht="17.1" customHeight="1">
      <c r="A4" t="s">
        <v>182</v>
      </c>
      <c r="B4" s="443"/>
      <c r="C4" s="211"/>
      <c r="D4" s="212"/>
      <c r="E4" s="212"/>
      <c r="F4" s="212"/>
      <c r="G4" s="212"/>
      <c r="H4" s="212"/>
      <c r="I4" s="212"/>
      <c r="J4" s="212"/>
      <c r="K4" s="212"/>
      <c r="L4" s="212"/>
      <c r="M4" s="212"/>
      <c r="N4" s="212"/>
      <c r="O4" s="212"/>
      <c r="P4" s="212"/>
      <c r="Q4" s="667" t="s">
        <v>184</v>
      </c>
      <c r="R4" s="667"/>
      <c r="S4" s="667"/>
      <c r="T4" s="667"/>
      <c r="U4" s="667"/>
      <c r="V4" s="667"/>
      <c r="W4" s="667"/>
      <c r="X4" s="667"/>
      <c r="AD4" s="244"/>
      <c r="AE4" s="244"/>
      <c r="AF4" s="244"/>
      <c r="AG4" s="244"/>
      <c r="AH4" s="244"/>
      <c r="AI4" s="244"/>
      <c r="AJ4" s="244"/>
      <c r="AK4" s="244"/>
      <c r="AL4" s="244"/>
      <c r="AM4" s="244"/>
      <c r="AN4" s="244"/>
      <c r="AO4" s="244"/>
      <c r="AP4" s="244"/>
      <c r="AQ4" s="244"/>
      <c r="AR4" s="244"/>
      <c r="AS4" s="244"/>
      <c r="AT4" s="244"/>
      <c r="AU4" s="244"/>
      <c r="AV4" s="244"/>
      <c r="AW4" s="244"/>
      <c r="AX4" s="244"/>
      <c r="AY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row>
    <row r="7" ht="15.75">
      <c r="D7" s="621" t="s">
        <v>83</v>
      </c>
      <c r="E7" s="621"/>
      <c r="F7" s="621"/>
      <c r="G7" s="621"/>
      <c r="H7" s="621"/>
      <c r="I7" s="621"/>
      <c r="J7" s="621"/>
      <c r="K7" s="621"/>
      <c r="L7" s="621"/>
      <c r="M7" s="621"/>
      <c r="N7" s="621"/>
      <c r="O7" s="621"/>
      <c r="Q7" s="621" t="s">
        <v>62</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row>
    <row r="8" ht="15" customHeight="1">
      <c r="D8" s="683" t="s">
        <v>33</v>
      </c>
      <c r="E8" s="683"/>
      <c r="F8" s="683"/>
      <c r="G8" s="683" t="s">
        <v>30</v>
      </c>
      <c r="H8" s="683"/>
      <c r="I8" s="683"/>
      <c r="J8" s="683" t="s">
        <v>29</v>
      </c>
      <c r="K8" s="683"/>
      <c r="L8" s="683"/>
      <c r="M8" s="683" t="s">
        <v>94</v>
      </c>
      <c r="N8" s="683"/>
      <c r="O8" s="683"/>
      <c r="Q8" s="683" t="s">
        <v>33</v>
      </c>
      <c r="R8" s="683"/>
      <c r="S8" s="683"/>
      <c r="T8" s="683" t="s">
        <v>30</v>
      </c>
      <c r="U8" s="683"/>
      <c r="V8" s="683"/>
      <c r="W8" s="683" t="s">
        <v>29</v>
      </c>
      <c r="X8" s="683"/>
      <c r="Y8" s="683"/>
      <c r="Z8" s="684" t="s">
        <v>23</v>
      </c>
      <c r="AA8" s="684"/>
      <c r="AB8" s="684"/>
      <c r="AD8" s="244"/>
      <c r="AE8" s="244"/>
      <c r="AF8" s="244"/>
      <c r="AG8" s="244"/>
      <c r="AH8" s="244"/>
      <c r="AI8" s="244"/>
      <c r="AJ8" s="244"/>
      <c r="AK8" s="244"/>
      <c r="AL8" s="244"/>
      <c r="AM8" s="244"/>
      <c r="AN8" s="244"/>
      <c r="AO8" s="244"/>
      <c r="AP8" s="244"/>
      <c r="AQ8" s="244"/>
      <c r="AR8" s="244"/>
      <c r="AS8" s="244"/>
      <c r="AT8" s="244"/>
      <c r="AU8" s="244"/>
      <c r="AV8" s="244"/>
      <c r="AW8" s="244"/>
      <c r="AX8" s="244"/>
      <c r="AY8" s="244"/>
    </row>
    <row r="9" ht="27" customHeight="1">
      <c r="A9" s="92"/>
      <c r="D9" s="339" t="s">
        <v>63</v>
      </c>
      <c r="E9" s="340" t="s">
        <v>26</v>
      </c>
      <c r="F9" s="341" t="s">
        <v>185</v>
      </c>
      <c r="G9" s="339" t="s">
        <v>63</v>
      </c>
      <c r="H9" s="340" t="s">
        <v>26</v>
      </c>
      <c r="I9" s="341" t="s">
        <v>185</v>
      </c>
      <c r="J9" s="339" t="s">
        <v>63</v>
      </c>
      <c r="K9" s="340" t="s">
        <v>26</v>
      </c>
      <c r="L9" s="341" t="s">
        <v>185</v>
      </c>
      <c r="M9" s="339" t="s">
        <v>63</v>
      </c>
      <c r="N9" s="340" t="s">
        <v>26</v>
      </c>
      <c r="O9" s="341" t="s">
        <v>185</v>
      </c>
      <c r="P9" s="96"/>
      <c r="Q9" s="339" t="s">
        <v>63</v>
      </c>
      <c r="R9" s="340" t="s">
        <v>26</v>
      </c>
      <c r="S9" s="341" t="s">
        <v>185</v>
      </c>
      <c r="T9" s="339" t="s">
        <v>63</v>
      </c>
      <c r="U9" s="340" t="s">
        <v>26</v>
      </c>
      <c r="V9" s="341" t="s">
        <v>185</v>
      </c>
      <c r="W9" s="339" t="s">
        <v>63</v>
      </c>
      <c r="X9" s="340" t="s">
        <v>26</v>
      </c>
      <c r="Y9" s="341" t="s">
        <v>185</v>
      </c>
      <c r="Z9" s="94" t="s">
        <v>63</v>
      </c>
      <c r="AA9" s="94" t="s">
        <v>26</v>
      </c>
      <c r="AB9" s="95" t="s">
        <v>185</v>
      </c>
      <c r="AD9" s="244"/>
      <c r="AE9" s="244"/>
      <c r="AF9" s="244"/>
      <c r="AG9" s="244"/>
      <c r="AH9" s="244"/>
      <c r="AI9" s="244"/>
      <c r="AJ9" s="244"/>
      <c r="AK9" s="244"/>
      <c r="AL9" s="244"/>
      <c r="AM9" s="244"/>
      <c r="AN9" s="244"/>
      <c r="AO9" s="244"/>
      <c r="AP9" s="244"/>
      <c r="AQ9" s="244"/>
      <c r="AR9" s="244"/>
      <c r="AS9" s="244"/>
      <c r="AT9" s="244"/>
      <c r="AU9" s="244"/>
      <c r="AV9" s="244"/>
      <c r="AW9" s="244"/>
      <c r="AX9" s="244"/>
      <c r="AY9" s="244"/>
    </row>
    <row r="10" ht="15.6" customHeight="1">
      <c r="A10" s="92" t="s">
        <v>186</v>
      </c>
      <c r="B10" s="342">
        <v>27</v>
      </c>
      <c r="C10" s="343" t="s">
        <v>49</v>
      </c>
      <c r="D10" s="374">
        <v>248.25925925925925925925925926</v>
      </c>
      <c r="E10" s="382">
        <v>252.23926666666666666666666667</v>
      </c>
      <c r="F10" s="375">
        <v>238.97769095034030753718174943</v>
      </c>
      <c r="G10" s="374">
        <v>3.4074074074074074074074074074</v>
      </c>
      <c r="H10" s="382">
        <v>67.083420517252402575442987888</v>
      </c>
      <c r="I10" s="375">
        <v>65.059573762031912344141953576</v>
      </c>
      <c r="J10" s="374">
        <v>33.259259259259259259259259259</v>
      </c>
      <c r="K10" s="382">
        <v>33.32879666245001287759645075</v>
      </c>
      <c r="L10" s="375">
        <v>21.355368669435481260798999173</v>
      </c>
      <c r="M10" s="374">
        <v>284.92592592592592592592592593</v>
      </c>
      <c r="N10" s="382">
        <v>352.65148384636908211970610531</v>
      </c>
      <c r="O10" s="375">
        <v>325.39263338180770114212270218</v>
      </c>
      <c r="P10" s="4"/>
      <c r="Q10" s="354">
        <v>87.13115819576238138567528922</v>
      </c>
      <c r="R10" s="355">
        <v>71.526500871481796028166029680</v>
      </c>
      <c r="S10" s="356">
        <v>73.442870684146611065180326280</v>
      </c>
      <c r="T10" s="354">
        <v>1.1958923696867281944624983800</v>
      </c>
      <c r="U10" s="355">
        <v>19.022582802026992501961507720</v>
      </c>
      <c r="V10" s="356">
        <v>19.994175370802759077386810900</v>
      </c>
      <c r="W10" s="354">
        <v>11.672949434550890419862212400</v>
      </c>
      <c r="X10" s="355">
        <v>9.450916326491211469872462600</v>
      </c>
      <c r="Y10" s="356">
        <v>6.5629539450506298574328628200</v>
      </c>
      <c r="Z10" s="35"/>
      <c r="AA10" s="35"/>
      <c r="AB10" s="31"/>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row>
    <row r="11" ht="15.6" customHeight="1">
      <c r="A11" s="92"/>
      <c r="B11" s="344">
        <v>28</v>
      </c>
      <c r="C11" s="345" t="s">
        <v>47</v>
      </c>
      <c r="D11" s="370">
        <v>285.42741935483870967741935484</v>
      </c>
      <c r="E11" s="172">
        <v>308.74</v>
      </c>
      <c r="F11" s="371">
        <v>269.46395280235988200589970501</v>
      </c>
      <c r="G11" s="370">
        <v>1.3225806451612903225806451613</v>
      </c>
      <c r="H11" s="172">
        <v>35.897578997951104013512898018</v>
      </c>
      <c r="I11" s="371">
        <v>88.04103998104315316963765044</v>
      </c>
      <c r="J11" s="370">
        <v>26.806451612903225806451612903</v>
      </c>
      <c r="K11" s="172">
        <v>25.583197640609591573081115167</v>
      </c>
      <c r="L11" s="371">
        <v>25.589176499412044049593774998</v>
      </c>
      <c r="M11" s="370">
        <v>313.5564516129032258064516129</v>
      </c>
      <c r="N11" s="172">
        <v>370.22077663856069558659401318</v>
      </c>
      <c r="O11" s="371">
        <v>383.09416928281507922513113044</v>
      </c>
      <c r="P11" s="4"/>
      <c r="Q11" s="327">
        <v>91.02903731899899693937913120</v>
      </c>
      <c r="R11" s="171">
        <v>83.39348288424580354195810270</v>
      </c>
      <c r="S11" s="328">
        <v>70.338829042169803144212730620</v>
      </c>
      <c r="T11" s="327">
        <v>0.4217998508268820246392839700</v>
      </c>
      <c r="U11" s="171">
        <v>9.696262679767756091485420570</v>
      </c>
      <c r="V11" s="328">
        <v>22.981566163187364675875130960</v>
      </c>
      <c r="W11" s="327">
        <v>8.549162830174121035981584840</v>
      </c>
      <c r="X11" s="171">
        <v>6.9102544359864403665564767300</v>
      </c>
      <c r="Y11" s="328">
        <v>6.6796047946428321799121384200</v>
      </c>
      <c r="Z11" s="36"/>
      <c r="AA11" s="36"/>
      <c r="AB11" s="32"/>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row>
    <row r="12" ht="15.6" customHeight="1">
      <c r="A12" s="92"/>
      <c r="B12" s="346">
        <v>29</v>
      </c>
      <c r="C12" s="347" t="s">
        <v>48</v>
      </c>
      <c r="D12" s="378">
        <v>311.484375000</v>
      </c>
      <c r="E12" s="173">
        <v>326.95688492063492063492063492</v>
      </c>
      <c r="F12" s="379">
        <v>280.38212775682779110958747572</v>
      </c>
      <c r="G12" s="378">
        <v>1.6484375</v>
      </c>
      <c r="H12" s="173">
        <v>53.433950728001219642982708925</v>
      </c>
      <c r="I12" s="379">
        <v>72.674467240220920740112650431</v>
      </c>
      <c r="J12" s="378">
        <v>26.6484375</v>
      </c>
      <c r="K12" s="173">
        <v>31.444439519832582572218423812</v>
      </c>
      <c r="L12" s="379">
        <v>22.814482815043850138841107523</v>
      </c>
      <c r="M12" s="378">
        <v>339.781250000</v>
      </c>
      <c r="N12" s="173">
        <v>411.83527516846872285012176766</v>
      </c>
      <c r="O12" s="379">
        <v>375.87107781209256198854123366</v>
      </c>
      <c r="P12" s="4"/>
      <c r="Q12" s="359">
        <v>91.67203163800239124436678010</v>
      </c>
      <c r="R12" s="170">
        <v>79.39020881270727714621042722</v>
      </c>
      <c r="S12" s="360">
        <v>74.595291925333476454299094670</v>
      </c>
      <c r="T12" s="359">
        <v>0.4851466936448082405959716700</v>
      </c>
      <c r="U12" s="170">
        <v>12.974592986514593375616040150</v>
      </c>
      <c r="V12" s="360">
        <v>19.334945285828222481015095970</v>
      </c>
      <c r="W12" s="359">
        <v>7.8428216683528005150372482300</v>
      </c>
      <c r="X12" s="170">
        <v>7.6351982007781294781735326400</v>
      </c>
      <c r="Y12" s="360">
        <v>6.0697627888383010646858093600</v>
      </c>
      <c r="Z12" s="35"/>
      <c r="AA12" s="35"/>
      <c r="AB12" s="31"/>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row>
    <row r="13" ht="15.6" customHeight="1">
      <c r="A13" s="92"/>
      <c r="B13" s="344">
        <v>30</v>
      </c>
      <c r="C13" s="345" t="s">
        <v>50</v>
      </c>
      <c r="D13" s="370">
        <v>267.27777777777777777777777778</v>
      </c>
      <c r="E13" s="172">
        <v>332.71536940686784599375650364</v>
      </c>
      <c r="F13" s="371">
        <v>265.43899066712754925682682337</v>
      </c>
      <c r="G13" s="370">
        <v>0.9603174603174603174603174603</v>
      </c>
      <c r="H13" s="172">
        <v>38.858682866873949583199808337</v>
      </c>
      <c r="I13" s="371">
        <v>190.3116635700098664933349971</v>
      </c>
      <c r="J13" s="370">
        <v>243.07142857142857142857142857</v>
      </c>
      <c r="K13" s="172">
        <v>29.437035270121199528241620669</v>
      </c>
      <c r="L13" s="371">
        <v>88.39804944379737909093327513</v>
      </c>
      <c r="M13" s="370">
        <v>511.30952380952380952380952381</v>
      </c>
      <c r="N13" s="172">
        <v>401.01108754386299510519793264</v>
      </c>
      <c r="O13" s="371">
        <v>544.14870368093479484109509559</v>
      </c>
      <c r="P13" s="4"/>
      <c r="Q13" s="327">
        <v>52.273185875048506014745828480</v>
      </c>
      <c r="R13" s="171">
        <v>82.96911974297346705209746607</v>
      </c>
      <c r="S13" s="328">
        <v>48.780597816652975756838506950</v>
      </c>
      <c r="T13" s="327">
        <v>0.1878152890958478851377570800</v>
      </c>
      <c r="U13" s="171">
        <v>9.690176674385230773158904930</v>
      </c>
      <c r="V13" s="328">
        <v>34.974201405357086720181950140</v>
      </c>
      <c r="W13" s="327">
        <v>47.538998835855646100116414440</v>
      </c>
      <c r="X13" s="171">
        <v>7.3407035826413021747436290100</v>
      </c>
      <c r="Y13" s="328">
        <v>16.245200777989937522979542910</v>
      </c>
      <c r="Z13" s="36"/>
      <c r="AA13" s="36"/>
      <c r="AB13" s="32"/>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row>
    <row r="14" ht="15.6" customHeight="1">
      <c r="A14" s="92" t="s">
        <v>183</v>
      </c>
      <c r="B14" s="668">
        <v>1</v>
      </c>
      <c r="C14" s="679" t="s">
        <v>51</v>
      </c>
      <c r="D14" s="680">
        <v>297.04838709677419354838709677</v>
      </c>
      <c r="E14" s="681">
        <v>301.69745762711864406779661017</v>
      </c>
      <c r="F14" s="682">
        <v>285.45558252427184466019417476</v>
      </c>
      <c r="G14" s="680">
        <v>0.9193548387096774193548387097</v>
      </c>
      <c r="H14" s="681">
        <v>52.170810094874700727804874961</v>
      </c>
      <c r="I14" s="682">
        <v>70.498365914944211568331005688</v>
      </c>
      <c r="J14" s="680">
        <v>31.879032258064516129032258065</v>
      </c>
      <c r="K14" s="681">
        <v>32.586037388544817317103697742</v>
      </c>
      <c r="L14" s="682">
        <v>20.691920439051783790153069314</v>
      </c>
      <c r="M14" s="680">
        <v>329.84677419354838709677419355</v>
      </c>
      <c r="N14" s="681">
        <v>386.45430511053816211270518287</v>
      </c>
      <c r="O14" s="682">
        <v>376.64586887826784001867824976</v>
      </c>
      <c r="P14" s="4"/>
      <c r="Q14" s="670">
        <v>90.05647783672770836898853329</v>
      </c>
      <c r="R14" s="671">
        <v>78.068080401077075023339954890</v>
      </c>
      <c r="S14" s="672">
        <v>75.788852636143276537365207320</v>
      </c>
      <c r="T14" s="670">
        <v>0.2787217916432361066966577800</v>
      </c>
      <c r="U14" s="671">
        <v>13.499865159983713441170094070</v>
      </c>
      <c r="V14" s="672">
        <v>18.717413820282553982930685340</v>
      </c>
      <c r="W14" s="670">
        <v>9.664800371629055524314808930</v>
      </c>
      <c r="X14" s="671">
        <v>8.432054438939211535489951040</v>
      </c>
      <c r="Y14" s="672">
        <v>5.4937335435741694797041073500</v>
      </c>
      <c r="Z14" s="685"/>
      <c r="AA14" s="685"/>
      <c r="AB14" s="686"/>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row>
    <row r="15" ht="15.6" customHeight="1">
      <c r="A15" s="92"/>
      <c r="B15" s="344">
        <v>2</v>
      </c>
      <c r="C15" s="345" t="s">
        <v>52</v>
      </c>
      <c r="D15" s="370">
        <v>420.132812500</v>
      </c>
      <c r="E15" s="172">
        <v>397.13426853707414829659318637</v>
      </c>
      <c r="F15" s="371">
        <v>327.43658672615727830451756832</v>
      </c>
      <c r="G15" s="370">
        <v>1.3203125</v>
      </c>
      <c r="H15" s="172">
        <v>93.12352144415946001064497786</v>
      </c>
      <c r="I15" s="371">
        <v>79.138310073622224092110450463</v>
      </c>
      <c r="J15" s="370">
        <v>26.5234375</v>
      </c>
      <c r="K15" s="172">
        <v>33.485320682666441289068860751</v>
      </c>
      <c r="L15" s="371">
        <v>22.668223911075787416829430142</v>
      </c>
      <c r="M15" s="370">
        <v>447.976562500</v>
      </c>
      <c r="N15" s="172">
        <v>523.74311066390004959630702498</v>
      </c>
      <c r="O15" s="371">
        <v>429.24312071085528981345744892</v>
      </c>
      <c r="P15" s="4"/>
      <c r="Q15" s="327">
        <v>93.78455206571214314364939572</v>
      </c>
      <c r="R15" s="171">
        <v>75.826156077483150182387960940</v>
      </c>
      <c r="S15" s="328">
        <v>76.282314363920477387373845070</v>
      </c>
      <c r="T15" s="327">
        <v>0.2947280305540538183847508800</v>
      </c>
      <c r="U15" s="171">
        <v>17.780381173150993925950279770</v>
      </c>
      <c r="V15" s="328">
        <v>18.436710166155696242357292430</v>
      </c>
      <c r="W15" s="327">
        <v>5.920719903733803037965853400</v>
      </c>
      <c r="X15" s="171">
        <v>6.3934627493658558916617592900</v>
      </c>
      <c r="Y15" s="328">
        <v>5.280975469923826370268862500</v>
      </c>
      <c r="Z15" s="36"/>
      <c r="AA15" s="36"/>
      <c r="AB15" s="32"/>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row>
    <row r="16" ht="15.6" customHeight="1">
      <c r="A16" s="92"/>
      <c r="B16" s="346">
        <v>3</v>
      </c>
      <c r="C16" s="347" t="s">
        <v>53</v>
      </c>
      <c r="D16" s="378">
        <v>408.95419847328244274809160305</v>
      </c>
      <c r="E16" s="173">
        <v>393.97708129285014691478942214</v>
      </c>
      <c r="F16" s="379">
        <v>346.25260159929893745207580239</v>
      </c>
      <c r="G16" s="378">
        <v>1.6030534351145038167938931298</v>
      </c>
      <c r="H16" s="173">
        <v>100.63267729549071204162991246</v>
      </c>
      <c r="I16" s="379">
        <v>69.472410894865533583878020811</v>
      </c>
      <c r="J16" s="378">
        <v>25.549618320610687022900763359</v>
      </c>
      <c r="K16" s="173">
        <v>33.662188651656592034239065423</v>
      </c>
      <c r="L16" s="379">
        <v>22.110877059534220586833620318</v>
      </c>
      <c r="M16" s="378">
        <v>436.10687022900763358778625954</v>
      </c>
      <c r="N16" s="173">
        <v>528.27194723999745099065840002</v>
      </c>
      <c r="O16" s="379">
        <v>437.83588955369869162278744352</v>
      </c>
      <c r="P16" s="4"/>
      <c r="Q16" s="359">
        <v>93.77384911605111150008751969</v>
      </c>
      <c r="R16" s="170">
        <v>74.578459702662148864835502440</v>
      </c>
      <c r="S16" s="360">
        <v>79.082736217043838934547413530</v>
      </c>
      <c r="T16" s="359">
        <v>0.367582706108874496761771400</v>
      </c>
      <c r="U16" s="170">
        <v>19.049407756981011712904514550</v>
      </c>
      <c r="V16" s="360">
        <v>15.867226180494516251419374790</v>
      </c>
      <c r="W16" s="359">
        <v>5.8585681778400140031507089100</v>
      </c>
      <c r="X16" s="170">
        <v>6.3721325403568394222599830100</v>
      </c>
      <c r="Y16" s="360">
        <v>5.0500376024616448140332116800</v>
      </c>
      <c r="Z16" s="35"/>
      <c r="AA16" s="35"/>
      <c r="AB16" s="31"/>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row>
    <row r="17" ht="15.6" customHeight="1">
      <c r="A17" s="92"/>
      <c r="B17" s="344">
        <v>4</v>
      </c>
      <c r="C17" s="345" t="s">
        <v>49</v>
      </c>
      <c r="D17" s="370">
        <v>289.93023255813953488372093023</v>
      </c>
      <c r="E17" s="172">
        <v>266.29779816513761467889908257</v>
      </c>
      <c r="F17" s="371">
        <v>268.1900944006207164101900944</v>
      </c>
      <c r="G17" s="370">
        <v>3.0232558139534883720930232558</v>
      </c>
      <c r="H17" s="172">
        <v>42.54610334480172201926399762</v>
      </c>
      <c r="I17" s="371">
        <v>63.352845549722615667483743617</v>
      </c>
      <c r="J17" s="370">
        <v>25.031007751937984496124031008</v>
      </c>
      <c r="K17" s="172">
        <v>33.742399076090215971547772222</v>
      </c>
      <c r="L17" s="371">
        <v>20.660362131530622662716822423</v>
      </c>
      <c r="M17" s="370">
        <v>317.9844961240310077519379845</v>
      </c>
      <c r="N17" s="172">
        <v>342.58630058602955266971085241</v>
      </c>
      <c r="O17" s="371">
        <v>352.20330208187395474039066044</v>
      </c>
      <c r="P17" s="4"/>
      <c r="Q17" s="327">
        <v>91.17747440273037542662116041</v>
      </c>
      <c r="R17" s="171">
        <v>77.731595720438176306345914370</v>
      </c>
      <c r="S17" s="328">
        <v>76.146388411280896175668419650</v>
      </c>
      <c r="T17" s="327">
        <v>0.9507557289127254997562164800</v>
      </c>
      <c r="U17" s="171">
        <v>12.419090685185654076425350510</v>
      </c>
      <c r="V17" s="328">
        <v>17.987578530707663201397221450</v>
      </c>
      <c r="W17" s="327">
        <v>7.8717698683568990736226231100</v>
      </c>
      <c r="X17" s="171">
        <v>9.849313594376169617228735120</v>
      </c>
      <c r="Y17" s="328">
        <v>5.8660330580114406229343588900</v>
      </c>
      <c r="Z17" s="36"/>
      <c r="AA17" s="36"/>
      <c r="AB17" s="32"/>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row>
    <row r="18" ht="15.6" customHeight="1">
      <c r="A18" s="92"/>
      <c r="B18" s="346">
        <v>5</v>
      </c>
      <c r="C18" s="347" t="s">
        <v>47</v>
      </c>
      <c r="D18" s="378">
        <v>191.56470588235294117647058824</v>
      </c>
      <c r="E18" s="173">
        <v>179.39512953367875647668393783</v>
      </c>
      <c r="F18" s="379">
        <v>207.9854346836595357305416477</v>
      </c>
      <c r="G18" s="378">
        <v>4.9647058823529411764705882353</v>
      </c>
      <c r="H18" s="173">
        <v>40.880029364010480833916785973</v>
      </c>
      <c r="I18" s="379">
        <v>63.160634302784884298861038302</v>
      </c>
      <c r="J18" s="378">
        <v>32.564705882352941176470588235</v>
      </c>
      <c r="K18" s="173">
        <v>33.493470502940486467947385748</v>
      </c>
      <c r="L18" s="379">
        <v>25.198126265551177105028100502</v>
      </c>
      <c r="M18" s="378">
        <v>229.09411764705882352941176471</v>
      </c>
      <c r="N18" s="173">
        <v>253.76862940062972377854810955</v>
      </c>
      <c r="O18" s="379">
        <v>296.3441952519955971344307865</v>
      </c>
      <c r="P18" s="4"/>
      <c r="Q18" s="359">
        <v>83.61834334719868535921532378</v>
      </c>
      <c r="R18" s="170">
        <v>70.692398015226695958486420970</v>
      </c>
      <c r="S18" s="360">
        <v>70.183738374493755520491792070</v>
      </c>
      <c r="T18" s="359">
        <v>2.1671031684897036922918913400</v>
      </c>
      <c r="U18" s="170">
        <v>16.109173722758435458711963390</v>
      </c>
      <c r="V18" s="360">
        <v>21.313268596024425527027507430</v>
      </c>
      <c r="W18" s="359">
        <v>14.214553484311610948492784880</v>
      </c>
      <c r="X18" s="170">
        <v>13.198428262014868582801615640</v>
      </c>
      <c r="Y18" s="360">
        <v>8.502993029481818952480700500</v>
      </c>
      <c r="Z18" s="35"/>
      <c r="AA18" s="35"/>
      <c r="AB18" s="31"/>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row>
    <row r="19" ht="15.6" customHeight="1">
      <c r="A19" s="92"/>
      <c r="B19" s="344">
        <v>6</v>
      </c>
      <c r="C19" s="345" t="s">
        <v>48</v>
      </c>
      <c r="D19" s="370">
        <v>173.10294117647058823529411765</v>
      </c>
      <c r="E19" s="172">
        <v>190.80512376237623762376237624</v>
      </c>
      <c r="F19" s="371">
        <v>206.61018272684679056692175543</v>
      </c>
      <c r="G19" s="370">
        <v>1.9411764705882352941176470588</v>
      </c>
      <c r="H19" s="172">
        <v>73.112356885405520345763207938</v>
      </c>
      <c r="I19" s="371">
        <v>98.5301891474959729840346149</v>
      </c>
      <c r="J19" s="370">
        <v>23.397058823529411764705882353</v>
      </c>
      <c r="K19" s="172">
        <v>31.33386723660236586246994626</v>
      </c>
      <c r="L19" s="371">
        <v>20.365767836399473897266243747</v>
      </c>
      <c r="M19" s="370">
        <v>198.44117647058823529411764706</v>
      </c>
      <c r="N19" s="172">
        <v>295.25134788438412383199553043</v>
      </c>
      <c r="O19" s="371">
        <v>325.50613971074223744822261407</v>
      </c>
      <c r="P19" s="4"/>
      <c r="Q19" s="327">
        <v>87.23136208685341633318511931</v>
      </c>
      <c r="R19" s="171">
        <v>64.624641048918287273288631350</v>
      </c>
      <c r="S19" s="328">
        <v>63.473513252453196371034283260</v>
      </c>
      <c r="T19" s="327">
        <v>0.978212538906180524677634500</v>
      </c>
      <c r="U19" s="171">
        <v>24.762751265757198908697958050</v>
      </c>
      <c r="V19" s="328">
        <v>30.269840450645212468054767080</v>
      </c>
      <c r="W19" s="327">
        <v>11.790425374240403142137246180</v>
      </c>
      <c r="X19" s="171">
        <v>10.612607685324513818013410590</v>
      </c>
      <c r="Y19" s="328">
        <v>6.2566462969015911609109496600</v>
      </c>
      <c r="Z19" s="36"/>
      <c r="AA19" s="36"/>
      <c r="AB19" s="32"/>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row>
    <row r="20" ht="15.6" customHeight="1">
      <c r="A20" s="92"/>
      <c r="B20" s="346">
        <v>7</v>
      </c>
      <c r="C20" s="347" t="s">
        <v>50</v>
      </c>
      <c r="D20" s="378">
        <v>185.79816513761467889908256881</v>
      </c>
      <c r="E20" s="173">
        <v>186.50608272506082725060827251</v>
      </c>
      <c r="F20" s="379">
        <v>214.78983050847457627118644068</v>
      </c>
      <c r="G20" s="378">
        <v>0.8990825688073394495412844037</v>
      </c>
      <c r="H20" s="173">
        <v>42.193816211317270951741007544</v>
      </c>
      <c r="I20" s="379">
        <v>130.69474924288533766913920018</v>
      </c>
      <c r="J20" s="378">
        <v>24.954128440366972477064220183</v>
      </c>
      <c r="K20" s="173">
        <v>34.390637707354149169962236768</v>
      </c>
      <c r="L20" s="379">
        <v>30.619892625417020786882299981</v>
      </c>
      <c r="M20" s="378">
        <v>211.65137614678899082568807339</v>
      </c>
      <c r="N20" s="173">
        <v>263.09053664373224737231151681</v>
      </c>
      <c r="O20" s="379">
        <v>376.10447237677693472720794084</v>
      </c>
      <c r="P20" s="4"/>
      <c r="Q20" s="359">
        <v>87.78500216731686172518422193</v>
      </c>
      <c r="R20" s="170">
        <v>70.890456610235534181680219030</v>
      </c>
      <c r="S20" s="360">
        <v>57.109087044649846294213093760</v>
      </c>
      <c r="T20" s="359">
        <v>0.4247941048981361074989163400</v>
      </c>
      <c r="U20" s="170">
        <v>16.037755196210124791074925910</v>
      </c>
      <c r="V20" s="360">
        <v>34.749586575497275804687378500</v>
      </c>
      <c r="W20" s="359">
        <v>11.790203727785002167316861730</v>
      </c>
      <c r="X20" s="170">
        <v>13.071788193554341027244855060</v>
      </c>
      <c r="Y20" s="360">
        <v>8.141326379852877901099527740</v>
      </c>
      <c r="Z20" s="35"/>
      <c r="AA20" s="35"/>
      <c r="AB20" s="31"/>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row>
    <row r="21" ht="15.6" customHeight="1">
      <c r="A21" s="92"/>
      <c r="B21" s="344">
        <v>8</v>
      </c>
      <c r="C21" s="345" t="s">
        <v>51</v>
      </c>
      <c r="D21" s="370">
        <v>208.4867256637168141592920354</v>
      </c>
      <c r="E21" s="172">
        <v>197.38684210526315789473684211</v>
      </c>
      <c r="F21" s="371">
        <v>228.08390296206942769065808873</v>
      </c>
      <c r="G21" s="370">
        <v>0.8938053097345132743362831858</v>
      </c>
      <c r="H21" s="172">
        <v>36.124484963173324940073683245</v>
      </c>
      <c r="I21" s="371">
        <v>76.505890462987573642540061583</v>
      </c>
      <c r="J21" s="370">
        <v>28.486725663716814159292035398</v>
      </c>
      <c r="K21" s="172">
        <v>32.850969170835017093623160534</v>
      </c>
      <c r="L21" s="371">
        <v>33.538582811374167374298757502</v>
      </c>
      <c r="M21" s="370">
        <v>237.86725663716814159292035398</v>
      </c>
      <c r="N21" s="172">
        <v>266.36229623927149992843368589</v>
      </c>
      <c r="O21" s="371">
        <v>338.12837623643116870749690781</v>
      </c>
      <c r="P21" s="4"/>
      <c r="Q21" s="327">
        <v>87.64835001302131775735704453</v>
      </c>
      <c r="R21" s="171">
        <v>74.104648027193704263378185920</v>
      </c>
      <c r="S21" s="328">
        <v>67.454824555329599916482818790</v>
      </c>
      <c r="T21" s="327">
        <v>0.3757580267123032850924513600</v>
      </c>
      <c r="U21" s="171">
        <v>13.562161564609331022479024930</v>
      </c>
      <c r="V21" s="328">
        <v>22.626285115299516686924554370</v>
      </c>
      <c r="W21" s="327">
        <v>11.975891960266378957550504110</v>
      </c>
      <c r="X21" s="171">
        <v>12.333190408196964714142789150</v>
      </c>
      <c r="Y21" s="328">
        <v>9.918890329370883396592626840</v>
      </c>
      <c r="Z21" s="36"/>
      <c r="AA21" s="36"/>
      <c r="AB21" s="32"/>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row>
    <row r="22" ht="15.6" customHeight="1">
      <c r="A22" s="92"/>
      <c r="B22" s="346">
        <v>9</v>
      </c>
      <c r="C22" s="347" t="s">
        <v>52</v>
      </c>
      <c r="D22" s="378">
        <v>277.38095238095238095238095238</v>
      </c>
      <c r="E22" s="173">
        <v>235.39977349943374858437146092</v>
      </c>
      <c r="F22" s="379">
        <v>229.53949129852744310575635877</v>
      </c>
      <c r="G22" s="378">
        <v>1.2</v>
      </c>
      <c r="H22" s="173">
        <v>70.526303080609226210380830327</v>
      </c>
      <c r="I22" s="379">
        <v>105.67954394119431627956292653</v>
      </c>
      <c r="J22" s="378">
        <v>31.266666666666666666666666667</v>
      </c>
      <c r="K22" s="173">
        <v>35.156612552569989798375131689</v>
      </c>
      <c r="L22" s="379">
        <v>23.818262161946213260667333086</v>
      </c>
      <c r="M22" s="378">
        <v>309.84761904761904761904761905</v>
      </c>
      <c r="N22" s="173">
        <v>341.08268913261296459312742293</v>
      </c>
      <c r="O22" s="379">
        <v>359.03729740166797264598661839</v>
      </c>
      <c r="P22" s="4"/>
      <c r="Q22" s="359">
        <v>89.52173111206737566853138255</v>
      </c>
      <c r="R22" s="170">
        <v>69.015456075494440075553236370</v>
      </c>
      <c r="S22" s="360">
        <v>63.931934915868458160723027130</v>
      </c>
      <c r="T22" s="359">
        <v>0.3872871457552099342226593700</v>
      </c>
      <c r="U22" s="170">
        <v>20.677186303403570404885971940</v>
      </c>
      <c r="V22" s="360">
        <v>29.434140883409892462344076660</v>
      </c>
      <c r="W22" s="359">
        <v>10.090981742177414397245958070</v>
      </c>
      <c r="X22" s="170">
        <v>10.307357621101989519560791690</v>
      </c>
      <c r="Y22" s="360">
        <v>6.6339242007216493769328962100</v>
      </c>
      <c r="Z22" s="35"/>
      <c r="AA22" s="35"/>
      <c r="AB22" s="31"/>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row>
    <row r="23" ht="15.6" customHeight="1">
      <c r="A23" s="92"/>
      <c r="B23" s="344">
        <v>10</v>
      </c>
      <c r="C23" s="345" t="s">
        <v>53</v>
      </c>
      <c r="D23" s="370">
        <v>262.84070796460176991150442478</v>
      </c>
      <c r="E23" s="172">
        <v>225.05730994152046783625730994</v>
      </c>
      <c r="F23" s="371">
        <v>224.55132044650149741355839913</v>
      </c>
      <c r="G23" s="370">
        <v>1.0619469026548672566371681416</v>
      </c>
      <c r="H23" s="172">
        <v>47.953162486130096115094513189</v>
      </c>
      <c r="I23" s="371">
        <v>102.09913604198846426475876753</v>
      </c>
      <c r="J23" s="370">
        <v>31.424778761061946902654867257</v>
      </c>
      <c r="K23" s="172">
        <v>33.278326786745428946019198795</v>
      </c>
      <c r="L23" s="371">
        <v>28.362079425172760209692469611</v>
      </c>
      <c r="M23" s="370">
        <v>295.32743362831858407079646018</v>
      </c>
      <c r="N23" s="172">
        <v>306.28879921439599289737102193</v>
      </c>
      <c r="O23" s="371">
        <v>355.01253591366272188800963626</v>
      </c>
      <c r="P23" s="4"/>
      <c r="Q23" s="327">
        <v>88.99976027807743018099005154</v>
      </c>
      <c r="R23" s="171">
        <v>73.478792080798515255412426700</v>
      </c>
      <c r="S23" s="328">
        <v>63.251659513542152381406187420</v>
      </c>
      <c r="T23" s="327">
        <v>0.3595828838547285149226896800</v>
      </c>
      <c r="U23" s="171">
        <v>15.656192002164547918102300260</v>
      </c>
      <c r="V23" s="328">
        <v>28.759304450820425375496492640</v>
      </c>
      <c r="W23" s="327">
        <v>10.640656838067841304087258780</v>
      </c>
      <c r="X23" s="171">
        <v>10.865015917036936826485273040</v>
      </c>
      <c r="Y23" s="328">
        <v>7.989036035637422243097319930</v>
      </c>
      <c r="Z23" s="36"/>
      <c r="AA23" s="36"/>
      <c r="AB23" s="32"/>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row>
    <row r="24" ht="15.6" customHeight="1">
      <c r="A24" s="92"/>
      <c r="B24" s="346">
        <v>11</v>
      </c>
      <c r="C24" s="347" t="s">
        <v>49</v>
      </c>
      <c r="D24" s="378">
        <v>165.72727272727272727272727273</v>
      </c>
      <c r="E24" s="173">
        <v>170.22065088757396449704142011</v>
      </c>
      <c r="F24" s="379">
        <v>186.62632287858379834519915336</v>
      </c>
      <c r="G24" s="378">
        <v>3.012987012987012987012987013</v>
      </c>
      <c r="H24" s="173">
        <v>108.12070426071440354181227607</v>
      </c>
      <c r="I24" s="379">
        <v>87.96517276273841763298851443</v>
      </c>
      <c r="J24" s="378">
        <v>32.623376623376623376623376623</v>
      </c>
      <c r="K24" s="173">
        <v>26.77704806572079811098909416</v>
      </c>
      <c r="L24" s="379">
        <v>29.045770549881458317846895703</v>
      </c>
      <c r="M24" s="378">
        <v>201.36363636363636363636363636</v>
      </c>
      <c r="N24" s="173">
        <v>305.11840321400916614984279034</v>
      </c>
      <c r="O24" s="379">
        <v>303.6372661912036742960345635</v>
      </c>
      <c r="P24" s="4"/>
      <c r="Q24" s="359">
        <v>82.30248306997742663656884876</v>
      </c>
      <c r="R24" s="170">
        <v>55.788392012585911424851293800</v>
      </c>
      <c r="S24" s="360">
        <v>61.463576332248750403447403540</v>
      </c>
      <c r="T24" s="359">
        <v>1.4962915188648822960335375700</v>
      </c>
      <c r="U24" s="170">
        <v>35.435654854577504480381890270</v>
      </c>
      <c r="V24" s="360">
        <v>28.97047976559827009507304700</v>
      </c>
      <c r="W24" s="359">
        <v>16.201225411157691067397613670</v>
      </c>
      <c r="X24" s="170">
        <v>8.775953132836584094766815930</v>
      </c>
      <c r="Y24" s="360">
        <v>9.565943902152979501479549460</v>
      </c>
      <c r="Z24" s="35"/>
      <c r="AA24" s="35"/>
      <c r="AB24" s="31"/>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row>
    <row r="25" ht="15.6" customHeight="1">
      <c r="A25" s="92"/>
      <c r="B25" s="344">
        <v>12</v>
      </c>
      <c r="C25" s="345" t="s">
        <v>47</v>
      </c>
      <c r="D25" s="370">
        <v>148.4047619047619047619047619</v>
      </c>
      <c r="E25" s="172">
        <v>170.1608</v>
      </c>
      <c r="F25" s="371">
        <v>194.66908783783783783783783784</v>
      </c>
      <c r="G25" s="370">
        <v>1.7261904761904761904761904762</v>
      </c>
      <c r="H25" s="172">
        <v>67.562116530137820855632564435</v>
      </c>
      <c r="I25" s="371">
        <v>66.64884586206794832579834427</v>
      </c>
      <c r="J25" s="370">
        <v>28.261904761904761904761904762</v>
      </c>
      <c r="K25" s="172">
        <v>26.820137157306456521457169028</v>
      </c>
      <c r="L25" s="371">
        <v>28.800544348568568184379045111</v>
      </c>
      <c r="M25" s="370">
        <v>178.39285714285714285714285714</v>
      </c>
      <c r="N25" s="172">
        <v>264.54305368744427737708973345</v>
      </c>
      <c r="O25" s="371">
        <v>290.11847804847435434801522723</v>
      </c>
      <c r="P25" s="4"/>
      <c r="Q25" s="327">
        <v>83.18985652318985652318985652</v>
      </c>
      <c r="R25" s="171">
        <v>64.322535643307333289241553270</v>
      </c>
      <c r="S25" s="328">
        <v>67.099858356940509915014164300</v>
      </c>
      <c r="T25" s="327">
        <v>0.967634300967634300967634300</v>
      </c>
      <c r="U25" s="171">
        <v>25.539176171286650939523690280</v>
      </c>
      <c r="V25" s="328">
        <v>22.972975148081380375997939740</v>
      </c>
      <c r="W25" s="327">
        <v>15.842509175842509175842509180</v>
      </c>
      <c r="X25" s="171">
        <v>10.138288185406015771234756450</v>
      </c>
      <c r="Y25" s="328">
        <v>9.927166494978109708987895960</v>
      </c>
      <c r="Z25" s="36"/>
      <c r="AA25" s="36"/>
      <c r="AB25" s="32"/>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row>
    <row r="26" ht="15.6" customHeight="1">
      <c r="A26" s="92"/>
      <c r="B26" s="346">
        <v>13</v>
      </c>
      <c r="C26" s="347" t="s">
        <v>48</v>
      </c>
      <c r="D26" s="378">
        <v>159.23913043478260869565217391</v>
      </c>
      <c r="E26" s="173">
        <v>179.76164102564102564102564104</v>
      </c>
      <c r="F26" s="379">
        <v>201.01710587147480351363846509</v>
      </c>
      <c r="G26" s="378">
        <v>1.3695652173913043478260869565</v>
      </c>
      <c r="H26" s="173">
        <v>36.432611976410600488393374609</v>
      </c>
      <c r="I26" s="379">
        <v>55.520156357950402115831844236</v>
      </c>
      <c r="J26" s="378">
        <v>29.521739130434782608695652174</v>
      </c>
      <c r="K26" s="173">
        <v>27.856920459069949888521173453</v>
      </c>
      <c r="L26" s="379">
        <v>23.299534679855983777674759738</v>
      </c>
      <c r="M26" s="378">
        <v>190.13043478260869565217391304</v>
      </c>
      <c r="N26" s="173">
        <v>244.05117346112157601794018909</v>
      </c>
      <c r="O26" s="379">
        <v>279.83679690928118940714506906</v>
      </c>
      <c r="P26" s="4"/>
      <c r="Q26" s="359">
        <v>83.75257260461925451635033158</v>
      </c>
      <c r="R26" s="170">
        <v>73.657355740712242344482649390</v>
      </c>
      <c r="S26" s="360">
        <v>71.833693099568129883393562170</v>
      </c>
      <c r="T26" s="359">
        <v>0.7203292933912645780928424400</v>
      </c>
      <c r="U26" s="170">
        <v>14.928267485759283027861715600</v>
      </c>
      <c r="V26" s="360">
        <v>19.840191487022054448473089840</v>
      </c>
      <c r="W26" s="359">
        <v>15.527098101989480905556825980</v>
      </c>
      <c r="X26" s="170">
        <v>11.414376773528474627655635020</v>
      </c>
      <c r="Y26" s="360">
        <v>8.32611541340981566813334800</v>
      </c>
      <c r="Z26" s="35"/>
      <c r="AA26" s="35"/>
      <c r="AB26" s="31"/>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row>
    <row r="27" ht="15.6" customHeight="1">
      <c r="A27" s="92"/>
      <c r="B27" s="344">
        <v>14</v>
      </c>
      <c r="C27" s="345" t="s">
        <v>50</v>
      </c>
      <c r="D27" s="370">
        <v>152.77659574468085106382978723</v>
      </c>
      <c r="E27" s="172">
        <v>174.02925598991172761664564943</v>
      </c>
      <c r="F27" s="371">
        <v>203.77492006117058251077436396</v>
      </c>
      <c r="G27" s="370">
        <v>0.9680851063829787234042553191</v>
      </c>
      <c r="H27" s="172">
        <v>52.084483329448930024168394948</v>
      </c>
      <c r="I27" s="371">
        <v>120.4438249911395731786173674</v>
      </c>
      <c r="J27" s="370">
        <v>30.829787234042553191489361702</v>
      </c>
      <c r="K27" s="172">
        <v>34.683955495869851158966588146</v>
      </c>
      <c r="L27" s="371">
        <v>33.763801522050088097414505344</v>
      </c>
      <c r="M27" s="370">
        <v>184.57446808510638297872340426</v>
      </c>
      <c r="N27" s="172">
        <v>260.79769481523050879978063252</v>
      </c>
      <c r="O27" s="371">
        <v>357.9825465743602437868062367</v>
      </c>
      <c r="P27" s="4"/>
      <c r="Q27" s="327">
        <v>82.77233429394812680115273775</v>
      </c>
      <c r="R27" s="171">
        <v>66.729599014748833649064139680</v>
      </c>
      <c r="S27" s="328">
        <v>56.923143882614510075995488040</v>
      </c>
      <c r="T27" s="327">
        <v>0.5244956772334293948126801200</v>
      </c>
      <c r="U27" s="171">
        <v>19.971220745010669278038392300</v>
      </c>
      <c r="V27" s="328">
        <v>33.645166822712946176209842260</v>
      </c>
      <c r="W27" s="327">
        <v>16.703170028818443804034582130</v>
      </c>
      <c r="X27" s="171">
        <v>13.299180240240497072897468020</v>
      </c>
      <c r="Y27" s="328">
        <v>9.431689294672543747794669690</v>
      </c>
      <c r="Z27" s="36"/>
      <c r="AA27" s="36"/>
      <c r="AB27" s="32"/>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row>
    <row r="28" ht="15.6" customHeight="1">
      <c r="A28" s="92"/>
      <c r="B28" s="346">
        <v>15</v>
      </c>
      <c r="C28" s="347" t="s">
        <v>51</v>
      </c>
      <c r="D28" s="378">
        <v>168.46728971962616822429906542</v>
      </c>
      <c r="E28" s="173">
        <v>181.7335792019347037484885127</v>
      </c>
      <c r="F28" s="379">
        <v>206.79348849724202879052872326</v>
      </c>
      <c r="G28" s="378">
        <v>2.1401869158878504672897196262</v>
      </c>
      <c r="H28" s="173">
        <v>45.373546727272826193463676755</v>
      </c>
      <c r="I28" s="379">
        <v>83.98169017212222023369143577</v>
      </c>
      <c r="J28" s="378">
        <v>30.280373831775700934579439252</v>
      </c>
      <c r="K28" s="173">
        <v>47.424110197445871342689629609</v>
      </c>
      <c r="L28" s="379">
        <v>20.803528822387308986266655582</v>
      </c>
      <c r="M28" s="378">
        <v>200.8878504672897196261682243</v>
      </c>
      <c r="N28" s="173">
        <v>274.53123612665340128464181907</v>
      </c>
      <c r="O28" s="379">
        <v>311.57870749175155801048681461</v>
      </c>
      <c r="P28" s="4"/>
      <c r="Q28" s="359">
        <v>83.86136310769946499185857176</v>
      </c>
      <c r="R28" s="170">
        <v>66.197778353386703831783969790</v>
      </c>
      <c r="S28" s="360">
        <v>66.369582877455284820082738930</v>
      </c>
      <c r="T28" s="359">
        <v>1.0653640381484066061874854600</v>
      </c>
      <c r="U28" s="170">
        <v>16.527644492279196343165228830</v>
      </c>
      <c r="V28" s="360">
        <v>26.953603745321869467831836180</v>
      </c>
      <c r="W28" s="359">
        <v>15.073272854152128401953942780</v>
      </c>
      <c r="X28" s="170">
        <v>17.274577154334099825050801370</v>
      </c>
      <c r="Y28" s="360">
        <v>6.6768133772228457120854248900</v>
      </c>
      <c r="Z28" s="35"/>
      <c r="AA28" s="35"/>
      <c r="AB28" s="31"/>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row>
    <row r="29" ht="15.6" customHeight="1">
      <c r="A29" s="92"/>
      <c r="B29" s="344">
        <v>16</v>
      </c>
      <c r="C29" s="345" t="s">
        <v>52</v>
      </c>
      <c r="D29" s="370">
        <v>260.22807017543859649122807018</v>
      </c>
      <c r="E29" s="172">
        <v>244.81427038626609442060085837</v>
      </c>
      <c r="F29" s="371">
        <v>229.93394296715196727228973649</v>
      </c>
      <c r="G29" s="370">
        <v>0.4912280701754385964912280702</v>
      </c>
      <c r="H29" s="172">
        <v>70.834454082460566144598099505</v>
      </c>
      <c r="I29" s="371">
        <v>109.41913386868266507064958462</v>
      </c>
      <c r="J29" s="370">
        <v>31.745614035087719298245614035</v>
      </c>
      <c r="K29" s="172">
        <v>58.840333581159501717964427915</v>
      </c>
      <c r="L29" s="371">
        <v>31.966259724740454307189174288</v>
      </c>
      <c r="M29" s="370">
        <v>292.46491228070175438596491228</v>
      </c>
      <c r="N29" s="172">
        <v>374.48905804988616228316338579</v>
      </c>
      <c r="O29" s="371">
        <v>371.3193365605750866501284954</v>
      </c>
      <c r="P29" s="4"/>
      <c r="Q29" s="327">
        <v>88.97753516691161032962418644</v>
      </c>
      <c r="R29" s="171">
        <v>65.372876756696606882592225700</v>
      </c>
      <c r="S29" s="328">
        <v>61.923503660478438691048192040</v>
      </c>
      <c r="T29" s="327">
        <v>0.167961368885156414024774300</v>
      </c>
      <c r="U29" s="171">
        <v>18.914959612257781560237834950</v>
      </c>
      <c r="V29" s="328">
        <v>29.467663839486743822217270400</v>
      </c>
      <c r="W29" s="327">
        <v>10.854503464203233256351039260</v>
      </c>
      <c r="X29" s="171">
        <v>15.712163631045611557169939350</v>
      </c>
      <c r="Y29" s="328">
        <v>8.608832500034817486734537550</v>
      </c>
      <c r="Z29" s="36"/>
      <c r="AA29" s="36"/>
      <c r="AB29" s="32"/>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row>
    <row r="30" ht="15.6" customHeight="1">
      <c r="A30" s="92"/>
      <c r="B30" s="346">
        <v>17</v>
      </c>
      <c r="C30" s="347" t="s">
        <v>53</v>
      </c>
      <c r="D30" s="378">
        <v>288.45669291338582677165354331</v>
      </c>
      <c r="E30" s="173">
        <v>266.43615307150050352467270894</v>
      </c>
      <c r="F30" s="379">
        <v>226.72153569286142771445710858</v>
      </c>
      <c r="G30" s="378">
        <v>1.1259842519685039370078740157</v>
      </c>
      <c r="H30" s="173">
        <v>82.6614480245602560968970561</v>
      </c>
      <c r="I30" s="379">
        <v>101.94850875247261295674739975</v>
      </c>
      <c r="J30" s="378">
        <v>33.787401574803149606299212598</v>
      </c>
      <c r="K30" s="173">
        <v>34.953101249165493757073198367</v>
      </c>
      <c r="L30" s="379">
        <v>26.402609321942680867026678149</v>
      </c>
      <c r="M30" s="378">
        <v>323.37007874015748031496062992</v>
      </c>
      <c r="N30" s="173">
        <v>384.05070234522625337864296341</v>
      </c>
      <c r="O30" s="379">
        <v>355.07265376727672153823118648</v>
      </c>
      <c r="P30" s="4"/>
      <c r="Q30" s="359">
        <v>89.20327262101879809097107237</v>
      </c>
      <c r="R30" s="170">
        <v>69.375254737068261061010227970</v>
      </c>
      <c r="S30" s="360">
        <v>63.852153436028969034383225040</v>
      </c>
      <c r="T30" s="359">
        <v>0.3482029804227135482614200800</v>
      </c>
      <c r="U30" s="170">
        <v>21.523576840188985822616544270</v>
      </c>
      <c r="V30" s="360">
        <v>28.712013631805098793407560170</v>
      </c>
      <c r="W30" s="359">
        <v>10.448524398558488360767507550</v>
      </c>
      <c r="X30" s="170">
        <v>9.101168422742753116373227760</v>
      </c>
      <c r="Y30" s="360">
        <v>7.435832932165932172209214800</v>
      </c>
      <c r="Z30" s="35"/>
      <c r="AA30" s="35"/>
      <c r="AB30" s="31"/>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row>
    <row r="31" ht="15.6" customHeight="1">
      <c r="A31" s="92"/>
      <c r="B31" s="344">
        <v>18</v>
      </c>
      <c r="C31" s="345" t="s">
        <v>49</v>
      </c>
      <c r="D31" s="370">
        <v>193.83898305084745762711864407</v>
      </c>
      <c r="E31" s="172">
        <v>228.80210412147505422993492405</v>
      </c>
      <c r="F31" s="371">
        <v>196.92536416879411323021474696</v>
      </c>
      <c r="G31" s="370">
        <v>1.5</v>
      </c>
      <c r="H31" s="172">
        <v>123.60261198311466875084666236</v>
      </c>
      <c r="I31" s="371">
        <v>85.90260717222747102034820085</v>
      </c>
      <c r="J31" s="370">
        <v>28.720338983050847457627118644</v>
      </c>
      <c r="K31" s="172">
        <v>30.195249445640510210204005747</v>
      </c>
      <c r="L31" s="371">
        <v>26.568294737431477189954621433</v>
      </c>
      <c r="M31" s="370">
        <v>224.05932203389830508474576271</v>
      </c>
      <c r="N31" s="172">
        <v>382.59996555023023319098559216</v>
      </c>
      <c r="O31" s="371">
        <v>309.39626607845306144051756924</v>
      </c>
      <c r="P31" s="4"/>
      <c r="Q31" s="327">
        <v>86.51234918113393093536064148</v>
      </c>
      <c r="R31" s="171">
        <v>59.801914459774412380106841640</v>
      </c>
      <c r="S31" s="328">
        <v>63.648267855585593442051103170</v>
      </c>
      <c r="T31" s="327">
        <v>0.669465562237603540224668100</v>
      </c>
      <c r="U31" s="171">
        <v>32.305965267236101479082636470</v>
      </c>
      <c r="V31" s="328">
        <v>27.764590782244702188889857850</v>
      </c>
      <c r="W31" s="327">
        <v>12.818185256628465524414690420</v>
      </c>
      <c r="X31" s="171">
        <v>7.8921202729894861408105218900</v>
      </c>
      <c r="Y31" s="328">
        <v>8.587141362169704369059038980</v>
      </c>
      <c r="Z31" s="36"/>
      <c r="AA31" s="36"/>
      <c r="AB31" s="32"/>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row>
    <row r="32" ht="15.6" customHeight="1">
      <c r="A32" s="92"/>
      <c r="B32" s="346">
        <v>19</v>
      </c>
      <c r="C32" s="347" t="s">
        <v>47</v>
      </c>
      <c r="D32" s="378">
        <v>194.1680672268907563025210084</v>
      </c>
      <c r="E32" s="173">
        <v>239.36508269018743109151047409</v>
      </c>
      <c r="F32" s="379">
        <v>198.88032116346008180578700197</v>
      </c>
      <c r="G32" s="378">
        <v>2.4705882352941176470588235294</v>
      </c>
      <c r="H32" s="173">
        <v>91.81568259171458859682045571</v>
      </c>
      <c r="I32" s="379">
        <v>101.94960979698267216930938488</v>
      </c>
      <c r="J32" s="378">
        <v>26.420168067226890756302521008</v>
      </c>
      <c r="K32" s="173">
        <v>30.670293121920073841669761582</v>
      </c>
      <c r="L32" s="379">
        <v>33.416943085724906265923605464</v>
      </c>
      <c r="M32" s="378">
        <v>223.05882352941176470588235294</v>
      </c>
      <c r="N32" s="173">
        <v>361.85105840382209353000069138</v>
      </c>
      <c r="O32" s="379">
        <v>334.24687404616766024101999232</v>
      </c>
      <c r="P32" s="4"/>
      <c r="Q32" s="359">
        <v>87.04792043399638336347197107</v>
      </c>
      <c r="R32" s="170">
        <v>66.150167902247349017021442020</v>
      </c>
      <c r="S32" s="360">
        <v>59.501026518497776599343077720</v>
      </c>
      <c r="T32" s="359">
        <v>1.1075949367088607594936708900</v>
      </c>
      <c r="U32" s="170">
        <v>25.373888084430921444013608310</v>
      </c>
      <c r="V32" s="360">
        <v>30.501290427296842882577930530</v>
      </c>
      <c r="W32" s="359">
        <v>11.844484629294755877034358050</v>
      </c>
      <c r="X32" s="170">
        <v>8.475944013321729538964949680</v>
      </c>
      <c r="Y32" s="360">
        <v>9.997683054205380518078991740</v>
      </c>
      <c r="Z32" s="35"/>
      <c r="AA32" s="35"/>
      <c r="AB32" s="31"/>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row>
    <row r="33" ht="15.6" customHeight="1">
      <c r="A33" s="92"/>
      <c r="B33" s="344">
        <v>20</v>
      </c>
      <c r="C33" s="345" t="s">
        <v>48</v>
      </c>
      <c r="D33" s="370">
        <v>202.45762711864406779661016949</v>
      </c>
      <c r="E33" s="172">
        <v>240.36346985210466439135381115</v>
      </c>
      <c r="F33" s="371">
        <v>197.78567181926278240190249703</v>
      </c>
      <c r="G33" s="370">
        <v>0.2203389830508474576271186441</v>
      </c>
      <c r="H33" s="172">
        <v>40.639232422524131695130766026</v>
      </c>
      <c r="I33" s="371">
        <v>88.24740535221397666727282604</v>
      </c>
      <c r="J33" s="370">
        <v>23.161016949152542372881355932</v>
      </c>
      <c r="K33" s="172">
        <v>28.835615016621874963303842805</v>
      </c>
      <c r="L33" s="371">
        <v>27.449053011212792607311768051</v>
      </c>
      <c r="M33" s="370">
        <v>225.83898305084745762711864407</v>
      </c>
      <c r="N33" s="172">
        <v>309.83831729125067104978841999</v>
      </c>
      <c r="O33" s="371">
        <v>313.48213018268955167648709111</v>
      </c>
      <c r="P33" s="4"/>
      <c r="Q33" s="327">
        <v>89.64689106533078164283838043</v>
      </c>
      <c r="R33" s="171">
        <v>77.577064048589233967828939220</v>
      </c>
      <c r="S33" s="328">
        <v>63.093124862970095121867463360</v>
      </c>
      <c r="T33" s="327">
        <v>0.0975646365717287703103305900</v>
      </c>
      <c r="U33" s="171">
        <v>13.116270698153484118638552690</v>
      </c>
      <c r="V33" s="328">
        <v>28.150697234571423288347901430</v>
      </c>
      <c r="W33" s="327">
        <v>10.255544298097489586851288980</v>
      </c>
      <c r="X33" s="171">
        <v>9.306665253257281913532508080</v>
      </c>
      <c r="Y33" s="328">
        <v>8.756177902458481589784635220</v>
      </c>
      <c r="Z33" s="36"/>
      <c r="AA33" s="36"/>
      <c r="AB33" s="32"/>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row>
    <row r="34" ht="15.6" customHeight="1">
      <c r="A34" s="92"/>
      <c r="B34" s="346">
        <v>21</v>
      </c>
      <c r="C34" s="347" t="s">
        <v>50</v>
      </c>
      <c r="D34" s="378">
        <v>183.62698412698412698412698413</v>
      </c>
      <c r="E34" s="173">
        <v>218.13674019607843137254901961</v>
      </c>
      <c r="F34" s="379">
        <v>193.30356607731495355109379682</v>
      </c>
      <c r="G34" s="378">
        <v>1.380952380952380952380952381</v>
      </c>
      <c r="H34" s="173">
        <v>56.431121239906343120907417444</v>
      </c>
      <c r="I34" s="379">
        <v>76.989629299978224194261842162</v>
      </c>
      <c r="J34" s="378">
        <v>23.055555555555555555555555556</v>
      </c>
      <c r="K34" s="173">
        <v>28.182091824524143856891234885</v>
      </c>
      <c r="L34" s="379">
        <v>20.260206785182264843541455605</v>
      </c>
      <c r="M34" s="378">
        <v>208.06349206349206349206349206</v>
      </c>
      <c r="N34" s="173">
        <v>302.74995326050891835034767194</v>
      </c>
      <c r="O34" s="379">
        <v>290.55340216247544258889709459</v>
      </c>
      <c r="P34" s="4"/>
      <c r="Q34" s="359">
        <v>88.25526396093988404028074458</v>
      </c>
      <c r="R34" s="170">
        <v>72.051783277527745843820100100</v>
      </c>
      <c r="S34" s="360">
        <v>66.529445065393157306469640450</v>
      </c>
      <c r="T34" s="359">
        <v>0.6637168141592920353982300900</v>
      </c>
      <c r="U34" s="170">
        <v>18.639514434986137117771282790</v>
      </c>
      <c r="V34" s="360">
        <v>26.497583138581237026607249130</v>
      </c>
      <c r="W34" s="359">
        <v>11.081019224900823924321025330</v>
      </c>
      <c r="X34" s="170">
        <v>9.308702287486117038408617110</v>
      </c>
      <c r="Y34" s="360">
        <v>6.9729717960256056669231104200</v>
      </c>
      <c r="Z34" s="35"/>
      <c r="AA34" s="35"/>
      <c r="AB34" s="31"/>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row>
    <row r="35" ht="15.6" customHeight="1">
      <c r="A35" s="92"/>
      <c r="B35" s="344">
        <v>22</v>
      </c>
      <c r="C35" s="345" t="s">
        <v>51</v>
      </c>
      <c r="D35" s="370">
        <v>188.01587301587301587301587302</v>
      </c>
      <c r="E35" s="172">
        <v>217.12516014234875444839857651</v>
      </c>
      <c r="F35" s="371">
        <v>190.14291725105189340813464236</v>
      </c>
      <c r="G35" s="370">
        <v>1.1666666666666666666666666667</v>
      </c>
      <c r="H35" s="172">
        <v>56.609767316984899819275040375</v>
      </c>
      <c r="I35" s="371">
        <v>63.931251853231998412719176087</v>
      </c>
      <c r="J35" s="370">
        <v>23.611111111111111111111111111</v>
      </c>
      <c r="K35" s="172">
        <v>28.801482761635211306483182153</v>
      </c>
      <c r="L35" s="371">
        <v>19.642386957114916591849125826</v>
      </c>
      <c r="M35" s="370">
        <v>212.79365079365079365079365079</v>
      </c>
      <c r="N35" s="172">
        <v>302.53641022096886557415679905</v>
      </c>
      <c r="O35" s="371">
        <v>273.71655606139880841270294426</v>
      </c>
      <c r="P35" s="4"/>
      <c r="Q35" s="327">
        <v>88.35596001790243174697896464</v>
      </c>
      <c r="R35" s="171">
        <v>71.768274100880357946183029420</v>
      </c>
      <c r="S35" s="328">
        <v>69.467086677942831470105970830</v>
      </c>
      <c r="T35" s="327">
        <v>0.548261972251230792182604800</v>
      </c>
      <c r="U35" s="171">
        <v>18.711720442388347051623279280</v>
      </c>
      <c r="V35" s="328">
        <v>23.356735439448990132986328940</v>
      </c>
      <c r="W35" s="327">
        <v>11.095778009846337460838430550</v>
      </c>
      <c r="X35" s="171">
        <v>9.520005456731295002193691290</v>
      </c>
      <c r="Y35" s="328">
        <v>7.1761778826081783969077002300</v>
      </c>
      <c r="Z35" s="36"/>
      <c r="AA35" s="36"/>
      <c r="AB35" s="32"/>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row>
    <row r="36" ht="15.6" customHeight="1">
      <c r="A36" s="92"/>
      <c r="B36" s="346">
        <v>23</v>
      </c>
      <c r="C36" s="347" t="s">
        <v>52</v>
      </c>
      <c r="D36" s="378">
        <v>245.53608247422680412371134021</v>
      </c>
      <c r="E36" s="173">
        <v>241.01570621468926553672316384</v>
      </c>
      <c r="F36" s="379">
        <v>213.32176077557971963841215774</v>
      </c>
      <c r="G36" s="378">
        <v>1.5876288659793814432989690722</v>
      </c>
      <c r="H36" s="173">
        <v>70.614873059835631088595722407</v>
      </c>
      <c r="I36" s="379">
        <v>89.32462377035815170692893661</v>
      </c>
      <c r="J36" s="378">
        <v>32.783505154639175257731958763</v>
      </c>
      <c r="K36" s="173">
        <v>37.367318398789916546813940823</v>
      </c>
      <c r="L36" s="379">
        <v>28.940591991669281904172866713</v>
      </c>
      <c r="M36" s="378">
        <v>279.90721649484536082474226804</v>
      </c>
      <c r="N36" s="173">
        <v>348.99789767331481317213282707</v>
      </c>
      <c r="O36" s="379">
        <v>331.58697653760715324951396106</v>
      </c>
      <c r="P36" s="4"/>
      <c r="Q36" s="359">
        <v>87.72052594747891422047070089</v>
      </c>
      <c r="R36" s="170">
        <v>69.059357612605436659560667480</v>
      </c>
      <c r="S36" s="360">
        <v>64.333576367522291088228235260</v>
      </c>
      <c r="T36" s="359">
        <v>0.5671982615741593311480240100</v>
      </c>
      <c r="U36" s="170">
        <v>20.233609867167692020074649280</v>
      </c>
      <c r="V36" s="360">
        <v>26.938519933163702294113833270</v>
      </c>
      <c r="W36" s="359">
        <v>11.712275790946926448381275090</v>
      </c>
      <c r="X36" s="170">
        <v>10.707032520226871320364683240</v>
      </c>
      <c r="Y36" s="360">
        <v>8.727903699314006617657931460</v>
      </c>
      <c r="Z36" s="35"/>
      <c r="AA36" s="35"/>
      <c r="AB36" s="31"/>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row>
    <row r="37" ht="15.6" customHeight="1">
      <c r="A37" s="92"/>
      <c r="B37" s="348">
        <v>24</v>
      </c>
      <c r="C37" s="349" t="s">
        <v>53</v>
      </c>
      <c r="D37" s="380">
        <v>275.00833333333333333333333333</v>
      </c>
      <c r="E37" s="383">
        <v>270.29382716049382716049382717</v>
      </c>
      <c r="F37" s="381">
        <v>234.34187434187434187434187434</v>
      </c>
      <c r="G37" s="380">
        <v>0.2166666666666666666666666667</v>
      </c>
      <c r="H37" s="383">
        <v>56.819314073173624624946724987</v>
      </c>
      <c r="I37" s="381">
        <v>65.529951406308682913475560766</v>
      </c>
      <c r="J37" s="380">
        <v>31.366666666666666666666666667</v>
      </c>
      <c r="K37" s="383">
        <v>38.365496467028574199462290434</v>
      </c>
      <c r="L37" s="381">
        <v>27.133156942818154299125286742</v>
      </c>
      <c r="M37" s="380">
        <v>306.59166666666666666666666667</v>
      </c>
      <c r="N37" s="383">
        <v>365.47863770069602598490284259</v>
      </c>
      <c r="O37" s="381">
        <v>327.00498269100117908694272186</v>
      </c>
      <c r="P37" s="4"/>
      <c r="Q37" s="329">
        <v>89.69856758446359163925960153</v>
      </c>
      <c r="R37" s="330">
        <v>73.956121994152621121578641200</v>
      </c>
      <c r="S37" s="332">
        <v>71.663089783348177399105063790</v>
      </c>
      <c r="T37" s="329">
        <v>0.0706694572042075507596966600</v>
      </c>
      <c r="U37" s="330">
        <v>15.546548611058647548104890190</v>
      </c>
      <c r="V37" s="332">
        <v>20.039435138586344174866671670</v>
      </c>
      <c r="W37" s="329">
        <v>10.230762958332200809980701800</v>
      </c>
      <c r="X37" s="330">
        <v>10.497329394788731330316468610</v>
      </c>
      <c r="Y37" s="332">
        <v>8.297475078065478426028264530</v>
      </c>
      <c r="Z37" s="37"/>
      <c r="AA37" s="37"/>
      <c r="AB37" s="33"/>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row>
    <row r="38" ht="21" customHeight="1">
      <c r="B38" s="54"/>
      <c r="C38"/>
      <c r="D38" s="169"/>
      <c r="E38" s="169"/>
      <c r="F38" s="169"/>
      <c r="G38" s="169"/>
      <c r="H38" s="169"/>
      <c r="I38" s="169"/>
      <c r="J38" s="169"/>
      <c r="K38" s="169"/>
      <c r="L38" s="169"/>
      <c r="M38" s="169"/>
      <c r="N38" s="169"/>
      <c r="O38" s="169"/>
      <c r="P38" s="4"/>
      <c r="Q38" s="4"/>
      <c r="R38" s="4"/>
      <c r="S38" s="4"/>
      <c r="T38" s="4"/>
      <c r="U38" s="4"/>
      <c r="V38" s="4"/>
      <c r="W38" s="4"/>
      <c r="X38" s="4"/>
      <c r="Y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row>
    <row r="39" ht="15.6" customHeight="1">
      <c r="A39" s="54"/>
      <c r="B39" s="53"/>
      <c r="C39" s="53" t="s">
        <v>14</v>
      </c>
      <c r="D39" s="374">
        <v>231.12731481481481481481481481</v>
      </c>
      <c r="E39" s="382">
        <v>233.01237982195845697329376854</v>
      </c>
      <c r="F39" s="375">
        <v>227.12589470624568542673400429</v>
      </c>
      <c r="G39" s="374">
        <v>2.7013888888888888888888888889</v>
      </c>
      <c r="H39" s="382">
        <v>84.42922400915991848701561316</v>
      </c>
      <c r="I39" s="375">
        <v>73.947995381018801201112307092</v>
      </c>
      <c r="J39" s="374">
        <v>29.449074074074074074074074074</v>
      </c>
      <c r="K39" s="382">
        <v>31.264271059900145357229431456</v>
      </c>
      <c r="L39" s="375">
        <v>23.873459273724432614893964623</v>
      </c>
      <c r="M39" s="374">
        <v>263.27777777777777777777777778</v>
      </c>
      <c r="N39" s="382">
        <v>348.70587489101852081753881316</v>
      </c>
      <c r="O39" s="375">
        <v>324.94734936098891924274027599</v>
      </c>
      <c r="P39" s="4"/>
      <c r="Q39" s="354">
        <v>87.78838714215375958359710206</v>
      </c>
      <c r="R39" s="355">
        <v>66.822040177780803027461984870</v>
      </c>
      <c r="S39" s="356">
        <v>69.896214002942396032878347280</v>
      </c>
      <c r="T39" s="354">
        <v>1.0260603502848702257860308100</v>
      </c>
      <c r="U39" s="355">
        <v>24.212159899957718948099813330</v>
      </c>
      <c r="V39" s="356">
        <v>22.75691601314428819429594500</v>
      </c>
      <c r="W39" s="354">
        <v>11.185552507561370190616867130</v>
      </c>
      <c r="X39" s="355">
        <v>8.965799922261478024438201790</v>
      </c>
      <c r="Y39" s="356">
        <v>7.3468699839133157728257077200</v>
      </c>
      <c r="Z39" s="38"/>
      <c r="AA39" s="38"/>
      <c r="AB39" s="34"/>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row>
    <row r="40" ht="15.6" customHeight="1">
      <c r="A40" s="54"/>
      <c r="C40" s="53" t="s">
        <v>15</v>
      </c>
      <c r="D40" s="370">
        <v>211.76699029126213592233009709</v>
      </c>
      <c r="E40" s="172">
        <v>232.43209586186364989580232212</v>
      </c>
      <c r="F40" s="371">
        <v>221.8359734657628593177946134</v>
      </c>
      <c r="G40" s="370">
        <v>2.4878640776699029126213592233</v>
      </c>
      <c r="H40" s="172">
        <v>58.504823557750851941718474427</v>
      </c>
      <c r="I40" s="371">
        <v>80.83409201081381696468661466</v>
      </c>
      <c r="J40" s="370">
        <v>28.179611650485436893203883495</v>
      </c>
      <c r="K40" s="172">
        <v>29.02340616250254844018456844</v>
      </c>
      <c r="L40" s="371">
        <v>28.057910787731935749897891045</v>
      </c>
      <c r="M40" s="370">
        <v>242.43446601941747572815533981</v>
      </c>
      <c r="N40" s="172">
        <v>319.96032558211705027770536499</v>
      </c>
      <c r="O40" s="371">
        <v>330.72797626430861203237911911</v>
      </c>
      <c r="P40" s="4"/>
      <c r="Q40" s="327">
        <v>87.35019973368841544607190413</v>
      </c>
      <c r="R40" s="171">
        <v>72.644036550153625180681349130</v>
      </c>
      <c r="S40" s="328">
        <v>67.075055449339342021582450960</v>
      </c>
      <c r="T40" s="327">
        <v>1.0262006547660763092818597800</v>
      </c>
      <c r="U40" s="171">
        <v>18.285024385854904774278120820</v>
      </c>
      <c r="V40" s="328">
        <v>24.441262249376041883486431850</v>
      </c>
      <c r="W40" s="327">
        <v>11.623599611545508244646236100</v>
      </c>
      <c r="X40" s="171">
        <v>9.070939063991470045040530050</v>
      </c>
      <c r="Y40" s="328">
        <v>8.483682301284616094931117190</v>
      </c>
      <c r="Z40" s="36"/>
      <c r="AA40" s="36"/>
      <c r="AB40" s="32"/>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row>
    <row r="41" ht="15.6" customHeight="1">
      <c r="A41" s="54"/>
      <c r="B41" s="22"/>
      <c r="C41" s="53" t="s">
        <v>16</v>
      </c>
      <c r="D41" s="378">
        <v>222.12068965517241379310344828</v>
      </c>
      <c r="E41" s="173">
        <v>240.35587050359712230215827338</v>
      </c>
      <c r="F41" s="379">
        <v>225.99312678439251348207676853</v>
      </c>
      <c r="G41" s="378">
        <v>1.2192118226600985221674876847</v>
      </c>
      <c r="H41" s="173">
        <v>50.956986859922840282149645508</v>
      </c>
      <c r="I41" s="379">
        <v>78.279295821332550377517318882</v>
      </c>
      <c r="J41" s="378">
        <v>25.741379310344827586206896552</v>
      </c>
      <c r="K41" s="173">
        <v>29.953572178662199670636685151</v>
      </c>
      <c r="L41" s="379">
        <v>23.471836021569197819058876389</v>
      </c>
      <c r="M41" s="378">
        <v>249.08128078817733990147783251</v>
      </c>
      <c r="N41" s="173">
        <v>321.26642954218216225494460403</v>
      </c>
      <c r="O41" s="379">
        <v>327.7442586272942616786529638</v>
      </c>
      <c r="P41" s="4"/>
      <c r="Q41" s="359">
        <v>89.17598663067232292068389253</v>
      </c>
      <c r="R41" s="170">
        <v>74.815121781044504135233239290</v>
      </c>
      <c r="S41" s="360">
        <v>68.954107001272729260548830150</v>
      </c>
      <c r="T41" s="359">
        <v>0.4894835207214690438755228600</v>
      </c>
      <c r="U41" s="170">
        <v>15.861285890511074059200333940</v>
      </c>
      <c r="V41" s="360">
        <v>23.884261512068336058534265990</v>
      </c>
      <c r="W41" s="359">
        <v>10.334529848606208035440584610</v>
      </c>
      <c r="X41" s="170">
        <v>9.323592328444421805566426770</v>
      </c>
      <c r="Y41" s="360">
        <v>7.1616314866589346809169038600</v>
      </c>
      <c r="Z41" s="35"/>
      <c r="AA41" s="35"/>
      <c r="AB41" s="31"/>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row>
    <row r="42" ht="15.6" customHeight="1">
      <c r="A42" s="54"/>
      <c r="B42" s="22"/>
      <c r="C42" s="53" t="s">
        <v>17</v>
      </c>
      <c r="D42" s="370">
        <v>200.93846153846153846153846154</v>
      </c>
      <c r="E42" s="172">
        <v>232.62153596698113207547169811</v>
      </c>
      <c r="F42" s="371">
        <v>222.18659438818996965667723569</v>
      </c>
      <c r="G42" s="370">
        <v>1.0637362637362637362637362637</v>
      </c>
      <c r="H42" s="172">
        <v>46.986232716033384365451684505</v>
      </c>
      <c r="I42" s="371">
        <v>133.60130990577935513712666364</v>
      </c>
      <c r="J42" s="370">
        <v>86.04395604395604395604395604</v>
      </c>
      <c r="K42" s="172">
        <v>31.562222502083749033205456415</v>
      </c>
      <c r="L42" s="371">
        <v>46.130111043557487246248150823</v>
      </c>
      <c r="M42" s="370">
        <v>288.04615384615384615384615385</v>
      </c>
      <c r="N42" s="172">
        <v>311.16999118509826547412883903</v>
      </c>
      <c r="O42" s="371">
        <v>401.91801533752681204005205015</v>
      </c>
      <c r="P42" s="4"/>
      <c r="Q42" s="327">
        <v>69.759119799177482241093841800</v>
      </c>
      <c r="R42" s="171">
        <v>74.757059664087952272295207060</v>
      </c>
      <c r="S42" s="328">
        <v>55.281571342752537294910157440</v>
      </c>
      <c r="T42" s="327">
        <v>0.3692936876721526617376641400</v>
      </c>
      <c r="U42" s="171">
        <v>15.099859898792041808351650700</v>
      </c>
      <c r="V42" s="328">
        <v>33.240935914152114792319597180</v>
      </c>
      <c r="W42" s="327">
        <v>29.871586513150365097168494060</v>
      </c>
      <c r="X42" s="171">
        <v>10.143080437120005919353142240</v>
      </c>
      <c r="Y42" s="328">
        <v>11.477492743095347912770245380</v>
      </c>
      <c r="Z42" s="36"/>
      <c r="AA42" s="36"/>
      <c r="AB42" s="32"/>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row>
    <row r="43" ht="15.6" customHeight="1">
      <c r="A43" s="54"/>
      <c r="B43" s="22"/>
      <c r="C43" s="53" t="s">
        <v>18</v>
      </c>
      <c r="D43" s="378">
        <v>217.25319148936170212765957447</v>
      </c>
      <c r="E43" s="173">
        <v>226.67680045871559633027522936</v>
      </c>
      <c r="F43" s="379">
        <v>229.5368424530795664816283373</v>
      </c>
      <c r="G43" s="378">
        <v>1.2574468085106382978723404255</v>
      </c>
      <c r="H43" s="173">
        <v>47.611238984818836380251009415</v>
      </c>
      <c r="I43" s="379">
        <v>73.743811546603859435294576193</v>
      </c>
      <c r="J43" s="378">
        <v>28.48297872340425531914893617</v>
      </c>
      <c r="K43" s="173">
        <v>35.255835851904338078825166061</v>
      </c>
      <c r="L43" s="379">
        <v>23.639163346368080366286962693</v>
      </c>
      <c r="M43" s="378">
        <v>246.99361702127659574468085106</v>
      </c>
      <c r="N43" s="173">
        <v>309.54387529543877078935140482</v>
      </c>
      <c r="O43" s="379">
        <v>326.91981734605150628320987619</v>
      </c>
      <c r="P43" s="4"/>
      <c r="Q43" s="359">
        <v>87.95903072695478391206595054</v>
      </c>
      <c r="R43" s="170">
        <v>73.229295925292614686979069930</v>
      </c>
      <c r="S43" s="360">
        <v>70.211969502634949910868251690</v>
      </c>
      <c r="T43" s="359">
        <v>0.509100932920998905992919100</v>
      </c>
      <c r="U43" s="170">
        <v>15.381095471321187339223913770</v>
      </c>
      <c r="V43" s="360">
        <v>22.557155496188376694854455360</v>
      </c>
      <c r="W43" s="359">
        <v>11.531868340124217181941130360</v>
      </c>
      <c r="X43" s="170">
        <v>11.389608603386197973797016300</v>
      </c>
      <c r="Y43" s="360">
        <v>7.2308750011766733942772929400</v>
      </c>
      <c r="Z43" s="35"/>
      <c r="AA43" s="35"/>
      <c r="AB43" s="31"/>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row>
    <row r="44" ht="15.6" customHeight="1">
      <c r="A44" s="54"/>
      <c r="B44" s="22"/>
      <c r="C44" s="53" t="s">
        <v>19</v>
      </c>
      <c r="D44" s="370">
        <v>307.17342342342342342342342342</v>
      </c>
      <c r="E44" s="172">
        <v>282.76468361276365603028664143</v>
      </c>
      <c r="F44" s="371">
        <v>252.92303653602643688810648877</v>
      </c>
      <c r="G44" s="370">
        <v>1.1373873873873873873873873874</v>
      </c>
      <c r="H44" s="172">
        <v>76.723600293200883989876312642</v>
      </c>
      <c r="I44" s="371">
        <v>95.43526414875413641481400045</v>
      </c>
      <c r="J44" s="370">
        <v>30.353603603603603603603603604</v>
      </c>
      <c r="K44" s="172">
        <v>41.203598324983813181051689767</v>
      </c>
      <c r="L44" s="371">
        <v>26.798794556881379652573011473</v>
      </c>
      <c r="M44" s="370">
        <v>338.66441441441441441441441441</v>
      </c>
      <c r="N44" s="172">
        <v>400.69188223094835320121464386</v>
      </c>
      <c r="O44" s="371">
        <v>375.15709524166195295549350073</v>
      </c>
      <c r="P44" s="4"/>
      <c r="Q44" s="327">
        <v>90.70141719925249556086109319</v>
      </c>
      <c r="R44" s="171">
        <v>70.569107125006706588650733840</v>
      </c>
      <c r="S44" s="328">
        <v>67.417900326022895107088815830</v>
      </c>
      <c r="T44" s="327">
        <v>0.3358449659832277028869366300</v>
      </c>
      <c r="U44" s="171">
        <v>19.147780051351128018782818960</v>
      </c>
      <c r="V44" s="328">
        <v>25.438746956732449298811260450</v>
      </c>
      <c r="W44" s="327">
        <v>8.962737834764276736251970180</v>
      </c>
      <c r="X44" s="171">
        <v>10.283112823642165392566447190</v>
      </c>
      <c r="Y44" s="328">
        <v>7.1433527172446555940999237100</v>
      </c>
      <c r="Z44" s="36"/>
      <c r="AA44" s="36"/>
      <c r="AB44" s="32"/>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row>
    <row r="45" ht="15.6" customHeight="1">
      <c r="A45" s="54"/>
      <c r="B45" s="22"/>
      <c r="C45" s="53" t="s">
        <v>20</v>
      </c>
      <c r="D45" s="384">
        <v>311.4236252545824847250509165</v>
      </c>
      <c r="E45" s="385">
        <v>291.9075972043569608077819992</v>
      </c>
      <c r="F45" s="386">
        <v>260.90889468477381059447792068</v>
      </c>
      <c r="G45" s="384">
        <v>1.0162932790224032586558044807</v>
      </c>
      <c r="H45" s="385">
        <v>73.025665969631651210255879579</v>
      </c>
      <c r="I45" s="386">
        <v>83.76230498981485914297165671</v>
      </c>
      <c r="J45" s="384">
        <v>30.454175152749490835030549898</v>
      </c>
      <c r="K45" s="385">
        <v>35.130085080843150307011106462</v>
      </c>
      <c r="L45" s="386">
        <v>25.846774986433612317021800216</v>
      </c>
      <c r="M45" s="384">
        <v>342.89409368635437881873727088</v>
      </c>
      <c r="N45" s="385">
        <v>400.06334825483176232504898525</v>
      </c>
      <c r="O45" s="386">
        <v>370.51797466102228205447137761</v>
      </c>
      <c r="P45" s="4"/>
      <c r="Q45" s="364">
        <v>90.82210250592476880037538385</v>
      </c>
      <c r="R45" s="365">
        <v>72.965343733117508551707907330</v>
      </c>
      <c r="S45" s="366">
        <v>70.417338031568615825420626380</v>
      </c>
      <c r="T45" s="364">
        <v>0.2963869304648938887271992900</v>
      </c>
      <c r="U45" s="365">
        <v>18.253525669918622502541035060</v>
      </c>
      <c r="V45" s="366">
        <v>22.606812818311154090351500660</v>
      </c>
      <c r="W45" s="364">
        <v>8.881510563610337310897416860</v>
      </c>
      <c r="X45" s="365">
        <v>8.781130596963868945751057610</v>
      </c>
      <c r="Y45" s="366">
        <v>6.9758491501202300842278729600</v>
      </c>
      <c r="Z45" s="56"/>
      <c r="AA45" s="56"/>
      <c r="AB45" s="55"/>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row>
    <row r="46" ht="20.25" customHeight="1">
      <c r="B46" s="54"/>
      <c r="C46"/>
      <c r="D46" s="169"/>
      <c r="E46" s="169"/>
      <c r="F46" s="169"/>
      <c r="G46" s="169"/>
      <c r="H46" s="169"/>
      <c r="I46" s="169"/>
      <c r="J46" s="169"/>
      <c r="K46" s="169"/>
      <c r="L46" s="169"/>
      <c r="M46" s="169"/>
      <c r="N46" s="169"/>
      <c r="O46" s="169"/>
      <c r="P46" s="4"/>
      <c r="Q46" s="4"/>
      <c r="R46" s="4"/>
      <c r="S46" s="4"/>
      <c r="T46" s="4"/>
      <c r="U46" s="4"/>
      <c r="V46" s="4"/>
      <c r="W46" s="4"/>
      <c r="X46" s="4"/>
      <c r="Y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row>
    <row r="47" ht="15.6" customHeight="1">
      <c r="A47" s="22"/>
      <c r="B47" s="22"/>
      <c r="C47" s="53" t="s">
        <v>72</v>
      </c>
      <c r="D47" s="374">
        <v>210.57524271844660194174757282</v>
      </c>
      <c r="E47" s="382">
        <v>237.39520525492286117164268923</v>
      </c>
      <c r="F47" s="375">
        <v>204.75204114304010245737613063</v>
      </c>
      <c r="G47" s="374">
        <v>1.2111650485436893203883495146</v>
      </c>
      <c r="H47" s="382">
        <v>71.328147842069710061934782805</v>
      </c>
      <c r="I47" s="375">
        <v>81.05101533278443699125864372</v>
      </c>
      <c r="J47" s="374">
        <v>26.808252427184466019417475728</v>
      </c>
      <c r="K47" s="382">
        <v>31.951458470424457962335186501</v>
      </c>
      <c r="L47" s="375">
        <v>26.219847410071243215523060484</v>
      </c>
      <c r="M47" s="374">
        <v>238.59466019417475728155339806</v>
      </c>
      <c r="N47" s="382">
        <v>340.67481156741702919591265854</v>
      </c>
      <c r="O47" s="375">
        <v>312.02290388589578266415783483</v>
      </c>
      <c r="P47" s="4"/>
      <c r="Q47" s="354">
        <v>88.25647755363628040406506546</v>
      </c>
      <c r="R47" s="355">
        <v>69.683814944429521847913575550</v>
      </c>
      <c r="S47" s="356">
        <v>65.620836994042028696283322810</v>
      </c>
      <c r="T47" s="354">
        <v>0.5076245409507532985422325300</v>
      </c>
      <c r="U47" s="355">
        <v>20.937311893971473259195372320</v>
      </c>
      <c r="V47" s="356">
        <v>25.975982635692708209974891280</v>
      </c>
      <c r="W47" s="354">
        <v>11.235897905412966297392702010</v>
      </c>
      <c r="X47" s="355">
        <v>9.378873161599004892891052130</v>
      </c>
      <c r="Y47" s="356">
        <v>8.403180370265263093741785910</v>
      </c>
      <c r="Z47" s="38"/>
      <c r="AA47" s="38"/>
      <c r="AB47" s="34"/>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row>
    <row r="48" ht="15.6" customHeight="1">
      <c r="A48" s="22"/>
      <c r="B48" s="22"/>
      <c r="C48" s="53" t="s">
        <v>61</v>
      </c>
      <c r="D48" s="370">
        <v>244.40707395498392282958199357</v>
      </c>
      <c r="E48" s="172">
        <v>249.73728371406926777699417068</v>
      </c>
      <c r="F48" s="371">
        <v>235.32563741547420646323008256</v>
      </c>
      <c r="G48" s="370">
        <v>1.5324758842443729903536977492</v>
      </c>
      <c r="H48" s="172">
        <v>62.873522258664835009268215224</v>
      </c>
      <c r="I48" s="371">
        <v>88.69558758036762699321759678</v>
      </c>
      <c r="J48" s="370">
        <v>37.218649517684887459807073955</v>
      </c>
      <c r="K48" s="172">
        <v>33.478191082335888179853483584</v>
      </c>
      <c r="L48" s="371">
        <v>28.232904397125714145601066843</v>
      </c>
      <c r="M48" s="370">
        <v>283.15819935691318327974276527</v>
      </c>
      <c r="N48" s="172">
        <v>346.08899705506999096611586949</v>
      </c>
      <c r="O48" s="371">
        <v>352.25412939296754760204874619</v>
      </c>
      <c r="P48" s="4"/>
      <c r="Q48" s="327">
        <v>86.31467303792092407412033767</v>
      </c>
      <c r="R48" s="171">
        <v>72.159844964482025319600294080</v>
      </c>
      <c r="S48" s="328">
        <v>66.805643363501839343352614880</v>
      </c>
      <c r="T48" s="327">
        <v>0.5412083731725984588166091700</v>
      </c>
      <c r="U48" s="171">
        <v>18.166865399844059149545185400</v>
      </c>
      <c r="V48" s="328">
        <v>25.179431603318589381679416230</v>
      </c>
      <c r="W48" s="327">
        <v>13.144118588906477467063053160</v>
      </c>
      <c r="X48" s="171">
        <v>9.673289635673915530854520520</v>
      </c>
      <c r="Y48" s="328">
        <v>8.014925033179571274967968890</v>
      </c>
      <c r="Z48" s="36"/>
      <c r="AA48" s="36"/>
      <c r="AB48" s="32"/>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row>
    <row r="49" ht="15.6" customHeight="1">
      <c r="A49" s="54"/>
      <c r="B49" s="22"/>
      <c r="C49" s="53" t="s">
        <v>31</v>
      </c>
      <c r="D49" s="384">
        <v>237.93978658536585365853658537</v>
      </c>
      <c r="E49" s="385">
        <v>239.19408140976504707170233919</v>
      </c>
      <c r="F49" s="386">
        <v>229.75940287930137792688014722</v>
      </c>
      <c r="G49" s="384">
        <v>1.4870426829268292682926829268</v>
      </c>
      <c r="H49" s="385">
        <v>65.563839087014861257528310871</v>
      </c>
      <c r="I49" s="386">
        <v>85.55996279895260470680774307</v>
      </c>
      <c r="J49" s="384">
        <v>28.504573170731707317073170732</v>
      </c>
      <c r="K49" s="385">
        <v>34.151909626941561283675287781</v>
      </c>
      <c r="L49" s="386">
        <v>25.959498076158208722674670037</v>
      </c>
      <c r="M49" s="384">
        <v>267.93140243902439024390243902</v>
      </c>
      <c r="N49" s="385">
        <v>338.90983012372146961290593784</v>
      </c>
      <c r="O49" s="386">
        <v>341.27886375441219135636256033</v>
      </c>
      <c r="P49" s="4"/>
      <c r="Q49" s="364">
        <v>88.80623339383146623578341289</v>
      </c>
      <c r="R49" s="365">
        <v>70.577498835736198119747053890</v>
      </c>
      <c r="S49" s="366">
        <v>67.323068399758452759472406820</v>
      </c>
      <c r="T49" s="364">
        <v>0.5550087333511603693610145500</v>
      </c>
      <c r="U49" s="365">
        <v>19.345511183042495556336937680</v>
      </c>
      <c r="V49" s="366">
        <v>25.070396056089322015335357780</v>
      </c>
      <c r="W49" s="364">
        <v>10.638757872817373394855572560</v>
      </c>
      <c r="X49" s="365">
        <v>10.076989981221306323916008430</v>
      </c>
      <c r="Y49" s="366">
        <v>7.606535544152225225192235400</v>
      </c>
      <c r="Z49" s="56"/>
      <c r="AA49" s="56"/>
      <c r="AB49" s="55"/>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row>
    <row r="50">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row>
    <row r="51" ht="15">
      <c r="D51" s="6" t="s">
        <v>95</v>
      </c>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row>
    <row r="52" ht="9.95" customHeight="1">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row>
    <row r="53" s="100" customFormat="1" ht="24.95" customHeight="1">
      <c r="D53" s="650" t="s">
        <v>114</v>
      </c>
      <c r="E53" s="650"/>
      <c r="F53" s="650"/>
      <c r="G53" s="650"/>
      <c r="H53" s="650"/>
      <c r="I53" s="650"/>
      <c r="J53" s="650"/>
      <c r="K53" s="650"/>
      <c r="L53" s="650"/>
      <c r="M53" s="650"/>
      <c r="N53" s="650"/>
      <c r="O53" s="650"/>
      <c r="P53" s="650"/>
      <c r="Q53" s="650"/>
      <c r="R53" s="650"/>
      <c r="S53" s="650"/>
      <c r="T53" s="650"/>
      <c r="U53" s="650"/>
      <c r="V53" s="650"/>
      <c r="W53" s="650"/>
      <c r="X53" s="650"/>
      <c r="Y53" s="650"/>
      <c r="Z53" s="426"/>
      <c r="AD53" s="427"/>
      <c r="AE53" s="427"/>
      <c r="AF53" s="427"/>
      <c r="AG53" s="427"/>
      <c r="AH53" s="427"/>
      <c r="AI53" s="427"/>
      <c r="AJ53" s="427"/>
      <c r="AK53" s="427"/>
      <c r="AL53" s="427"/>
      <c r="AM53" s="427"/>
      <c r="AN53" s="427"/>
      <c r="AO53" s="427"/>
      <c r="AP53" s="427"/>
      <c r="AQ53" s="427"/>
      <c r="AR53" s="427"/>
      <c r="AS53" s="427"/>
      <c r="AT53" s="427"/>
      <c r="AU53" s="427"/>
      <c r="AV53" s="427"/>
      <c r="AW53" s="427"/>
      <c r="AX53" s="427"/>
      <c r="AY53" s="427"/>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row>
  </sheetData>
  <mergeCells count="12">
    <mergeCell ref="Z8:AB8"/>
    <mergeCell ref="D53:Y53"/>
    <mergeCell ref="Q4:X4"/>
    <mergeCell ref="D7:O7"/>
    <mergeCell ref="Q7:AB7"/>
    <mergeCell ref="D8:F8"/>
    <mergeCell ref="G8:I8"/>
    <mergeCell ref="J8:L8"/>
    <mergeCell ref="M8:O8"/>
    <mergeCell ref="Q8:S8"/>
    <mergeCell ref="T8:V8"/>
    <mergeCell ref="W8:Y8"/>
  </mergeCells>
  <phoneticPr fontId="0" type="noConversion"/>
  <printOptions horizontalCentered="1" verticalCentered="1"/>
  <pageMargins left="0.25" right="0.25" top="0.25" bottom="0.25" header="0.25" footer="0.28"/>
  <pageSetup scale="65" orientation="landscape" r:id="rId1"/>
  <headerFooter alignWithMargins="0">
    <oddHeader/>
    <oddFooter/>
  </headerFooter>
  <drawing r:id="rId53"/>
</worksheet>
</file>

<file path=xl/worksheets/sheet8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CF148"/>
  <sheetViews>
    <sheetView showGridLines="0" zoomScale="80" workbookViewId="0"/>
  </sheetViews>
  <sheetFormatPr defaultRowHeight="12.75"/>
  <cols>
    <col min="1" max="1" width="1" customWidth="1"/>
    <col min="2" max="2" width="1.28515625" style="21" customWidth="1"/>
    <col min="3" max="3" width="8.28515625" customWidth="1"/>
    <col min="4" max="4" width="51.5703125" customWidth="1"/>
    <col min="5" max="5" width="23.7109375" customWidth="1"/>
    <col min="6" max="6" width="11.7109375" customWidth="1"/>
    <col min="7" max="7" width="14.7109375" customWidth="1"/>
    <col min="8" max="8" width="7.7109375" customWidth="1"/>
    <col min="9" max="38" width="2.7109375" customWidth="1"/>
    <col min="39" max="69" width="2.42578125" customWidth="1"/>
  </cols>
  <sheetData>
    <row r="1" ht="23.25" customHeight="1">
      <c r="B1" s="5" t="s">
        <v>160</v>
      </c>
      <c r="D1" s="5"/>
      <c r="E1" s="5"/>
      <c r="F1" s="5"/>
      <c r="G1" s="5"/>
      <c r="AS1" s="244"/>
      <c r="AT1" s="244"/>
      <c r="AU1" s="244"/>
      <c r="AV1" s="244"/>
      <c r="AW1" s="244"/>
      <c r="AX1" s="244"/>
      <c r="AY1" s="244"/>
      <c r="AZ1" s="244"/>
      <c r="BA1" s="244"/>
      <c r="BB1" s="244"/>
      <c r="BC1" s="244"/>
      <c r="BD1" s="244"/>
      <c r="BE1" s="244"/>
      <c r="BF1" s="244"/>
      <c r="BG1" s="244"/>
      <c r="BH1" s="244"/>
      <c r="BI1" s="244"/>
      <c r="BJ1" s="244"/>
      <c r="BK1" s="244"/>
      <c r="BL1" s="244"/>
      <c r="BM1" s="244"/>
      <c r="BN1" s="244"/>
      <c r="BO1" s="244"/>
      <c r="BP1" s="244"/>
      <c r="BQ1" s="244"/>
      <c r="BR1" s="244"/>
      <c r="BS1" s="244"/>
      <c r="BT1" s="244"/>
      <c r="BU1" s="244"/>
      <c r="BV1" s="244"/>
      <c r="BW1" s="244"/>
      <c r="BX1" s="244"/>
      <c r="BY1" s="244"/>
      <c r="BZ1" s="244"/>
      <c r="CA1" s="244"/>
      <c r="CB1" s="244"/>
      <c r="CC1" s="244"/>
      <c r="CD1" s="244"/>
      <c r="CE1" s="244"/>
      <c r="CF1" s="244"/>
    </row>
    <row r="2" ht="15" customHeight="1">
      <c r="C2" s="99" t="s">
        <v>168</v>
      </c>
      <c r="D2" s="100"/>
      <c r="E2" s="100"/>
      <c r="F2" s="100"/>
      <c r="G2" s="100"/>
      <c r="AS2" s="244"/>
      <c r="AT2" s="244"/>
      <c r="AU2" s="244"/>
      <c r="AV2" s="244"/>
      <c r="AW2" s="244"/>
      <c r="AX2" s="244"/>
      <c r="AY2" s="244"/>
      <c r="AZ2" s="244"/>
      <c r="BA2" s="244"/>
      <c r="BB2" s="244"/>
      <c r="BC2" s="244"/>
      <c r="BD2" s="244"/>
      <c r="BE2" s="244"/>
      <c r="BF2" s="244"/>
      <c r="BG2" s="244"/>
      <c r="BH2" s="244"/>
      <c r="BI2" s="244"/>
      <c r="BJ2" s="244"/>
      <c r="BK2" s="244"/>
      <c r="BL2" s="244"/>
      <c r="BM2" s="244"/>
      <c r="BN2" s="244"/>
      <c r="BO2" s="244"/>
      <c r="BP2" s="244"/>
      <c r="BQ2" s="244"/>
      <c r="BR2" s="244"/>
      <c r="BS2" s="244"/>
      <c r="BT2" s="244"/>
      <c r="BU2" s="244"/>
      <c r="BV2" s="244"/>
      <c r="BW2" s="244"/>
      <c r="BX2" s="244"/>
      <c r="BY2" s="244"/>
      <c r="BZ2" s="244"/>
      <c r="CA2" s="244"/>
      <c r="CB2" s="244"/>
      <c r="CC2" s="244"/>
      <c r="CD2" s="244"/>
      <c r="CE2" s="244"/>
      <c r="CF2" s="244"/>
    </row>
    <row r="3" ht="15" customHeight="1">
      <c r="C3" s="99" t="s">
        <v>181</v>
      </c>
      <c r="D3" s="100"/>
      <c r="E3" s="100"/>
      <c r="F3" s="100"/>
      <c r="G3" s="100"/>
      <c r="AS3" s="244"/>
      <c r="AT3" s="244"/>
      <c r="AU3" s="244"/>
      <c r="AV3" s="244"/>
      <c r="AW3" s="244"/>
      <c r="AX3" s="244"/>
      <c r="AY3" s="244"/>
      <c r="AZ3" s="244"/>
      <c r="BA3" s="244"/>
      <c r="BB3" s="244"/>
      <c r="BC3" s="244"/>
      <c r="BD3" s="244"/>
      <c r="BE3" s="244"/>
      <c r="BF3" s="244"/>
      <c r="BG3" s="244"/>
      <c r="BH3" s="244"/>
      <c r="BI3" s="244"/>
      <c r="BJ3" s="244"/>
      <c r="BK3" s="244"/>
      <c r="BL3" s="244"/>
      <c r="BM3" s="244"/>
      <c r="BN3" s="244"/>
      <c r="BO3" s="244"/>
      <c r="BP3" s="244"/>
      <c r="BQ3" s="244"/>
      <c r="BR3" s="244"/>
      <c r="BS3" s="244"/>
      <c r="BT3" s="244"/>
      <c r="BU3" s="244"/>
      <c r="BV3" s="244"/>
      <c r="BW3" s="244"/>
      <c r="BX3" s="244"/>
      <c r="BY3" s="244"/>
      <c r="BZ3" s="244"/>
      <c r="CA3" s="244"/>
      <c r="CB3" s="244"/>
      <c r="CC3" s="244"/>
      <c r="CD3" s="244"/>
      <c r="CE3" s="244"/>
      <c r="CF3" s="244"/>
    </row>
    <row r="4" ht="15" customHeight="1">
      <c r="C4" s="0" t="s">
        <v>188</v>
      </c>
      <c r="D4" s="100"/>
      <c r="E4" s="100"/>
      <c r="F4" s="100"/>
      <c r="G4" s="100"/>
      <c r="AS4" s="244"/>
      <c r="AT4" s="244"/>
      <c r="AU4" s="244"/>
      <c r="AV4" s="244"/>
      <c r="AW4" s="244"/>
      <c r="AX4" s="244"/>
      <c r="AY4" s="244"/>
      <c r="AZ4" s="244"/>
      <c r="BA4" s="244"/>
      <c r="BB4" s="244"/>
      <c r="BC4" s="244"/>
      <c r="BD4" s="244"/>
      <c r="BE4" s="244"/>
      <c r="BF4" s="244"/>
      <c r="BG4" s="244"/>
      <c r="BH4" s="244"/>
      <c r="BI4" s="244"/>
      <c r="BJ4" s="244"/>
      <c r="BK4" s="244"/>
      <c r="BL4" s="244"/>
      <c r="BM4" s="244"/>
      <c r="BN4" s="244"/>
      <c r="BO4" s="244"/>
      <c r="BP4" s="244"/>
      <c r="BQ4" s="244"/>
      <c r="BR4" s="244"/>
      <c r="BS4" s="244"/>
      <c r="BT4" s="244"/>
      <c r="BU4" s="244"/>
      <c r="BV4" s="244"/>
      <c r="BW4" s="244"/>
      <c r="BX4" s="244"/>
      <c r="BY4" s="244"/>
      <c r="BZ4" s="244"/>
      <c r="CA4" s="244"/>
      <c r="CB4" s="244"/>
      <c r="CC4" s="244"/>
      <c r="CD4" s="244"/>
      <c r="CE4" s="244"/>
      <c r="CF4" s="244"/>
    </row>
    <row r="5" ht="21" customHeight="1">
      <c r="B5" s="101" t="s">
        <v>7</v>
      </c>
      <c r="D5" s="102"/>
      <c r="H5" s="687" t="s">
        <v>213</v>
      </c>
      <c r="I5" s="687"/>
      <c r="J5" s="687"/>
      <c r="K5" s="687"/>
      <c r="L5" s="687"/>
      <c r="M5" s="687"/>
      <c r="N5" s="687"/>
      <c r="O5" s="687"/>
      <c r="P5" s="687"/>
      <c r="Q5" s="687"/>
      <c r="R5" s="687"/>
      <c r="S5" s="687"/>
      <c r="T5" s="687"/>
      <c r="U5" s="687"/>
      <c r="V5" s="687"/>
      <c r="AB5" s="687" t="s">
        <v>215</v>
      </c>
      <c r="AC5" s="687"/>
      <c r="AD5" s="687"/>
      <c r="AE5" s="687"/>
      <c r="AF5" s="687"/>
      <c r="AG5" s="687"/>
      <c r="AH5" s="687"/>
      <c r="AI5" s="687"/>
      <c r="AJ5" s="687"/>
      <c r="AK5" s="687"/>
      <c r="AL5" s="687"/>
      <c r="AM5" s="687"/>
      <c r="AN5" s="687"/>
      <c r="AO5" s="687"/>
      <c r="AP5" s="687"/>
      <c r="AS5" s="244"/>
      <c r="AT5" s="244"/>
      <c r="AU5" s="244"/>
      <c r="AV5" s="244"/>
      <c r="AW5" s="244"/>
      <c r="AX5" s="244"/>
      <c r="AY5" s="244"/>
      <c r="AZ5" s="244"/>
      <c r="BA5" s="244"/>
      <c r="BB5" s="244"/>
      <c r="BC5" s="244"/>
      <c r="BD5" s="244"/>
      <c r="BE5" s="244"/>
      <c r="BF5" s="244"/>
      <c r="BG5" s="244"/>
      <c r="BH5" s="244"/>
      <c r="BI5" s="244"/>
      <c r="BJ5" s="244"/>
      <c r="BK5" s="244"/>
      <c r="BL5" s="244"/>
      <c r="BM5" s="244"/>
      <c r="BN5" s="244"/>
      <c r="BO5" s="244"/>
      <c r="BP5" s="244"/>
      <c r="BQ5" s="244"/>
      <c r="BR5" s="244"/>
      <c r="BS5" s="244"/>
      <c r="BT5" s="244"/>
      <c r="BU5" s="244"/>
      <c r="BV5" s="244"/>
      <c r="BW5" s="244"/>
      <c r="BX5" s="244"/>
      <c r="BY5" s="244"/>
      <c r="BZ5" s="244"/>
      <c r="CA5" s="244"/>
      <c r="CB5" s="244"/>
      <c r="CC5" s="244"/>
      <c r="CD5" s="244"/>
      <c r="CE5" s="244"/>
      <c r="CF5" s="244"/>
    </row>
    <row r="6" ht="12.75" customHeight="1">
      <c r="C6" s="30" t="s">
        <v>216</v>
      </c>
      <c r="D6" s="104" t="s">
        <v>217</v>
      </c>
      <c r="I6" s="688" t="s">
        <v>0</v>
      </c>
      <c r="J6" s="688"/>
      <c r="K6" s="688" t="s">
        <v>1</v>
      </c>
      <c r="L6" s="688"/>
      <c r="M6" s="688" t="s">
        <v>2</v>
      </c>
      <c r="N6" s="688"/>
      <c r="O6" s="688" t="s">
        <v>3</v>
      </c>
      <c r="P6" s="688"/>
      <c r="Q6" s="688" t="s">
        <v>4</v>
      </c>
      <c r="R6" s="688"/>
      <c r="S6" s="688" t="s">
        <v>5</v>
      </c>
      <c r="T6" s="688"/>
      <c r="U6" s="688" t="s">
        <v>6</v>
      </c>
      <c r="V6" s="688"/>
      <c r="AC6" s="688" t="s">
        <v>0</v>
      </c>
      <c r="AD6" s="688"/>
      <c r="AE6" s="688" t="s">
        <v>1</v>
      </c>
      <c r="AF6" s="688"/>
      <c r="AG6" s="688" t="s">
        <v>2</v>
      </c>
      <c r="AH6" s="688"/>
      <c r="AI6" s="688" t="s">
        <v>3</v>
      </c>
      <c r="AJ6" s="688"/>
      <c r="AK6" s="688" t="s">
        <v>4</v>
      </c>
      <c r="AL6" s="688"/>
      <c r="AM6" s="688" t="s">
        <v>5</v>
      </c>
      <c r="AN6" s="688"/>
      <c r="AO6" s="688" t="s">
        <v>6</v>
      </c>
      <c r="AP6" s="688"/>
      <c r="AS6" s="244"/>
      <c r="AT6" s="244"/>
      <c r="AU6" s="244"/>
      <c r="AV6" s="244"/>
      <c r="AW6" s="244"/>
      <c r="AX6" s="244"/>
      <c r="AY6" s="244"/>
      <c r="AZ6" s="244"/>
      <c r="BA6" s="244"/>
      <c r="BB6" s="244"/>
      <c r="BC6" s="244"/>
      <c r="BD6" s="244"/>
      <c r="BE6" s="244"/>
      <c r="BF6" s="244"/>
      <c r="BG6" s="244"/>
      <c r="BH6" s="244"/>
      <c r="BI6" s="244"/>
      <c r="BJ6" s="244"/>
      <c r="BK6" s="244"/>
      <c r="BL6" s="244"/>
      <c r="BM6" s="244"/>
      <c r="BN6" s="244"/>
      <c r="BO6" s="244"/>
      <c r="BP6" s="244"/>
      <c r="BQ6" s="244"/>
      <c r="BR6" s="244"/>
      <c r="BS6" s="244"/>
      <c r="BT6" s="244"/>
      <c r="BU6" s="244"/>
      <c r="BV6" s="244"/>
      <c r="BW6" s="244"/>
      <c r="BX6" s="244"/>
      <c r="BY6" s="244"/>
      <c r="BZ6" s="244"/>
      <c r="CA6" s="244"/>
      <c r="CB6" s="244"/>
      <c r="CC6" s="244"/>
      <c r="CD6" s="244"/>
      <c r="CE6" s="244"/>
      <c r="CF6" s="244"/>
    </row>
    <row r="7" ht="12.75" customHeight="1">
      <c r="C7" s="105" t="s">
        <v>218</v>
      </c>
      <c r="D7" s="104" t="s">
        <v>219</v>
      </c>
      <c r="E7" s="104"/>
      <c r="F7" s="104"/>
      <c r="G7" s="104"/>
      <c r="H7" s="97" t="s">
        <v>186</v>
      </c>
      <c r="I7" s="689">
        <v>13</v>
      </c>
      <c r="J7" s="689"/>
      <c r="K7" s="690">
        <v>14</v>
      </c>
      <c r="L7" s="690"/>
      <c r="M7" s="690">
        <v>15</v>
      </c>
      <c r="N7" s="690"/>
      <c r="O7" s="690">
        <v>16</v>
      </c>
      <c r="P7" s="690"/>
      <c r="Q7" s="690">
        <v>17</v>
      </c>
      <c r="R7" s="690"/>
      <c r="S7" s="690">
        <v>18</v>
      </c>
      <c r="T7" s="690"/>
      <c r="U7" s="691">
        <v>19</v>
      </c>
      <c r="V7" s="691"/>
      <c r="Y7" s="3"/>
      <c r="AB7" s="97" t="s">
        <v>186</v>
      </c>
      <c r="AC7" s="689">
        <v>14</v>
      </c>
      <c r="AD7" s="689"/>
      <c r="AE7" s="690">
        <v>15</v>
      </c>
      <c r="AF7" s="690"/>
      <c r="AG7" s="690">
        <v>16</v>
      </c>
      <c r="AH7" s="690"/>
      <c r="AI7" s="690">
        <v>17</v>
      </c>
      <c r="AJ7" s="690"/>
      <c r="AK7" s="690">
        <v>18</v>
      </c>
      <c r="AL7" s="690"/>
      <c r="AM7" s="690">
        <v>19</v>
      </c>
      <c r="AN7" s="690"/>
      <c r="AO7" s="691">
        <v>20</v>
      </c>
      <c r="AP7" s="691"/>
      <c r="AS7" s="244"/>
      <c r="AT7" s="244"/>
      <c r="AU7" s="244"/>
      <c r="AV7" s="244"/>
      <c r="AW7" s="244"/>
      <c r="AX7" s="244"/>
      <c r="AY7" s="244"/>
      <c r="AZ7" s="244"/>
      <c r="BA7" s="244"/>
      <c r="BB7" s="244"/>
      <c r="BC7" s="244"/>
      <c r="BD7" s="244"/>
      <c r="BE7" s="244"/>
      <c r="BF7" s="244"/>
      <c r="BG7" s="244"/>
      <c r="BH7" s="244"/>
      <c r="BI7" s="244"/>
      <c r="BJ7" s="244"/>
      <c r="BK7" s="244"/>
      <c r="BL7" s="244"/>
      <c r="BM7" s="244"/>
      <c r="BN7" s="244"/>
      <c r="BO7" s="244"/>
      <c r="BP7" s="244"/>
      <c r="BQ7" s="244"/>
      <c r="BR7" s="244"/>
      <c r="BS7" s="244"/>
      <c r="BT7" s="244"/>
      <c r="BU7" s="244"/>
      <c r="BV7" s="244"/>
      <c r="BW7" s="244"/>
      <c r="BX7" s="244"/>
      <c r="BY7" s="244"/>
      <c r="BZ7" s="244"/>
      <c r="CA7" s="244"/>
      <c r="CB7" s="244"/>
      <c r="CC7" s="244"/>
      <c r="CD7" s="244"/>
      <c r="CE7" s="244"/>
      <c r="CF7" s="244"/>
    </row>
    <row r="8" ht="12.75" customHeight="1">
      <c r="C8" t="s">
        <v>220</v>
      </c>
      <c r="D8" t="s">
        <v>221</v>
      </c>
      <c r="H8" s="97" t="s">
        <v>186</v>
      </c>
      <c r="I8" s="692">
        <v>20</v>
      </c>
      <c r="J8" s="692"/>
      <c r="K8" s="693">
        <v>21</v>
      </c>
      <c r="L8" s="693"/>
      <c r="M8" s="693">
        <v>22</v>
      </c>
      <c r="N8" s="693"/>
      <c r="O8" s="693">
        <v>23</v>
      </c>
      <c r="P8" s="693"/>
      <c r="Q8" s="693">
        <v>24</v>
      </c>
      <c r="R8" s="693"/>
      <c r="S8" s="693">
        <v>25</v>
      </c>
      <c r="T8" s="693"/>
      <c r="U8" s="694">
        <v>26</v>
      </c>
      <c r="V8" s="694"/>
      <c r="Y8" s="3"/>
      <c r="AB8" s="97" t="s">
        <v>186</v>
      </c>
      <c r="AC8" s="692">
        <v>21</v>
      </c>
      <c r="AD8" s="692"/>
      <c r="AE8" s="693">
        <v>22</v>
      </c>
      <c r="AF8" s="693"/>
      <c r="AG8" s="693">
        <v>23</v>
      </c>
      <c r="AH8" s="693"/>
      <c r="AI8" s="693">
        <v>24</v>
      </c>
      <c r="AJ8" s="693"/>
      <c r="AK8" s="693">
        <v>25</v>
      </c>
      <c r="AL8" s="693"/>
      <c r="AM8" s="693">
        <v>26</v>
      </c>
      <c r="AN8" s="693"/>
      <c r="AO8" s="694">
        <v>27</v>
      </c>
      <c r="AP8" s="694"/>
      <c r="AS8" s="244"/>
      <c r="AT8" s="244"/>
      <c r="AU8" s="244"/>
      <c r="AV8" s="244"/>
      <c r="AW8" s="244"/>
      <c r="AX8" s="244"/>
      <c r="AY8" s="244"/>
      <c r="AZ8" s="244"/>
      <c r="BA8" s="244"/>
      <c r="BB8" s="244"/>
      <c r="BC8" s="244"/>
      <c r="BD8" s="244"/>
      <c r="BE8" s="244"/>
      <c r="BF8" s="244"/>
      <c r="BG8" s="244"/>
      <c r="BH8" s="244"/>
      <c r="BI8" s="244"/>
      <c r="BJ8" s="244"/>
      <c r="BK8" s="244"/>
      <c r="BL8" s="244"/>
      <c r="BM8" s="244"/>
      <c r="BN8" s="244"/>
      <c r="BO8" s="244"/>
      <c r="BP8" s="244"/>
      <c r="BQ8" s="244"/>
      <c r="BR8" s="244"/>
      <c r="BS8" s="244"/>
      <c r="BT8" s="244"/>
      <c r="BU8" s="244"/>
      <c r="BV8" s="244"/>
      <c r="BW8" s="244"/>
      <c r="BX8" s="244"/>
      <c r="BY8" s="244"/>
      <c r="BZ8" s="244"/>
      <c r="CA8" s="244"/>
      <c r="CB8" s="244"/>
      <c r="CC8" s="244"/>
      <c r="CD8" s="244"/>
      <c r="CE8" s="244"/>
      <c r="CF8" s="244"/>
    </row>
    <row r="9" ht="12.75" customHeight="1">
      <c r="C9" t="s">
        <v>222</v>
      </c>
      <c r="D9" t="s">
        <v>223</v>
      </c>
      <c r="H9" s="97" t="s">
        <v>214</v>
      </c>
      <c r="I9" s="695">
        <v>27</v>
      </c>
      <c r="J9" s="695"/>
      <c r="K9" s="696">
        <v>28</v>
      </c>
      <c r="L9" s="696"/>
      <c r="M9" s="696">
        <v>29</v>
      </c>
      <c r="N9" s="696"/>
      <c r="O9" s="696">
        <v>30</v>
      </c>
      <c r="P9" s="696"/>
      <c r="Q9" s="696">
        <v>1</v>
      </c>
      <c r="R9" s="696"/>
      <c r="S9" s="696">
        <v>2</v>
      </c>
      <c r="T9" s="696"/>
      <c r="U9" s="697">
        <v>3</v>
      </c>
      <c r="V9" s="697"/>
      <c r="Y9" s="3"/>
      <c r="AB9" s="97" t="s">
        <v>214</v>
      </c>
      <c r="AC9" s="695">
        <v>28</v>
      </c>
      <c r="AD9" s="695"/>
      <c r="AE9" s="696">
        <v>29</v>
      </c>
      <c r="AF9" s="696"/>
      <c r="AG9" s="696">
        <v>30</v>
      </c>
      <c r="AH9" s="696"/>
      <c r="AI9" s="696">
        <v>1</v>
      </c>
      <c r="AJ9" s="696"/>
      <c r="AK9" s="696">
        <v>2</v>
      </c>
      <c r="AL9" s="696"/>
      <c r="AM9" s="696">
        <v>3</v>
      </c>
      <c r="AN9" s="696"/>
      <c r="AO9" s="697">
        <v>4</v>
      </c>
      <c r="AP9" s="697"/>
      <c r="AS9" s="244"/>
      <c r="AT9" s="244"/>
      <c r="AU9" s="244"/>
      <c r="AV9" s="244"/>
      <c r="AW9" s="244"/>
      <c r="AX9" s="244"/>
      <c r="AY9" s="244"/>
      <c r="AZ9" s="244"/>
      <c r="BA9" s="244"/>
      <c r="BB9" s="244"/>
      <c r="BC9" s="244"/>
      <c r="BD9" s="244"/>
      <c r="BE9" s="244"/>
      <c r="BF9" s="244"/>
      <c r="BG9" s="244"/>
      <c r="BH9" s="244"/>
      <c r="BI9" s="244"/>
      <c r="BJ9" s="244"/>
      <c r="BK9" s="244"/>
      <c r="BL9" s="244"/>
      <c r="BM9" s="244"/>
      <c r="BN9" s="244"/>
      <c r="BO9" s="244"/>
      <c r="BP9" s="244"/>
      <c r="BQ9" s="244"/>
      <c r="BR9" s="244"/>
      <c r="BS9" s="244"/>
      <c r="BT9" s="244"/>
      <c r="BU9" s="244"/>
      <c r="BV9" s="244"/>
      <c r="BW9" s="244"/>
      <c r="BX9" s="244"/>
      <c r="BY9" s="244"/>
      <c r="BZ9" s="244"/>
      <c r="CA9" s="244"/>
      <c r="CB9" s="244"/>
      <c r="CC9" s="244"/>
      <c r="CD9" s="244"/>
      <c r="CE9" s="244"/>
      <c r="CF9" s="244"/>
    </row>
    <row r="10" ht="12.75" customHeight="1">
      <c r="H10" s="97" t="s">
        <v>183</v>
      </c>
      <c r="I10" s="692">
        <v>4</v>
      </c>
      <c r="J10" s="692"/>
      <c r="K10" s="693">
        <v>5</v>
      </c>
      <c r="L10" s="693"/>
      <c r="M10" s="693">
        <v>6</v>
      </c>
      <c r="N10" s="693"/>
      <c r="O10" s="693">
        <v>7</v>
      </c>
      <c r="P10" s="693"/>
      <c r="Q10" s="693">
        <v>8</v>
      </c>
      <c r="R10" s="693"/>
      <c r="S10" s="693">
        <v>9</v>
      </c>
      <c r="T10" s="693"/>
      <c r="U10" s="694">
        <v>10</v>
      </c>
      <c r="V10" s="694"/>
      <c r="Y10" s="3"/>
      <c r="AB10" s="97" t="s">
        <v>183</v>
      </c>
      <c r="AC10" s="692">
        <v>5</v>
      </c>
      <c r="AD10" s="692"/>
      <c r="AE10" s="693">
        <v>6</v>
      </c>
      <c r="AF10" s="693"/>
      <c r="AG10" s="693">
        <v>7</v>
      </c>
      <c r="AH10" s="693"/>
      <c r="AI10" s="693">
        <v>8</v>
      </c>
      <c r="AJ10" s="693"/>
      <c r="AK10" s="693">
        <v>9</v>
      </c>
      <c r="AL10" s="693"/>
      <c r="AM10" s="693">
        <v>10</v>
      </c>
      <c r="AN10" s="693"/>
      <c r="AO10" s="694">
        <v>11</v>
      </c>
      <c r="AP10" s="694"/>
      <c r="AS10" s="244"/>
      <c r="AT10" s="244"/>
      <c r="AU10" s="244"/>
      <c r="AV10" s="244"/>
      <c r="AW10" s="244"/>
      <c r="AX10" s="244"/>
      <c r="AY10" s="244"/>
      <c r="AZ10" s="244"/>
      <c r="BA10" s="244"/>
      <c r="BB10" s="244"/>
      <c r="BC10" s="244"/>
      <c r="BD10" s="244"/>
      <c r="BE10" s="244"/>
      <c r="BF10" s="244"/>
      <c r="BG10" s="244"/>
      <c r="BH10" s="244"/>
      <c r="BI10" s="244"/>
      <c r="BJ10" s="244"/>
      <c r="BK10" s="244"/>
      <c r="BL10" s="244"/>
      <c r="BM10" s="244"/>
      <c r="BN10" s="244"/>
      <c r="BO10" s="244"/>
      <c r="BP10" s="244"/>
      <c r="BQ10" s="244"/>
      <c r="BR10" s="244"/>
      <c r="BS10" s="244"/>
      <c r="BT10" s="244"/>
      <c r="BU10" s="244"/>
      <c r="BV10" s="244"/>
      <c r="BW10" s="244"/>
      <c r="BX10" s="244"/>
      <c r="BY10" s="244"/>
      <c r="BZ10" s="244"/>
      <c r="CA10" s="244"/>
      <c r="CB10" s="244"/>
      <c r="CC10" s="244"/>
      <c r="CD10" s="244"/>
      <c r="CE10" s="244"/>
      <c r="CF10" s="244"/>
    </row>
    <row r="11" ht="12.75" customHeight="1">
      <c r="A11" s="101"/>
      <c r="H11" s="97" t="s">
        <v>183</v>
      </c>
      <c r="I11" s="695">
        <v>11</v>
      </c>
      <c r="J11" s="695"/>
      <c r="K11" s="696">
        <v>12</v>
      </c>
      <c r="L11" s="696"/>
      <c r="M11" s="696">
        <v>13</v>
      </c>
      <c r="N11" s="696"/>
      <c r="O11" s="696">
        <v>14</v>
      </c>
      <c r="P11" s="696"/>
      <c r="Q11" s="696">
        <v>15</v>
      </c>
      <c r="R11" s="696"/>
      <c r="S11" s="696">
        <v>16</v>
      </c>
      <c r="T11" s="696"/>
      <c r="U11" s="697">
        <v>17</v>
      </c>
      <c r="V11" s="697"/>
      <c r="Y11" s="3"/>
      <c r="AB11" s="97" t="s">
        <v>183</v>
      </c>
      <c r="AC11" s="695">
        <v>12</v>
      </c>
      <c r="AD11" s="695"/>
      <c r="AE11" s="696">
        <v>13</v>
      </c>
      <c r="AF11" s="696"/>
      <c r="AG11" s="696">
        <v>14</v>
      </c>
      <c r="AH11" s="696"/>
      <c r="AI11" s="696">
        <v>15</v>
      </c>
      <c r="AJ11" s="696"/>
      <c r="AK11" s="696">
        <v>16</v>
      </c>
      <c r="AL11" s="696"/>
      <c r="AM11" s="696">
        <v>17</v>
      </c>
      <c r="AN11" s="696"/>
      <c r="AO11" s="697">
        <v>18</v>
      </c>
      <c r="AP11" s="697"/>
      <c r="AS11" s="244"/>
      <c r="AT11" s="244"/>
      <c r="AU11" s="244"/>
      <c r="AV11" s="244"/>
      <c r="AW11" s="244"/>
      <c r="AX11" s="244"/>
      <c r="AY11" s="244"/>
      <c r="AZ11" s="244"/>
      <c r="BA11" s="244"/>
      <c r="BB11" s="244"/>
      <c r="BC11" s="244"/>
      <c r="BD11" s="244"/>
      <c r="BE11" s="244"/>
      <c r="BF11" s="244"/>
      <c r="BG11" s="244"/>
      <c r="BH11" s="244"/>
      <c r="BI11" s="244"/>
      <c r="BJ11" s="244"/>
      <c r="BK11" s="244"/>
      <c r="BL11" s="244"/>
      <c r="BM11" s="244"/>
      <c r="BN11" s="244"/>
      <c r="BO11" s="244"/>
      <c r="BP11" s="244"/>
      <c r="BQ11" s="244"/>
      <c r="BR11" s="244"/>
      <c r="BS11" s="244"/>
      <c r="BT11" s="244"/>
      <c r="BU11" s="244"/>
      <c r="BV11" s="244"/>
      <c r="BW11" s="244"/>
      <c r="BX11" s="244"/>
      <c r="BY11" s="244"/>
      <c r="BZ11" s="244"/>
      <c r="CA11" s="244"/>
      <c r="CB11" s="244"/>
      <c r="CC11" s="244"/>
      <c r="CD11" s="244"/>
      <c r="CE11" s="244"/>
      <c r="CF11" s="244"/>
    </row>
    <row r="12" ht="12.75" customHeight="1">
      <c r="C12" s="30"/>
      <c r="D12" s="106"/>
      <c r="E12" s="106"/>
      <c r="F12" s="106"/>
      <c r="G12" s="106"/>
      <c r="H12" s="97" t="s">
        <v>183</v>
      </c>
      <c r="I12" s="698">
        <v>18</v>
      </c>
      <c r="J12" s="698"/>
      <c r="K12" s="699">
        <v>19</v>
      </c>
      <c r="L12" s="699"/>
      <c r="M12" s="699">
        <v>20</v>
      </c>
      <c r="N12" s="699"/>
      <c r="O12" s="699">
        <v>21</v>
      </c>
      <c r="P12" s="699"/>
      <c r="Q12" s="699">
        <v>22</v>
      </c>
      <c r="R12" s="699"/>
      <c r="S12" s="699">
        <v>23</v>
      </c>
      <c r="T12" s="699"/>
      <c r="U12" s="700">
        <v>24</v>
      </c>
      <c r="V12" s="700"/>
      <c r="Y12" s="3"/>
      <c r="AB12" s="97" t="s">
        <v>183</v>
      </c>
      <c r="AC12" s="698">
        <v>19</v>
      </c>
      <c r="AD12" s="698"/>
      <c r="AE12" s="699">
        <v>20</v>
      </c>
      <c r="AF12" s="699"/>
      <c r="AG12" s="699">
        <v>21</v>
      </c>
      <c r="AH12" s="699"/>
      <c r="AI12" s="699">
        <v>22</v>
      </c>
      <c r="AJ12" s="699"/>
      <c r="AK12" s="699">
        <v>23</v>
      </c>
      <c r="AL12" s="699"/>
      <c r="AM12" s="699">
        <v>24</v>
      </c>
      <c r="AN12" s="699"/>
      <c r="AO12" s="700">
        <v>25</v>
      </c>
      <c r="AP12" s="700"/>
      <c r="AS12" s="244"/>
      <c r="AT12" s="244"/>
      <c r="AU12" s="244"/>
      <c r="AV12" s="244"/>
      <c r="AW12" s="244"/>
      <c r="AX12" s="244"/>
      <c r="AY12" s="244"/>
      <c r="AZ12" s="244"/>
      <c r="BA12" s="244"/>
      <c r="BB12" s="244"/>
      <c r="BC12" s="244"/>
      <c r="BD12" s="244"/>
      <c r="BE12" s="244"/>
      <c r="BF12" s="244"/>
      <c r="BG12" s="244"/>
      <c r="BH12" s="244"/>
      <c r="BI12" s="244"/>
      <c r="BJ12" s="244"/>
      <c r="BK12" s="244"/>
      <c r="BL12" s="244"/>
      <c r="BM12" s="244"/>
      <c r="BN12" s="244"/>
      <c r="BO12" s="244"/>
      <c r="BP12" s="244"/>
      <c r="BQ12" s="244"/>
      <c r="BR12" s="244"/>
      <c r="BS12" s="244"/>
      <c r="BT12" s="244"/>
      <c r="BU12" s="244"/>
      <c r="BV12" s="244"/>
      <c r="BW12" s="244"/>
      <c r="BX12" s="244"/>
      <c r="BY12" s="244"/>
      <c r="BZ12" s="244"/>
      <c r="CA12" s="244"/>
      <c r="CB12" s="244"/>
      <c r="CC12" s="244"/>
      <c r="CD12" s="244"/>
      <c r="CE12" s="244"/>
      <c r="CF12" s="244"/>
    </row>
    <row r="13" ht="12.75" customHeight="1">
      <c r="A13" s="101"/>
      <c r="B13" s="101" t="s">
        <v>8</v>
      </c>
      <c r="H13" s="97"/>
      <c r="AS13" s="244"/>
      <c r="AT13" s="244"/>
      <c r="AU13" s="244"/>
      <c r="AV13" s="244"/>
      <c r="AW13" s="244"/>
      <c r="AX13" s="244"/>
      <c r="AY13" s="244"/>
      <c r="AZ13" s="244"/>
      <c r="BA13" s="244"/>
      <c r="BB13" s="244"/>
      <c r="BC13" s="244"/>
      <c r="BD13" s="244"/>
      <c r="BE13" s="244"/>
      <c r="BF13" s="244"/>
      <c r="BG13" s="244"/>
      <c r="BH13" s="244"/>
      <c r="BI13" s="244"/>
      <c r="BJ13" s="244"/>
      <c r="BK13" s="244"/>
      <c r="BL13" s="244"/>
      <c r="BM13" s="244"/>
      <c r="BN13" s="244"/>
      <c r="BO13" s="244"/>
      <c r="BP13" s="244"/>
      <c r="BQ13" s="244"/>
      <c r="BR13" s="244"/>
      <c r="BS13" s="244"/>
      <c r="BT13" s="244"/>
      <c r="BU13" s="244"/>
      <c r="BV13" s="244"/>
      <c r="BW13" s="244"/>
      <c r="BX13" s="244"/>
      <c r="BY13" s="244"/>
      <c r="BZ13" s="244"/>
      <c r="CA13" s="244"/>
      <c r="CB13" s="244"/>
      <c r="CC13" s="244"/>
      <c r="CD13" s="244"/>
      <c r="CE13" s="244"/>
      <c r="CF13" s="244"/>
    </row>
    <row r="14" ht="12.75" customHeight="1">
      <c r="C14" s="30" t="s">
        <v>224</v>
      </c>
      <c r="D14" s="106" t="s">
        <v>217</v>
      </c>
      <c r="H14" s="97"/>
      <c r="O14" s="648"/>
      <c r="P14" s="648"/>
      <c r="Q14" s="648"/>
      <c r="R14" s="648"/>
      <c r="S14" s="648"/>
      <c r="T14" s="648"/>
      <c r="U14" s="648"/>
      <c r="W14" s="648"/>
      <c r="X14" s="648"/>
      <c r="Y14" s="648"/>
      <c r="Z14" s="648"/>
      <c r="AA14" s="648"/>
      <c r="AB14" s="648"/>
      <c r="AC14" s="648"/>
      <c r="AE14" s="648"/>
      <c r="AF14" s="648"/>
      <c r="AG14" s="648"/>
      <c r="AH14" s="648"/>
      <c r="AI14" s="648"/>
      <c r="AJ14" s="648"/>
      <c r="AK14" s="648"/>
      <c r="AS14" s="244"/>
      <c r="AT14" s="244"/>
      <c r="AU14" s="244"/>
      <c r="AV14" s="244"/>
      <c r="AW14" s="244"/>
      <c r="AX14" s="244"/>
      <c r="AY14" s="244"/>
      <c r="AZ14" s="244"/>
      <c r="BA14" s="244"/>
      <c r="BB14" s="244"/>
      <c r="BC14" s="244"/>
      <c r="BD14" s="244"/>
      <c r="BE14" s="244"/>
      <c r="BF14" s="244"/>
      <c r="BG14" s="244"/>
      <c r="BH14" s="244"/>
      <c r="BI14" s="244"/>
      <c r="BJ14" s="244"/>
      <c r="BK14" s="244"/>
      <c r="BL14" s="244"/>
      <c r="BM14" s="244"/>
      <c r="BN14" s="244"/>
      <c r="BO14" s="244"/>
      <c r="BP14" s="244"/>
      <c r="BQ14" s="244"/>
      <c r="BR14" s="244"/>
      <c r="BS14" s="244"/>
      <c r="BT14" s="244"/>
      <c r="BU14" s="244"/>
      <c r="BV14" s="244"/>
      <c r="BW14" s="244"/>
      <c r="BX14" s="244"/>
      <c r="BY14" s="244"/>
      <c r="BZ14" s="244"/>
      <c r="CA14" s="244"/>
      <c r="CB14" s="244"/>
      <c r="CC14" s="244"/>
      <c r="CD14" s="244"/>
      <c r="CE14" s="244"/>
      <c r="CF14" s="244"/>
    </row>
    <row r="15" ht="12.75" customHeight="1">
      <c r="C15" s="30" t="s">
        <v>225</v>
      </c>
      <c r="D15" s="104" t="s">
        <v>223</v>
      </c>
      <c r="H15" s="97"/>
      <c r="O15" s="21"/>
      <c r="P15" s="21"/>
      <c r="Q15" s="21"/>
      <c r="R15" s="21"/>
      <c r="S15" s="21"/>
      <c r="T15" s="21"/>
      <c r="U15" s="21"/>
      <c r="W15" s="21"/>
      <c r="X15" s="21"/>
      <c r="Y15" s="21"/>
      <c r="Z15" s="21"/>
      <c r="AA15" s="21"/>
      <c r="AB15" s="21"/>
      <c r="AC15" s="21"/>
      <c r="AE15" s="21"/>
      <c r="AF15" s="21"/>
      <c r="AG15" s="21"/>
      <c r="AH15" s="21"/>
      <c r="AI15" s="21"/>
      <c r="AJ15" s="21"/>
      <c r="AK15" s="21"/>
      <c r="AS15" s="244"/>
      <c r="AT15" s="244"/>
      <c r="AU15" s="244"/>
      <c r="AV15" s="244"/>
      <c r="AW15" s="244"/>
      <c r="AX15" s="244"/>
      <c r="AY15" s="244"/>
      <c r="AZ15" s="244"/>
      <c r="BA15" s="244"/>
      <c r="BB15" s="244"/>
      <c r="BC15" s="244"/>
      <c r="BD15" s="244"/>
      <c r="BE15" s="244"/>
      <c r="BF15" s="244"/>
      <c r="BG15" s="244"/>
      <c r="BH15" s="244"/>
      <c r="BI15" s="244"/>
      <c r="BJ15" s="244"/>
      <c r="BK15" s="244"/>
      <c r="BL15" s="244"/>
      <c r="BM15" s="244"/>
      <c r="BN15" s="244"/>
      <c r="BO15" s="244"/>
      <c r="BP15" s="244"/>
      <c r="BQ15" s="244"/>
      <c r="BR15" s="244"/>
      <c r="BS15" s="244"/>
      <c r="BT15" s="244"/>
      <c r="BU15" s="244"/>
      <c r="BV15" s="244"/>
      <c r="BW15" s="244"/>
      <c r="BX15" s="244"/>
      <c r="BY15" s="244"/>
      <c r="BZ15" s="244"/>
      <c r="CA15" s="244"/>
      <c r="CB15" s="244"/>
      <c r="CC15" s="244"/>
      <c r="CD15" s="244"/>
      <c r="CE15" s="244"/>
      <c r="CF15" s="244"/>
    </row>
    <row r="16" ht="12.75" customHeight="1">
      <c r="C16" s="105" t="s">
        <v>226</v>
      </c>
      <c r="D16" s="104" t="s">
        <v>227</v>
      </c>
      <c r="H16" s="97"/>
      <c r="O16" s="21"/>
      <c r="P16" s="21"/>
      <c r="Q16" s="21"/>
      <c r="R16" s="21"/>
      <c r="S16" s="21"/>
      <c r="T16" s="21"/>
      <c r="U16" s="21"/>
      <c r="W16" s="21"/>
      <c r="X16" s="21"/>
      <c r="Y16" s="21"/>
      <c r="Z16" s="21"/>
      <c r="AA16" s="21"/>
      <c r="AB16" s="21"/>
      <c r="AC16" s="21"/>
      <c r="AE16" s="21"/>
      <c r="AF16" s="21"/>
      <c r="AG16" s="21"/>
      <c r="AH16" s="21"/>
      <c r="AI16" s="21"/>
      <c r="AJ16" s="21"/>
      <c r="AK16" s="21"/>
      <c r="AS16" s="244"/>
      <c r="AT16" s="244"/>
      <c r="AU16" s="244"/>
      <c r="AV16" s="244"/>
      <c r="AW16" s="244"/>
      <c r="AX16" s="244"/>
      <c r="AY16" s="244"/>
      <c r="AZ16" s="244"/>
      <c r="BA16" s="244"/>
      <c r="BB16" s="244"/>
      <c r="BC16" s="244"/>
      <c r="BD16" s="244"/>
      <c r="BE16" s="244"/>
      <c r="BF16" s="244"/>
      <c r="BG16" s="244"/>
      <c r="BH16" s="244"/>
      <c r="BI16" s="244"/>
      <c r="BJ16" s="244"/>
      <c r="BK16" s="244"/>
      <c r="BL16" s="244"/>
      <c r="BM16" s="244"/>
      <c r="BN16" s="244"/>
      <c r="BO16" s="244"/>
      <c r="BP16" s="244"/>
      <c r="BQ16" s="244"/>
      <c r="BR16" s="244"/>
      <c r="BS16" s="244"/>
      <c r="BT16" s="244"/>
      <c r="BU16" s="244"/>
      <c r="BV16" s="244"/>
      <c r="BW16" s="244"/>
      <c r="BX16" s="244"/>
      <c r="BY16" s="244"/>
      <c r="BZ16" s="244"/>
      <c r="CA16" s="244"/>
      <c r="CB16" s="244"/>
      <c r="CC16" s="244"/>
      <c r="CD16" s="244"/>
      <c r="CE16" s="244"/>
      <c r="CF16" s="244"/>
    </row>
    <row r="17" ht="12.75" customHeight="1">
      <c r="C17" s="105" t="s">
        <v>228</v>
      </c>
      <c r="D17" s="104" t="s">
        <v>229</v>
      </c>
      <c r="H17" s="97"/>
      <c r="O17" s="21"/>
      <c r="P17" s="21"/>
      <c r="Q17" s="21"/>
      <c r="R17" s="21"/>
      <c r="S17" s="21"/>
      <c r="T17" s="21"/>
      <c r="U17" s="21"/>
      <c r="W17" s="21"/>
      <c r="X17" s="21"/>
      <c r="Y17" s="21"/>
      <c r="Z17" s="21"/>
      <c r="AA17" s="21"/>
      <c r="AB17" s="21"/>
      <c r="AC17" s="21"/>
      <c r="AE17" s="21"/>
      <c r="AF17" s="21"/>
      <c r="AG17" s="21"/>
      <c r="AH17" s="21"/>
      <c r="AI17" s="21"/>
      <c r="AJ17" s="21"/>
      <c r="AK17" s="21"/>
      <c r="AS17" s="244"/>
      <c r="AT17" s="244"/>
      <c r="AU17" s="244"/>
      <c r="AV17" s="244"/>
      <c r="AW17" s="244"/>
      <c r="AX17" s="244"/>
      <c r="AY17" s="244"/>
      <c r="AZ17" s="244"/>
      <c r="BA17" s="244"/>
      <c r="BB17" s="244"/>
      <c r="BC17" s="244"/>
      <c r="BD17" s="244"/>
      <c r="BE17" s="244"/>
      <c r="BF17" s="244"/>
      <c r="BG17" s="244"/>
      <c r="BH17" s="244"/>
      <c r="BI17" s="244"/>
      <c r="BJ17" s="244"/>
      <c r="BK17" s="244"/>
      <c r="BL17" s="244"/>
      <c r="BM17" s="244"/>
      <c r="BN17" s="244"/>
      <c r="BO17" s="244"/>
      <c r="BP17" s="244"/>
      <c r="BQ17" s="244"/>
      <c r="BR17" s="244"/>
      <c r="BS17" s="244"/>
      <c r="BT17" s="244"/>
      <c r="BU17" s="244"/>
      <c r="BV17" s="244"/>
      <c r="BW17" s="244"/>
      <c r="BX17" s="244"/>
      <c r="BY17" s="244"/>
      <c r="BZ17" s="244"/>
      <c r="CA17" s="244"/>
      <c r="CB17" s="244"/>
      <c r="CC17" s="244"/>
      <c r="CD17" s="244"/>
      <c r="CE17" s="244"/>
      <c r="CF17" s="244"/>
    </row>
    <row r="18" ht="12.75" customHeight="1">
      <c r="C18" s="105" t="s">
        <v>230</v>
      </c>
      <c r="D18" s="104" t="s">
        <v>231</v>
      </c>
      <c r="H18" s="97"/>
      <c r="O18" s="21"/>
      <c r="P18" s="21"/>
      <c r="Q18" s="21"/>
      <c r="R18" s="21"/>
      <c r="S18" s="21"/>
      <c r="T18" s="21"/>
      <c r="U18" s="21"/>
      <c r="W18" s="21"/>
      <c r="X18" s="21"/>
      <c r="Y18" s="21"/>
      <c r="Z18" s="21"/>
      <c r="AA18" s="21"/>
      <c r="AB18" s="21"/>
      <c r="AC18" s="21"/>
      <c r="AE18" s="21"/>
      <c r="AF18" s="21"/>
      <c r="AG18" s="21"/>
      <c r="AH18" s="21"/>
      <c r="AI18" s="21"/>
      <c r="AJ18" s="21"/>
      <c r="AK18" s="21"/>
      <c r="AS18" s="244"/>
      <c r="AT18" s="244"/>
      <c r="AU18" s="244"/>
      <c r="AV18" s="244"/>
      <c r="AW18" s="244"/>
      <c r="AX18" s="244"/>
      <c r="AY18" s="244"/>
      <c r="AZ18" s="244"/>
      <c r="BA18" s="244"/>
      <c r="BB18" s="244"/>
      <c r="BC18" s="244"/>
      <c r="BD18" s="244"/>
      <c r="BE18" s="244"/>
      <c r="BF18" s="244"/>
      <c r="BG18" s="244"/>
      <c r="BH18" s="244"/>
      <c r="BI18" s="244"/>
      <c r="BJ18" s="244"/>
      <c r="BK18" s="244"/>
      <c r="BL18" s="244"/>
      <c r="BM18" s="244"/>
      <c r="BN18" s="244"/>
      <c r="BO18" s="244"/>
      <c r="BP18" s="244"/>
      <c r="BQ18" s="244"/>
      <c r="BR18" s="244"/>
      <c r="BS18" s="244"/>
      <c r="BT18" s="244"/>
      <c r="BU18" s="244"/>
      <c r="BV18" s="244"/>
      <c r="BW18" s="244"/>
      <c r="BX18" s="244"/>
      <c r="BY18" s="244"/>
      <c r="BZ18" s="244"/>
      <c r="CA18" s="244"/>
      <c r="CB18" s="244"/>
      <c r="CC18" s="244"/>
      <c r="CD18" s="244"/>
      <c r="CE18" s="244"/>
      <c r="CF18" s="244"/>
    </row>
    <row r="19" ht="12.75" customHeight="1">
      <c r="C19" s="105" t="s">
        <v>232</v>
      </c>
      <c r="D19" s="104" t="s">
        <v>233</v>
      </c>
      <c r="H19" s="97"/>
      <c r="O19" s="21"/>
      <c r="P19" s="21"/>
      <c r="Q19" s="645" t="s">
        <v>90</v>
      </c>
      <c r="R19" s="645"/>
      <c r="S19" s="645"/>
      <c r="T19" s="645"/>
      <c r="U19" s="645"/>
      <c r="V19" s="645"/>
      <c r="W19" s="645"/>
      <c r="X19" s="21"/>
      <c r="Y19" s="21"/>
      <c r="Z19" s="645" t="s">
        <v>84</v>
      </c>
      <c r="AA19" s="645"/>
      <c r="AB19" s="645"/>
      <c r="AC19" s="645"/>
      <c r="AD19" s="645"/>
      <c r="AE19" s="645"/>
      <c r="AF19" s="645"/>
      <c r="AG19" s="21"/>
      <c r="AH19" s="21"/>
      <c r="AI19" s="645" t="s">
        <v>85</v>
      </c>
      <c r="AJ19" s="645"/>
      <c r="AK19" s="645"/>
      <c r="AL19" s="645"/>
      <c r="AM19" s="645"/>
      <c r="AN19" s="645"/>
      <c r="AO19" s="645"/>
      <c r="AS19" s="244"/>
      <c r="AT19" s="244"/>
      <c r="AU19" s="244"/>
      <c r="AV19" s="244"/>
      <c r="AW19" s="244"/>
      <c r="AX19" s="244"/>
      <c r="AY19" s="244"/>
      <c r="AZ19" s="244"/>
      <c r="BA19" s="244"/>
      <c r="BB19" s="244"/>
      <c r="BC19" s="244"/>
      <c r="BD19" s="244"/>
      <c r="BE19" s="244"/>
      <c r="BF19" s="244"/>
      <c r="BG19" s="244"/>
      <c r="BH19" s="244"/>
      <c r="BI19" s="244"/>
      <c r="BJ19" s="244"/>
      <c r="BK19" s="244"/>
      <c r="BL19" s="244"/>
      <c r="BM19" s="244"/>
      <c r="BN19" s="244"/>
      <c r="BO19" s="244"/>
      <c r="BP19" s="244"/>
      <c r="BQ19" s="244"/>
      <c r="BR19" s="244"/>
      <c r="BS19" s="244"/>
      <c r="BT19" s="244"/>
      <c r="BU19" s="244"/>
      <c r="BV19" s="244"/>
      <c r="BW19" s="244"/>
      <c r="BX19" s="244"/>
      <c r="BY19" s="244"/>
      <c r="BZ19" s="244"/>
      <c r="CA19" s="244"/>
      <c r="CB19" s="244"/>
      <c r="CC19" s="244"/>
      <c r="CD19" s="244"/>
      <c r="CE19" s="244"/>
      <c r="CF19" s="244"/>
    </row>
    <row r="20" ht="15" customHeight="1">
      <c r="Q20" s="645"/>
      <c r="R20" s="645"/>
      <c r="S20" s="645"/>
      <c r="T20" s="645"/>
      <c r="U20" s="645"/>
      <c r="V20" s="645"/>
      <c r="W20" s="645"/>
      <c r="X20" s="107"/>
      <c r="Y20" s="107"/>
      <c r="Z20" s="645"/>
      <c r="AA20" s="645"/>
      <c r="AB20" s="645"/>
      <c r="AC20" s="645"/>
      <c r="AD20" s="645"/>
      <c r="AE20" s="645"/>
      <c r="AF20" s="645"/>
      <c r="AG20" s="107"/>
      <c r="AH20" s="6"/>
      <c r="AI20" s="645"/>
      <c r="AJ20" s="645"/>
      <c r="AK20" s="645"/>
      <c r="AL20" s="645"/>
      <c r="AM20" s="645"/>
      <c r="AN20" s="645"/>
      <c r="AO20" s="645"/>
      <c r="AS20" s="244"/>
      <c r="AT20" s="244"/>
      <c r="AU20" s="244"/>
      <c r="AV20" s="701"/>
      <c r="AW20" s="701"/>
      <c r="AX20" s="701"/>
      <c r="AY20" s="701"/>
      <c r="AZ20" s="701"/>
      <c r="BA20" s="701"/>
      <c r="BB20" s="701"/>
      <c r="BC20" s="244"/>
      <c r="BD20" s="244"/>
      <c r="BE20" s="244"/>
      <c r="BF20" s="244"/>
      <c r="BG20" s="244"/>
      <c r="BH20" s="244"/>
      <c r="BI20" s="244"/>
      <c r="BJ20" s="244"/>
      <c r="BK20" s="244"/>
      <c r="BL20" s="244"/>
      <c r="BM20" s="244"/>
      <c r="BN20" s="244"/>
      <c r="BO20" s="244"/>
      <c r="BP20" s="244"/>
      <c r="BQ20" s="244"/>
      <c r="BR20" s="244"/>
      <c r="BS20" s="244"/>
      <c r="BT20" s="244"/>
      <c r="BU20" s="244"/>
      <c r="BV20" s="244"/>
      <c r="BW20" s="244"/>
      <c r="BX20" s="244"/>
      <c r="BY20" s="244"/>
      <c r="BZ20" s="244"/>
      <c r="CA20" s="244"/>
      <c r="CB20" s="244"/>
      <c r="CC20" s="244"/>
      <c r="CD20" s="244"/>
      <c r="CE20" s="244"/>
      <c r="CF20" s="244"/>
    </row>
    <row r="21" s="0" customFormat="1" ht="60" customHeight="1">
      <c r="B21" s="110"/>
      <c r="C21" s="101" t="s">
        <v>34</v>
      </c>
      <c r="D21" s="101" t="s">
        <v>35</v>
      </c>
      <c r="E21" s="111" t="s">
        <v>36</v>
      </c>
      <c r="F21" s="111" t="s">
        <v>74</v>
      </c>
      <c r="G21" s="111" t="s">
        <v>73</v>
      </c>
      <c r="H21" s="111" t="s">
        <v>70</v>
      </c>
      <c r="I21" s="111" t="s">
        <v>71</v>
      </c>
      <c r="Q21" s="119">
        <v>45795</v>
      </c>
      <c r="R21" s="119">
        <v>45796</v>
      </c>
      <c r="S21" s="119">
        <v>45797</v>
      </c>
      <c r="T21" s="119">
        <v>45798</v>
      </c>
      <c r="U21" s="119">
        <v>45799</v>
      </c>
      <c r="V21" s="119">
        <v>45800</v>
      </c>
      <c r="W21" s="119">
        <v>45801</v>
      </c>
      <c r="X21" s="120"/>
      <c r="Y21" s="120"/>
      <c r="Z21" s="119">
        <v>45795</v>
      </c>
      <c r="AA21" s="119">
        <v>45796</v>
      </c>
      <c r="AB21" s="119">
        <v>45797</v>
      </c>
      <c r="AC21" s="119">
        <v>45798</v>
      </c>
      <c r="AD21" s="119">
        <v>45799</v>
      </c>
      <c r="AE21" s="119">
        <v>45800</v>
      </c>
      <c r="AF21" s="119">
        <v>45801</v>
      </c>
      <c r="AG21" s="120"/>
      <c r="AH21" s="120"/>
      <c r="AI21" s="119">
        <v>45795</v>
      </c>
      <c r="AJ21" s="119">
        <v>45796</v>
      </c>
      <c r="AK21" s="119">
        <v>45797</v>
      </c>
      <c r="AL21" s="119">
        <v>45798</v>
      </c>
      <c r="AM21" s="119">
        <v>45799</v>
      </c>
      <c r="AN21" s="119">
        <v>45800</v>
      </c>
      <c r="AO21" s="119">
        <v>45801</v>
      </c>
      <c r="AP21" s="112"/>
      <c r="AQ21" s="112"/>
      <c r="AR21" s="112"/>
      <c r="AS21" s="270"/>
      <c r="AT21" s="270"/>
      <c r="AU21" s="244"/>
      <c r="AV21" s="244"/>
      <c r="AW21" s="244"/>
      <c r="AX21" s="244"/>
      <c r="AY21" s="244"/>
      <c r="AZ21" s="244"/>
      <c r="BA21" s="244"/>
      <c r="BB21" s="244"/>
      <c r="BC21" s="244"/>
      <c r="BD21" s="244"/>
      <c r="BE21" s="244"/>
      <c r="BF21" s="244"/>
      <c r="BG21" s="244"/>
      <c r="BH21" s="244"/>
      <c r="BI21" s="244"/>
      <c r="BJ21" s="244"/>
      <c r="BK21" s="244"/>
      <c r="BL21" s="244"/>
      <c r="BM21" s="244"/>
      <c r="BN21" s="244"/>
      <c r="BO21" s="244"/>
      <c r="BP21" s="244"/>
      <c r="BQ21" s="244"/>
      <c r="BR21" s="244"/>
      <c r="BS21" s="244"/>
      <c r="BT21" s="244"/>
      <c r="BU21" s="244"/>
      <c r="BV21" s="244"/>
      <c r="BW21" s="244"/>
      <c r="BX21" s="244"/>
      <c r="BY21" s="244"/>
      <c r="BZ21" s="244"/>
      <c r="CA21" s="244"/>
      <c r="CB21" s="244"/>
      <c r="CC21" s="244"/>
      <c r="CD21" s="244"/>
      <c r="CE21" s="244"/>
      <c r="CF21" s="244"/>
    </row>
    <row r="22" ht="18" customHeight="1">
      <c r="C22" s="702">
        <v>56387</v>
      </c>
      <c r="D22" s="702" t="s">
        <v>189</v>
      </c>
      <c r="E22" s="702" t="s">
        <v>190</v>
      </c>
      <c r="F22" s="702" t="s">
        <v>191</v>
      </c>
      <c r="G22" s="702" t="s">
        <v>192</v>
      </c>
      <c r="H22" s="703">
        <v>132</v>
      </c>
      <c r="I22" s="703" t="s">
        <v>193</v>
      </c>
      <c r="J22" s="703"/>
      <c r="K22" s="703"/>
      <c r="L22" s="703"/>
      <c r="M22" s="703"/>
      <c r="N22" s="703"/>
      <c r="O22" s="113"/>
      <c r="Q22" s="704" t="s">
        <v>194</v>
      </c>
      <c r="R22" s="705" t="s">
        <v>194</v>
      </c>
      <c r="S22" s="705" t="s">
        <v>194</v>
      </c>
      <c r="T22" s="705" t="s">
        <v>194</v>
      </c>
      <c r="U22" s="705" t="s">
        <v>194</v>
      </c>
      <c r="V22" s="705" t="s">
        <v>194</v>
      </c>
      <c r="W22" s="706" t="s">
        <v>194</v>
      </c>
      <c r="Z22" s="704" t="s">
        <v>194</v>
      </c>
      <c r="AA22" s="705" t="s">
        <v>194</v>
      </c>
      <c r="AB22" s="705" t="s">
        <v>194</v>
      </c>
      <c r="AC22" s="705" t="s">
        <v>194</v>
      </c>
      <c r="AD22" s="705" t="s">
        <v>194</v>
      </c>
      <c r="AE22" s="705" t="s">
        <v>194</v>
      </c>
      <c r="AF22" s="706" t="s">
        <v>194</v>
      </c>
      <c r="AI22" s="704" t="s">
        <v>194</v>
      </c>
      <c r="AJ22" s="705" t="s">
        <v>194</v>
      </c>
      <c r="AK22" s="705" t="s">
        <v>194</v>
      </c>
      <c r="AL22" s="705" t="s">
        <v>194</v>
      </c>
      <c r="AM22" s="705" t="s">
        <v>194</v>
      </c>
      <c r="AN22" s="705" t="s">
        <v>194</v>
      </c>
      <c r="AO22" s="706" t="s">
        <v>194</v>
      </c>
      <c r="AP22" s="213"/>
      <c r="AQ22" s="213"/>
      <c r="AR22" s="213"/>
      <c r="AS22" s="271"/>
      <c r="AT22" s="271"/>
      <c r="AU22" s="244"/>
      <c r="AV22" s="244"/>
      <c r="AW22" s="244"/>
      <c r="AX22" s="244"/>
      <c r="AY22" s="244"/>
      <c r="AZ22" s="244"/>
      <c r="BA22" s="244"/>
      <c r="BB22" s="244"/>
      <c r="BC22" s="244"/>
      <c r="BD22" s="244"/>
      <c r="BE22" s="244"/>
      <c r="BF22" s="244"/>
      <c r="BG22" s="244"/>
      <c r="BH22" s="244"/>
      <c r="BI22" s="244"/>
      <c r="BJ22" s="244"/>
      <c r="BK22" s="244"/>
      <c r="BL22" s="244"/>
      <c r="BM22" s="244"/>
      <c r="BN22" s="244"/>
      <c r="BO22" s="244"/>
      <c r="BP22" s="244"/>
      <c r="BQ22" s="244"/>
      <c r="BR22" s="244"/>
      <c r="BS22" s="244"/>
      <c r="BT22" s="244"/>
      <c r="BU22" s="244"/>
      <c r="BV22" s="244"/>
      <c r="BW22" s="244"/>
      <c r="BX22" s="244"/>
      <c r="BY22" s="244"/>
      <c r="BZ22" s="244"/>
      <c r="CA22" s="244"/>
      <c r="CB22" s="244"/>
      <c r="CC22" s="244"/>
      <c r="CD22" s="244"/>
      <c r="CE22" s="244"/>
      <c r="CF22" s="244"/>
    </row>
    <row r="23" ht="18" customHeight="1">
      <c r="C23" s="707">
        <v>26819</v>
      </c>
      <c r="D23" s="707" t="s">
        <v>248</v>
      </c>
      <c r="E23" s="707" t="s">
        <v>190</v>
      </c>
      <c r="F23" s="707" t="s">
        <v>249</v>
      </c>
      <c r="G23" s="707" t="s">
        <v>250</v>
      </c>
      <c r="H23" s="708">
        <v>132</v>
      </c>
      <c r="I23" s="708" t="s">
        <v>251</v>
      </c>
      <c r="J23" s="708"/>
      <c r="K23" s="708"/>
      <c r="L23" s="708"/>
      <c r="M23" s="708"/>
      <c r="N23" s="708"/>
      <c r="O23" s="113"/>
      <c r="Q23" s="709" t="s">
        <v>194</v>
      </c>
      <c r="R23" s="710" t="s">
        <v>194</v>
      </c>
      <c r="S23" s="710" t="s">
        <v>194</v>
      </c>
      <c r="T23" s="710" t="s">
        <v>194</v>
      </c>
      <c r="U23" s="710" t="s">
        <v>194</v>
      </c>
      <c r="V23" s="710" t="s">
        <v>194</v>
      </c>
      <c r="W23" s="711" t="s">
        <v>194</v>
      </c>
      <c r="Z23" s="709" t="s">
        <v>194</v>
      </c>
      <c r="AA23" s="710" t="s">
        <v>194</v>
      </c>
      <c r="AB23" s="710" t="s">
        <v>194</v>
      </c>
      <c r="AC23" s="710" t="s">
        <v>194</v>
      </c>
      <c r="AD23" s="710" t="s">
        <v>194</v>
      </c>
      <c r="AE23" s="710" t="s">
        <v>194</v>
      </c>
      <c r="AF23" s="711" t="s">
        <v>194</v>
      </c>
      <c r="AI23" s="709" t="s">
        <v>194</v>
      </c>
      <c r="AJ23" s="710" t="s">
        <v>194</v>
      </c>
      <c r="AK23" s="710" t="s">
        <v>194</v>
      </c>
      <c r="AL23" s="710" t="s">
        <v>194</v>
      </c>
      <c r="AM23" s="710" t="s">
        <v>194</v>
      </c>
      <c r="AN23" s="710" t="s">
        <v>194</v>
      </c>
      <c r="AO23" s="711" t="s">
        <v>194</v>
      </c>
      <c r="AP23" s="213"/>
      <c r="AQ23" s="213"/>
      <c r="AR23" s="213"/>
      <c r="AS23" s="271"/>
      <c r="AT23" s="271"/>
      <c r="AU23" s="244"/>
      <c r="AV23" s="244"/>
      <c r="AW23" s="244"/>
      <c r="AX23" s="244"/>
      <c r="AY23" s="244"/>
      <c r="AZ23" s="244"/>
      <c r="BA23" s="244"/>
      <c r="BB23" s="244"/>
      <c r="BC23" s="244"/>
      <c r="BD23" s="244"/>
      <c r="BE23" s="244"/>
      <c r="BF23" s="244"/>
      <c r="BG23" s="244"/>
      <c r="BH23" s="244"/>
      <c r="BI23" s="244"/>
      <c r="BJ23" s="244"/>
      <c r="BK23" s="244"/>
      <c r="BL23" s="244"/>
      <c r="BM23" s="244"/>
      <c r="BN23" s="244"/>
      <c r="BO23" s="244"/>
      <c r="BP23" s="244"/>
      <c r="BQ23" s="244"/>
      <c r="BR23" s="244"/>
      <c r="BS23" s="244"/>
      <c r="BT23" s="244"/>
      <c r="BU23" s="244"/>
      <c r="BV23" s="244"/>
      <c r="BW23" s="244"/>
      <c r="BX23" s="244"/>
      <c r="BY23" s="244"/>
      <c r="BZ23" s="244"/>
      <c r="CA23" s="244"/>
      <c r="CB23" s="244"/>
      <c r="CC23" s="244"/>
      <c r="CD23" s="244"/>
      <c r="CE23" s="244"/>
      <c r="CF23" s="244"/>
    </row>
    <row r="24" ht="18" customHeight="1">
      <c r="C24" s="702">
        <v>31851</v>
      </c>
      <c r="D24" s="702" t="s">
        <v>252</v>
      </c>
      <c r="E24" s="702" t="s">
        <v>190</v>
      </c>
      <c r="F24" s="702" t="s">
        <v>253</v>
      </c>
      <c r="G24" s="702" t="s">
        <v>254</v>
      </c>
      <c r="H24" s="703">
        <v>186</v>
      </c>
      <c r="I24" s="703" t="s">
        <v>255</v>
      </c>
      <c r="J24" s="703"/>
      <c r="K24" s="703"/>
      <c r="L24" s="703"/>
      <c r="M24" s="703"/>
      <c r="N24" s="703"/>
      <c r="O24" s="113"/>
      <c r="Q24" s="704" t="s">
        <v>194</v>
      </c>
      <c r="R24" s="705" t="s">
        <v>194</v>
      </c>
      <c r="S24" s="705" t="s">
        <v>194</v>
      </c>
      <c r="T24" s="705" t="s">
        <v>194</v>
      </c>
      <c r="U24" s="705" t="s">
        <v>194</v>
      </c>
      <c r="V24" s="705" t="s">
        <v>194</v>
      </c>
      <c r="W24" s="706" t="s">
        <v>194</v>
      </c>
      <c r="Z24" s="704" t="s">
        <v>194</v>
      </c>
      <c r="AA24" s="705" t="s">
        <v>194</v>
      </c>
      <c r="AB24" s="705" t="s">
        <v>194</v>
      </c>
      <c r="AC24" s="705" t="s">
        <v>194</v>
      </c>
      <c r="AD24" s="705" t="s">
        <v>194</v>
      </c>
      <c r="AE24" s="705" t="s">
        <v>194</v>
      </c>
      <c r="AF24" s="706" t="s">
        <v>194</v>
      </c>
      <c r="AI24" s="704" t="s">
        <v>194</v>
      </c>
      <c r="AJ24" s="705" t="s">
        <v>194</v>
      </c>
      <c r="AK24" s="705" t="s">
        <v>194</v>
      </c>
      <c r="AL24" s="705" t="s">
        <v>194</v>
      </c>
      <c r="AM24" s="705" t="s">
        <v>194</v>
      </c>
      <c r="AN24" s="705" t="s">
        <v>194</v>
      </c>
      <c r="AO24" s="706" t="s">
        <v>194</v>
      </c>
      <c r="AP24" s="213"/>
      <c r="AQ24" s="213"/>
      <c r="AR24" s="213"/>
      <c r="AS24" s="271"/>
      <c r="AT24" s="271"/>
      <c r="AU24" s="244"/>
      <c r="AV24" s="244"/>
      <c r="AW24" s="244"/>
      <c r="AX24" s="244"/>
      <c r="AY24" s="244"/>
      <c r="AZ24" s="244"/>
      <c r="BA24" s="244"/>
      <c r="BB24" s="244"/>
      <c r="BC24" s="244"/>
      <c r="BD24" s="244"/>
      <c r="BE24" s="244"/>
      <c r="BF24" s="244"/>
      <c r="BG24" s="244"/>
      <c r="BH24" s="244"/>
      <c r="BI24" s="244"/>
      <c r="BJ24" s="244"/>
      <c r="BK24" s="244"/>
      <c r="BL24" s="244"/>
      <c r="BM24" s="244"/>
      <c r="BN24" s="244"/>
      <c r="BO24" s="244"/>
      <c r="BP24" s="244"/>
      <c r="BQ24" s="244"/>
      <c r="BR24" s="244"/>
      <c r="BS24" s="244"/>
      <c r="BT24" s="244"/>
      <c r="BU24" s="244"/>
      <c r="BV24" s="244"/>
      <c r="BW24" s="244"/>
      <c r="BX24" s="244"/>
      <c r="BY24" s="244"/>
      <c r="BZ24" s="244"/>
      <c r="CA24" s="244"/>
      <c r="CB24" s="244"/>
      <c r="CC24" s="244"/>
      <c r="CD24" s="244"/>
      <c r="CE24" s="244"/>
      <c r="CF24" s="244"/>
    </row>
    <row r="25" ht="18" customHeight="1">
      <c r="C25" s="707">
        <v>33931</v>
      </c>
      <c r="D25" s="707" t="s">
        <v>195</v>
      </c>
      <c r="E25" s="707" t="s">
        <v>190</v>
      </c>
      <c r="F25" s="707" t="s">
        <v>196</v>
      </c>
      <c r="G25" s="707" t="s">
        <v>197</v>
      </c>
      <c r="H25" s="708">
        <v>107</v>
      </c>
      <c r="I25" s="708" t="s">
        <v>198</v>
      </c>
      <c r="J25" s="708"/>
      <c r="K25" s="708"/>
      <c r="L25" s="708"/>
      <c r="M25" s="708"/>
      <c r="N25" s="708"/>
      <c r="O25" s="113"/>
      <c r="Q25" s="709" t="s">
        <v>194</v>
      </c>
      <c r="R25" s="710" t="s">
        <v>194</v>
      </c>
      <c r="S25" s="710" t="s">
        <v>194</v>
      </c>
      <c r="T25" s="710" t="s">
        <v>194</v>
      </c>
      <c r="U25" s="710" t="s">
        <v>194</v>
      </c>
      <c r="V25" s="710" t="s">
        <v>194</v>
      </c>
      <c r="W25" s="711" t="s">
        <v>194</v>
      </c>
      <c r="Z25" s="709" t="s">
        <v>194</v>
      </c>
      <c r="AA25" s="710" t="s">
        <v>194</v>
      </c>
      <c r="AB25" s="710" t="s">
        <v>194</v>
      </c>
      <c r="AC25" s="710" t="s">
        <v>194</v>
      </c>
      <c r="AD25" s="710" t="s">
        <v>194</v>
      </c>
      <c r="AE25" s="710" t="s">
        <v>194</v>
      </c>
      <c r="AF25" s="711" t="s">
        <v>194</v>
      </c>
      <c r="AI25" s="709" t="s">
        <v>194</v>
      </c>
      <c r="AJ25" s="710" t="s">
        <v>194</v>
      </c>
      <c r="AK25" s="710" t="s">
        <v>194</v>
      </c>
      <c r="AL25" s="710" t="s">
        <v>194</v>
      </c>
      <c r="AM25" s="710" t="s">
        <v>194</v>
      </c>
      <c r="AN25" s="710" t="s">
        <v>194</v>
      </c>
      <c r="AO25" s="711" t="s">
        <v>194</v>
      </c>
      <c r="AP25" s="213"/>
      <c r="AQ25" s="213"/>
      <c r="AR25" s="213"/>
      <c r="AS25" s="271"/>
      <c r="AT25" s="271"/>
      <c r="AU25" s="244"/>
      <c r="AV25" s="244"/>
      <c r="AW25" s="244"/>
      <c r="AX25" s="244"/>
      <c r="AY25" s="244"/>
      <c r="AZ25" s="244"/>
      <c r="BA25" s="244"/>
      <c r="BB25" s="244"/>
      <c r="BC25" s="244"/>
      <c r="BD25" s="244"/>
      <c r="BE25" s="244"/>
      <c r="BF25" s="244"/>
      <c r="BG25" s="244"/>
      <c r="BH25" s="244"/>
      <c r="BI25" s="244"/>
      <c r="BJ25" s="244"/>
      <c r="BK25" s="244"/>
      <c r="BL25" s="244"/>
      <c r="BM25" s="244"/>
      <c r="BN25" s="244"/>
      <c r="BO25" s="244"/>
      <c r="BP25" s="244"/>
      <c r="BQ25" s="244"/>
      <c r="BR25" s="244"/>
      <c r="BS25" s="244"/>
      <c r="BT25" s="244"/>
      <c r="BU25" s="244"/>
      <c r="BV25" s="244"/>
      <c r="BW25" s="244"/>
      <c r="BX25" s="244"/>
      <c r="BY25" s="244"/>
      <c r="BZ25" s="244"/>
      <c r="CA25" s="244"/>
      <c r="CB25" s="244"/>
      <c r="CC25" s="244"/>
      <c r="CD25" s="244"/>
      <c r="CE25" s="244"/>
      <c r="CF25" s="244"/>
    </row>
    <row r="26" ht="18" customHeight="1">
      <c r="C26" s="702">
        <v>62556</v>
      </c>
      <c r="D26" s="702" t="s">
        <v>256</v>
      </c>
      <c r="E26" s="702" t="s">
        <v>190</v>
      </c>
      <c r="F26" s="702" t="s">
        <v>196</v>
      </c>
      <c r="G26" s="702" t="s">
        <v>257</v>
      </c>
      <c r="H26" s="703">
        <v>87</v>
      </c>
      <c r="I26" s="703" t="s">
        <v>258</v>
      </c>
      <c r="J26" s="703"/>
      <c r="K26" s="703"/>
      <c r="L26" s="703"/>
      <c r="M26" s="703"/>
      <c r="N26" s="703"/>
      <c r="O26" s="113"/>
      <c r="Q26" s="704" t="s">
        <v>194</v>
      </c>
      <c r="R26" s="705" t="s">
        <v>194</v>
      </c>
      <c r="S26" s="705" t="s">
        <v>194</v>
      </c>
      <c r="T26" s="705" t="s">
        <v>194</v>
      </c>
      <c r="U26" s="705" t="s">
        <v>194</v>
      </c>
      <c r="V26" s="705" t="s">
        <v>194</v>
      </c>
      <c r="W26" s="706" t="s">
        <v>194</v>
      </c>
      <c r="Z26" s="704" t="s">
        <v>194</v>
      </c>
      <c r="AA26" s="705" t="s">
        <v>194</v>
      </c>
      <c r="AB26" s="705" t="s">
        <v>194</v>
      </c>
      <c r="AC26" s="705" t="s">
        <v>194</v>
      </c>
      <c r="AD26" s="705" t="s">
        <v>194</v>
      </c>
      <c r="AE26" s="705" t="s">
        <v>194</v>
      </c>
      <c r="AF26" s="706" t="s">
        <v>194</v>
      </c>
      <c r="AI26" s="704" t="s">
        <v>177</v>
      </c>
      <c r="AJ26" s="705" t="s">
        <v>177</v>
      </c>
      <c r="AK26" s="705" t="s">
        <v>177</v>
      </c>
      <c r="AL26" s="705" t="s">
        <v>177</v>
      </c>
      <c r="AM26" s="705" t="s">
        <v>177</v>
      </c>
      <c r="AN26" s="705" t="s">
        <v>177</v>
      </c>
      <c r="AO26" s="706" t="s">
        <v>177</v>
      </c>
      <c r="AP26" s="213"/>
      <c r="AQ26" s="213"/>
      <c r="AR26" s="213"/>
      <c r="AS26" s="271"/>
      <c r="AT26" s="271"/>
      <c r="AU26" s="244"/>
      <c r="AV26" s="244"/>
      <c r="AW26" s="244"/>
      <c r="AX26" s="244"/>
      <c r="AY26" s="244"/>
      <c r="AZ26" s="244"/>
      <c r="BA26" s="244"/>
      <c r="BB26" s="244"/>
      <c r="BC26" s="244"/>
      <c r="BD26" s="244"/>
      <c r="BE26" s="244"/>
      <c r="BF26" s="244"/>
      <c r="BG26" s="244"/>
      <c r="BH26" s="244"/>
      <c r="BI26" s="244"/>
      <c r="BJ26" s="244"/>
      <c r="BK26" s="244"/>
      <c r="BL26" s="244"/>
      <c r="BM26" s="244"/>
      <c r="BN26" s="244"/>
      <c r="BO26" s="244"/>
      <c r="BP26" s="244"/>
      <c r="BQ26" s="244"/>
      <c r="BR26" s="244"/>
      <c r="BS26" s="244"/>
      <c r="BT26" s="244"/>
      <c r="BU26" s="244"/>
      <c r="BV26" s="244"/>
      <c r="BW26" s="244"/>
      <c r="BX26" s="244"/>
      <c r="BY26" s="244"/>
      <c r="BZ26" s="244"/>
      <c r="CA26" s="244"/>
      <c r="CB26" s="244"/>
      <c r="CC26" s="244"/>
      <c r="CD26" s="244"/>
      <c r="CE26" s="244"/>
      <c r="CF26" s="244"/>
    </row>
    <row r="27" ht="18" customHeight="1">
      <c r="C27" s="707">
        <v>64036</v>
      </c>
      <c r="D27" s="707" t="s">
        <v>259</v>
      </c>
      <c r="E27" s="707" t="s">
        <v>190</v>
      </c>
      <c r="F27" s="707" t="s">
        <v>196</v>
      </c>
      <c r="G27" s="707" t="s">
        <v>260</v>
      </c>
      <c r="H27" s="708">
        <v>105</v>
      </c>
      <c r="I27" s="708" t="s">
        <v>261</v>
      </c>
      <c r="J27" s="708"/>
      <c r="K27" s="708"/>
      <c r="L27" s="708"/>
      <c r="M27" s="708"/>
      <c r="N27" s="708"/>
      <c r="O27" s="113"/>
      <c r="Q27" s="709" t="s">
        <v>194</v>
      </c>
      <c r="R27" s="710" t="s">
        <v>194</v>
      </c>
      <c r="S27" s="710" t="s">
        <v>194</v>
      </c>
      <c r="T27" s="710" t="s">
        <v>194</v>
      </c>
      <c r="U27" s="710" t="s">
        <v>194</v>
      </c>
      <c r="V27" s="710" t="s">
        <v>194</v>
      </c>
      <c r="W27" s="711" t="s">
        <v>194</v>
      </c>
      <c r="Z27" s="709" t="s">
        <v>194</v>
      </c>
      <c r="AA27" s="710" t="s">
        <v>194</v>
      </c>
      <c r="AB27" s="710" t="s">
        <v>194</v>
      </c>
      <c r="AC27" s="710" t="s">
        <v>194</v>
      </c>
      <c r="AD27" s="710" t="s">
        <v>194</v>
      </c>
      <c r="AE27" s="710" t="s">
        <v>194</v>
      </c>
      <c r="AF27" s="711" t="s">
        <v>194</v>
      </c>
      <c r="AI27" s="709" t="s">
        <v>194</v>
      </c>
      <c r="AJ27" s="710" t="s">
        <v>194</v>
      </c>
      <c r="AK27" s="710" t="s">
        <v>194</v>
      </c>
      <c r="AL27" s="710" t="s">
        <v>194</v>
      </c>
      <c r="AM27" s="710" t="s">
        <v>194</v>
      </c>
      <c r="AN27" s="710" t="s">
        <v>194</v>
      </c>
      <c r="AO27" s="711" t="s">
        <v>194</v>
      </c>
      <c r="AP27" s="213"/>
      <c r="AQ27" s="213"/>
      <c r="AR27" s="213"/>
      <c r="AS27" s="271"/>
      <c r="AT27" s="271"/>
      <c r="AU27" s="244"/>
      <c r="AV27" s="244"/>
      <c r="AW27" s="244"/>
      <c r="AX27" s="244"/>
      <c r="AY27" s="244"/>
      <c r="AZ27" s="244"/>
      <c r="BA27" s="244"/>
      <c r="BB27" s="244"/>
      <c r="BC27" s="244"/>
      <c r="BD27" s="244"/>
      <c r="BE27" s="244"/>
      <c r="BF27" s="244"/>
      <c r="BG27" s="244"/>
      <c r="BH27" s="244"/>
      <c r="BI27" s="244"/>
      <c r="BJ27" s="244"/>
      <c r="BK27" s="244"/>
      <c r="BL27" s="244"/>
      <c r="BM27" s="244"/>
      <c r="BN27" s="244"/>
      <c r="BO27" s="244"/>
      <c r="BP27" s="244"/>
      <c r="BQ27" s="244"/>
      <c r="BR27" s="244"/>
      <c r="BS27" s="244"/>
      <c r="BT27" s="244"/>
      <c r="BU27" s="244"/>
      <c r="BV27" s="244"/>
      <c r="BW27" s="244"/>
      <c r="BX27" s="244"/>
      <c r="BY27" s="244"/>
      <c r="BZ27" s="244"/>
      <c r="CA27" s="244"/>
      <c r="CB27" s="244"/>
      <c r="CC27" s="244"/>
      <c r="CD27" s="244"/>
      <c r="CE27" s="244"/>
      <c r="CF27" s="244"/>
    </row>
    <row r="28" ht="18" customHeight="1">
      <c r="C28" s="702">
        <v>67528</v>
      </c>
      <c r="D28" s="702" t="s">
        <v>262</v>
      </c>
      <c r="E28" s="702" t="s">
        <v>190</v>
      </c>
      <c r="F28" s="702" t="s">
        <v>196</v>
      </c>
      <c r="G28" s="702" t="s">
        <v>263</v>
      </c>
      <c r="H28" s="703">
        <v>118</v>
      </c>
      <c r="I28" s="703" t="s">
        <v>264</v>
      </c>
      <c r="J28" s="703"/>
      <c r="K28" s="703"/>
      <c r="L28" s="703"/>
      <c r="M28" s="703"/>
      <c r="N28" s="703"/>
      <c r="O28" s="113"/>
      <c r="Q28" s="704" t="s">
        <v>194</v>
      </c>
      <c r="R28" s="705" t="s">
        <v>194</v>
      </c>
      <c r="S28" s="705" t="s">
        <v>194</v>
      </c>
      <c r="T28" s="705" t="s">
        <v>194</v>
      </c>
      <c r="U28" s="705" t="s">
        <v>194</v>
      </c>
      <c r="V28" s="705" t="s">
        <v>194</v>
      </c>
      <c r="W28" s="706" t="s">
        <v>194</v>
      </c>
      <c r="Z28" s="704" t="s">
        <v>194</v>
      </c>
      <c r="AA28" s="705" t="s">
        <v>194</v>
      </c>
      <c r="AB28" s="705" t="s">
        <v>194</v>
      </c>
      <c r="AC28" s="705" t="s">
        <v>194</v>
      </c>
      <c r="AD28" s="705" t="s">
        <v>194</v>
      </c>
      <c r="AE28" s="705" t="s">
        <v>194</v>
      </c>
      <c r="AF28" s="706" t="s">
        <v>194</v>
      </c>
      <c r="AI28" s="704" t="s">
        <v>265</v>
      </c>
      <c r="AJ28" s="705" t="s">
        <v>265</v>
      </c>
      <c r="AK28" s="705" t="s">
        <v>265</v>
      </c>
      <c r="AL28" s="705" t="s">
        <v>265</v>
      </c>
      <c r="AM28" s="705" t="s">
        <v>265</v>
      </c>
      <c r="AN28" s="705" t="s">
        <v>265</v>
      </c>
      <c r="AO28" s="706" t="s">
        <v>265</v>
      </c>
      <c r="AP28" s="213"/>
      <c r="AQ28" s="213"/>
      <c r="AR28" s="213"/>
      <c r="AS28" s="271"/>
      <c r="AT28" s="271"/>
      <c r="AU28" s="244"/>
      <c r="AV28" s="244"/>
      <c r="AW28" s="244"/>
      <c r="AX28" s="244"/>
      <c r="AY28" s="244"/>
      <c r="AZ28" s="244"/>
      <c r="BA28" s="244"/>
      <c r="BB28" s="244"/>
      <c r="BC28" s="244"/>
      <c r="BD28" s="244"/>
      <c r="BE28" s="244"/>
      <c r="BF28" s="244"/>
      <c r="BG28" s="244"/>
      <c r="BH28" s="244"/>
      <c r="BI28" s="244"/>
      <c r="BJ28" s="244"/>
      <c r="BK28" s="244"/>
      <c r="BL28" s="244"/>
      <c r="BM28" s="244"/>
      <c r="BN28" s="244"/>
      <c r="BO28" s="244"/>
      <c r="BP28" s="244"/>
      <c r="BQ28" s="244"/>
      <c r="BR28" s="244"/>
      <c r="BS28" s="244"/>
      <c r="BT28" s="244"/>
      <c r="BU28" s="244"/>
      <c r="BV28" s="244"/>
      <c r="BW28" s="244"/>
      <c r="BX28" s="244"/>
      <c r="BY28" s="244"/>
      <c r="BZ28" s="244"/>
      <c r="CA28" s="244"/>
      <c r="CB28" s="244"/>
      <c r="CC28" s="244"/>
      <c r="CD28" s="244"/>
      <c r="CE28" s="244"/>
      <c r="CF28" s="244"/>
    </row>
    <row r="29" ht="18" customHeight="1">
      <c r="C29" s="707">
        <v>68331</v>
      </c>
      <c r="D29" s="707" t="s">
        <v>266</v>
      </c>
      <c r="E29" s="707" t="s">
        <v>190</v>
      </c>
      <c r="F29" s="707" t="s">
        <v>267</v>
      </c>
      <c r="G29" s="707" t="s">
        <v>268</v>
      </c>
      <c r="H29" s="708">
        <v>96</v>
      </c>
      <c r="I29" s="708" t="s">
        <v>269</v>
      </c>
      <c r="J29" s="708"/>
      <c r="K29" s="708"/>
      <c r="L29" s="708"/>
      <c r="M29" s="708"/>
      <c r="N29" s="708"/>
      <c r="O29" s="113"/>
      <c r="Q29" s="709" t="s">
        <v>194</v>
      </c>
      <c r="R29" s="710" t="s">
        <v>194</v>
      </c>
      <c r="S29" s="710" t="s">
        <v>194</v>
      </c>
      <c r="T29" s="710" t="s">
        <v>194</v>
      </c>
      <c r="U29" s="710" t="s">
        <v>194</v>
      </c>
      <c r="V29" s="710" t="s">
        <v>194</v>
      </c>
      <c r="W29" s="711" t="s">
        <v>194</v>
      </c>
      <c r="Z29" s="709" t="s">
        <v>194</v>
      </c>
      <c r="AA29" s="710" t="s">
        <v>194</v>
      </c>
      <c r="AB29" s="710" t="s">
        <v>194</v>
      </c>
      <c r="AC29" s="710" t="s">
        <v>194</v>
      </c>
      <c r="AD29" s="710" t="s">
        <v>194</v>
      </c>
      <c r="AE29" s="710" t="s">
        <v>194</v>
      </c>
      <c r="AF29" s="711" t="s">
        <v>194</v>
      </c>
      <c r="AI29" s="709" t="s">
        <v>194</v>
      </c>
      <c r="AJ29" s="710" t="s">
        <v>194</v>
      </c>
      <c r="AK29" s="710" t="s">
        <v>194</v>
      </c>
      <c r="AL29" s="710" t="s">
        <v>194</v>
      </c>
      <c r="AM29" s="710" t="s">
        <v>194</v>
      </c>
      <c r="AN29" s="710" t="s">
        <v>194</v>
      </c>
      <c r="AO29" s="711" t="s">
        <v>194</v>
      </c>
      <c r="AP29" s="213"/>
      <c r="AQ29" s="213"/>
      <c r="AR29" s="213"/>
      <c r="AS29" s="271"/>
      <c r="AT29" s="271"/>
      <c r="AU29" s="244"/>
      <c r="AV29" s="244"/>
      <c r="AW29" s="244"/>
      <c r="AX29" s="244"/>
      <c r="AY29" s="244"/>
      <c r="AZ29" s="244"/>
      <c r="BA29" s="244"/>
      <c r="BB29" s="244"/>
      <c r="BC29" s="244"/>
      <c r="BD29" s="244"/>
      <c r="BE29" s="244"/>
      <c r="BF29" s="244"/>
      <c r="BG29" s="244"/>
      <c r="BH29" s="244"/>
      <c r="BI29" s="244"/>
      <c r="BJ29" s="244"/>
      <c r="BK29" s="244"/>
      <c r="BL29" s="244"/>
      <c r="BM29" s="244"/>
      <c r="BN29" s="244"/>
      <c r="BO29" s="244"/>
      <c r="BP29" s="244"/>
      <c r="BQ29" s="244"/>
      <c r="BR29" s="244"/>
      <c r="BS29" s="244"/>
      <c r="BT29" s="244"/>
      <c r="BU29" s="244"/>
      <c r="BV29" s="244"/>
      <c r="BW29" s="244"/>
      <c r="BX29" s="244"/>
      <c r="BY29" s="244"/>
      <c r="BZ29" s="244"/>
      <c r="CA29" s="244"/>
      <c r="CB29" s="244"/>
      <c r="CC29" s="244"/>
      <c r="CD29" s="244"/>
      <c r="CE29" s="244"/>
      <c r="CF29" s="244"/>
    </row>
    <row r="30" ht="18" customHeight="1">
      <c r="C30" s="702">
        <v>70610</v>
      </c>
      <c r="D30" s="702" t="s">
        <v>270</v>
      </c>
      <c r="E30" s="702" t="s">
        <v>190</v>
      </c>
      <c r="F30" s="702" t="s">
        <v>271</v>
      </c>
      <c r="G30" s="702" t="s">
        <v>272</v>
      </c>
      <c r="H30" s="703">
        <v>202</v>
      </c>
      <c r="I30" s="703" t="s">
        <v>273</v>
      </c>
      <c r="J30" s="703"/>
      <c r="K30" s="703"/>
      <c r="L30" s="703"/>
      <c r="M30" s="703"/>
      <c r="N30" s="703"/>
      <c r="O30" s="113"/>
      <c r="Q30" s="704" t="s">
        <v>194</v>
      </c>
      <c r="R30" s="705" t="s">
        <v>194</v>
      </c>
      <c r="S30" s="705" t="s">
        <v>194</v>
      </c>
      <c r="T30" s="705" t="s">
        <v>194</v>
      </c>
      <c r="U30" s="705" t="s">
        <v>194</v>
      </c>
      <c r="V30" s="705" t="s">
        <v>194</v>
      </c>
      <c r="W30" s="706" t="s">
        <v>204</v>
      </c>
      <c r="Z30" s="704" t="s">
        <v>194</v>
      </c>
      <c r="AA30" s="705" t="s">
        <v>194</v>
      </c>
      <c r="AB30" s="705" t="s">
        <v>194</v>
      </c>
      <c r="AC30" s="705" t="s">
        <v>194</v>
      </c>
      <c r="AD30" s="705" t="s">
        <v>194</v>
      </c>
      <c r="AE30" s="705" t="s">
        <v>194</v>
      </c>
      <c r="AF30" s="706" t="s">
        <v>204</v>
      </c>
      <c r="AI30" s="704" t="s">
        <v>265</v>
      </c>
      <c r="AJ30" s="705" t="s">
        <v>265</v>
      </c>
      <c r="AK30" s="705" t="s">
        <v>265</v>
      </c>
      <c r="AL30" s="705" t="s">
        <v>265</v>
      </c>
      <c r="AM30" s="705" t="s">
        <v>265</v>
      </c>
      <c r="AN30" s="705" t="s">
        <v>265</v>
      </c>
      <c r="AO30" s="706" t="s">
        <v>177</v>
      </c>
      <c r="AP30" s="213"/>
      <c r="AQ30" s="213"/>
      <c r="AR30" s="213"/>
      <c r="AS30" s="271"/>
      <c r="AT30" s="271"/>
      <c r="AU30" s="244"/>
      <c r="AV30" s="244"/>
      <c r="AW30" s="244"/>
      <c r="AX30" s="244"/>
      <c r="AY30" s="244"/>
      <c r="AZ30" s="244"/>
      <c r="BA30" s="244"/>
      <c r="BB30" s="244"/>
      <c r="BC30" s="244"/>
      <c r="BD30" s="244"/>
      <c r="BE30" s="244"/>
      <c r="BF30" s="244"/>
      <c r="BG30" s="244"/>
      <c r="BH30" s="244"/>
      <c r="BI30" s="244"/>
      <c r="BJ30" s="244"/>
      <c r="BK30" s="244"/>
      <c r="BL30" s="244"/>
      <c r="BM30" s="244"/>
      <c r="BN30" s="244"/>
      <c r="BO30" s="244"/>
      <c r="BP30" s="244"/>
      <c r="BQ30" s="244"/>
      <c r="BR30" s="244"/>
      <c r="BS30" s="244"/>
      <c r="BT30" s="244"/>
      <c r="BU30" s="244"/>
      <c r="BV30" s="244"/>
      <c r="BW30" s="244"/>
      <c r="BX30" s="244"/>
      <c r="BY30" s="244"/>
      <c r="BZ30" s="244"/>
      <c r="CA30" s="244"/>
      <c r="CB30" s="244"/>
      <c r="CC30" s="244"/>
      <c r="CD30" s="244"/>
      <c r="CE30" s="244"/>
      <c r="CF30" s="244"/>
    </row>
    <row r="31" ht="18" customHeight="1">
      <c r="C31" s="114"/>
      <c r="D31" s="118"/>
      <c r="E31" s="118"/>
      <c r="F31" s="118"/>
      <c r="G31" s="118"/>
      <c r="H31" s="703">
        <v>1165</v>
      </c>
      <c r="I31" s="712"/>
      <c r="J31" s="712"/>
      <c r="K31" s="712"/>
      <c r="L31" s="712"/>
      <c r="M31" s="712"/>
      <c r="N31" s="712"/>
      <c r="O31" s="113"/>
      <c r="AP31" s="213"/>
      <c r="AQ31" s="213"/>
      <c r="AR31" s="213"/>
      <c r="AS31" s="271"/>
      <c r="AT31" s="271"/>
      <c r="AU31" s="244"/>
      <c r="AV31" s="244"/>
      <c r="AW31" s="244"/>
      <c r="AX31" s="244"/>
      <c r="AY31" s="244"/>
      <c r="AZ31" s="244"/>
      <c r="BA31" s="244"/>
      <c r="BB31" s="244"/>
      <c r="BC31" s="244"/>
      <c r="BD31" s="244"/>
      <c r="BE31" s="244"/>
      <c r="BF31" s="244"/>
      <c r="BG31" s="244"/>
      <c r="BH31" s="244"/>
      <c r="BI31" s="244"/>
      <c r="BJ31" s="244"/>
      <c r="BK31" s="244"/>
      <c r="BL31" s="244"/>
      <c r="BM31" s="244"/>
      <c r="BN31" s="244"/>
      <c r="BO31" s="244"/>
      <c r="BP31" s="244"/>
      <c r="BQ31" s="244"/>
      <c r="BR31" s="244"/>
      <c r="BS31" s="244"/>
      <c r="BT31" s="244"/>
      <c r="BU31" s="244"/>
      <c r="BV31" s="244"/>
      <c r="BW31" s="244"/>
      <c r="BX31" s="244"/>
      <c r="BY31" s="244"/>
      <c r="BZ31" s="244"/>
      <c r="CA31" s="244"/>
      <c r="CB31" s="244"/>
      <c r="CC31" s="244"/>
      <c r="CD31" s="244"/>
      <c r="CE31" s="244"/>
      <c r="CF31" s="244"/>
    </row>
    <row r="32" ht="18" customHeight="1">
      <c r="C32" s="114"/>
      <c r="D32" s="118"/>
      <c r="E32" s="118"/>
      <c r="F32" s="118"/>
      <c r="G32" s="118"/>
      <c r="H32" s="118"/>
      <c r="I32" s="712"/>
      <c r="J32" s="712"/>
      <c r="K32" s="712"/>
      <c r="L32" s="712"/>
      <c r="M32" s="712"/>
      <c r="N32" s="712"/>
      <c r="O32" s="113"/>
      <c r="P32" t="s">
        <v>212</v>
      </c>
      <c r="AP32" s="213"/>
      <c r="AQ32" s="213"/>
      <c r="AR32" s="213"/>
      <c r="AS32" s="271"/>
      <c r="AT32" s="271"/>
      <c r="AU32" s="244"/>
      <c r="AV32" s="244"/>
      <c r="AW32" s="244"/>
      <c r="AX32" s="244"/>
      <c r="AY32" s="244"/>
      <c r="AZ32" s="244"/>
      <c r="BA32" s="244"/>
      <c r="BB32" s="244"/>
      <c r="BC32" s="244"/>
      <c r="BD32" s="244"/>
      <c r="BE32" s="244"/>
      <c r="BF32" s="244"/>
      <c r="BG32" s="244"/>
      <c r="BH32" s="244"/>
      <c r="BI32" s="244"/>
      <c r="BJ32" s="244"/>
      <c r="BK32" s="244"/>
      <c r="BL32" s="244"/>
      <c r="BM32" s="244"/>
      <c r="BN32" s="244"/>
      <c r="BO32" s="244"/>
      <c r="BP32" s="244"/>
      <c r="BQ32" s="244"/>
      <c r="BR32" s="244"/>
      <c r="BS32" s="244"/>
      <c r="BT32" s="244"/>
      <c r="BU32" s="244"/>
      <c r="BV32" s="244"/>
      <c r="BW32" s="244"/>
      <c r="BX32" s="244"/>
      <c r="BY32" s="244"/>
      <c r="BZ32" s="244"/>
      <c r="CA32" s="244"/>
      <c r="CB32" s="244"/>
      <c r="CC32" s="244"/>
      <c r="CD32" s="244"/>
      <c r="CE32" s="244"/>
      <c r="CF32" s="244"/>
    </row>
    <row r="33" ht="18" customHeight="1">
      <c r="C33" s="114"/>
      <c r="D33" s="118"/>
      <c r="E33" s="118"/>
      <c r="F33" s="118"/>
      <c r="G33" s="118"/>
      <c r="H33" s="118"/>
      <c r="I33" s="712"/>
      <c r="J33" s="712"/>
      <c r="K33" s="712"/>
      <c r="L33" s="712"/>
      <c r="M33" s="712"/>
      <c r="N33" s="712"/>
      <c r="O33" s="113"/>
      <c r="AP33" s="213"/>
      <c r="AQ33" s="213"/>
      <c r="AR33" s="213"/>
      <c r="AS33" s="271"/>
      <c r="AT33" s="271"/>
      <c r="AU33" s="244"/>
      <c r="AV33" s="244"/>
      <c r="AW33" s="244"/>
      <c r="AX33" s="244"/>
      <c r="AY33" s="244"/>
      <c r="AZ33" s="244"/>
      <c r="BA33" s="244"/>
      <c r="BB33" s="244"/>
      <c r="BC33" s="244"/>
      <c r="BD33" s="244"/>
      <c r="BE33" s="244"/>
      <c r="BF33" s="244"/>
      <c r="BG33" s="244"/>
      <c r="BH33" s="244"/>
      <c r="BI33" s="244"/>
      <c r="BJ33" s="244"/>
      <c r="BK33" s="244"/>
      <c r="BL33" s="244"/>
      <c r="BM33" s="244"/>
      <c r="BN33" s="244"/>
      <c r="BO33" s="244"/>
      <c r="BP33" s="244"/>
      <c r="BQ33" s="244"/>
      <c r="BR33" s="244"/>
      <c r="BS33" s="244"/>
      <c r="BT33" s="244"/>
      <c r="BU33" s="244"/>
      <c r="BV33" s="244"/>
      <c r="BW33" s="244"/>
      <c r="BX33" s="244"/>
      <c r="BY33" s="244"/>
      <c r="BZ33" s="244"/>
      <c r="CA33" s="244"/>
      <c r="CB33" s="244"/>
      <c r="CC33" s="244"/>
      <c r="CD33" s="244"/>
      <c r="CE33" s="244"/>
      <c r="CF33" s="244"/>
    </row>
    <row r="34" ht="18" customHeight="1">
      <c r="C34" s="114"/>
      <c r="D34" s="118"/>
      <c r="E34" s="118"/>
      <c r="F34" s="118"/>
      <c r="G34" s="118"/>
      <c r="H34" s="118"/>
      <c r="I34" s="712"/>
      <c r="J34" s="712"/>
      <c r="K34" s="712"/>
      <c r="L34" s="712"/>
      <c r="M34" s="712"/>
      <c r="N34" s="712"/>
      <c r="O34" s="113"/>
      <c r="AP34" s="213"/>
      <c r="AQ34" s="213"/>
      <c r="AR34" s="213"/>
      <c r="AS34" s="271"/>
      <c r="AT34" s="271"/>
      <c r="AU34" s="244"/>
      <c r="AV34" s="244"/>
      <c r="AW34" s="244"/>
      <c r="AX34" s="244"/>
      <c r="AY34" s="244"/>
      <c r="AZ34" s="244"/>
      <c r="BA34" s="244"/>
      <c r="BB34" s="244"/>
      <c r="BC34" s="244"/>
      <c r="BD34" s="244"/>
      <c r="BE34" s="244"/>
      <c r="BF34" s="244"/>
      <c r="BG34" s="244"/>
      <c r="BH34" s="244"/>
      <c r="BI34" s="244"/>
      <c r="BJ34" s="244"/>
      <c r="BK34" s="244"/>
      <c r="BL34" s="244"/>
      <c r="BM34" s="244"/>
      <c r="BN34" s="244"/>
      <c r="BO34" s="244"/>
      <c r="BP34" s="244"/>
      <c r="BQ34" s="244"/>
      <c r="BR34" s="244"/>
      <c r="BS34" s="244"/>
      <c r="BT34" s="244"/>
      <c r="BU34" s="244"/>
      <c r="BV34" s="244"/>
      <c r="BW34" s="244"/>
      <c r="BX34" s="244"/>
      <c r="BY34" s="244"/>
      <c r="BZ34" s="244"/>
      <c r="CA34" s="244"/>
      <c r="CB34" s="244"/>
      <c r="CC34" s="244"/>
      <c r="CD34" s="244"/>
      <c r="CE34" s="244"/>
      <c r="CF34" s="244"/>
    </row>
    <row r="35" ht="18" customHeight="1">
      <c r="C35" s="114"/>
      <c r="D35" s="118"/>
      <c r="E35" s="118"/>
      <c r="F35" s="118"/>
      <c r="G35" s="118"/>
      <c r="H35" s="118"/>
      <c r="I35" s="712"/>
      <c r="J35" s="712"/>
      <c r="K35" s="712"/>
      <c r="L35" s="712"/>
      <c r="M35" s="712"/>
      <c r="N35" s="712"/>
      <c r="O35" s="113"/>
      <c r="AP35" s="213"/>
      <c r="AQ35" s="213"/>
      <c r="AR35" s="213"/>
      <c r="AS35" s="271"/>
      <c r="AT35" s="271"/>
      <c r="AU35" s="244"/>
      <c r="AV35" s="244"/>
      <c r="AW35" s="244"/>
      <c r="AX35" s="244"/>
      <c r="AY35" s="244"/>
      <c r="AZ35" s="244"/>
      <c r="BA35" s="244"/>
      <c r="BB35" s="244"/>
      <c r="BC35" s="244"/>
      <c r="BD35" s="244"/>
      <c r="BE35" s="244"/>
      <c r="BF35" s="244"/>
      <c r="BG35" s="244"/>
      <c r="BH35" s="244"/>
      <c r="BI35" s="244"/>
      <c r="BJ35" s="244"/>
      <c r="BK35" s="244"/>
      <c r="BL35" s="244"/>
      <c r="BM35" s="244"/>
      <c r="BN35" s="244"/>
      <c r="BO35" s="244"/>
      <c r="BP35" s="244"/>
      <c r="BQ35" s="244"/>
      <c r="BR35" s="244"/>
      <c r="BS35" s="244"/>
      <c r="BT35" s="244"/>
      <c r="BU35" s="244"/>
      <c r="BV35" s="244"/>
      <c r="BW35" s="244"/>
      <c r="BX35" s="244"/>
      <c r="BY35" s="244"/>
      <c r="BZ35" s="244"/>
      <c r="CA35" s="244"/>
      <c r="CB35" s="244"/>
      <c r="CC35" s="244"/>
      <c r="CD35" s="244"/>
      <c r="CE35" s="244"/>
      <c r="CF35" s="244"/>
    </row>
    <row r="36" ht="18" customHeight="1">
      <c r="C36" s="114"/>
      <c r="D36" s="118"/>
      <c r="E36" s="118"/>
      <c r="F36" s="118"/>
      <c r="G36" s="118"/>
      <c r="H36" s="118"/>
      <c r="I36" s="712"/>
      <c r="J36" s="712"/>
      <c r="K36" s="712"/>
      <c r="L36" s="712"/>
      <c r="M36" s="712"/>
      <c r="N36" s="712"/>
      <c r="O36" s="113"/>
      <c r="AP36" s="213"/>
      <c r="AQ36" s="213"/>
      <c r="AR36" s="213"/>
      <c r="AS36" s="271"/>
      <c r="AT36" s="271"/>
      <c r="AU36" s="244"/>
      <c r="AV36" s="244"/>
      <c r="AW36" s="244"/>
      <c r="AX36" s="244"/>
      <c r="AY36" s="244"/>
      <c r="AZ36" s="244"/>
      <c r="BA36" s="244"/>
      <c r="BB36" s="244"/>
      <c r="BC36" s="244"/>
      <c r="BD36" s="244"/>
      <c r="BE36" s="244"/>
      <c r="BF36" s="244"/>
      <c r="BG36" s="244"/>
      <c r="BH36" s="244"/>
      <c r="BI36" s="244"/>
      <c r="BJ36" s="244"/>
      <c r="BK36" s="244"/>
      <c r="BL36" s="244"/>
      <c r="BM36" s="244"/>
      <c r="BN36" s="244"/>
      <c r="BO36" s="244"/>
      <c r="BP36" s="244"/>
      <c r="BQ36" s="244"/>
      <c r="BR36" s="244"/>
      <c r="BS36" s="244"/>
      <c r="BT36" s="244"/>
      <c r="BU36" s="244"/>
      <c r="BV36" s="244"/>
      <c r="BW36" s="244"/>
      <c r="BX36" s="244"/>
      <c r="BY36" s="244"/>
      <c r="BZ36" s="244"/>
      <c r="CA36" s="244"/>
      <c r="CB36" s="244"/>
      <c r="CC36" s="244"/>
      <c r="CD36" s="244"/>
      <c r="CE36" s="244"/>
      <c r="CF36" s="244"/>
    </row>
    <row r="37" ht="18" customHeight="1">
      <c r="C37" s="114"/>
      <c r="D37" s="118"/>
      <c r="E37" s="118"/>
      <c r="F37" s="118"/>
      <c r="G37" s="118"/>
      <c r="H37" s="118"/>
      <c r="I37" s="712"/>
      <c r="J37" s="712"/>
      <c r="K37" s="712"/>
      <c r="L37" s="712"/>
      <c r="M37" s="712"/>
      <c r="N37" s="712"/>
      <c r="O37" s="113"/>
      <c r="AP37" s="213"/>
      <c r="AQ37" s="213"/>
      <c r="AR37" s="213"/>
      <c r="AS37" s="271"/>
      <c r="AT37" s="271"/>
      <c r="AU37" s="244"/>
      <c r="AV37" s="244"/>
      <c r="AW37" s="244"/>
      <c r="AX37" s="244"/>
      <c r="AY37" s="244"/>
      <c r="AZ37" s="244"/>
      <c r="BA37" s="244"/>
      <c r="BB37" s="244"/>
      <c r="BC37" s="244"/>
      <c r="BD37" s="244"/>
      <c r="BE37" s="244"/>
      <c r="BF37" s="244"/>
      <c r="BG37" s="244"/>
      <c r="BH37" s="244"/>
      <c r="BI37" s="244"/>
      <c r="BJ37" s="244"/>
      <c r="BK37" s="244"/>
      <c r="BL37" s="244"/>
      <c r="BM37" s="244"/>
      <c r="BN37" s="244"/>
      <c r="BO37" s="244"/>
      <c r="BP37" s="244"/>
      <c r="BQ37" s="244"/>
      <c r="BR37" s="244"/>
      <c r="BS37" s="244"/>
      <c r="BT37" s="244"/>
      <c r="BU37" s="244"/>
      <c r="BV37" s="244"/>
      <c r="BW37" s="244"/>
      <c r="BX37" s="244"/>
      <c r="BY37" s="244"/>
      <c r="BZ37" s="244"/>
      <c r="CA37" s="244"/>
      <c r="CB37" s="244"/>
      <c r="CC37" s="244"/>
      <c r="CD37" s="244"/>
      <c r="CE37" s="244"/>
      <c r="CF37" s="244"/>
    </row>
    <row r="38" ht="18" customHeight="1">
      <c r="C38" s="114"/>
      <c r="D38" s="118"/>
      <c r="E38" s="118"/>
      <c r="F38" s="118"/>
      <c r="G38" s="118"/>
      <c r="H38" s="118"/>
      <c r="I38" s="712"/>
      <c r="J38" s="712"/>
      <c r="K38" s="712"/>
      <c r="L38" s="712"/>
      <c r="M38" s="712"/>
      <c r="N38" s="712"/>
      <c r="O38" s="113"/>
      <c r="AP38" s="213"/>
      <c r="AQ38" s="213"/>
      <c r="AR38" s="213"/>
      <c r="AS38" s="271"/>
      <c r="AT38" s="271"/>
      <c r="AU38" s="244"/>
      <c r="AV38" s="244"/>
      <c r="AW38" s="244"/>
      <c r="AX38" s="244"/>
      <c r="AY38" s="244"/>
      <c r="AZ38" s="244"/>
      <c r="BA38" s="244"/>
      <c r="BB38" s="244"/>
      <c r="BC38" s="244"/>
      <c r="BD38" s="244"/>
      <c r="BE38" s="244"/>
      <c r="BF38" s="244"/>
      <c r="BG38" s="244"/>
      <c r="BH38" s="244"/>
      <c r="BI38" s="244"/>
      <c r="BJ38" s="244"/>
      <c r="BK38" s="244"/>
      <c r="BL38" s="244"/>
      <c r="BM38" s="244"/>
      <c r="BN38" s="244"/>
      <c r="BO38" s="244"/>
      <c r="BP38" s="244"/>
      <c r="BQ38" s="244"/>
      <c r="BR38" s="244"/>
      <c r="BS38" s="244"/>
      <c r="BT38" s="244"/>
      <c r="BU38" s="244"/>
      <c r="BV38" s="244"/>
      <c r="BW38" s="244"/>
      <c r="BX38" s="244"/>
      <c r="BY38" s="244"/>
      <c r="BZ38" s="244"/>
      <c r="CA38" s="244"/>
      <c r="CB38" s="244"/>
      <c r="CC38" s="244"/>
      <c r="CD38" s="244"/>
      <c r="CE38" s="244"/>
      <c r="CF38" s="244"/>
    </row>
    <row r="39" ht="18" customHeight="1">
      <c r="C39" s="114"/>
      <c r="D39" s="118"/>
      <c r="E39" s="118"/>
      <c r="F39" s="118"/>
      <c r="G39" s="118"/>
      <c r="H39" s="118"/>
      <c r="I39" s="712"/>
      <c r="J39" s="712"/>
      <c r="K39" s="712"/>
      <c r="L39" s="712"/>
      <c r="M39" s="712"/>
      <c r="N39" s="712"/>
      <c r="O39" s="113"/>
      <c r="AP39" s="213"/>
      <c r="AQ39" s="213"/>
      <c r="AR39" s="213"/>
      <c r="AS39" s="271"/>
      <c r="AT39" s="271"/>
      <c r="AU39" s="244"/>
      <c r="AV39" s="244"/>
      <c r="AW39" s="244"/>
      <c r="AX39" s="244"/>
      <c r="AY39" s="244"/>
      <c r="AZ39" s="244"/>
      <c r="BA39" s="244"/>
      <c r="BB39" s="244"/>
      <c r="BC39" s="244"/>
      <c r="BD39" s="244"/>
      <c r="BE39" s="244"/>
      <c r="BF39" s="244"/>
      <c r="BG39" s="244"/>
      <c r="BH39" s="244"/>
      <c r="BI39" s="244"/>
      <c r="BJ39" s="244"/>
      <c r="BK39" s="244"/>
      <c r="BL39" s="244"/>
      <c r="BM39" s="244"/>
      <c r="BN39" s="244"/>
      <c r="BO39" s="244"/>
      <c r="BP39" s="244"/>
      <c r="BQ39" s="244"/>
      <c r="BR39" s="244"/>
      <c r="BS39" s="244"/>
      <c r="BT39" s="244"/>
      <c r="BU39" s="244"/>
      <c r="BV39" s="244"/>
      <c r="BW39" s="244"/>
      <c r="BX39" s="244"/>
      <c r="BY39" s="244"/>
      <c r="BZ39" s="244"/>
      <c r="CA39" s="244"/>
      <c r="CB39" s="244"/>
      <c r="CC39" s="244"/>
      <c r="CD39" s="244"/>
      <c r="CE39" s="244"/>
      <c r="CF39" s="244"/>
    </row>
    <row r="40" ht="18" customHeight="1">
      <c r="C40" s="114"/>
      <c r="D40" s="118"/>
      <c r="E40" s="118"/>
      <c r="F40" s="118"/>
      <c r="G40" s="118"/>
      <c r="H40" s="118"/>
      <c r="I40" s="712"/>
      <c r="J40" s="712"/>
      <c r="K40" s="712"/>
      <c r="L40" s="712"/>
      <c r="M40" s="712"/>
      <c r="N40" s="712"/>
      <c r="O40" s="113"/>
      <c r="AP40" s="213"/>
      <c r="AQ40" s="213"/>
      <c r="AR40" s="213"/>
      <c r="AS40" s="271"/>
      <c r="AT40" s="271"/>
      <c r="AU40" s="244"/>
      <c r="AV40" s="244"/>
      <c r="AW40" s="244"/>
      <c r="AX40" s="244"/>
      <c r="AY40" s="244"/>
      <c r="AZ40" s="244"/>
      <c r="BA40" s="244"/>
      <c r="BB40" s="244"/>
      <c r="BC40" s="244"/>
      <c r="BD40" s="244"/>
      <c r="BE40" s="244"/>
      <c r="BF40" s="244"/>
      <c r="BG40" s="244"/>
      <c r="BH40" s="244"/>
      <c r="BI40" s="244"/>
      <c r="BJ40" s="244"/>
      <c r="BK40" s="244"/>
      <c r="BL40" s="244"/>
      <c r="BM40" s="244"/>
      <c r="BN40" s="244"/>
      <c r="BO40" s="244"/>
      <c r="BP40" s="244"/>
      <c r="BQ40" s="244"/>
      <c r="BR40" s="244"/>
      <c r="BS40" s="244"/>
      <c r="BT40" s="244"/>
      <c r="BU40" s="244"/>
      <c r="BV40" s="244"/>
      <c r="BW40" s="244"/>
      <c r="BX40" s="244"/>
      <c r="BY40" s="244"/>
      <c r="BZ40" s="244"/>
      <c r="CA40" s="244"/>
      <c r="CB40" s="244"/>
      <c r="CC40" s="244"/>
      <c r="CD40" s="244"/>
      <c r="CE40" s="244"/>
      <c r="CF40" s="244"/>
    </row>
    <row r="41" ht="18" customHeight="1">
      <c r="C41" s="114"/>
      <c r="D41" s="118"/>
      <c r="E41" s="118"/>
      <c r="F41" s="118"/>
      <c r="G41" s="118"/>
      <c r="H41" s="118"/>
      <c r="I41" s="712"/>
      <c r="J41" s="712"/>
      <c r="K41" s="712"/>
      <c r="L41" s="712"/>
      <c r="M41" s="712"/>
      <c r="N41" s="712"/>
      <c r="O41" s="113"/>
      <c r="AP41" s="213"/>
      <c r="AQ41" s="213"/>
      <c r="AR41" s="213"/>
      <c r="AS41" s="271"/>
      <c r="AT41" s="271"/>
      <c r="AU41" s="244"/>
      <c r="AV41" s="244"/>
      <c r="AW41" s="244"/>
      <c r="AX41" s="244"/>
      <c r="AY41" s="244"/>
      <c r="AZ41" s="244"/>
      <c r="BA41" s="244"/>
      <c r="BB41" s="244"/>
      <c r="BC41" s="244"/>
      <c r="BD41" s="244"/>
      <c r="BE41" s="244"/>
      <c r="BF41" s="244"/>
      <c r="BG41" s="244"/>
      <c r="BH41" s="244"/>
      <c r="BI41" s="244"/>
      <c r="BJ41" s="244"/>
      <c r="BK41" s="244"/>
      <c r="BL41" s="244"/>
      <c r="BM41" s="244"/>
      <c r="BN41" s="244"/>
      <c r="BO41" s="244"/>
      <c r="BP41" s="244"/>
      <c r="BQ41" s="244"/>
      <c r="BR41" s="244"/>
      <c r="BS41" s="244"/>
      <c r="BT41" s="244"/>
      <c r="BU41" s="244"/>
      <c r="BV41" s="244"/>
      <c r="BW41" s="244"/>
      <c r="BX41" s="244"/>
      <c r="BY41" s="244"/>
      <c r="BZ41" s="244"/>
      <c r="CA41" s="244"/>
      <c r="CB41" s="244"/>
      <c r="CC41" s="244"/>
      <c r="CD41" s="244"/>
      <c r="CE41" s="244"/>
      <c r="CF41" s="244"/>
    </row>
    <row r="42" ht="0" hidden="1" customHeight="1">
      <c r="C42" s="114"/>
      <c r="D42" s="118"/>
      <c r="E42" s="118"/>
      <c r="F42" s="118"/>
      <c r="G42" s="118"/>
      <c r="H42" s="118"/>
      <c r="I42" s="712"/>
      <c r="J42" s="712"/>
      <c r="K42" s="712"/>
      <c r="L42" s="712"/>
      <c r="M42" s="712"/>
      <c r="N42" s="712"/>
      <c r="O42" s="113"/>
      <c r="AP42" s="213"/>
      <c r="AQ42" s="213"/>
      <c r="AR42" s="213"/>
      <c r="AS42" s="271"/>
      <c r="AT42" s="271"/>
      <c r="AU42" s="244"/>
      <c r="AV42" s="244"/>
      <c r="AW42" s="244"/>
      <c r="AX42" s="244"/>
      <c r="AY42" s="244"/>
      <c r="AZ42" s="244"/>
      <c r="BA42" s="244"/>
      <c r="BB42" s="244"/>
      <c r="BC42" s="244"/>
      <c r="BD42" s="244"/>
      <c r="BE42" s="244"/>
      <c r="BF42" s="244"/>
      <c r="BG42" s="244"/>
      <c r="BH42" s="244"/>
      <c r="BI42" s="244"/>
      <c r="BJ42" s="244"/>
      <c r="BK42" s="244"/>
      <c r="BL42" s="244"/>
      <c r="BM42" s="244"/>
      <c r="BN42" s="244"/>
      <c r="BO42" s="244"/>
      <c r="BP42" s="244"/>
      <c r="BQ42" s="244"/>
      <c r="BR42" s="244"/>
      <c r="BS42" s="244"/>
      <c r="BT42" s="244"/>
      <c r="BU42" s="244"/>
      <c r="BV42" s="244"/>
      <c r="BW42" s="244"/>
      <c r="BX42" s="244"/>
      <c r="BY42" s="244"/>
      <c r="BZ42" s="244"/>
      <c r="CA42" s="244"/>
      <c r="CB42" s="244"/>
      <c r="CC42" s="244"/>
      <c r="CD42" s="244"/>
      <c r="CE42" s="244"/>
      <c r="CF42" s="244"/>
    </row>
    <row r="43" ht="0" hidden="1" customHeight="1">
      <c r="C43" s="114"/>
      <c r="D43" s="118"/>
      <c r="E43" s="118"/>
      <c r="F43" s="118"/>
      <c r="G43" s="118"/>
      <c r="H43" s="118"/>
      <c r="I43" s="712"/>
      <c r="J43" s="712"/>
      <c r="K43" s="712"/>
      <c r="L43" s="712"/>
      <c r="M43" s="712"/>
      <c r="N43" s="712"/>
      <c r="O43" s="113"/>
      <c r="AP43" s="213"/>
      <c r="AQ43" s="213"/>
      <c r="AR43" s="213"/>
      <c r="AS43" s="271"/>
      <c r="AT43" s="271"/>
      <c r="AU43" s="244"/>
      <c r="AV43" s="244"/>
      <c r="AW43" s="244"/>
      <c r="AX43" s="244"/>
      <c r="AY43" s="244"/>
      <c r="AZ43" s="244"/>
      <c r="BA43" s="244"/>
      <c r="BB43" s="244"/>
      <c r="BC43" s="244"/>
      <c r="BD43" s="244"/>
      <c r="BE43" s="244"/>
      <c r="BF43" s="244"/>
      <c r="BG43" s="244"/>
      <c r="BH43" s="244"/>
      <c r="BI43" s="244"/>
      <c r="BJ43" s="244"/>
      <c r="BK43" s="244"/>
      <c r="BL43" s="244"/>
      <c r="BM43" s="244"/>
      <c r="BN43" s="244"/>
      <c r="BO43" s="244"/>
      <c r="BP43" s="244"/>
      <c r="BQ43" s="244"/>
      <c r="BR43" s="244"/>
      <c r="BS43" s="244"/>
      <c r="BT43" s="244"/>
      <c r="BU43" s="244"/>
      <c r="BV43" s="244"/>
      <c r="BW43" s="244"/>
      <c r="BX43" s="244"/>
      <c r="BY43" s="244"/>
      <c r="BZ43" s="244"/>
      <c r="CA43" s="244"/>
      <c r="CB43" s="244"/>
      <c r="CC43" s="244"/>
      <c r="CD43" s="244"/>
      <c r="CE43" s="244"/>
      <c r="CF43" s="244"/>
    </row>
    <row r="44" ht="0" hidden="1" customHeight="1">
      <c r="C44" s="114"/>
      <c r="D44" s="118"/>
      <c r="E44" s="118"/>
      <c r="F44" s="118"/>
      <c r="G44" s="118"/>
      <c r="H44" s="118"/>
      <c r="I44" s="712"/>
      <c r="J44" s="712"/>
      <c r="K44" s="712"/>
      <c r="L44" s="712"/>
      <c r="M44" s="712"/>
      <c r="N44" s="712"/>
      <c r="O44" s="113"/>
      <c r="AP44" s="213"/>
      <c r="AQ44" s="213"/>
      <c r="AR44" s="213"/>
      <c r="AS44" s="271"/>
      <c r="AT44" s="271"/>
      <c r="AU44" s="244"/>
      <c r="AV44" s="244"/>
      <c r="AW44" s="244"/>
      <c r="AX44" s="244"/>
      <c r="AY44" s="244"/>
      <c r="AZ44" s="244"/>
      <c r="BA44" s="244"/>
      <c r="BB44" s="244"/>
      <c r="BC44" s="244"/>
      <c r="BD44" s="244"/>
      <c r="BE44" s="244"/>
      <c r="BF44" s="244"/>
      <c r="BG44" s="244"/>
      <c r="BH44" s="244"/>
      <c r="BI44" s="244"/>
      <c r="BJ44" s="244"/>
      <c r="BK44" s="244"/>
      <c r="BL44" s="244"/>
      <c r="BM44" s="244"/>
      <c r="BN44" s="244"/>
      <c r="BO44" s="244"/>
      <c r="BP44" s="244"/>
      <c r="BQ44" s="244"/>
      <c r="BR44" s="244"/>
      <c r="BS44" s="244"/>
      <c r="BT44" s="244"/>
      <c r="BU44" s="244"/>
      <c r="BV44" s="244"/>
      <c r="BW44" s="244"/>
      <c r="BX44" s="244"/>
      <c r="BY44" s="244"/>
      <c r="BZ44" s="244"/>
      <c r="CA44" s="244"/>
      <c r="CB44" s="244"/>
      <c r="CC44" s="244"/>
      <c r="CD44" s="244"/>
      <c r="CE44" s="244"/>
      <c r="CF44" s="244"/>
    </row>
    <row r="45" ht="0" hidden="1" customHeight="1">
      <c r="C45" s="114"/>
      <c r="D45" s="118"/>
      <c r="E45" s="118"/>
      <c r="F45" s="118"/>
      <c r="G45" s="118"/>
      <c r="H45" s="118"/>
      <c r="I45" s="712"/>
      <c r="J45" s="712"/>
      <c r="K45" s="712"/>
      <c r="L45" s="712"/>
      <c r="M45" s="712"/>
      <c r="N45" s="712"/>
      <c r="O45" s="113"/>
      <c r="AP45" s="213"/>
      <c r="AQ45" s="213"/>
      <c r="AR45" s="213"/>
      <c r="AS45" s="271"/>
      <c r="AT45" s="271"/>
      <c r="AU45" s="244"/>
      <c r="AV45" s="244"/>
      <c r="AW45" s="244"/>
      <c r="AX45" s="244"/>
      <c r="AY45" s="244"/>
      <c r="AZ45" s="244"/>
      <c r="BA45" s="244"/>
      <c r="BB45" s="244"/>
      <c r="BC45" s="244"/>
      <c r="BD45" s="244"/>
      <c r="BE45" s="244"/>
      <c r="BF45" s="244"/>
      <c r="BG45" s="244"/>
      <c r="BH45" s="244"/>
      <c r="BI45" s="244"/>
      <c r="BJ45" s="244"/>
      <c r="BK45" s="244"/>
      <c r="BL45" s="244"/>
      <c r="BM45" s="244"/>
      <c r="BN45" s="244"/>
      <c r="BO45" s="244"/>
      <c r="BP45" s="244"/>
      <c r="BQ45" s="244"/>
      <c r="BR45" s="244"/>
      <c r="BS45" s="244"/>
      <c r="BT45" s="244"/>
      <c r="BU45" s="244"/>
      <c r="BV45" s="244"/>
      <c r="BW45" s="244"/>
      <c r="BX45" s="244"/>
      <c r="BY45" s="244"/>
      <c r="BZ45" s="244"/>
      <c r="CA45" s="244"/>
      <c r="CB45" s="244"/>
      <c r="CC45" s="244"/>
      <c r="CD45" s="244"/>
      <c r="CE45" s="244"/>
      <c r="CF45" s="244"/>
    </row>
    <row r="46" ht="0" hidden="1" customHeight="1">
      <c r="C46" s="114"/>
      <c r="D46" s="118"/>
      <c r="E46" s="118"/>
      <c r="F46" s="118"/>
      <c r="G46" s="118"/>
      <c r="H46" s="118"/>
      <c r="I46" s="712"/>
      <c r="J46" s="712"/>
      <c r="K46" s="712"/>
      <c r="L46" s="712"/>
      <c r="M46" s="712"/>
      <c r="N46" s="712"/>
      <c r="O46" s="113"/>
      <c r="AP46" s="213"/>
      <c r="AQ46" s="213"/>
      <c r="AR46" s="213"/>
      <c r="AS46" s="271"/>
      <c r="AT46" s="271"/>
      <c r="AU46" s="244"/>
      <c r="AV46" s="244"/>
      <c r="AW46" s="244"/>
      <c r="AX46" s="244"/>
      <c r="AY46" s="244"/>
      <c r="AZ46" s="244"/>
      <c r="BA46" s="244"/>
      <c r="BB46" s="244"/>
      <c r="BC46" s="244"/>
      <c r="BD46" s="244"/>
      <c r="BE46" s="244"/>
      <c r="BF46" s="244"/>
      <c r="BG46" s="244"/>
      <c r="BH46" s="244"/>
      <c r="BI46" s="244"/>
      <c r="BJ46" s="244"/>
      <c r="BK46" s="244"/>
      <c r="BL46" s="244"/>
      <c r="BM46" s="244"/>
      <c r="BN46" s="244"/>
      <c r="BO46" s="244"/>
      <c r="BP46" s="244"/>
      <c r="BQ46" s="244"/>
      <c r="BR46" s="244"/>
      <c r="BS46" s="244"/>
      <c r="BT46" s="244"/>
      <c r="BU46" s="244"/>
      <c r="BV46" s="244"/>
      <c r="BW46" s="244"/>
      <c r="BX46" s="244"/>
      <c r="BY46" s="244"/>
      <c r="BZ46" s="244"/>
      <c r="CA46" s="244"/>
      <c r="CB46" s="244"/>
      <c r="CC46" s="244"/>
      <c r="CD46" s="244"/>
      <c r="CE46" s="244"/>
      <c r="CF46" s="244"/>
    </row>
    <row r="47" ht="0" hidden="1" customHeight="1">
      <c r="C47" s="114"/>
      <c r="D47" s="118"/>
      <c r="E47" s="118"/>
      <c r="F47" s="118"/>
      <c r="G47" s="118"/>
      <c r="H47" s="118"/>
      <c r="I47" s="712"/>
      <c r="J47" s="712"/>
      <c r="K47" s="712"/>
      <c r="L47" s="712"/>
      <c r="M47" s="712"/>
      <c r="N47" s="712"/>
      <c r="O47" s="113"/>
      <c r="AP47" s="213"/>
      <c r="AQ47" s="213"/>
      <c r="AR47" s="213"/>
      <c r="AS47" s="271"/>
      <c r="AT47" s="271"/>
      <c r="AU47" s="244"/>
      <c r="AV47" s="244"/>
      <c r="AW47" s="244"/>
      <c r="AX47" s="244"/>
      <c r="AY47" s="244"/>
      <c r="AZ47" s="244"/>
      <c r="BA47" s="244"/>
      <c r="BB47" s="244"/>
      <c r="BC47" s="244"/>
      <c r="BD47" s="244"/>
      <c r="BE47" s="244"/>
      <c r="BF47" s="244"/>
      <c r="BG47" s="244"/>
      <c r="BH47" s="244"/>
      <c r="BI47" s="244"/>
      <c r="BJ47" s="244"/>
      <c r="BK47" s="244"/>
      <c r="BL47" s="244"/>
      <c r="BM47" s="244"/>
      <c r="BN47" s="244"/>
      <c r="BO47" s="244"/>
      <c r="BP47" s="244"/>
      <c r="BQ47" s="244"/>
      <c r="BR47" s="244"/>
      <c r="BS47" s="244"/>
      <c r="BT47" s="244"/>
      <c r="BU47" s="244"/>
      <c r="BV47" s="244"/>
      <c r="BW47" s="244"/>
      <c r="BX47" s="244"/>
      <c r="BY47" s="244"/>
      <c r="BZ47" s="244"/>
      <c r="CA47" s="244"/>
      <c r="CB47" s="244"/>
      <c r="CC47" s="244"/>
      <c r="CD47" s="244"/>
      <c r="CE47" s="244"/>
      <c r="CF47" s="244"/>
    </row>
    <row r="48" ht="0" hidden="1" customHeight="1">
      <c r="C48" s="114"/>
      <c r="D48" s="118"/>
      <c r="E48" s="118"/>
      <c r="F48" s="118"/>
      <c r="G48" s="118"/>
      <c r="H48" s="118"/>
      <c r="I48" s="712"/>
      <c r="J48" s="712"/>
      <c r="K48" s="712"/>
      <c r="L48" s="712"/>
      <c r="M48" s="712"/>
      <c r="N48" s="712"/>
      <c r="O48" s="113"/>
      <c r="AP48" s="213"/>
      <c r="AQ48" s="213"/>
      <c r="AR48" s="213"/>
      <c r="AS48" s="271"/>
      <c r="AT48" s="271"/>
      <c r="AU48" s="244"/>
      <c r="AV48" s="244"/>
      <c r="AW48" s="244"/>
      <c r="AX48" s="244"/>
      <c r="AY48" s="244"/>
      <c r="AZ48" s="244"/>
      <c r="BA48" s="244"/>
      <c r="BB48" s="244"/>
      <c r="BC48" s="244"/>
      <c r="BD48" s="244"/>
      <c r="BE48" s="244"/>
      <c r="BF48" s="244"/>
      <c r="BG48" s="244"/>
      <c r="BH48" s="244"/>
      <c r="BI48" s="244"/>
      <c r="BJ48" s="244"/>
      <c r="BK48" s="244"/>
      <c r="BL48" s="244"/>
      <c r="BM48" s="244"/>
      <c r="BN48" s="244"/>
      <c r="BO48" s="244"/>
      <c r="BP48" s="244"/>
      <c r="BQ48" s="244"/>
      <c r="BR48" s="244"/>
      <c r="BS48" s="244"/>
      <c r="BT48" s="244"/>
      <c r="BU48" s="244"/>
      <c r="BV48" s="244"/>
      <c r="BW48" s="244"/>
      <c r="BX48" s="244"/>
      <c r="BY48" s="244"/>
      <c r="BZ48" s="244"/>
      <c r="CA48" s="244"/>
      <c r="CB48" s="244"/>
      <c r="CC48" s="244"/>
      <c r="CD48" s="244"/>
      <c r="CE48" s="244"/>
      <c r="CF48" s="244"/>
    </row>
    <row r="49" ht="0" hidden="1" customHeight="1">
      <c r="C49" s="114"/>
      <c r="D49" s="118"/>
      <c r="E49" s="118"/>
      <c r="F49" s="118"/>
      <c r="G49" s="118"/>
      <c r="H49" s="118"/>
      <c r="I49" s="712"/>
      <c r="J49" s="712"/>
      <c r="K49" s="712"/>
      <c r="L49" s="712"/>
      <c r="M49" s="712"/>
      <c r="N49" s="712"/>
      <c r="O49" s="113"/>
      <c r="AP49" s="213"/>
      <c r="AQ49" s="213"/>
      <c r="AR49" s="213"/>
      <c r="AS49" s="271"/>
      <c r="AT49" s="271"/>
      <c r="AU49" s="244"/>
      <c r="AV49" s="244"/>
      <c r="AW49" s="244"/>
      <c r="AX49" s="244"/>
      <c r="AY49" s="244"/>
      <c r="AZ49" s="244"/>
      <c r="BA49" s="244"/>
      <c r="BB49" s="244"/>
      <c r="BC49" s="244"/>
      <c r="BD49" s="244"/>
      <c r="BE49" s="244"/>
      <c r="BF49" s="244"/>
      <c r="BG49" s="244"/>
      <c r="BH49" s="244"/>
      <c r="BI49" s="244"/>
      <c r="BJ49" s="244"/>
      <c r="BK49" s="244"/>
      <c r="BL49" s="244"/>
      <c r="BM49" s="244"/>
      <c r="BN49" s="244"/>
      <c r="BO49" s="244"/>
      <c r="BP49" s="244"/>
      <c r="BQ49" s="244"/>
      <c r="BR49" s="244"/>
      <c r="BS49" s="244"/>
      <c r="BT49" s="244"/>
      <c r="BU49" s="244"/>
      <c r="BV49" s="244"/>
      <c r="BW49" s="244"/>
      <c r="BX49" s="244"/>
      <c r="BY49" s="244"/>
      <c r="BZ49" s="244"/>
      <c r="CA49" s="244"/>
      <c r="CB49" s="244"/>
      <c r="CC49" s="244"/>
      <c r="CD49" s="244"/>
      <c r="CE49" s="244"/>
      <c r="CF49" s="244"/>
    </row>
    <row r="50" ht="0" hidden="1" customHeight="1">
      <c r="C50" s="114"/>
      <c r="D50" s="118"/>
      <c r="E50" s="118"/>
      <c r="F50" s="118"/>
      <c r="G50" s="118"/>
      <c r="H50" s="118"/>
      <c r="I50" s="712"/>
      <c r="J50" s="712"/>
      <c r="K50" s="712"/>
      <c r="L50" s="712"/>
      <c r="M50" s="712"/>
      <c r="N50" s="712"/>
      <c r="O50" s="113"/>
      <c r="AP50" s="213"/>
      <c r="AQ50" s="213"/>
      <c r="AR50" s="213"/>
      <c r="AS50" s="271"/>
      <c r="AT50" s="271"/>
      <c r="AU50" s="244"/>
      <c r="AV50" s="244"/>
      <c r="AW50" s="244"/>
      <c r="AX50" s="244"/>
      <c r="AY50" s="244"/>
      <c r="AZ50" s="244"/>
      <c r="BA50" s="244"/>
      <c r="BB50" s="244"/>
      <c r="BC50" s="244"/>
      <c r="BD50" s="244"/>
      <c r="BE50" s="244"/>
      <c r="BF50" s="244"/>
      <c r="BG50" s="244"/>
      <c r="BH50" s="244"/>
      <c r="BI50" s="244"/>
      <c r="BJ50" s="244"/>
      <c r="BK50" s="244"/>
      <c r="BL50" s="244"/>
      <c r="BM50" s="244"/>
      <c r="BN50" s="244"/>
      <c r="BO50" s="244"/>
      <c r="BP50" s="244"/>
      <c r="BQ50" s="244"/>
      <c r="BR50" s="244"/>
      <c r="BS50" s="244"/>
      <c r="BT50" s="244"/>
      <c r="BU50" s="244"/>
      <c r="BV50" s="244"/>
      <c r="BW50" s="244"/>
      <c r="BX50" s="244"/>
      <c r="BY50" s="244"/>
      <c r="BZ50" s="244"/>
      <c r="CA50" s="244"/>
      <c r="CB50" s="244"/>
      <c r="CC50" s="244"/>
      <c r="CD50" s="244"/>
      <c r="CE50" s="244"/>
      <c r="CF50" s="244"/>
    </row>
    <row r="51" ht="0" hidden="1" customHeight="1">
      <c r="C51" s="114"/>
      <c r="D51" s="118"/>
      <c r="E51" s="118"/>
      <c r="F51" s="118"/>
      <c r="G51" s="118"/>
      <c r="H51" s="118"/>
      <c r="I51" s="712"/>
      <c r="J51" s="712"/>
      <c r="K51" s="712"/>
      <c r="L51" s="712"/>
      <c r="M51" s="712"/>
      <c r="N51" s="712"/>
      <c r="O51" s="113"/>
      <c r="AP51" s="213"/>
      <c r="AQ51" s="213"/>
      <c r="AR51" s="213"/>
      <c r="AS51" s="271"/>
      <c r="AT51" s="271"/>
      <c r="AU51" s="244"/>
      <c r="AV51" s="244"/>
      <c r="AW51" s="244"/>
      <c r="AX51" s="244"/>
      <c r="AY51" s="244"/>
      <c r="AZ51" s="244"/>
      <c r="BA51" s="244"/>
      <c r="BB51" s="244"/>
      <c r="BC51" s="244"/>
      <c r="BD51" s="244"/>
      <c r="BE51" s="244"/>
      <c r="BF51" s="244"/>
      <c r="BG51" s="244"/>
      <c r="BH51" s="244"/>
      <c r="BI51" s="244"/>
      <c r="BJ51" s="244"/>
      <c r="BK51" s="244"/>
      <c r="BL51" s="244"/>
      <c r="BM51" s="244"/>
      <c r="BN51" s="244"/>
      <c r="BO51" s="244"/>
      <c r="BP51" s="244"/>
      <c r="BQ51" s="244"/>
      <c r="BR51" s="244"/>
      <c r="BS51" s="244"/>
      <c r="BT51" s="244"/>
      <c r="BU51" s="244"/>
      <c r="BV51" s="244"/>
      <c r="BW51" s="244"/>
      <c r="BX51" s="244"/>
      <c r="BY51" s="244"/>
      <c r="BZ51" s="244"/>
      <c r="CA51" s="244"/>
      <c r="CB51" s="244"/>
      <c r="CC51" s="244"/>
      <c r="CD51" s="244"/>
      <c r="CE51" s="244"/>
      <c r="CF51" s="244"/>
    </row>
    <row r="52" ht="0" hidden="1" customHeight="1">
      <c r="C52" s="114"/>
      <c r="D52" s="118"/>
      <c r="E52" s="118"/>
      <c r="F52" s="118"/>
      <c r="G52" s="118"/>
      <c r="H52" s="118"/>
      <c r="I52" s="712"/>
      <c r="J52" s="712"/>
      <c r="K52" s="712"/>
      <c r="L52" s="712"/>
      <c r="M52" s="712"/>
      <c r="N52" s="712"/>
      <c r="O52" s="113"/>
      <c r="AP52" s="213"/>
      <c r="AQ52" s="213"/>
      <c r="AR52" s="213"/>
      <c r="AS52" s="271"/>
      <c r="AT52" s="271"/>
      <c r="AU52" s="244"/>
      <c r="AV52" s="244"/>
      <c r="AW52" s="244"/>
      <c r="AX52" s="244"/>
      <c r="AY52" s="244"/>
      <c r="AZ52" s="244"/>
      <c r="BA52" s="244"/>
      <c r="BB52" s="244"/>
      <c r="BC52" s="244"/>
      <c r="BD52" s="244"/>
      <c r="BE52" s="244"/>
      <c r="BF52" s="244"/>
      <c r="BG52" s="244"/>
      <c r="BH52" s="244"/>
      <c r="BI52" s="244"/>
      <c r="BJ52" s="244"/>
      <c r="BK52" s="244"/>
      <c r="BL52" s="244"/>
      <c r="BM52" s="244"/>
      <c r="BN52" s="244"/>
      <c r="BO52" s="244"/>
      <c r="BP52" s="244"/>
      <c r="BQ52" s="244"/>
      <c r="BR52" s="244"/>
      <c r="BS52" s="244"/>
      <c r="BT52" s="244"/>
      <c r="BU52" s="244"/>
      <c r="BV52" s="244"/>
      <c r="BW52" s="244"/>
      <c r="BX52" s="244"/>
      <c r="BY52" s="244"/>
      <c r="BZ52" s="244"/>
      <c r="CA52" s="244"/>
      <c r="CB52" s="244"/>
      <c r="CC52" s="244"/>
      <c r="CD52" s="244"/>
      <c r="CE52" s="244"/>
      <c r="CF52" s="244"/>
    </row>
    <row r="53" ht="0" hidden="1" customHeight="1">
      <c r="C53" s="114"/>
      <c r="D53" s="118"/>
      <c r="E53" s="118"/>
      <c r="F53" s="118"/>
      <c r="G53" s="118"/>
      <c r="H53" s="118"/>
      <c r="I53" s="712"/>
      <c r="J53" s="712"/>
      <c r="K53" s="712"/>
      <c r="L53" s="712"/>
      <c r="M53" s="712"/>
      <c r="N53" s="712"/>
      <c r="O53" s="113"/>
      <c r="AP53" s="213"/>
      <c r="AQ53" s="213"/>
      <c r="AR53" s="213"/>
      <c r="AS53" s="271"/>
      <c r="AT53" s="271"/>
      <c r="AU53" s="244"/>
      <c r="AV53" s="244"/>
      <c r="AW53" s="244"/>
      <c r="AX53" s="244"/>
      <c r="AY53" s="244"/>
      <c r="AZ53" s="244"/>
      <c r="BA53" s="244"/>
      <c r="BB53" s="244"/>
      <c r="BC53" s="244"/>
      <c r="BD53" s="244"/>
      <c r="BE53" s="244"/>
      <c r="BF53" s="244"/>
      <c r="BG53" s="244"/>
      <c r="BH53" s="244"/>
      <c r="BI53" s="244"/>
      <c r="BJ53" s="244"/>
      <c r="BK53" s="244"/>
      <c r="BL53" s="244"/>
      <c r="BM53" s="244"/>
      <c r="BN53" s="244"/>
      <c r="BO53" s="244"/>
      <c r="BP53" s="244"/>
      <c r="BQ53" s="244"/>
      <c r="BR53" s="244"/>
      <c r="BS53" s="244"/>
      <c r="BT53" s="244"/>
      <c r="BU53" s="244"/>
      <c r="BV53" s="244"/>
      <c r="BW53" s="244"/>
      <c r="BX53" s="244"/>
      <c r="BY53" s="244"/>
      <c r="BZ53" s="244"/>
      <c r="CA53" s="244"/>
      <c r="CB53" s="244"/>
      <c r="CC53" s="244"/>
      <c r="CD53" s="244"/>
      <c r="CE53" s="244"/>
      <c r="CF53" s="244"/>
    </row>
    <row r="54" ht="0" hidden="1" customHeight="1">
      <c r="C54" s="114"/>
      <c r="D54" s="118"/>
      <c r="E54" s="118"/>
      <c r="F54" s="118"/>
      <c r="G54" s="118"/>
      <c r="H54" s="118"/>
      <c r="I54" s="712"/>
      <c r="J54" s="712"/>
      <c r="K54" s="712"/>
      <c r="L54" s="712"/>
      <c r="M54" s="712"/>
      <c r="N54" s="712"/>
      <c r="O54" s="113"/>
      <c r="AP54" s="213"/>
      <c r="AQ54" s="213"/>
      <c r="AR54" s="213"/>
      <c r="AS54" s="271"/>
      <c r="AT54" s="271"/>
      <c r="AU54" s="244"/>
      <c r="AV54" s="244"/>
      <c r="AW54" s="244"/>
      <c r="AX54" s="244"/>
      <c r="AY54" s="244"/>
      <c r="AZ54" s="244"/>
      <c r="BA54" s="244"/>
      <c r="BB54" s="244"/>
      <c r="BC54" s="244"/>
      <c r="BD54" s="244"/>
      <c r="BE54" s="244"/>
      <c r="BF54" s="244"/>
      <c r="BG54" s="244"/>
      <c r="BH54" s="244"/>
      <c r="BI54" s="244"/>
      <c r="BJ54" s="244"/>
      <c r="BK54" s="244"/>
      <c r="BL54" s="244"/>
      <c r="BM54" s="244"/>
      <c r="BN54" s="244"/>
      <c r="BO54" s="244"/>
      <c r="BP54" s="244"/>
      <c r="BQ54" s="244"/>
      <c r="BR54" s="244"/>
      <c r="BS54" s="244"/>
      <c r="BT54" s="244"/>
      <c r="BU54" s="244"/>
      <c r="BV54" s="244"/>
      <c r="BW54" s="244"/>
      <c r="BX54" s="244"/>
      <c r="BY54" s="244"/>
      <c r="BZ54" s="244"/>
      <c r="CA54" s="244"/>
      <c r="CB54" s="244"/>
      <c r="CC54" s="244"/>
      <c r="CD54" s="244"/>
      <c r="CE54" s="244"/>
      <c r="CF54" s="244"/>
    </row>
    <row r="55" ht="0" hidden="1" customHeight="1">
      <c r="C55" s="114"/>
      <c r="D55" s="118"/>
      <c r="E55" s="118"/>
      <c r="F55" s="118"/>
      <c r="G55" s="118"/>
      <c r="H55" s="118"/>
      <c r="I55" s="712"/>
      <c r="J55" s="712"/>
      <c r="K55" s="712"/>
      <c r="L55" s="712"/>
      <c r="M55" s="712"/>
      <c r="N55" s="712"/>
      <c r="O55" s="113"/>
      <c r="AP55" s="213"/>
      <c r="AQ55" s="213"/>
      <c r="AR55" s="213"/>
      <c r="AS55" s="271"/>
      <c r="AT55" s="271"/>
      <c r="AU55" s="244"/>
      <c r="AV55" s="244"/>
      <c r="AW55" s="244"/>
      <c r="AX55" s="244"/>
      <c r="AY55" s="244"/>
      <c r="AZ55" s="244"/>
      <c r="BA55" s="244"/>
      <c r="BB55" s="244"/>
      <c r="BC55" s="244"/>
      <c r="BD55" s="244"/>
      <c r="BE55" s="244"/>
      <c r="BF55" s="244"/>
      <c r="BG55" s="244"/>
      <c r="BH55" s="244"/>
      <c r="BI55" s="244"/>
      <c r="BJ55" s="244"/>
      <c r="BK55" s="244"/>
      <c r="BL55" s="244"/>
      <c r="BM55" s="244"/>
      <c r="BN55" s="244"/>
      <c r="BO55" s="244"/>
      <c r="BP55" s="244"/>
      <c r="BQ55" s="244"/>
      <c r="BR55" s="244"/>
      <c r="BS55" s="244"/>
      <c r="BT55" s="244"/>
      <c r="BU55" s="244"/>
      <c r="BV55" s="244"/>
      <c r="BW55" s="244"/>
      <c r="BX55" s="244"/>
      <c r="BY55" s="244"/>
      <c r="BZ55" s="244"/>
      <c r="CA55" s="244"/>
      <c r="CB55" s="244"/>
      <c r="CC55" s="244"/>
      <c r="CD55" s="244"/>
      <c r="CE55" s="244"/>
      <c r="CF55" s="244"/>
    </row>
    <row r="56" ht="0" hidden="1" customHeight="1">
      <c r="C56" s="114"/>
      <c r="D56" s="118"/>
      <c r="E56" s="118"/>
      <c r="F56" s="118"/>
      <c r="G56" s="118"/>
      <c r="H56" s="118"/>
      <c r="I56" s="712"/>
      <c r="J56" s="712"/>
      <c r="K56" s="712"/>
      <c r="L56" s="712"/>
      <c r="M56" s="712"/>
      <c r="N56" s="712"/>
      <c r="O56" s="113"/>
      <c r="AP56" s="213"/>
      <c r="AQ56" s="213"/>
      <c r="AR56" s="213"/>
      <c r="AS56" s="271"/>
      <c r="AT56" s="271"/>
      <c r="AU56" s="244"/>
      <c r="AV56" s="244"/>
      <c r="AW56" s="244"/>
      <c r="AX56" s="244"/>
      <c r="AY56" s="244"/>
      <c r="AZ56" s="244"/>
      <c r="BA56" s="244"/>
      <c r="BB56" s="244"/>
      <c r="BC56" s="244"/>
      <c r="BD56" s="244"/>
      <c r="BE56" s="244"/>
      <c r="BF56" s="244"/>
      <c r="BG56" s="244"/>
      <c r="BH56" s="244"/>
      <c r="BI56" s="244"/>
      <c r="BJ56" s="244"/>
      <c r="BK56" s="244"/>
      <c r="BL56" s="244"/>
      <c r="BM56" s="244"/>
      <c r="BN56" s="244"/>
      <c r="BO56" s="244"/>
      <c r="BP56" s="244"/>
      <c r="BQ56" s="244"/>
      <c r="BR56" s="244"/>
      <c r="BS56" s="244"/>
      <c r="BT56" s="244"/>
      <c r="BU56" s="244"/>
      <c r="BV56" s="244"/>
      <c r="BW56" s="244"/>
      <c r="BX56" s="244"/>
      <c r="BY56" s="244"/>
      <c r="BZ56" s="244"/>
      <c r="CA56" s="244"/>
      <c r="CB56" s="244"/>
      <c r="CC56" s="244"/>
      <c r="CD56" s="244"/>
      <c r="CE56" s="244"/>
      <c r="CF56" s="244"/>
    </row>
    <row r="57" ht="0" hidden="1" customHeight="1">
      <c r="C57" s="114"/>
      <c r="D57" s="118"/>
      <c r="E57" s="118"/>
      <c r="F57" s="118"/>
      <c r="G57" s="118"/>
      <c r="H57" s="118"/>
      <c r="I57" s="712"/>
      <c r="J57" s="712"/>
      <c r="K57" s="712"/>
      <c r="L57" s="712"/>
      <c r="M57" s="712"/>
      <c r="N57" s="712"/>
      <c r="O57" s="113"/>
      <c r="AP57" s="213"/>
      <c r="AQ57" s="213"/>
      <c r="AR57" s="213"/>
      <c r="AS57" s="271"/>
      <c r="AT57" s="271"/>
      <c r="AU57" s="244"/>
      <c r="AV57" s="244"/>
      <c r="AW57" s="244"/>
      <c r="AX57" s="244"/>
      <c r="AY57" s="244"/>
      <c r="AZ57" s="244"/>
      <c r="BA57" s="244"/>
      <c r="BB57" s="244"/>
      <c r="BC57" s="244"/>
      <c r="BD57" s="244"/>
      <c r="BE57" s="244"/>
      <c r="BF57" s="244"/>
      <c r="BG57" s="244"/>
      <c r="BH57" s="244"/>
      <c r="BI57" s="244"/>
      <c r="BJ57" s="244"/>
      <c r="BK57" s="244"/>
      <c r="BL57" s="244"/>
      <c r="BM57" s="244"/>
      <c r="BN57" s="244"/>
      <c r="BO57" s="244"/>
      <c r="BP57" s="244"/>
      <c r="BQ57" s="244"/>
      <c r="BR57" s="244"/>
      <c r="BS57" s="244"/>
      <c r="BT57" s="244"/>
      <c r="BU57" s="244"/>
      <c r="BV57" s="244"/>
      <c r="BW57" s="244"/>
      <c r="BX57" s="244"/>
      <c r="BY57" s="244"/>
      <c r="BZ57" s="244"/>
      <c r="CA57" s="244"/>
      <c r="CB57" s="244"/>
      <c r="CC57" s="244"/>
      <c r="CD57" s="244"/>
      <c r="CE57" s="244"/>
      <c r="CF57" s="244"/>
    </row>
    <row r="58" ht="0" hidden="1" customHeight="1">
      <c r="C58" s="114"/>
      <c r="D58" s="118"/>
      <c r="E58" s="118"/>
      <c r="F58" s="118"/>
      <c r="G58" s="118"/>
      <c r="H58" s="118"/>
      <c r="I58" s="712"/>
      <c r="J58" s="712"/>
      <c r="K58" s="712"/>
      <c r="L58" s="712"/>
      <c r="M58" s="712"/>
      <c r="N58" s="712"/>
      <c r="O58" s="113"/>
      <c r="AP58" s="213"/>
      <c r="AQ58" s="213"/>
      <c r="AR58" s="213"/>
      <c r="AS58" s="271"/>
      <c r="AT58" s="271"/>
      <c r="AU58" s="244"/>
      <c r="AV58" s="244"/>
      <c r="AW58" s="244"/>
      <c r="AX58" s="244"/>
      <c r="AY58" s="244"/>
      <c r="AZ58" s="244"/>
      <c r="BA58" s="244"/>
      <c r="BB58" s="244"/>
      <c r="BC58" s="244"/>
      <c r="BD58" s="244"/>
      <c r="BE58" s="244"/>
      <c r="BF58" s="244"/>
      <c r="BG58" s="244"/>
      <c r="BH58" s="244"/>
      <c r="BI58" s="244"/>
      <c r="BJ58" s="244"/>
      <c r="BK58" s="244"/>
      <c r="BL58" s="244"/>
      <c r="BM58" s="244"/>
      <c r="BN58" s="244"/>
      <c r="BO58" s="244"/>
      <c r="BP58" s="244"/>
      <c r="BQ58" s="244"/>
      <c r="BR58" s="244"/>
      <c r="BS58" s="244"/>
      <c r="BT58" s="244"/>
      <c r="BU58" s="244"/>
      <c r="BV58" s="244"/>
      <c r="BW58" s="244"/>
      <c r="BX58" s="244"/>
      <c r="BY58" s="244"/>
      <c r="BZ58" s="244"/>
      <c r="CA58" s="244"/>
      <c r="CB58" s="244"/>
      <c r="CC58" s="244"/>
      <c r="CD58" s="244"/>
      <c r="CE58" s="244"/>
      <c r="CF58" s="244"/>
    </row>
    <row r="59" ht="0" hidden="1" customHeight="1">
      <c r="C59" s="114"/>
      <c r="D59" s="118"/>
      <c r="E59" s="118"/>
      <c r="F59" s="118"/>
      <c r="G59" s="118"/>
      <c r="H59" s="118"/>
      <c r="I59" s="712"/>
      <c r="J59" s="712"/>
      <c r="K59" s="712"/>
      <c r="L59" s="712"/>
      <c r="M59" s="712"/>
      <c r="N59" s="712"/>
      <c r="O59" s="113"/>
      <c r="AP59" s="213"/>
      <c r="AQ59" s="213"/>
      <c r="AR59" s="213"/>
      <c r="AS59" s="271"/>
      <c r="AT59" s="271"/>
      <c r="AU59" s="244"/>
      <c r="AV59" s="244"/>
      <c r="AW59" s="244"/>
      <c r="AX59" s="244"/>
      <c r="AY59" s="244"/>
      <c r="AZ59" s="244"/>
      <c r="BA59" s="244"/>
      <c r="BB59" s="244"/>
      <c r="BC59" s="244"/>
      <c r="BD59" s="244"/>
      <c r="BE59" s="244"/>
      <c r="BF59" s="244"/>
      <c r="BG59" s="244"/>
      <c r="BH59" s="244"/>
      <c r="BI59" s="244"/>
      <c r="BJ59" s="244"/>
      <c r="BK59" s="244"/>
      <c r="BL59" s="244"/>
      <c r="BM59" s="244"/>
      <c r="BN59" s="244"/>
      <c r="BO59" s="244"/>
      <c r="BP59" s="244"/>
      <c r="BQ59" s="244"/>
      <c r="BR59" s="244"/>
      <c r="BS59" s="244"/>
      <c r="BT59" s="244"/>
      <c r="BU59" s="244"/>
      <c r="BV59" s="244"/>
      <c r="BW59" s="244"/>
      <c r="BX59" s="244"/>
      <c r="BY59" s="244"/>
      <c r="BZ59" s="244"/>
      <c r="CA59" s="244"/>
      <c r="CB59" s="244"/>
      <c r="CC59" s="244"/>
      <c r="CD59" s="244"/>
      <c r="CE59" s="244"/>
      <c r="CF59" s="244"/>
    </row>
    <row r="60" ht="0" hidden="1" customHeight="1">
      <c r="C60" s="114"/>
      <c r="D60" s="118"/>
      <c r="E60" s="118"/>
      <c r="F60" s="118"/>
      <c r="G60" s="118"/>
      <c r="H60" s="118"/>
      <c r="I60" s="712"/>
      <c r="J60" s="712"/>
      <c r="K60" s="712"/>
      <c r="L60" s="712"/>
      <c r="M60" s="712"/>
      <c r="N60" s="712"/>
      <c r="O60" s="113"/>
      <c r="AP60" s="213"/>
      <c r="AQ60" s="213"/>
      <c r="AR60" s="213"/>
      <c r="AS60" s="271"/>
      <c r="AT60" s="271"/>
      <c r="AU60" s="244"/>
      <c r="AV60" s="244"/>
      <c r="AW60" s="244"/>
      <c r="AX60" s="244"/>
      <c r="AY60" s="244"/>
      <c r="AZ60" s="244"/>
      <c r="BA60" s="244"/>
      <c r="BB60" s="244"/>
      <c r="BC60" s="244"/>
      <c r="BD60" s="244"/>
      <c r="BE60" s="244"/>
      <c r="BF60" s="244"/>
      <c r="BG60" s="244"/>
      <c r="BH60" s="244"/>
      <c r="BI60" s="244"/>
      <c r="BJ60" s="244"/>
      <c r="BK60" s="244"/>
      <c r="BL60" s="244"/>
      <c r="BM60" s="244"/>
      <c r="BN60" s="244"/>
      <c r="BO60" s="244"/>
      <c r="BP60" s="244"/>
      <c r="BQ60" s="244"/>
      <c r="BR60" s="244"/>
      <c r="BS60" s="244"/>
      <c r="BT60" s="244"/>
      <c r="BU60" s="244"/>
      <c r="BV60" s="244"/>
      <c r="BW60" s="244"/>
      <c r="BX60" s="244"/>
      <c r="BY60" s="244"/>
      <c r="BZ60" s="244"/>
      <c r="CA60" s="244"/>
      <c r="CB60" s="244"/>
      <c r="CC60" s="244"/>
      <c r="CD60" s="244"/>
      <c r="CE60" s="244"/>
      <c r="CF60" s="244"/>
    </row>
    <row r="61" ht="0" hidden="1" customHeight="1">
      <c r="C61" s="114"/>
      <c r="D61" s="118"/>
      <c r="E61" s="118"/>
      <c r="F61" s="118"/>
      <c r="G61" s="118"/>
      <c r="H61" s="118"/>
      <c r="I61" s="712"/>
      <c r="J61" s="712"/>
      <c r="K61" s="712"/>
      <c r="L61" s="712"/>
      <c r="M61" s="712"/>
      <c r="N61" s="712"/>
      <c r="O61" s="113"/>
      <c r="AP61" s="213"/>
      <c r="AQ61" s="213"/>
      <c r="AR61" s="213"/>
      <c r="AS61" s="271"/>
      <c r="AT61" s="271"/>
      <c r="AU61" s="244"/>
      <c r="AV61" s="244"/>
      <c r="AW61" s="244"/>
      <c r="AX61" s="244"/>
      <c r="AY61" s="244"/>
      <c r="AZ61" s="244"/>
      <c r="BA61" s="244"/>
      <c r="BB61" s="244"/>
      <c r="BC61" s="244"/>
      <c r="BD61" s="244"/>
      <c r="BE61" s="244"/>
      <c r="BF61" s="244"/>
      <c r="BG61" s="244"/>
      <c r="BH61" s="244"/>
      <c r="BI61" s="244"/>
      <c r="BJ61" s="244"/>
      <c r="BK61" s="244"/>
      <c r="BL61" s="244"/>
      <c r="BM61" s="244"/>
      <c r="BN61" s="244"/>
      <c r="BO61" s="244"/>
      <c r="BP61" s="244"/>
      <c r="BQ61" s="244"/>
      <c r="BR61" s="244"/>
      <c r="BS61" s="244"/>
      <c r="BT61" s="244"/>
      <c r="BU61" s="244"/>
      <c r="BV61" s="244"/>
      <c r="BW61" s="244"/>
      <c r="BX61" s="244"/>
      <c r="BY61" s="244"/>
      <c r="BZ61" s="244"/>
      <c r="CA61" s="244"/>
      <c r="CB61" s="244"/>
      <c r="CC61" s="244"/>
      <c r="CD61" s="244"/>
      <c r="CE61" s="244"/>
      <c r="CF61" s="244"/>
    </row>
    <row r="62" ht="0" hidden="1" customHeight="1">
      <c r="C62" s="114"/>
      <c r="D62" s="118"/>
      <c r="E62" s="118"/>
      <c r="F62" s="118"/>
      <c r="G62" s="118"/>
      <c r="H62" s="118"/>
      <c r="I62" s="712"/>
      <c r="J62" s="712"/>
      <c r="K62" s="712"/>
      <c r="L62" s="712"/>
      <c r="M62" s="712"/>
      <c r="N62" s="712"/>
      <c r="O62" s="113"/>
      <c r="AP62" s="213"/>
      <c r="AQ62" s="213"/>
      <c r="AR62" s="213"/>
      <c r="AS62" s="271"/>
      <c r="AT62" s="271"/>
      <c r="AU62" s="244"/>
      <c r="AV62" s="244"/>
      <c r="AW62" s="244"/>
      <c r="AX62" s="244"/>
      <c r="AY62" s="244"/>
      <c r="AZ62" s="244"/>
      <c r="BA62" s="244"/>
      <c r="BB62" s="244"/>
      <c r="BC62" s="244"/>
      <c r="BD62" s="244"/>
      <c r="BE62" s="244"/>
      <c r="BF62" s="244"/>
      <c r="BG62" s="244"/>
      <c r="BH62" s="244"/>
      <c r="BI62" s="244"/>
      <c r="BJ62" s="244"/>
      <c r="BK62" s="244"/>
      <c r="BL62" s="244"/>
      <c r="BM62" s="244"/>
      <c r="BN62" s="244"/>
      <c r="BO62" s="244"/>
      <c r="BP62" s="244"/>
      <c r="BQ62" s="244"/>
      <c r="BR62" s="244"/>
      <c r="BS62" s="244"/>
      <c r="BT62" s="244"/>
      <c r="BU62" s="244"/>
      <c r="BV62" s="244"/>
      <c r="BW62" s="244"/>
      <c r="BX62" s="244"/>
      <c r="BY62" s="244"/>
      <c r="BZ62" s="244"/>
      <c r="CA62" s="244"/>
      <c r="CB62" s="244"/>
      <c r="CC62" s="244"/>
      <c r="CD62" s="244"/>
      <c r="CE62" s="244"/>
      <c r="CF62" s="244"/>
    </row>
    <row r="63" ht="0" hidden="1" customHeight="1">
      <c r="C63" s="114"/>
      <c r="D63" s="118"/>
      <c r="E63" s="118"/>
      <c r="F63" s="118"/>
      <c r="G63" s="118"/>
      <c r="H63" s="118"/>
      <c r="I63" s="712"/>
      <c r="J63" s="712"/>
      <c r="K63" s="712"/>
      <c r="L63" s="712"/>
      <c r="M63" s="712"/>
      <c r="N63" s="712"/>
      <c r="O63" s="113"/>
      <c r="AP63" s="213"/>
      <c r="AQ63" s="213"/>
      <c r="AR63" s="213"/>
      <c r="AS63" s="271"/>
      <c r="AT63" s="271"/>
      <c r="AU63" s="244"/>
      <c r="AV63" s="244"/>
      <c r="AW63" s="244"/>
      <c r="AX63" s="244"/>
      <c r="AY63" s="244"/>
      <c r="AZ63" s="244"/>
      <c r="BA63" s="244"/>
      <c r="BB63" s="244"/>
      <c r="BC63" s="244"/>
      <c r="BD63" s="244"/>
      <c r="BE63" s="244"/>
      <c r="BF63" s="244"/>
      <c r="BG63" s="244"/>
      <c r="BH63" s="244"/>
      <c r="BI63" s="244"/>
      <c r="BJ63" s="244"/>
      <c r="BK63" s="244"/>
      <c r="BL63" s="244"/>
      <c r="BM63" s="244"/>
      <c r="BN63" s="244"/>
      <c r="BO63" s="244"/>
      <c r="BP63" s="244"/>
      <c r="BQ63" s="244"/>
      <c r="BR63" s="244"/>
      <c r="BS63" s="244"/>
      <c r="BT63" s="244"/>
      <c r="BU63" s="244"/>
      <c r="BV63" s="244"/>
      <c r="BW63" s="244"/>
      <c r="BX63" s="244"/>
      <c r="BY63" s="244"/>
      <c r="BZ63" s="244"/>
      <c r="CA63" s="244"/>
      <c r="CB63" s="244"/>
      <c r="CC63" s="244"/>
      <c r="CD63" s="244"/>
      <c r="CE63" s="244"/>
      <c r="CF63" s="244"/>
    </row>
    <row r="64" ht="0" hidden="1" customHeight="1">
      <c r="C64" s="114"/>
      <c r="D64" s="118"/>
      <c r="E64" s="118"/>
      <c r="F64" s="118"/>
      <c r="G64" s="118"/>
      <c r="H64" s="118"/>
      <c r="I64" s="712"/>
      <c r="J64" s="712"/>
      <c r="K64" s="712"/>
      <c r="L64" s="712"/>
      <c r="M64" s="712"/>
      <c r="N64" s="712"/>
      <c r="O64" s="113"/>
      <c r="AP64" s="213"/>
      <c r="AQ64" s="213"/>
      <c r="AR64" s="213"/>
      <c r="AS64" s="271"/>
      <c r="AT64" s="271"/>
      <c r="AU64" s="244"/>
      <c r="AV64" s="244"/>
      <c r="AW64" s="244"/>
      <c r="AX64" s="244"/>
      <c r="AY64" s="244"/>
      <c r="AZ64" s="244"/>
      <c r="BA64" s="244"/>
      <c r="BB64" s="244"/>
      <c r="BC64" s="244"/>
      <c r="BD64" s="244"/>
      <c r="BE64" s="244"/>
      <c r="BF64" s="244"/>
      <c r="BG64" s="244"/>
      <c r="BH64" s="244"/>
      <c r="BI64" s="244"/>
      <c r="BJ64" s="244"/>
      <c r="BK64" s="244"/>
      <c r="BL64" s="244"/>
      <c r="BM64" s="244"/>
      <c r="BN64" s="244"/>
      <c r="BO64" s="244"/>
      <c r="BP64" s="244"/>
      <c r="BQ64" s="244"/>
      <c r="BR64" s="244"/>
      <c r="BS64" s="244"/>
      <c r="BT64" s="244"/>
      <c r="BU64" s="244"/>
      <c r="BV64" s="244"/>
      <c r="BW64" s="244"/>
      <c r="BX64" s="244"/>
      <c r="BY64" s="244"/>
      <c r="BZ64" s="244"/>
      <c r="CA64" s="244"/>
      <c r="CB64" s="244"/>
      <c r="CC64" s="244"/>
      <c r="CD64" s="244"/>
      <c r="CE64" s="244"/>
      <c r="CF64" s="244"/>
    </row>
    <row r="65" ht="0" hidden="1" customHeight="1">
      <c r="C65" s="114"/>
      <c r="D65" s="118"/>
      <c r="E65" s="118"/>
      <c r="F65" s="118"/>
      <c r="G65" s="118"/>
      <c r="H65" s="118"/>
      <c r="I65" s="712"/>
      <c r="J65" s="712"/>
      <c r="K65" s="712"/>
      <c r="L65" s="712"/>
      <c r="M65" s="712"/>
      <c r="N65" s="712"/>
      <c r="O65" s="113"/>
      <c r="AP65" s="213"/>
      <c r="AQ65" s="213"/>
      <c r="AR65" s="213"/>
      <c r="AS65" s="271"/>
      <c r="AT65" s="271"/>
      <c r="AU65" s="244"/>
      <c r="AV65" s="244"/>
      <c r="AW65" s="244"/>
      <c r="AX65" s="244"/>
      <c r="AY65" s="244"/>
      <c r="AZ65" s="244"/>
      <c r="BA65" s="244"/>
      <c r="BB65" s="244"/>
      <c r="BC65" s="244"/>
      <c r="BD65" s="244"/>
      <c r="BE65" s="244"/>
      <c r="BF65" s="244"/>
      <c r="BG65" s="244"/>
      <c r="BH65" s="244"/>
      <c r="BI65" s="244"/>
      <c r="BJ65" s="244"/>
      <c r="BK65" s="244"/>
      <c r="BL65" s="244"/>
      <c r="BM65" s="244"/>
      <c r="BN65" s="244"/>
      <c r="BO65" s="244"/>
      <c r="BP65" s="244"/>
      <c r="BQ65" s="244"/>
      <c r="BR65" s="244"/>
      <c r="BS65" s="244"/>
      <c r="BT65" s="244"/>
      <c r="BU65" s="244"/>
      <c r="BV65" s="244"/>
      <c r="BW65" s="244"/>
      <c r="BX65" s="244"/>
      <c r="BY65" s="244"/>
      <c r="BZ65" s="244"/>
      <c r="CA65" s="244"/>
      <c r="CB65" s="244"/>
      <c r="CC65" s="244"/>
      <c r="CD65" s="244"/>
      <c r="CE65" s="244"/>
      <c r="CF65" s="244"/>
    </row>
    <row r="66" ht="0" hidden="1" customHeight="1">
      <c r="C66" s="114"/>
      <c r="D66" s="118"/>
      <c r="E66" s="118"/>
      <c r="F66" s="118"/>
      <c r="G66" s="118"/>
      <c r="H66" s="118"/>
      <c r="I66" s="712"/>
      <c r="J66" s="712"/>
      <c r="K66" s="712"/>
      <c r="L66" s="712"/>
      <c r="M66" s="712"/>
      <c r="N66" s="712"/>
      <c r="O66" s="113"/>
      <c r="AP66" s="213"/>
      <c r="AQ66" s="213"/>
      <c r="AR66" s="213"/>
      <c r="AS66" s="271"/>
      <c r="AT66" s="271"/>
      <c r="AU66" s="244"/>
      <c r="AV66" s="244"/>
      <c r="AW66" s="244"/>
      <c r="AX66" s="244"/>
      <c r="AY66" s="244"/>
      <c r="AZ66" s="244"/>
      <c r="BA66" s="244"/>
      <c r="BB66" s="244"/>
      <c r="BC66" s="244"/>
      <c r="BD66" s="244"/>
      <c r="BE66" s="244"/>
      <c r="BF66" s="244"/>
      <c r="BG66" s="244"/>
      <c r="BH66" s="244"/>
      <c r="BI66" s="244"/>
      <c r="BJ66" s="244"/>
      <c r="BK66" s="244"/>
      <c r="BL66" s="244"/>
      <c r="BM66" s="244"/>
      <c r="BN66" s="244"/>
      <c r="BO66" s="244"/>
      <c r="BP66" s="244"/>
      <c r="BQ66" s="244"/>
      <c r="BR66" s="244"/>
      <c r="BS66" s="244"/>
      <c r="BT66" s="244"/>
      <c r="BU66" s="244"/>
      <c r="BV66" s="244"/>
      <c r="BW66" s="244"/>
      <c r="BX66" s="244"/>
      <c r="BY66" s="244"/>
      <c r="BZ66" s="244"/>
      <c r="CA66" s="244"/>
      <c r="CB66" s="244"/>
      <c r="CC66" s="244"/>
      <c r="CD66" s="244"/>
      <c r="CE66" s="244"/>
      <c r="CF66" s="244"/>
    </row>
    <row r="67" ht="0" hidden="1" customHeight="1">
      <c r="C67" s="114"/>
      <c r="D67" s="118"/>
      <c r="E67" s="118"/>
      <c r="F67" s="118"/>
      <c r="G67" s="118"/>
      <c r="H67" s="118"/>
      <c r="I67" s="712"/>
      <c r="J67" s="712"/>
      <c r="K67" s="712"/>
      <c r="L67" s="712"/>
      <c r="M67" s="712"/>
      <c r="N67" s="712"/>
      <c r="O67" s="113"/>
      <c r="AP67" s="213"/>
      <c r="AQ67" s="213"/>
      <c r="AR67" s="213"/>
      <c r="AS67" s="271"/>
      <c r="AT67" s="271"/>
      <c r="AU67" s="244"/>
      <c r="AV67" s="244"/>
      <c r="AW67" s="244"/>
      <c r="AX67" s="244"/>
      <c r="AY67" s="244"/>
      <c r="AZ67" s="244"/>
      <c r="BA67" s="244"/>
      <c r="BB67" s="244"/>
      <c r="BC67" s="244"/>
      <c r="BD67" s="244"/>
      <c r="BE67" s="244"/>
      <c r="BF67" s="244"/>
      <c r="BG67" s="244"/>
      <c r="BH67" s="244"/>
      <c r="BI67" s="244"/>
      <c r="BJ67" s="244"/>
      <c r="BK67" s="244"/>
      <c r="BL67" s="244"/>
      <c r="BM67" s="244"/>
      <c r="BN67" s="244"/>
      <c r="BO67" s="244"/>
      <c r="BP67" s="244"/>
      <c r="BQ67" s="244"/>
      <c r="BR67" s="244"/>
      <c r="BS67" s="244"/>
      <c r="BT67" s="244"/>
      <c r="BU67" s="244"/>
      <c r="BV67" s="244"/>
      <c r="BW67" s="244"/>
      <c r="BX67" s="244"/>
      <c r="BY67" s="244"/>
      <c r="BZ67" s="244"/>
      <c r="CA67" s="244"/>
      <c r="CB67" s="244"/>
      <c r="CC67" s="244"/>
      <c r="CD67" s="244"/>
      <c r="CE67" s="244"/>
      <c r="CF67" s="244"/>
    </row>
    <row r="68" ht="0" hidden="1" customHeight="1">
      <c r="C68" s="114"/>
      <c r="D68" s="118"/>
      <c r="E68" s="118"/>
      <c r="F68" s="118"/>
      <c r="G68" s="118"/>
      <c r="H68" s="118"/>
      <c r="I68" s="712"/>
      <c r="J68" s="712"/>
      <c r="K68" s="712"/>
      <c r="L68" s="712"/>
      <c r="M68" s="712"/>
      <c r="N68" s="712"/>
      <c r="O68" s="113"/>
      <c r="AP68" s="213"/>
      <c r="AQ68" s="213"/>
      <c r="AR68" s="213"/>
      <c r="AS68" s="271"/>
      <c r="AT68" s="271"/>
      <c r="AU68" s="244"/>
      <c r="AV68" s="244"/>
      <c r="AW68" s="244"/>
      <c r="AX68" s="244"/>
      <c r="AY68" s="244"/>
      <c r="AZ68" s="244"/>
      <c r="BA68" s="244"/>
      <c r="BB68" s="244"/>
      <c r="BC68" s="244"/>
      <c r="BD68" s="244"/>
      <c r="BE68" s="244"/>
      <c r="BF68" s="244"/>
      <c r="BG68" s="244"/>
      <c r="BH68" s="244"/>
      <c r="BI68" s="244"/>
      <c r="BJ68" s="244"/>
      <c r="BK68" s="244"/>
      <c r="BL68" s="244"/>
      <c r="BM68" s="244"/>
      <c r="BN68" s="244"/>
      <c r="BO68" s="244"/>
      <c r="BP68" s="244"/>
      <c r="BQ68" s="244"/>
      <c r="BR68" s="244"/>
      <c r="BS68" s="244"/>
      <c r="BT68" s="244"/>
      <c r="BU68" s="244"/>
      <c r="BV68" s="244"/>
      <c r="BW68" s="244"/>
      <c r="BX68" s="244"/>
      <c r="BY68" s="244"/>
      <c r="BZ68" s="244"/>
      <c r="CA68" s="244"/>
      <c r="CB68" s="244"/>
      <c r="CC68" s="244"/>
      <c r="CD68" s="244"/>
      <c r="CE68" s="244"/>
      <c r="CF68" s="244"/>
    </row>
    <row r="69" ht="0" hidden="1" customHeight="1">
      <c r="C69" s="114"/>
      <c r="D69" s="118"/>
      <c r="E69" s="118"/>
      <c r="F69" s="118"/>
      <c r="G69" s="118"/>
      <c r="H69" s="118"/>
      <c r="I69" s="712"/>
      <c r="J69" s="712"/>
      <c r="K69" s="712"/>
      <c r="L69" s="712"/>
      <c r="M69" s="712"/>
      <c r="N69" s="712"/>
      <c r="O69" s="113"/>
      <c r="AP69" s="213"/>
      <c r="AQ69" s="213"/>
      <c r="AR69" s="213"/>
      <c r="AS69" s="271"/>
      <c r="AT69" s="271"/>
      <c r="AU69" s="244"/>
      <c r="AV69" s="244"/>
      <c r="AW69" s="244"/>
      <c r="AX69" s="244"/>
      <c r="AY69" s="244"/>
      <c r="AZ69" s="244"/>
      <c r="BA69" s="244"/>
      <c r="BB69" s="244"/>
      <c r="BC69" s="244"/>
      <c r="BD69" s="244"/>
      <c r="BE69" s="244"/>
      <c r="BF69" s="244"/>
      <c r="BG69" s="244"/>
      <c r="BH69" s="244"/>
      <c r="BI69" s="244"/>
      <c r="BJ69" s="244"/>
      <c r="BK69" s="244"/>
      <c r="BL69" s="244"/>
      <c r="BM69" s="244"/>
      <c r="BN69" s="244"/>
      <c r="BO69" s="244"/>
      <c r="BP69" s="244"/>
      <c r="BQ69" s="244"/>
      <c r="BR69" s="244"/>
      <c r="BS69" s="244"/>
      <c r="BT69" s="244"/>
      <c r="BU69" s="244"/>
      <c r="BV69" s="244"/>
      <c r="BW69" s="244"/>
      <c r="BX69" s="244"/>
      <c r="BY69" s="244"/>
      <c r="BZ69" s="244"/>
      <c r="CA69" s="244"/>
      <c r="CB69" s="244"/>
      <c r="CC69" s="244"/>
      <c r="CD69" s="244"/>
      <c r="CE69" s="244"/>
      <c r="CF69" s="244"/>
    </row>
    <row r="70" ht="0" hidden="1" customHeight="1">
      <c r="C70" s="114"/>
      <c r="D70" s="118"/>
      <c r="E70" s="118"/>
      <c r="F70" s="118"/>
      <c r="G70" s="118"/>
      <c r="H70" s="118"/>
      <c r="I70" s="712"/>
      <c r="J70" s="712"/>
      <c r="K70" s="712"/>
      <c r="L70" s="712"/>
      <c r="M70" s="712"/>
      <c r="N70" s="712"/>
      <c r="O70" s="113"/>
      <c r="AP70" s="213"/>
      <c r="AQ70" s="213"/>
      <c r="AR70" s="213"/>
      <c r="AS70" s="271"/>
      <c r="AT70" s="271"/>
      <c r="AU70" s="244"/>
      <c r="AV70" s="244"/>
      <c r="AW70" s="244"/>
      <c r="AX70" s="244"/>
      <c r="AY70" s="244"/>
      <c r="AZ70" s="244"/>
      <c r="BA70" s="244"/>
      <c r="BB70" s="244"/>
      <c r="BC70" s="244"/>
      <c r="BD70" s="244"/>
      <c r="BE70" s="244"/>
      <c r="BF70" s="244"/>
      <c r="BG70" s="244"/>
      <c r="BH70" s="244"/>
      <c r="BI70" s="244"/>
      <c r="BJ70" s="244"/>
      <c r="BK70" s="244"/>
      <c r="BL70" s="244"/>
      <c r="BM70" s="244"/>
      <c r="BN70" s="244"/>
      <c r="BO70" s="244"/>
      <c r="BP70" s="244"/>
      <c r="BQ70" s="244"/>
      <c r="BR70" s="244"/>
      <c r="BS70" s="244"/>
      <c r="BT70" s="244"/>
      <c r="BU70" s="244"/>
      <c r="BV70" s="244"/>
      <c r="BW70" s="244"/>
      <c r="BX70" s="244"/>
      <c r="BY70" s="244"/>
      <c r="BZ70" s="244"/>
      <c r="CA70" s="244"/>
      <c r="CB70" s="244"/>
      <c r="CC70" s="244"/>
      <c r="CD70" s="244"/>
      <c r="CE70" s="244"/>
      <c r="CF70" s="244"/>
    </row>
    <row r="71" ht="0" hidden="1" customHeight="1">
      <c r="C71" s="114"/>
      <c r="D71" s="118"/>
      <c r="E71" s="118"/>
      <c r="F71" s="118"/>
      <c r="G71" s="118"/>
      <c r="H71" s="118"/>
      <c r="I71" s="712"/>
      <c r="J71" s="712"/>
      <c r="K71" s="712"/>
      <c r="L71" s="712"/>
      <c r="M71" s="712"/>
      <c r="N71" s="712"/>
      <c r="O71" s="113"/>
      <c r="AP71" s="213"/>
      <c r="AQ71" s="213"/>
      <c r="AR71" s="213"/>
      <c r="AS71" s="271"/>
      <c r="AT71" s="271"/>
      <c r="AU71" s="244"/>
      <c r="AV71" s="244"/>
      <c r="AW71" s="244"/>
      <c r="AX71" s="244"/>
      <c r="AY71" s="244"/>
      <c r="AZ71" s="244"/>
      <c r="BA71" s="244"/>
      <c r="BB71" s="244"/>
      <c r="BC71" s="244"/>
      <c r="BD71" s="244"/>
      <c r="BE71" s="244"/>
      <c r="BF71" s="244"/>
      <c r="BG71" s="244"/>
      <c r="BH71" s="244"/>
      <c r="BI71" s="244"/>
      <c r="BJ71" s="244"/>
      <c r="BK71" s="244"/>
      <c r="BL71" s="244"/>
      <c r="BM71" s="244"/>
      <c r="BN71" s="244"/>
      <c r="BO71" s="244"/>
      <c r="BP71" s="244"/>
      <c r="BQ71" s="244"/>
      <c r="BR71" s="244"/>
      <c r="BS71" s="244"/>
      <c r="BT71" s="244"/>
      <c r="BU71" s="244"/>
      <c r="BV71" s="244"/>
      <c r="BW71" s="244"/>
      <c r="BX71" s="244"/>
      <c r="BY71" s="244"/>
      <c r="BZ71" s="244"/>
      <c r="CA71" s="244"/>
      <c r="CB71" s="244"/>
      <c r="CC71" s="244"/>
      <c r="CD71" s="244"/>
      <c r="CE71" s="244"/>
      <c r="CF71" s="244"/>
    </row>
    <row r="72" ht="0" hidden="1" customHeight="1">
      <c r="C72" s="114"/>
      <c r="D72" s="118"/>
      <c r="E72" s="118"/>
      <c r="F72" s="118"/>
      <c r="G72" s="118"/>
      <c r="H72" s="118"/>
      <c r="I72" s="712"/>
      <c r="J72" s="712"/>
      <c r="K72" s="712"/>
      <c r="L72" s="712"/>
      <c r="M72" s="712"/>
      <c r="N72" s="712"/>
      <c r="O72" s="113"/>
      <c r="AP72" s="213"/>
      <c r="AQ72" s="213"/>
      <c r="AR72" s="213"/>
      <c r="AS72" s="271"/>
      <c r="AT72" s="271"/>
      <c r="AU72" s="244"/>
      <c r="AV72" s="244"/>
      <c r="AW72" s="244"/>
      <c r="AX72" s="244"/>
      <c r="AY72" s="244"/>
      <c r="AZ72" s="244"/>
      <c r="BA72" s="244"/>
      <c r="BB72" s="244"/>
      <c r="BC72" s="244"/>
      <c r="BD72" s="244"/>
      <c r="BE72" s="244"/>
      <c r="BF72" s="244"/>
      <c r="BG72" s="244"/>
      <c r="BH72" s="244"/>
      <c r="BI72" s="244"/>
      <c r="BJ72" s="244"/>
      <c r="BK72" s="244"/>
      <c r="BL72" s="244"/>
      <c r="BM72" s="244"/>
      <c r="BN72" s="244"/>
      <c r="BO72" s="244"/>
      <c r="BP72" s="244"/>
      <c r="BQ72" s="244"/>
      <c r="BR72" s="244"/>
      <c r="BS72" s="244"/>
      <c r="BT72" s="244"/>
      <c r="BU72" s="244"/>
      <c r="BV72" s="244"/>
      <c r="BW72" s="244"/>
      <c r="BX72" s="244"/>
      <c r="BY72" s="244"/>
      <c r="BZ72" s="244"/>
      <c r="CA72" s="244"/>
      <c r="CB72" s="244"/>
      <c r="CC72" s="244"/>
      <c r="CD72" s="244"/>
      <c r="CE72" s="244"/>
      <c r="CF72" s="244"/>
    </row>
    <row r="73" ht="0" hidden="1" customHeight="1">
      <c r="C73" s="114"/>
      <c r="D73" s="118"/>
      <c r="E73" s="118"/>
      <c r="F73" s="118"/>
      <c r="G73" s="118"/>
      <c r="H73" s="118"/>
      <c r="I73" s="712"/>
      <c r="J73" s="712"/>
      <c r="K73" s="712"/>
      <c r="L73" s="712"/>
      <c r="M73" s="712"/>
      <c r="N73" s="712"/>
      <c r="O73" s="113"/>
      <c r="AP73" s="213"/>
      <c r="AQ73" s="213"/>
      <c r="AR73" s="213"/>
      <c r="AS73" s="271"/>
      <c r="AT73" s="271"/>
      <c r="AU73" s="244"/>
      <c r="AV73" s="244"/>
      <c r="AW73" s="244"/>
      <c r="AX73" s="244"/>
      <c r="AY73" s="244"/>
      <c r="AZ73" s="244"/>
      <c r="BA73" s="244"/>
      <c r="BB73" s="244"/>
      <c r="BC73" s="244"/>
      <c r="BD73" s="244"/>
      <c r="BE73" s="244"/>
      <c r="BF73" s="244"/>
      <c r="BG73" s="244"/>
      <c r="BH73" s="244"/>
      <c r="BI73" s="244"/>
      <c r="BJ73" s="244"/>
      <c r="BK73" s="244"/>
      <c r="BL73" s="244"/>
      <c r="BM73" s="244"/>
      <c r="BN73" s="244"/>
      <c r="BO73" s="244"/>
      <c r="BP73" s="244"/>
      <c r="BQ73" s="244"/>
      <c r="BR73" s="244"/>
      <c r="BS73" s="244"/>
      <c r="BT73" s="244"/>
      <c r="BU73" s="244"/>
      <c r="BV73" s="244"/>
      <c r="BW73" s="244"/>
      <c r="BX73" s="244"/>
      <c r="BY73" s="244"/>
      <c r="BZ73" s="244"/>
      <c r="CA73" s="244"/>
      <c r="CB73" s="244"/>
      <c r="CC73" s="244"/>
      <c r="CD73" s="244"/>
      <c r="CE73" s="244"/>
      <c r="CF73" s="244"/>
    </row>
    <row r="74" ht="0" hidden="1" customHeight="1">
      <c r="C74" s="114"/>
      <c r="D74" s="118"/>
      <c r="E74" s="118"/>
      <c r="F74" s="118"/>
      <c r="G74" s="118"/>
      <c r="H74" s="118"/>
      <c r="I74" s="712"/>
      <c r="J74" s="712"/>
      <c r="K74" s="712"/>
      <c r="L74" s="712"/>
      <c r="M74" s="712"/>
      <c r="N74" s="712"/>
      <c r="O74" s="113"/>
      <c r="AP74" s="213"/>
      <c r="AQ74" s="213"/>
      <c r="AR74" s="213"/>
      <c r="AS74" s="271"/>
      <c r="AT74" s="271"/>
      <c r="AU74" s="244"/>
      <c r="AV74" s="244"/>
      <c r="AW74" s="244"/>
      <c r="AX74" s="244"/>
      <c r="AY74" s="244"/>
      <c r="AZ74" s="244"/>
      <c r="BA74" s="244"/>
      <c r="BB74" s="244"/>
      <c r="BC74" s="244"/>
      <c r="BD74" s="244"/>
      <c r="BE74" s="244"/>
      <c r="BF74" s="244"/>
      <c r="BG74" s="244"/>
      <c r="BH74" s="244"/>
      <c r="BI74" s="244"/>
      <c r="BJ74" s="244"/>
      <c r="BK74" s="244"/>
      <c r="BL74" s="244"/>
      <c r="BM74" s="244"/>
      <c r="BN74" s="244"/>
      <c r="BO74" s="244"/>
      <c r="BP74" s="244"/>
      <c r="BQ74" s="244"/>
      <c r="BR74" s="244"/>
      <c r="BS74" s="244"/>
      <c r="BT74" s="244"/>
      <c r="BU74" s="244"/>
      <c r="BV74" s="244"/>
      <c r="BW74" s="244"/>
      <c r="BX74" s="244"/>
      <c r="BY74" s="244"/>
      <c r="BZ74" s="244"/>
      <c r="CA74" s="244"/>
      <c r="CB74" s="244"/>
      <c r="CC74" s="244"/>
      <c r="CD74" s="244"/>
      <c r="CE74" s="244"/>
      <c r="CF74" s="244"/>
    </row>
    <row r="75" ht="0" hidden="1" customHeight="1">
      <c r="C75" s="114"/>
      <c r="D75" s="118"/>
      <c r="E75" s="118"/>
      <c r="F75" s="118"/>
      <c r="G75" s="118"/>
      <c r="H75" s="118"/>
      <c r="I75" s="712"/>
      <c r="J75" s="712"/>
      <c r="K75" s="712"/>
      <c r="L75" s="712"/>
      <c r="M75" s="712"/>
      <c r="N75" s="712"/>
      <c r="O75" s="113"/>
      <c r="AP75" s="213"/>
      <c r="AQ75" s="213"/>
      <c r="AR75" s="213"/>
      <c r="AS75" s="271"/>
      <c r="AT75" s="271"/>
      <c r="AU75" s="244"/>
      <c r="AV75" s="244"/>
      <c r="AW75" s="244"/>
      <c r="AX75" s="244"/>
      <c r="AY75" s="244"/>
      <c r="AZ75" s="244"/>
      <c r="BA75" s="244"/>
      <c r="BB75" s="244"/>
      <c r="BC75" s="244"/>
      <c r="BD75" s="244"/>
      <c r="BE75" s="244"/>
      <c r="BF75" s="244"/>
      <c r="BG75" s="244"/>
      <c r="BH75" s="244"/>
      <c r="BI75" s="244"/>
      <c r="BJ75" s="244"/>
      <c r="BK75" s="244"/>
      <c r="BL75" s="244"/>
      <c r="BM75" s="244"/>
      <c r="BN75" s="244"/>
      <c r="BO75" s="244"/>
      <c r="BP75" s="244"/>
      <c r="BQ75" s="244"/>
      <c r="BR75" s="244"/>
      <c r="BS75" s="244"/>
      <c r="BT75" s="244"/>
      <c r="BU75" s="244"/>
      <c r="BV75" s="244"/>
      <c r="BW75" s="244"/>
      <c r="BX75" s="244"/>
      <c r="BY75" s="244"/>
      <c r="BZ75" s="244"/>
      <c r="CA75" s="244"/>
      <c r="CB75" s="244"/>
      <c r="CC75" s="244"/>
      <c r="CD75" s="244"/>
      <c r="CE75" s="244"/>
      <c r="CF75" s="244"/>
    </row>
    <row r="76" ht="0" hidden="1" customHeight="1">
      <c r="C76" s="114"/>
      <c r="D76" s="118"/>
      <c r="E76" s="118"/>
      <c r="F76" s="118"/>
      <c r="G76" s="118"/>
      <c r="H76" s="118"/>
      <c r="I76" s="712"/>
      <c r="J76" s="712"/>
      <c r="K76" s="712"/>
      <c r="L76" s="712"/>
      <c r="M76" s="712"/>
      <c r="N76" s="712"/>
      <c r="O76" s="113"/>
      <c r="AP76" s="213"/>
      <c r="AQ76" s="213"/>
      <c r="AR76" s="213"/>
      <c r="AS76" s="271"/>
      <c r="AT76" s="271"/>
      <c r="AU76" s="244"/>
      <c r="AV76" s="244"/>
      <c r="AW76" s="244"/>
      <c r="AX76" s="244"/>
      <c r="AY76" s="244"/>
      <c r="AZ76" s="244"/>
      <c r="BA76" s="244"/>
      <c r="BB76" s="244"/>
      <c r="BC76" s="244"/>
      <c r="BD76" s="244"/>
      <c r="BE76" s="244"/>
      <c r="BF76" s="244"/>
      <c r="BG76" s="244"/>
      <c r="BH76" s="244"/>
      <c r="BI76" s="244"/>
      <c r="BJ76" s="244"/>
      <c r="BK76" s="244"/>
      <c r="BL76" s="244"/>
      <c r="BM76" s="244"/>
      <c r="BN76" s="244"/>
      <c r="BO76" s="244"/>
      <c r="BP76" s="244"/>
      <c r="BQ76" s="244"/>
      <c r="BR76" s="244"/>
      <c r="BS76" s="244"/>
      <c r="BT76" s="244"/>
      <c r="BU76" s="244"/>
      <c r="BV76" s="244"/>
      <c r="BW76" s="244"/>
      <c r="BX76" s="244"/>
      <c r="BY76" s="244"/>
      <c r="BZ76" s="244"/>
      <c r="CA76" s="244"/>
      <c r="CB76" s="244"/>
      <c r="CC76" s="244"/>
      <c r="CD76" s="244"/>
      <c r="CE76" s="244"/>
      <c r="CF76" s="244"/>
    </row>
    <row r="77" ht="0" hidden="1" customHeight="1">
      <c r="C77" s="114"/>
      <c r="D77" s="118"/>
      <c r="E77" s="118"/>
      <c r="F77" s="118"/>
      <c r="G77" s="118"/>
      <c r="H77" s="118"/>
      <c r="I77" s="712"/>
      <c r="J77" s="712"/>
      <c r="K77" s="712"/>
      <c r="L77" s="712"/>
      <c r="M77" s="712"/>
      <c r="N77" s="712"/>
      <c r="O77" s="113"/>
      <c r="AP77" s="213"/>
      <c r="AQ77" s="213"/>
      <c r="AR77" s="213"/>
      <c r="AS77" s="271"/>
      <c r="AT77" s="271"/>
      <c r="AU77" s="244"/>
      <c r="AV77" s="244"/>
      <c r="AW77" s="244"/>
      <c r="AX77" s="244"/>
      <c r="AY77" s="244"/>
      <c r="AZ77" s="244"/>
      <c r="BA77" s="244"/>
      <c r="BB77" s="244"/>
      <c r="BC77" s="244"/>
      <c r="BD77" s="244"/>
      <c r="BE77" s="244"/>
      <c r="BF77" s="244"/>
      <c r="BG77" s="244"/>
      <c r="BH77" s="244"/>
      <c r="BI77" s="244"/>
      <c r="BJ77" s="244"/>
      <c r="BK77" s="244"/>
      <c r="BL77" s="244"/>
      <c r="BM77" s="244"/>
      <c r="BN77" s="244"/>
      <c r="BO77" s="244"/>
      <c r="BP77" s="244"/>
      <c r="BQ77" s="244"/>
      <c r="BR77" s="244"/>
      <c r="BS77" s="244"/>
      <c r="BT77" s="244"/>
      <c r="BU77" s="244"/>
      <c r="BV77" s="244"/>
      <c r="BW77" s="244"/>
      <c r="BX77" s="244"/>
      <c r="BY77" s="244"/>
      <c r="BZ77" s="244"/>
      <c r="CA77" s="244"/>
      <c r="CB77" s="244"/>
      <c r="CC77" s="244"/>
      <c r="CD77" s="244"/>
      <c r="CE77" s="244"/>
      <c r="CF77" s="244"/>
    </row>
    <row r="78" ht="0" hidden="1" customHeight="1">
      <c r="C78" s="114"/>
      <c r="D78" s="118"/>
      <c r="E78" s="118"/>
      <c r="F78" s="118"/>
      <c r="G78" s="118"/>
      <c r="H78" s="118"/>
      <c r="I78" s="712"/>
      <c r="J78" s="712"/>
      <c r="K78" s="712"/>
      <c r="L78" s="712"/>
      <c r="M78" s="712"/>
      <c r="N78" s="712"/>
      <c r="O78" s="113"/>
      <c r="AP78" s="213"/>
      <c r="AQ78" s="213"/>
      <c r="AR78" s="213"/>
      <c r="AS78" s="271"/>
      <c r="AT78" s="271"/>
      <c r="AU78" s="244"/>
      <c r="AV78" s="244"/>
      <c r="AW78" s="244"/>
      <c r="AX78" s="244"/>
      <c r="AY78" s="244"/>
      <c r="AZ78" s="244"/>
      <c r="BA78" s="244"/>
      <c r="BB78" s="244"/>
      <c r="BC78" s="244"/>
      <c r="BD78" s="244"/>
      <c r="BE78" s="244"/>
      <c r="BF78" s="244"/>
      <c r="BG78" s="244"/>
      <c r="BH78" s="244"/>
      <c r="BI78" s="244"/>
      <c r="BJ78" s="244"/>
      <c r="BK78" s="244"/>
      <c r="BL78" s="244"/>
      <c r="BM78" s="244"/>
      <c r="BN78" s="244"/>
      <c r="BO78" s="244"/>
      <c r="BP78" s="244"/>
      <c r="BQ78" s="244"/>
      <c r="BR78" s="244"/>
      <c r="BS78" s="244"/>
      <c r="BT78" s="244"/>
      <c r="BU78" s="244"/>
      <c r="BV78" s="244"/>
      <c r="BW78" s="244"/>
      <c r="BX78" s="244"/>
      <c r="BY78" s="244"/>
      <c r="BZ78" s="244"/>
      <c r="CA78" s="244"/>
      <c r="CB78" s="244"/>
      <c r="CC78" s="244"/>
      <c r="CD78" s="244"/>
      <c r="CE78" s="244"/>
      <c r="CF78" s="244"/>
    </row>
    <row r="79" ht="0" hidden="1" customHeight="1">
      <c r="C79" s="114"/>
      <c r="D79" s="118"/>
      <c r="E79" s="118"/>
      <c r="F79" s="118"/>
      <c r="G79" s="118"/>
      <c r="H79" s="118"/>
      <c r="I79" s="712"/>
      <c r="J79" s="712"/>
      <c r="K79" s="712"/>
      <c r="L79" s="712"/>
      <c r="M79" s="712"/>
      <c r="N79" s="712"/>
      <c r="O79" s="113"/>
      <c r="AP79" s="213"/>
      <c r="AQ79" s="213"/>
      <c r="AR79" s="213"/>
      <c r="AS79" s="271"/>
      <c r="AT79" s="271"/>
      <c r="AU79" s="244"/>
      <c r="AV79" s="244"/>
      <c r="AW79" s="244"/>
      <c r="AX79" s="244"/>
      <c r="AY79" s="244"/>
      <c r="AZ79" s="244"/>
      <c r="BA79" s="244"/>
      <c r="BB79" s="244"/>
      <c r="BC79" s="244"/>
      <c r="BD79" s="244"/>
      <c r="BE79" s="244"/>
      <c r="BF79" s="244"/>
      <c r="BG79" s="244"/>
      <c r="BH79" s="244"/>
      <c r="BI79" s="244"/>
      <c r="BJ79" s="244"/>
      <c r="BK79" s="244"/>
      <c r="BL79" s="244"/>
      <c r="BM79" s="244"/>
      <c r="BN79" s="244"/>
      <c r="BO79" s="244"/>
      <c r="BP79" s="244"/>
      <c r="BQ79" s="244"/>
      <c r="BR79" s="244"/>
      <c r="BS79" s="244"/>
      <c r="BT79" s="244"/>
      <c r="BU79" s="244"/>
      <c r="BV79" s="244"/>
      <c r="BW79" s="244"/>
      <c r="BX79" s="244"/>
      <c r="BY79" s="244"/>
      <c r="BZ79" s="244"/>
      <c r="CA79" s="244"/>
      <c r="CB79" s="244"/>
      <c r="CC79" s="244"/>
      <c r="CD79" s="244"/>
      <c r="CE79" s="244"/>
      <c r="CF79" s="244"/>
    </row>
    <row r="80" ht="0" hidden="1" customHeight="1">
      <c r="C80" s="114"/>
      <c r="D80" s="118"/>
      <c r="E80" s="118"/>
      <c r="F80" s="118"/>
      <c r="G80" s="118"/>
      <c r="H80" s="118"/>
      <c r="I80" s="712"/>
      <c r="J80" s="712"/>
      <c r="K80" s="712"/>
      <c r="L80" s="712"/>
      <c r="M80" s="712"/>
      <c r="N80" s="712"/>
      <c r="O80" s="113"/>
      <c r="AP80" s="213"/>
      <c r="AQ80" s="213"/>
      <c r="AR80" s="213"/>
      <c r="AS80" s="271"/>
      <c r="AT80" s="271"/>
      <c r="AU80" s="244"/>
      <c r="AV80" s="244"/>
      <c r="AW80" s="244"/>
      <c r="AX80" s="244"/>
      <c r="AY80" s="244"/>
      <c r="AZ80" s="244"/>
      <c r="BA80" s="244"/>
      <c r="BB80" s="244"/>
      <c r="BC80" s="244"/>
      <c r="BD80" s="244"/>
      <c r="BE80" s="244"/>
      <c r="BF80" s="244"/>
      <c r="BG80" s="244"/>
      <c r="BH80" s="244"/>
      <c r="BI80" s="244"/>
      <c r="BJ80" s="244"/>
      <c r="BK80" s="244"/>
      <c r="BL80" s="244"/>
      <c r="BM80" s="244"/>
      <c r="BN80" s="244"/>
      <c r="BO80" s="244"/>
      <c r="BP80" s="244"/>
      <c r="BQ80" s="244"/>
      <c r="BR80" s="244"/>
      <c r="BS80" s="244"/>
      <c r="BT80" s="244"/>
      <c r="BU80" s="244"/>
      <c r="BV80" s="244"/>
      <c r="BW80" s="244"/>
      <c r="BX80" s="244"/>
      <c r="BY80" s="244"/>
      <c r="BZ80" s="244"/>
      <c r="CA80" s="244"/>
      <c r="CB80" s="244"/>
      <c r="CC80" s="244"/>
      <c r="CD80" s="244"/>
      <c r="CE80" s="244"/>
      <c r="CF80" s="244"/>
    </row>
    <row r="81" ht="0" hidden="1" customHeight="1">
      <c r="C81" s="114"/>
      <c r="D81" s="118"/>
      <c r="E81" s="118"/>
      <c r="F81" s="118"/>
      <c r="G81" s="118"/>
      <c r="H81" s="118"/>
      <c r="I81" s="712"/>
      <c r="J81" s="712"/>
      <c r="K81" s="712"/>
      <c r="L81" s="712"/>
      <c r="M81" s="712"/>
      <c r="N81" s="712"/>
      <c r="O81" s="113"/>
      <c r="AP81" s="213"/>
      <c r="AQ81" s="213"/>
      <c r="AR81" s="213"/>
      <c r="AS81" s="271"/>
      <c r="AT81" s="271"/>
      <c r="AU81" s="244"/>
      <c r="AV81" s="244"/>
      <c r="AW81" s="244"/>
      <c r="AX81" s="244"/>
      <c r="AY81" s="244"/>
      <c r="AZ81" s="244"/>
      <c r="BA81" s="244"/>
      <c r="BB81" s="244"/>
      <c r="BC81" s="244"/>
      <c r="BD81" s="244"/>
      <c r="BE81" s="244"/>
      <c r="BF81" s="244"/>
      <c r="BG81" s="244"/>
      <c r="BH81" s="244"/>
      <c r="BI81" s="244"/>
      <c r="BJ81" s="244"/>
      <c r="BK81" s="244"/>
      <c r="BL81" s="244"/>
      <c r="BM81" s="244"/>
      <c r="BN81" s="244"/>
      <c r="BO81" s="244"/>
      <c r="BP81" s="244"/>
      <c r="BQ81" s="244"/>
      <c r="BR81" s="244"/>
      <c r="BS81" s="244"/>
      <c r="BT81" s="244"/>
      <c r="BU81" s="244"/>
      <c r="BV81" s="244"/>
      <c r="BW81" s="244"/>
      <c r="BX81" s="244"/>
      <c r="BY81" s="244"/>
      <c r="BZ81" s="244"/>
      <c r="CA81" s="244"/>
      <c r="CB81" s="244"/>
      <c r="CC81" s="244"/>
      <c r="CD81" s="244"/>
      <c r="CE81" s="244"/>
      <c r="CF81" s="244"/>
    </row>
    <row r="82" ht="0" hidden="1" customHeight="1">
      <c r="C82" s="114"/>
      <c r="D82" s="118"/>
      <c r="E82" s="118"/>
      <c r="F82" s="118"/>
      <c r="G82" s="118"/>
      <c r="H82" s="118"/>
      <c r="I82" s="712"/>
      <c r="J82" s="712"/>
      <c r="K82" s="712"/>
      <c r="L82" s="712"/>
      <c r="M82" s="712"/>
      <c r="N82" s="712"/>
      <c r="O82" s="113"/>
      <c r="AP82" s="213"/>
      <c r="AQ82" s="213"/>
      <c r="AR82" s="213"/>
      <c r="AS82" s="271"/>
      <c r="AT82" s="271"/>
      <c r="AU82" s="244"/>
      <c r="AV82" s="244"/>
      <c r="AW82" s="244"/>
      <c r="AX82" s="244"/>
      <c r="AY82" s="244"/>
      <c r="AZ82" s="244"/>
      <c r="BA82" s="244"/>
      <c r="BB82" s="244"/>
      <c r="BC82" s="244"/>
      <c r="BD82" s="244"/>
      <c r="BE82" s="244"/>
      <c r="BF82" s="244"/>
      <c r="BG82" s="244"/>
      <c r="BH82" s="244"/>
      <c r="BI82" s="244"/>
      <c r="BJ82" s="244"/>
      <c r="BK82" s="244"/>
      <c r="BL82" s="244"/>
      <c r="BM82" s="244"/>
      <c r="BN82" s="244"/>
      <c r="BO82" s="244"/>
      <c r="BP82" s="244"/>
      <c r="BQ82" s="244"/>
      <c r="BR82" s="244"/>
      <c r="BS82" s="244"/>
      <c r="BT82" s="244"/>
      <c r="BU82" s="244"/>
      <c r="BV82" s="244"/>
      <c r="BW82" s="244"/>
      <c r="BX82" s="244"/>
      <c r="BY82" s="244"/>
      <c r="BZ82" s="244"/>
      <c r="CA82" s="244"/>
      <c r="CB82" s="244"/>
      <c r="CC82" s="244"/>
      <c r="CD82" s="244"/>
      <c r="CE82" s="244"/>
      <c r="CF82" s="244"/>
    </row>
    <row r="83" ht="0" hidden="1" customHeight="1">
      <c r="C83" s="114"/>
      <c r="D83" s="118"/>
      <c r="E83" s="118"/>
      <c r="F83" s="118"/>
      <c r="G83" s="118"/>
      <c r="H83" s="118"/>
      <c r="I83" s="712"/>
      <c r="J83" s="712"/>
      <c r="K83" s="712"/>
      <c r="L83" s="712"/>
      <c r="M83" s="712"/>
      <c r="N83" s="712"/>
      <c r="O83" s="113"/>
      <c r="AP83" s="213"/>
      <c r="AQ83" s="213"/>
      <c r="AR83" s="213"/>
      <c r="AS83" s="271"/>
      <c r="AT83" s="271"/>
      <c r="AU83" s="244"/>
      <c r="AV83" s="244"/>
      <c r="AW83" s="244"/>
      <c r="AX83" s="244"/>
      <c r="AY83" s="244"/>
      <c r="AZ83" s="244"/>
      <c r="BA83" s="244"/>
      <c r="BB83" s="244"/>
      <c r="BC83" s="244"/>
      <c r="BD83" s="244"/>
      <c r="BE83" s="244"/>
      <c r="BF83" s="244"/>
      <c r="BG83" s="244"/>
      <c r="BH83" s="244"/>
      <c r="BI83" s="244"/>
      <c r="BJ83" s="244"/>
      <c r="BK83" s="244"/>
      <c r="BL83" s="244"/>
      <c r="BM83" s="244"/>
      <c r="BN83" s="244"/>
      <c r="BO83" s="244"/>
      <c r="BP83" s="244"/>
      <c r="BQ83" s="244"/>
      <c r="BR83" s="244"/>
      <c r="BS83" s="244"/>
      <c r="BT83" s="244"/>
      <c r="BU83" s="244"/>
      <c r="BV83" s="244"/>
      <c r="BW83" s="244"/>
      <c r="BX83" s="244"/>
      <c r="BY83" s="244"/>
      <c r="BZ83" s="244"/>
      <c r="CA83" s="244"/>
      <c r="CB83" s="244"/>
      <c r="CC83" s="244"/>
      <c r="CD83" s="244"/>
      <c r="CE83" s="244"/>
      <c r="CF83" s="244"/>
    </row>
    <row r="84" ht="0" hidden="1" customHeight="1">
      <c r="C84" s="114"/>
      <c r="D84" s="118"/>
      <c r="E84" s="118"/>
      <c r="F84" s="118"/>
      <c r="G84" s="118"/>
      <c r="H84" s="118"/>
      <c r="I84" s="712"/>
      <c r="J84" s="712"/>
      <c r="K84" s="712"/>
      <c r="L84" s="712"/>
      <c r="M84" s="712"/>
      <c r="N84" s="712"/>
      <c r="O84" s="113"/>
      <c r="AP84" s="213"/>
      <c r="AQ84" s="213"/>
      <c r="AR84" s="213"/>
      <c r="AS84" s="271"/>
      <c r="AT84" s="271"/>
      <c r="AU84" s="244"/>
      <c r="AV84" s="244"/>
      <c r="AW84" s="244"/>
      <c r="AX84" s="244"/>
      <c r="AY84" s="244"/>
      <c r="AZ84" s="244"/>
      <c r="BA84" s="244"/>
      <c r="BB84" s="244"/>
      <c r="BC84" s="244"/>
      <c r="BD84" s="244"/>
      <c r="BE84" s="244"/>
      <c r="BF84" s="244"/>
      <c r="BG84" s="244"/>
      <c r="BH84" s="244"/>
      <c r="BI84" s="244"/>
      <c r="BJ84" s="244"/>
      <c r="BK84" s="244"/>
      <c r="BL84" s="244"/>
      <c r="BM84" s="244"/>
      <c r="BN84" s="244"/>
      <c r="BO84" s="244"/>
      <c r="BP84" s="244"/>
      <c r="BQ84" s="244"/>
      <c r="BR84" s="244"/>
      <c r="BS84" s="244"/>
      <c r="BT84" s="244"/>
      <c r="BU84" s="244"/>
      <c r="BV84" s="244"/>
      <c r="BW84" s="244"/>
      <c r="BX84" s="244"/>
      <c r="BY84" s="244"/>
      <c r="BZ84" s="244"/>
      <c r="CA84" s="244"/>
      <c r="CB84" s="244"/>
      <c r="CC84" s="244"/>
      <c r="CD84" s="244"/>
      <c r="CE84" s="244"/>
      <c r="CF84" s="244"/>
    </row>
    <row r="85" ht="0" hidden="1" customHeight="1">
      <c r="C85" s="114"/>
      <c r="D85" s="118"/>
      <c r="E85" s="118"/>
      <c r="F85" s="118"/>
      <c r="G85" s="118"/>
      <c r="H85" s="118"/>
      <c r="I85" s="712"/>
      <c r="J85" s="712"/>
      <c r="K85" s="712"/>
      <c r="L85" s="712"/>
      <c r="M85" s="712"/>
      <c r="N85" s="712"/>
      <c r="O85" s="113"/>
      <c r="AP85" s="213"/>
      <c r="AQ85" s="213"/>
      <c r="AR85" s="213"/>
      <c r="AS85" s="271"/>
      <c r="AT85" s="271"/>
      <c r="AU85" s="244"/>
      <c r="AV85" s="244"/>
      <c r="AW85" s="244"/>
      <c r="AX85" s="244"/>
      <c r="AY85" s="244"/>
      <c r="AZ85" s="244"/>
      <c r="BA85" s="244"/>
      <c r="BB85" s="244"/>
      <c r="BC85" s="244"/>
      <c r="BD85" s="244"/>
      <c r="BE85" s="244"/>
      <c r="BF85" s="244"/>
      <c r="BG85" s="244"/>
      <c r="BH85" s="244"/>
      <c r="BI85" s="244"/>
      <c r="BJ85" s="244"/>
      <c r="BK85" s="244"/>
      <c r="BL85" s="244"/>
      <c r="BM85" s="244"/>
      <c r="BN85" s="244"/>
      <c r="BO85" s="244"/>
      <c r="BP85" s="244"/>
      <c r="BQ85" s="244"/>
      <c r="BR85" s="244"/>
      <c r="BS85" s="244"/>
      <c r="BT85" s="244"/>
      <c r="BU85" s="244"/>
      <c r="BV85" s="244"/>
      <c r="BW85" s="244"/>
      <c r="BX85" s="244"/>
      <c r="BY85" s="244"/>
      <c r="BZ85" s="244"/>
      <c r="CA85" s="244"/>
      <c r="CB85" s="244"/>
      <c r="CC85" s="244"/>
      <c r="CD85" s="244"/>
      <c r="CE85" s="244"/>
      <c r="CF85" s="244"/>
    </row>
    <row r="86" ht="0" hidden="1" customHeight="1">
      <c r="C86" s="114"/>
      <c r="D86" s="118"/>
      <c r="E86" s="118"/>
      <c r="F86" s="118"/>
      <c r="G86" s="118"/>
      <c r="H86" s="118"/>
      <c r="I86" s="712"/>
      <c r="J86" s="712"/>
      <c r="K86" s="712"/>
      <c r="L86" s="712"/>
      <c r="M86" s="712"/>
      <c r="N86" s="712"/>
      <c r="O86" s="113"/>
      <c r="AP86" s="213"/>
      <c r="AQ86" s="213"/>
      <c r="AR86" s="213"/>
      <c r="AS86" s="271"/>
      <c r="AT86" s="271"/>
      <c r="AU86" s="244"/>
      <c r="AV86" s="244"/>
      <c r="AW86" s="244"/>
      <c r="AX86" s="244"/>
      <c r="AY86" s="244"/>
      <c r="AZ86" s="244"/>
      <c r="BA86" s="244"/>
      <c r="BB86" s="244"/>
      <c r="BC86" s="244"/>
      <c r="BD86" s="244"/>
      <c r="BE86" s="244"/>
      <c r="BF86" s="244"/>
      <c r="BG86" s="244"/>
      <c r="BH86" s="244"/>
      <c r="BI86" s="244"/>
      <c r="BJ86" s="244"/>
      <c r="BK86" s="244"/>
      <c r="BL86" s="244"/>
      <c r="BM86" s="244"/>
      <c r="BN86" s="244"/>
      <c r="BO86" s="244"/>
      <c r="BP86" s="244"/>
      <c r="BQ86" s="244"/>
      <c r="BR86" s="244"/>
      <c r="BS86" s="244"/>
      <c r="BT86" s="244"/>
      <c r="BU86" s="244"/>
      <c r="BV86" s="244"/>
      <c r="BW86" s="244"/>
      <c r="BX86" s="244"/>
      <c r="BY86" s="244"/>
      <c r="BZ86" s="244"/>
      <c r="CA86" s="244"/>
      <c r="CB86" s="244"/>
      <c r="CC86" s="244"/>
      <c r="CD86" s="244"/>
      <c r="CE86" s="244"/>
      <c r="CF86" s="244"/>
    </row>
    <row r="87" ht="0" hidden="1" customHeight="1">
      <c r="C87" s="114"/>
      <c r="D87" s="118"/>
      <c r="E87" s="118"/>
      <c r="F87" s="118"/>
      <c r="G87" s="118"/>
      <c r="H87" s="118"/>
      <c r="I87" s="712"/>
      <c r="J87" s="712"/>
      <c r="K87" s="712"/>
      <c r="L87" s="712"/>
      <c r="M87" s="712"/>
      <c r="N87" s="712"/>
      <c r="O87" s="113"/>
      <c r="AP87" s="213"/>
      <c r="AQ87" s="213"/>
      <c r="AR87" s="213"/>
      <c r="AS87" s="271"/>
      <c r="AT87" s="271"/>
      <c r="AU87" s="244"/>
      <c r="AV87" s="244"/>
      <c r="AW87" s="244"/>
      <c r="AX87" s="244"/>
      <c r="AY87" s="244"/>
      <c r="AZ87" s="244"/>
      <c r="BA87" s="244"/>
      <c r="BB87" s="244"/>
      <c r="BC87" s="244"/>
      <c r="BD87" s="244"/>
      <c r="BE87" s="244"/>
      <c r="BF87" s="244"/>
      <c r="BG87" s="244"/>
      <c r="BH87" s="244"/>
      <c r="BI87" s="244"/>
      <c r="BJ87" s="244"/>
      <c r="BK87" s="244"/>
      <c r="BL87" s="244"/>
      <c r="BM87" s="244"/>
      <c r="BN87" s="244"/>
      <c r="BO87" s="244"/>
      <c r="BP87" s="244"/>
      <c r="BQ87" s="244"/>
      <c r="BR87" s="244"/>
      <c r="BS87" s="244"/>
      <c r="BT87" s="244"/>
      <c r="BU87" s="244"/>
      <c r="BV87" s="244"/>
      <c r="BW87" s="244"/>
      <c r="BX87" s="244"/>
      <c r="BY87" s="244"/>
      <c r="BZ87" s="244"/>
      <c r="CA87" s="244"/>
      <c r="CB87" s="244"/>
      <c r="CC87" s="244"/>
      <c r="CD87" s="244"/>
      <c r="CE87" s="244"/>
      <c r="CF87" s="244"/>
    </row>
    <row r="88" ht="0" hidden="1" customHeight="1">
      <c r="C88" s="114"/>
      <c r="D88" s="118"/>
      <c r="E88" s="118"/>
      <c r="F88" s="118"/>
      <c r="G88" s="118"/>
      <c r="H88" s="118"/>
      <c r="I88" s="712"/>
      <c r="J88" s="712"/>
      <c r="K88" s="712"/>
      <c r="L88" s="712"/>
      <c r="M88" s="712"/>
      <c r="N88" s="712"/>
      <c r="O88" s="113"/>
      <c r="AP88" s="213"/>
      <c r="AQ88" s="213"/>
      <c r="AR88" s="213"/>
      <c r="AS88" s="271"/>
      <c r="AT88" s="271"/>
      <c r="AU88" s="244"/>
      <c r="AV88" s="244"/>
      <c r="AW88" s="244"/>
      <c r="AX88" s="244"/>
      <c r="AY88" s="244"/>
      <c r="AZ88" s="244"/>
      <c r="BA88" s="244"/>
      <c r="BB88" s="244"/>
      <c r="BC88" s="244"/>
      <c r="BD88" s="244"/>
      <c r="BE88" s="244"/>
      <c r="BF88" s="244"/>
      <c r="BG88" s="244"/>
      <c r="BH88" s="244"/>
      <c r="BI88" s="244"/>
      <c r="BJ88" s="244"/>
      <c r="BK88" s="244"/>
      <c r="BL88" s="244"/>
      <c r="BM88" s="244"/>
      <c r="BN88" s="244"/>
      <c r="BO88" s="244"/>
      <c r="BP88" s="244"/>
      <c r="BQ88" s="244"/>
      <c r="BR88" s="244"/>
      <c r="BS88" s="244"/>
      <c r="BT88" s="244"/>
      <c r="BU88" s="244"/>
      <c r="BV88" s="244"/>
      <c r="BW88" s="244"/>
      <c r="BX88" s="244"/>
      <c r="BY88" s="244"/>
      <c r="BZ88" s="244"/>
      <c r="CA88" s="244"/>
      <c r="CB88" s="244"/>
      <c r="CC88" s="244"/>
      <c r="CD88" s="244"/>
      <c r="CE88" s="244"/>
      <c r="CF88" s="244"/>
    </row>
    <row r="89" ht="0" hidden="1" customHeight="1">
      <c r="C89" s="114"/>
      <c r="D89" s="118"/>
      <c r="E89" s="118"/>
      <c r="F89" s="118"/>
      <c r="G89" s="118"/>
      <c r="H89" s="118"/>
      <c r="I89" s="712"/>
      <c r="J89" s="712"/>
      <c r="K89" s="712"/>
      <c r="L89" s="712"/>
      <c r="M89" s="712"/>
      <c r="N89" s="712"/>
      <c r="O89" s="113"/>
      <c r="AP89" s="213"/>
      <c r="AQ89" s="213"/>
      <c r="AR89" s="213"/>
      <c r="AS89" s="271"/>
      <c r="AT89" s="271"/>
      <c r="AU89" s="244"/>
      <c r="AV89" s="244"/>
      <c r="AW89" s="244"/>
      <c r="AX89" s="244"/>
      <c r="AY89" s="244"/>
      <c r="AZ89" s="244"/>
      <c r="BA89" s="244"/>
      <c r="BB89" s="244"/>
      <c r="BC89" s="244"/>
      <c r="BD89" s="244"/>
      <c r="BE89" s="244"/>
      <c r="BF89" s="244"/>
      <c r="BG89" s="244"/>
      <c r="BH89" s="244"/>
      <c r="BI89" s="244"/>
      <c r="BJ89" s="244"/>
      <c r="BK89" s="244"/>
      <c r="BL89" s="244"/>
      <c r="BM89" s="244"/>
      <c r="BN89" s="244"/>
      <c r="BO89" s="244"/>
      <c r="BP89" s="244"/>
      <c r="BQ89" s="244"/>
      <c r="BR89" s="244"/>
      <c r="BS89" s="244"/>
      <c r="BT89" s="244"/>
      <c r="BU89" s="244"/>
      <c r="BV89" s="244"/>
      <c r="BW89" s="244"/>
      <c r="BX89" s="244"/>
      <c r="BY89" s="244"/>
      <c r="BZ89" s="244"/>
      <c r="CA89" s="244"/>
      <c r="CB89" s="244"/>
      <c r="CC89" s="244"/>
      <c r="CD89" s="244"/>
      <c r="CE89" s="244"/>
      <c r="CF89" s="244"/>
    </row>
    <row r="90" ht="0" hidden="1" customHeight="1">
      <c r="C90" s="114"/>
      <c r="D90" s="118"/>
      <c r="E90" s="118"/>
      <c r="F90" s="118"/>
      <c r="G90" s="118"/>
      <c r="H90" s="118"/>
      <c r="I90" s="712"/>
      <c r="J90" s="712"/>
      <c r="K90" s="712"/>
      <c r="L90" s="712"/>
      <c r="M90" s="712"/>
      <c r="N90" s="712"/>
      <c r="O90" s="113"/>
      <c r="AP90" s="213"/>
      <c r="AQ90" s="213"/>
      <c r="AR90" s="213"/>
      <c r="AS90" s="271"/>
      <c r="AT90" s="271"/>
      <c r="AU90" s="244"/>
      <c r="AV90" s="244"/>
      <c r="AW90" s="244"/>
      <c r="AX90" s="244"/>
      <c r="AY90" s="244"/>
      <c r="AZ90" s="244"/>
      <c r="BA90" s="244"/>
      <c r="BB90" s="244"/>
      <c r="BC90" s="244"/>
      <c r="BD90" s="244"/>
      <c r="BE90" s="244"/>
      <c r="BF90" s="244"/>
      <c r="BG90" s="244"/>
      <c r="BH90" s="244"/>
      <c r="BI90" s="244"/>
      <c r="BJ90" s="244"/>
      <c r="BK90" s="244"/>
      <c r="BL90" s="244"/>
      <c r="BM90" s="244"/>
      <c r="BN90" s="244"/>
      <c r="BO90" s="244"/>
      <c r="BP90" s="244"/>
      <c r="BQ90" s="244"/>
      <c r="BR90" s="244"/>
      <c r="BS90" s="244"/>
      <c r="BT90" s="244"/>
      <c r="BU90" s="244"/>
      <c r="BV90" s="244"/>
      <c r="BW90" s="244"/>
      <c r="BX90" s="244"/>
      <c r="BY90" s="244"/>
      <c r="BZ90" s="244"/>
      <c r="CA90" s="244"/>
      <c r="CB90" s="244"/>
      <c r="CC90" s="244"/>
      <c r="CD90" s="244"/>
      <c r="CE90" s="244"/>
      <c r="CF90" s="244"/>
    </row>
    <row r="91" ht="0" hidden="1" customHeight="1">
      <c r="C91" s="114"/>
      <c r="D91" s="118"/>
      <c r="E91" s="118"/>
      <c r="F91" s="118"/>
      <c r="G91" s="118"/>
      <c r="H91" s="118"/>
      <c r="I91" s="712"/>
      <c r="J91" s="712"/>
      <c r="K91" s="712"/>
      <c r="L91" s="712"/>
      <c r="M91" s="712"/>
      <c r="N91" s="712"/>
      <c r="O91" s="113"/>
      <c r="AP91" s="213"/>
      <c r="AQ91" s="213"/>
      <c r="AR91" s="213"/>
      <c r="AS91" s="271"/>
      <c r="AT91" s="271"/>
      <c r="AU91" s="244"/>
      <c r="AV91" s="244"/>
      <c r="AW91" s="244"/>
      <c r="AX91" s="244"/>
      <c r="AY91" s="244"/>
      <c r="AZ91" s="244"/>
      <c r="BA91" s="244"/>
      <c r="BB91" s="244"/>
      <c r="BC91" s="244"/>
      <c r="BD91" s="244"/>
      <c r="BE91" s="244"/>
      <c r="BF91" s="244"/>
      <c r="BG91" s="244"/>
      <c r="BH91" s="244"/>
      <c r="BI91" s="244"/>
      <c r="BJ91" s="244"/>
      <c r="BK91" s="244"/>
      <c r="BL91" s="244"/>
      <c r="BM91" s="244"/>
      <c r="BN91" s="244"/>
      <c r="BO91" s="244"/>
      <c r="BP91" s="244"/>
      <c r="BQ91" s="244"/>
      <c r="BR91" s="244"/>
      <c r="BS91" s="244"/>
      <c r="BT91" s="244"/>
      <c r="BU91" s="244"/>
      <c r="BV91" s="244"/>
      <c r="BW91" s="244"/>
      <c r="BX91" s="244"/>
      <c r="BY91" s="244"/>
      <c r="BZ91" s="244"/>
      <c r="CA91" s="244"/>
      <c r="CB91" s="244"/>
      <c r="CC91" s="244"/>
      <c r="CD91" s="244"/>
      <c r="CE91" s="244"/>
      <c r="CF91" s="244"/>
    </row>
    <row r="92" ht="0" hidden="1" customHeight="1">
      <c r="C92" s="114"/>
      <c r="D92" s="118"/>
      <c r="E92" s="118"/>
      <c r="F92" s="118"/>
      <c r="G92" s="118"/>
      <c r="H92" s="118"/>
      <c r="I92" s="712"/>
      <c r="J92" s="712"/>
      <c r="K92" s="712"/>
      <c r="L92" s="712"/>
      <c r="M92" s="712"/>
      <c r="N92" s="712"/>
      <c r="O92" s="113"/>
      <c r="AP92" s="213"/>
      <c r="AQ92" s="213"/>
      <c r="AR92" s="213"/>
      <c r="AS92" s="271"/>
      <c r="AT92" s="271"/>
      <c r="AU92" s="244"/>
      <c r="AV92" s="244"/>
      <c r="AW92" s="244"/>
      <c r="AX92" s="244"/>
      <c r="AY92" s="244"/>
      <c r="AZ92" s="244"/>
      <c r="BA92" s="244"/>
      <c r="BB92" s="244"/>
      <c r="BC92" s="244"/>
      <c r="BD92" s="244"/>
      <c r="BE92" s="244"/>
      <c r="BF92" s="244"/>
      <c r="BG92" s="244"/>
      <c r="BH92" s="244"/>
      <c r="BI92" s="244"/>
      <c r="BJ92" s="244"/>
      <c r="BK92" s="244"/>
      <c r="BL92" s="244"/>
      <c r="BM92" s="244"/>
      <c r="BN92" s="244"/>
      <c r="BO92" s="244"/>
      <c r="BP92" s="244"/>
      <c r="BQ92" s="244"/>
      <c r="BR92" s="244"/>
      <c r="BS92" s="244"/>
      <c r="BT92" s="244"/>
      <c r="BU92" s="244"/>
      <c r="BV92" s="244"/>
      <c r="BW92" s="244"/>
      <c r="BX92" s="244"/>
      <c r="BY92" s="244"/>
      <c r="BZ92" s="244"/>
      <c r="CA92" s="244"/>
      <c r="CB92" s="244"/>
      <c r="CC92" s="244"/>
      <c r="CD92" s="244"/>
      <c r="CE92" s="244"/>
      <c r="CF92" s="244"/>
    </row>
    <row r="93" ht="0" hidden="1" customHeight="1">
      <c r="C93" s="114"/>
      <c r="D93" s="118"/>
      <c r="E93" s="118"/>
      <c r="F93" s="118"/>
      <c r="G93" s="118"/>
      <c r="H93" s="118"/>
      <c r="I93" s="712"/>
      <c r="J93" s="712"/>
      <c r="K93" s="712"/>
      <c r="L93" s="712"/>
      <c r="M93" s="712"/>
      <c r="N93" s="712"/>
      <c r="O93" s="113"/>
      <c r="AP93" s="213"/>
      <c r="AQ93" s="213"/>
      <c r="AR93" s="213"/>
      <c r="AS93" s="271"/>
      <c r="AT93" s="271"/>
      <c r="AU93" s="244"/>
      <c r="AV93" s="244"/>
      <c r="AW93" s="244"/>
      <c r="AX93" s="244"/>
      <c r="AY93" s="244"/>
      <c r="AZ93" s="244"/>
      <c r="BA93" s="244"/>
      <c r="BB93" s="244"/>
      <c r="BC93" s="244"/>
      <c r="BD93" s="244"/>
      <c r="BE93" s="244"/>
      <c r="BF93" s="244"/>
      <c r="BG93" s="244"/>
      <c r="BH93" s="244"/>
      <c r="BI93" s="244"/>
      <c r="BJ93" s="244"/>
      <c r="BK93" s="244"/>
      <c r="BL93" s="244"/>
      <c r="BM93" s="244"/>
      <c r="BN93" s="244"/>
      <c r="BO93" s="244"/>
      <c r="BP93" s="244"/>
      <c r="BQ93" s="244"/>
      <c r="BR93" s="244"/>
      <c r="BS93" s="244"/>
      <c r="BT93" s="244"/>
      <c r="BU93" s="244"/>
      <c r="BV93" s="244"/>
      <c r="BW93" s="244"/>
      <c r="BX93" s="244"/>
      <c r="BY93" s="244"/>
      <c r="BZ93" s="244"/>
      <c r="CA93" s="244"/>
      <c r="CB93" s="244"/>
      <c r="CC93" s="244"/>
      <c r="CD93" s="244"/>
      <c r="CE93" s="244"/>
      <c r="CF93" s="244"/>
    </row>
    <row r="94" ht="0" hidden="1" customHeight="1">
      <c r="C94" s="114"/>
      <c r="D94" s="118"/>
      <c r="E94" s="118"/>
      <c r="F94" s="118"/>
      <c r="G94" s="118"/>
      <c r="H94" s="118"/>
      <c r="I94" s="712"/>
      <c r="J94" s="712"/>
      <c r="K94" s="712"/>
      <c r="L94" s="712"/>
      <c r="M94" s="712"/>
      <c r="N94" s="712"/>
      <c r="O94" s="113"/>
      <c r="AP94" s="213"/>
      <c r="AQ94" s="213"/>
      <c r="AR94" s="213"/>
      <c r="AS94" s="271"/>
      <c r="AT94" s="271"/>
      <c r="AU94" s="244"/>
      <c r="AV94" s="244"/>
      <c r="AW94" s="244"/>
      <c r="AX94" s="244"/>
      <c r="AY94" s="244"/>
      <c r="AZ94" s="244"/>
      <c r="BA94" s="244"/>
      <c r="BB94" s="244"/>
      <c r="BC94" s="244"/>
      <c r="BD94" s="244"/>
      <c r="BE94" s="244"/>
      <c r="BF94" s="244"/>
      <c r="BG94" s="244"/>
      <c r="BH94" s="244"/>
      <c r="BI94" s="244"/>
      <c r="BJ94" s="244"/>
      <c r="BK94" s="244"/>
      <c r="BL94" s="244"/>
      <c r="BM94" s="244"/>
      <c r="BN94" s="244"/>
      <c r="BO94" s="244"/>
      <c r="BP94" s="244"/>
      <c r="BQ94" s="244"/>
      <c r="BR94" s="244"/>
      <c r="BS94" s="244"/>
      <c r="BT94" s="244"/>
      <c r="BU94" s="244"/>
      <c r="BV94" s="244"/>
      <c r="BW94" s="244"/>
      <c r="BX94" s="244"/>
      <c r="BY94" s="244"/>
      <c r="BZ94" s="244"/>
      <c r="CA94" s="244"/>
      <c r="CB94" s="244"/>
      <c r="CC94" s="244"/>
      <c r="CD94" s="244"/>
      <c r="CE94" s="244"/>
      <c r="CF94" s="244"/>
    </row>
    <row r="95" ht="0" hidden="1" customHeight="1">
      <c r="C95" s="114"/>
      <c r="D95" s="118"/>
      <c r="E95" s="118"/>
      <c r="F95" s="118"/>
      <c r="G95" s="118"/>
      <c r="H95" s="118"/>
      <c r="I95" s="712"/>
      <c r="J95" s="712"/>
      <c r="K95" s="712"/>
      <c r="L95" s="712"/>
      <c r="M95" s="712"/>
      <c r="N95" s="712"/>
      <c r="O95" s="113"/>
      <c r="AP95" s="213"/>
      <c r="AQ95" s="213"/>
      <c r="AR95" s="213"/>
      <c r="AS95" s="271"/>
      <c r="AT95" s="271"/>
      <c r="AU95" s="244"/>
      <c r="AV95" s="244"/>
      <c r="AW95" s="244"/>
      <c r="AX95" s="244"/>
      <c r="AY95" s="244"/>
      <c r="AZ95" s="244"/>
      <c r="BA95" s="244"/>
      <c r="BB95" s="244"/>
      <c r="BC95" s="244"/>
      <c r="BD95" s="244"/>
      <c r="BE95" s="244"/>
      <c r="BF95" s="244"/>
      <c r="BG95" s="244"/>
      <c r="BH95" s="244"/>
      <c r="BI95" s="244"/>
      <c r="BJ95" s="244"/>
      <c r="BK95" s="244"/>
      <c r="BL95" s="244"/>
      <c r="BM95" s="244"/>
      <c r="BN95" s="244"/>
      <c r="BO95" s="244"/>
      <c r="BP95" s="244"/>
      <c r="BQ95" s="244"/>
      <c r="BR95" s="244"/>
      <c r="BS95" s="244"/>
      <c r="BT95" s="244"/>
      <c r="BU95" s="244"/>
      <c r="BV95" s="244"/>
      <c r="BW95" s="244"/>
      <c r="BX95" s="244"/>
      <c r="BY95" s="244"/>
      <c r="BZ95" s="244"/>
      <c r="CA95" s="244"/>
      <c r="CB95" s="244"/>
      <c r="CC95" s="244"/>
      <c r="CD95" s="244"/>
      <c r="CE95" s="244"/>
      <c r="CF95" s="244"/>
    </row>
    <row r="96" ht="0" hidden="1" customHeight="1">
      <c r="C96" s="114"/>
      <c r="D96" s="118"/>
      <c r="E96" s="118"/>
      <c r="F96" s="118"/>
      <c r="G96" s="118"/>
      <c r="H96" s="118"/>
      <c r="I96" s="712"/>
      <c r="J96" s="712"/>
      <c r="K96" s="712"/>
      <c r="L96" s="712"/>
      <c r="M96" s="712"/>
      <c r="N96" s="712"/>
      <c r="O96" s="113"/>
      <c r="AP96" s="213"/>
      <c r="AQ96" s="213"/>
      <c r="AR96" s="213"/>
      <c r="AS96" s="271"/>
      <c r="AT96" s="271"/>
      <c r="AU96" s="244"/>
      <c r="AV96" s="244"/>
      <c r="AW96" s="244"/>
      <c r="AX96" s="244"/>
      <c r="AY96" s="244"/>
      <c r="AZ96" s="244"/>
      <c r="BA96" s="244"/>
      <c r="BB96" s="244"/>
      <c r="BC96" s="244"/>
      <c r="BD96" s="244"/>
      <c r="BE96" s="244"/>
      <c r="BF96" s="244"/>
      <c r="BG96" s="244"/>
      <c r="BH96" s="244"/>
      <c r="BI96" s="244"/>
      <c r="BJ96" s="244"/>
      <c r="BK96" s="244"/>
      <c r="BL96" s="244"/>
      <c r="BM96" s="244"/>
      <c r="BN96" s="244"/>
      <c r="BO96" s="244"/>
      <c r="BP96" s="244"/>
      <c r="BQ96" s="244"/>
      <c r="BR96" s="244"/>
      <c r="BS96" s="244"/>
      <c r="BT96" s="244"/>
      <c r="BU96" s="244"/>
      <c r="BV96" s="244"/>
      <c r="BW96" s="244"/>
      <c r="BX96" s="244"/>
      <c r="BY96" s="244"/>
      <c r="BZ96" s="244"/>
      <c r="CA96" s="244"/>
      <c r="CB96" s="244"/>
      <c r="CC96" s="244"/>
      <c r="CD96" s="244"/>
      <c r="CE96" s="244"/>
      <c r="CF96" s="244"/>
    </row>
    <row r="97" ht="0" hidden="1" customHeight="1">
      <c r="C97" s="114"/>
      <c r="D97" s="118"/>
      <c r="E97" s="118"/>
      <c r="F97" s="118"/>
      <c r="G97" s="118"/>
      <c r="H97" s="118"/>
      <c r="I97" s="712"/>
      <c r="J97" s="712"/>
      <c r="K97" s="712"/>
      <c r="L97" s="712"/>
      <c r="M97" s="712"/>
      <c r="N97" s="712"/>
      <c r="O97" s="113"/>
      <c r="AP97" s="213"/>
      <c r="AQ97" s="213"/>
      <c r="AR97" s="213"/>
      <c r="AS97" s="271"/>
      <c r="AT97" s="271"/>
      <c r="AU97" s="244"/>
      <c r="AV97" s="244"/>
      <c r="AW97" s="244"/>
      <c r="AX97" s="244"/>
      <c r="AY97" s="244"/>
      <c r="AZ97" s="244"/>
      <c r="BA97" s="244"/>
      <c r="BB97" s="244"/>
      <c r="BC97" s="244"/>
      <c r="BD97" s="244"/>
      <c r="BE97" s="244"/>
      <c r="BF97" s="244"/>
      <c r="BG97" s="244"/>
      <c r="BH97" s="244"/>
      <c r="BI97" s="244"/>
      <c r="BJ97" s="244"/>
      <c r="BK97" s="244"/>
      <c r="BL97" s="244"/>
      <c r="BM97" s="244"/>
      <c r="BN97" s="244"/>
      <c r="BO97" s="244"/>
      <c r="BP97" s="244"/>
      <c r="BQ97" s="244"/>
      <c r="BR97" s="244"/>
      <c r="BS97" s="244"/>
      <c r="BT97" s="244"/>
      <c r="BU97" s="244"/>
      <c r="BV97" s="244"/>
      <c r="BW97" s="244"/>
      <c r="BX97" s="244"/>
      <c r="BY97" s="244"/>
      <c r="BZ97" s="244"/>
      <c r="CA97" s="244"/>
      <c r="CB97" s="244"/>
      <c r="CC97" s="244"/>
      <c r="CD97" s="244"/>
      <c r="CE97" s="244"/>
      <c r="CF97" s="244"/>
    </row>
    <row r="98" ht="0" hidden="1" customHeight="1">
      <c r="C98" s="114"/>
      <c r="D98" s="118"/>
      <c r="E98" s="118"/>
      <c r="F98" s="118"/>
      <c r="G98" s="118"/>
      <c r="H98" s="118"/>
      <c r="I98" s="712"/>
      <c r="J98" s="712"/>
      <c r="K98" s="712"/>
      <c r="L98" s="712"/>
      <c r="M98" s="712"/>
      <c r="N98" s="712"/>
      <c r="O98" s="113"/>
      <c r="AP98" s="213"/>
      <c r="AQ98" s="213"/>
      <c r="AR98" s="213"/>
      <c r="AS98" s="271"/>
      <c r="AT98" s="271"/>
      <c r="AU98" s="244"/>
      <c r="AV98" s="244"/>
      <c r="AW98" s="244"/>
      <c r="AX98" s="244"/>
      <c r="AY98" s="244"/>
      <c r="AZ98" s="244"/>
      <c r="BA98" s="244"/>
      <c r="BB98" s="244"/>
      <c r="BC98" s="244"/>
      <c r="BD98" s="244"/>
      <c r="BE98" s="244"/>
      <c r="BF98" s="244"/>
      <c r="BG98" s="244"/>
      <c r="BH98" s="244"/>
      <c r="BI98" s="244"/>
      <c r="BJ98" s="244"/>
      <c r="BK98" s="244"/>
      <c r="BL98" s="244"/>
      <c r="BM98" s="244"/>
      <c r="BN98" s="244"/>
      <c r="BO98" s="244"/>
      <c r="BP98" s="244"/>
      <c r="BQ98" s="244"/>
      <c r="BR98" s="244"/>
      <c r="BS98" s="244"/>
      <c r="BT98" s="244"/>
      <c r="BU98" s="244"/>
      <c r="BV98" s="244"/>
      <c r="BW98" s="244"/>
      <c r="BX98" s="244"/>
      <c r="BY98" s="244"/>
      <c r="BZ98" s="244"/>
      <c r="CA98" s="244"/>
      <c r="CB98" s="244"/>
      <c r="CC98" s="244"/>
      <c r="CD98" s="244"/>
      <c r="CE98" s="244"/>
      <c r="CF98" s="244"/>
    </row>
    <row r="99" ht="0" hidden="1" customHeight="1">
      <c r="C99" s="114"/>
      <c r="D99" s="118"/>
      <c r="E99" s="118"/>
      <c r="F99" s="118"/>
      <c r="G99" s="118"/>
      <c r="H99" s="118"/>
      <c r="I99" s="712"/>
      <c r="J99" s="712"/>
      <c r="K99" s="712"/>
      <c r="L99" s="712"/>
      <c r="M99" s="712"/>
      <c r="N99" s="712"/>
      <c r="O99" s="113"/>
      <c r="AP99" s="213"/>
      <c r="AQ99" s="213"/>
      <c r="AR99" s="213"/>
      <c r="AS99" s="271"/>
      <c r="AT99" s="271"/>
      <c r="AU99" s="244"/>
      <c r="AV99" s="244"/>
      <c r="AW99" s="244"/>
      <c r="AX99" s="244"/>
      <c r="AY99" s="244"/>
      <c r="AZ99" s="244"/>
      <c r="BA99" s="244"/>
      <c r="BB99" s="244"/>
      <c r="BC99" s="244"/>
      <c r="BD99" s="244"/>
      <c r="BE99" s="244"/>
      <c r="BF99" s="244"/>
      <c r="BG99" s="244"/>
      <c r="BH99" s="244"/>
      <c r="BI99" s="244"/>
      <c r="BJ99" s="244"/>
      <c r="BK99" s="244"/>
      <c r="BL99" s="244"/>
      <c r="BM99" s="244"/>
      <c r="BN99" s="244"/>
      <c r="BO99" s="244"/>
      <c r="BP99" s="244"/>
      <c r="BQ99" s="244"/>
      <c r="BR99" s="244"/>
      <c r="BS99" s="244"/>
      <c r="BT99" s="244"/>
      <c r="BU99" s="244"/>
      <c r="BV99" s="244"/>
      <c r="BW99" s="244"/>
      <c r="BX99" s="244"/>
      <c r="BY99" s="244"/>
      <c r="BZ99" s="244"/>
      <c r="CA99" s="244"/>
      <c r="CB99" s="244"/>
      <c r="CC99" s="244"/>
      <c r="CD99" s="244"/>
      <c r="CE99" s="244"/>
      <c r="CF99" s="244"/>
    </row>
    <row r="100" ht="0" hidden="1" customHeight="1">
      <c r="C100" s="114"/>
      <c r="D100" s="118"/>
      <c r="E100" s="118"/>
      <c r="F100" s="118"/>
      <c r="G100" s="118"/>
      <c r="H100" s="118"/>
      <c r="I100" s="712"/>
      <c r="J100" s="712"/>
      <c r="K100" s="712"/>
      <c r="L100" s="712"/>
      <c r="M100" s="712"/>
      <c r="N100" s="712"/>
      <c r="O100" s="113"/>
      <c r="AP100" s="213"/>
      <c r="AQ100" s="213"/>
      <c r="AR100" s="213"/>
      <c r="AS100" s="271"/>
      <c r="AT100" s="271"/>
      <c r="AU100" s="244"/>
      <c r="AV100" s="244"/>
      <c r="AW100" s="244"/>
      <c r="AX100" s="244"/>
      <c r="AY100" s="244"/>
      <c r="AZ100" s="244"/>
      <c r="BA100" s="244"/>
      <c r="BB100" s="244"/>
      <c r="BC100" s="244"/>
      <c r="BD100" s="244"/>
      <c r="BE100" s="244"/>
      <c r="BF100" s="244"/>
      <c r="BG100" s="244"/>
      <c r="BH100" s="244"/>
      <c r="BI100" s="244"/>
      <c r="BJ100" s="244"/>
      <c r="BK100" s="244"/>
      <c r="BL100" s="244"/>
      <c r="BM100" s="244"/>
      <c r="BN100" s="244"/>
      <c r="BO100" s="244"/>
      <c r="BP100" s="244"/>
      <c r="BQ100" s="244"/>
      <c r="BR100" s="244"/>
      <c r="BS100" s="244"/>
      <c r="BT100" s="244"/>
      <c r="BU100" s="244"/>
      <c r="BV100" s="244"/>
      <c r="BW100" s="244"/>
      <c r="BX100" s="244"/>
      <c r="BY100" s="244"/>
      <c r="BZ100" s="244"/>
      <c r="CA100" s="244"/>
      <c r="CB100" s="244"/>
      <c r="CC100" s="244"/>
      <c r="CD100" s="244"/>
      <c r="CE100" s="244"/>
      <c r="CF100" s="244"/>
    </row>
    <row r="101" ht="0" hidden="1" customHeight="1">
      <c r="C101" s="114"/>
      <c r="D101" s="118"/>
      <c r="E101" s="118"/>
      <c r="F101" s="118"/>
      <c r="G101" s="118"/>
      <c r="H101" s="118"/>
      <c r="I101" s="118"/>
      <c r="J101" s="118"/>
      <c r="K101" s="118"/>
      <c r="L101" s="118"/>
      <c r="M101" s="118"/>
      <c r="N101" s="118"/>
      <c r="O101" s="113"/>
      <c r="AS101" s="244"/>
      <c r="AT101" s="244"/>
      <c r="AU101" s="244"/>
      <c r="AV101" s="244"/>
      <c r="AW101" s="244"/>
      <c r="AX101" s="244"/>
      <c r="AY101" s="244"/>
      <c r="AZ101" s="244"/>
      <c r="BA101" s="244"/>
      <c r="BB101" s="244"/>
      <c r="BC101" s="244"/>
      <c r="BD101" s="244"/>
      <c r="BE101" s="244"/>
      <c r="BF101" s="244"/>
      <c r="BG101" s="244"/>
      <c r="BH101" s="244"/>
      <c r="BI101" s="244"/>
      <c r="BJ101" s="244"/>
      <c r="BK101" s="244"/>
      <c r="BL101" s="244"/>
      <c r="BM101" s="244"/>
      <c r="BN101" s="244"/>
      <c r="BO101" s="244"/>
      <c r="BP101" s="244"/>
      <c r="BQ101" s="244"/>
      <c r="BR101" s="244"/>
      <c r="BS101" s="244"/>
      <c r="BT101" s="244"/>
      <c r="BU101" s="244"/>
      <c r="BV101" s="244"/>
      <c r="BW101" s="244"/>
      <c r="BX101" s="244"/>
      <c r="BY101" s="244"/>
      <c r="BZ101" s="244"/>
      <c r="CA101" s="244"/>
      <c r="CB101" s="244"/>
      <c r="CC101" s="244"/>
      <c r="CD101" s="244"/>
      <c r="CE101" s="244"/>
      <c r="CF101" s="244"/>
    </row>
    <row r="102" ht="18" customHeight="1">
      <c r="E102" s="115"/>
      <c r="F102" s="115"/>
      <c r="G102" s="115"/>
      <c r="Y102" s="121"/>
      <c r="AB102" s="0"/>
      <c r="AC102" s="0"/>
      <c r="AD102" s="0"/>
      <c r="AE102" s="100"/>
      <c r="AI102" s="0"/>
      <c r="AS102" s="244"/>
      <c r="AT102" s="244"/>
      <c r="AU102" s="244"/>
      <c r="AV102" s="244"/>
      <c r="AW102" s="244"/>
      <c r="AX102" s="244"/>
      <c r="AY102" s="244"/>
      <c r="AZ102" s="244"/>
      <c r="BA102" s="244"/>
      <c r="BB102" s="244"/>
      <c r="BC102" s="244"/>
      <c r="BD102" s="244"/>
      <c r="BE102" s="244"/>
      <c r="BF102" s="244"/>
      <c r="BG102" s="244"/>
      <c r="BH102" s="244"/>
      <c r="BI102" s="244"/>
      <c r="BJ102" s="244"/>
      <c r="BK102" s="244"/>
      <c r="BL102" s="244"/>
      <c r="BM102" s="244"/>
      <c r="BN102" s="244"/>
      <c r="BO102" s="244"/>
      <c r="BP102" s="244"/>
      <c r="BQ102" s="244"/>
      <c r="BR102" s="244"/>
      <c r="BS102" s="244"/>
      <c r="BT102" s="244"/>
      <c r="BU102" s="244"/>
      <c r="BV102" s="244"/>
      <c r="BW102" s="244"/>
      <c r="BX102" s="244"/>
      <c r="BY102" s="244"/>
      <c r="BZ102" s="244"/>
      <c r="CA102" s="244"/>
      <c r="CB102" s="244"/>
      <c r="CC102" s="244"/>
      <c r="CD102" s="244"/>
      <c r="CE102" s="244"/>
      <c r="CF102" s="244"/>
    </row>
    <row r="103" ht="39.95" customHeight="1">
      <c r="B103"/>
      <c r="C103" s="713" t="s">
        <v>114</v>
      </c>
      <c r="D103" s="713"/>
      <c r="E103" s="713"/>
      <c r="F103" s="713"/>
      <c r="G103" s="713"/>
      <c r="H103" s="713"/>
      <c r="I103" s="713"/>
      <c r="J103" s="713"/>
      <c r="K103" s="713"/>
      <c r="L103" s="713"/>
      <c r="M103" s="713"/>
      <c r="N103" s="713"/>
      <c r="O103" s="713"/>
      <c r="P103" s="713"/>
      <c r="Q103" s="713"/>
      <c r="R103" s="713"/>
      <c r="S103" s="713"/>
      <c r="T103" s="713"/>
      <c r="U103" s="713"/>
      <c r="V103" s="713"/>
      <c r="W103" s="713"/>
      <c r="X103" s="713"/>
      <c r="Y103" s="713"/>
      <c r="Z103" s="713"/>
      <c r="AA103" s="713"/>
      <c r="AB103" s="713"/>
      <c r="AC103" s="713"/>
      <c r="AD103" s="713"/>
      <c r="AE103" s="713"/>
      <c r="AF103" s="713"/>
      <c r="AG103" s="713"/>
      <c r="AH103" s="713"/>
      <c r="AI103" s="713"/>
      <c r="AJ103" s="713"/>
      <c r="AK103" s="713"/>
      <c r="AL103" s="713"/>
      <c r="AM103" s="713"/>
      <c r="AN103" s="713"/>
      <c r="AO103" s="713"/>
      <c r="AS103" s="244"/>
      <c r="AT103" s="244"/>
      <c r="AU103" s="244"/>
      <c r="AV103" s="244"/>
      <c r="AW103" s="244"/>
      <c r="AX103" s="244"/>
      <c r="AY103" s="244"/>
      <c r="AZ103" s="244"/>
      <c r="BA103" s="244"/>
      <c r="BB103" s="244"/>
      <c r="BC103" s="244"/>
      <c r="BD103" s="244"/>
      <c r="BE103" s="244"/>
      <c r="BF103" s="244"/>
      <c r="BG103" s="244"/>
      <c r="BH103" s="244"/>
      <c r="BI103" s="244"/>
      <c r="BJ103" s="244"/>
      <c r="BK103" s="244"/>
      <c r="BL103" s="244"/>
      <c r="BM103" s="244"/>
      <c r="BN103" s="244"/>
      <c r="BO103" s="244"/>
      <c r="BP103" s="244"/>
      <c r="BQ103" s="244"/>
      <c r="BR103" s="244"/>
      <c r="BS103" s="244"/>
      <c r="BT103" s="244"/>
      <c r="BU103" s="244"/>
      <c r="BV103" s="244"/>
      <c r="BW103" s="244"/>
      <c r="BX103" s="244"/>
      <c r="BY103" s="244"/>
      <c r="BZ103" s="244"/>
      <c r="CA103" s="244"/>
      <c r="CB103" s="244"/>
      <c r="CC103" s="244"/>
      <c r="CD103" s="244"/>
      <c r="CE103" s="244"/>
      <c r="CF103" s="244"/>
    </row>
    <row r="104" s="117" customFormat="1" ht="18" customHeight="1">
      <c r="E104" s="63"/>
      <c r="F104" s="63"/>
      <c r="G104" s="63"/>
      <c r="H104"/>
      <c r="I104"/>
      <c r="J104"/>
      <c r="K104"/>
      <c r="L104"/>
      <c r="M104"/>
      <c r="N104"/>
      <c r="O104"/>
      <c r="P104"/>
      <c r="Q104"/>
      <c r="R104"/>
      <c r="S104"/>
      <c r="T104"/>
      <c r="U104"/>
      <c r="V104"/>
      <c r="W104"/>
      <c r="X104"/>
      <c r="Y104"/>
      <c r="Z104"/>
      <c r="AS104" s="247"/>
      <c r="AT104" s="247"/>
      <c r="AU104" s="247"/>
      <c r="AV104" s="247"/>
      <c r="AW104" s="247"/>
      <c r="AX104" s="247"/>
      <c r="AY104" s="247"/>
      <c r="AZ104" s="247"/>
      <c r="BA104" s="247"/>
      <c r="BB104" s="247"/>
      <c r="BC104" s="247"/>
      <c r="BD104" s="247"/>
      <c r="BE104" s="247"/>
      <c r="BF104" s="247"/>
      <c r="BG104" s="247"/>
      <c r="BH104" s="247"/>
      <c r="BI104" s="247"/>
      <c r="BJ104" s="247"/>
      <c r="BK104" s="247"/>
      <c r="BL104" s="247"/>
      <c r="BM104" s="247"/>
      <c r="BN104" s="247"/>
      <c r="BO104" s="247"/>
      <c r="BP104" s="247"/>
      <c r="BQ104" s="247"/>
      <c r="BR104" s="247"/>
      <c r="BS104" s="247"/>
      <c r="BT104" s="247"/>
      <c r="BU104" s="247"/>
      <c r="BV104" s="247"/>
      <c r="BW104" s="247"/>
      <c r="BX104" s="247"/>
      <c r="BY104" s="247"/>
      <c r="BZ104" s="247"/>
      <c r="CA104" s="247"/>
      <c r="CB104" s="247"/>
      <c r="CC104" s="247"/>
      <c r="CD104" s="247"/>
      <c r="CE104" s="247"/>
      <c r="CF104" s="247"/>
    </row>
    <row r="105" ht="12.75" customHeight="1">
      <c r="A105" s="714"/>
      <c r="B105" s="714"/>
      <c r="C105" s="714"/>
      <c r="D105" s="714"/>
      <c r="E105" s="714"/>
      <c r="F105" s="714"/>
      <c r="G105" s="714"/>
      <c r="H105" s="714"/>
      <c r="I105" s="714"/>
      <c r="J105" s="714"/>
      <c r="K105" s="714"/>
      <c r="L105" s="714"/>
      <c r="M105" s="714"/>
      <c r="N105" s="714"/>
      <c r="O105" s="714"/>
      <c r="P105" s="714"/>
      <c r="Q105" s="714"/>
      <c r="R105" s="714"/>
      <c r="S105" s="714"/>
      <c r="T105" s="714"/>
      <c r="U105" s="714"/>
      <c r="V105" s="714"/>
      <c r="W105" s="714"/>
      <c r="X105" s="714"/>
      <c r="Y105" s="714"/>
      <c r="Z105" s="714"/>
      <c r="AA105" s="714"/>
      <c r="AB105" s="714"/>
      <c r="AC105" s="714"/>
      <c r="AD105" s="714"/>
      <c r="AE105" s="714"/>
      <c r="AF105" s="714"/>
      <c r="AG105" s="714"/>
      <c r="AH105" s="714"/>
      <c r="AI105" s="714"/>
      <c r="AJ105" s="714"/>
      <c r="AK105" s="714"/>
      <c r="AL105" s="714"/>
      <c r="AM105" s="714"/>
      <c r="AN105" s="714"/>
      <c r="AO105" s="714"/>
      <c r="AP105" s="714"/>
      <c r="AQ105" s="714"/>
      <c r="AR105" s="714"/>
      <c r="AS105" s="714"/>
      <c r="AT105" s="714"/>
      <c r="AU105" s="714"/>
      <c r="AV105" s="714"/>
      <c r="AW105" s="714"/>
      <c r="AX105" s="714"/>
      <c r="AY105" s="714"/>
      <c r="AZ105" s="714"/>
      <c r="BA105" s="714"/>
      <c r="BB105" s="714"/>
      <c r="BC105" s="714"/>
      <c r="BD105" s="714"/>
      <c r="BE105" s="714"/>
      <c r="BF105" s="714"/>
      <c r="BG105" s="714"/>
      <c r="BH105" s="714"/>
      <c r="BI105" s="714"/>
      <c r="BJ105" s="714"/>
      <c r="BK105" s="714"/>
      <c r="BL105" s="714"/>
      <c r="BM105" s="714"/>
      <c r="BN105" s="714"/>
      <c r="BO105" s="714"/>
      <c r="BP105" s="714"/>
      <c r="BQ105" s="714"/>
      <c r="BR105" s="244"/>
      <c r="BS105" s="244"/>
      <c r="BT105" s="244"/>
      <c r="BU105" s="244"/>
      <c r="BV105" s="244"/>
      <c r="BW105" s="244"/>
      <c r="BX105" s="244"/>
      <c r="BY105" s="244"/>
      <c r="BZ105" s="244"/>
      <c r="CA105" s="244"/>
      <c r="CB105" s="244"/>
      <c r="CC105" s="244"/>
      <c r="CD105" s="244"/>
      <c r="CE105" s="244"/>
      <c r="CF105" s="244"/>
    </row>
    <row r="106" ht="12.75" customHeight="1">
      <c r="A106" s="714"/>
      <c r="B106" s="714"/>
      <c r="C106" s="714"/>
      <c r="D106" s="714"/>
      <c r="E106" s="714"/>
      <c r="F106" s="714"/>
      <c r="G106" s="714"/>
      <c r="H106" s="714"/>
      <c r="I106" s="714"/>
      <c r="J106" s="714"/>
      <c r="K106" s="714"/>
      <c r="L106" s="714"/>
      <c r="M106" s="714"/>
      <c r="N106" s="714"/>
      <c r="O106" s="714"/>
      <c r="P106" s="714"/>
      <c r="Q106" s="714"/>
      <c r="R106" s="714"/>
      <c r="S106" s="714"/>
      <c r="T106" s="714"/>
      <c r="U106" s="714"/>
      <c r="V106" s="714"/>
      <c r="W106" s="714"/>
      <c r="X106" s="714"/>
      <c r="Y106" s="714"/>
      <c r="Z106" s="714"/>
      <c r="AA106" s="714"/>
      <c r="AB106" s="714"/>
      <c r="AC106" s="714"/>
      <c r="AD106" s="714"/>
      <c r="AE106" s="714"/>
      <c r="AF106" s="714"/>
      <c r="AG106" s="714"/>
      <c r="AH106" s="714"/>
      <c r="AI106" s="714"/>
      <c r="AJ106" s="714"/>
      <c r="AK106" s="714"/>
      <c r="AL106" s="714"/>
      <c r="AM106" s="714"/>
      <c r="AN106" s="714"/>
      <c r="AO106" s="714"/>
      <c r="AP106" s="714"/>
      <c r="AQ106" s="714"/>
      <c r="AR106" s="714"/>
      <c r="AS106" s="714"/>
      <c r="AT106" s="714"/>
      <c r="AU106" s="714"/>
      <c r="AV106" s="714"/>
      <c r="AW106" s="714"/>
      <c r="AX106" s="714"/>
      <c r="AY106" s="714"/>
      <c r="AZ106" s="714"/>
      <c r="BA106" s="714"/>
      <c r="BB106" s="714"/>
      <c r="BC106" s="714"/>
      <c r="BD106" s="714"/>
      <c r="BE106" s="714"/>
      <c r="BF106" s="714"/>
      <c r="BG106" s="714"/>
      <c r="BH106" s="714"/>
      <c r="BI106" s="714"/>
      <c r="BJ106" s="714"/>
      <c r="BK106" s="714"/>
      <c r="BL106" s="714"/>
      <c r="BM106" s="714"/>
      <c r="BN106" s="714"/>
      <c r="BO106" s="714"/>
      <c r="BP106" s="714"/>
      <c r="BQ106" s="714"/>
      <c r="BR106" s="244"/>
      <c r="BS106" s="244"/>
      <c r="BT106" s="244"/>
      <c r="BU106" s="244"/>
      <c r="BV106" s="244"/>
      <c r="BW106" s="244"/>
      <c r="BX106" s="244"/>
      <c r="BY106" s="244"/>
      <c r="BZ106" s="244"/>
      <c r="CA106" s="244"/>
      <c r="CB106" s="244"/>
      <c r="CC106" s="244"/>
      <c r="CD106" s="244"/>
      <c r="CE106" s="244"/>
      <c r="CF106" s="244"/>
    </row>
    <row r="107" ht="12.75" customHeight="1">
      <c r="A107" s="714"/>
      <c r="B107" s="714"/>
      <c r="C107" s="714"/>
      <c r="D107" s="714"/>
      <c r="E107" s="714"/>
      <c r="F107" s="714"/>
      <c r="G107" s="714"/>
      <c r="H107" s="714"/>
      <c r="I107" s="714"/>
      <c r="J107" s="714"/>
      <c r="K107" s="714"/>
      <c r="L107" s="714"/>
      <c r="M107" s="714"/>
      <c r="N107" s="714"/>
      <c r="O107" s="714"/>
      <c r="P107" s="714"/>
      <c r="Q107" s="714"/>
      <c r="R107" s="714"/>
      <c r="S107" s="714"/>
      <c r="T107" s="714"/>
      <c r="U107" s="714"/>
      <c r="V107" s="714"/>
      <c r="W107" s="714"/>
      <c r="X107" s="714"/>
      <c r="Y107" s="714"/>
      <c r="Z107" s="714"/>
      <c r="AA107" s="714"/>
      <c r="AB107" s="714"/>
      <c r="AC107" s="714"/>
      <c r="AD107" s="714"/>
      <c r="AE107" s="714"/>
      <c r="AF107" s="714"/>
      <c r="AG107" s="714"/>
      <c r="AH107" s="714"/>
      <c r="AI107" s="714"/>
      <c r="AJ107" s="714"/>
      <c r="AK107" s="714"/>
      <c r="AL107" s="714"/>
      <c r="AM107" s="714"/>
      <c r="AN107" s="714"/>
      <c r="AO107" s="714"/>
      <c r="AP107" s="714"/>
      <c r="AQ107" s="714"/>
      <c r="AR107" s="714"/>
      <c r="AS107" s="714"/>
      <c r="AT107" s="714"/>
      <c r="AU107" s="714"/>
      <c r="AV107" s="714"/>
      <c r="AW107" s="714"/>
      <c r="AX107" s="714"/>
      <c r="AY107" s="714"/>
      <c r="AZ107" s="714"/>
      <c r="BA107" s="714"/>
      <c r="BB107" s="714"/>
      <c r="BC107" s="714"/>
      <c r="BD107" s="714"/>
      <c r="BE107" s="714"/>
      <c r="BF107" s="714"/>
      <c r="BG107" s="714"/>
      <c r="BH107" s="714"/>
      <c r="BI107" s="714"/>
      <c r="BJ107" s="714"/>
      <c r="BK107" s="714"/>
      <c r="BL107" s="714"/>
      <c r="BM107" s="714"/>
      <c r="BN107" s="714"/>
      <c r="BO107" s="714"/>
      <c r="BP107" s="714"/>
      <c r="BQ107" s="714"/>
      <c r="BR107" s="244"/>
      <c r="BS107" s="244"/>
      <c r="BT107" s="244"/>
      <c r="BU107" s="244"/>
      <c r="BV107" s="244"/>
      <c r="BW107" s="244"/>
      <c r="BX107" s="244"/>
      <c r="BY107" s="244"/>
      <c r="BZ107" s="244"/>
      <c r="CA107" s="244"/>
      <c r="CB107" s="244"/>
      <c r="CC107" s="244"/>
      <c r="CD107" s="244"/>
      <c r="CE107" s="244"/>
      <c r="CF107" s="244"/>
    </row>
    <row r="108" ht="12.75" customHeight="1">
      <c r="A108" s="714"/>
      <c r="B108" s="714"/>
      <c r="C108" s="714"/>
      <c r="D108" s="714"/>
      <c r="E108" s="714"/>
      <c r="F108" s="714"/>
      <c r="G108" s="714"/>
      <c r="H108" s="714"/>
      <c r="I108" s="714"/>
      <c r="J108" s="714"/>
      <c r="K108" s="714"/>
      <c r="L108" s="714"/>
      <c r="M108" s="714"/>
      <c r="N108" s="714"/>
      <c r="O108" s="714"/>
      <c r="P108" s="714"/>
      <c r="Q108" s="714"/>
      <c r="R108" s="714"/>
      <c r="S108" s="714"/>
      <c r="T108" s="714"/>
      <c r="U108" s="714"/>
      <c r="V108" s="714"/>
      <c r="W108" s="714"/>
      <c r="X108" s="714"/>
      <c r="Y108" s="714"/>
      <c r="Z108" s="714"/>
      <c r="AA108" s="714"/>
      <c r="AB108" s="714"/>
      <c r="AC108" s="714"/>
      <c r="AD108" s="714"/>
      <c r="AE108" s="714"/>
      <c r="AF108" s="714"/>
      <c r="AG108" s="714"/>
      <c r="AH108" s="714"/>
      <c r="AI108" s="714"/>
      <c r="AJ108" s="714"/>
      <c r="AK108" s="714"/>
      <c r="AL108" s="714"/>
      <c r="AM108" s="714"/>
      <c r="AN108" s="714"/>
      <c r="AO108" s="714"/>
      <c r="AP108" s="714"/>
      <c r="AQ108" s="714"/>
      <c r="AR108" s="714"/>
      <c r="AS108" s="714"/>
      <c r="AT108" s="714"/>
      <c r="AU108" s="714"/>
      <c r="AV108" s="714"/>
      <c r="AW108" s="714"/>
      <c r="AX108" s="714"/>
      <c r="AY108" s="714"/>
      <c r="AZ108" s="714"/>
      <c r="BA108" s="714"/>
      <c r="BB108" s="714"/>
      <c r="BC108" s="714"/>
      <c r="BD108" s="714"/>
      <c r="BE108" s="714"/>
      <c r="BF108" s="714"/>
      <c r="BG108" s="714"/>
      <c r="BH108" s="714"/>
      <c r="BI108" s="714"/>
      <c r="BJ108" s="714"/>
      <c r="BK108" s="714"/>
      <c r="BL108" s="714"/>
      <c r="BM108" s="714"/>
      <c r="BN108" s="714"/>
      <c r="BO108" s="714"/>
      <c r="BP108" s="714"/>
      <c r="BQ108" s="714"/>
      <c r="BR108" s="244"/>
      <c r="BS108" s="244"/>
      <c r="BT108" s="244"/>
      <c r="BU108" s="244"/>
      <c r="BV108" s="244"/>
      <c r="BW108" s="244"/>
      <c r="BX108" s="244"/>
      <c r="BY108" s="244"/>
      <c r="BZ108" s="244"/>
      <c r="CA108" s="244"/>
      <c r="CB108" s="244"/>
      <c r="CC108" s="244"/>
      <c r="CD108" s="244"/>
      <c r="CE108" s="244"/>
      <c r="CF108" s="244"/>
    </row>
    <row r="109" ht="12.75" customHeight="1">
      <c r="A109" s="714"/>
      <c r="B109" s="714"/>
      <c r="C109" s="714"/>
      <c r="D109" s="714"/>
      <c r="E109" s="714"/>
      <c r="F109" s="714"/>
      <c r="G109" s="714"/>
      <c r="H109" s="714"/>
      <c r="I109" s="714"/>
      <c r="J109" s="714"/>
      <c r="K109" s="714"/>
      <c r="L109" s="714"/>
      <c r="M109" s="714"/>
      <c r="N109" s="714"/>
      <c r="O109" s="714"/>
      <c r="P109" s="714"/>
      <c r="Q109" s="714"/>
      <c r="R109" s="714"/>
      <c r="S109" s="714"/>
      <c r="T109" s="714"/>
      <c r="U109" s="714"/>
      <c r="V109" s="714"/>
      <c r="W109" s="714"/>
      <c r="X109" s="714"/>
      <c r="Y109" s="714"/>
      <c r="Z109" s="714"/>
      <c r="AA109" s="714"/>
      <c r="AB109" s="714"/>
      <c r="AC109" s="714"/>
      <c r="AD109" s="714"/>
      <c r="AE109" s="714"/>
      <c r="AF109" s="714"/>
      <c r="AG109" s="714"/>
      <c r="AH109" s="714"/>
      <c r="AI109" s="714"/>
      <c r="AJ109" s="714"/>
      <c r="AK109" s="714"/>
      <c r="AL109" s="714"/>
      <c r="AM109" s="714"/>
      <c r="AN109" s="714"/>
      <c r="AO109" s="714"/>
      <c r="AP109" s="714"/>
      <c r="AQ109" s="714"/>
      <c r="AR109" s="714"/>
      <c r="AS109" s="714"/>
      <c r="AT109" s="714"/>
      <c r="AU109" s="714"/>
      <c r="AV109" s="714"/>
      <c r="AW109" s="714"/>
      <c r="AX109" s="714"/>
      <c r="AY109" s="714"/>
      <c r="AZ109" s="714"/>
      <c r="BA109" s="714"/>
      <c r="BB109" s="714"/>
      <c r="BC109" s="714"/>
      <c r="BD109" s="714"/>
      <c r="BE109" s="714"/>
      <c r="BF109" s="714"/>
      <c r="BG109" s="714"/>
      <c r="BH109" s="714"/>
      <c r="BI109" s="714"/>
      <c r="BJ109" s="714"/>
      <c r="BK109" s="714"/>
      <c r="BL109" s="714"/>
      <c r="BM109" s="714"/>
      <c r="BN109" s="714"/>
      <c r="BO109" s="714"/>
      <c r="BP109" s="714"/>
      <c r="BQ109" s="714"/>
      <c r="BR109" s="244"/>
      <c r="BS109" s="244"/>
      <c r="BT109" s="244"/>
      <c r="BU109" s="244"/>
      <c r="BV109" s="244"/>
      <c r="BW109" s="244"/>
      <c r="BX109" s="244"/>
      <c r="BY109" s="244"/>
      <c r="BZ109" s="244"/>
      <c r="CA109" s="244"/>
      <c r="CB109" s="244"/>
      <c r="CC109" s="244"/>
      <c r="CD109" s="244"/>
      <c r="CE109" s="244"/>
      <c r="CF109" s="244"/>
    </row>
    <row r="110" ht="12.75" customHeight="1">
      <c r="A110" s="714"/>
      <c r="B110" s="714"/>
      <c r="C110" s="714"/>
      <c r="D110" s="714"/>
      <c r="E110" s="714"/>
      <c r="F110" s="714"/>
      <c r="G110" s="714"/>
      <c r="H110" s="714"/>
      <c r="I110" s="714"/>
      <c r="J110" s="714"/>
      <c r="K110" s="714"/>
      <c r="L110" s="714"/>
      <c r="M110" s="714"/>
      <c r="N110" s="714"/>
      <c r="O110" s="714"/>
      <c r="P110" s="714"/>
      <c r="Q110" s="714"/>
      <c r="R110" s="714"/>
      <c r="S110" s="714"/>
      <c r="T110" s="714"/>
      <c r="U110" s="714"/>
      <c r="V110" s="714"/>
      <c r="W110" s="714"/>
      <c r="X110" s="714"/>
      <c r="Y110" s="714"/>
      <c r="Z110" s="714"/>
      <c r="AA110" s="714"/>
      <c r="AB110" s="714"/>
      <c r="AC110" s="714"/>
      <c r="AD110" s="714"/>
      <c r="AE110" s="714"/>
      <c r="AF110" s="714"/>
      <c r="AG110" s="714"/>
      <c r="AH110" s="714"/>
      <c r="AI110" s="714"/>
      <c r="AJ110" s="714"/>
      <c r="AK110" s="714"/>
      <c r="AL110" s="714"/>
      <c r="AM110" s="714"/>
      <c r="AN110" s="714"/>
      <c r="AO110" s="714"/>
      <c r="AP110" s="714"/>
      <c r="AQ110" s="714"/>
      <c r="AR110" s="714"/>
      <c r="AS110" s="714"/>
      <c r="AT110" s="714"/>
      <c r="AU110" s="714"/>
      <c r="AV110" s="714"/>
      <c r="AW110" s="714"/>
      <c r="AX110" s="714"/>
      <c r="AY110" s="714"/>
      <c r="AZ110" s="714"/>
      <c r="BA110" s="714"/>
      <c r="BB110" s="714"/>
      <c r="BC110" s="714"/>
      <c r="BD110" s="714"/>
      <c r="BE110" s="714"/>
      <c r="BF110" s="714"/>
      <c r="BG110" s="714"/>
      <c r="BH110" s="714"/>
      <c r="BI110" s="714"/>
      <c r="BJ110" s="714"/>
      <c r="BK110" s="714"/>
      <c r="BL110" s="714"/>
      <c r="BM110" s="714"/>
      <c r="BN110" s="714"/>
      <c r="BO110" s="714"/>
      <c r="BP110" s="714"/>
      <c r="BQ110" s="714"/>
      <c r="BR110" s="244"/>
      <c r="BS110" s="244"/>
      <c r="BT110" s="244"/>
      <c r="BU110" s="244"/>
      <c r="BV110" s="244"/>
      <c r="BW110" s="244"/>
      <c r="BX110" s="244"/>
      <c r="BY110" s="244"/>
      <c r="BZ110" s="244"/>
      <c r="CA110" s="244"/>
      <c r="CB110" s="244"/>
      <c r="CC110" s="244"/>
      <c r="CD110" s="244"/>
      <c r="CE110" s="244"/>
      <c r="CF110" s="244"/>
    </row>
    <row r="111" ht="12.75" customHeight="1">
      <c r="A111" s="714"/>
      <c r="B111" s="714"/>
      <c r="C111" s="714"/>
      <c r="D111" s="714"/>
      <c r="E111" s="714"/>
      <c r="F111" s="714"/>
      <c r="G111" s="714"/>
      <c r="H111" s="714"/>
      <c r="I111" s="714"/>
      <c r="J111" s="714"/>
      <c r="K111" s="714"/>
      <c r="L111" s="714"/>
      <c r="M111" s="714"/>
      <c r="N111" s="714"/>
      <c r="O111" s="714"/>
      <c r="P111" s="714"/>
      <c r="Q111" s="714"/>
      <c r="R111" s="714"/>
      <c r="S111" s="714"/>
      <c r="T111" s="714"/>
      <c r="U111" s="714"/>
      <c r="V111" s="714"/>
      <c r="W111" s="714"/>
      <c r="X111" s="714"/>
      <c r="Y111" s="714"/>
      <c r="Z111" s="714"/>
      <c r="AA111" s="714"/>
      <c r="AB111" s="714"/>
      <c r="AC111" s="714"/>
      <c r="AD111" s="714"/>
      <c r="AE111" s="714"/>
      <c r="AF111" s="714"/>
      <c r="AG111" s="714"/>
      <c r="AH111" s="714"/>
      <c r="AI111" s="714"/>
      <c r="AJ111" s="714"/>
      <c r="AK111" s="714"/>
      <c r="AL111" s="714"/>
      <c r="AM111" s="714"/>
      <c r="AN111" s="714"/>
      <c r="AO111" s="714"/>
      <c r="AP111" s="714"/>
      <c r="AQ111" s="714"/>
      <c r="AR111" s="714"/>
      <c r="AS111" s="714"/>
      <c r="AT111" s="714"/>
      <c r="AU111" s="714"/>
      <c r="AV111" s="714"/>
      <c r="AW111" s="714"/>
      <c r="AX111" s="714"/>
      <c r="AY111" s="714"/>
      <c r="AZ111" s="714"/>
      <c r="BA111" s="714"/>
      <c r="BB111" s="714"/>
      <c r="BC111" s="714"/>
      <c r="BD111" s="714"/>
      <c r="BE111" s="714"/>
      <c r="BF111" s="714"/>
      <c r="BG111" s="714"/>
      <c r="BH111" s="714"/>
      <c r="BI111" s="714"/>
      <c r="BJ111" s="714"/>
      <c r="BK111" s="714"/>
      <c r="BL111" s="714"/>
      <c r="BM111" s="714"/>
      <c r="BN111" s="714"/>
      <c r="BO111" s="714"/>
      <c r="BP111" s="714"/>
      <c r="BQ111" s="714"/>
      <c r="BR111" s="244"/>
      <c r="BS111" s="244"/>
      <c r="BT111" s="244"/>
      <c r="BU111" s="244"/>
      <c r="BV111" s="244"/>
      <c r="BW111" s="244"/>
      <c r="BX111" s="244"/>
      <c r="BY111" s="244"/>
      <c r="BZ111" s="244"/>
      <c r="CA111" s="244"/>
      <c r="CB111" s="244"/>
      <c r="CC111" s="244"/>
      <c r="CD111" s="244"/>
      <c r="CE111" s="244"/>
      <c r="CF111" s="244"/>
    </row>
    <row r="112" ht="12.75" customHeight="1">
      <c r="A112" s="714"/>
      <c r="B112" s="714"/>
      <c r="C112" s="714"/>
      <c r="D112" s="714"/>
      <c r="E112" s="714"/>
      <c r="F112" s="714"/>
      <c r="G112" s="714"/>
      <c r="H112" s="714"/>
      <c r="I112" s="714"/>
      <c r="J112" s="714"/>
      <c r="K112" s="714"/>
      <c r="L112" s="714"/>
      <c r="M112" s="714"/>
      <c r="N112" s="714"/>
      <c r="O112" s="714"/>
      <c r="P112" s="714"/>
      <c r="Q112" s="714"/>
      <c r="R112" s="714"/>
      <c r="S112" s="714"/>
      <c r="T112" s="714"/>
      <c r="U112" s="714"/>
      <c r="V112" s="714"/>
      <c r="W112" s="714"/>
      <c r="X112" s="714"/>
      <c r="Y112" s="714"/>
      <c r="Z112" s="714"/>
      <c r="AA112" s="714"/>
      <c r="AB112" s="714"/>
      <c r="AC112" s="714"/>
      <c r="AD112" s="714"/>
      <c r="AE112" s="714"/>
      <c r="AF112" s="714"/>
      <c r="AG112" s="714"/>
      <c r="AH112" s="714"/>
      <c r="AI112" s="714"/>
      <c r="AJ112" s="714"/>
      <c r="AK112" s="714"/>
      <c r="AL112" s="714"/>
      <c r="AM112" s="714"/>
      <c r="AN112" s="714"/>
      <c r="AO112" s="714"/>
      <c r="AP112" s="714"/>
      <c r="AQ112" s="714"/>
      <c r="AR112" s="714"/>
      <c r="AS112" s="714"/>
      <c r="AT112" s="714"/>
      <c r="AU112" s="714"/>
      <c r="AV112" s="714"/>
      <c r="AW112" s="714"/>
      <c r="AX112" s="714"/>
      <c r="AY112" s="714"/>
      <c r="AZ112" s="714"/>
      <c r="BA112" s="714"/>
      <c r="BB112" s="714"/>
      <c r="BC112" s="714"/>
      <c r="BD112" s="714"/>
      <c r="BE112" s="714"/>
      <c r="BF112" s="714"/>
      <c r="BG112" s="714"/>
      <c r="BH112" s="714"/>
      <c r="BI112" s="714"/>
      <c r="BJ112" s="714"/>
      <c r="BK112" s="714"/>
      <c r="BL112" s="714"/>
      <c r="BM112" s="714"/>
      <c r="BN112" s="714"/>
      <c r="BO112" s="714"/>
      <c r="BP112" s="714"/>
      <c r="BQ112" s="714"/>
      <c r="BR112" s="244"/>
      <c r="BS112" s="244"/>
      <c r="BT112" s="244"/>
      <c r="BU112" s="244"/>
      <c r="BV112" s="244"/>
      <c r="BW112" s="244"/>
      <c r="BX112" s="244"/>
      <c r="BY112" s="244"/>
      <c r="BZ112" s="244"/>
      <c r="CA112" s="244"/>
      <c r="CB112" s="244"/>
      <c r="CC112" s="244"/>
      <c r="CD112" s="244"/>
      <c r="CE112" s="244"/>
      <c r="CF112" s="244"/>
    </row>
    <row r="113" ht="12.75" customHeight="1">
      <c r="A113" s="714"/>
      <c r="B113" s="714"/>
      <c r="C113" s="714"/>
      <c r="D113" s="714"/>
      <c r="E113" s="714"/>
      <c r="F113" s="714"/>
      <c r="G113" s="714"/>
      <c r="H113" s="714"/>
      <c r="I113" s="714"/>
      <c r="J113" s="714"/>
      <c r="K113" s="714"/>
      <c r="L113" s="714"/>
      <c r="M113" s="714"/>
      <c r="N113" s="714"/>
      <c r="O113" s="714"/>
      <c r="P113" s="714"/>
      <c r="Q113" s="714"/>
      <c r="R113" s="714"/>
      <c r="S113" s="714"/>
      <c r="T113" s="714"/>
      <c r="U113" s="714"/>
      <c r="V113" s="714"/>
      <c r="W113" s="714"/>
      <c r="X113" s="714"/>
      <c r="Y113" s="714"/>
      <c r="Z113" s="714"/>
      <c r="AA113" s="714"/>
      <c r="AB113" s="714"/>
      <c r="AC113" s="714"/>
      <c r="AD113" s="714"/>
      <c r="AE113" s="714"/>
      <c r="AF113" s="714"/>
      <c r="AG113" s="714"/>
      <c r="AH113" s="714"/>
      <c r="AI113" s="714"/>
      <c r="AJ113" s="714"/>
      <c r="AK113" s="714"/>
      <c r="AL113" s="714"/>
      <c r="AM113" s="714"/>
      <c r="AN113" s="714"/>
      <c r="AO113" s="714"/>
      <c r="AP113" s="714"/>
      <c r="AQ113" s="714"/>
      <c r="AR113" s="714"/>
      <c r="AS113" s="714"/>
      <c r="AT113" s="714"/>
      <c r="AU113" s="714"/>
      <c r="AV113" s="714"/>
      <c r="AW113" s="714"/>
      <c r="AX113" s="714"/>
      <c r="AY113" s="714"/>
      <c r="AZ113" s="714"/>
      <c r="BA113" s="714"/>
      <c r="BB113" s="714"/>
      <c r="BC113" s="714"/>
      <c r="BD113" s="714"/>
      <c r="BE113" s="714"/>
      <c r="BF113" s="714"/>
      <c r="BG113" s="714"/>
      <c r="BH113" s="714"/>
      <c r="BI113" s="714"/>
      <c r="BJ113" s="714"/>
      <c r="BK113" s="714"/>
      <c r="BL113" s="714"/>
      <c r="BM113" s="714"/>
      <c r="BN113" s="714"/>
      <c r="BO113" s="714"/>
      <c r="BP113" s="714"/>
      <c r="BQ113" s="714"/>
      <c r="BR113" s="244"/>
      <c r="BS113" s="244"/>
      <c r="BT113" s="244"/>
      <c r="BU113" s="244"/>
      <c r="BV113" s="244"/>
      <c r="BW113" s="244"/>
      <c r="BX113" s="244"/>
      <c r="BY113" s="244"/>
      <c r="BZ113" s="244"/>
      <c r="CA113" s="244"/>
      <c r="CB113" s="244"/>
      <c r="CC113" s="244"/>
      <c r="CD113" s="244"/>
      <c r="CE113" s="244"/>
      <c r="CF113" s="244"/>
    </row>
    <row r="114">
      <c r="A114" s="714"/>
      <c r="B114" s="714"/>
      <c r="C114" s="714"/>
      <c r="D114" s="714"/>
      <c r="E114" s="714"/>
      <c r="F114" s="714"/>
      <c r="G114" s="714"/>
      <c r="H114" s="714"/>
      <c r="I114" s="714"/>
      <c r="J114" s="714"/>
      <c r="K114" s="714"/>
      <c r="L114" s="714"/>
      <c r="M114" s="714"/>
      <c r="N114" s="714"/>
      <c r="O114" s="714"/>
      <c r="P114" s="714"/>
      <c r="Q114" s="714"/>
      <c r="R114" s="714"/>
      <c r="S114" s="714"/>
      <c r="T114" s="714"/>
      <c r="U114" s="714"/>
      <c r="V114" s="714"/>
      <c r="W114" s="714"/>
      <c r="X114" s="714"/>
      <c r="Y114" s="714"/>
      <c r="Z114" s="714"/>
      <c r="AA114" s="714"/>
      <c r="AB114" s="714"/>
      <c r="AC114" s="714"/>
      <c r="AD114" s="714"/>
      <c r="AE114" s="714"/>
      <c r="AF114" s="714"/>
      <c r="AG114" s="714"/>
      <c r="AH114" s="714"/>
      <c r="AI114" s="714"/>
      <c r="AJ114" s="714"/>
      <c r="AK114" s="714"/>
      <c r="AL114" s="714"/>
      <c r="AM114" s="714"/>
      <c r="AN114" s="714"/>
      <c r="AO114" s="714"/>
      <c r="AP114" s="714"/>
      <c r="AQ114" s="714"/>
      <c r="AR114" s="714"/>
      <c r="AS114" s="714"/>
      <c r="AT114" s="714"/>
      <c r="AU114" s="714"/>
      <c r="AV114" s="714"/>
      <c r="AW114" s="714"/>
      <c r="AX114" s="714"/>
      <c r="AY114" s="714"/>
      <c r="AZ114" s="714"/>
      <c r="BA114" s="714"/>
      <c r="BB114" s="714"/>
      <c r="BC114" s="714"/>
      <c r="BD114" s="714"/>
      <c r="BE114" s="714"/>
      <c r="BF114" s="714"/>
      <c r="BG114" s="714"/>
      <c r="BH114" s="714"/>
      <c r="BI114" s="714"/>
      <c r="BJ114" s="714"/>
      <c r="BK114" s="714"/>
      <c r="BL114" s="714"/>
      <c r="BM114" s="714"/>
      <c r="BN114" s="714"/>
      <c r="BO114" s="714"/>
      <c r="BP114" s="714"/>
      <c r="BQ114" s="714"/>
      <c r="BR114" s="244"/>
      <c r="BS114" s="244"/>
      <c r="BT114" s="244"/>
      <c r="BU114" s="244"/>
      <c r="BV114" s="244"/>
      <c r="BW114" s="244"/>
      <c r="BX114" s="244"/>
      <c r="BY114" s="244"/>
      <c r="BZ114" s="244"/>
      <c r="CA114" s="244"/>
      <c r="CB114" s="244"/>
      <c r="CC114" s="244"/>
      <c r="CD114" s="244"/>
      <c r="CE114" s="244"/>
      <c r="CF114" s="244"/>
    </row>
    <row r="115">
      <c r="A115" s="244"/>
      <c r="B115" s="246"/>
      <c r="C115" s="244"/>
      <c r="D115" s="244"/>
      <c r="E115" s="244"/>
      <c r="F115" s="244"/>
      <c r="G115" s="244"/>
      <c r="H115" s="244"/>
      <c r="I115" s="244"/>
      <c r="J115" s="244"/>
      <c r="K115" s="244"/>
      <c r="L115" s="244"/>
      <c r="M115" s="244"/>
      <c r="N115" s="244"/>
      <c r="O115" s="244"/>
      <c r="P115" s="244"/>
      <c r="Q115" s="244"/>
      <c r="R115" s="244"/>
      <c r="S115" s="244"/>
      <c r="T115" s="244"/>
      <c r="U115" s="244"/>
      <c r="V115" s="244"/>
      <c r="W115" s="244"/>
      <c r="X115" s="244"/>
      <c r="Y115" s="244"/>
      <c r="Z115" s="244"/>
      <c r="AA115" s="244"/>
      <c r="AB115" s="244"/>
      <c r="AC115" s="244"/>
      <c r="AD115" s="244"/>
      <c r="AE115" s="244"/>
      <c r="AF115" s="244"/>
      <c r="AG115" s="244"/>
      <c r="AH115" s="244"/>
      <c r="AI115" s="244"/>
      <c r="AJ115" s="244"/>
      <c r="AK115" s="244"/>
      <c r="AL115" s="244"/>
      <c r="AM115" s="244"/>
      <c r="AN115" s="244"/>
      <c r="AO115" s="244"/>
      <c r="AP115" s="244"/>
      <c r="AQ115" s="244"/>
      <c r="AR115" s="244"/>
      <c r="AS115" s="244"/>
      <c r="AT115" s="244"/>
      <c r="AU115" s="244"/>
      <c r="AV115" s="244"/>
      <c r="AW115" s="244"/>
      <c r="AX115" s="244"/>
      <c r="AY115" s="244"/>
      <c r="AZ115" s="244"/>
      <c r="BA115" s="244"/>
      <c r="BB115" s="244"/>
      <c r="BC115" s="244"/>
      <c r="BD115" s="244"/>
      <c r="BE115" s="244"/>
      <c r="BF115" s="244"/>
      <c r="BG115" s="244"/>
      <c r="BH115" s="244"/>
      <c r="BI115" s="244"/>
      <c r="BJ115" s="244"/>
      <c r="BK115" s="244"/>
      <c r="BL115" s="244"/>
      <c r="BM115" s="244"/>
      <c r="BN115" s="244"/>
      <c r="BO115" s="244"/>
      <c r="BP115" s="244"/>
      <c r="BQ115" s="244"/>
      <c r="BR115" s="244"/>
      <c r="BS115" s="244"/>
      <c r="BT115" s="244"/>
      <c r="BU115" s="244"/>
      <c r="BV115" s="244"/>
      <c r="BW115" s="244"/>
      <c r="BX115" s="244"/>
      <c r="BY115" s="244"/>
      <c r="BZ115" s="244"/>
      <c r="CA115" s="244"/>
      <c r="CB115" s="244"/>
      <c r="CC115" s="244"/>
      <c r="CD115" s="244"/>
      <c r="CE115" s="244"/>
      <c r="CF115" s="244"/>
    </row>
    <row r="116">
      <c r="A116" s="244"/>
      <c r="B116" s="246"/>
      <c r="C116" s="244"/>
      <c r="D116" s="244"/>
      <c r="E116" s="244"/>
      <c r="F116" s="244"/>
      <c r="G116" s="244"/>
      <c r="H116" s="244"/>
      <c r="I116" s="244"/>
      <c r="J116" s="244"/>
      <c r="K116" s="244"/>
      <c r="L116" s="244"/>
      <c r="M116" s="244"/>
      <c r="N116" s="244"/>
      <c r="O116" s="244"/>
      <c r="P116" s="244"/>
      <c r="Q116" s="244"/>
      <c r="R116" s="244"/>
      <c r="S116" s="244"/>
      <c r="T116" s="244"/>
      <c r="U116" s="244"/>
      <c r="V116" s="244"/>
      <c r="W116" s="244"/>
      <c r="X116" s="244"/>
      <c r="Y116" s="244"/>
      <c r="Z116" s="244"/>
      <c r="AA116" s="244"/>
      <c r="AB116" s="244"/>
      <c r="AC116" s="244"/>
      <c r="AD116" s="244"/>
      <c r="AE116" s="244"/>
      <c r="AF116" s="244"/>
      <c r="AG116" s="244"/>
      <c r="AH116" s="244"/>
      <c r="AI116" s="244"/>
      <c r="AJ116" s="244"/>
      <c r="AK116" s="244"/>
      <c r="AL116" s="244"/>
      <c r="AM116" s="244"/>
      <c r="AN116" s="244"/>
      <c r="AO116" s="244"/>
      <c r="AP116" s="244"/>
      <c r="AQ116" s="244"/>
      <c r="AR116" s="244"/>
      <c r="AS116" s="244"/>
      <c r="AT116" s="244"/>
      <c r="AU116" s="244"/>
      <c r="AV116" s="244"/>
      <c r="AW116" s="244"/>
      <c r="AX116" s="244"/>
      <c r="AY116" s="244"/>
      <c r="AZ116" s="244"/>
      <c r="BA116" s="244"/>
      <c r="BB116" s="244"/>
      <c r="BC116" s="244"/>
      <c r="BD116" s="244"/>
      <c r="BE116" s="244"/>
      <c r="BF116" s="244"/>
      <c r="BG116" s="244"/>
      <c r="BH116" s="244"/>
      <c r="BI116" s="244"/>
      <c r="BJ116" s="244"/>
      <c r="BK116" s="244"/>
      <c r="BL116" s="244"/>
      <c r="BM116" s="244"/>
      <c r="BN116" s="244"/>
      <c r="BO116" s="244"/>
      <c r="BP116" s="244"/>
      <c r="BQ116" s="244"/>
      <c r="BR116" s="244"/>
      <c r="BS116" s="244"/>
      <c r="BT116" s="244"/>
      <c r="BU116" s="244"/>
      <c r="BV116" s="244"/>
      <c r="BW116" s="244"/>
      <c r="BX116" s="244"/>
      <c r="BY116" s="244"/>
      <c r="BZ116" s="244"/>
      <c r="CA116" s="244"/>
      <c r="CB116" s="244"/>
      <c r="CC116" s="244"/>
      <c r="CD116" s="244"/>
      <c r="CE116" s="244"/>
      <c r="CF116" s="244"/>
    </row>
    <row r="117">
      <c r="A117" s="244"/>
      <c r="B117" s="246"/>
      <c r="C117" s="244"/>
      <c r="D117" s="244"/>
      <c r="E117" s="244"/>
      <c r="F117" s="244"/>
      <c r="G117" s="244"/>
      <c r="H117" s="244"/>
      <c r="I117" s="244"/>
      <c r="J117" s="244"/>
      <c r="K117" s="244"/>
      <c r="L117" s="244"/>
      <c r="M117" s="244"/>
      <c r="N117" s="244"/>
      <c r="O117" s="244"/>
      <c r="P117" s="244"/>
      <c r="Q117" s="244"/>
      <c r="R117" s="244"/>
      <c r="S117" s="244"/>
      <c r="T117" s="244"/>
      <c r="U117" s="244"/>
      <c r="V117" s="244"/>
      <c r="W117" s="244"/>
      <c r="X117" s="244"/>
      <c r="Y117" s="244"/>
      <c r="Z117" s="244"/>
      <c r="AA117" s="244"/>
      <c r="AB117" s="244"/>
      <c r="AC117" s="244"/>
      <c r="AD117" s="244"/>
      <c r="AE117" s="244"/>
      <c r="AF117" s="244"/>
      <c r="AG117" s="244"/>
      <c r="AH117" s="244"/>
      <c r="AI117" s="244"/>
      <c r="AJ117" s="244"/>
      <c r="AK117" s="244"/>
      <c r="AL117" s="244"/>
      <c r="AM117" s="244"/>
      <c r="AN117" s="244"/>
      <c r="AO117" s="244"/>
      <c r="AP117" s="244"/>
      <c r="AQ117" s="244"/>
      <c r="AR117" s="244"/>
      <c r="AS117" s="244"/>
      <c r="AT117" s="244"/>
      <c r="AU117" s="244"/>
      <c r="AV117" s="244"/>
      <c r="AW117" s="244"/>
      <c r="AX117" s="244"/>
      <c r="AY117" s="244"/>
      <c r="AZ117" s="244"/>
      <c r="BA117" s="244"/>
      <c r="BB117" s="244"/>
      <c r="BC117" s="244"/>
      <c r="BD117" s="244"/>
      <c r="BE117" s="244"/>
      <c r="BF117" s="244"/>
      <c r="BG117" s="244"/>
      <c r="BH117" s="244"/>
      <c r="BI117" s="244"/>
      <c r="BJ117" s="244"/>
      <c r="BK117" s="244"/>
      <c r="BL117" s="244"/>
      <c r="BM117" s="244"/>
      <c r="BN117" s="244"/>
      <c r="BO117" s="244"/>
      <c r="BP117" s="244"/>
      <c r="BQ117" s="244"/>
      <c r="BR117" s="244"/>
      <c r="BS117" s="244"/>
      <c r="BT117" s="244"/>
      <c r="BU117" s="244"/>
      <c r="BV117" s="244"/>
      <c r="BW117" s="244"/>
      <c r="BX117" s="244"/>
      <c r="BY117" s="244"/>
      <c r="BZ117" s="244"/>
      <c r="CA117" s="244"/>
      <c r="CB117" s="244"/>
      <c r="CC117" s="244"/>
      <c r="CD117" s="244"/>
      <c r="CE117" s="244"/>
      <c r="CF117" s="244"/>
    </row>
    <row r="118">
      <c r="A118" s="244"/>
      <c r="B118" s="246"/>
      <c r="C118" s="244"/>
      <c r="D118" s="244"/>
      <c r="E118" s="244"/>
      <c r="F118" s="244"/>
      <c r="G118" s="244"/>
      <c r="H118" s="244"/>
      <c r="I118" s="244"/>
      <c r="J118" s="244"/>
      <c r="K118" s="244"/>
      <c r="L118" s="244"/>
      <c r="M118" s="244"/>
      <c r="N118" s="244"/>
      <c r="O118" s="244"/>
      <c r="P118" s="244"/>
      <c r="Q118" s="244"/>
      <c r="R118" s="244"/>
      <c r="S118" s="244"/>
      <c r="T118" s="244"/>
      <c r="U118" s="244"/>
      <c r="V118" s="244"/>
      <c r="W118" s="244"/>
      <c r="X118" s="244"/>
      <c r="Y118" s="244"/>
      <c r="Z118" s="244"/>
      <c r="AA118" s="244"/>
      <c r="AB118" s="244"/>
      <c r="AC118" s="244"/>
      <c r="AD118" s="244"/>
      <c r="AE118" s="244"/>
      <c r="AF118" s="244"/>
      <c r="AG118" s="244"/>
      <c r="AH118" s="244"/>
      <c r="AI118" s="244"/>
      <c r="AJ118" s="244"/>
      <c r="AK118" s="244"/>
      <c r="AL118" s="244"/>
      <c r="AM118" s="244"/>
      <c r="AN118" s="244"/>
      <c r="AO118" s="244"/>
      <c r="AP118" s="244"/>
      <c r="AQ118" s="244"/>
      <c r="AR118" s="244"/>
      <c r="AS118" s="244"/>
      <c r="AT118" s="244"/>
      <c r="AU118" s="244"/>
      <c r="AV118" s="244"/>
      <c r="AW118" s="244"/>
      <c r="AX118" s="244"/>
      <c r="AY118" s="244"/>
      <c r="AZ118" s="244"/>
      <c r="BA118" s="244"/>
      <c r="BB118" s="244"/>
      <c r="BC118" s="244"/>
      <c r="BD118" s="244"/>
      <c r="BE118" s="244"/>
      <c r="BF118" s="244"/>
      <c r="BG118" s="244"/>
      <c r="BH118" s="244"/>
      <c r="BI118" s="244"/>
      <c r="BJ118" s="244"/>
      <c r="BK118" s="244"/>
      <c r="BL118" s="244"/>
      <c r="BM118" s="244"/>
      <c r="BN118" s="244"/>
      <c r="BO118" s="244"/>
      <c r="BP118" s="244"/>
      <c r="BQ118" s="244"/>
      <c r="BR118" s="244"/>
      <c r="BS118" s="244"/>
      <c r="BT118" s="244"/>
      <c r="BU118" s="244"/>
      <c r="BV118" s="244"/>
      <c r="BW118" s="244"/>
      <c r="BX118" s="244"/>
      <c r="BY118" s="244"/>
      <c r="BZ118" s="244"/>
      <c r="CA118" s="244"/>
      <c r="CB118" s="244"/>
      <c r="CC118" s="244"/>
      <c r="CD118" s="244"/>
      <c r="CE118" s="244"/>
      <c r="CF118" s="244"/>
    </row>
    <row r="119">
      <c r="A119" s="244"/>
      <c r="B119" s="246"/>
      <c r="C119" s="244"/>
      <c r="D119" s="244"/>
      <c r="E119" s="244"/>
      <c r="F119" s="244"/>
      <c r="G119" s="244"/>
      <c r="H119" s="244"/>
      <c r="I119" s="244"/>
      <c r="J119" s="244"/>
      <c r="K119" s="244"/>
      <c r="L119" s="244"/>
      <c r="M119" s="244"/>
      <c r="N119" s="244"/>
      <c r="O119" s="244"/>
      <c r="P119" s="244"/>
      <c r="Q119" s="244"/>
      <c r="R119" s="244"/>
      <c r="S119" s="244"/>
      <c r="T119" s="244"/>
      <c r="U119" s="244"/>
      <c r="V119" s="244"/>
      <c r="W119" s="244"/>
      <c r="X119" s="244"/>
      <c r="Y119" s="244"/>
      <c r="Z119" s="244"/>
      <c r="AA119" s="244"/>
      <c r="AB119" s="244"/>
      <c r="AC119" s="244"/>
      <c r="AD119" s="244"/>
      <c r="AE119" s="244"/>
      <c r="AF119" s="244"/>
      <c r="AG119" s="244"/>
      <c r="AH119" s="244"/>
      <c r="AI119" s="244"/>
      <c r="AJ119" s="244"/>
      <c r="AK119" s="244"/>
      <c r="AL119" s="244"/>
      <c r="AM119" s="244"/>
      <c r="AN119" s="244"/>
      <c r="AO119" s="244"/>
      <c r="AP119" s="244"/>
      <c r="AQ119" s="244"/>
      <c r="AR119" s="244"/>
      <c r="AS119" s="244"/>
      <c r="AT119" s="244"/>
      <c r="AU119" s="244"/>
      <c r="AV119" s="244"/>
      <c r="AW119" s="244"/>
      <c r="AX119" s="244"/>
      <c r="AY119" s="244"/>
      <c r="AZ119" s="244"/>
      <c r="BA119" s="244"/>
      <c r="BB119" s="244"/>
      <c r="BC119" s="244"/>
      <c r="BD119" s="244"/>
      <c r="BE119" s="244"/>
      <c r="BF119" s="244"/>
      <c r="BG119" s="244"/>
      <c r="BH119" s="244"/>
      <c r="BI119" s="244"/>
      <c r="BJ119" s="244"/>
      <c r="BK119" s="244"/>
      <c r="BL119" s="244"/>
      <c r="BM119" s="244"/>
      <c r="BN119" s="244"/>
      <c r="BO119" s="244"/>
      <c r="BP119" s="244"/>
      <c r="BQ119" s="244"/>
      <c r="BR119" s="244"/>
      <c r="BS119" s="244"/>
      <c r="BT119" s="244"/>
      <c r="BU119" s="244"/>
      <c r="BV119" s="244"/>
      <c r="BW119" s="244"/>
      <c r="BX119" s="244"/>
      <c r="BY119" s="244"/>
      <c r="BZ119" s="244"/>
      <c r="CA119" s="244"/>
      <c r="CB119" s="244"/>
      <c r="CC119" s="244"/>
      <c r="CD119" s="244"/>
      <c r="CE119" s="244"/>
      <c r="CF119" s="244"/>
    </row>
    <row r="120">
      <c r="A120" s="244"/>
      <c r="B120" s="246"/>
      <c r="C120" s="244"/>
      <c r="D120" s="244"/>
      <c r="E120" s="244"/>
      <c r="F120" s="244"/>
      <c r="G120" s="244"/>
      <c r="H120" s="244"/>
      <c r="I120" s="244"/>
      <c r="J120" s="244"/>
      <c r="K120" s="244"/>
      <c r="L120" s="244"/>
      <c r="M120" s="244"/>
      <c r="N120" s="244"/>
      <c r="O120" s="244"/>
      <c r="P120" s="244"/>
      <c r="Q120" s="244"/>
      <c r="R120" s="244"/>
      <c r="S120" s="244"/>
      <c r="T120" s="244"/>
      <c r="U120" s="244"/>
      <c r="V120" s="244"/>
      <c r="W120" s="244"/>
      <c r="X120" s="244"/>
      <c r="Y120" s="244"/>
      <c r="Z120" s="244"/>
      <c r="AA120" s="244"/>
      <c r="AB120" s="244"/>
      <c r="AC120" s="244"/>
      <c r="AD120" s="244"/>
      <c r="AE120" s="244"/>
      <c r="AF120" s="244"/>
      <c r="AG120" s="244"/>
      <c r="AH120" s="244"/>
      <c r="AI120" s="244"/>
      <c r="AJ120" s="244"/>
      <c r="AK120" s="244"/>
      <c r="AL120" s="244"/>
      <c r="AM120" s="244"/>
      <c r="AN120" s="244"/>
      <c r="AO120" s="244"/>
      <c r="AP120" s="244"/>
      <c r="AQ120" s="244"/>
      <c r="AR120" s="244"/>
      <c r="AS120" s="244"/>
      <c r="AT120" s="244"/>
      <c r="AU120" s="244"/>
      <c r="AV120" s="244"/>
      <c r="AW120" s="244"/>
      <c r="AX120" s="244"/>
      <c r="AY120" s="244"/>
      <c r="AZ120" s="244"/>
      <c r="BA120" s="244"/>
      <c r="BB120" s="244"/>
      <c r="BC120" s="244"/>
      <c r="BD120" s="244"/>
      <c r="BE120" s="244"/>
      <c r="BF120" s="244"/>
      <c r="BG120" s="244"/>
      <c r="BH120" s="244"/>
      <c r="BI120" s="244"/>
      <c r="BJ120" s="244"/>
      <c r="BK120" s="244"/>
      <c r="BL120" s="244"/>
      <c r="BM120" s="244"/>
      <c r="BN120" s="244"/>
      <c r="BO120" s="244"/>
      <c r="BP120" s="244"/>
      <c r="BQ120" s="244"/>
      <c r="BR120" s="244"/>
      <c r="BS120" s="244"/>
      <c r="BT120" s="244"/>
      <c r="BU120" s="244"/>
      <c r="BV120" s="244"/>
      <c r="BW120" s="244"/>
      <c r="BX120" s="244"/>
      <c r="BY120" s="244"/>
      <c r="BZ120" s="244"/>
      <c r="CA120" s="244"/>
      <c r="CB120" s="244"/>
      <c r="CC120" s="244"/>
      <c r="CD120" s="244"/>
      <c r="CE120" s="244"/>
      <c r="CF120" s="244"/>
    </row>
    <row r="121">
      <c r="A121" s="244"/>
      <c r="B121" s="246"/>
      <c r="C121" s="244"/>
      <c r="D121" s="244"/>
      <c r="E121" s="244"/>
      <c r="F121" s="244"/>
      <c r="G121" s="244"/>
      <c r="H121" s="244"/>
      <c r="I121" s="244"/>
      <c r="J121" s="244"/>
      <c r="K121" s="244"/>
      <c r="L121" s="244"/>
      <c r="M121" s="244"/>
      <c r="N121" s="244"/>
      <c r="O121" s="244"/>
      <c r="P121" s="244"/>
      <c r="Q121" s="244"/>
      <c r="R121" s="244"/>
      <c r="S121" s="244"/>
      <c r="T121" s="244"/>
      <c r="U121" s="244"/>
      <c r="V121" s="244"/>
      <c r="W121" s="244"/>
      <c r="X121" s="244"/>
      <c r="Y121" s="244"/>
      <c r="Z121" s="244"/>
      <c r="AA121" s="244"/>
      <c r="AB121" s="244"/>
      <c r="AC121" s="244"/>
      <c r="AD121" s="244"/>
      <c r="AE121" s="244"/>
      <c r="AF121" s="244"/>
      <c r="AG121" s="244"/>
      <c r="AH121" s="244"/>
      <c r="AI121" s="244"/>
      <c r="AJ121" s="244"/>
      <c r="AK121" s="244"/>
      <c r="AL121" s="244"/>
      <c r="AM121" s="244"/>
      <c r="AN121" s="244"/>
      <c r="AO121" s="244"/>
      <c r="AP121" s="244"/>
      <c r="AQ121" s="244"/>
      <c r="AR121" s="244"/>
      <c r="AS121" s="244"/>
      <c r="AT121" s="244"/>
      <c r="AU121" s="244"/>
      <c r="AV121" s="244"/>
      <c r="AW121" s="244"/>
      <c r="AX121" s="244"/>
      <c r="AY121" s="244"/>
      <c r="AZ121" s="244"/>
      <c r="BA121" s="244"/>
      <c r="BB121" s="244"/>
      <c r="BC121" s="244"/>
      <c r="BD121" s="244"/>
      <c r="BE121" s="244"/>
      <c r="BF121" s="244"/>
      <c r="BG121" s="244"/>
      <c r="BH121" s="244"/>
      <c r="BI121" s="244"/>
      <c r="BJ121" s="244"/>
      <c r="BK121" s="244"/>
      <c r="BL121" s="244"/>
      <c r="BM121" s="244"/>
      <c r="BN121" s="244"/>
      <c r="BO121" s="244"/>
      <c r="BP121" s="244"/>
      <c r="BQ121" s="244"/>
      <c r="BR121" s="244"/>
      <c r="BS121" s="244"/>
      <c r="BT121" s="244"/>
      <c r="BU121" s="244"/>
      <c r="BV121" s="244"/>
      <c r="BW121" s="244"/>
      <c r="BX121" s="244"/>
      <c r="BY121" s="244"/>
      <c r="BZ121" s="244"/>
      <c r="CA121" s="244"/>
      <c r="CB121" s="244"/>
      <c r="CC121" s="244"/>
      <c r="CD121" s="244"/>
      <c r="CE121" s="244"/>
      <c r="CF121" s="244"/>
    </row>
    <row r="122">
      <c r="A122" s="244"/>
      <c r="B122" s="246"/>
      <c r="C122" s="244"/>
      <c r="D122" s="244"/>
      <c r="E122" s="244"/>
      <c r="F122" s="244"/>
      <c r="G122" s="244"/>
      <c r="H122" s="244"/>
      <c r="I122" s="244"/>
      <c r="J122" s="244"/>
      <c r="K122" s="244"/>
      <c r="L122" s="244"/>
      <c r="M122" s="244"/>
      <c r="N122" s="244"/>
      <c r="O122" s="244"/>
      <c r="P122" s="244"/>
      <c r="Q122" s="244"/>
      <c r="R122" s="244"/>
      <c r="S122" s="244"/>
      <c r="T122" s="244"/>
      <c r="U122" s="244"/>
      <c r="V122" s="244"/>
      <c r="W122" s="244"/>
      <c r="X122" s="244"/>
      <c r="Y122" s="244"/>
      <c r="Z122" s="244"/>
      <c r="AA122" s="244"/>
      <c r="AB122" s="244"/>
      <c r="AC122" s="244"/>
      <c r="AD122" s="244"/>
      <c r="AE122" s="244"/>
      <c r="AF122" s="244"/>
      <c r="AG122" s="244"/>
      <c r="AH122" s="244"/>
      <c r="AI122" s="244"/>
      <c r="AJ122" s="244"/>
      <c r="AK122" s="244"/>
      <c r="AL122" s="244"/>
      <c r="AM122" s="244"/>
      <c r="AN122" s="244"/>
      <c r="AO122" s="244"/>
      <c r="AP122" s="244"/>
      <c r="AQ122" s="244"/>
      <c r="AR122" s="244"/>
      <c r="AS122" s="244"/>
      <c r="AT122" s="244"/>
      <c r="AU122" s="244"/>
      <c r="AV122" s="244"/>
      <c r="AW122" s="244"/>
      <c r="AX122" s="244"/>
      <c r="AY122" s="244"/>
      <c r="AZ122" s="244"/>
      <c r="BA122" s="244"/>
      <c r="BB122" s="244"/>
      <c r="BC122" s="244"/>
      <c r="BD122" s="244"/>
      <c r="BE122" s="244"/>
      <c r="BF122" s="244"/>
      <c r="BG122" s="244"/>
      <c r="BH122" s="244"/>
      <c r="BI122" s="244"/>
      <c r="BJ122" s="244"/>
      <c r="BK122" s="244"/>
      <c r="BL122" s="244"/>
      <c r="BM122" s="244"/>
      <c r="BN122" s="244"/>
      <c r="BO122" s="244"/>
      <c r="BP122" s="244"/>
      <c r="BQ122" s="244"/>
      <c r="BR122" s="244"/>
      <c r="BS122" s="244"/>
      <c r="BT122" s="244"/>
      <c r="BU122" s="244"/>
      <c r="BV122" s="244"/>
      <c r="BW122" s="244"/>
      <c r="BX122" s="244"/>
      <c r="BY122" s="244"/>
      <c r="BZ122" s="244"/>
      <c r="CA122" s="244"/>
      <c r="CB122" s="244"/>
      <c r="CC122" s="244"/>
      <c r="CD122" s="244"/>
      <c r="CE122" s="244"/>
      <c r="CF122" s="244"/>
    </row>
    <row r="123">
      <c r="A123" s="244"/>
      <c r="B123" s="246"/>
      <c r="C123" s="244"/>
      <c r="D123" s="244"/>
      <c r="E123" s="244"/>
      <c r="F123" s="244"/>
      <c r="G123" s="244"/>
      <c r="H123" s="244"/>
      <c r="I123" s="244"/>
      <c r="J123" s="244"/>
      <c r="K123" s="244"/>
      <c r="L123" s="244"/>
      <c r="M123" s="244"/>
      <c r="N123" s="244"/>
      <c r="O123" s="244"/>
      <c r="P123" s="244"/>
      <c r="Q123" s="244"/>
      <c r="R123" s="244"/>
      <c r="S123" s="244"/>
      <c r="T123" s="244"/>
      <c r="U123" s="244"/>
      <c r="V123" s="244"/>
      <c r="W123" s="244"/>
      <c r="X123" s="244"/>
      <c r="Y123" s="244"/>
      <c r="Z123" s="244"/>
      <c r="AA123" s="244"/>
      <c r="AB123" s="244"/>
      <c r="AC123" s="244"/>
      <c r="AD123" s="244"/>
      <c r="AE123" s="244"/>
      <c r="AF123" s="244"/>
      <c r="AG123" s="244"/>
      <c r="AH123" s="244"/>
      <c r="AI123" s="244"/>
      <c r="AJ123" s="244"/>
      <c r="AK123" s="244"/>
      <c r="AL123" s="244"/>
      <c r="AM123" s="244"/>
      <c r="AN123" s="244"/>
      <c r="AO123" s="244"/>
      <c r="AP123" s="244"/>
      <c r="AQ123" s="244"/>
      <c r="AR123" s="244"/>
      <c r="AS123" s="244"/>
      <c r="AT123" s="244"/>
      <c r="AU123" s="244"/>
      <c r="AV123" s="244"/>
      <c r="AW123" s="244"/>
      <c r="AX123" s="244"/>
      <c r="AY123" s="244"/>
      <c r="AZ123" s="244"/>
      <c r="BA123" s="244"/>
      <c r="BB123" s="244"/>
      <c r="BC123" s="244"/>
      <c r="BD123" s="244"/>
      <c r="BE123" s="244"/>
      <c r="BF123" s="244"/>
      <c r="BG123" s="244"/>
      <c r="BH123" s="244"/>
      <c r="BI123" s="244"/>
      <c r="BJ123" s="244"/>
      <c r="BK123" s="244"/>
      <c r="BL123" s="244"/>
      <c r="BM123" s="244"/>
      <c r="BN123" s="244"/>
      <c r="BO123" s="244"/>
      <c r="BP123" s="244"/>
      <c r="BQ123" s="244"/>
      <c r="BR123" s="244"/>
      <c r="BS123" s="244"/>
      <c r="BT123" s="244"/>
      <c r="BU123" s="244"/>
      <c r="BV123" s="244"/>
      <c r="BW123" s="244"/>
      <c r="BX123" s="244"/>
      <c r="BY123" s="244"/>
      <c r="BZ123" s="244"/>
      <c r="CA123" s="244"/>
      <c r="CB123" s="244"/>
      <c r="CC123" s="244"/>
      <c r="CD123" s="244"/>
      <c r="CE123" s="244"/>
      <c r="CF123" s="244"/>
    </row>
    <row r="124">
      <c r="A124" s="244"/>
      <c r="B124" s="246"/>
      <c r="C124" s="244"/>
      <c r="D124" s="244"/>
      <c r="E124" s="244"/>
      <c r="F124" s="244"/>
      <c r="G124" s="244"/>
      <c r="H124" s="244"/>
      <c r="I124" s="244"/>
      <c r="J124" s="244"/>
      <c r="K124" s="244"/>
      <c r="L124" s="244"/>
      <c r="M124" s="244"/>
      <c r="N124" s="244"/>
      <c r="O124" s="244"/>
      <c r="P124" s="244"/>
      <c r="Q124" s="244"/>
      <c r="R124" s="244"/>
      <c r="S124" s="244"/>
      <c r="T124" s="244"/>
      <c r="U124" s="244"/>
      <c r="V124" s="244"/>
      <c r="W124" s="244"/>
      <c r="X124" s="244"/>
      <c r="Y124" s="244"/>
      <c r="Z124" s="244"/>
      <c r="AA124" s="244"/>
      <c r="AB124" s="244"/>
      <c r="AC124" s="244"/>
      <c r="AD124" s="244"/>
      <c r="AE124" s="244"/>
      <c r="AF124" s="244"/>
      <c r="AG124" s="244"/>
      <c r="AH124" s="244"/>
      <c r="AI124" s="244"/>
      <c r="AJ124" s="244"/>
      <c r="AK124" s="244"/>
      <c r="AL124" s="244"/>
      <c r="AM124" s="244"/>
      <c r="AN124" s="244"/>
      <c r="AO124" s="244"/>
      <c r="AP124" s="244"/>
      <c r="AQ124" s="244"/>
      <c r="AR124" s="244"/>
      <c r="AS124" s="244"/>
      <c r="AT124" s="244"/>
      <c r="AU124" s="244"/>
      <c r="AV124" s="244"/>
      <c r="AW124" s="244"/>
      <c r="AX124" s="244"/>
      <c r="AY124" s="244"/>
      <c r="AZ124" s="244"/>
      <c r="BA124" s="244"/>
      <c r="BB124" s="244"/>
      <c r="BC124" s="244"/>
      <c r="BD124" s="244"/>
      <c r="BE124" s="244"/>
      <c r="BF124" s="244"/>
      <c r="BG124" s="244"/>
      <c r="BH124" s="244"/>
      <c r="BI124" s="244"/>
      <c r="BJ124" s="244"/>
      <c r="BK124" s="244"/>
      <c r="BL124" s="244"/>
      <c r="BM124" s="244"/>
      <c r="BN124" s="244"/>
      <c r="BO124" s="244"/>
      <c r="BP124" s="244"/>
      <c r="BQ124" s="244"/>
      <c r="BR124" s="244"/>
      <c r="BS124" s="244"/>
      <c r="BT124" s="244"/>
      <c r="BU124" s="244"/>
      <c r="BV124" s="244"/>
      <c r="BW124" s="244"/>
      <c r="BX124" s="244"/>
      <c r="BY124" s="244"/>
      <c r="BZ124" s="244"/>
      <c r="CA124" s="244"/>
      <c r="CB124" s="244"/>
      <c r="CC124" s="244"/>
      <c r="CD124" s="244"/>
      <c r="CE124" s="244"/>
      <c r="CF124" s="244"/>
    </row>
    <row r="125">
      <c r="A125" s="244"/>
      <c r="B125" s="246"/>
      <c r="C125" s="244"/>
      <c r="D125" s="244"/>
      <c r="E125" s="244"/>
      <c r="F125" s="244"/>
      <c r="G125" s="244"/>
      <c r="H125" s="244"/>
      <c r="I125" s="244"/>
      <c r="J125" s="244"/>
      <c r="K125" s="244"/>
      <c r="L125" s="244"/>
      <c r="M125" s="244"/>
      <c r="N125" s="244"/>
      <c r="O125" s="244"/>
      <c r="P125" s="244"/>
      <c r="Q125" s="244"/>
      <c r="R125" s="244"/>
      <c r="S125" s="244"/>
      <c r="T125" s="244"/>
      <c r="U125" s="244"/>
      <c r="V125" s="244"/>
      <c r="W125" s="244"/>
      <c r="X125" s="244"/>
      <c r="Y125" s="244"/>
      <c r="Z125" s="244"/>
      <c r="AA125" s="244"/>
      <c r="AB125" s="244"/>
      <c r="AC125" s="244"/>
      <c r="AD125" s="244"/>
      <c r="AE125" s="244"/>
      <c r="AF125" s="244"/>
      <c r="AG125" s="244"/>
      <c r="AH125" s="244"/>
      <c r="AI125" s="244"/>
      <c r="AJ125" s="244"/>
      <c r="AK125" s="244"/>
      <c r="AL125" s="244"/>
      <c r="AM125" s="244"/>
      <c r="AN125" s="244"/>
      <c r="AO125" s="244"/>
      <c r="AP125" s="244"/>
      <c r="AQ125" s="244"/>
      <c r="AR125" s="244"/>
      <c r="AS125" s="244"/>
      <c r="AT125" s="244"/>
      <c r="AU125" s="244"/>
      <c r="AV125" s="244"/>
      <c r="AW125" s="244"/>
      <c r="AX125" s="244"/>
      <c r="AY125" s="244"/>
      <c r="AZ125" s="244"/>
      <c r="BA125" s="244"/>
      <c r="BB125" s="244"/>
      <c r="BC125" s="244"/>
      <c r="BD125" s="244"/>
      <c r="BE125" s="244"/>
      <c r="BF125" s="244"/>
      <c r="BG125" s="244"/>
      <c r="BH125" s="244"/>
      <c r="BI125" s="244"/>
      <c r="BJ125" s="244"/>
      <c r="BK125" s="244"/>
      <c r="BL125" s="244"/>
      <c r="BM125" s="244"/>
      <c r="BN125" s="244"/>
      <c r="BO125" s="244"/>
      <c r="BP125" s="244"/>
      <c r="BQ125" s="244"/>
      <c r="BR125" s="244"/>
      <c r="BS125" s="244"/>
      <c r="BT125" s="244"/>
      <c r="BU125" s="244"/>
      <c r="BV125" s="244"/>
      <c r="BW125" s="244"/>
      <c r="BX125" s="244"/>
      <c r="BY125" s="244"/>
      <c r="BZ125" s="244"/>
      <c r="CA125" s="244"/>
      <c r="CB125" s="244"/>
      <c r="CC125" s="244"/>
      <c r="CD125" s="244"/>
      <c r="CE125" s="244"/>
      <c r="CF125" s="244"/>
    </row>
    <row r="126">
      <c r="A126" s="244"/>
      <c r="B126" s="246"/>
      <c r="C126" s="244"/>
      <c r="D126" s="244"/>
      <c r="E126" s="244"/>
      <c r="F126" s="244"/>
      <c r="G126" s="244"/>
      <c r="H126" s="244"/>
      <c r="I126" s="244"/>
      <c r="J126" s="244"/>
      <c r="K126" s="244"/>
      <c r="L126" s="244"/>
      <c r="M126" s="244"/>
      <c r="N126" s="244"/>
      <c r="O126" s="244"/>
      <c r="P126" s="244"/>
      <c r="Q126" s="244"/>
      <c r="R126" s="244"/>
      <c r="S126" s="244"/>
      <c r="T126" s="244"/>
      <c r="U126" s="244"/>
      <c r="V126" s="244"/>
      <c r="W126" s="244"/>
      <c r="X126" s="244"/>
      <c r="Y126" s="244"/>
      <c r="Z126" s="244"/>
      <c r="AA126" s="244"/>
      <c r="AB126" s="244"/>
      <c r="AC126" s="244"/>
      <c r="AD126" s="244"/>
      <c r="AE126" s="244"/>
      <c r="AF126" s="244"/>
      <c r="AG126" s="244"/>
      <c r="AH126" s="244"/>
      <c r="AI126" s="244"/>
      <c r="AJ126" s="244"/>
      <c r="AK126" s="244"/>
      <c r="AL126" s="244"/>
      <c r="AM126" s="244"/>
      <c r="AN126" s="244"/>
      <c r="AO126" s="244"/>
      <c r="AP126" s="244"/>
      <c r="AQ126" s="244"/>
      <c r="AR126" s="244"/>
      <c r="AS126" s="244"/>
      <c r="AT126" s="244"/>
      <c r="AU126" s="244"/>
      <c r="AV126" s="244"/>
      <c r="AW126" s="244"/>
      <c r="AX126" s="244"/>
      <c r="AY126" s="244"/>
      <c r="AZ126" s="244"/>
      <c r="BA126" s="244"/>
      <c r="BB126" s="244"/>
      <c r="BC126" s="244"/>
      <c r="BD126" s="244"/>
      <c r="BE126" s="244"/>
      <c r="BF126" s="244"/>
      <c r="BG126" s="244"/>
      <c r="BH126" s="244"/>
      <c r="BI126" s="244"/>
      <c r="BJ126" s="244"/>
      <c r="BK126" s="244"/>
      <c r="BL126" s="244"/>
      <c r="BM126" s="244"/>
      <c r="BN126" s="244"/>
      <c r="BO126" s="244"/>
      <c r="BP126" s="244"/>
      <c r="BQ126" s="244"/>
      <c r="BR126" s="244"/>
      <c r="BS126" s="244"/>
      <c r="BT126" s="244"/>
      <c r="BU126" s="244"/>
      <c r="BV126" s="244"/>
      <c r="BW126" s="244"/>
      <c r="BX126" s="244"/>
      <c r="BY126" s="244"/>
      <c r="BZ126" s="244"/>
      <c r="CA126" s="244"/>
      <c r="CB126" s="244"/>
      <c r="CC126" s="244"/>
      <c r="CD126" s="244"/>
      <c r="CE126" s="244"/>
      <c r="CF126" s="244"/>
    </row>
    <row r="127">
      <c r="A127" s="244"/>
      <c r="B127" s="246"/>
      <c r="C127" s="244"/>
      <c r="D127" s="244"/>
      <c r="E127" s="244"/>
      <c r="F127" s="244"/>
      <c r="G127" s="244"/>
      <c r="H127" s="244"/>
      <c r="I127" s="244"/>
      <c r="J127" s="244"/>
      <c r="K127" s="244"/>
      <c r="L127" s="244"/>
      <c r="M127" s="244"/>
      <c r="N127" s="244"/>
      <c r="O127" s="244"/>
      <c r="P127" s="244"/>
      <c r="Q127" s="244"/>
      <c r="R127" s="244"/>
      <c r="S127" s="244"/>
      <c r="T127" s="244"/>
      <c r="U127" s="244"/>
      <c r="V127" s="244"/>
      <c r="W127" s="244"/>
      <c r="X127" s="244"/>
      <c r="Y127" s="244"/>
      <c r="Z127" s="244"/>
      <c r="AA127" s="244"/>
      <c r="AB127" s="244"/>
      <c r="AC127" s="244"/>
      <c r="AD127" s="244"/>
      <c r="AE127" s="244"/>
      <c r="AF127" s="244"/>
      <c r="AG127" s="244"/>
      <c r="AH127" s="244"/>
      <c r="AI127" s="244"/>
      <c r="AJ127" s="244"/>
      <c r="AK127" s="244"/>
      <c r="AL127" s="244"/>
      <c r="AM127" s="244"/>
      <c r="AN127" s="244"/>
      <c r="AO127" s="244"/>
      <c r="AP127" s="244"/>
      <c r="AQ127" s="244"/>
      <c r="AR127" s="244"/>
      <c r="AS127" s="244"/>
      <c r="AT127" s="244"/>
      <c r="AU127" s="244"/>
      <c r="AV127" s="244"/>
      <c r="AW127" s="244"/>
      <c r="AX127" s="244"/>
      <c r="AY127" s="244"/>
      <c r="AZ127" s="244"/>
      <c r="BA127" s="244"/>
      <c r="BB127" s="244"/>
      <c r="BC127" s="244"/>
      <c r="BD127" s="244"/>
      <c r="BE127" s="244"/>
      <c r="BF127" s="244"/>
      <c r="BG127" s="244"/>
      <c r="BH127" s="244"/>
      <c r="BI127" s="244"/>
      <c r="BJ127" s="244"/>
      <c r="BK127" s="244"/>
      <c r="BL127" s="244"/>
      <c r="BM127" s="244"/>
      <c r="BN127" s="244"/>
      <c r="BO127" s="244"/>
      <c r="BP127" s="244"/>
      <c r="BQ127" s="244"/>
      <c r="BR127" s="244"/>
      <c r="BS127" s="244"/>
      <c r="BT127" s="244"/>
      <c r="BU127" s="244"/>
      <c r="BV127" s="244"/>
      <c r="BW127" s="244"/>
      <c r="BX127" s="244"/>
      <c r="BY127" s="244"/>
      <c r="BZ127" s="244"/>
      <c r="CA127" s="244"/>
      <c r="CB127" s="244"/>
      <c r="CC127" s="244"/>
      <c r="CD127" s="244"/>
      <c r="CE127" s="244"/>
      <c r="CF127" s="244"/>
    </row>
    <row r="128">
      <c r="A128" s="244"/>
      <c r="B128" s="246"/>
      <c r="C128" s="244"/>
      <c r="D128" s="244"/>
      <c r="E128" s="244"/>
      <c r="F128" s="244"/>
      <c r="G128" s="244"/>
      <c r="H128" s="244"/>
      <c r="I128" s="244"/>
      <c r="J128" s="244"/>
      <c r="K128" s="244"/>
      <c r="L128" s="244"/>
      <c r="M128" s="244"/>
      <c r="N128" s="244"/>
      <c r="O128" s="244"/>
      <c r="P128" s="244"/>
      <c r="Q128" s="244"/>
      <c r="R128" s="244"/>
      <c r="S128" s="244"/>
      <c r="T128" s="244"/>
      <c r="U128" s="244"/>
      <c r="V128" s="244"/>
      <c r="W128" s="244"/>
      <c r="X128" s="244"/>
      <c r="Y128" s="244"/>
      <c r="Z128" s="244"/>
      <c r="AA128" s="244"/>
      <c r="AB128" s="244"/>
      <c r="AC128" s="244"/>
      <c r="AD128" s="244"/>
      <c r="AE128" s="244"/>
      <c r="AF128" s="244"/>
      <c r="AG128" s="244"/>
      <c r="AH128" s="244"/>
      <c r="AI128" s="244"/>
      <c r="AJ128" s="244"/>
      <c r="AK128" s="244"/>
      <c r="AL128" s="244"/>
      <c r="AM128" s="244"/>
      <c r="AN128" s="244"/>
      <c r="AO128" s="244"/>
      <c r="AP128" s="244"/>
      <c r="AQ128" s="244"/>
      <c r="AR128" s="244"/>
      <c r="AS128" s="244"/>
      <c r="AT128" s="244"/>
      <c r="AU128" s="244"/>
      <c r="AV128" s="244"/>
      <c r="AW128" s="244"/>
      <c r="AX128" s="244"/>
      <c r="AY128" s="244"/>
      <c r="AZ128" s="244"/>
      <c r="BA128" s="244"/>
      <c r="BB128" s="244"/>
      <c r="BC128" s="244"/>
      <c r="BD128" s="244"/>
      <c r="BE128" s="244"/>
      <c r="BF128" s="244"/>
      <c r="BG128" s="244"/>
      <c r="BH128" s="244"/>
      <c r="BI128" s="244"/>
      <c r="BJ128" s="244"/>
      <c r="BK128" s="244"/>
      <c r="BL128" s="244"/>
      <c r="BM128" s="244"/>
      <c r="BN128" s="244"/>
      <c r="BO128" s="244"/>
      <c r="BP128" s="244"/>
      <c r="BQ128" s="244"/>
      <c r="BR128" s="244"/>
      <c r="BS128" s="244"/>
      <c r="BT128" s="244"/>
      <c r="BU128" s="244"/>
      <c r="BV128" s="244"/>
      <c r="BW128" s="244"/>
      <c r="BX128" s="244"/>
      <c r="BY128" s="244"/>
      <c r="BZ128" s="244"/>
      <c r="CA128" s="244"/>
      <c r="CB128" s="244"/>
      <c r="CC128" s="244"/>
      <c r="CD128" s="244"/>
      <c r="CE128" s="244"/>
      <c r="CF128" s="244"/>
    </row>
    <row r="129">
      <c r="A129" s="244"/>
      <c r="B129" s="246"/>
      <c r="C129" s="244"/>
      <c r="D129" s="244"/>
      <c r="E129" s="244"/>
      <c r="F129" s="244"/>
      <c r="G129" s="244"/>
      <c r="H129" s="244"/>
      <c r="I129" s="244"/>
      <c r="J129" s="244"/>
      <c r="K129" s="244"/>
      <c r="L129" s="244"/>
      <c r="M129" s="244"/>
      <c r="N129" s="244"/>
      <c r="O129" s="244"/>
      <c r="P129" s="244"/>
      <c r="Q129" s="244"/>
      <c r="R129" s="244"/>
      <c r="S129" s="244"/>
      <c r="T129" s="244"/>
      <c r="U129" s="244"/>
      <c r="V129" s="244"/>
      <c r="W129" s="244"/>
      <c r="X129" s="244"/>
      <c r="Y129" s="244"/>
      <c r="Z129" s="244"/>
      <c r="AA129" s="244"/>
      <c r="AB129" s="244"/>
      <c r="AC129" s="244"/>
      <c r="AD129" s="244"/>
      <c r="AE129" s="244"/>
      <c r="AF129" s="244"/>
      <c r="AG129" s="244"/>
      <c r="AH129" s="244"/>
      <c r="AI129" s="244"/>
      <c r="AJ129" s="244"/>
      <c r="AK129" s="244"/>
      <c r="AL129" s="244"/>
      <c r="AM129" s="244"/>
      <c r="AN129" s="244"/>
      <c r="AO129" s="244"/>
      <c r="AP129" s="244"/>
      <c r="AQ129" s="244"/>
      <c r="AR129" s="244"/>
      <c r="AS129" s="244"/>
      <c r="AT129" s="244"/>
      <c r="AU129" s="244"/>
      <c r="AV129" s="244"/>
      <c r="AW129" s="244"/>
      <c r="AX129" s="244"/>
      <c r="AY129" s="244"/>
      <c r="AZ129" s="244"/>
      <c r="BA129" s="244"/>
      <c r="BB129" s="244"/>
      <c r="BC129" s="244"/>
      <c r="BD129" s="244"/>
      <c r="BE129" s="244"/>
      <c r="BF129" s="244"/>
      <c r="BG129" s="244"/>
      <c r="BH129" s="244"/>
      <c r="BI129" s="244"/>
      <c r="BJ129" s="244"/>
      <c r="BK129" s="244"/>
      <c r="BL129" s="244"/>
      <c r="BM129" s="244"/>
      <c r="BN129" s="244"/>
      <c r="BO129" s="244"/>
      <c r="BP129" s="244"/>
      <c r="BQ129" s="244"/>
      <c r="BR129" s="244"/>
      <c r="BS129" s="244"/>
      <c r="BT129" s="244"/>
      <c r="BU129" s="244"/>
      <c r="BV129" s="244"/>
      <c r="BW129" s="244"/>
      <c r="BX129" s="244"/>
      <c r="BY129" s="244"/>
      <c r="BZ129" s="244"/>
      <c r="CA129" s="244"/>
      <c r="CB129" s="244"/>
      <c r="CC129" s="244"/>
      <c r="CD129" s="244"/>
      <c r="CE129" s="244"/>
      <c r="CF129" s="244"/>
    </row>
    <row r="130">
      <c r="A130" s="244"/>
      <c r="B130" s="246"/>
      <c r="C130" s="244"/>
      <c r="D130" s="244"/>
      <c r="E130" s="244"/>
      <c r="F130" s="244"/>
      <c r="G130" s="244"/>
      <c r="H130" s="244"/>
      <c r="I130" s="244"/>
      <c r="J130" s="244"/>
      <c r="K130" s="244"/>
      <c r="L130" s="244"/>
      <c r="M130" s="244"/>
      <c r="N130" s="244"/>
      <c r="O130" s="244"/>
      <c r="P130" s="244"/>
      <c r="Q130" s="244"/>
      <c r="R130" s="244"/>
      <c r="S130" s="244"/>
      <c r="T130" s="244"/>
      <c r="U130" s="244"/>
      <c r="V130" s="244"/>
      <c r="W130" s="244"/>
      <c r="X130" s="244"/>
      <c r="Y130" s="244"/>
      <c r="Z130" s="244"/>
      <c r="AA130" s="244"/>
      <c r="AB130" s="244"/>
      <c r="AC130" s="244"/>
      <c r="AD130" s="244"/>
      <c r="AE130" s="244"/>
      <c r="AF130" s="244"/>
      <c r="AG130" s="244"/>
      <c r="AH130" s="244"/>
      <c r="AI130" s="244"/>
      <c r="AJ130" s="244"/>
      <c r="AK130" s="244"/>
      <c r="AL130" s="244"/>
      <c r="AM130" s="244"/>
      <c r="AN130" s="244"/>
      <c r="AO130" s="244"/>
      <c r="AP130" s="244"/>
      <c r="AQ130" s="244"/>
      <c r="AR130" s="244"/>
      <c r="AS130" s="244"/>
      <c r="AT130" s="244"/>
      <c r="AU130" s="244"/>
      <c r="AV130" s="244"/>
      <c r="AW130" s="244"/>
      <c r="AX130" s="244"/>
      <c r="AY130" s="244"/>
      <c r="AZ130" s="244"/>
      <c r="BA130" s="244"/>
      <c r="BB130" s="244"/>
      <c r="BC130" s="244"/>
      <c r="BD130" s="244"/>
      <c r="BE130" s="244"/>
      <c r="BF130" s="244"/>
      <c r="BG130" s="244"/>
      <c r="BH130" s="244"/>
      <c r="BI130" s="244"/>
      <c r="BJ130" s="244"/>
      <c r="BK130" s="244"/>
      <c r="BL130" s="244"/>
      <c r="BM130" s="244"/>
      <c r="BN130" s="244"/>
      <c r="BO130" s="244"/>
      <c r="BP130" s="244"/>
      <c r="BQ130" s="244"/>
      <c r="BR130" s="244"/>
      <c r="BS130" s="244"/>
      <c r="BT130" s="244"/>
      <c r="BU130" s="244"/>
      <c r="BV130" s="244"/>
      <c r="BW130" s="244"/>
      <c r="BX130" s="244"/>
      <c r="BY130" s="244"/>
      <c r="BZ130" s="244"/>
      <c r="CA130" s="244"/>
      <c r="CB130" s="244"/>
      <c r="CC130" s="244"/>
      <c r="CD130" s="244"/>
      <c r="CE130" s="244"/>
      <c r="CF130" s="244"/>
    </row>
    <row r="131">
      <c r="A131" s="244"/>
      <c r="B131" s="246"/>
      <c r="C131" s="244"/>
      <c r="D131" s="244"/>
      <c r="E131" s="244"/>
      <c r="F131" s="244"/>
      <c r="G131" s="244"/>
      <c r="H131" s="244"/>
      <c r="I131" s="244"/>
      <c r="J131" s="244"/>
      <c r="K131" s="244"/>
      <c r="L131" s="244"/>
      <c r="M131" s="244"/>
      <c r="N131" s="244"/>
      <c r="O131" s="244"/>
      <c r="P131" s="244"/>
      <c r="Q131" s="244"/>
      <c r="R131" s="244"/>
      <c r="S131" s="244"/>
      <c r="T131" s="244"/>
      <c r="U131" s="244"/>
      <c r="V131" s="244"/>
      <c r="W131" s="244"/>
      <c r="X131" s="244"/>
      <c r="Y131" s="244"/>
      <c r="Z131" s="244"/>
      <c r="AA131" s="244"/>
      <c r="AB131" s="244"/>
      <c r="AC131" s="244"/>
      <c r="AD131" s="244"/>
      <c r="AE131" s="244"/>
      <c r="AF131" s="244"/>
      <c r="AG131" s="244"/>
      <c r="AH131" s="244"/>
      <c r="AI131" s="244"/>
      <c r="AJ131" s="244"/>
      <c r="AK131" s="244"/>
      <c r="AL131" s="244"/>
      <c r="AM131" s="244"/>
      <c r="AN131" s="244"/>
      <c r="AO131" s="244"/>
      <c r="AP131" s="244"/>
      <c r="AQ131" s="244"/>
      <c r="AR131" s="244"/>
      <c r="AS131" s="244"/>
      <c r="AT131" s="244"/>
      <c r="AU131" s="244"/>
      <c r="AV131" s="244"/>
      <c r="AW131" s="244"/>
      <c r="AX131" s="244"/>
      <c r="AY131" s="244"/>
      <c r="AZ131" s="244"/>
      <c r="BA131" s="244"/>
      <c r="BB131" s="244"/>
      <c r="BC131" s="244"/>
      <c r="BD131" s="244"/>
      <c r="BE131" s="244"/>
      <c r="BF131" s="244"/>
      <c r="BG131" s="244"/>
      <c r="BH131" s="244"/>
      <c r="BI131" s="244"/>
      <c r="BJ131" s="244"/>
      <c r="BK131" s="244"/>
      <c r="BL131" s="244"/>
      <c r="BM131" s="244"/>
      <c r="BN131" s="244"/>
      <c r="BO131" s="244"/>
      <c r="BP131" s="244"/>
      <c r="BQ131" s="244"/>
      <c r="BR131" s="244"/>
      <c r="BS131" s="244"/>
      <c r="BT131" s="244"/>
      <c r="BU131" s="244"/>
      <c r="BV131" s="244"/>
      <c r="BW131" s="244"/>
      <c r="BX131" s="244"/>
      <c r="BY131" s="244"/>
      <c r="BZ131" s="244"/>
      <c r="CA131" s="244"/>
      <c r="CB131" s="244"/>
      <c r="CC131" s="244"/>
      <c r="CD131" s="244"/>
      <c r="CE131" s="244"/>
      <c r="CF131" s="244"/>
    </row>
    <row r="132">
      <c r="A132" s="244"/>
      <c r="B132" s="246"/>
      <c r="C132" s="244"/>
      <c r="D132" s="244"/>
      <c r="E132" s="244"/>
      <c r="F132" s="244"/>
      <c r="G132" s="244"/>
      <c r="H132" s="244"/>
      <c r="I132" s="244"/>
      <c r="J132" s="244"/>
      <c r="K132" s="244"/>
      <c r="L132" s="244"/>
      <c r="M132" s="244"/>
      <c r="N132" s="244"/>
      <c r="O132" s="244"/>
      <c r="P132" s="244"/>
      <c r="Q132" s="244"/>
      <c r="R132" s="244"/>
      <c r="S132" s="244"/>
      <c r="T132" s="244"/>
      <c r="U132" s="244"/>
      <c r="V132" s="244"/>
      <c r="W132" s="244"/>
      <c r="X132" s="244"/>
      <c r="Y132" s="244"/>
      <c r="Z132" s="244"/>
      <c r="AA132" s="244"/>
      <c r="AB132" s="244"/>
      <c r="AC132" s="244"/>
      <c r="AD132" s="244"/>
      <c r="AE132" s="244"/>
      <c r="AF132" s="244"/>
      <c r="AG132" s="244"/>
      <c r="AH132" s="244"/>
      <c r="AI132" s="244"/>
      <c r="AJ132" s="244"/>
      <c r="AK132" s="244"/>
      <c r="AL132" s="244"/>
      <c r="AM132" s="244"/>
      <c r="AN132" s="244"/>
      <c r="AO132" s="244"/>
      <c r="AP132" s="244"/>
      <c r="AQ132" s="244"/>
      <c r="AR132" s="244"/>
      <c r="AS132" s="244"/>
      <c r="AT132" s="244"/>
      <c r="AU132" s="244"/>
      <c r="AV132" s="244"/>
      <c r="AW132" s="244"/>
      <c r="AX132" s="244"/>
      <c r="AY132" s="244"/>
      <c r="AZ132" s="244"/>
      <c r="BA132" s="244"/>
      <c r="BB132" s="244"/>
      <c r="BC132" s="244"/>
      <c r="BD132" s="244"/>
      <c r="BE132" s="244"/>
      <c r="BF132" s="244"/>
      <c r="BG132" s="244"/>
      <c r="BH132" s="244"/>
      <c r="BI132" s="244"/>
      <c r="BJ132" s="244"/>
      <c r="BK132" s="244"/>
      <c r="BL132" s="244"/>
      <c r="BM132" s="244"/>
      <c r="BN132" s="244"/>
      <c r="BO132" s="244"/>
      <c r="BP132" s="244"/>
      <c r="BQ132" s="244"/>
      <c r="BR132" s="244"/>
      <c r="BS132" s="244"/>
      <c r="BT132" s="244"/>
      <c r="BU132" s="244"/>
      <c r="BV132" s="244"/>
      <c r="BW132" s="244"/>
      <c r="BX132" s="244"/>
      <c r="BY132" s="244"/>
      <c r="BZ132" s="244"/>
      <c r="CA132" s="244"/>
      <c r="CB132" s="244"/>
      <c r="CC132" s="244"/>
      <c r="CD132" s="244"/>
      <c r="CE132" s="244"/>
      <c r="CF132" s="244"/>
    </row>
    <row r="133">
      <c r="A133" s="244"/>
      <c r="B133" s="246"/>
      <c r="C133" s="244"/>
      <c r="D133" s="244"/>
      <c r="E133" s="244"/>
      <c r="F133" s="244"/>
      <c r="G133" s="244"/>
      <c r="H133" s="244"/>
      <c r="I133" s="244"/>
      <c r="J133" s="244"/>
      <c r="K133" s="244"/>
      <c r="L133" s="244"/>
      <c r="M133" s="244"/>
      <c r="N133" s="244"/>
      <c r="O133" s="244"/>
      <c r="P133" s="244"/>
      <c r="Q133" s="244"/>
      <c r="R133" s="244"/>
      <c r="S133" s="244"/>
      <c r="T133" s="244"/>
      <c r="U133" s="244"/>
      <c r="V133" s="244"/>
      <c r="W133" s="244"/>
      <c r="X133" s="244"/>
      <c r="Y133" s="244"/>
      <c r="Z133" s="244"/>
      <c r="AA133" s="244"/>
      <c r="AB133" s="244"/>
      <c r="AC133" s="244"/>
      <c r="AD133" s="244"/>
      <c r="AE133" s="244"/>
      <c r="AF133" s="244"/>
      <c r="AG133" s="244"/>
      <c r="AH133" s="244"/>
      <c r="AI133" s="244"/>
      <c r="AJ133" s="244"/>
      <c r="AK133" s="244"/>
      <c r="AL133" s="244"/>
      <c r="AM133" s="244"/>
      <c r="AN133" s="244"/>
      <c r="AO133" s="244"/>
      <c r="AP133" s="244"/>
      <c r="AQ133" s="244"/>
      <c r="AR133" s="244"/>
      <c r="AS133" s="244"/>
      <c r="AT133" s="244"/>
      <c r="AU133" s="244"/>
      <c r="AV133" s="244"/>
      <c r="AW133" s="244"/>
      <c r="AX133" s="244"/>
      <c r="AY133" s="244"/>
      <c r="AZ133" s="244"/>
      <c r="BA133" s="244"/>
      <c r="BB133" s="244"/>
      <c r="BC133" s="244"/>
      <c r="BD133" s="244"/>
      <c r="BE133" s="244"/>
      <c r="BF133" s="244"/>
      <c r="BG133" s="244"/>
      <c r="BH133" s="244"/>
      <c r="BI133" s="244"/>
      <c r="BJ133" s="244"/>
      <c r="BK133" s="244"/>
      <c r="BL133" s="244"/>
      <c r="BM133" s="244"/>
      <c r="BN133" s="244"/>
      <c r="BO133" s="244"/>
      <c r="BP133" s="244"/>
      <c r="BQ133" s="244"/>
      <c r="BR133" s="244"/>
      <c r="BS133" s="244"/>
      <c r="BT133" s="244"/>
      <c r="BU133" s="244"/>
      <c r="BV133" s="244"/>
      <c r="BW133" s="244"/>
      <c r="BX133" s="244"/>
      <c r="BY133" s="244"/>
      <c r="BZ133" s="244"/>
      <c r="CA133" s="244"/>
      <c r="CB133" s="244"/>
      <c r="CC133" s="244"/>
      <c r="CD133" s="244"/>
      <c r="CE133" s="244"/>
      <c r="CF133" s="244"/>
    </row>
    <row r="134">
      <c r="A134" s="244"/>
      <c r="B134" s="246"/>
      <c r="C134" s="244"/>
      <c r="D134" s="244"/>
      <c r="E134" s="244"/>
      <c r="F134" s="244"/>
      <c r="G134" s="244"/>
      <c r="H134" s="244"/>
      <c r="I134" s="244"/>
      <c r="J134" s="244"/>
      <c r="K134" s="244"/>
      <c r="L134" s="244"/>
      <c r="M134" s="244"/>
      <c r="N134" s="244"/>
      <c r="O134" s="244"/>
      <c r="P134" s="244"/>
      <c r="Q134" s="244"/>
      <c r="R134" s="244"/>
      <c r="S134" s="244"/>
      <c r="T134" s="244"/>
      <c r="U134" s="244"/>
      <c r="V134" s="244"/>
      <c r="W134" s="244"/>
      <c r="X134" s="244"/>
      <c r="Y134" s="244"/>
      <c r="Z134" s="244"/>
      <c r="AA134" s="244"/>
      <c r="AB134" s="244"/>
      <c r="AC134" s="244"/>
      <c r="AD134" s="244"/>
      <c r="AE134" s="244"/>
      <c r="AF134" s="244"/>
      <c r="AG134" s="244"/>
      <c r="AH134" s="244"/>
      <c r="AI134" s="244"/>
      <c r="AJ134" s="244"/>
      <c r="AK134" s="244"/>
      <c r="AL134" s="244"/>
      <c r="AM134" s="244"/>
      <c r="AN134" s="244"/>
      <c r="AO134" s="244"/>
      <c r="AP134" s="244"/>
      <c r="AQ134" s="244"/>
      <c r="AR134" s="244"/>
      <c r="AS134" s="244"/>
      <c r="AT134" s="244"/>
      <c r="AU134" s="244"/>
      <c r="AV134" s="244"/>
      <c r="AW134" s="244"/>
      <c r="AX134" s="244"/>
      <c r="AY134" s="244"/>
      <c r="AZ134" s="244"/>
      <c r="BA134" s="244"/>
      <c r="BB134" s="244"/>
      <c r="BC134" s="244"/>
      <c r="BD134" s="244"/>
      <c r="BE134" s="244"/>
      <c r="BF134" s="244"/>
      <c r="BG134" s="244"/>
      <c r="BH134" s="244"/>
      <c r="BI134" s="244"/>
      <c r="BJ134" s="244"/>
      <c r="BK134" s="244"/>
      <c r="BL134" s="244"/>
      <c r="BM134" s="244"/>
      <c r="BN134" s="244"/>
      <c r="BO134" s="244"/>
      <c r="BP134" s="244"/>
      <c r="BQ134" s="244"/>
      <c r="BR134" s="244"/>
      <c r="BS134" s="244"/>
      <c r="BT134" s="244"/>
      <c r="BU134" s="244"/>
      <c r="BV134" s="244"/>
      <c r="BW134" s="244"/>
      <c r="BX134" s="244"/>
      <c r="BY134" s="244"/>
      <c r="BZ134" s="244"/>
      <c r="CA134" s="244"/>
      <c r="CB134" s="244"/>
      <c r="CC134" s="244"/>
      <c r="CD134" s="244"/>
      <c r="CE134" s="244"/>
      <c r="CF134" s="244"/>
    </row>
    <row r="135">
      <c r="A135" s="244"/>
      <c r="B135" s="246"/>
      <c r="C135" s="244"/>
      <c r="D135" s="244"/>
      <c r="E135" s="244"/>
      <c r="F135" s="244"/>
      <c r="G135" s="244"/>
      <c r="H135" s="244"/>
      <c r="I135" s="244"/>
      <c r="J135" s="244"/>
      <c r="K135" s="244"/>
      <c r="L135" s="244"/>
      <c r="M135" s="244"/>
      <c r="N135" s="244"/>
      <c r="O135" s="244"/>
      <c r="P135" s="244"/>
      <c r="Q135" s="244"/>
      <c r="R135" s="244"/>
      <c r="S135" s="244"/>
      <c r="T135" s="244"/>
      <c r="U135" s="244"/>
      <c r="V135" s="244"/>
      <c r="W135" s="244"/>
      <c r="X135" s="244"/>
      <c r="Y135" s="244"/>
      <c r="Z135" s="244"/>
      <c r="AA135" s="244"/>
      <c r="AB135" s="244"/>
      <c r="AC135" s="244"/>
      <c r="AD135" s="244"/>
      <c r="AE135" s="244"/>
      <c r="AF135" s="244"/>
      <c r="AG135" s="244"/>
      <c r="AH135" s="244"/>
      <c r="AI135" s="244"/>
      <c r="AJ135" s="244"/>
      <c r="AK135" s="244"/>
      <c r="AL135" s="244"/>
      <c r="AM135" s="244"/>
      <c r="AN135" s="244"/>
      <c r="AO135" s="244"/>
      <c r="AP135" s="244"/>
      <c r="AQ135" s="244"/>
      <c r="AR135" s="244"/>
      <c r="AS135" s="244"/>
      <c r="AT135" s="244"/>
      <c r="AU135" s="244"/>
      <c r="AV135" s="244"/>
      <c r="AW135" s="244"/>
      <c r="AX135" s="244"/>
      <c r="AY135" s="244"/>
      <c r="AZ135" s="244"/>
      <c r="BA135" s="244"/>
      <c r="BB135" s="244"/>
      <c r="BC135" s="244"/>
      <c r="BD135" s="244"/>
      <c r="BE135" s="244"/>
      <c r="BF135" s="244"/>
      <c r="BG135" s="244"/>
      <c r="BH135" s="244"/>
      <c r="BI135" s="244"/>
      <c r="BJ135" s="244"/>
      <c r="BK135" s="244"/>
      <c r="BL135" s="244"/>
      <c r="BM135" s="244"/>
      <c r="BN135" s="244"/>
      <c r="BO135" s="244"/>
      <c r="BP135" s="244"/>
      <c r="BQ135" s="244"/>
      <c r="BR135" s="244"/>
      <c r="BS135" s="244"/>
      <c r="BT135" s="244"/>
      <c r="BU135" s="244"/>
      <c r="BV135" s="244"/>
      <c r="BW135" s="244"/>
      <c r="BX135" s="244"/>
      <c r="BY135" s="244"/>
      <c r="BZ135" s="244"/>
      <c r="CA135" s="244"/>
      <c r="CB135" s="244"/>
      <c r="CC135" s="244"/>
      <c r="CD135" s="244"/>
      <c r="CE135" s="244"/>
      <c r="CF135" s="244"/>
    </row>
    <row r="136">
      <c r="A136" s="244"/>
      <c r="B136" s="246"/>
      <c r="C136" s="244"/>
      <c r="D136" s="244"/>
      <c r="E136" s="244"/>
      <c r="F136" s="244"/>
      <c r="G136" s="244"/>
      <c r="H136" s="244"/>
      <c r="I136" s="244"/>
      <c r="J136" s="244"/>
      <c r="K136" s="244"/>
      <c r="L136" s="244"/>
      <c r="M136" s="244"/>
      <c r="N136" s="244"/>
      <c r="O136" s="244"/>
      <c r="P136" s="244"/>
      <c r="Q136" s="244"/>
      <c r="R136" s="244"/>
      <c r="S136" s="244"/>
      <c r="T136" s="244"/>
      <c r="U136" s="244"/>
      <c r="V136" s="244"/>
      <c r="W136" s="244"/>
      <c r="X136" s="244"/>
      <c r="Y136" s="244"/>
      <c r="Z136" s="244"/>
      <c r="AA136" s="244"/>
      <c r="AB136" s="244"/>
      <c r="AC136" s="244"/>
      <c r="AD136" s="244"/>
      <c r="AE136" s="244"/>
      <c r="AF136" s="244"/>
      <c r="AG136" s="244"/>
      <c r="AH136" s="244"/>
      <c r="AI136" s="244"/>
      <c r="AJ136" s="244"/>
      <c r="AK136" s="244"/>
      <c r="AL136" s="244"/>
      <c r="AM136" s="244"/>
      <c r="AN136" s="244"/>
      <c r="AO136" s="244"/>
      <c r="AP136" s="244"/>
      <c r="AQ136" s="244"/>
      <c r="AR136" s="244"/>
      <c r="AS136" s="244"/>
      <c r="AT136" s="244"/>
      <c r="AU136" s="244"/>
      <c r="AV136" s="244"/>
      <c r="AW136" s="244"/>
      <c r="AX136" s="244"/>
      <c r="AY136" s="244"/>
      <c r="AZ136" s="244"/>
      <c r="BA136" s="244"/>
      <c r="BB136" s="244"/>
      <c r="BC136" s="244"/>
      <c r="BD136" s="244"/>
      <c r="BE136" s="244"/>
      <c r="BF136" s="244"/>
      <c r="BG136" s="244"/>
      <c r="BH136" s="244"/>
      <c r="BI136" s="244"/>
      <c r="BJ136" s="244"/>
      <c r="BK136" s="244"/>
      <c r="BL136" s="244"/>
      <c r="BM136" s="244"/>
      <c r="BN136" s="244"/>
      <c r="BO136" s="244"/>
      <c r="BP136" s="244"/>
      <c r="BQ136" s="244"/>
      <c r="BR136" s="244"/>
      <c r="BS136" s="244"/>
      <c r="BT136" s="244"/>
      <c r="BU136" s="244"/>
      <c r="BV136" s="244"/>
      <c r="BW136" s="244"/>
      <c r="BX136" s="244"/>
      <c r="BY136" s="244"/>
      <c r="BZ136" s="244"/>
      <c r="CA136" s="244"/>
      <c r="CB136" s="244"/>
      <c r="CC136" s="244"/>
      <c r="CD136" s="244"/>
      <c r="CE136" s="244"/>
      <c r="CF136" s="244"/>
    </row>
    <row r="137">
      <c r="A137" s="244"/>
      <c r="B137" s="246"/>
      <c r="C137" s="244"/>
      <c r="D137" s="244"/>
      <c r="E137" s="244"/>
      <c r="F137" s="244"/>
      <c r="G137" s="244"/>
      <c r="H137" s="244"/>
      <c r="I137" s="244"/>
      <c r="J137" s="244"/>
      <c r="K137" s="244"/>
      <c r="L137" s="244"/>
      <c r="M137" s="244"/>
      <c r="N137" s="244"/>
      <c r="O137" s="244"/>
      <c r="P137" s="244"/>
      <c r="Q137" s="244"/>
      <c r="R137" s="244"/>
      <c r="S137" s="244"/>
      <c r="T137" s="244"/>
      <c r="U137" s="244"/>
      <c r="V137" s="244"/>
      <c r="W137" s="244"/>
      <c r="X137" s="244"/>
      <c r="Y137" s="244"/>
      <c r="Z137" s="244"/>
      <c r="AA137" s="244"/>
      <c r="AB137" s="244"/>
      <c r="AC137" s="244"/>
      <c r="AD137" s="244"/>
      <c r="AE137" s="244"/>
      <c r="AF137" s="244"/>
      <c r="AG137" s="244"/>
      <c r="AH137" s="244"/>
      <c r="AI137" s="244"/>
      <c r="AJ137" s="244"/>
      <c r="AK137" s="244"/>
      <c r="AL137" s="244"/>
      <c r="AM137" s="244"/>
      <c r="AN137" s="244"/>
      <c r="AO137" s="244"/>
      <c r="AP137" s="244"/>
      <c r="AQ137" s="244"/>
      <c r="AR137" s="244"/>
      <c r="AS137" s="244"/>
      <c r="AT137" s="244"/>
      <c r="AU137" s="244"/>
      <c r="AV137" s="244"/>
      <c r="AW137" s="244"/>
      <c r="AX137" s="244"/>
      <c r="AY137" s="244"/>
      <c r="AZ137" s="244"/>
      <c r="BA137" s="244"/>
      <c r="BB137" s="244"/>
      <c r="BC137" s="244"/>
      <c r="BD137" s="244"/>
      <c r="BE137" s="244"/>
      <c r="BF137" s="244"/>
      <c r="BG137" s="244"/>
      <c r="BH137" s="244"/>
      <c r="BI137" s="244"/>
      <c r="BJ137" s="244"/>
      <c r="BK137" s="244"/>
      <c r="BL137" s="244"/>
      <c r="BM137" s="244"/>
      <c r="BN137" s="244"/>
      <c r="BO137" s="244"/>
      <c r="BP137" s="244"/>
      <c r="BQ137" s="244"/>
      <c r="BR137" s="244"/>
      <c r="BS137" s="244"/>
      <c r="BT137" s="244"/>
      <c r="BU137" s="244"/>
      <c r="BV137" s="244"/>
      <c r="BW137" s="244"/>
      <c r="BX137" s="244"/>
      <c r="BY137" s="244"/>
      <c r="BZ137" s="244"/>
      <c r="CA137" s="244"/>
      <c r="CB137" s="244"/>
      <c r="CC137" s="244"/>
      <c r="CD137" s="244"/>
      <c r="CE137" s="244"/>
      <c r="CF137" s="244"/>
    </row>
    <row r="138">
      <c r="A138" s="244"/>
      <c r="B138" s="246"/>
      <c r="C138" s="244"/>
      <c r="D138" s="244"/>
      <c r="E138" s="244"/>
      <c r="F138" s="244"/>
      <c r="G138" s="244"/>
      <c r="H138" s="244"/>
      <c r="I138" s="244"/>
      <c r="J138" s="244"/>
      <c r="K138" s="244"/>
      <c r="L138" s="244"/>
      <c r="M138" s="244"/>
      <c r="N138" s="244"/>
      <c r="O138" s="244"/>
      <c r="P138" s="244"/>
      <c r="Q138" s="244"/>
      <c r="R138" s="244"/>
      <c r="S138" s="244"/>
      <c r="T138" s="244"/>
      <c r="U138" s="244"/>
      <c r="V138" s="244"/>
      <c r="W138" s="244"/>
      <c r="X138" s="244"/>
      <c r="Y138" s="244"/>
      <c r="Z138" s="244"/>
      <c r="AA138" s="244"/>
      <c r="AB138" s="244"/>
      <c r="AC138" s="244"/>
      <c r="AD138" s="244"/>
      <c r="AE138" s="244"/>
      <c r="AF138" s="244"/>
      <c r="AG138" s="244"/>
      <c r="AH138" s="244"/>
      <c r="AI138" s="244"/>
      <c r="AJ138" s="244"/>
      <c r="AK138" s="244"/>
      <c r="AL138" s="244"/>
      <c r="AM138" s="244"/>
      <c r="AN138" s="244"/>
      <c r="AO138" s="244"/>
      <c r="AP138" s="244"/>
      <c r="AQ138" s="244"/>
      <c r="AR138" s="244"/>
      <c r="AS138" s="244"/>
      <c r="AT138" s="244"/>
      <c r="AU138" s="244"/>
      <c r="AV138" s="244"/>
      <c r="AW138" s="244"/>
      <c r="AX138" s="244"/>
      <c r="AY138" s="244"/>
      <c r="AZ138" s="244"/>
      <c r="BA138" s="244"/>
      <c r="BB138" s="244"/>
      <c r="BC138" s="244"/>
      <c r="BD138" s="244"/>
      <c r="BE138" s="244"/>
      <c r="BF138" s="244"/>
      <c r="BG138" s="244"/>
      <c r="BH138" s="244"/>
      <c r="BI138" s="244"/>
      <c r="BJ138" s="244"/>
      <c r="BK138" s="244"/>
      <c r="BL138" s="244"/>
      <c r="BM138" s="244"/>
      <c r="BN138" s="244"/>
      <c r="BO138" s="244"/>
      <c r="BP138" s="244"/>
      <c r="BQ138" s="244"/>
      <c r="BR138" s="244"/>
      <c r="BS138" s="244"/>
      <c r="BT138" s="244"/>
      <c r="BU138" s="244"/>
      <c r="BV138" s="244"/>
      <c r="BW138" s="244"/>
      <c r="BX138" s="244"/>
      <c r="BY138" s="244"/>
      <c r="BZ138" s="244"/>
      <c r="CA138" s="244"/>
      <c r="CB138" s="244"/>
      <c r="CC138" s="244"/>
      <c r="CD138" s="244"/>
      <c r="CE138" s="244"/>
      <c r="CF138" s="244"/>
    </row>
    <row r="139">
      <c r="A139" s="244"/>
      <c r="B139" s="246"/>
      <c r="C139" s="244"/>
      <c r="D139" s="244"/>
      <c r="E139" s="244"/>
      <c r="F139" s="244"/>
      <c r="G139" s="244"/>
      <c r="H139" s="244"/>
      <c r="I139" s="244"/>
      <c r="J139" s="244"/>
      <c r="K139" s="244"/>
      <c r="L139" s="244"/>
      <c r="M139" s="244"/>
      <c r="N139" s="244"/>
      <c r="O139" s="244"/>
      <c r="P139" s="244"/>
      <c r="Q139" s="244"/>
      <c r="R139" s="244"/>
      <c r="S139" s="244"/>
      <c r="T139" s="244"/>
      <c r="U139" s="244"/>
      <c r="V139" s="244"/>
      <c r="W139" s="244"/>
      <c r="X139" s="244"/>
      <c r="Y139" s="244"/>
      <c r="Z139" s="244"/>
      <c r="AA139" s="244"/>
      <c r="AB139" s="244"/>
      <c r="AC139" s="244"/>
      <c r="AD139" s="244"/>
      <c r="AE139" s="244"/>
      <c r="AF139" s="244"/>
      <c r="AG139" s="244"/>
      <c r="AH139" s="244"/>
      <c r="AI139" s="244"/>
      <c r="AJ139" s="244"/>
      <c r="AK139" s="244"/>
      <c r="AL139" s="244"/>
      <c r="AM139" s="244"/>
      <c r="AN139" s="244"/>
      <c r="AO139" s="244"/>
      <c r="AP139" s="244"/>
      <c r="AQ139" s="244"/>
      <c r="AR139" s="244"/>
      <c r="AS139" s="244"/>
      <c r="AT139" s="244"/>
      <c r="AU139" s="244"/>
      <c r="AV139" s="244"/>
      <c r="AW139" s="244"/>
      <c r="AX139" s="244"/>
      <c r="AY139" s="244"/>
      <c r="AZ139" s="244"/>
      <c r="BA139" s="244"/>
      <c r="BB139" s="244"/>
      <c r="BC139" s="244"/>
      <c r="BD139" s="244"/>
      <c r="BE139" s="244"/>
      <c r="BF139" s="244"/>
      <c r="BG139" s="244"/>
      <c r="BH139" s="244"/>
      <c r="BI139" s="244"/>
      <c r="BJ139" s="244"/>
      <c r="BK139" s="244"/>
      <c r="BL139" s="244"/>
      <c r="BM139" s="244"/>
      <c r="BN139" s="244"/>
      <c r="BO139" s="244"/>
      <c r="BP139" s="244"/>
      <c r="BQ139" s="244"/>
      <c r="BR139" s="244"/>
      <c r="BS139" s="244"/>
      <c r="BT139" s="244"/>
      <c r="BU139" s="244"/>
      <c r="BV139" s="244"/>
      <c r="BW139" s="244"/>
      <c r="BX139" s="244"/>
      <c r="BY139" s="244"/>
      <c r="BZ139" s="244"/>
      <c r="CA139" s="244"/>
      <c r="CB139" s="244"/>
      <c r="CC139" s="244"/>
      <c r="CD139" s="244"/>
      <c r="CE139" s="244"/>
      <c r="CF139" s="244"/>
    </row>
    <row r="140">
      <c r="A140" s="244"/>
      <c r="B140" s="246"/>
      <c r="C140" s="244"/>
      <c r="D140" s="244"/>
      <c r="E140" s="244"/>
      <c r="F140" s="244"/>
      <c r="G140" s="244"/>
      <c r="H140" s="244"/>
      <c r="I140" s="244"/>
      <c r="J140" s="244"/>
      <c r="K140" s="244"/>
      <c r="L140" s="244"/>
      <c r="M140" s="244"/>
      <c r="N140" s="244"/>
      <c r="O140" s="244"/>
      <c r="P140" s="244"/>
      <c r="Q140" s="244"/>
      <c r="R140" s="244"/>
      <c r="S140" s="244"/>
      <c r="T140" s="244"/>
      <c r="U140" s="244"/>
      <c r="V140" s="244"/>
      <c r="W140" s="244"/>
      <c r="X140" s="244"/>
      <c r="Y140" s="244"/>
      <c r="Z140" s="244"/>
      <c r="AA140" s="244"/>
      <c r="AB140" s="244"/>
      <c r="AC140" s="244"/>
      <c r="AD140" s="244"/>
      <c r="AE140" s="244"/>
      <c r="AF140" s="244"/>
      <c r="AG140" s="244"/>
      <c r="AH140" s="244"/>
      <c r="AI140" s="244"/>
      <c r="AJ140" s="244"/>
      <c r="AK140" s="244"/>
      <c r="AL140" s="244"/>
      <c r="AM140" s="244"/>
      <c r="AN140" s="244"/>
      <c r="AO140" s="244"/>
      <c r="AP140" s="244"/>
      <c r="AQ140" s="244"/>
      <c r="AR140" s="244"/>
      <c r="AS140" s="244"/>
      <c r="AT140" s="244"/>
      <c r="AU140" s="244"/>
      <c r="AV140" s="244"/>
      <c r="AW140" s="244"/>
      <c r="AX140" s="244"/>
      <c r="AY140" s="244"/>
      <c r="AZ140" s="244"/>
      <c r="BA140" s="244"/>
      <c r="BB140" s="244"/>
      <c r="BC140" s="244"/>
      <c r="BD140" s="244"/>
      <c r="BE140" s="244"/>
      <c r="BF140" s="244"/>
      <c r="BG140" s="244"/>
      <c r="BH140" s="244"/>
      <c r="BI140" s="244"/>
      <c r="BJ140" s="244"/>
      <c r="BK140" s="244"/>
      <c r="BL140" s="244"/>
      <c r="BM140" s="244"/>
      <c r="BN140" s="244"/>
      <c r="BO140" s="244"/>
      <c r="BP140" s="244"/>
      <c r="BQ140" s="244"/>
      <c r="BR140" s="244"/>
      <c r="BS140" s="244"/>
      <c r="BT140" s="244"/>
      <c r="BU140" s="244"/>
      <c r="BV140" s="244"/>
      <c r="BW140" s="244"/>
      <c r="BX140" s="244"/>
      <c r="BY140" s="244"/>
      <c r="BZ140" s="244"/>
      <c r="CA140" s="244"/>
      <c r="CB140" s="244"/>
      <c r="CC140" s="244"/>
      <c r="CD140" s="244"/>
      <c r="CE140" s="244"/>
      <c r="CF140" s="244"/>
    </row>
    <row r="141">
      <c r="A141" s="244"/>
      <c r="B141" s="246"/>
      <c r="C141" s="244"/>
      <c r="D141" s="244"/>
      <c r="E141" s="244"/>
      <c r="F141" s="244"/>
      <c r="G141" s="244"/>
      <c r="H141" s="244"/>
      <c r="I141" s="244"/>
      <c r="J141" s="244"/>
      <c r="K141" s="244"/>
      <c r="L141" s="244"/>
      <c r="M141" s="244"/>
      <c r="N141" s="244"/>
      <c r="O141" s="244"/>
      <c r="P141" s="244"/>
      <c r="Q141" s="244"/>
      <c r="R141" s="244"/>
      <c r="S141" s="244"/>
      <c r="T141" s="244"/>
      <c r="U141" s="244"/>
      <c r="V141" s="244"/>
      <c r="W141" s="244"/>
      <c r="X141" s="244"/>
      <c r="Y141" s="244"/>
      <c r="Z141" s="244"/>
      <c r="AA141" s="244"/>
      <c r="AB141" s="244"/>
      <c r="AC141" s="244"/>
      <c r="AD141" s="244"/>
      <c r="AE141" s="244"/>
      <c r="AF141" s="244"/>
      <c r="AG141" s="244"/>
      <c r="AH141" s="244"/>
      <c r="AI141" s="244"/>
      <c r="AJ141" s="244"/>
      <c r="AK141" s="244"/>
      <c r="AL141" s="244"/>
      <c r="AM141" s="244"/>
      <c r="AN141" s="244"/>
      <c r="AO141" s="244"/>
      <c r="AP141" s="244"/>
      <c r="AQ141" s="244"/>
      <c r="AR141" s="244"/>
      <c r="AS141" s="244"/>
      <c r="AT141" s="244"/>
      <c r="AU141" s="244"/>
      <c r="AV141" s="244"/>
      <c r="AW141" s="244"/>
      <c r="AX141" s="244"/>
      <c r="AY141" s="244"/>
      <c r="AZ141" s="244"/>
      <c r="BA141" s="244"/>
      <c r="BB141" s="244"/>
      <c r="BC141" s="244"/>
      <c r="BD141" s="244"/>
      <c r="BE141" s="244"/>
      <c r="BF141" s="244"/>
      <c r="BG141" s="244"/>
      <c r="BH141" s="244"/>
      <c r="BI141" s="244"/>
      <c r="BJ141" s="244"/>
      <c r="BK141" s="244"/>
      <c r="BL141" s="244"/>
      <c r="BM141" s="244"/>
      <c r="BN141" s="244"/>
      <c r="BO141" s="244"/>
      <c r="BP141" s="244"/>
      <c r="BQ141" s="244"/>
      <c r="BR141" s="244"/>
      <c r="BS141" s="244"/>
      <c r="BT141" s="244"/>
      <c r="BU141" s="244"/>
      <c r="BV141" s="244"/>
      <c r="BW141" s="244"/>
      <c r="BX141" s="244"/>
      <c r="BY141" s="244"/>
      <c r="BZ141" s="244"/>
      <c r="CA141" s="244"/>
      <c r="CB141" s="244"/>
      <c r="CC141" s="244"/>
      <c r="CD141" s="244"/>
      <c r="CE141" s="244"/>
      <c r="CF141" s="244"/>
    </row>
    <row r="142">
      <c r="A142" s="244"/>
      <c r="B142" s="246"/>
      <c r="C142" s="244"/>
      <c r="D142" s="244"/>
      <c r="E142" s="244"/>
      <c r="F142" s="244"/>
      <c r="G142" s="244"/>
      <c r="H142" s="244"/>
      <c r="I142" s="244"/>
      <c r="J142" s="244"/>
      <c r="K142" s="244"/>
      <c r="L142" s="244"/>
      <c r="M142" s="244"/>
      <c r="N142" s="244"/>
      <c r="O142" s="244"/>
      <c r="P142" s="244"/>
      <c r="Q142" s="244"/>
      <c r="R142" s="244"/>
      <c r="S142" s="244"/>
      <c r="T142" s="244"/>
      <c r="U142" s="244"/>
      <c r="V142" s="244"/>
      <c r="W142" s="244"/>
      <c r="X142" s="244"/>
      <c r="Y142" s="244"/>
      <c r="Z142" s="244"/>
      <c r="AA142" s="244"/>
      <c r="AB142" s="244"/>
      <c r="AC142" s="244"/>
      <c r="AD142" s="244"/>
      <c r="AE142" s="244"/>
      <c r="AF142" s="244"/>
      <c r="AG142" s="244"/>
      <c r="AH142" s="244"/>
      <c r="AI142" s="244"/>
      <c r="AJ142" s="244"/>
      <c r="AK142" s="244"/>
      <c r="AL142" s="244"/>
      <c r="AM142" s="244"/>
      <c r="AN142" s="244"/>
      <c r="AO142" s="244"/>
      <c r="AP142" s="244"/>
      <c r="AQ142" s="244"/>
      <c r="AR142" s="244"/>
      <c r="AS142" s="244"/>
      <c r="AT142" s="244"/>
      <c r="AU142" s="244"/>
      <c r="AV142" s="244"/>
      <c r="AW142" s="244"/>
      <c r="AX142" s="244"/>
      <c r="AY142" s="244"/>
      <c r="AZ142" s="244"/>
      <c r="BA142" s="244"/>
      <c r="BB142" s="244"/>
      <c r="BC142" s="244"/>
      <c r="BD142" s="244"/>
      <c r="BE142" s="244"/>
      <c r="BF142" s="244"/>
      <c r="BG142" s="244"/>
      <c r="BH142" s="244"/>
      <c r="BI142" s="244"/>
      <c r="BJ142" s="244"/>
      <c r="BK142" s="244"/>
      <c r="BL142" s="244"/>
      <c r="BM142" s="244"/>
      <c r="BN142" s="244"/>
      <c r="BO142" s="244"/>
      <c r="BP142" s="244"/>
      <c r="BQ142" s="244"/>
      <c r="BR142" s="244"/>
      <c r="BS142" s="244"/>
      <c r="BT142" s="244"/>
      <c r="BU142" s="244"/>
      <c r="BV142" s="244"/>
      <c r="BW142" s="244"/>
      <c r="BX142" s="244"/>
      <c r="BY142" s="244"/>
      <c r="BZ142" s="244"/>
      <c r="CA142" s="244"/>
      <c r="CB142" s="244"/>
      <c r="CC142" s="244"/>
      <c r="CD142" s="244"/>
      <c r="CE142" s="244"/>
      <c r="CF142" s="244"/>
    </row>
    <row r="143">
      <c r="A143" s="244"/>
      <c r="B143" s="246"/>
      <c r="C143" s="244"/>
      <c r="D143" s="244"/>
      <c r="E143" s="244"/>
      <c r="F143" s="244"/>
      <c r="G143" s="244"/>
      <c r="H143" s="244"/>
      <c r="I143" s="244"/>
      <c r="J143" s="244"/>
      <c r="K143" s="244"/>
      <c r="L143" s="244"/>
      <c r="M143" s="244"/>
      <c r="N143" s="244"/>
      <c r="O143" s="244"/>
      <c r="P143" s="244"/>
      <c r="Q143" s="244"/>
      <c r="R143" s="244"/>
      <c r="S143" s="244"/>
      <c r="T143" s="244"/>
      <c r="U143" s="244"/>
      <c r="V143" s="244"/>
      <c r="W143" s="244"/>
      <c r="X143" s="244"/>
      <c r="Y143" s="244"/>
      <c r="Z143" s="244"/>
      <c r="AA143" s="244"/>
      <c r="AB143" s="244"/>
      <c r="AC143" s="244"/>
      <c r="AD143" s="244"/>
      <c r="AE143" s="244"/>
      <c r="AF143" s="244"/>
      <c r="AG143" s="244"/>
      <c r="AH143" s="244"/>
      <c r="AI143" s="244"/>
      <c r="AJ143" s="244"/>
      <c r="AK143" s="244"/>
      <c r="AL143" s="244"/>
      <c r="AM143" s="244"/>
      <c r="AN143" s="244"/>
      <c r="AO143" s="244"/>
      <c r="AP143" s="244"/>
      <c r="AQ143" s="244"/>
      <c r="AR143" s="244"/>
      <c r="AS143" s="244"/>
      <c r="AT143" s="244"/>
      <c r="AU143" s="244"/>
      <c r="AV143" s="244"/>
      <c r="AW143" s="244"/>
      <c r="AX143" s="244"/>
      <c r="AY143" s="244"/>
      <c r="AZ143" s="244"/>
      <c r="BA143" s="244"/>
      <c r="BB143" s="244"/>
      <c r="BC143" s="244"/>
      <c r="BD143" s="244"/>
      <c r="BE143" s="244"/>
      <c r="BF143" s="244"/>
      <c r="BG143" s="244"/>
      <c r="BH143" s="244"/>
      <c r="BI143" s="244"/>
      <c r="BJ143" s="244"/>
      <c r="BK143" s="244"/>
      <c r="BL143" s="244"/>
      <c r="BM143" s="244"/>
      <c r="BN143" s="244"/>
      <c r="BO143" s="244"/>
      <c r="BP143" s="244"/>
      <c r="BQ143" s="244"/>
      <c r="BR143" s="244"/>
      <c r="BS143" s="244"/>
      <c r="BT143" s="244"/>
      <c r="BU143" s="244"/>
      <c r="BV143" s="244"/>
      <c r="BW143" s="244"/>
      <c r="BX143" s="244"/>
      <c r="BY143" s="244"/>
      <c r="BZ143" s="244"/>
      <c r="CA143" s="244"/>
      <c r="CB143" s="244"/>
      <c r="CC143" s="244"/>
      <c r="CD143" s="244"/>
      <c r="CE143" s="244"/>
      <c r="CF143" s="244"/>
    </row>
    <row r="144">
      <c r="A144" s="244"/>
      <c r="B144" s="246"/>
      <c r="C144" s="244"/>
      <c r="D144" s="244"/>
      <c r="E144" s="244"/>
      <c r="F144" s="244"/>
      <c r="G144" s="244"/>
      <c r="H144" s="244"/>
      <c r="I144" s="244"/>
      <c r="J144" s="244"/>
      <c r="K144" s="244"/>
      <c r="L144" s="244"/>
      <c r="M144" s="244"/>
      <c r="N144" s="244"/>
      <c r="O144" s="244"/>
      <c r="P144" s="244"/>
      <c r="Q144" s="244"/>
      <c r="R144" s="244"/>
      <c r="S144" s="244"/>
      <c r="T144" s="244"/>
      <c r="U144" s="244"/>
      <c r="V144" s="244"/>
      <c r="W144" s="244"/>
      <c r="X144" s="244"/>
      <c r="Y144" s="244"/>
      <c r="Z144" s="244"/>
      <c r="AA144" s="244"/>
      <c r="AB144" s="244"/>
      <c r="AC144" s="244"/>
      <c r="AD144" s="244"/>
      <c r="AE144" s="244"/>
      <c r="AF144" s="244"/>
      <c r="AG144" s="244"/>
      <c r="AH144" s="244"/>
      <c r="AI144" s="244"/>
      <c r="AJ144" s="244"/>
      <c r="AK144" s="244"/>
      <c r="AL144" s="244"/>
      <c r="AM144" s="244"/>
      <c r="AN144" s="244"/>
      <c r="AO144" s="244"/>
      <c r="AP144" s="244"/>
      <c r="AQ144" s="244"/>
      <c r="AR144" s="244"/>
      <c r="AS144" s="244"/>
      <c r="AT144" s="244"/>
      <c r="AU144" s="244"/>
      <c r="AV144" s="244"/>
      <c r="AW144" s="244"/>
      <c r="AX144" s="244"/>
      <c r="AY144" s="244"/>
      <c r="AZ144" s="244"/>
      <c r="BA144" s="244"/>
      <c r="BB144" s="244"/>
      <c r="BC144" s="244"/>
      <c r="BD144" s="244"/>
      <c r="BE144" s="244"/>
      <c r="BF144" s="244"/>
      <c r="BG144" s="244"/>
      <c r="BH144" s="244"/>
      <c r="BI144" s="244"/>
      <c r="BJ144" s="244"/>
      <c r="BK144" s="244"/>
      <c r="BL144" s="244"/>
      <c r="BM144" s="244"/>
      <c r="BN144" s="244"/>
      <c r="BO144" s="244"/>
      <c r="BP144" s="244"/>
      <c r="BQ144" s="244"/>
      <c r="BR144" s="244"/>
      <c r="BS144" s="244"/>
      <c r="BT144" s="244"/>
      <c r="BU144" s="244"/>
      <c r="BV144" s="244"/>
      <c r="BW144" s="244"/>
      <c r="BX144" s="244"/>
      <c r="BY144" s="244"/>
      <c r="BZ144" s="244"/>
      <c r="CA144" s="244"/>
      <c r="CB144" s="244"/>
      <c r="CC144" s="244"/>
      <c r="CD144" s="244"/>
      <c r="CE144" s="244"/>
      <c r="CF144" s="244"/>
    </row>
    <row r="145">
      <c r="A145" s="244"/>
      <c r="B145" s="246"/>
      <c r="C145" s="244"/>
      <c r="D145" s="244"/>
      <c r="E145" s="244"/>
      <c r="F145" s="244"/>
      <c r="G145" s="244"/>
      <c r="H145" s="244"/>
      <c r="I145" s="244"/>
      <c r="J145" s="244"/>
      <c r="K145" s="244"/>
      <c r="L145" s="244"/>
      <c r="M145" s="244"/>
      <c r="N145" s="244"/>
      <c r="O145" s="244"/>
      <c r="P145" s="244"/>
      <c r="Q145" s="244"/>
      <c r="R145" s="244"/>
      <c r="S145" s="244"/>
      <c r="T145" s="244"/>
      <c r="U145" s="244"/>
      <c r="V145" s="244"/>
      <c r="W145" s="244"/>
      <c r="X145" s="244"/>
      <c r="Y145" s="244"/>
      <c r="Z145" s="244"/>
      <c r="AA145" s="244"/>
      <c r="AB145" s="244"/>
      <c r="AC145" s="244"/>
      <c r="AD145" s="244"/>
      <c r="AE145" s="244"/>
      <c r="AF145" s="244"/>
      <c r="AG145" s="244"/>
      <c r="AH145" s="244"/>
      <c r="AI145" s="244"/>
      <c r="AJ145" s="244"/>
      <c r="AK145" s="244"/>
      <c r="AL145" s="244"/>
      <c r="AM145" s="244"/>
      <c r="AN145" s="244"/>
      <c r="AO145" s="244"/>
      <c r="AP145" s="244"/>
      <c r="AQ145" s="244"/>
      <c r="AR145" s="244"/>
      <c r="AS145" s="244"/>
      <c r="AT145" s="244"/>
      <c r="AU145" s="244"/>
      <c r="AV145" s="244"/>
      <c r="AW145" s="244"/>
      <c r="AX145" s="244"/>
      <c r="AY145" s="244"/>
      <c r="AZ145" s="244"/>
      <c r="BA145" s="244"/>
      <c r="BB145" s="244"/>
      <c r="BC145" s="244"/>
      <c r="BD145" s="244"/>
      <c r="BE145" s="244"/>
      <c r="BF145" s="244"/>
      <c r="BG145" s="244"/>
      <c r="BH145" s="244"/>
      <c r="BI145" s="244"/>
      <c r="BJ145" s="244"/>
      <c r="BK145" s="244"/>
      <c r="BL145" s="244"/>
      <c r="BM145" s="244"/>
      <c r="BN145" s="244"/>
      <c r="BO145" s="244"/>
      <c r="BP145" s="244"/>
      <c r="BQ145" s="244"/>
      <c r="BR145" s="244"/>
      <c r="BS145" s="244"/>
      <c r="BT145" s="244"/>
      <c r="BU145" s="244"/>
      <c r="BV145" s="244"/>
      <c r="BW145" s="244"/>
      <c r="BX145" s="244"/>
      <c r="BY145" s="244"/>
      <c r="BZ145" s="244"/>
      <c r="CA145" s="244"/>
      <c r="CB145" s="244"/>
      <c r="CC145" s="244"/>
      <c r="CD145" s="244"/>
      <c r="CE145" s="244"/>
      <c r="CF145" s="244"/>
    </row>
    <row r="146">
      <c r="A146" s="244"/>
      <c r="B146" s="246"/>
      <c r="C146" s="244"/>
      <c r="D146" s="244"/>
      <c r="E146" s="244"/>
      <c r="F146" s="244"/>
      <c r="G146" s="244"/>
      <c r="H146" s="244"/>
      <c r="I146" s="244"/>
      <c r="J146" s="244"/>
      <c r="K146" s="244"/>
      <c r="L146" s="244"/>
      <c r="M146" s="244"/>
      <c r="N146" s="244"/>
      <c r="O146" s="244"/>
      <c r="P146" s="244"/>
      <c r="Q146" s="244"/>
      <c r="R146" s="244"/>
      <c r="S146" s="244"/>
      <c r="T146" s="244"/>
      <c r="U146" s="244"/>
      <c r="V146" s="244"/>
      <c r="W146" s="244"/>
      <c r="X146" s="244"/>
      <c r="Y146" s="244"/>
      <c r="Z146" s="244"/>
      <c r="AA146" s="244"/>
      <c r="AB146" s="244"/>
      <c r="AC146" s="244"/>
      <c r="AD146" s="244"/>
      <c r="AE146" s="244"/>
      <c r="AF146" s="244"/>
      <c r="AG146" s="244"/>
      <c r="AH146" s="244"/>
      <c r="AI146" s="244"/>
      <c r="AJ146" s="244"/>
      <c r="AK146" s="244"/>
      <c r="AL146" s="244"/>
      <c r="AM146" s="244"/>
      <c r="AN146" s="244"/>
      <c r="AO146" s="244"/>
      <c r="AP146" s="244"/>
      <c r="AQ146" s="244"/>
      <c r="AR146" s="244"/>
      <c r="AS146" s="244"/>
      <c r="AT146" s="244"/>
      <c r="AU146" s="244"/>
      <c r="AV146" s="244"/>
      <c r="AW146" s="244"/>
      <c r="AX146" s="244"/>
      <c r="AY146" s="244"/>
      <c r="AZ146" s="244"/>
      <c r="BA146" s="244"/>
      <c r="BB146" s="244"/>
      <c r="BC146" s="244"/>
      <c r="BD146" s="244"/>
      <c r="BE146" s="244"/>
      <c r="BF146" s="244"/>
      <c r="BG146" s="244"/>
      <c r="BH146" s="244"/>
      <c r="BI146" s="244"/>
      <c r="BJ146" s="244"/>
      <c r="BK146" s="244"/>
      <c r="BL146" s="244"/>
      <c r="BM146" s="244"/>
      <c r="BN146" s="244"/>
      <c r="BO146" s="244"/>
      <c r="BP146" s="244"/>
      <c r="BQ146" s="244"/>
      <c r="BR146" s="244"/>
      <c r="BS146" s="244"/>
      <c r="BT146" s="244"/>
      <c r="BU146" s="244"/>
      <c r="BV146" s="244"/>
      <c r="BW146" s="244"/>
      <c r="BX146" s="244"/>
      <c r="BY146" s="244"/>
      <c r="BZ146" s="244"/>
      <c r="CA146" s="244"/>
      <c r="CB146" s="244"/>
      <c r="CC146" s="244"/>
      <c r="CD146" s="244"/>
      <c r="CE146" s="244"/>
      <c r="CF146" s="244"/>
    </row>
    <row r="147">
      <c r="A147" s="244"/>
      <c r="B147" s="246"/>
      <c r="C147" s="244"/>
      <c r="D147" s="244"/>
      <c r="E147" s="244"/>
      <c r="F147" s="244"/>
      <c r="G147" s="244"/>
      <c r="H147" s="244"/>
      <c r="I147" s="244"/>
      <c r="J147" s="244"/>
      <c r="K147" s="244"/>
      <c r="L147" s="244"/>
      <c r="M147" s="244"/>
      <c r="N147" s="244"/>
      <c r="O147" s="244"/>
      <c r="P147" s="244"/>
      <c r="Q147" s="244"/>
      <c r="R147" s="244"/>
      <c r="S147" s="244"/>
      <c r="T147" s="244"/>
      <c r="U147" s="244"/>
      <c r="V147" s="244"/>
      <c r="W147" s="244"/>
      <c r="X147" s="244"/>
      <c r="Y147" s="244"/>
      <c r="Z147" s="244"/>
      <c r="AA147" s="244"/>
      <c r="AB147" s="244"/>
      <c r="AC147" s="244"/>
      <c r="AD147" s="244"/>
      <c r="AE147" s="244"/>
      <c r="AF147" s="244"/>
      <c r="AG147" s="244"/>
      <c r="AH147" s="244"/>
      <c r="AI147" s="244"/>
      <c r="AJ147" s="244"/>
      <c r="AK147" s="244"/>
      <c r="AL147" s="244"/>
      <c r="AM147" s="244"/>
      <c r="AN147" s="244"/>
      <c r="AO147" s="244"/>
      <c r="AP147" s="244"/>
      <c r="AQ147" s="244"/>
      <c r="AR147" s="244"/>
      <c r="AS147" s="244"/>
      <c r="AT147" s="244"/>
      <c r="AU147" s="244"/>
      <c r="AV147" s="244"/>
      <c r="AW147" s="244"/>
      <c r="AX147" s="244"/>
      <c r="AY147" s="244"/>
      <c r="AZ147" s="244"/>
      <c r="BA147" s="244"/>
      <c r="BB147" s="244"/>
      <c r="BC147" s="244"/>
      <c r="BD147" s="244"/>
      <c r="BE147" s="244"/>
      <c r="BF147" s="244"/>
      <c r="BG147" s="244"/>
      <c r="BH147" s="244"/>
      <c r="BI147" s="244"/>
      <c r="BJ147" s="244"/>
      <c r="BK147" s="244"/>
      <c r="BL147" s="244"/>
      <c r="BM147" s="244"/>
      <c r="BN147" s="244"/>
      <c r="BO147" s="244"/>
      <c r="BP147" s="244"/>
      <c r="BQ147" s="244"/>
      <c r="BR147" s="244"/>
      <c r="BS147" s="244"/>
      <c r="BT147" s="244"/>
      <c r="BU147" s="244"/>
      <c r="BV147" s="244"/>
      <c r="BW147" s="244"/>
      <c r="BX147" s="244"/>
      <c r="BY147" s="244"/>
      <c r="BZ147" s="244"/>
      <c r="CA147" s="244"/>
      <c r="CB147" s="244"/>
      <c r="CC147" s="244"/>
      <c r="CD147" s="244"/>
      <c r="CE147" s="244"/>
      <c r="CF147" s="244"/>
    </row>
    <row r="148">
      <c r="A148" s="244"/>
      <c r="B148" s="246"/>
      <c r="C148" s="244"/>
      <c r="D148" s="244"/>
      <c r="E148" s="244"/>
      <c r="F148" s="244"/>
      <c r="G148" s="244"/>
      <c r="H148" s="244"/>
      <c r="I148" s="244"/>
      <c r="J148" s="244"/>
      <c r="K148" s="244"/>
      <c r="L148" s="244"/>
      <c r="M148" s="244"/>
      <c r="N148" s="244"/>
      <c r="O148" s="244"/>
      <c r="P148" s="244"/>
      <c r="Q148" s="244"/>
      <c r="R148" s="244"/>
      <c r="S148" s="244"/>
      <c r="T148" s="244"/>
      <c r="U148" s="244"/>
      <c r="V148" s="244"/>
      <c r="W148" s="244"/>
      <c r="X148" s="244"/>
      <c r="Y148" s="244"/>
      <c r="Z148" s="244"/>
      <c r="AA148" s="244"/>
      <c r="AB148" s="244"/>
      <c r="AC148" s="244"/>
      <c r="AD148" s="244"/>
      <c r="AE148" s="244"/>
      <c r="AF148" s="244"/>
      <c r="AG148" s="244"/>
      <c r="AH148" s="244"/>
      <c r="AI148" s="244"/>
      <c r="AJ148" s="244"/>
      <c r="AK148" s="244"/>
      <c r="AL148" s="244"/>
      <c r="AM148" s="244"/>
      <c r="AN148" s="244"/>
      <c r="AO148" s="244"/>
      <c r="AP148" s="244"/>
      <c r="AQ148" s="244"/>
      <c r="AR148" s="244"/>
      <c r="AS148" s="244"/>
      <c r="AT148" s="244"/>
      <c r="AU148" s="244"/>
      <c r="AV148" s="244"/>
      <c r="AW148" s="244"/>
      <c r="AX148" s="244"/>
      <c r="AY148" s="244"/>
      <c r="AZ148" s="244"/>
      <c r="BA148" s="244"/>
      <c r="BB148" s="244"/>
      <c r="BC148" s="244"/>
      <c r="BD148" s="244"/>
      <c r="BE148" s="244"/>
      <c r="BF148" s="244"/>
      <c r="BG148" s="244"/>
      <c r="BH148" s="244"/>
      <c r="BI148" s="244"/>
      <c r="BJ148" s="244"/>
      <c r="BK148" s="244"/>
      <c r="BL148" s="244"/>
      <c r="BM148" s="244"/>
      <c r="BN148" s="244"/>
      <c r="BO148" s="244"/>
      <c r="BP148" s="244"/>
      <c r="BQ148" s="244"/>
      <c r="BR148" s="244"/>
      <c r="BS148" s="244"/>
      <c r="BT148" s="244"/>
      <c r="BU148" s="244"/>
      <c r="BV148" s="244"/>
      <c r="BW148" s="244"/>
      <c r="BX148" s="244"/>
      <c r="BY148" s="244"/>
      <c r="BZ148" s="244"/>
      <c r="CA148" s="244"/>
      <c r="CB148" s="244"/>
      <c r="CC148" s="244"/>
      <c r="CD148" s="244"/>
      <c r="CE148" s="244"/>
      <c r="CF148" s="244"/>
    </row>
  </sheetData>
  <mergeCells count="187">
    <mergeCell ref="I94:N94"/>
    <mergeCell ref="I95:N95"/>
    <mergeCell ref="I96:N96"/>
    <mergeCell ref="I97:N97"/>
    <mergeCell ref="C103:AO103"/>
    <mergeCell ref="I98:N98"/>
    <mergeCell ref="I99:N99"/>
    <mergeCell ref="I100:N100"/>
    <mergeCell ref="I88:N88"/>
    <mergeCell ref="I89:N89"/>
    <mergeCell ref="I90:N90"/>
    <mergeCell ref="I91:N91"/>
    <mergeCell ref="I92:N92"/>
    <mergeCell ref="I93:N93"/>
    <mergeCell ref="I82:N82"/>
    <mergeCell ref="I83:N83"/>
    <mergeCell ref="I84:N84"/>
    <mergeCell ref="I85:N85"/>
    <mergeCell ref="I86:N86"/>
    <mergeCell ref="I87:N87"/>
    <mergeCell ref="I76:N76"/>
    <mergeCell ref="I77:N77"/>
    <mergeCell ref="I78:N78"/>
    <mergeCell ref="I79:N79"/>
    <mergeCell ref="I80:N80"/>
    <mergeCell ref="I81:N81"/>
    <mergeCell ref="I70:N70"/>
    <mergeCell ref="I71:N71"/>
    <mergeCell ref="I72:N72"/>
    <mergeCell ref="I73:N73"/>
    <mergeCell ref="I74:N74"/>
    <mergeCell ref="I75:N75"/>
    <mergeCell ref="I64:N64"/>
    <mergeCell ref="I65:N65"/>
    <mergeCell ref="I66:N66"/>
    <mergeCell ref="I67:N67"/>
    <mergeCell ref="I68:N68"/>
    <mergeCell ref="I69:N69"/>
    <mergeCell ref="I58:N58"/>
    <mergeCell ref="I59:N59"/>
    <mergeCell ref="I60:N60"/>
    <mergeCell ref="I61:N61"/>
    <mergeCell ref="I62:N62"/>
    <mergeCell ref="I63:N63"/>
    <mergeCell ref="I52:N52"/>
    <mergeCell ref="I53:N53"/>
    <mergeCell ref="I54:N54"/>
    <mergeCell ref="I55:N55"/>
    <mergeCell ref="I56:N56"/>
    <mergeCell ref="I57:N57"/>
    <mergeCell ref="I46:N46"/>
    <mergeCell ref="I47:N47"/>
    <mergeCell ref="I48:N48"/>
    <mergeCell ref="I49:N49"/>
    <mergeCell ref="I50:N50"/>
    <mergeCell ref="I51:N51"/>
    <mergeCell ref="I40:N40"/>
    <mergeCell ref="I41:N41"/>
    <mergeCell ref="I42:N42"/>
    <mergeCell ref="I43:N43"/>
    <mergeCell ref="I44:N44"/>
    <mergeCell ref="I45:N45"/>
    <mergeCell ref="I34:N34"/>
    <mergeCell ref="I35:N35"/>
    <mergeCell ref="I36:N36"/>
    <mergeCell ref="I37:N37"/>
    <mergeCell ref="I38:N38"/>
    <mergeCell ref="I39:N39"/>
    <mergeCell ref="I28:N28"/>
    <mergeCell ref="I29:N29"/>
    <mergeCell ref="I30:N30"/>
    <mergeCell ref="I31:N31"/>
    <mergeCell ref="I32:N32"/>
    <mergeCell ref="I33:N33"/>
    <mergeCell ref="I24:N24"/>
    <mergeCell ref="I25:N25"/>
    <mergeCell ref="I22:N22"/>
    <mergeCell ref="I23:N23"/>
    <mergeCell ref="I26:N26"/>
    <mergeCell ref="I27:N27"/>
    <mergeCell ref="S6:T6"/>
    <mergeCell ref="U6:V6"/>
    <mergeCell ref="AV20:BB20"/>
    <mergeCell ref="Q19:W20"/>
    <mergeCell ref="Z19:AF20"/>
    <mergeCell ref="AI19:AO20"/>
    <mergeCell ref="AM7:AN7"/>
    <mergeCell ref="Q7:R7"/>
    <mergeCell ref="S7:T7"/>
    <mergeCell ref="U7:V7"/>
    <mergeCell ref="I7:J7"/>
    <mergeCell ref="K7:L7"/>
    <mergeCell ref="M7:N7"/>
    <mergeCell ref="O7:P7"/>
    <mergeCell ref="AI7:AJ7"/>
    <mergeCell ref="AK7:AL7"/>
    <mergeCell ref="AG9:AH9"/>
    <mergeCell ref="AI9:AJ9"/>
    <mergeCell ref="H5:V5"/>
    <mergeCell ref="I6:J6"/>
    <mergeCell ref="K6:L6"/>
    <mergeCell ref="M6:N6"/>
    <mergeCell ref="O6:P6"/>
    <mergeCell ref="Q6:R6"/>
    <mergeCell ref="AC7:AD7"/>
    <mergeCell ref="AE7:AF7"/>
    <mergeCell ref="AG7:AH7"/>
    <mergeCell ref="AB5:AP5"/>
    <mergeCell ref="AC6:AD6"/>
    <mergeCell ref="AE6:AF6"/>
    <mergeCell ref="AG6:AH6"/>
    <mergeCell ref="AI6:AJ6"/>
    <mergeCell ref="AK6:AL6"/>
    <mergeCell ref="AM6:AN6"/>
    <mergeCell ref="AO6:AP6"/>
    <mergeCell ref="AO7:AP7"/>
    <mergeCell ref="AE8:AF8"/>
    <mergeCell ref="AG11:AH11"/>
    <mergeCell ref="AI11:AJ11"/>
    <mergeCell ref="AG10:AH10"/>
    <mergeCell ref="AI10:AJ10"/>
    <mergeCell ref="AK10:AL10"/>
    <mergeCell ref="AM10:AN10"/>
    <mergeCell ref="AK12:AL12"/>
    <mergeCell ref="AM12:AN12"/>
    <mergeCell ref="AM9:AN9"/>
    <mergeCell ref="AI8:AJ8"/>
    <mergeCell ref="AK8:AL8"/>
    <mergeCell ref="AM8:AN8"/>
    <mergeCell ref="AC8:AD8"/>
    <mergeCell ref="AG8:AH8"/>
    <mergeCell ref="AM11:AN11"/>
    <mergeCell ref="AO11:AP11"/>
    <mergeCell ref="I12:J12"/>
    <mergeCell ref="AE11:AF11"/>
    <mergeCell ref="K12:L12"/>
    <mergeCell ref="M12:N12"/>
    <mergeCell ref="O12:P12"/>
    <mergeCell ref="U9:V9"/>
    <mergeCell ref="AC9:AD9"/>
    <mergeCell ref="AE9:AF9"/>
    <mergeCell ref="U11:V11"/>
    <mergeCell ref="AC11:AD11"/>
    <mergeCell ref="AK11:AL11"/>
    <mergeCell ref="I11:J11"/>
    <mergeCell ref="K11:L11"/>
    <mergeCell ref="M11:N11"/>
    <mergeCell ref="O11:P11"/>
    <mergeCell ref="Q11:R11"/>
    <mergeCell ref="S11:T11"/>
    <mergeCell ref="AO12:AP12"/>
    <mergeCell ref="AO10:AP10"/>
    <mergeCell ref="AK9:AL9"/>
    <mergeCell ref="AO8:AP8"/>
    <mergeCell ref="I9:J9"/>
    <mergeCell ref="K9:L9"/>
    <mergeCell ref="M9:N9"/>
    <mergeCell ref="O9:P9"/>
    <mergeCell ref="Q9:R9"/>
    <mergeCell ref="S9:T9"/>
    <mergeCell ref="AO9:AP9"/>
    <mergeCell ref="I10:J10"/>
    <mergeCell ref="K10:L10"/>
    <mergeCell ref="M10:N10"/>
    <mergeCell ref="O10:P10"/>
    <mergeCell ref="Q10:R10"/>
    <mergeCell ref="S10:T10"/>
    <mergeCell ref="I8:J8"/>
    <mergeCell ref="K8:L8"/>
    <mergeCell ref="M8:N8"/>
    <mergeCell ref="O8:P8"/>
    <mergeCell ref="Q8:R8"/>
    <mergeCell ref="S8:T8"/>
    <mergeCell ref="U10:V10"/>
    <mergeCell ref="AC10:AD10"/>
    <mergeCell ref="AE10:AF10"/>
    <mergeCell ref="U8:V8"/>
    <mergeCell ref="O14:U14"/>
    <mergeCell ref="W14:AC14"/>
    <mergeCell ref="AE14:AK14"/>
    <mergeCell ref="S12:T12"/>
    <mergeCell ref="U12:V12"/>
    <mergeCell ref="AC12:AD12"/>
    <mergeCell ref="AE12:AF12"/>
    <mergeCell ref="AG12:AH12"/>
    <mergeCell ref="AI12:AJ12"/>
    <mergeCell ref="Q12:R12"/>
  </mergeCells>
  <phoneticPr fontId="0" type="noConversion"/>
  <printOptions horizontalCentered="1" verticalCentered="1"/>
  <pageMargins left="0.25" right="0.25" top="0.25" bottom="0.25" header="0.17" footer="0.32"/>
  <pageSetup scale="56" orientation="landscape" r:id="rId1"/>
  <headerFooter alignWithMargins="0">
    <oddHeader/>
    <oddFooter/>
  </headerFooter>
  <drawing r:id="rId57"/>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Manager>28484745</Manager>
  <Company>33</Company>
  <Pages>0</Pages>
  <Words>0</Words>
  <Characters>0</Characters>
  <Lines>0</Lines>
  <Paragraphs>0</Paragraphs>
  <Slides>0</Slides>
  <Notes>0</Notes>
  <TotalTime>0</TotalTime>
  <HiddenSlides>0</HiddenSlides>
  <MMClips>0</MMClips>
  <ScaleCrop>0</ScaleCrop>
  <HeadingPairs>
    <vt:vector baseType="variant" size="4">
      <vt:variant>
        <vt:lpstr>Worksheets</vt:lpstr>
      </vt:variant>
      <vt:variant>
        <vt:i4>16</vt:i4>
      </vt:variant>
      <vt:variant>
        <vt:lpstr>Named Ranges</vt:lpstr>
      </vt:variant>
      <vt:variant>
        <vt:i4>16</vt:i4>
      </vt:variant>
    </vt:vector>
  </HeadingPairs>
  <TitlesOfParts>
    <vt:vector baseType="lpstr" size="32">
      <vt:lpstr>Table of Contents</vt:lpstr>
      <vt:lpstr>Summary</vt:lpstr>
      <vt:lpstr>Plus Summary</vt:lpstr>
      <vt:lpstr>Combined</vt:lpstr>
      <vt:lpstr>MTD Classic</vt:lpstr>
      <vt:lpstr>Occ</vt:lpstr>
      <vt:lpstr>Occ Plus</vt:lpstr>
      <vt:lpstr>ADR</vt:lpstr>
      <vt:lpstr>ADR Plus</vt:lpstr>
      <vt:lpstr>RevPAR</vt:lpstr>
      <vt:lpstr>RevPAR Plus</vt:lpstr>
      <vt:lpstr>Other Revenue</vt:lpstr>
      <vt:lpstr>WeeklySTARsight</vt:lpstr>
      <vt:lpstr>Response</vt:lpstr>
      <vt:lpstr>Response Plus</vt:lpstr>
      <vt:lpstr>Help</vt:lpstr>
      <vt:lpstr>ADR!Print_Area</vt:lpstr>
      <vt:lpstr>'ADR Plus'!Print_Area</vt:lpstr>
      <vt:lpstr>Combined!Print_Area</vt:lpstr>
      <vt:lpstr>Help!Print_Area</vt:lpstr>
      <vt:lpstr>'MTD Classic'!Print_Area</vt:lpstr>
      <vt:lpstr>Occ!Print_Area</vt:lpstr>
      <vt:lpstr>'Occ Plus'!Print_Area</vt:lpstr>
      <vt:lpstr>'Other Revenue'!Print_Area</vt:lpstr>
      <vt:lpstr>'Plus Summary'!Print_Area</vt:lpstr>
      <vt:lpstr>Response!Print_Area</vt:lpstr>
      <vt:lpstr>'Response Plus'!Print_Area</vt:lpstr>
      <vt:lpstr>RevPAR!Print_Area</vt:lpstr>
      <vt:lpstr>'RevPAR Plus'!Print_Area</vt:lpstr>
      <vt:lpstr>Summary!Print_Area</vt:lpstr>
      <vt:lpstr>'Table of Contents'!Print_Area</vt:lpstr>
      <vt:lpstr>WeeklySTARsight!Print_Area</vt:lpstr>
    </vt:vector>
  </TitlesOfParts>
  <LinksUpToDate>0</LinksUpToDate>
  <CharactersWithSpaces>0</CharactersWithSpaces>
  <SharedDoc>0</SharedDoc>
  <HyperlinksChanged>0</HyperlinksChanged>
  <Application>Microsoft Excel</Application>
  <AppVersion>16.0300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859,634,677</cp:category>
  <dcterms:created xsi:type="dcterms:W3CDTF">2003-06-11T18:24:11Z</dcterms:created>
  <dc:creator>STR, Inc.</dc:creator>
  <cp:keywords>56387</cp:keywords>
  <cp:lastModifiedBy>Jim Hawkins</cp:lastModifiedBy>
  <cp:lastPrinted>2016-02-16T16:32:42Z</cp:lastPrinted>
  <dcterms:modified xsi:type="dcterms:W3CDTF">2023-04-05T19:50:13Z</dcterms:modified>
  <dc:subject>56387</dc:subject>
  <dc:title>Weekly STAR</dc:title>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ExcelWriter version">
    <vt:lpwstr/>
  </property>
</Properties>
</file>