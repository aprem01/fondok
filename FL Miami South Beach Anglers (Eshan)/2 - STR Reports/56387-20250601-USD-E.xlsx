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1.xml" ContentType="application/vnd.openxmlformats-officedocument.spreadsheetml.worksheet+xml"/>
  <Override PartName="/xl/printerSettings/printerSettings22.bin" ContentType="application/vnd.openxmlformats-officedocument.spreadsheetml.printerSettings"/>
  <Override PartName="/xl/drawings/drawing23.xml" ContentType="application/vnd.openxmlformats-officedocument.drawing+xml"/>
  <Override PartName="/xl/worksheets/sheet25.xml" ContentType="application/vnd.openxmlformats-officedocument.spreadsheetml.worksheet+xml"/>
  <Override PartName="/xl/printerSettings/printerSettings26.bin" ContentType="application/vnd.openxmlformats-officedocument.spreadsheetml.printerSettings"/>
  <Override PartName="/xl/drawings/drawing27.xml" ContentType="application/vnd.openxmlformats-officedocument.drawing+xml"/>
  <Override PartName="/xl/worksheets/sheet29.xml" ContentType="application/vnd.openxmlformats-officedocument.spreadsheetml.worksheet+xml"/>
  <Override PartName="/xl/printerSettings/printerSettings30.bin" ContentType="application/vnd.openxmlformats-officedocument.spreadsheetml.printerSettings"/>
  <Override PartName="/xl/drawings/drawing31.xml" ContentType="application/vnd.openxmlformats-officedocument.drawing+xml"/>
  <Override PartName="/xl/worksheets/sheet33.xml" ContentType="application/vnd.openxmlformats-officedocument.spreadsheetml.worksheet+xml"/>
  <Override PartName="/xl/printerSettings/printerSettings34.bin" ContentType="application/vnd.openxmlformats-officedocument.spreadsheetml.printerSettings"/>
  <Override PartName="/xl/drawings/drawing35.xml" ContentType="application/vnd.openxmlformats-officedocument.drawing+xml"/>
  <Override PartName="/xl/worksheets/sheet37.xml" ContentType="application/vnd.openxmlformats-officedocument.spreadsheetml.worksheet+xml"/>
  <Override PartName="/xl/printerSettings/printerSettings38.bin" ContentType="application/vnd.openxmlformats-officedocument.spreadsheetml.printerSettings"/>
  <Override PartName="/xl/drawings/drawing39.xml" ContentType="application/vnd.openxmlformats-officedocument.drawing+xml"/>
  <Override PartName="/xl/worksheets/sheet41.xml" ContentType="application/vnd.openxmlformats-officedocument.spreadsheetml.worksheet+xml"/>
  <Override PartName="/xl/printerSettings/printerSettings42.bin" ContentType="application/vnd.openxmlformats-officedocument.spreadsheetml.printerSettings"/>
  <Override PartName="/xl/drawings/drawing43.xml" ContentType="application/vnd.openxmlformats-officedocument.drawing+xml"/>
  <Override PartName="/xl/worksheets/sheet45.xml" ContentType="application/vnd.openxmlformats-officedocument.spreadsheetml.worksheet+xml"/>
  <Override PartName="/xl/printerSettings/printerSettings46.bin" ContentType="application/vnd.openxmlformats-officedocument.spreadsheetml.printerSettings"/>
  <Override PartName="/xl/drawings/drawing47.xml" ContentType="application/vnd.openxmlformats-officedocument.drawing+xml"/>
  <Override PartName="/xl/worksheets/sheet49.xml" ContentType="application/vnd.openxmlformats-officedocument.spreadsheetml.worksheet+xml"/>
  <Override PartName="/xl/printerSettings/printerSettings50.bin" ContentType="application/vnd.openxmlformats-officedocument.spreadsheetml.printerSettings"/>
  <Override PartName="/xl/drawings/drawing51.xml" ContentType="application/vnd.openxmlformats-officedocument.drawing+xml"/>
  <Override PartName="/xl/worksheets/sheet53.xml" ContentType="application/vnd.openxmlformats-officedocument.spreadsheetml.worksheet+xml"/>
  <Override PartName="/xl/printerSettings/printerSettings54.bin" ContentType="application/vnd.openxmlformats-officedocument.spreadsheetml.printerSettings"/>
  <Override PartName="/xl/drawings/drawing55.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drawings/drawing65.xml" ContentType="application/vnd.openxmlformats-officedocument.drawing+xml"/>
  <Override PartName="/xl/worksheets/sheet66.xml" ContentType="application/vnd.openxmlformats-officedocument.spreadsheetml.worksheet+xml"/>
  <Override PartName="/xl/printerSettings/printerSettings67.bin" ContentType="application/vnd.openxmlformats-officedocument.spreadsheetml.printerSettings"/>
  <Override PartName="/xl/drawings/drawing68.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drawings/drawing72.xml" ContentType="application/vnd.openxmlformats-officedocument.drawing+xml"/>
  <Override PartName="/xl/worksheets/sheet73.xml" ContentType="application/vnd.openxmlformats-officedocument.spreadsheetml.worksheet+xml"/>
  <Override PartName="/xl/printerSettings/printerSettings74.bin" ContentType="application/vnd.openxmlformats-officedocument.spreadsheetml.printerSettings"/>
  <Override PartName="/xl/drawings/drawing75.xml" ContentType="application/vnd.openxmlformats-officedocument.drawing+xml"/>
  <Override PartName="/xl/worksheets/sheet76.xml" ContentType="application/vnd.openxmlformats-officedocument.spreadsheetml.worksheet+xml"/>
  <Override PartName="/xl/printerSettings/printerSettings77.bin" ContentType="application/vnd.openxmlformats-officedocument.spreadsheetml.printerSettings"/>
  <Override PartName="/xl/drawings/drawing78.xml" ContentType="application/vnd.openxmlformats-officedocument.drawing+xml"/>
  <Override PartName="/xl/drawings/drawing79.xml" ContentType="application/vnd.openxmlformats-officedocument.drawing+xml"/>
  <Override PartName="/xl/worksheets/sheet80.xml" ContentType="application/vnd.openxmlformats-officedocument.spreadsheetml.worksheet+xml"/>
  <Override PartName="/xl/printerSettings/printerSettings81.bin" ContentType="application/vnd.openxmlformats-officedocument.spreadsheetml.printerSettings"/>
  <Override PartName="/xl/drawings/drawing82.xml" ContentType="application/vnd.openxmlformats-officedocument.drawing+xml"/>
  <Override PartName="/xl/worksheets/sheet83.xml" ContentType="application/vnd.openxmlformats-officedocument.spreadsheetml.worksheet+xml"/>
  <Override PartName="/xl/printerSettings/printerSettings84.bin" ContentType="application/vnd.openxmlformats-officedocument.spreadsheetml.printerSettings"/>
  <Override PartName="/xl/drawings/drawing85.xml" ContentType="application/vnd.openxmlformats-officedocument.drawing+xml"/>
  <Override PartName="/xl/worksheets/sheet86.xml" ContentType="application/vnd.openxmlformats-officedocument.spreadsheetml.worksheet+xml"/>
  <Override PartName="/xl/printerSettings/printerSettings87.bin" ContentType="application/vnd.openxmlformats-officedocument.spreadsheetml.printerSettings"/>
  <Override PartName="/xl/drawings/drawing88.xml" ContentType="application/vnd.openxmlformats-officedocument.drawing+xml"/>
  <Override PartName="/xl/worksheets/sheet89.xml" ContentType="application/vnd.openxmlformats-officedocument.spreadsheetml.worksheet+xml"/>
  <Override PartName="/xl/printerSettings/printerSettings90.bin" ContentType="application/vnd.openxmlformats-officedocument.spreadsheetml.printerSettings"/>
  <Override PartName="/xl/drawings/drawing91.xml" ContentType="application/vnd.openxmlformats-officedocument.drawing+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22"/>
    <sheet name="SummaryComb" sheetId="19" r:id="rId21"/>
    <sheet name="SummaryComb 28Day" sheetId="20" r:id="rId20"/>
    <sheet name="Glance" sheetId="21" r:id="rId19"/>
    <sheet name="Segmentation Glance" sheetId="22" r:id="rId18"/>
    <sheet name="Daily by Month" sheetId="23" r:id="rId17"/>
    <sheet name="Occ" sheetId="4" r:id="rId23"/>
    <sheet name="Segmentation Occ" sheetId="24" r:id="rId16"/>
    <sheet name="ADR" sheetId="6" r:id="rId24"/>
    <sheet name="Segmentation ADR" sheetId="25" r:id="rId15"/>
    <sheet name="RevPAR" sheetId="8" r:id="rId25"/>
    <sheet name="Segmentation RevPAR" sheetId="26" r:id="rId14"/>
    <sheet name="Additional Revenue" sheetId="27" r:id="rId13"/>
    <sheet name="Response" sheetId="28" r:id="rId12"/>
    <sheet name="Glance_2" sheetId="29" r:id="rId11"/>
    <sheet name="Segmentation Glance_2" sheetId="30" r:id="rId10"/>
    <sheet name="Daily by Month_2" sheetId="31" r:id="rId9"/>
    <sheet name="Occ_2" sheetId="32" r:id="rId8"/>
    <sheet name="Segmentation Occ_2" sheetId="33" r:id="rId7"/>
    <sheet name="ADR_2" sheetId="34" r:id="rId6"/>
    <sheet name="Segmentation ADR_2" sheetId="35" r:id="rId5"/>
    <sheet name="RevPAR_2" sheetId="36" r:id="rId4"/>
    <sheet name="Segmentation RevPAR_2" sheetId="37" r:id="rId3"/>
    <sheet name="Additional Revenue_2" sheetId="38" r:id="rId2"/>
    <sheet name="Response_2" sheetId="39" r:id="rId1"/>
    <sheet name="Help" sheetId="18" r:id="rId26"/>
  </sheets>
  <definedNames>
    <definedName name="_xlnm.Print_Area" localSheetId="8">ADR!$A$1:$AI$61</definedName>
    <definedName name="_xlnm.Print_Area" localSheetId="25">Help!$A$1:$J$16</definedName>
    <definedName name="_xlnm.Print_Area" localSheetId="6">Occ!$A$1:$AI$58</definedName>
    <definedName name="_xlnm.Print_Area" localSheetId="10">RevPAR!$A$1:$AI$61</definedName>
    <definedName name="_xlnm.Print_Area" localSheetId="0">'Table of Contents'!$A$1:$H$48</definedName>
    <definedName name="_xlnm.Print_Area" localSheetId="1">SummaryComb!$A$1:$AB$72</definedName>
    <definedName name="_xlnm.Print_Area" localSheetId="2">'SummaryComb 28Day'!$A$1:$AB$72</definedName>
    <definedName name="_xlnm.Print_Area" localSheetId="3">Glance!$A$1:$AC$42</definedName>
    <definedName name="_xlnm.Print_Area" localSheetId="4">'Segmentation Glance'!$A$1:$T$42</definedName>
    <definedName name="_xlnm.Print_Area" localSheetId="5">'Daily by Month'!$A$1:$AL$63</definedName>
    <definedName name="_xlnm.Print_Area" localSheetId="7">'Segmentation Occ'!$A$1:$AB$54</definedName>
    <definedName name="_xlnm.Print_Area" localSheetId="9">'Segmentation ADR'!$A$1:$AC$54</definedName>
    <definedName name="_xlnm.Print_Area" localSheetId="11">'Segmentation RevPAR'!$A$1:$AC$54</definedName>
    <definedName name="_xlnm.Print_Area" localSheetId="12">'Additional Revenue'!$A$1:$AC$54</definedName>
    <definedName name="_xlnm.Print_Area" localSheetId="13">Response!$A$1:$AR$104</definedName>
    <definedName name="_xlnm.Print_Area" localSheetId="14">Glance_2!$A$1:$AC$42</definedName>
    <definedName name="_xlnm.Print_Area" localSheetId="15">'Segmentation Glance_2'!$A$1:$T$42</definedName>
    <definedName name="_xlnm.Print_Area" localSheetId="16">'Daily by Month_2'!$A$1:$AL$63</definedName>
    <definedName name="_xlnm.Print_Area" localSheetId="17">Occ_2!$A$1:$AI$58</definedName>
    <definedName name="_xlnm.Print_Area" localSheetId="18">'Segmentation Occ_2'!$A$1:$AB$54</definedName>
    <definedName name="_xlnm.Print_Area" localSheetId="19">ADR_2!$A$1:$AI$61</definedName>
    <definedName name="_xlnm.Print_Area" localSheetId="20">'Segmentation ADR_2'!$A$1:$AC$54</definedName>
    <definedName name="_xlnm.Print_Area" localSheetId="21">'RevPAR_2'!$A$1:$AI$61</definedName>
    <definedName name="_xlnm.Print_Area" localSheetId="22">'Segmentation RevPAR_2'!$A$1:$AC$54</definedName>
    <definedName name="_xlnm.Print_Area" localSheetId="23">'Additional Revenue_2'!$A$1:$AC$54</definedName>
    <definedName name="_xlnm.Print_Area" localSheetId="24">'Response_2'!$A$1:$AR$104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<sst xmlns="http://schemas.openxmlformats.org/spreadsheetml/2006/main" xmlns:r="http://schemas.openxmlformats.org/officeDocument/2006/relationships" xmlns:xdr="http://schemas.openxmlformats.org/drawingml/2006/spreadsheetDrawing" xmlns:s="http://schemas.openxmlformats.org/officeDocument/2006/sharedTypes" xmlns:vt="http://schemas.openxmlformats.org/officeDocument/2006/docPropsVTypes" xmlns:a="http://schemas.openxmlformats.org/drawingml/2006/main" xmlns:cdr="http://schemas.openxmlformats.org/drawingml/2006/chartDrawing" count="969" uniqueCount="114">
  <si>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</si>
  <si>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</si>
  <si>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</si>
  <si>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</si>
  <si>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</si>
  <si>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</si>
  <si>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</si>
  <si>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</si>
  <si>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</si>
  <si>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</si>
  <si>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</si>
  <si>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</si>
  <si>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</si>
  <si>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</si>
  <si>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</si>
  <si>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</si>
  <si>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</si>
  <si>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</si>
  <si>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</si>
  <si>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</si>
  <si>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</si>
  <si>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</si>
  <si>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</si>
  <si>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</si>
  <si>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</si>
  <si>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</si>
  <si>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</si>
  <si>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</si>
  <si>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</si>
  <si>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</si>
  <si>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</si>
  <si>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</si>
  <si>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</si>
  <si>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</si>
  <si>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</si>
  <si>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</si>
  <si>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</si>
  <si>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</si>
  <si>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</si>
  <si>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</si>
  <si>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</si>
  <si>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</si>
  <si>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</si>
  <si>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</si>
  <si>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</si>
  <si>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</si>
  <si>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</si>
  <si>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</si>
  <si>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</si>
  <si>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</si>
  <si>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</si>
  <si>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</si>
  <si>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</si>
  <si>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</si>
  <si>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</si>
  <si>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</si>
  <si>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</si>
  <si>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</si>
  <si>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</si>
  <si>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</si>
  <si>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</si>
  <si>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</si>
  <si>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</si>
  <si>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</si>
  <si>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</si>
  <si>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</si>
  <si>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</si>
  <si>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</si>
  <si>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</si>
  <si>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</si>
  <si>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</si>
  <si>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</si>
  <si>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</si>
  <si>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</si>
  <si>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</si>
  <si>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</si>
  <si>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</si>
  <si>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</si>
  <si>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</si>
  <si>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</si>
  <si>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</si>
  <si>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</si>
  <si>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</si>
  <si>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</si>
  <si>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</si>
  <si>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</si>
  <si>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</si>
  <si>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</si>
  <si>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</si>
  <si>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</si>
  <si>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</si>
  <si>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</si>
  <si>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</si>
  <si>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</si>
  <si>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</si>
  <si>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</si>
  <si>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</si>
  <si>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</si>
  <si>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</si>
  <si>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</si>
  <si>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</si>
  <si>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</si>
  <si>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</si>
  <si>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</si>
  <si>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</si>
  <si>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</si>
  <si>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</si>
  <si>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</si>
  <si>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</si>
  <si>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</si>
  <si>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</si>
  <si>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</si>
  <si>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</si>
  <si>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</si>
  <si>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</si>
  <si>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Combined Summary - My Hotel vs. Comp Set</t>
  </si>
  <si>
    <t>Combined Summary</t>
  </si>
  <si>
    <t>Tab 3 - 28 Day Combined Summary - My Hotel vs. Comp Set</t>
  </si>
  <si>
    <t>28 Day Combined Summary</t>
  </si>
  <si>
    <t>Tab 4 - Weekly Performance at a Glance - My Property vs. Competitive Set</t>
  </si>
  <si>
    <t>Weekly Performance at a Glance</t>
  </si>
  <si>
    <t>Tab 5 - Segmentation at a Glance - My Property vs. Competitive Set</t>
  </si>
  <si>
    <t>Segmentation at a Glance</t>
  </si>
  <si>
    <t>Tab 6 - Daily Data for the Month</t>
  </si>
  <si>
    <t>Daily Data for the Month</t>
  </si>
  <si>
    <t>Tab 7 - Occupancy Perspectives</t>
  </si>
  <si>
    <t>Occupancy Perspectives</t>
  </si>
  <si>
    <t>Tab 8 - Segmentation Occupancy Analysis</t>
  </si>
  <si>
    <t>Segmentation Occupancy Analysis</t>
  </si>
  <si>
    <t>Tab 9 - ADR Perspectives</t>
  </si>
  <si>
    <t>ADR Perspectives</t>
  </si>
  <si>
    <t>Tab 10 - Segmentation ADR Analysis</t>
  </si>
  <si>
    <t>Segmentation ADR Analysis</t>
  </si>
  <si>
    <t>Tab 11 - RevPAR Perspectives</t>
  </si>
  <si>
    <t>RevPAR Perspectives</t>
  </si>
  <si>
    <t>Tab 12 - Segmentation RevPAR Analysis</t>
  </si>
  <si>
    <t>Segmentation RevPAR Analysis</t>
  </si>
  <si>
    <t>Tab 13 - Additional Revenue</t>
  </si>
  <si>
    <t>Tab 14 - Response Report</t>
  </si>
  <si>
    <t>Response Report</t>
  </si>
  <si>
    <t>Tab 15 - Weekly Performance at a Glance - My Property vs. Competitive Set - Comp Set 2</t>
  </si>
  <si>
    <t>Weekly Performance at a Glance - 2nd Comp</t>
  </si>
  <si>
    <t>Tab 16 - Segmentation at a Glance - My Property vs. Competitive Set - Comp Set 2</t>
  </si>
  <si>
    <t>Segmentation at a Glance - 2nd Comp</t>
  </si>
  <si>
    <t>Tab 17 - Daily Data for the Month - Comp Set 2</t>
  </si>
  <si>
    <t>Daily Data for the Month - 2nd Comp</t>
  </si>
  <si>
    <t>Tab 18 - Occupancy Perspectives - Comp Set 2</t>
  </si>
  <si>
    <t>Occupancy Perspectives - 2nd Comp</t>
  </si>
  <si>
    <t>Tab 19 - Segmentation Occupancy Analysis - Comp Set 2</t>
  </si>
  <si>
    <t>Segmentation Occupancy Analysis - 2nd Comp</t>
  </si>
  <si>
    <t>Tab 20 - ADR Perspectives - Comp Set 2</t>
  </si>
  <si>
    <t>ADR Perspectives - 2nd Comp</t>
  </si>
  <si>
    <t>Tab 21 - Segmentation ADR Analysis - Comp Set 2</t>
  </si>
  <si>
    <t>Segmentation ADR Analysis - 2nd Comp</t>
  </si>
  <si>
    <t>Tab 22 - RevPAR Perspectives - Comp Set 2</t>
  </si>
  <si>
    <t>RevPAR Perspectives - 2nd Comp</t>
  </si>
  <si>
    <t>Tab 23 - Segmentation RevPAR Analysis - Comp Set 2</t>
  </si>
  <si>
    <t>Segmentation RevPAR Analysis - 2nd Comp</t>
  </si>
  <si>
    <t>Tab 24 - Additional Revenue - Comp Set 2</t>
  </si>
  <si>
    <t>Additional Revenue - 2nd Comp</t>
  </si>
  <si>
    <t>Tab 25 - Response Report - Comp Set 2</t>
  </si>
  <si>
    <t>Response Report - 2nd Comp</t>
  </si>
  <si>
    <t>Help</t>
  </si>
  <si>
    <t>Weekly STAR Report : Kimpton Angler's Hotel</t>
  </si>
  <si>
    <t>STR # 56387 / Created June 10, 2025</t>
  </si>
  <si>
    <t>For the Week of: June 01, 2025 - June 07, 2025</t>
  </si>
  <si>
    <t>Currency: US Dollar  /  Competitive Set Data Excludes Subject Property</t>
  </si>
  <si>
    <t>June 01, 2025 - June 07, 2025</t>
  </si>
  <si>
    <t>Kimpton Angler's Hotel        600 Washington Ave        Miami Beach, FL 33139-6207        Phone: (305) 534-9600</t>
  </si>
  <si>
    <t>Created: Jun 10, 2025</t>
  </si>
  <si>
    <t>3 of 5</t>
  </si>
  <si>
    <t>2 of 5</t>
  </si>
  <si>
    <t>1 of 5</t>
  </si>
  <si>
    <t>2 of 4</t>
  </si>
  <si>
    <t>3 of 4</t>
  </si>
  <si>
    <t>1 of 4</t>
  </si>
  <si>
    <t/>
  </si>
  <si>
    <t>May 11, 2025 - June 07, 2025</t>
  </si>
  <si>
    <t>4 of 5</t>
  </si>
  <si>
    <t>STR # 56387        Chain ID: 18033        Mgt Co: Kimpton Hotels/IHG        Owner: KHP Capital Partners</t>
  </si>
  <si>
    <t>For the Week of: June 01, 2025 - June 07, 2025        Date Created: June 10, 2025        Competitive Set Data Excludes Subject Property</t>
  </si>
  <si>
    <t>Jun</t>
  </si>
  <si>
    <t>Market Scale: Miami, FL Upper Upscale Chains</t>
  </si>
  <si>
    <t>Market Scale</t>
  </si>
  <si>
    <t>May</t>
  </si>
  <si>
    <t>5 of 5</t>
  </si>
  <si>
    <t>Market Scale*: Miami, FL Upper Upscale Chains</t>
  </si>
  <si>
    <t>For the Week of: June 01, 2025 - June 07, 2025        Date Created: June 10, 2025</t>
  </si>
  <si>
    <t>Kimpton Angler's Hotel</t>
  </si>
  <si>
    <t>Miami Beach, FL</t>
  </si>
  <si>
    <t>33139-6207</t>
  </si>
  <si>
    <t>(305) 534-9600</t>
  </si>
  <si>
    <t>200706</t>
  </si>
  <si>
    <t>X</t>
  </si>
  <si>
    <t>Dream South Beach</t>
  </si>
  <si>
    <t>33139</t>
  </si>
  <si>
    <t>(305) 673-4747</t>
  </si>
  <si>
    <t>194906</t>
  </si>
  <si>
    <t>Closed - Blue Moon Hotel</t>
  </si>
  <si>
    <t>193406</t>
  </si>
  <si>
    <t>The Tony Hotel of South Beach</t>
  </si>
  <si>
    <t>(305) 531-2222</t>
  </si>
  <si>
    <t>193906</t>
  </si>
  <si>
    <t>L</t>
  </si>
  <si>
    <t>The Betsy South Beach</t>
  </si>
  <si>
    <t>(305) 531-6100</t>
  </si>
  <si>
    <t>194506</t>
  </si>
  <si>
    <t>Z Ocean Hotel, Classico A Sonesta Collection</t>
  </si>
  <si>
    <t>33139-4103</t>
  </si>
  <si>
    <t>(305) 672-4554</t>
  </si>
  <si>
    <t>200612</t>
  </si>
  <si>
    <t>Data received: X = Both years, T = This year only, L = Last year only, blank = No data</t>
  </si>
  <si>
    <t>2025 (This Year)</t>
  </si>
  <si>
    <t>Apr/May</t>
  </si>
  <si>
    <t>2024 (Last Year)</t>
  </si>
  <si>
    <t>May/Jun</t>
  </si>
  <si>
    <t>May 11th</t>
  </si>
  <si>
    <t>- Mother's Day</t>
  </si>
  <si>
    <t>May 26th</t>
  </si>
  <si>
    <t>- Memorial Day</t>
  </si>
  <si>
    <t>May 12th</t>
  </si>
  <si>
    <t>May 27th</t>
  </si>
  <si>
    <t>June 16th</t>
  </si>
  <si>
    <t>- Father's Day</t>
  </si>
  <si>
    <t>June 19th</t>
  </si>
  <si>
    <t>- Juneteenth</t>
  </si>
  <si>
    <t>July 4th</t>
  </si>
  <si>
    <t>- Independence Day</t>
  </si>
  <si>
    <t>Sep 2nd</t>
  </si>
  <si>
    <t>- Labor Day</t>
  </si>
  <si>
    <t>5 of 9</t>
  </si>
  <si>
    <t>4 of 9</t>
  </si>
  <si>
    <t>6 of 9</t>
  </si>
  <si>
    <t>1 of 9</t>
  </si>
  <si>
    <t>7 of 9</t>
  </si>
  <si>
    <t>2 of 9</t>
  </si>
  <si>
    <t>8 of 9</t>
  </si>
  <si>
    <t>9 of 9</t>
  </si>
  <si>
    <t>3 of 9</t>
  </si>
  <si>
    <t>The Gabriel South Beach, Curio Collection by Hilton</t>
  </si>
  <si>
    <t>33139-6219</t>
  </si>
  <si>
    <t>(305) 685-2000</t>
  </si>
  <si>
    <t>193706</t>
  </si>
  <si>
    <t>Kimpton Surfcomber Hotel</t>
  </si>
  <si>
    <t>33139-2006</t>
  </si>
  <si>
    <t>(305) 532-7715</t>
  </si>
  <si>
    <t>194106</t>
  </si>
  <si>
    <t>Gale South Beach, Curio Collection by Hilton</t>
  </si>
  <si>
    <t>(305) 673-0199</t>
  </si>
  <si>
    <t>201212</t>
  </si>
  <si>
    <t>Hyatt Centric South Beach Miami</t>
  </si>
  <si>
    <t>(305) 428-1234</t>
  </si>
  <si>
    <t>201506</t>
  </si>
  <si>
    <t>Lennox Miami Beach</t>
  </si>
  <si>
    <t>(305) 531-6800</t>
  </si>
  <si>
    <t>201908</t>
  </si>
  <si>
    <t>T</t>
  </si>
  <si>
    <t>Kimpton Hotel Palomar South Beach</t>
  </si>
  <si>
    <t>33139-2412</t>
  </si>
  <si>
    <t>(786) 628-2000</t>
  </si>
  <si>
    <t>202002</t>
  </si>
  <si>
    <t>MOXY Miami South Beach</t>
  </si>
  <si>
    <t>33139-5015</t>
  </si>
  <si>
    <t>(305) 600-4292</t>
  </si>
  <si>
    <t>202102</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</si>
</sst>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0">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0" diagonalDown="0">
      <left style="thin">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style="medium">
        <color auto="1" indexed="64"/>
      </left>
      <right style="medium">
        <color auto="1" indexed="64"/>
      </right>
      <top style="medium">
        <color auto="1" indexed="64"/>
      </top>
      <bottom>
        <color auto="1" indexed="64"/>
      </bottom>
      <diagonal>
        <color/>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05">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1" fillId="0" borderId="47" applyFont="1" applyFill="1" applyBorder="1" applyAlignment="1">
      <alignment horizontal="center"/>
    </xf>
    <xf numFmtId="0" fontId="1" fillId="0" borderId="48" applyFont="1" applyFill="1" applyBorder="1" applyAlignment="1">
      <alignment horizontal="center"/>
    </xf>
    <xf numFmtId="0" fontId="39" fillId="0" borderId="47" applyFont="1" applyFill="1" applyBorder="1" applyAlignment="1">
      <alignment horizontal="left"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9" applyFont="1" applyFill="1" applyBorder="1"/>
    <xf numFmtId="0" fontId="82" fillId="16" borderId="0" applyFont="1" applyFill="1"/>
    <xf numFmtId="0" fontId="69" fillId="0" borderId="47" applyFont="1" applyFill="1" applyBorder="1" applyAlignment="1">
      <alignment horizontal="right" shrinkToFit="1"/>
    </xf>
    <xf numFmtId="0" fontId="42" fillId="10" borderId="50" applyFont="1" applyFill="1" applyBorder="1" applyAlignment="1">
      <alignment horizontal="center"/>
    </xf>
    <xf numFmtId="0" fontId="42" fillId="10" borderId="51" applyFont="1" applyFill="1" applyBorder="1" applyAlignment="1">
      <alignment horizontal="center"/>
    </xf>
    <xf numFmtId="166" fontId="69" fillId="10"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0" borderId="52" applyNumberFormat="1" applyFont="1" applyFill="1" applyBorder="1" applyAlignment="1">
      <alignment horizontal="center"/>
    </xf>
    <xf numFmtId="0" fontId="69" fillId="0" borderId="47" applyFont="1" applyFill="1" applyBorder="1" applyAlignment="1">
      <alignment horizontal="right" wrapText="1"/>
    </xf>
    <xf numFmtId="0" fontId="21" fillId="0" borderId="53" applyFont="1" applyFill="1" applyBorder="1" applyAlignment="1">
      <alignment horizontal="center"/>
    </xf>
    <xf numFmtId="0" fontId="42" fillId="10" borderId="52" applyFont="1" applyFill="1" applyBorder="1" applyAlignment="1">
      <alignment horizontal="center"/>
    </xf>
    <xf numFmtId="2" fontId="69" fillId="10"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0" borderId="52" applyNumberFormat="1" applyFont="1" applyFill="1" applyBorder="1" applyAlignment="1">
      <alignment horizontal="center"/>
    </xf>
    <xf numFmtId="0" fontId="21" fillId="0" borderId="54" applyFont="1" applyFill="1" applyBorder="1" applyAlignment="1">
      <alignment horizontal="center"/>
    </xf>
    <xf numFmtId="0" fontId="21" fillId="0" borderId="55" applyFont="1" applyFill="1" applyBorder="1" applyAlignment="1">
      <alignment horizontal="center"/>
    </xf>
    <xf numFmtId="166" fontId="42" fillId="10" borderId="51" applyNumberFormat="1" applyFont="1" applyFill="1" applyBorder="1" applyAlignment="1">
      <alignment horizontal="center"/>
    </xf>
    <xf numFmtId="166" fontId="42" fillId="10" borderId="56"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7" applyFont="1" applyFill="1" applyBorder="1" applyAlignment="1">
      <alignment horizontal="center"/>
    </xf>
    <xf numFmtId="0" fontId="34" fillId="0" borderId="58" applyFont="1" applyFill="1" applyBorder="1" applyAlignment="1">
      <alignment horizontal="center"/>
    </xf>
    <xf numFmtId="0" fontId="34" fillId="0" borderId="59" applyFont="1" applyFill="1" applyBorder="1" applyAlignment="1">
      <alignment horizontal="center"/>
    </xf>
    <xf numFmtId="0" fontId="34" fillId="6" borderId="60" applyFont="1" applyFill="1" applyBorder="1" applyAlignment="1">
      <alignment horizontal="center"/>
    </xf>
    <xf numFmtId="0" fontId="34" fillId="6" borderId="47" applyFont="1" applyFill="1" applyBorder="1" applyAlignment="1">
      <alignment horizontal="center"/>
    </xf>
    <xf numFmtId="0" fontId="34" fillId="6" borderId="61" applyFont="1" applyFill="1" applyBorder="1" applyAlignment="1">
      <alignment horizontal="center"/>
    </xf>
    <xf numFmtId="0" fontId="34" fillId="0" borderId="60" applyFont="1" applyFill="1" applyBorder="1" applyAlignment="1">
      <alignment horizontal="center"/>
    </xf>
    <xf numFmtId="0" fontId="34" fillId="0" borderId="47" applyFont="1" applyFill="1" applyBorder="1" applyAlignment="1">
      <alignment horizontal="center"/>
    </xf>
    <xf numFmtId="0" fontId="34" fillId="0" borderId="61" applyFont="1" applyFill="1" applyBorder="1" applyAlignment="1">
      <alignment horizontal="center"/>
    </xf>
    <xf numFmtId="0" fontId="34" fillId="6" borderId="62" applyFont="1" applyFill="1" applyBorder="1" applyAlignment="1">
      <alignment horizontal="center"/>
    </xf>
    <xf numFmtId="0" fontId="34" fillId="6" borderId="63" applyFont="1" applyFill="1" applyBorder="1" applyAlignment="1">
      <alignment horizontal="center"/>
    </xf>
    <xf numFmtId="0" fontId="34" fillId="6" borderId="64" applyFont="1" applyFill="1" applyBorder="1" applyAlignment="1">
      <alignment horizontal="center"/>
    </xf>
    <xf numFmtId="0" fontId="37" fillId="11" borderId="47" applyFont="1" applyFill="1" applyBorder="1" applyAlignment="1">
      <alignment horizontal="center"/>
    </xf>
    <xf numFmtId="0" fontId="83" fillId="15" borderId="65" applyFont="1" applyFill="1" applyBorder="1" applyAlignment="1">
      <alignment horizontal="left"/>
    </xf>
    <xf numFmtId="0" fontId="83" fillId="15" borderId="65" applyFont="1" applyFill="1" applyBorder="1" applyAlignment="1">
      <alignment horizontal="right"/>
    </xf>
    <xf numFmtId="0" fontId="83" fillId="15" borderId="66" applyFont="1" applyFill="1" applyBorder="1"/>
    <xf numFmtId="0" fontId="83" fillId="15" borderId="67" applyFont="1" applyFill="1" applyBorder="1"/>
    <xf numFmtId="0" fontId="83" fillId="15" borderId="68" applyFont="1" applyFill="1" applyBorder="1"/>
    <xf numFmtId="0" fontId="83" fillId="17" borderId="65" applyFont="1" applyFill="1" applyBorder="1" applyAlignment="1">
      <alignment horizontal="left"/>
    </xf>
    <xf numFmtId="0" fontId="83" fillId="17" borderId="65" applyFont="1" applyFill="1" applyBorder="1" applyAlignment="1">
      <alignment horizontal="right"/>
    </xf>
    <xf numFmtId="0" fontId="83" fillId="17" borderId="66" applyFont="1" applyFill="1" applyBorder="1"/>
    <xf numFmtId="0" fontId="83" fillId="17" borderId="67" applyFont="1" applyFill="1" applyBorder="1"/>
    <xf numFmtId="0" fontId="83" fillId="17" borderId="68" applyFont="1" applyFill="1" applyBorder="1"/>
    <xf numFmtId="0" fontId="1" fillId="3" borderId="47" applyFont="1" applyFill="1" applyBorder="1"/>
    <xf numFmtId="0" fontId="1" fillId="0" borderId="47" applyFont="1" applyFill="1" applyBorder="1" applyAlignment="1">
      <alignment horizontal="left" wrapText="1"/>
    </xf>
    <xf numFmtId="0" fontId="83" fillId="16" borderId="68" applyFont="1" applyFill="1" applyBorder="1" applyAlignment="1">
      <alignment horizontal="center" vertical="center"/>
    </xf>
    <xf numFmtId="0" fontId="69" fillId="0" borderId="47" applyFont="1" applyFill="1" applyBorder="1" applyAlignment="1">
      <alignment horizontal="right"/>
    </xf>
    <xf numFmtId="0" fontId="37" fillId="0" borderId="69" applyFont="1" applyFill="1" applyBorder="1" applyAlignment="1">
      <alignment horizont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24" Type="http://schemas.openxmlformats.org/officeDocument/2006/relationships/worksheet" Target="worksheets/sheet8.xml" />
<Relationship Id="rId27" Type="http://schemas.openxmlformats.org/officeDocument/2006/relationships/styles" Target="/xl/styles.xml" />
<Relationship Id="rId28" Type="http://schemas.openxmlformats.org/officeDocument/2006/relationships/theme" Target="/xl/theme/theme1.xml" />
<Relationship Id="rId26" Type="http://schemas.openxmlformats.org/officeDocument/2006/relationships/worksheet" Target="worksheets/sheet16.xml" />
<Relationship Id="rId22" Type="http://schemas.openxmlformats.org/officeDocument/2006/relationships/worksheet" Target="worksheets/sheet1.xml" />
<Relationship Id="rId23" Type="http://schemas.openxmlformats.org/officeDocument/2006/relationships/worksheet" Target="worksheets/sheet6.xml" />
<Relationship Id="rId25" Type="http://schemas.openxmlformats.org/officeDocument/2006/relationships/worksheet" Target="worksheets/sheet10.xml" />
<Relationship Id="rId29" Type="http://schemas.openxmlformats.org/officeDocument/2006/relationships/sharedStrings" Target="/xl/sharedStrings.xml" />
<Relationship Id="rId21" Type="http://schemas.openxmlformats.org/officeDocument/2006/relationships/worksheet" Target="worksheets/sheet18.xml" />
<Relationship Id="rId20" Type="http://schemas.openxmlformats.org/officeDocument/2006/relationships/worksheet" Target="worksheets/sheet21.xml" />
<Relationship Id="rId19" Type="http://schemas.openxmlformats.org/officeDocument/2006/relationships/worksheet" Target="worksheets/sheet25.xml" />
<Relationship Id="rId18" Type="http://schemas.openxmlformats.org/officeDocument/2006/relationships/worksheet" Target="worksheets/sheet29.xml" />
<Relationship Id="rId17" Type="http://schemas.openxmlformats.org/officeDocument/2006/relationships/worksheet" Target="worksheets/sheet33.xml" />
<Relationship Id="rId16" Type="http://schemas.openxmlformats.org/officeDocument/2006/relationships/worksheet" Target="worksheets/sheet37.xml" />
<Relationship Id="rId15" Type="http://schemas.openxmlformats.org/officeDocument/2006/relationships/worksheet" Target="worksheets/sheet41.xml" />
<Relationship Id="rId14" Type="http://schemas.openxmlformats.org/officeDocument/2006/relationships/worksheet" Target="worksheets/sheet45.xml" />
<Relationship Id="rId13" Type="http://schemas.openxmlformats.org/officeDocument/2006/relationships/worksheet" Target="worksheets/sheet49.xml" />
<Relationship Id="rId12" Type="http://schemas.openxmlformats.org/officeDocument/2006/relationships/worksheet" Target="worksheets/sheet53.xml" />
<Relationship Id="rId11" Type="http://schemas.openxmlformats.org/officeDocument/2006/relationships/worksheet" Target="worksheets/sheet56.xml" />
<Relationship Id="rId10" Type="http://schemas.openxmlformats.org/officeDocument/2006/relationships/worksheet" Target="worksheets/sheet59.xml" />
<Relationship Id="rId9" Type="http://schemas.openxmlformats.org/officeDocument/2006/relationships/worksheet" Target="worksheets/sheet62.xml" />
<Relationship Id="rId8" Type="http://schemas.openxmlformats.org/officeDocument/2006/relationships/worksheet" Target="worksheets/sheet66.xml" />
<Relationship Id="rId7" Type="http://schemas.openxmlformats.org/officeDocument/2006/relationships/worksheet" Target="worksheets/sheet69.xml" />
<Relationship Id="rId6" Type="http://schemas.openxmlformats.org/officeDocument/2006/relationships/worksheet" Target="worksheets/sheet73.xml" />
<Relationship Id="rId5" Type="http://schemas.openxmlformats.org/officeDocument/2006/relationships/worksheet" Target="worksheets/sheet76.xml" />
<Relationship Id="rId4" Type="http://schemas.openxmlformats.org/officeDocument/2006/relationships/worksheet" Target="worksheets/sheet80.xml" />
<Relationship Id="rId3" Type="http://schemas.openxmlformats.org/officeDocument/2006/relationships/worksheet" Target="worksheets/sheet83.xml" />
<Relationship Id="rId2" Type="http://schemas.openxmlformats.org/officeDocument/2006/relationships/worksheet" Target="worksheets/sheet86.xml" />
<Relationship Id="rId1" Type="http://schemas.openxmlformats.org/officeDocument/2006/relationships/worksheet" Target="worksheets/sheet89.xml" />
</Relationships>
</file>

<file path=xl/charts/chart9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June</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Month'!$C$28:$AF$28</f>
              <numCache>
                <formatCode>General</formatCode>
                <ptCount val="30"/>
                <pt idx="0">
                  <v>106.611570247922</v>
                </pt>
                <pt idx="0">
                  <v>127.230046948454</v>
                </pt>
                <pt idx="0">
                  <v>149.960474308454</v>
                </pt>
                <pt idx="0">
                  <v>141.845730027405</v>
                </pt>
                <pt idx="0">
                  <v>147.223883572591</v>
                </pt>
                <pt idx="0">
                  <v>112.427849927921</v>
                </pt>
                <pt idx="0">
                  <v>111.557354365548</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Month'!$C$40:$AF$40</f>
              <numCache>
                <formatCode>General</formatCode>
                <ptCount val="30"/>
                <pt idx="0">
                  <v>82.6603801203304</v>
                </pt>
                <pt idx="0">
                  <v>66.8012190308481</v>
                </pt>
                <pt idx="0">
                  <v>67.8424287219932</v>
                </pt>
                <pt idx="0">
                  <v>64.8725530270099</v>
                </pt>
                <pt idx="0">
                  <v>65.105416736384</v>
                </pt>
                <pt idx="0">
                  <v>76.2630645842113</v>
                </pt>
                <pt idx="0">
                  <v>77.6701002981976</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Month'!$C$52:$AF$52</f>
              <numCache>
                <formatCode>General</formatCode>
                <ptCount val="30"/>
                <pt idx="0">
                  <v>88.1255292192018</v>
                </pt>
                <pt idx="0">
                  <v>84.9912223350656</v>
                </pt>
                <pt idx="0">
                  <v>101.736827893754</v>
                </pt>
                <pt idx="0">
                  <v>92.0189464287075</v>
                </pt>
                <pt idx="0">
                  <v>95.8507229353774</v>
                </pt>
                <pt idx="0">
                  <v>85.7409238011196</v>
                </pt>
                <pt idx="0">
                  <v>86.6467090257373</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Month'!$C$25:$AF$25</f>
            </multiLvlStrRef>
          </cat>
          <val>
            <numRef>
              <f>'Daily by Month'!$C$61:$AF$61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6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Mar 16, 2025 to Jun 07,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90.9090909090909</v>
                </pt>
                <pt idx="0">
                  <v>90.2597402597403</v>
                </pt>
                <pt idx="0">
                  <v>95.1298701298701</v>
                </pt>
                <pt idx="0">
                  <v>93.8311688311688</v>
                </pt>
                <pt idx="0">
                  <v>96.2121212121212</v>
                </pt>
                <pt idx="0">
                  <v>88.0952380952381</v>
                </pt>
                <pt idx="0">
                  <v>94.0476190476191</v>
                </pt>
                <pt idx="0">
                  <v>78.1385281385281</v>
                </pt>
                <pt idx="0">
                  <v>75.2164502164502</v>
                </pt>
                <pt idx="0">
                  <v>89.1774891774892</v>
                </pt>
                <pt idx="0">
                  <v>75.8658008658009</v>
                </pt>
                <pt idx="0">
                  <v>73.7012987012987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88.8704318936877</v>
                </pt>
                <pt idx="0">
                  <v>88.4136212624585</v>
                </pt>
                <pt idx="0">
                  <v>87.7491694352159</v>
                </pt>
                <pt idx="0">
                  <v>89.2857142857143</v>
                </pt>
                <pt idx="0">
                  <v>90.1993355481728</v>
                </pt>
                <pt idx="0">
                  <v>83.3887043189369</v>
                </pt>
                <pt idx="0">
                  <v>94.7259136212625</v>
                </pt>
                <pt idx="0">
                  <v>73.4634551495017</v>
                </pt>
                <pt idx="0">
                  <v>66.8604651162791</v>
                </pt>
                <pt idx="0">
                  <v>76.9102990033223</v>
                </pt>
                <pt idx="0">
                  <v>72.2176079734219</v>
                </pt>
                <pt idx="0">
                  <v>59.1098552181535</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88.8978146710106</v>
                </pt>
                <pt idx="0">
                  <v>84.5807113848351</v>
                </pt>
                <pt idx="0">
                  <v>85.2325010050476</v>
                </pt>
                <pt idx="0">
                  <v>88.2032262388847</v>
                </pt>
                <pt idx="0">
                  <v>81.2726216542294</v>
                </pt>
                <pt idx="0">
                  <v>76.0132266857322</v>
                </pt>
                <pt idx="0">
                  <v>89.6212222768369</v>
                </pt>
                <pt idx="0">
                  <v>74.1498726484651</v>
                </pt>
                <pt idx="0">
                  <v>72.7929457676095</v>
                </pt>
                <pt idx="0">
                  <v>74.4045757183073</v>
                </pt>
                <pt idx="0">
                  <v>68.0116776144302</v>
                </pt>
                <pt idx="0">
                  <v>68.9821521917706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5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Mar 16, 2025 to Jun 07,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292.027380952381</v>
                </pt>
                <pt idx="0">
                  <v>328.038369304556</v>
                </pt>
                <pt idx="0">
                  <v>264.938566552901</v>
                </pt>
                <pt idx="0">
                  <v>297.681660899654</v>
                </pt>
                <pt idx="0">
                  <v>261.608548931384</v>
                </pt>
                <pt idx="0">
                  <v>236.044226044226</v>
                </pt>
                <pt idx="0">
                  <v>322.135788262371</v>
                </pt>
                <pt idx="0">
                  <v>232.814404432133</v>
                </pt>
                <pt idx="0">
                  <v>199.372661870504</v>
                </pt>
                <pt idx="0">
                  <v>210.575242718447</v>
                </pt>
                <pt idx="0">
                  <v>169.713266761769</v>
                </pt>
                <pt idx="0">
                  <v>161.750367107195</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398.994392523364</v>
                </pt>
                <pt idx="0">
                  <v>380.245655237201</v>
                </pt>
                <pt idx="0">
                  <v>341.342640795078</v>
                </pt>
                <pt idx="0">
                  <v>323.787906976744</v>
                </pt>
                <pt idx="0">
                  <v>374.430939226519</v>
                </pt>
                <pt idx="0">
                  <v>342.51593625498</v>
                </pt>
                <pt idx="0">
                  <v>383.201227531784</v>
                </pt>
                <pt idx="0">
                  <v>280.474844544941</v>
                </pt>
                <pt idx="0">
                  <v>238.046583850932</v>
                </pt>
                <pt idx="0">
                  <v>270.953563714903</v>
                </pt>
                <pt idx="0">
                  <v>238.473835537665</v>
                </pt>
                <pt idx="0">
                  <v>225.041648087273</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286.605910505706</v>
                </pt>
                <pt idx="0">
                  <v>303.538184184607</v>
                </pt>
                <pt idx="0">
                  <v>260.398197159478</v>
                </pt>
                <pt idx="0">
                  <v>261.89942077444</v>
                </pt>
                <pt idx="0">
                  <v>255.102375192435</v>
                </pt>
                <pt idx="0">
                  <v>229.518644798464</v>
                </pt>
                <pt idx="0">
                  <v>288.947597600093</v>
                </pt>
                <pt idx="0">
                  <v>226.808243943594</v>
                </pt>
                <pt idx="0">
                  <v>209.332569417446</v>
                </pt>
                <pt idx="0">
                  <v>204.810762116389</v>
                </pt>
                <pt idx="0">
                  <v>186.851864829942</v>
                </pt>
                <pt idx="0">
                  <v>176.013423690649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404"/>
          <min val="15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Mar 16, 2025 to Jun 07,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265.479437229437</v>
                </pt>
                <pt idx="0">
                  <v>296.08658008658</v>
                </pt>
                <pt idx="0">
                  <v>252.035714285714</v>
                </pt>
                <pt idx="0">
                  <v>279.318181818182</v>
                </pt>
                <pt idx="0">
                  <v>251.699134199134</v>
                </pt>
                <pt idx="0">
                  <v>207.943722943723</v>
                </pt>
                <pt idx="0">
                  <v>302.961038961039</v>
                </pt>
                <pt idx="0">
                  <v>181.917748917749</v>
                </pt>
                <pt idx="0">
                  <v>149.961038961039</v>
                </pt>
                <pt idx="0">
                  <v>187.785714285714</v>
                </pt>
                <pt idx="0">
                  <v>128.754329004329</v>
                </pt>
                <pt idx="0">
                  <v>119.212121212121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354.58803986711</v>
                </pt>
                <pt idx="0">
                  <v>336.188953488372</v>
                </pt>
                <pt idx="0">
                  <v>299.525332225914</v>
                </pt>
                <pt idx="0">
                  <v>289.09634551495</v>
                </pt>
                <pt idx="0">
                  <v>337.734219269103</v>
                </pt>
                <pt idx="0">
                  <v>285.619601328904</v>
                </pt>
                <pt idx="0">
                  <v>362.990863787375</v>
                </pt>
                <pt idx="0">
                  <v>206.046511627907</v>
                </pt>
                <pt idx="0">
                  <v>159.159053156146</v>
                </pt>
                <pt idx="0">
                  <v>208.391196013289</v>
                </pt>
                <pt idx="0">
                  <v>172.220099667774</v>
                </pt>
                <pt idx="0">
                  <v>133.021792364934</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254.786391157525</v>
                </pt>
                <pt idx="0">
                  <v>256.734755507951</v>
                </pt>
                <pt idx="0">
                  <v>221.943896011078</v>
                </pt>
                <pt idx="0">
                  <v>231.003738624008</v>
                </pt>
                <pt idx="0">
                  <v>207.3283882211</v>
                </pt>
                <pt idx="0">
                  <v>174.464527756677</v>
                </pt>
                <pt idx="0">
                  <v>258.95836870876</v>
                </pt>
                <pt idx="0">
                  <v>168.178024040395</v>
                </pt>
                <pt idx="0">
                  <v>152.379343729985</v>
                </pt>
                <pt idx="0">
                  <v>152.388578578131</v>
                </pt>
                <pt idx="0">
                  <v>127.081087924691</v>
                </pt>
                <pt idx="0">
                  <v>121.417847808229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68"/>
          <min val="11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June</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Month_2'!$C$28:$AF$28</f>
              <numCache>
                <formatCode>General</formatCode>
                <ptCount val="30"/>
                <pt idx="0">
                  <v>86.9528619528633</v>
                </pt>
                <pt idx="0">
                  <v>97.5448536355462</v>
                </pt>
                <pt idx="0">
                  <v>102.393089776267</v>
                </pt>
                <pt idx="0">
                  <v>94.8576675850119</v>
                </pt>
                <pt idx="0">
                  <v>113.281218560099</v>
                </pt>
                <pt idx="0">
                  <v>103.682272029057</v>
                </pt>
                <pt idx="0">
                  <v>100.460102644591</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Month_2'!$C$40:$AF$40</f>
              <numCache>
                <formatCode>General</formatCode>
                <ptCount val="30"/>
                <pt idx="0">
                  <v>89.4705940986159</v>
                </pt>
                <pt idx="0">
                  <v>87.4534052678699</v>
                </pt>
                <pt idx="0">
                  <v>94.708155863776</v>
                </pt>
                <pt idx="0">
                  <v>92.3476376111232</v>
                </pt>
                <pt idx="0">
                  <v>84.5385429288091</v>
                </pt>
                <pt idx="0">
                  <v>95.464399595593</v>
                </pt>
                <pt idx="0">
                  <v>97.2978775131622</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Month_2'!$C$52:$AF$52</f>
              <numCache>
                <formatCode>General</formatCode>
                <ptCount val="30"/>
                <pt idx="0">
                  <v>77.7972421749737</v>
                </pt>
                <pt idx="0">
                  <v>85.3062961678097</v>
                </pt>
                <pt idx="0">
                  <v>96.9746070590242</v>
                </pt>
                <pt idx="0">
                  <v>87.5988151076966</v>
                </pt>
                <pt idx="0">
                  <v>95.7662915827525</v>
                </pt>
                <pt idx="0">
                  <v>98.9796584795491</v>
                </pt>
                <pt idx="0">
                  <v>97.7455476207429</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Month_2'!$C$25:$AF$25</f>
            </multiLvlStrRef>
          </cat>
          <val>
            <numRef>
              <f>'Daily by Month_2'!$C$61:$AF$61</f>
              <numCache>
                <formatCode>General</formatCode>
                <ptCount val="30"/>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18"/>
          <min val="7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Mar 16, 2025 to Jun 07,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Occ_2!$B$73:$M$73</f>
              <numCache>
                <formatCode>General</formatCode>
                <ptCount val="12"/>
                <pt idx="0">
                  <v>90.9090909090909</v>
                </pt>
                <pt idx="0">
                  <v>90.2597402597403</v>
                </pt>
                <pt idx="0">
                  <v>95.1298701298701</v>
                </pt>
                <pt idx="0">
                  <v>93.8311688311688</v>
                </pt>
                <pt idx="0">
                  <v>96.2121212121212</v>
                </pt>
                <pt idx="0">
                  <v>88.0952380952381</v>
                </pt>
                <pt idx="0">
                  <v>94.0476190476191</v>
                </pt>
                <pt idx="0">
                  <v>78.1385281385281</v>
                </pt>
                <pt idx="0">
                  <v>75.2164502164502</v>
                </pt>
                <pt idx="0">
                  <v>89.1774891774892</v>
                </pt>
                <pt idx="0">
                  <v>75.8658008658009</v>
                </pt>
                <pt idx="0">
                  <v>73.7012987012987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Occ_2!$B$74:$M$74</f>
              <numCache>
                <formatCode>General</formatCode>
                <ptCount val="12"/>
                <pt idx="0">
                  <v>89.6418199419168</v>
                </pt>
                <pt idx="0">
                  <v>86.6961692711935</v>
                </pt>
                <pt idx="0">
                  <v>84.5355426110759</v>
                </pt>
                <pt idx="0">
                  <v>93.043839026414</v>
                </pt>
                <pt idx="0">
                  <v>91.0662425667266</v>
                </pt>
                <pt idx="0">
                  <v>81.7452634490389</v>
                </pt>
                <pt idx="0">
                  <v>94.5512377264555</v>
                </pt>
                <pt idx="0">
                  <v>81.3995298022404</v>
                </pt>
                <pt idx="0">
                  <v>78.4953671691329</v>
                </pt>
                <pt idx="0">
                  <v>86.6131931959618</v>
                </pt>
                <pt idx="0">
                  <v>77.7070944544323</v>
                </pt>
                <pt idx="0">
                  <v>73.7519015350574</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Occ_2!$B$75:$M$75</f>
              <numCache>
                <formatCode>General</formatCode>
                <ptCount val="12"/>
                <pt idx="0">
                  <v>88.8978146710106</v>
                </pt>
                <pt idx="0">
                  <v>84.5807113848351</v>
                </pt>
                <pt idx="0">
                  <v>85.2325010050476</v>
                </pt>
                <pt idx="0">
                  <v>88.2032262388847</v>
                </pt>
                <pt idx="0">
                  <v>81.2726216542294</v>
                </pt>
                <pt idx="0">
                  <v>76.0132266857322</v>
                </pt>
                <pt idx="0">
                  <v>89.6212222768369</v>
                </pt>
                <pt idx="0">
                  <v>74.1498726484651</v>
                </pt>
                <pt idx="0">
                  <v>72.7929457676095</v>
                </pt>
                <pt idx="0">
                  <v>74.4045757183073</v>
                </pt>
                <pt idx="0">
                  <v>68.0116776144302</v>
                </pt>
                <pt idx="0">
                  <v>68.9821521917706</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63"/>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Mar 16, 2025 to Jun 07,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ADR_2!$B$73:$M$73</f>
              <numCache>
                <formatCode>General</formatCode>
                <ptCount val="12"/>
                <pt idx="0">
                  <v>292.027380952381</v>
                </pt>
                <pt idx="0">
                  <v>328.038369304556</v>
                </pt>
                <pt idx="0">
                  <v>264.938566552901</v>
                </pt>
                <pt idx="0">
                  <v>297.681660899654</v>
                </pt>
                <pt idx="0">
                  <v>261.608548931384</v>
                </pt>
                <pt idx="0">
                  <v>236.044226044226</v>
                </pt>
                <pt idx="0">
                  <v>322.135788262371</v>
                </pt>
                <pt idx="0">
                  <v>232.814404432133</v>
                </pt>
                <pt idx="0">
                  <v>199.372661870504</v>
                </pt>
                <pt idx="0">
                  <v>210.575242718447</v>
                </pt>
                <pt idx="0">
                  <v>169.713266761769</v>
                </pt>
                <pt idx="0">
                  <v>161.750367107195</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ADR_2!$B$74:$M$74</f>
              <numCache>
                <formatCode>General</formatCode>
                <ptCount val="12"/>
                <pt idx="0">
                  <v>300.09978864548</v>
                </pt>
                <pt idx="0">
                  <v>306.305723400861</v>
                </pt>
                <pt idx="0">
                  <v>252.22283348723</v>
                </pt>
                <pt idx="0">
                  <v>283.712274078478</v>
                </pt>
                <pt idx="0">
                  <v>258.672071374336</v>
                </pt>
                <pt idx="0">
                  <v>234.592718660125</v>
                </pt>
                <pt idx="0">
                  <v>332.01755887085</v>
                </pt>
                <pt idx="0">
                  <v>212.535059463133</v>
                </pt>
                <pt idx="0">
                  <v>202.81512508809</v>
                </pt>
                <pt idx="0">
                  <v>238.666477726329</v>
                </pt>
                <pt idx="0">
                  <v>200.062721124755</v>
                </pt>
                <pt idx="0">
                  <v>175.796379148697</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ADR_2!$B$75:$M$75</f>
              <numCache>
                <formatCode>General</formatCode>
                <ptCount val="12"/>
                <pt idx="0">
                  <v>286.605910505706</v>
                </pt>
                <pt idx="0">
                  <v>303.538184184607</v>
                </pt>
                <pt idx="0">
                  <v>260.398197159478</v>
                </pt>
                <pt idx="0">
                  <v>261.89942077444</v>
                </pt>
                <pt idx="0">
                  <v>255.102375192435</v>
                </pt>
                <pt idx="0">
                  <v>229.518644798464</v>
                </pt>
                <pt idx="0">
                  <v>288.947597600093</v>
                </pt>
                <pt idx="0">
                  <v>226.808243943594</v>
                </pt>
                <pt idx="0">
                  <v>209.332569417446</v>
                </pt>
                <pt idx="0">
                  <v>204.810762116389</v>
                </pt>
                <pt idx="0">
                  <v>186.851864829942</v>
                </pt>
                <pt idx="0">
                  <v>176.013423690649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37"/>
          <min val="15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Mar 16, 2025 to Jun 07,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'RevPAR_2'!$B$73:$M$73</f>
              <numCache>
                <formatCode>General</formatCode>
                <ptCount val="12"/>
                <pt idx="0">
                  <v>265.479437229437</v>
                </pt>
                <pt idx="0">
                  <v>296.08658008658</v>
                </pt>
                <pt idx="0">
                  <v>252.035714285714</v>
                </pt>
                <pt idx="0">
                  <v>279.318181818182</v>
                </pt>
                <pt idx="0">
                  <v>251.699134199134</v>
                </pt>
                <pt idx="0">
                  <v>207.943722943723</v>
                </pt>
                <pt idx="0">
                  <v>302.961038961039</v>
                </pt>
                <pt idx="0">
                  <v>181.917748917749</v>
                </pt>
                <pt idx="0">
                  <v>149.961038961039</v>
                </pt>
                <pt idx="0">
                  <v>187.785714285714</v>
                </pt>
                <pt idx="0">
                  <v>128.754329004329</v>
                </pt>
                <pt idx="0">
                  <v>119.212121212121</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'RevPAR_2'!$B$74:$M$74</f>
              <numCache>
                <formatCode>General</formatCode>
                <ptCount val="12"/>
                <pt idx="0">
                  <v>269.014912183654</v>
                </pt>
                <pt idx="0">
                  <v>265.555328446964</v>
                </pt>
                <pt idx="0">
                  <v>213.21794087746</v>
                </pt>
                <pt idx="0">
                  <v>263.976791591758</v>
                </pt>
                <pt idx="0">
                  <v>235.562935970129</v>
                </pt>
                <pt idx="0">
                  <v>191.768435900982</v>
                </pt>
                <pt idx="0">
                  <v>313.926711381552</v>
                </pt>
                <pt idx="0">
                  <v>173.002539067902</v>
                </pt>
                <pt idx="0">
                  <v>159.200477112433</v>
                </pt>
                <pt idx="0">
                  <v>206.716657447103</v>
                </pt>
                <pt idx="0">
                  <v>155.462927672521</v>
                </pt>
                <pt idx="0">
                  <v>129.653172451943</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'RevPAR_2'!$B$75:$M$75</f>
              <numCache>
                <formatCode>General</formatCode>
                <ptCount val="12"/>
                <pt idx="0">
                  <v>254.786391157525</v>
                </pt>
                <pt idx="0">
                  <v>256.734755507951</v>
                </pt>
                <pt idx="0">
                  <v>221.943896011078</v>
                </pt>
                <pt idx="0">
                  <v>231.003738624008</v>
                </pt>
                <pt idx="0">
                  <v>207.3283882211</v>
                </pt>
                <pt idx="0">
                  <v>174.464527756677</v>
                </pt>
                <pt idx="0">
                  <v>258.95836870876</v>
                </pt>
                <pt idx="0">
                  <v>168.178024040395</v>
                </pt>
                <pt idx="0">
                  <v>152.379343729985</v>
                </pt>
                <pt idx="0">
                  <v>152.388578578131</v>
                </pt>
                <pt idx="0">
                  <v>127.081087924691</v>
                </pt>
                <pt idx="0">
                  <v>121.417847808229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19"/>
          <min val="11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5.xml.rels><?xml version="1.0" encoding="utf-8" standalone="yes" ?>
<Relationships xmlns="http://schemas.openxmlformats.org/package/2006/relationships">
<Relationship Id="rId97" Type="http://schemas.openxmlformats.org/officeDocument/2006/relationships/chart" Target="/xl/charts/chart92.xml" />
</Relationships>
</file>

<file path=xl/drawings/_rels/drawing64.xml.rels><?xml version="1.0" encoding="utf-8" standalone="yes" ?>
<Relationships xmlns="http://schemas.openxmlformats.org/package/2006/relationships">
<Relationship Id="rId101" Type="http://schemas.openxmlformats.org/officeDocument/2006/relationships/chart" Target="/xl/charts/chart96.xml" />
</Relationships>
</file>

<file path=xl/drawings/_rels/drawing65.xml.rels><?xml version="1.0" encoding="utf-8" standalone="yes" ?>
<Relationships xmlns="http://schemas.openxmlformats.org/package/2006/relationships">
<Relationship Id="rId98" Type="http://schemas.openxmlformats.org/officeDocument/2006/relationships/chart" Target="/xl/charts/chart93.xml" />
</Relationships>
</file>

<file path=xl/drawings/_rels/drawing68.xml.rels><?xml version="1.0" encoding="utf-8" standalone="yes" ?>
<Relationships xmlns="http://schemas.openxmlformats.org/package/2006/relationships">
<Relationship Id="rId102" Type="http://schemas.openxmlformats.org/officeDocument/2006/relationships/chart" Target="/xl/charts/chart97.xml" />
</Relationships>
</file>

<file path=xl/drawings/_rels/drawing72.xml.rels><?xml version="1.0" encoding="utf-8" standalone="yes" ?>
<Relationships xmlns="http://schemas.openxmlformats.org/package/2006/relationships">
<Relationship Id="rId99" Type="http://schemas.openxmlformats.org/officeDocument/2006/relationships/chart" Target="/xl/charts/chart94.xml" />
</Relationships>
</file>

<file path=xl/drawings/_rels/drawing75.xml.rels><?xml version="1.0" encoding="utf-8" standalone="yes" ?>
<Relationships xmlns="http://schemas.openxmlformats.org/package/2006/relationships">
<Relationship Id="rId103" Type="http://schemas.openxmlformats.org/officeDocument/2006/relationships/chart" Target="/xl/charts/chart98.xml" />
</Relationships>
</file>

<file path=xl/drawings/_rels/drawing79.xml.rels><?xml version="1.0" encoding="utf-8" standalone="yes" ?>
<Relationships xmlns="http://schemas.openxmlformats.org/package/2006/relationships">
<Relationship Id="rId100" Type="http://schemas.openxmlformats.org/officeDocument/2006/relationships/chart" Target="/xl/charts/chart95.xml" />
</Relationships>
</file>

<file path=xl/drawings/_rels/drawing82.xml.rels><?xml version="1.0" encoding="utf-8" standalone="yes" ?>
<Relationships xmlns="http://schemas.openxmlformats.org/package/2006/relationships">
<Relationship Id="rId104" Type="http://schemas.openxmlformats.org/officeDocument/2006/relationships/chart" Target="/xl/charts/chart99.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7"/>
        </a:graphicData>
      </a:graphic>
    </xdr:graphicFrame>
    <xdr:clientData/>
  </xdr:oneCellAnchor>
</xdr:wsDr>
</file>

<file path=xl/drawings/drawing3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100584</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1"/>
        </a:graphicData>
      </a:graphic>
    </xdr:graphicFrame>
    <xdr:clientData/>
  </xdr:oneCellAnchor>
</xdr:wsDr>
</file>

<file path=xl/drawings/drawing6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8"/>
        </a:graphicData>
      </a:graphic>
    </xdr:graphicFrame>
    <xdr:clientData/>
  </xdr:oneCellAnchor>
</xdr:wsDr>
</file>

<file path=xl/drawings/drawing6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2"/>
        </a:graphicData>
      </a:graphic>
    </xdr:graphicFrame>
    <xdr:clientData/>
  </xdr:oneCellAnchor>
</xdr:wsDr>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9"/>
        </a:graphicData>
      </a:graphic>
    </xdr:graphicFrame>
    <xdr:clientData/>
  </xdr:oneCellAnchor>
</xdr:wsDr>
</file>

<file path=xl/drawings/drawing7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3"/>
        </a:graphicData>
      </a:graphic>
    </xdr:graphicFrame>
    <xdr:clientData/>
  </xdr:oneCellAnchor>
</xdr:wsDr>
</file>

<file path=xl/drawings/drawing7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0"/>
        </a:graphicData>
      </a:graphic>
    </xdr:graphicFrame>
    <xdr:clientData/>
  </xdr:oneCellAnchor>
</xdr:wsDr>
</file>

<file path=xl/drawings/drawing8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4"/>
        </a:graphicData>
      </a:graphic>
    </xdr:graphicFrame>
    <xdr:clientData/>
  </xdr:oneCellAnchor>
</xdr:wsDr>
</file>

<file path=xl/drawings/drawing8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9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105" Type="http://schemas.openxmlformats.org/officeDocument/2006/relationships/hyperlink" Target="http://www.strglobal.com/" TargetMode="External" />
<Relationship Id="rId106"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70" Type="http://schemas.openxmlformats.org/officeDocument/2006/relationships/drawing" Target="../drawings/drawing65.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77" Type="http://schemas.openxmlformats.org/officeDocument/2006/relationships/drawing" Target="../drawings/drawing7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84" Type="http://schemas.openxmlformats.org/officeDocument/2006/relationships/drawing" Target="../drawings/drawing79.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107" Type="http://schemas.openxmlformats.org/officeDocument/2006/relationships/hyperlink" Target="http://www.str.com/data-insights/resources/glossary" TargetMode="External" />
<Relationship Id="rId108" Type="http://schemas.openxmlformats.org/officeDocument/2006/relationships/hyperlink" Target="http://www.hotelnewsnow.com/" TargetMode="External" />
<Relationship Id="rId109" Type="http://schemas.openxmlformats.org/officeDocument/2006/relationships/hyperlink" Target="http://www.hoteldataconference.com/" TargetMode="External" />
<Relationship Id="rId110" Type="http://schemas.openxmlformats.org/officeDocument/2006/relationships/hyperlink" Target="http://www.str.com/data-insights/resources/FAQ" TargetMode="External" />
<Relationship Id="rId111"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2.bin" />
<Relationship Id="rId22" Type="http://schemas.openxmlformats.org/officeDocument/2006/relationships/drawing" Target="../drawings/drawing23.xml" />
</Relationships>
</file>

<file path=xl/worksheets/_rels/sheet25.xml.rels><?xml version="1.0" encoding="utf-8" standalone="yes" ?>
<Relationships xmlns="http://schemas.openxmlformats.org/package/2006/relationships">
<Relationship Id="rId1" Type="http://schemas.openxmlformats.org/officeDocument/2006/relationships/printerSettings" Target="../printerSettings/printerSettings26.bin" />
<Relationship Id="rId29" Type="http://schemas.openxmlformats.org/officeDocument/2006/relationships/drawing" Target="../drawings/drawing27.xml" />
</Relationships>
</file>

<file path=xl/worksheets/_rels/sheet29.xml.rels><?xml version="1.0" encoding="utf-8" standalone="yes" ?>
<Relationships xmlns="http://schemas.openxmlformats.org/package/2006/relationships">
<Relationship Id="rId1" Type="http://schemas.openxmlformats.org/officeDocument/2006/relationships/printerSettings" Target="../printerSettings/printerSettings30.bin" />
<Relationship Id="rId33" Type="http://schemas.openxmlformats.org/officeDocument/2006/relationships/drawing" Target="../drawings/drawing31.xml" />
</Relationships>
</file>

<file path=xl/worksheets/_rels/sheet33.xml.rels><?xml version="1.0" encoding="utf-8" standalone="yes" ?>
<Relationships xmlns="http://schemas.openxmlformats.org/package/2006/relationships">
<Relationship Id="rId1" Type="http://schemas.openxmlformats.org/officeDocument/2006/relationships/printerSettings" Target="../printerSettings/printerSettings34.bin" />
<Relationship Id="rId37" Type="http://schemas.openxmlformats.org/officeDocument/2006/relationships/drawing" Target="../drawings/drawing35.xml" />
</Relationships>
</file>

<file path=xl/worksheets/_rels/sheet37.xml.rels><?xml version="1.0" encoding="utf-8" standalone="yes" ?>
<Relationships xmlns="http://schemas.openxmlformats.org/package/2006/relationships">
<Relationship Id="rId1" Type="http://schemas.openxmlformats.org/officeDocument/2006/relationships/printerSettings" Target="../printerSettings/printerSettings38.bin" />
<Relationship Id="rId41" Type="http://schemas.openxmlformats.org/officeDocument/2006/relationships/drawing" Target="../drawings/drawing39.xml" />
</Relationships>
</file>

<file path=xl/worksheets/_rels/sheet41.xml.rels><?xml version="1.0" encoding="utf-8" standalone="yes" ?>
<Relationships xmlns="http://schemas.openxmlformats.org/package/2006/relationships">
<Relationship Id="rId1" Type="http://schemas.openxmlformats.org/officeDocument/2006/relationships/printerSettings" Target="../printerSettings/printerSettings42.bin" />
<Relationship Id="rId45" Type="http://schemas.openxmlformats.org/officeDocument/2006/relationships/drawing" Target="../drawings/drawing43.xml" />
</Relationships>
</file>

<file path=xl/worksheets/_rels/sheet45.xml.rels><?xml version="1.0" encoding="utf-8" standalone="yes" ?>
<Relationships xmlns="http://schemas.openxmlformats.org/package/2006/relationships">
<Relationship Id="rId1" Type="http://schemas.openxmlformats.org/officeDocument/2006/relationships/printerSettings" Target="../printerSettings/printerSettings46.bin" />
<Relationship Id="rId49" Type="http://schemas.openxmlformats.org/officeDocument/2006/relationships/drawing" Target="../drawings/drawing47.xml" />
</Relationships>
</file>

<file path=xl/worksheets/_rels/sheet49.xml.rels><?xml version="1.0" encoding="utf-8" standalone="yes" ?>
<Relationships xmlns="http://schemas.openxmlformats.org/package/2006/relationships">
<Relationship Id="rId1" Type="http://schemas.openxmlformats.org/officeDocument/2006/relationships/printerSettings" Target="../printerSettings/printerSettings50.bin" />
<Relationship Id="rId53" Type="http://schemas.openxmlformats.org/officeDocument/2006/relationships/drawing" Target="../drawings/drawing51.xml" />
</Relationships>
</file>

<file path=xl/worksheets/_rels/sheet53.xml.rels><?xml version="1.0" encoding="utf-8" standalone="yes" ?>
<Relationships xmlns="http://schemas.openxmlformats.org/package/2006/relationships">
<Relationship Id="rId1" Type="http://schemas.openxmlformats.org/officeDocument/2006/relationships/printerSettings" Target="../printerSettings/printerSettings54.bin" />
<Relationship Id="rId57" Type="http://schemas.openxmlformats.org/officeDocument/2006/relationships/drawing" Target="../drawings/drawing55.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2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33"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37" Type="http://schemas.openxmlformats.org/officeDocument/2006/relationships/drawing" Target="../drawings/drawing64.xml" />
</Relationships>
</file>

<file path=xl/worksheets/_rels/sheet66.xml.rels><?xml version="1.0" encoding="utf-8" standalone="yes" ?>
<Relationships xmlns="http://schemas.openxmlformats.org/package/2006/relationships">
<Relationship Id="rId1" Type="http://schemas.openxmlformats.org/officeDocument/2006/relationships/printerSettings" Target="../printerSettings/printerSettings67.bin" />
<Relationship Id="rId70" Type="http://schemas.openxmlformats.org/officeDocument/2006/relationships/drawing" Target="../drawings/drawing68.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41" Type="http://schemas.openxmlformats.org/officeDocument/2006/relationships/drawing" Target="../drawings/drawing71.xml" />
</Relationships>
</file>

<file path=xl/worksheets/_rels/sheet73.xml.rels><?xml version="1.0" encoding="utf-8" standalone="yes" ?>
<Relationships xmlns="http://schemas.openxmlformats.org/package/2006/relationships">
<Relationship Id="rId1" Type="http://schemas.openxmlformats.org/officeDocument/2006/relationships/printerSettings" Target="../printerSettings/printerSettings74.bin" />
<Relationship Id="rId77" Type="http://schemas.openxmlformats.org/officeDocument/2006/relationships/drawing" Target="../drawings/drawing75.xml" />
</Relationships>
</file>

<file path=xl/worksheets/_rels/sheet76.xml.rels><?xml version="1.0" encoding="utf-8" standalone="yes" ?>
<Relationships xmlns="http://schemas.openxmlformats.org/package/2006/relationships">
<Relationship Id="rId1" Type="http://schemas.openxmlformats.org/officeDocument/2006/relationships/printerSettings" Target="../printerSettings/printerSettings77.bin" />
<Relationship Id="rId45" Type="http://schemas.openxmlformats.org/officeDocument/2006/relationships/drawing" Target="../drawings/drawing78.xml" />
</Relationships>
</file>

<file path=xl/worksheets/_rels/sheet80.xml.rels><?xml version="1.0" encoding="utf-8" standalone="yes" ?>
<Relationships xmlns="http://schemas.openxmlformats.org/package/2006/relationships">
<Relationship Id="rId1" Type="http://schemas.openxmlformats.org/officeDocument/2006/relationships/printerSettings" Target="../printerSettings/printerSettings81.bin" />
<Relationship Id="rId84" Type="http://schemas.openxmlformats.org/officeDocument/2006/relationships/drawing" Target="../drawings/drawing82.xml" />
</Relationships>
</file>

<file path=xl/worksheets/_rels/sheet83.xml.rels><?xml version="1.0" encoding="utf-8" standalone="yes" ?>
<Relationships xmlns="http://schemas.openxmlformats.org/package/2006/relationships">
<Relationship Id="rId1" Type="http://schemas.openxmlformats.org/officeDocument/2006/relationships/printerSettings" Target="../printerSettings/printerSettings84.bin" />
<Relationship Id="rId49" Type="http://schemas.openxmlformats.org/officeDocument/2006/relationships/drawing" Target="../drawings/drawing85.xml" />
</Relationships>
</file>

<file path=xl/worksheets/_rels/sheet86.xml.rels><?xml version="1.0" encoding="utf-8" standalone="yes" ?>
<Relationships xmlns="http://schemas.openxmlformats.org/package/2006/relationships">
<Relationship Id="rId1" Type="http://schemas.openxmlformats.org/officeDocument/2006/relationships/printerSettings" Target="../printerSettings/printerSettings87.bin" />
<Relationship Id="rId53" Type="http://schemas.openxmlformats.org/officeDocument/2006/relationships/drawing" Target="../drawings/drawing88.xml" />
</Relationships>
</file>

<file path=xl/worksheets/_rels/sheet89.xml.rels><?xml version="1.0" encoding="utf-8" standalone="yes" ?>
<Relationships xmlns="http://schemas.openxmlformats.org/package/2006/relationships">
<Relationship Id="rId1" Type="http://schemas.openxmlformats.org/officeDocument/2006/relationships/printerSettings" Target="../printerSettings/printerSettings90.bin" />
<Relationship Id="rId57" Type="http://schemas.openxmlformats.org/officeDocument/2006/relationships/drawing" Target="../drawings/drawing91.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164</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163</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165</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166</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t="str">
        <f>HYPERLINK("#'Response'!A1", "Response Report")</f>
      </c>
      <c r="F7" s="421" t="str">
        <f>HYPERLINK("#'Response'!A1", "14")</f>
      </c>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HYPERLINK("#'SummaryComb'!A1", "Combined Summary")</f>
      </c>
      <c r="C8" s="421" t="str">
        <f>HYPERLINK("#'SummaryComb'!A1", "2")</f>
      </c>
      <c r="D8" s="430"/>
      <c r="E8" s="430" t="str">
        <f>HYPERLINK("#'Glance_2'!A1", "Weekly Performance at a Glance - 2nd Comp")</f>
      </c>
      <c r="F8" s="421" t="str">
        <f>HYPERLINK("#'Glance_2'!A1", "15")</f>
      </c>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HYPERLINK("#'SummaryComb 28Day'!A1", "28 Day Combined Summary")</f>
      </c>
      <c r="C9" s="421" t="str">
        <f>HYPERLINK("#'SummaryComb 28Day'!A1", "3")</f>
      </c>
      <c r="D9" s="430"/>
      <c r="E9" s="430" t="str">
        <f>HYPERLINK("#'Segmentation Glance_2'!A1", "Segmentation at a Glance - 2nd Comp")</f>
      </c>
      <c r="F9" s="421" t="str">
        <f>HYPERLINK("#'Segmentation Glance_2'!A1", "16")</f>
      </c>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HYPERLINK("#'Glance'!A1", "Weekly Performance at a Glance")</f>
      </c>
      <c r="C10" s="421" t="str">
        <f>HYPERLINK("#'Glance'!A1", "4")</f>
      </c>
      <c r="D10" s="430"/>
      <c r="E10" s="430" t="str">
        <f>HYPERLINK("#'Daily by Month_2'!A1", "Daily Data for the Month - 2nd Comp")</f>
      </c>
      <c r="F10" s="421" t="str">
        <f>HYPERLINK("#'Daily by Month_2'!A1", "17")</f>
      </c>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HYPERLINK("#'Segmentation Glance'!A1", "Segmentation at a Glance")</f>
      </c>
      <c r="C11" s="421" t="str">
        <f>HYPERLINK("#'Segmentation Glance'!A1", "5")</f>
      </c>
      <c r="D11" s="430"/>
      <c r="E11" s="430" t="str">
        <f>HYPERLINK("#'Occ_2'!A1", "Occupancy Perspectives - 2nd Comp")</f>
      </c>
      <c r="F11" s="421" t="str">
        <f>HYPERLINK("#'Occ_2'!A1", "18")</f>
      </c>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HYPERLINK("#'Daily by Month'!A1", "Daily Data for the Month")</f>
      </c>
      <c r="C12" s="421" t="str">
        <f>HYPERLINK("#'Daily by Month'!A1", "6")</f>
      </c>
      <c r="D12" s="430"/>
      <c r="E12" s="430" t="str">
        <f>HYPERLINK("#'Segmentation Occ_2'!A1", "Segmentation Occupancy Analysis - 2nd Comp")</f>
      </c>
      <c r="F12" s="421" t="str">
        <f>HYPERLINK("#'Segmentation Occ_2'!A1", "19")</f>
      </c>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HYPERLINK("#'Occ'!A1", "Occupancy Perspectives")</f>
      </c>
      <c r="C13" s="421" t="str">
        <f>HYPERLINK("#'Occ'!A1", "7")</f>
      </c>
      <c r="D13" s="430"/>
      <c r="E13" s="430" t="str">
        <f>HYPERLINK("#'ADR_2'!A1", "ADR Perspectives - 2nd Comp")</f>
      </c>
      <c r="F13" s="421" t="str">
        <f>HYPERLINK("#'ADR_2'!A1", "20")</f>
      </c>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Occ'!A1", "Segmentation Occupancy Analysis")</f>
      </c>
      <c r="C14" s="421" t="str">
        <f>HYPERLINK("#'Segmentation Occ'!A1", "8")</f>
      </c>
      <c r="D14" s="430"/>
      <c r="E14" s="430" t="str">
        <f>HYPERLINK("#'Segmentation ADR_2'!A1", "Segmentation ADR Analysis - 2nd Comp")</f>
      </c>
      <c r="F14" s="421" t="str">
        <f>HYPERLINK("#'Segmentation ADR_2'!A1", "21")</f>
      </c>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HYPERLINK("#'ADR'!A1", "ADR Perspectives")</f>
      </c>
      <c r="C15" s="421" t="str">
        <f>HYPERLINK("#'ADR'!A1", "9")</f>
      </c>
      <c r="D15" s="430"/>
      <c r="E15" s="430" t="str">
        <f>HYPERLINK("#'RevPAR_2'!A1", "RevPAR Perspectives - 2nd Comp")</f>
      </c>
      <c r="F15" s="421" t="str">
        <f>HYPERLINK("#'RevPAR_2'!A1", "22")</f>
      </c>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ADR'!A1", "Segmentation ADR Analysis")</f>
      </c>
      <c r="C16" s="421" t="str">
        <f>HYPERLINK("#'Segmentation ADR'!A1", "10")</f>
      </c>
      <c r="D16" s="430"/>
      <c r="E16" s="430" t="str">
        <f>HYPERLINK("#'Segmentation RevPAR_2'!A1", "Segmentation RevPAR Analysis - 2nd Comp")</f>
      </c>
      <c r="F16" s="421" t="str">
        <f>HYPERLINK("#'Segmentation RevPAR_2'!A1", "23")</f>
      </c>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HYPERLINK("#'RevPAR'!A1", "RevPAR Perspectives")</f>
      </c>
      <c r="C17" s="421" t="str">
        <f>HYPERLINK("#'RevPAR'!A1", "11")</f>
      </c>
      <c r="D17" s="430"/>
      <c r="E17" s="430" t="str">
        <f>HYPERLINK("#'Additional Revenue_2'!A1", "Additional Revenue - 2nd Comp")</f>
      </c>
      <c r="F17" s="421" t="str">
        <f>HYPERLINK("#'Additional Revenue_2'!A1", "24")</f>
      </c>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HYPERLINK("#'Segmentation RevPAR'!A1", "Segmentation RevPAR Analysis")</f>
      </c>
      <c r="C18" s="421" t="str">
        <f>HYPERLINK("#'Segmentation RevPAR'!A1", "12")</f>
      </c>
      <c r="D18" s="430"/>
      <c r="E18" s="430" t="str">
        <f>HYPERLINK("#'Response_2'!A1", "Response Report - 2nd Comp")</f>
      </c>
      <c r="F18" s="421" t="str">
        <f>HYPERLINK("#'Response_2'!A1", "25")</f>
      </c>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HYPERLINK("#'Additional Revenue'!A1", "Additional Revenue")</f>
      </c>
      <c r="C19" s="421" t="str">
        <f>HYPERLINK("#'Additional Revenue'!A1", "13")</f>
      </c>
      <c r="D19" s="430"/>
      <c r="E19" s="430" t="str">
        <f>HYPERLINK("#'Help'!A1", "Help")</f>
      </c>
      <c r="F19" s="421" t="str">
        <f>HYPERLINK("#'Help'!A1", "26")</f>
      </c>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105" display="www.strglobal.com"/>
    <hyperlink ref="M8" r:id="rId106"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125</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179</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180</v>
      </c>
      <c r="R4" s="618" t="s">
        <v>182</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275" t="s">
        <v>184</v>
      </c>
      <c r="D24" s="276"/>
      <c r="E24" s="276"/>
      <c r="F24" s="276"/>
      <c r="G24" s="276"/>
      <c r="H24" s="276"/>
      <c r="I24" s="276"/>
      <c r="J24" s="276"/>
      <c r="K24" s="276"/>
      <c r="L24" s="276"/>
      <c r="M24" s="276"/>
      <c r="N24" s="276"/>
      <c r="O24" s="276"/>
      <c r="P24" s="276"/>
      <c r="Q24" s="276"/>
      <c r="R24" s="276"/>
      <c r="S24" s="277"/>
      <c r="T24" s="277"/>
      <c r="U24" s="277"/>
      <c r="V24" s="277"/>
      <c r="W24" s="277"/>
      <c r="X24" s="312" t="s">
        <v>181</v>
      </c>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11</v>
      </c>
      <c r="D25" s="42">
        <v>12</v>
      </c>
      <c r="E25" s="42">
        <v>13</v>
      </c>
      <c r="F25" s="42">
        <v>14</v>
      </c>
      <c r="G25" s="42">
        <v>15</v>
      </c>
      <c r="H25" s="42">
        <v>16</v>
      </c>
      <c r="I25" s="42">
        <v>17</v>
      </c>
      <c r="J25" s="42">
        <v>18</v>
      </c>
      <c r="K25" s="42">
        <v>19</v>
      </c>
      <c r="L25" s="42">
        <v>20</v>
      </c>
      <c r="M25" s="42">
        <v>21</v>
      </c>
      <c r="N25" s="42">
        <v>22</v>
      </c>
      <c r="O25" s="42">
        <v>23</v>
      </c>
      <c r="P25" s="42">
        <v>24</v>
      </c>
      <c r="Q25" s="42">
        <v>25</v>
      </c>
      <c r="R25" s="42">
        <v>26</v>
      </c>
      <c r="S25" s="42">
        <v>27</v>
      </c>
      <c r="T25" s="42">
        <v>28</v>
      </c>
      <c r="U25" s="42">
        <v>29</v>
      </c>
      <c r="V25" s="42">
        <v>30</v>
      </c>
      <c r="W25" s="42">
        <v>31</v>
      </c>
      <c r="X25" s="323">
        <v>1</v>
      </c>
      <c r="Y25" s="42">
        <v>2</v>
      </c>
      <c r="Z25" s="42">
        <v>3</v>
      </c>
      <c r="AA25" s="42">
        <v>4</v>
      </c>
      <c r="AB25" s="42">
        <v>5</v>
      </c>
      <c r="AC25" s="42">
        <v>6</v>
      </c>
      <c r="AD25" s="337">
        <v>7</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44">
        <v>58.333333333333333333333333330</v>
      </c>
      <c r="D26" s="445">
        <v>63.636363636363636363636363640</v>
      </c>
      <c r="E26" s="445">
        <v>69.696969696969696969696969700</v>
      </c>
      <c r="F26" s="445">
        <v>71.212121212121212121212121210</v>
      </c>
      <c r="G26" s="445">
        <v>81.06060606060606060606060606</v>
      </c>
      <c r="H26" s="445">
        <v>86.36363636363636363636363636</v>
      </c>
      <c r="I26" s="445">
        <v>96.21212121212121212121212121</v>
      </c>
      <c r="J26" s="445">
        <v>89.39393939393939393939393939</v>
      </c>
      <c r="K26" s="445">
        <v>90.15151515151515151515151515</v>
      </c>
      <c r="L26" s="445">
        <v>89.39393939393939393939393939</v>
      </c>
      <c r="M26" s="445">
        <v>95.45454545454545454545454545</v>
      </c>
      <c r="N26" s="445">
        <v>95.45454545454545454545454545</v>
      </c>
      <c r="O26" s="445">
        <v>73.484848484848484848484848480</v>
      </c>
      <c r="P26" s="445">
        <v>90.90909090909090909090909091</v>
      </c>
      <c r="Q26" s="445">
        <v>96.21212121212121212121212121</v>
      </c>
      <c r="R26" s="445">
        <v>73.484848484848484848484848480</v>
      </c>
      <c r="S26" s="445">
        <v>66.666666666666666666666666670</v>
      </c>
      <c r="T26" s="445">
        <v>72.727272727272727272727272730</v>
      </c>
      <c r="U26" s="445">
        <v>75.757575757575757575757575760</v>
      </c>
      <c r="V26" s="445">
        <v>73.484848484848484848484848480</v>
      </c>
      <c r="W26" s="445">
        <v>72.727272727272727272727272730</v>
      </c>
      <c r="X26" s="446">
        <v>68.181818181818181818181818180</v>
      </c>
      <c r="Y26" s="445">
        <v>66.666666666666666666666666670</v>
      </c>
      <c r="Z26" s="445">
        <v>63.636363636363636363636363640</v>
      </c>
      <c r="AA26" s="445">
        <v>57.575757575757575757575757580</v>
      </c>
      <c r="AB26" s="445">
        <v>82.57575757575757575757575758</v>
      </c>
      <c r="AC26" s="445">
        <v>87.12121212121212121212121212</v>
      </c>
      <c r="AD26" s="447">
        <v>90.15151515151515151515151515</v>
      </c>
      <c r="AE26" s="448"/>
      <c r="AF26" s="444">
        <v>73.701298701298701298701298700</v>
      </c>
      <c r="AG26" s="445">
        <v>78.490259740259740259740259740</v>
      </c>
      <c r="AH26" s="449">
        <v>73.701298701298701298701298700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57.267441860465116279069767440</v>
      </c>
      <c r="D27" s="81">
        <v>51.453488372093023255813953490</v>
      </c>
      <c r="E27" s="81">
        <v>55.232558139534883720930232560</v>
      </c>
      <c r="F27" s="81">
        <v>62.500</v>
      </c>
      <c r="G27" s="81">
        <v>71.802325581395348837209302330</v>
      </c>
      <c r="H27" s="81">
        <v>79.65116279069767441860465116</v>
      </c>
      <c r="I27" s="81">
        <v>90.11627906976744186046511628</v>
      </c>
      <c r="J27" s="81">
        <v>79.069767441860465116279069770</v>
      </c>
      <c r="K27" s="81">
        <v>79.94186046511627906976744186</v>
      </c>
      <c r="L27" s="81">
        <v>74.709302325581395348837209300</v>
      </c>
      <c r="M27" s="81">
        <v>61.627906976744186046511627910</v>
      </c>
      <c r="N27" s="81">
        <v>68.604651162790697674418604650</v>
      </c>
      <c r="O27" s="81">
        <v>84.01162790697674418604651163</v>
      </c>
      <c r="P27" s="81">
        <v>90.40697674418604651162790698</v>
      </c>
      <c r="Q27" s="81">
        <v>81.39534883720930232558139535</v>
      </c>
      <c r="R27" s="81">
        <v>63.953488372093023255813953490</v>
      </c>
      <c r="S27" s="81">
        <v>55.232558139534883720930232560</v>
      </c>
      <c r="T27" s="81">
        <v>61.046511627906976744186046510</v>
      </c>
      <c r="U27" s="81">
        <v>73.255813953488372093023255810</v>
      </c>
      <c r="V27" s="81">
        <v>86.91860465116279069767441860</v>
      </c>
      <c r="W27" s="81">
        <v>83.72093023255813953488372093</v>
      </c>
      <c r="X27" s="82">
        <v>63.953488372093023255813953490</v>
      </c>
      <c r="Y27" s="81">
        <v>52.398523985239852398523985240</v>
      </c>
      <c r="Z27" s="81">
        <v>42.435424354243542435424354240</v>
      </c>
      <c r="AA27" s="81">
        <v>40.590405904059040590405904060</v>
      </c>
      <c r="AB27" s="81">
        <v>56.088560885608856088560885610</v>
      </c>
      <c r="AC27" s="81">
        <v>77.490774907749077490774907750</v>
      </c>
      <c r="AD27" s="83">
        <v>80.81180811808118081180811808</v>
      </c>
      <c r="AE27" s="88"/>
      <c r="AF27" s="327">
        <v>59.109855218153510438758872640</v>
      </c>
      <c r="AG27" s="81">
        <v>68.774556827794191563178090250</v>
      </c>
      <c r="AH27" s="328">
        <v>59.109855218153510438758872640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183</v>
      </c>
      <c r="C28" s="450">
        <v>54.175789802940256490459806070</v>
      </c>
      <c r="D28" s="451">
        <v>61.714106975289333750390991550</v>
      </c>
      <c r="E28" s="451">
        <v>67.646752163486602022729642370</v>
      </c>
      <c r="F28" s="451">
        <v>74.986966948180585966009800850</v>
      </c>
      <c r="G28" s="451">
        <v>77.489312897508080492128036700</v>
      </c>
      <c r="H28" s="451">
        <v>86.64372849546449796684391617</v>
      </c>
      <c r="I28" s="451">
        <v>86.89396309039724741945573976</v>
      </c>
      <c r="J28" s="451">
        <v>69.419247210926910645396726100</v>
      </c>
      <c r="K28" s="451">
        <v>68.804087165050568241059326450</v>
      </c>
      <c r="L28" s="451">
        <v>70.128245229903034094463559590</v>
      </c>
      <c r="M28" s="451">
        <v>69.565217391304347826086956520</v>
      </c>
      <c r="N28" s="451">
        <v>74.309248253571056198519445310</v>
      </c>
      <c r="O28" s="451">
        <v>79.52246898133666979459910333</v>
      </c>
      <c r="P28" s="451">
        <v>89.08351579605880512980919612</v>
      </c>
      <c r="Q28" s="451">
        <v>75.914920237722865186111979980</v>
      </c>
      <c r="R28" s="451">
        <v>53.101866333020540089667396520</v>
      </c>
      <c r="S28" s="451">
        <v>55.520800750703784798248357840</v>
      </c>
      <c r="T28" s="451">
        <v>62.996559274319674695026587430</v>
      </c>
      <c r="U28" s="451">
        <v>68.512146804295693879678865600</v>
      </c>
      <c r="V28" s="451">
        <v>78.709206547805234073610676680</v>
      </c>
      <c r="W28" s="451">
        <v>81.32624335314357209884266500</v>
      </c>
      <c r="X28" s="452">
        <v>61.170935703084161003659174070</v>
      </c>
      <c r="Y28" s="451">
        <v>63.251437532671197072660742290</v>
      </c>
      <c r="Z28" s="451">
        <v>61.024568740198640878201777310</v>
      </c>
      <c r="AA28" s="451">
        <v>65.101934134866701515943544170</v>
      </c>
      <c r="AB28" s="451">
        <v>72.096184004181913225300575010</v>
      </c>
      <c r="AC28" s="451">
        <v>76.926293779404077365394668060</v>
      </c>
      <c r="AD28" s="453">
        <v>83.30371144798745426032409827</v>
      </c>
      <c r="AE28" s="448"/>
      <c r="AF28" s="450">
        <v>68.982152191770592188783511310</v>
      </c>
      <c r="AG28" s="451">
        <v>71.049238726217181013988359180</v>
      </c>
      <c r="AH28" s="454">
        <v>68.982152191770592188783511310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275" t="s">
        <v>184</v>
      </c>
      <c r="D31" s="276"/>
      <c r="E31" s="276"/>
      <c r="F31" s="276"/>
      <c r="G31" s="276"/>
      <c r="H31" s="276"/>
      <c r="I31" s="276"/>
      <c r="J31" s="276"/>
      <c r="K31" s="276"/>
      <c r="L31" s="276"/>
      <c r="M31" s="276"/>
      <c r="N31" s="276"/>
      <c r="O31" s="276"/>
      <c r="P31" s="276"/>
      <c r="Q31" s="276"/>
      <c r="R31" s="276"/>
      <c r="S31" s="277"/>
      <c r="T31" s="277"/>
      <c r="U31" s="277"/>
      <c r="V31" s="277"/>
      <c r="W31" s="277"/>
      <c r="X31" s="312" t="s">
        <v>181</v>
      </c>
      <c r="Y31" s="277"/>
      <c r="Z31" s="277"/>
      <c r="AA31" s="277"/>
      <c r="AB31" s="277"/>
      <c r="AC31" s="277"/>
      <c r="AD31" s="336"/>
      <c r="AE31" s="25"/>
      <c r="AF31" s="316" t="s">
        <v>58</v>
      </c>
      <c r="AG31" s="317" t="s">
        <v>59</v>
      </c>
      <c r="AH31" s="318" t="s">
        <v>59</v>
      </c>
      <c r="AI31" s="25"/>
      <c r="AJ31" s="248"/>
      <c r="AK31" s="248"/>
      <c r="AL31" s="248"/>
      <c r="AM31" s="248"/>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row>
    <row r="32" s="42" customFormat="1">
      <c r="C32" s="284">
        <v>11</v>
      </c>
      <c r="D32" s="42">
        <v>12</v>
      </c>
      <c r="E32" s="42">
        <v>13</v>
      </c>
      <c r="F32" s="42">
        <v>14</v>
      </c>
      <c r="G32" s="42">
        <v>15</v>
      </c>
      <c r="H32" s="42">
        <v>16</v>
      </c>
      <c r="I32" s="42">
        <v>17</v>
      </c>
      <c r="J32" s="42">
        <v>18</v>
      </c>
      <c r="K32" s="42">
        <v>19</v>
      </c>
      <c r="L32" s="42">
        <v>20</v>
      </c>
      <c r="M32" s="42">
        <v>21</v>
      </c>
      <c r="N32" s="42">
        <v>22</v>
      </c>
      <c r="O32" s="42">
        <v>23</v>
      </c>
      <c r="P32" s="42">
        <v>24</v>
      </c>
      <c r="Q32" s="42">
        <v>25</v>
      </c>
      <c r="R32" s="42">
        <v>26</v>
      </c>
      <c r="S32" s="42">
        <v>27</v>
      </c>
      <c r="T32" s="42">
        <v>28</v>
      </c>
      <c r="U32" s="42">
        <v>29</v>
      </c>
      <c r="V32" s="42">
        <v>30</v>
      </c>
      <c r="W32" s="42">
        <v>31</v>
      </c>
      <c r="X32" s="323">
        <v>1</v>
      </c>
      <c r="Y32" s="42">
        <v>2</v>
      </c>
      <c r="Z32" s="42">
        <v>3</v>
      </c>
      <c r="AA32" s="42">
        <v>4</v>
      </c>
      <c r="AB32" s="42">
        <v>5</v>
      </c>
      <c r="AC32" s="42">
        <v>6</v>
      </c>
      <c r="AD32" s="337">
        <v>7</v>
      </c>
      <c r="AE32" s="25"/>
      <c r="AF32" s="324" t="s">
        <v>60</v>
      </c>
      <c r="AG32" s="325">
        <v>28</v>
      </c>
      <c r="AH32" s="326" t="s">
        <v>31</v>
      </c>
      <c r="AI32" s="25"/>
      <c r="AJ32" s="248"/>
      <c r="AK32" s="248"/>
      <c r="AL32" s="248"/>
      <c r="AM32" s="248"/>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row>
    <row r="33" ht="14.25" customHeight="1">
      <c r="B33" s="46" t="s">
        <v>32</v>
      </c>
      <c r="C33" s="444">
        <v>-16.304347826123345935727772460</v>
      </c>
      <c r="D33" s="445">
        <v>-20.000000000045714285714259590</v>
      </c>
      <c r="E33" s="445">
        <v>-15.596330275272721151418208510</v>
      </c>
      <c r="F33" s="445">
        <v>-13.761467889952562915579473920</v>
      </c>
      <c r="G33" s="445">
        <v>3.8834951456351022716561411700</v>
      </c>
      <c r="H33" s="445">
        <v>2.7027027027138056975894825700</v>
      </c>
      <c r="I33" s="445">
        <v>16.513761467830047975759646950</v>
      </c>
      <c r="J33" s="445">
        <v>8.256880733889335914485341250</v>
      </c>
      <c r="K33" s="445">
        <v>1.7094017093599824676747924800</v>
      </c>
      <c r="L33" s="445">
        <v>12.380952380888163265306159140</v>
      </c>
      <c r="M33" s="445">
        <v>4.1322314049208114199849874700</v>
      </c>
      <c r="N33" s="445">
        <v>5.8823529411942659416707889500</v>
      </c>
      <c r="O33" s="445">
        <v>-17.09401709405110672802979100</v>
      </c>
      <c r="P33" s="445">
        <v>-2.4390243902248661511005316800</v>
      </c>
      <c r="Q33" s="445">
        <v>4.9586776859122464312547095900</v>
      </c>
      <c r="R33" s="445">
        <v>-4.9019607842801614763552361400</v>
      </c>
      <c r="S33" s="445">
        <v>-9.278350515404059942608101640</v>
      </c>
      <c r="T33" s="445">
        <v>4.3478260869111531190926473300</v>
      </c>
      <c r="U33" s="445">
        <v>4.1666666666276041666666813200</v>
      </c>
      <c r="V33" s="445">
        <v>-15.652173913031742911153117470</v>
      </c>
      <c r="W33" s="445">
        <v>-20.661157024822238918106676210</v>
      </c>
      <c r="X33" s="446">
        <v>-5.2631578947408310249307477600</v>
      </c>
      <c r="Y33" s="445">
        <v>8.641975308706355738454542040</v>
      </c>
      <c r="Z33" s="445">
        <v>-13.402061855612966308853187930</v>
      </c>
      <c r="AA33" s="445">
        <v>-28.301886792425774296902802170</v>
      </c>
      <c r="AB33" s="445">
        <v>-12.800000000027903999999991070</v>
      </c>
      <c r="AC33" s="445">
        <v>5.5045871559090985607272393600</v>
      </c>
      <c r="AD33" s="447">
        <v>0.8474576271630853203102752600</v>
      </c>
      <c r="AE33" s="448"/>
      <c r="AF33" s="444">
        <v>-6.8399452804917918785240375900</v>
      </c>
      <c r="AG33" s="445">
        <v>-4.0674603174816358024691310700</v>
      </c>
      <c r="AH33" s="449">
        <v>-7.2207084468321035867813873800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-20.546165100838404648459911270</v>
      </c>
      <c r="D34" s="81">
        <v>-13.763953488345532320930224370</v>
      </c>
      <c r="E34" s="81">
        <v>-7.4302325581110233953488284200</v>
      </c>
      <c r="F34" s="81">
        <v>-3.7224264705443440473615716900</v>
      </c>
      <c r="G34" s="81">
        <v>-7.4302325580990890161001612100</v>
      </c>
      <c r="H34" s="81">
        <v>-4.9178427085487805284350032800</v>
      </c>
      <c r="I34" s="81">
        <v>9.763723634376231097379794380</v>
      </c>
      <c r="J34" s="81">
        <v>-2.1582733813287510998395411500</v>
      </c>
      <c r="K34" s="81">
        <v>-2.4822695034907700819877961800</v>
      </c>
      <c r="L34" s="81">
        <v>4.8979591836118150770512648900</v>
      </c>
      <c r="M34" s="81">
        <v>-11.297071129647730256823195130</v>
      </c>
      <c r="N34" s="81">
        <v>-11.610486891422845039206594160</v>
      </c>
      <c r="O34" s="81">
        <v>-4.3046357615691241612209947800</v>
      </c>
      <c r="P34" s="81">
        <v>-3.4161490683325797615832712900</v>
      </c>
      <c r="Q34" s="81">
        <v>-9.090909090878394332939777120</v>
      </c>
      <c r="R34" s="81">
        <v>-11.646586345341784809922402730</v>
      </c>
      <c r="S34" s="81">
        <v>-16.299559471336140813910603040</v>
      </c>
      <c r="T34" s="81">
        <v>-11.016949152554438379775924820</v>
      </c>
      <c r="U34" s="81">
        <v>-9.025270758175292262377949290</v>
      </c>
      <c r="V34" s="81">
        <v>0.6734006734305025564284911900</v>
      </c>
      <c r="W34" s="81">
        <v>-6.7961165048036949759637767700</v>
      </c>
      <c r="X34" s="82">
        <v>-15.057915057894068365110830960</v>
      </c>
      <c r="Y34" s="81">
        <v>-22.639089051794881826583538470</v>
      </c>
      <c r="Z34" s="81">
        <v>-27.733732782923899726204361880</v>
      </c>
      <c r="AA34" s="81">
        <v>-38.758334951731891390936045600</v>
      </c>
      <c r="AB34" s="81">
        <v>-22.512188977276605906427752330</v>
      </c>
      <c r="AC34" s="81">
        <v>-5.4722462117701875977564360400</v>
      </c>
      <c r="AD34" s="83">
        <v>-0.3610681268217284822865558600</v>
      </c>
      <c r="AE34" s="88"/>
      <c r="AF34" s="327">
        <v>-17.819554638960607637320872710</v>
      </c>
      <c r="AG34" s="81">
        <v>-9.218346438391985108956189810</v>
      </c>
      <c r="AH34" s="328">
        <v>-19.218767670101762546117612470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183</v>
      </c>
      <c r="C35" s="450">
        <v>-10.908815017594091856842092070</v>
      </c>
      <c r="D35" s="451">
        <v>-5.6350000818026742360452259200</v>
      </c>
      <c r="E35" s="451">
        <v>-6.4777675478208307322070406200</v>
      </c>
      <c r="F35" s="451">
        <v>-1.9593957611572482970206926400</v>
      </c>
      <c r="G35" s="451">
        <v>-0.9360588009075025433278821200</v>
      </c>
      <c r="H35" s="451">
        <v>2.3376868644712857428082358400</v>
      </c>
      <c r="I35" s="451">
        <v>6.2968099816603067266442621300</v>
      </c>
      <c r="J35" s="451">
        <v>6.4587181628119413722692502100</v>
      </c>
      <c r="K35" s="451">
        <v>2.4207955738357980105441669900</v>
      </c>
      <c r="L35" s="451">
        <v>1.0906083372125379984017472100</v>
      </c>
      <c r="M35" s="451">
        <v>0.7740498771977976940581767100</v>
      </c>
      <c r="N35" s="451">
        <v>6.3664391922006865024365765500</v>
      </c>
      <c r="O35" s="451">
        <v>2.3178930850685275622034917800</v>
      </c>
      <c r="P35" s="451">
        <v>3.2836416008233868457455193100</v>
      </c>
      <c r="Q35" s="451">
        <v>-1.2275043602284145424717943700</v>
      </c>
      <c r="R35" s="451">
        <v>-2.0572530216555856400342333400</v>
      </c>
      <c r="S35" s="451">
        <v>-5.8952492691559385340709575300</v>
      </c>
      <c r="T35" s="451">
        <v>0.499098128736690696821106700</v>
      </c>
      <c r="U35" s="451">
        <v>-1.5714414791869048568657203500</v>
      </c>
      <c r="V35" s="451">
        <v>-2.9824823465824429315066616200</v>
      </c>
      <c r="W35" s="451">
        <v>-2.3309845702538192765782166600</v>
      </c>
      <c r="X35" s="452">
        <v>-6.3859761064253815632274285500</v>
      </c>
      <c r="Y35" s="451">
        <v>3.4186517216437902644060959500</v>
      </c>
      <c r="Z35" s="451">
        <v>-7.59589826780614925939916500</v>
      </c>
      <c r="AA35" s="451">
        <v>-16.594017872836205516657566670</v>
      </c>
      <c r="AB35" s="451">
        <v>-8.798816353950676182774738570</v>
      </c>
      <c r="AC35" s="451">
        <v>-6.1154814890036769558733265100</v>
      </c>
      <c r="AD35" s="453">
        <v>-1.2535916300802452720219205600</v>
      </c>
      <c r="AE35" s="448"/>
      <c r="AF35" s="450">
        <v>-6.4104562348955132752297750600</v>
      </c>
      <c r="AG35" s="451">
        <v>-1.8486337080396406489943658100</v>
      </c>
      <c r="AH35" s="454">
        <v>-6.2115784544142301187397858400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275" t="s">
        <v>184</v>
      </c>
      <c r="D38" s="276"/>
      <c r="E38" s="276"/>
      <c r="F38" s="276"/>
      <c r="G38" s="276"/>
      <c r="H38" s="276"/>
      <c r="I38" s="276"/>
      <c r="J38" s="276"/>
      <c r="K38" s="276"/>
      <c r="L38" s="276"/>
      <c r="M38" s="276"/>
      <c r="N38" s="276"/>
      <c r="O38" s="276"/>
      <c r="P38" s="276"/>
      <c r="Q38" s="276"/>
      <c r="R38" s="276"/>
      <c r="S38" s="277"/>
      <c r="T38" s="277"/>
      <c r="U38" s="277"/>
      <c r="V38" s="277"/>
      <c r="W38" s="277"/>
      <c r="X38" s="312" t="s">
        <v>181</v>
      </c>
      <c r="Y38" s="277"/>
      <c r="Z38" s="277"/>
      <c r="AA38" s="277"/>
      <c r="AB38" s="277"/>
      <c r="AC38" s="277"/>
      <c r="AD38" s="336"/>
      <c r="AE38" s="25"/>
      <c r="AF38" s="316" t="s">
        <v>58</v>
      </c>
      <c r="AG38" s="317" t="s">
        <v>59</v>
      </c>
      <c r="AH38" s="318" t="s">
        <v>59</v>
      </c>
      <c r="AI38" s="25"/>
      <c r="AJ38" s="248"/>
      <c r="AK38" s="248"/>
      <c r="AL38" s="248"/>
      <c r="AM38" s="248"/>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row>
    <row r="39" s="42" customFormat="1">
      <c r="C39" s="279">
        <v>11</v>
      </c>
      <c r="D39" s="42">
        <v>12</v>
      </c>
      <c r="E39" s="42">
        <v>13</v>
      </c>
      <c r="F39" s="42">
        <v>14</v>
      </c>
      <c r="G39" s="42">
        <v>15</v>
      </c>
      <c r="H39" s="42">
        <v>16</v>
      </c>
      <c r="I39" s="42">
        <v>17</v>
      </c>
      <c r="J39" s="42">
        <v>18</v>
      </c>
      <c r="K39" s="42">
        <v>19</v>
      </c>
      <c r="L39" s="42">
        <v>20</v>
      </c>
      <c r="M39" s="42">
        <v>21</v>
      </c>
      <c r="N39" s="42">
        <v>22</v>
      </c>
      <c r="O39" s="42">
        <v>23</v>
      </c>
      <c r="P39" s="42">
        <v>24</v>
      </c>
      <c r="Q39" s="42">
        <v>25</v>
      </c>
      <c r="R39" s="42">
        <v>26</v>
      </c>
      <c r="S39" s="42">
        <v>27</v>
      </c>
      <c r="T39" s="42">
        <v>28</v>
      </c>
      <c r="U39" s="42">
        <v>29</v>
      </c>
      <c r="V39" s="42">
        <v>30</v>
      </c>
      <c r="W39" s="42">
        <v>31</v>
      </c>
      <c r="X39" s="323">
        <v>1</v>
      </c>
      <c r="Y39" s="42">
        <v>2</v>
      </c>
      <c r="Z39" s="42">
        <v>3</v>
      </c>
      <c r="AA39" s="42">
        <v>4</v>
      </c>
      <c r="AB39" s="42">
        <v>5</v>
      </c>
      <c r="AC39" s="42">
        <v>6</v>
      </c>
      <c r="AD39" s="337">
        <v>7</v>
      </c>
      <c r="AE39" s="25"/>
      <c r="AF39" s="324" t="s">
        <v>60</v>
      </c>
      <c r="AG39" s="325">
        <v>28</v>
      </c>
      <c r="AH39" s="326" t="s">
        <v>31</v>
      </c>
      <c r="AI39" s="25"/>
      <c r="AJ39" s="248"/>
      <c r="AK39" s="248"/>
      <c r="AL39" s="248"/>
      <c r="AM39" s="248"/>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row>
    <row r="40" ht="14.25" customHeight="1">
      <c r="A40" s="1"/>
      <c r="B40" s="46" t="s">
        <v>26</v>
      </c>
      <c r="C40" s="444">
        <v>101.86125211499717419498917261</v>
      </c>
      <c r="D40" s="445">
        <v>123.67745249099504322164477520</v>
      </c>
      <c r="E40" s="445">
        <v>126.18819776722483337530433977</v>
      </c>
      <c r="F40" s="445">
        <v>113.93939393939393939393939394</v>
      </c>
      <c r="G40" s="445">
        <v>112.89412342043189693323935860</v>
      </c>
      <c r="H40" s="445">
        <v>108.42733908427022508100882024</v>
      </c>
      <c r="I40" s="445">
        <v>106.76441837728303017689907741</v>
      </c>
      <c r="J40" s="445">
        <v>113.05704099816094028520501935</v>
      </c>
      <c r="K40" s="445">
        <v>112.77134986228191751565239636</v>
      </c>
      <c r="L40" s="445">
        <v>119.65570097862837957310849391</v>
      </c>
      <c r="M40" s="445">
        <v>154.88850771880745007929067154</v>
      </c>
      <c r="N40" s="445">
        <v>139.13713405236942362435037209</v>
      </c>
      <c r="O40" s="445">
        <v>87.46985425183695916795377481</v>
      </c>
      <c r="P40" s="445">
        <v>100.55539315987924780836351469</v>
      </c>
      <c r="Q40" s="445">
        <v>118.20346320347671243042671768</v>
      </c>
      <c r="R40" s="445">
        <v>114.90358126720509591785624979</v>
      </c>
      <c r="S40" s="445">
        <v>120.70175438604114496768241196</v>
      </c>
      <c r="T40" s="445">
        <v>119.13419913421274953617810917</v>
      </c>
      <c r="U40" s="445">
        <v>103.41510341508700000763493088</v>
      </c>
      <c r="V40" s="445">
        <v>84.54444106614400367699773058</v>
      </c>
      <c r="W40" s="445">
        <v>86.86868686864343434343436515</v>
      </c>
      <c r="X40" s="446">
        <v>106.61157024792225394440270600</v>
      </c>
      <c r="Y40" s="445">
        <v>127.23004694845357402631760319</v>
      </c>
      <c r="Z40" s="445">
        <v>149.96047430845426774359871435</v>
      </c>
      <c r="AA40" s="445">
        <v>141.84573002740507412972716674</v>
      </c>
      <c r="AB40" s="445">
        <v>147.22388357259102897045245058</v>
      </c>
      <c r="AC40" s="445">
        <v>112.42784992792113215488219998</v>
      </c>
      <c r="AD40" s="447">
        <v>111.55735436554756454581469260</v>
      </c>
      <c r="AE40" s="448"/>
      <c r="AF40" s="444">
        <v>124.68529728119851187441780358</v>
      </c>
      <c r="AG40" s="445">
        <v>114.12688552364828337820133646</v>
      </c>
      <c r="AH40" s="449">
        <v>124.68529728119851187441780358</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183</v>
      </c>
      <c r="C41" s="329">
        <v>107.67417244041873171281610021</v>
      </c>
      <c r="D41" s="330">
        <v>103.11477675895559215188578343</v>
      </c>
      <c r="E41" s="330">
        <v>103.03077009301849092120747652</v>
      </c>
      <c r="F41" s="330">
        <v>94.96599757303639026238382380</v>
      </c>
      <c r="G41" s="330">
        <v>104.60875574910573184316911056</v>
      </c>
      <c r="H41" s="330">
        <v>99.67673121098639763737547866</v>
      </c>
      <c r="I41" s="330">
        <v>110.72359665771842025738274740</v>
      </c>
      <c r="J41" s="330">
        <v>128.77399710537775502542148583</v>
      </c>
      <c r="K41" s="330">
        <v>131.02639518374914714990938432</v>
      </c>
      <c r="L41" s="330">
        <v>127.47208931420009242502493383</v>
      </c>
      <c r="M41" s="330">
        <v>137.21590909091766690340909144</v>
      </c>
      <c r="N41" s="330">
        <v>128.45580825791902079721208955</v>
      </c>
      <c r="O41" s="330">
        <v>92.40765462416504731914663305</v>
      </c>
      <c r="P41" s="330">
        <v>102.04928498463105247728637800</v>
      </c>
      <c r="Q41" s="330">
        <v>126.73677441913644818031130624</v>
      </c>
      <c r="R41" s="330">
        <v>138.38468129166590143411795869</v>
      </c>
      <c r="S41" s="330">
        <v>120.07511737090020418170997874</v>
      </c>
      <c r="T41" s="330">
        <v>115.44642051100472933932994682</v>
      </c>
      <c r="U41" s="330">
        <v>110.57539325686553390224864155</v>
      </c>
      <c r="V41" s="330">
        <v>93.36245619528794358654500150</v>
      </c>
      <c r="W41" s="330">
        <v>89.42657342662133857988168248</v>
      </c>
      <c r="X41" s="331">
        <v>111.46113329497898572448593364</v>
      </c>
      <c r="Y41" s="330">
        <v>105.39944903576467622885506364</v>
      </c>
      <c r="Z41" s="330">
        <v>104.27990717522779260412010255</v>
      </c>
      <c r="AA41" s="330">
        <v>88.43939637254529189718412791</v>
      </c>
      <c r="AB41" s="330">
        <v>114.53554541936239350748790956</v>
      </c>
      <c r="AC41" s="330">
        <v>113.25283962210357542829464723</v>
      </c>
      <c r="AD41" s="338">
        <v>108.22028644880930721620051095</v>
      </c>
      <c r="AE41" s="88"/>
      <c r="AF41" s="329">
        <v>106.84111231609220871572177450</v>
      </c>
      <c r="AG41" s="330">
        <v>110.47304819511852367338484450</v>
      </c>
      <c r="AH41" s="332">
        <v>106.84111231609220871572177450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275" t="s">
        <v>184</v>
      </c>
      <c r="D44" s="276"/>
      <c r="E44" s="276"/>
      <c r="F44" s="276"/>
      <c r="G44" s="276"/>
      <c r="H44" s="276"/>
      <c r="I44" s="276"/>
      <c r="J44" s="276"/>
      <c r="K44" s="276"/>
      <c r="L44" s="276"/>
      <c r="M44" s="276"/>
      <c r="N44" s="276"/>
      <c r="O44" s="276"/>
      <c r="P44" s="276"/>
      <c r="Q44" s="276"/>
      <c r="R44" s="276"/>
      <c r="S44" s="277"/>
      <c r="T44" s="277"/>
      <c r="U44" s="277"/>
      <c r="V44" s="277"/>
      <c r="W44" s="277"/>
      <c r="X44" s="312" t="s">
        <v>181</v>
      </c>
      <c r="Y44" s="277"/>
      <c r="Z44" s="277"/>
      <c r="AA44" s="277"/>
      <c r="AB44" s="277"/>
      <c r="AC44" s="277"/>
      <c r="AD44" s="336"/>
      <c r="AE44" s="25"/>
      <c r="AF44" s="316" t="s">
        <v>58</v>
      </c>
      <c r="AG44" s="317" t="s">
        <v>59</v>
      </c>
      <c r="AH44" s="318" t="s">
        <v>59</v>
      </c>
      <c r="AI44" s="25"/>
      <c r="AJ44" s="248"/>
      <c r="AK44" s="248"/>
      <c r="AL44" s="248"/>
      <c r="AM44" s="248"/>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row>
    <row r="45" s="42" customFormat="1">
      <c r="C45" s="284">
        <v>11</v>
      </c>
      <c r="D45" s="42">
        <v>12</v>
      </c>
      <c r="E45" s="42">
        <v>13</v>
      </c>
      <c r="F45" s="42">
        <v>14</v>
      </c>
      <c r="G45" s="42">
        <v>15</v>
      </c>
      <c r="H45" s="42">
        <v>16</v>
      </c>
      <c r="I45" s="42">
        <v>17</v>
      </c>
      <c r="J45" s="42">
        <v>18</v>
      </c>
      <c r="K45" s="42">
        <v>19</v>
      </c>
      <c r="L45" s="42">
        <v>20</v>
      </c>
      <c r="M45" s="42">
        <v>21</v>
      </c>
      <c r="N45" s="42">
        <v>22</v>
      </c>
      <c r="O45" s="42">
        <v>23</v>
      </c>
      <c r="P45" s="42">
        <v>24</v>
      </c>
      <c r="Q45" s="42">
        <v>25</v>
      </c>
      <c r="R45" s="42">
        <v>26</v>
      </c>
      <c r="S45" s="42">
        <v>27</v>
      </c>
      <c r="T45" s="42">
        <v>28</v>
      </c>
      <c r="U45" s="42">
        <v>29</v>
      </c>
      <c r="V45" s="42">
        <v>30</v>
      </c>
      <c r="W45" s="42">
        <v>31</v>
      </c>
      <c r="X45" s="323">
        <v>1</v>
      </c>
      <c r="Y45" s="42">
        <v>2</v>
      </c>
      <c r="Z45" s="42">
        <v>3</v>
      </c>
      <c r="AA45" s="42">
        <v>4</v>
      </c>
      <c r="AB45" s="42">
        <v>5</v>
      </c>
      <c r="AC45" s="42">
        <v>6</v>
      </c>
      <c r="AD45" s="337">
        <v>7</v>
      </c>
      <c r="AE45" s="25"/>
      <c r="AF45" s="324" t="s">
        <v>60</v>
      </c>
      <c r="AG45" s="325">
        <v>28</v>
      </c>
      <c r="AH45" s="326" t="s">
        <v>31</v>
      </c>
      <c r="AI45" s="25"/>
      <c r="AJ45" s="248"/>
      <c r="AK45" s="248"/>
      <c r="AL45" s="248"/>
      <c r="AM45" s="248"/>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row>
    <row r="46" ht="14.25" customHeight="1">
      <c r="A46" s="1"/>
      <c r="B46" s="46" t="s">
        <v>26</v>
      </c>
      <c r="C46" s="444">
        <v>5.3387193709165856403859320100</v>
      </c>
      <c r="D46" s="445">
        <v>-7.231368741850669064058900200</v>
      </c>
      <c r="E46" s="445">
        <v>-8.821560151573039412612840910</v>
      </c>
      <c r="F46" s="445">
        <v>-10.427185741534127670327159650</v>
      </c>
      <c r="G46" s="445">
        <v>12.221838745393991586009396100</v>
      </c>
      <c r="H46" s="445">
        <v>8.014695531051588322104234150</v>
      </c>
      <c r="I46" s="445">
        <v>6.1496071834865967218211188900</v>
      </c>
      <c r="J46" s="445">
        <v>10.644900161866136040299797300</v>
      </c>
      <c r="K46" s="445">
        <v>4.2983682983070688314927320100</v>
      </c>
      <c r="L46" s="445">
        <v>7.133592736786031582612995700</v>
      </c>
      <c r="M46" s="445">
        <v>17.394355215930121816849682850</v>
      </c>
      <c r="N46" s="445">
        <v>19.790628115703283400610545550</v>
      </c>
      <c r="O46" s="445">
        <v>-13.364682222871530682869886220</v>
      </c>
      <c r="P46" s="445">
        <v>1.0116853580436169442014651800</v>
      </c>
      <c r="Q46" s="445">
        <v>15.454545454504949562065861480</v>
      </c>
      <c r="R46" s="445">
        <v>7.6336898394797990097708508700</v>
      </c>
      <c r="S46" s="445">
        <v>8.388497015801006630426841140</v>
      </c>
      <c r="T46" s="445">
        <v>17.267080745374462562903569960</v>
      </c>
      <c r="U46" s="445">
        <v>14.500661375660675618110978150</v>
      </c>
      <c r="V46" s="445">
        <v>-16.216373418727283919198409430</v>
      </c>
      <c r="W46" s="445">
        <v>-14.876033057917197246343853100</v>
      </c>
      <c r="X46" s="446">
        <v>11.531100478451585953234951280</v>
      </c>
      <c r="Y46" s="445">
        <v>40.435232699743659312670441930</v>
      </c>
      <c r="Z46" s="445">
        <v>19.831757581054397662499422880</v>
      </c>
      <c r="AA46" s="445">
        <v>17.074075551324285323304447370</v>
      </c>
      <c r="AB46" s="445">
        <v>12.533828029318486515075869970</v>
      </c>
      <c r="AC46" s="445">
        <v>11.612286262885788186852722390</v>
      </c>
      <c r="AD46" s="447">
        <v>1.2129051679052118394681659900</v>
      </c>
      <c r="AE46" s="448"/>
      <c r="AF46" s="444">
        <v>13.360367311471962511566601740</v>
      </c>
      <c r="AG46" s="445">
        <v>5.6739285073547867974274644700</v>
      </c>
      <c r="AH46" s="449">
        <v>14.852533041589841178885512600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183</v>
      </c>
      <c r="C47" s="329">
        <v>-6.0561915406835986518684667500</v>
      </c>
      <c r="D47" s="330">
        <v>-15.222804991948070173200512300</v>
      </c>
      <c r="E47" s="330">
        <v>-9.750155111057432496605529670</v>
      </c>
      <c r="F47" s="330">
        <v>-12.037943075150339179593073290</v>
      </c>
      <c r="G47" s="330">
        <v>4.8650940879281440335990383700</v>
      </c>
      <c r="H47" s="330">
        <v>0.3566778274315867757480054600</v>
      </c>
      <c r="I47" s="330">
        <v>9.611719757163378998416753360</v>
      </c>
      <c r="J47" s="330">
        <v>1.6890702820792748723272564500</v>
      </c>
      <c r="K47" s="330">
        <v>-0.6945795143722185249962481200</v>
      </c>
      <c r="L47" s="330">
        <v>11.168539026005431813475784060</v>
      </c>
      <c r="M47" s="330">
        <v>3.3323871888498383761051357900</v>
      </c>
      <c r="N47" s="330">
        <v>-0.4551118329734693514546277200</v>
      </c>
      <c r="O47" s="330">
        <v>-18.972155889600732234489676790</v>
      </c>
      <c r="P47" s="330">
        <v>-5.5407283306824323255970184100</v>
      </c>
      <c r="Q47" s="330">
        <v>6.2630613979254191381196009200</v>
      </c>
      <c r="R47" s="330">
        <v>-2.9044598506816261004302556900</v>
      </c>
      <c r="S47" s="330">
        <v>-3.595037678757317926316338200</v>
      </c>
      <c r="T47" s="330">
        <v>3.8296144242817621205208694600</v>
      </c>
      <c r="U47" s="330">
        <v>5.829718764636004089444902600</v>
      </c>
      <c r="V47" s="330">
        <v>-13.059179283182511852850739780</v>
      </c>
      <c r="W47" s="330">
        <v>-18.767643324619059015045828670</v>
      </c>
      <c r="X47" s="331">
        <v>1.1994124009751112489013114100</v>
      </c>
      <c r="Y47" s="330">
        <v>5.0506591412183356411466366200</v>
      </c>
      <c r="Z47" s="330">
        <v>-6.2834478979132406893856668900</v>
      </c>
      <c r="AA47" s="330">
        <v>-14.037205271212238793587447730</v>
      </c>
      <c r="AB47" s="330">
        <v>-4.387205830114844159377049700</v>
      </c>
      <c r="AC47" s="330">
        <v>12.376980602578524262051913530</v>
      </c>
      <c r="AD47" s="338">
        <v>2.1277222046104937123758213100</v>
      </c>
      <c r="AE47" s="88"/>
      <c r="AF47" s="329">
        <v>-0.4589070832716722198357577200</v>
      </c>
      <c r="AG47" s="330">
        <v>-2.2606171398400360852122662900</v>
      </c>
      <c r="AH47" s="332">
        <v>-1.0759643630103308391652856700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275" t="s">
        <v>184</v>
      </c>
      <c r="D50" s="276"/>
      <c r="E50" s="276"/>
      <c r="F50" s="276"/>
      <c r="G50" s="276"/>
      <c r="H50" s="276"/>
      <c r="I50" s="276"/>
      <c r="J50" s="276"/>
      <c r="K50" s="276"/>
      <c r="L50" s="276"/>
      <c r="M50" s="276"/>
      <c r="N50" s="276"/>
      <c r="O50" s="276"/>
      <c r="P50" s="276"/>
      <c r="Q50" s="276"/>
      <c r="R50" s="276"/>
      <c r="S50" s="277"/>
      <c r="T50" s="277"/>
      <c r="U50" s="277"/>
      <c r="V50" s="277"/>
      <c r="W50" s="277"/>
      <c r="X50" s="312" t="s">
        <v>181</v>
      </c>
      <c r="Y50" s="277"/>
      <c r="Z50" s="277"/>
      <c r="AA50" s="277"/>
      <c r="AB50" s="277"/>
      <c r="AC50" s="277"/>
      <c r="AD50" s="336"/>
      <c r="AE50" s="25"/>
      <c r="AF50" s="316" t="s">
        <v>58</v>
      </c>
      <c r="AG50" s="317" t="s">
        <v>59</v>
      </c>
      <c r="AH50" s="318" t="s">
        <v>59</v>
      </c>
      <c r="AI50" s="25"/>
      <c r="AJ50" s="248"/>
      <c r="AK50" s="248"/>
      <c r="AL50" s="248"/>
      <c r="AM50" s="248"/>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row>
    <row r="51" s="42" customFormat="1">
      <c r="C51" s="284">
        <v>11</v>
      </c>
      <c r="D51" s="42">
        <v>12</v>
      </c>
      <c r="E51" s="42">
        <v>13</v>
      </c>
      <c r="F51" s="42">
        <v>14</v>
      </c>
      <c r="G51" s="42">
        <v>15</v>
      </c>
      <c r="H51" s="42">
        <v>16</v>
      </c>
      <c r="I51" s="42">
        <v>17</v>
      </c>
      <c r="J51" s="42">
        <v>18</v>
      </c>
      <c r="K51" s="42">
        <v>19</v>
      </c>
      <c r="L51" s="42">
        <v>20</v>
      </c>
      <c r="M51" s="42">
        <v>21</v>
      </c>
      <c r="N51" s="42">
        <v>22</v>
      </c>
      <c r="O51" s="42">
        <v>23</v>
      </c>
      <c r="P51" s="42">
        <v>24</v>
      </c>
      <c r="Q51" s="42">
        <v>25</v>
      </c>
      <c r="R51" s="42">
        <v>26</v>
      </c>
      <c r="S51" s="42">
        <v>27</v>
      </c>
      <c r="T51" s="42">
        <v>28</v>
      </c>
      <c r="U51" s="42">
        <v>29</v>
      </c>
      <c r="V51" s="42">
        <v>30</v>
      </c>
      <c r="W51" s="42">
        <v>31</v>
      </c>
      <c r="X51" s="323">
        <v>1</v>
      </c>
      <c r="Y51" s="42">
        <v>2</v>
      </c>
      <c r="Z51" s="42">
        <v>3</v>
      </c>
      <c r="AA51" s="42">
        <v>4</v>
      </c>
      <c r="AB51" s="42">
        <v>5</v>
      </c>
      <c r="AC51" s="42">
        <v>6</v>
      </c>
      <c r="AD51" s="337">
        <v>7</v>
      </c>
      <c r="AE51" s="25"/>
      <c r="AF51" s="324" t="s">
        <v>60</v>
      </c>
      <c r="AG51" s="325">
        <v>28</v>
      </c>
      <c r="AH51" s="326" t="s">
        <v>31</v>
      </c>
      <c r="AI51" s="25"/>
      <c r="AJ51" s="248"/>
      <c r="AK51" s="248"/>
      <c r="AL51" s="248"/>
      <c r="AM51" s="248"/>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row>
    <row r="52" ht="14.25" customHeight="1">
      <c r="A52" s="1"/>
      <c r="B52" s="46" t="s">
        <v>56</v>
      </c>
      <c r="C52" s="455" t="s">
        <v>171</v>
      </c>
      <c r="D52" s="456" t="s">
        <v>171</v>
      </c>
      <c r="E52" s="456" t="s">
        <v>171</v>
      </c>
      <c r="F52" s="456" t="s">
        <v>171</v>
      </c>
      <c r="G52" s="456" t="s">
        <v>170</v>
      </c>
      <c r="H52" s="456" t="s">
        <v>171</v>
      </c>
      <c r="I52" s="456" t="s">
        <v>171</v>
      </c>
      <c r="J52" s="456" t="s">
        <v>171</v>
      </c>
      <c r="K52" s="456" t="s">
        <v>171</v>
      </c>
      <c r="L52" s="456" t="s">
        <v>171</v>
      </c>
      <c r="M52" s="456" t="s">
        <v>172</v>
      </c>
      <c r="N52" s="456" t="s">
        <v>172</v>
      </c>
      <c r="O52" s="456" t="s">
        <v>185</v>
      </c>
      <c r="P52" s="456" t="s">
        <v>170</v>
      </c>
      <c r="Q52" s="456" t="s">
        <v>172</v>
      </c>
      <c r="R52" s="456" t="s">
        <v>171</v>
      </c>
      <c r="S52" s="456" t="s">
        <v>171</v>
      </c>
      <c r="T52" s="456" t="s">
        <v>172</v>
      </c>
      <c r="U52" s="456" t="s">
        <v>170</v>
      </c>
      <c r="V52" s="456" t="s">
        <v>178</v>
      </c>
      <c r="W52" s="456" t="s">
        <v>178</v>
      </c>
      <c r="X52" s="457" t="s">
        <v>170</v>
      </c>
      <c r="Y52" s="456" t="s">
        <v>173</v>
      </c>
      <c r="Z52" s="456" t="s">
        <v>175</v>
      </c>
      <c r="AA52" s="456" t="s">
        <v>173</v>
      </c>
      <c r="AB52" s="456" t="s">
        <v>175</v>
      </c>
      <c r="AC52" s="456" t="s">
        <v>173</v>
      </c>
      <c r="AD52" s="458" t="s">
        <v>173</v>
      </c>
      <c r="AE52" s="459"/>
      <c r="AF52" s="455" t="s">
        <v>173</v>
      </c>
      <c r="AG52" s="456" t="s">
        <v>171</v>
      </c>
      <c r="AH52" s="460" t="s">
        <v>173</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170</v>
      </c>
      <c r="D53" s="334" t="s">
        <v>170</v>
      </c>
      <c r="E53" s="334" t="s">
        <v>171</v>
      </c>
      <c r="F53" s="334" t="s">
        <v>170</v>
      </c>
      <c r="G53" s="334" t="s">
        <v>171</v>
      </c>
      <c r="H53" s="334" t="s">
        <v>172</v>
      </c>
      <c r="I53" s="334" t="s">
        <v>172</v>
      </c>
      <c r="J53" s="334" t="s">
        <v>171</v>
      </c>
      <c r="K53" s="334" t="s">
        <v>170</v>
      </c>
      <c r="L53" s="334" t="s">
        <v>171</v>
      </c>
      <c r="M53" s="334" t="s">
        <v>171</v>
      </c>
      <c r="N53" s="334" t="s">
        <v>171</v>
      </c>
      <c r="O53" s="334" t="s">
        <v>185</v>
      </c>
      <c r="P53" s="334" t="s">
        <v>178</v>
      </c>
      <c r="Q53" s="334" t="s">
        <v>171</v>
      </c>
      <c r="R53" s="334" t="s">
        <v>171</v>
      </c>
      <c r="S53" s="334" t="s">
        <v>170</v>
      </c>
      <c r="T53" s="334" t="s">
        <v>171</v>
      </c>
      <c r="U53" s="334" t="s">
        <v>171</v>
      </c>
      <c r="V53" s="334" t="s">
        <v>185</v>
      </c>
      <c r="W53" s="334" t="s">
        <v>185</v>
      </c>
      <c r="X53" s="60" t="s">
        <v>171</v>
      </c>
      <c r="Y53" s="61" t="s">
        <v>173</v>
      </c>
      <c r="Z53" s="61" t="s">
        <v>173</v>
      </c>
      <c r="AA53" s="61" t="s">
        <v>173</v>
      </c>
      <c r="AB53" s="61" t="s">
        <v>173</v>
      </c>
      <c r="AC53" s="61" t="s">
        <v>173</v>
      </c>
      <c r="AD53" s="62" t="s">
        <v>174</v>
      </c>
      <c r="AE53" s="59"/>
      <c r="AF53" s="333" t="s">
        <v>173</v>
      </c>
      <c r="AG53" s="334" t="s">
        <v>171</v>
      </c>
      <c r="AH53" s="335" t="s">
        <v>174</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53"/>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row>
    <row r="66" s="25" customFormat="1" ht="10.5" customHeight="1">
      <c r="A66" s="248"/>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65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row>
    <row r="67" s="25" customFormat="1">
      <c r="A67" s="248"/>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65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row>
    <row r="68" s="84" customFormat="1">
      <c r="A68" s="249"/>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658"/>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row>
    <row r="69" s="84" customFormat="1">
      <c r="A69" s="249"/>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658"/>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row>
    <row r="70" s="84" customFormat="1">
      <c r="A70" s="249"/>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658"/>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49"/>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658"/>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58" t="n">
        <v>45738</v>
      </c>
      <c r="C72" s="658">
        <v>45745</v>
      </c>
      <c r="D72" s="658">
        <v>45752</v>
      </c>
      <c r="E72" s="658">
        <v>45759</v>
      </c>
      <c r="F72" s="658">
        <v>45766</v>
      </c>
      <c r="G72" s="658">
        <v>45773</v>
      </c>
      <c r="H72" s="658">
        <v>45780</v>
      </c>
      <c r="I72" s="658">
        <v>45787</v>
      </c>
      <c r="J72" s="658">
        <v>45794</v>
      </c>
      <c r="K72" s="658">
        <v>45801</v>
      </c>
      <c r="L72" s="658">
        <v>45808</v>
      </c>
      <c r="M72" s="658">
        <v>45815</v>
      </c>
      <c r="N72" s="658"/>
      <c r="O72" s="658"/>
      <c r="P72" s="658"/>
      <c r="Q72" s="658"/>
      <c r="R72" s="658"/>
      <c r="S72" s="658"/>
      <c r="T72" s="658"/>
      <c r="U72" s="658"/>
      <c r="V72" s="658"/>
      <c r="W72" s="658"/>
      <c r="X72" s="658"/>
      <c r="Y72" s="658"/>
      <c r="Z72" s="658"/>
      <c r="AA72" s="658"/>
      <c r="AB72" s="658"/>
      <c r="AC72" s="658"/>
      <c r="AD72" s="658"/>
      <c r="AE72" s="658"/>
      <c r="AF72" s="658"/>
      <c r="AG72" s="658"/>
      <c r="AH72" s="658"/>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58">
        <v>90.90909090909090909090909091</v>
      </c>
      <c r="C73" s="658">
        <v>90.25974025974025974025974026</v>
      </c>
      <c r="D73" s="658">
        <v>95.12987012987012987012987013</v>
      </c>
      <c r="E73" s="658">
        <v>93.83116883116883116883116883</v>
      </c>
      <c r="F73" s="658">
        <v>96.21212121212121212121212121</v>
      </c>
      <c r="G73" s="658">
        <v>88.09523809523809523809523810</v>
      </c>
      <c r="H73" s="658">
        <v>94.04761904761904761904761905</v>
      </c>
      <c r="I73" s="658">
        <v>78.138528138528138528138528140</v>
      </c>
      <c r="J73" s="658">
        <v>75.216450216450216450216450220</v>
      </c>
      <c r="K73" s="658">
        <v>89.17748917748917748917748918</v>
      </c>
      <c r="L73" s="658">
        <v>75.865800865800865800865800870</v>
      </c>
      <c r="M73" s="658">
        <v>73.701298701298701298701298700</v>
      </c>
      <c r="N73" s="658"/>
      <c r="O73" s="658"/>
      <c r="P73" s="658"/>
      <c r="Q73" s="658"/>
      <c r="R73" s="658"/>
      <c r="S73" s="658"/>
      <c r="T73" s="658"/>
      <c r="U73" s="658"/>
      <c r="V73" s="658"/>
      <c r="W73" s="658"/>
      <c r="X73" s="658"/>
      <c r="Y73" s="658"/>
      <c r="Z73" s="658"/>
      <c r="AA73" s="658"/>
      <c r="AB73" s="658"/>
      <c r="AC73" s="658"/>
      <c r="AD73" s="658"/>
      <c r="AE73" s="658"/>
      <c r="AF73" s="658"/>
      <c r="AG73" s="658"/>
      <c r="AH73" s="658"/>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58">
        <v>88.87043189368770764119601329</v>
      </c>
      <c r="C74" s="658">
        <v>88.41362126245847176079734219</v>
      </c>
      <c r="D74" s="658">
        <v>87.74916943521594684385382060</v>
      </c>
      <c r="E74" s="658">
        <v>89.28571428571428571428571429</v>
      </c>
      <c r="F74" s="658">
        <v>90.19933554817275747508305648</v>
      </c>
      <c r="G74" s="658">
        <v>83.38870431893687707641196013</v>
      </c>
      <c r="H74" s="658">
        <v>94.72591362126245847176079734</v>
      </c>
      <c r="I74" s="658">
        <v>73.463455149501661129568106310</v>
      </c>
      <c r="J74" s="658">
        <v>66.860465116279069767441860470</v>
      </c>
      <c r="K74" s="658">
        <v>76.910299003322259136212624580</v>
      </c>
      <c r="L74" s="658">
        <v>72.217607973421926910299003320</v>
      </c>
      <c r="M74" s="658">
        <v>59.109855218153510438758872640</v>
      </c>
      <c r="N74" s="658"/>
      <c r="O74" s="658"/>
      <c r="P74" s="658"/>
      <c r="Q74" s="658"/>
      <c r="R74" s="658"/>
      <c r="S74" s="658"/>
      <c r="T74" s="658"/>
      <c r="U74" s="658"/>
      <c r="V74" s="658"/>
      <c r="W74" s="658"/>
      <c r="X74" s="658"/>
      <c r="Y74" s="658"/>
      <c r="Z74" s="658"/>
      <c r="AA74" s="658"/>
      <c r="AB74" s="658"/>
      <c r="AC74" s="658"/>
      <c r="AD74" s="658"/>
      <c r="AE74" s="658"/>
      <c r="AF74" s="658"/>
      <c r="AG74" s="658"/>
      <c r="AH74" s="658"/>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ht="14.25">
      <c r="A75" s="260" t="s">
        <v>183</v>
      </c>
      <c r="B75" s="658">
        <v>88.89781467101054729920709302</v>
      </c>
      <c r="C75" s="658">
        <v>84.58071138483509617530236087</v>
      </c>
      <c r="D75" s="658">
        <v>85.23250100504757225175324965</v>
      </c>
      <c r="E75" s="658">
        <v>88.20322623888466866258545958</v>
      </c>
      <c r="F75" s="658">
        <v>81.27262165422941150185441709</v>
      </c>
      <c r="G75" s="658">
        <v>76.013226685732159613923767820</v>
      </c>
      <c r="H75" s="658">
        <v>89.62122227683691556071912656</v>
      </c>
      <c r="I75" s="658">
        <v>74.149872648465078868582152910</v>
      </c>
      <c r="J75" s="658">
        <v>72.792945767609514872573990500</v>
      </c>
      <c r="K75" s="658">
        <v>74.404575718307341704276330490</v>
      </c>
      <c r="L75" s="658">
        <v>68.011677614430194974455218430</v>
      </c>
      <c r="M75" s="658">
        <v>68.982152191770592188783511310</v>
      </c>
      <c r="N75" s="658"/>
      <c r="O75" s="658"/>
      <c r="P75" s="658"/>
      <c r="Q75" s="658"/>
      <c r="R75" s="658"/>
      <c r="S75" s="658"/>
      <c r="T75" s="658"/>
      <c r="U75" s="658"/>
      <c r="V75" s="658"/>
      <c r="W75" s="658"/>
      <c r="X75" s="658"/>
      <c r="Y75" s="658"/>
      <c r="Z75" s="658"/>
      <c r="AA75" s="658"/>
      <c r="AB75" s="658"/>
      <c r="AC75" s="658"/>
      <c r="AD75" s="658"/>
      <c r="AE75" s="658"/>
      <c r="AF75" s="658"/>
      <c r="AG75" s="658"/>
      <c r="AH75" s="658"/>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658"/>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658"/>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658"/>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658"/>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658"/>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658"/>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658"/>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658"/>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658"/>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8"/>
      <c r="C95" s="658"/>
      <c r="D95" s="658"/>
      <c r="E95" s="658"/>
      <c r="F95" s="658"/>
      <c r="G95" s="658"/>
      <c r="H95" s="658"/>
      <c r="I95" s="658"/>
      <c r="J95" s="658"/>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7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129</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179</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180</v>
      </c>
      <c r="R4" s="618" t="s">
        <v>182</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275" t="s">
        <v>184</v>
      </c>
      <c r="D24" s="276"/>
      <c r="E24" s="276"/>
      <c r="F24" s="276"/>
      <c r="G24" s="276"/>
      <c r="H24" s="276"/>
      <c r="I24" s="276"/>
      <c r="J24" s="276"/>
      <c r="K24" s="276"/>
      <c r="L24" s="276"/>
      <c r="M24" s="276"/>
      <c r="N24" s="276"/>
      <c r="O24" s="276"/>
      <c r="P24" s="276"/>
      <c r="Q24" s="276"/>
      <c r="R24" s="276"/>
      <c r="S24" s="277"/>
      <c r="T24" s="277"/>
      <c r="U24" s="277"/>
      <c r="V24" s="277"/>
      <c r="W24" s="277"/>
      <c r="X24" s="312" t="s">
        <v>181</v>
      </c>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11</v>
      </c>
      <c r="D25" s="42">
        <v>12</v>
      </c>
      <c r="E25" s="42">
        <v>13</v>
      </c>
      <c r="F25" s="42">
        <v>14</v>
      </c>
      <c r="G25" s="42">
        <v>15</v>
      </c>
      <c r="H25" s="42">
        <v>16</v>
      </c>
      <c r="I25" s="42">
        <v>17</v>
      </c>
      <c r="J25" s="42">
        <v>18</v>
      </c>
      <c r="K25" s="42">
        <v>19</v>
      </c>
      <c r="L25" s="42">
        <v>20</v>
      </c>
      <c r="M25" s="42">
        <v>21</v>
      </c>
      <c r="N25" s="42">
        <v>22</v>
      </c>
      <c r="O25" s="42">
        <v>23</v>
      </c>
      <c r="P25" s="42">
        <v>24</v>
      </c>
      <c r="Q25" s="42">
        <v>25</v>
      </c>
      <c r="R25" s="42">
        <v>26</v>
      </c>
      <c r="S25" s="42">
        <v>27</v>
      </c>
      <c r="T25" s="42">
        <v>28</v>
      </c>
      <c r="U25" s="42">
        <v>29</v>
      </c>
      <c r="V25" s="42">
        <v>30</v>
      </c>
      <c r="W25" s="42">
        <v>31</v>
      </c>
      <c r="X25" s="323">
        <v>1</v>
      </c>
      <c r="Y25" s="42">
        <v>2</v>
      </c>
      <c r="Z25" s="42">
        <v>3</v>
      </c>
      <c r="AA25" s="42">
        <v>4</v>
      </c>
      <c r="AB25" s="42">
        <v>5</v>
      </c>
      <c r="AC25" s="42">
        <v>6</v>
      </c>
      <c r="AD25" s="337">
        <v>7</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61">
        <v>165.72727272727272727272727273</v>
      </c>
      <c r="D26" s="462">
        <v>148.4047619047619047619047619</v>
      </c>
      <c r="E26" s="462">
        <v>159.23913043478260869565217391</v>
      </c>
      <c r="F26" s="462">
        <v>152.77659574468085106382978723</v>
      </c>
      <c r="G26" s="462">
        <v>168.46728971962616822429906542</v>
      </c>
      <c r="H26" s="462">
        <v>260.22807017543859649122807018</v>
      </c>
      <c r="I26" s="462">
        <v>288.45669291338582677165354331</v>
      </c>
      <c r="J26" s="462">
        <v>193.83898305084745762711864407</v>
      </c>
      <c r="K26" s="462">
        <v>194.1680672268907563025210084</v>
      </c>
      <c r="L26" s="462">
        <v>202.45762711864406779661016949</v>
      </c>
      <c r="M26" s="462">
        <v>183.62698412698412698412698413</v>
      </c>
      <c r="N26" s="462">
        <v>188.01587301587301587301587302</v>
      </c>
      <c r="O26" s="462">
        <v>245.53608247422680412371134021</v>
      </c>
      <c r="P26" s="462">
        <v>275.00833333333333333333333333</v>
      </c>
      <c r="Q26" s="462">
        <v>186.29921259842519685039370079</v>
      </c>
      <c r="R26" s="462">
        <v>132.52577319587628865979381443</v>
      </c>
      <c r="S26" s="462">
        <v>118.80681818181818181818181818</v>
      </c>
      <c r="T26" s="462">
        <v>126.500000000</v>
      </c>
      <c r="U26" s="462">
        <v>155.880000000</v>
      </c>
      <c r="V26" s="462">
        <v>221.08247422680412371134020619</v>
      </c>
      <c r="W26" s="462">
        <v>237.72916666666666666666666667</v>
      </c>
      <c r="X26" s="463">
        <v>162.56666666666666666666666667</v>
      </c>
      <c r="Y26" s="462">
        <v>141.94318181818181818181818182</v>
      </c>
      <c r="Z26" s="462">
        <v>143.66666666666666666666666667</v>
      </c>
      <c r="AA26" s="462">
        <v>139.72368421052631578947368421</v>
      </c>
      <c r="AB26" s="462">
        <v>140.22935779816513761467889908</v>
      </c>
      <c r="AC26" s="462">
        <v>187.02608695652173913043478261</v>
      </c>
      <c r="AD26" s="464">
        <v>197.89915966386554621848739496</v>
      </c>
      <c r="AE26" s="465"/>
      <c r="AF26" s="461">
        <v>161.75036710719530102790014684</v>
      </c>
      <c r="AG26" s="462">
        <v>186.55601516718372974836263357</v>
      </c>
      <c r="AH26" s="466">
        <v>161.75036710719530102790014684</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226.47208121827411167512690357</v>
      </c>
      <c r="D27" s="85">
        <v>212.20338983050847457627118643</v>
      </c>
      <c r="E27" s="85">
        <v>205.21578947368421052631578946</v>
      </c>
      <c r="F27" s="85">
        <v>193.48837209302325581395348837</v>
      </c>
      <c r="G27" s="85">
        <v>205.10526315789473684210526314</v>
      </c>
      <c r="H27" s="85">
        <v>289.25547445255474452554744527</v>
      </c>
      <c r="I27" s="85">
        <v>292.16774193548387096774193548</v>
      </c>
      <c r="J27" s="85">
        <v>250.86029411764705882352941176</v>
      </c>
      <c r="K27" s="85">
        <v>251.45818181818181818181818182</v>
      </c>
      <c r="L27" s="85">
        <v>232.56420233463035019455252919</v>
      </c>
      <c r="M27" s="85">
        <v>217.36792452830188679245283017</v>
      </c>
      <c r="N27" s="85">
        <v>240.71186440677966101694915253</v>
      </c>
      <c r="O27" s="85">
        <v>303.76816608996539792387543252</v>
      </c>
      <c r="P27" s="85">
        <v>366.47266881028938906752411574</v>
      </c>
      <c r="Q27" s="85">
        <v>255.31785714285714285714285714</v>
      </c>
      <c r="R27" s="85">
        <v>192.11818181818181818181818181</v>
      </c>
      <c r="S27" s="85">
        <v>203.86842105263157894736842104</v>
      </c>
      <c r="T27" s="85">
        <v>207.90000000000000000000000001</v>
      </c>
      <c r="U27" s="85">
        <v>239.05952380952380952380952382</v>
      </c>
      <c r="V27" s="85">
        <v>290.58528428093645484949832778</v>
      </c>
      <c r="W27" s="85">
        <v>248.01736111111111111111111111</v>
      </c>
      <c r="X27" s="86">
        <v>196.6681818181818181818181818</v>
      </c>
      <c r="Y27" s="85">
        <v>212.48591549295774647887323943</v>
      </c>
      <c r="Z27" s="85">
        <v>211.76521739130434782608695654</v>
      </c>
      <c r="AA27" s="85">
        <v>215.38181818181818181818181817</v>
      </c>
      <c r="AB27" s="85">
        <v>215.38815789473684210526315789</v>
      </c>
      <c r="AC27" s="85">
        <v>245.23809523809523809523809523</v>
      </c>
      <c r="AD27" s="87">
        <v>254.79452054794520547945205479</v>
      </c>
      <c r="AE27" s="169"/>
      <c r="AF27" s="370">
        <v>225.04164808727302894237449835</v>
      </c>
      <c r="AG27" s="85">
        <v>244.56433172181641853316867228</v>
      </c>
      <c r="AH27" s="371">
        <v>225.04164808727302894237449835</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183</v>
      </c>
      <c r="C28" s="467">
        <v>186.66224018475750577367205543</v>
      </c>
      <c r="D28" s="468">
        <v>194.70197668525088697415103903</v>
      </c>
      <c r="E28" s="468">
        <v>201.04808877928483353884093711</v>
      </c>
      <c r="F28" s="468">
        <v>203.80325361512791991101223582</v>
      </c>
      <c r="G28" s="468">
        <v>206.82131324004305705059203445</v>
      </c>
      <c r="H28" s="468">
        <v>229.9616125150421179302045728</v>
      </c>
      <c r="I28" s="468">
        <v>226.74874010079193664506839453</v>
      </c>
      <c r="J28" s="468">
        <v>196.95494142385100630820066086</v>
      </c>
      <c r="K28" s="468">
        <v>198.94059706016063039854523413</v>
      </c>
      <c r="L28" s="468">
        <v>197.84448409158489443948855189</v>
      </c>
      <c r="M28" s="468">
        <v>193.3490707434052757793764988</v>
      </c>
      <c r="N28" s="468">
        <v>190.21664094289322295496001122</v>
      </c>
      <c r="O28" s="468">
        <v>213.32581617936279008784581093</v>
      </c>
      <c r="P28" s="468">
        <v>234.47331460674157303370786517</v>
      </c>
      <c r="Q28" s="468">
        <v>193.86554044774069495948358742</v>
      </c>
      <c r="R28" s="468">
        <v>165.86373453760062831337129393</v>
      </c>
      <c r="S28" s="468">
        <v>169.26873239436619718309859155</v>
      </c>
      <c r="T28" s="468">
        <v>175.7841774246938099966898378</v>
      </c>
      <c r="U28" s="468">
        <v>175.72698219449094506163445442</v>
      </c>
      <c r="V28" s="468">
        <v>205.89852960657040667638097761</v>
      </c>
      <c r="W28" s="468">
        <v>205.52435897435897435897435897</v>
      </c>
      <c r="X28" s="469">
        <v>164.23688258417364553067851649</v>
      </c>
      <c r="Y28" s="468">
        <v>165.14677685950413223140495868</v>
      </c>
      <c r="Z28" s="468">
        <v>166.93387013876991605276683228</v>
      </c>
      <c r="AA28" s="468">
        <v>166.89609763931267062791071142</v>
      </c>
      <c r="AB28" s="468">
        <v>172.03059744779582366589327146</v>
      </c>
      <c r="AC28" s="468">
        <v>192.95555857569991845610220169</v>
      </c>
      <c r="AD28" s="470">
        <v>194.49033634538152610441767068</v>
      </c>
      <c r="AE28" s="465"/>
      <c r="AF28" s="467">
        <v>176.01342369064888388507588715</v>
      </c>
      <c r="AG28" s="468">
        <v>194.69339494000167827473357389</v>
      </c>
      <c r="AH28" s="471">
        <v>176.01342369064888388507588715</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275" t="s">
        <v>184</v>
      </c>
      <c r="D33" s="276"/>
      <c r="E33" s="276"/>
      <c r="F33" s="276"/>
      <c r="G33" s="276"/>
      <c r="H33" s="276"/>
      <c r="I33" s="276"/>
      <c r="J33" s="276"/>
      <c r="K33" s="276"/>
      <c r="L33" s="276"/>
      <c r="M33" s="276"/>
      <c r="N33" s="276"/>
      <c r="O33" s="276"/>
      <c r="P33" s="276"/>
      <c r="Q33" s="276"/>
      <c r="R33" s="276"/>
      <c r="S33" s="277"/>
      <c r="T33" s="277"/>
      <c r="U33" s="277"/>
      <c r="V33" s="277"/>
      <c r="W33" s="277"/>
      <c r="X33" s="312" t="s">
        <v>181</v>
      </c>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row>
    <row r="34" s="42" customFormat="1">
      <c r="C34" s="284">
        <v>11</v>
      </c>
      <c r="D34" s="42">
        <v>12</v>
      </c>
      <c r="E34" s="42">
        <v>13</v>
      </c>
      <c r="F34" s="42">
        <v>14</v>
      </c>
      <c r="G34" s="42">
        <v>15</v>
      </c>
      <c r="H34" s="42">
        <v>16</v>
      </c>
      <c r="I34" s="42">
        <v>17</v>
      </c>
      <c r="J34" s="42">
        <v>18</v>
      </c>
      <c r="K34" s="42">
        <v>19</v>
      </c>
      <c r="L34" s="42">
        <v>20</v>
      </c>
      <c r="M34" s="42">
        <v>21</v>
      </c>
      <c r="N34" s="42">
        <v>22</v>
      </c>
      <c r="O34" s="42">
        <v>23</v>
      </c>
      <c r="P34" s="42">
        <v>24</v>
      </c>
      <c r="Q34" s="42">
        <v>25</v>
      </c>
      <c r="R34" s="42">
        <v>26</v>
      </c>
      <c r="S34" s="42">
        <v>27</v>
      </c>
      <c r="T34" s="42">
        <v>28</v>
      </c>
      <c r="U34" s="42">
        <v>29</v>
      </c>
      <c r="V34" s="42">
        <v>30</v>
      </c>
      <c r="W34" s="42">
        <v>31</v>
      </c>
      <c r="X34" s="323">
        <v>1</v>
      </c>
      <c r="Y34" s="42">
        <v>2</v>
      </c>
      <c r="Z34" s="42">
        <v>3</v>
      </c>
      <c r="AA34" s="42">
        <v>4</v>
      </c>
      <c r="AB34" s="42">
        <v>5</v>
      </c>
      <c r="AC34" s="42">
        <v>6</v>
      </c>
      <c r="AD34" s="337">
        <v>7</v>
      </c>
      <c r="AE34" s="25"/>
      <c r="AF34" s="324" t="s">
        <v>60</v>
      </c>
      <c r="AG34" s="325">
        <v>28</v>
      </c>
      <c r="AH34" s="326"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row>
    <row r="35" ht="14.25" customHeight="1">
      <c r="B35" s="46" t="s">
        <v>32</v>
      </c>
      <c r="C35" s="444">
        <v>-11.632612200610776502651407250</v>
      </c>
      <c r="D35" s="445">
        <v>-3.5437944908428317595301016900</v>
      </c>
      <c r="E35" s="445">
        <v>4.4851024403320540846857472300</v>
      </c>
      <c r="F35" s="445">
        <v>-1.8758533016759899506322162300</v>
      </c>
      <c r="G35" s="445">
        <v>-13.524714237416830599227164150</v>
      </c>
      <c r="H35" s="445">
        <v>0.8741602565764204145926959900</v>
      </c>
      <c r="I35" s="445">
        <v>3.7990806759759846514002311900</v>
      </c>
      <c r="J35" s="445">
        <v>2.7348495212432164566381889200</v>
      </c>
      <c r="K35" s="445">
        <v>30.149893242918501765251645500</v>
      </c>
      <c r="L35" s="445">
        <v>52.093087554234426002223326040</v>
      </c>
      <c r="M35" s="445">
        <v>28.084770158360033982627156980</v>
      </c>
      <c r="N35" s="445">
        <v>18.839373712704043760919382560</v>
      </c>
      <c r="O35" s="445">
        <v>5.1488658888293241654974514400</v>
      </c>
      <c r="P35" s="445">
        <v>3.1910463697184421786804367700</v>
      </c>
      <c r="Q35" s="445">
        <v>-1.7511997715539748722552936100</v>
      </c>
      <c r="R35" s="445">
        <v>-16.655596115810380280074757980</v>
      </c>
      <c r="S35" s="445">
        <v>-13.513986013974331072304804310</v>
      </c>
      <c r="T35" s="445">
        <v>-7.912644405766234363386246800</v>
      </c>
      <c r="U35" s="445">
        <v>0.459720730375841091142776400</v>
      </c>
      <c r="V35" s="445">
        <v>-10.233786900799655028091700290</v>
      </c>
      <c r="W35" s="445">
        <v>-6.6912249686314204330709418700</v>
      </c>
      <c r="X35" s="446">
        <v>9.795487937844278227009511470</v>
      </c>
      <c r="Y35" s="445">
        <v>4.64546943912155473457907400</v>
      </c>
      <c r="Z35" s="445">
        <v>2.5510829837527001178554827300</v>
      </c>
      <c r="AA35" s="445">
        <v>-0.997924289334281620770125700</v>
      </c>
      <c r="AB35" s="445">
        <v>-9.557454595889571220087392880</v>
      </c>
      <c r="AC35" s="445">
        <v>-10.162861456619011699865989600</v>
      </c>
      <c r="AD35" s="447">
        <v>4.1063743940709389964496954500</v>
      </c>
      <c r="AE35" s="448"/>
      <c r="AF35" s="444">
        <v>0.1130495955687649177983963100</v>
      </c>
      <c r="AG35" s="445">
        <v>2.2862315181053998822924266400</v>
      </c>
      <c r="AH35" s="449">
        <v>-6.1486530305921049566798047500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4.5345276810198486059934950600</v>
      </c>
      <c r="D36" s="81">
        <v>-2.0154980051983251399506694100</v>
      </c>
      <c r="E36" s="81">
        <v>-5.3654450554555433845225429400</v>
      </c>
      <c r="F36" s="81">
        <v>-3.1509534969113085612125012500</v>
      </c>
      <c r="G36" s="81">
        <v>-11.30436876222708946200350200</v>
      </c>
      <c r="H36" s="81">
        <v>-2.0873031108786410878297339800</v>
      </c>
      <c r="I36" s="81">
        <v>-4.4371331608523442113013897200</v>
      </c>
      <c r="J36" s="81">
        <v>16.790584570693831754439823930</v>
      </c>
      <c r="K36" s="81">
        <v>11.593867670807255682414993010</v>
      </c>
      <c r="L36" s="81">
        <v>1.0073206381499654402408148400</v>
      </c>
      <c r="M36" s="81">
        <v>3.0711147397365386390650417100</v>
      </c>
      <c r="N36" s="81">
        <v>1.439546381851728962565748100</v>
      </c>
      <c r="O36" s="81">
        <v>-8.538228391097749107672467530</v>
      </c>
      <c r="P36" s="81">
        <v>-6.4550093486817587424043068100</v>
      </c>
      <c r="Q36" s="81">
        <v>-7.1922060142580296623800086200</v>
      </c>
      <c r="R36" s="81">
        <v>-10.507301094917167886920935210</v>
      </c>
      <c r="S36" s="81">
        <v>-5.5394113754534864843208026200</v>
      </c>
      <c r="T36" s="81">
        <v>4.8944949224869839707642134400</v>
      </c>
      <c r="U36" s="81">
        <v>2.7024956112037405325802869500</v>
      </c>
      <c r="V36" s="81">
        <v>1.780585219983890182825700100</v>
      </c>
      <c r="W36" s="81">
        <v>-11.208911178816498431381382760</v>
      </c>
      <c r="X36" s="82">
        <v>-5.9021298106488084234800402400</v>
      </c>
      <c r="Y36" s="81">
        <v>9.337731741474278781260650830</v>
      </c>
      <c r="Z36" s="81">
        <v>15.662378090637563103136312310</v>
      </c>
      <c r="AA36" s="81">
        <v>25.404260950112478496757972730</v>
      </c>
      <c r="AB36" s="81">
        <v>10.487322708205260776459815690</v>
      </c>
      <c r="AC36" s="81">
        <v>4.8137234311883356883254634200</v>
      </c>
      <c r="AD36" s="83">
        <v>5.8182932655512124969631141400</v>
      </c>
      <c r="AE36" s="88"/>
      <c r="AF36" s="327">
        <v>9.101328871684562767776399280</v>
      </c>
      <c r="AG36" s="81">
        <v>0.3307269348714584947738678400</v>
      </c>
      <c r="AH36" s="328">
        <v>5.3490751427685432646159008400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183</v>
      </c>
      <c r="C37" s="450">
        <v>0.2969260397504829801347802300</v>
      </c>
      <c r="D37" s="451">
        <v>2.2651615809730942440196023600</v>
      </c>
      <c r="E37" s="451">
        <v>1.4120719186807644707012806700</v>
      </c>
      <c r="F37" s="451">
        <v>3.9596131625500054530012018900</v>
      </c>
      <c r="G37" s="451">
        <v>1.8409608838959258255218996400</v>
      </c>
      <c r="H37" s="451">
        <v>0.7706268111028434499683060700</v>
      </c>
      <c r="I37" s="451">
        <v>-0.9750834339393514986266116700</v>
      </c>
      <c r="J37" s="451">
        <v>3.2060188925835590766708626400</v>
      </c>
      <c r="K37" s="451">
        <v>3.4865546235043198817067099800</v>
      </c>
      <c r="L37" s="451">
        <v>1.8986396772714385010531908500</v>
      </c>
      <c r="M37" s="451">
        <v>2.9719144962297747254309654800</v>
      </c>
      <c r="N37" s="451">
        <v>-1.7387826316120994421011062200</v>
      </c>
      <c r="O37" s="451">
        <v>-4.8851177485765023791463266900</v>
      </c>
      <c r="P37" s="451">
        <v>-3.6805614730311761298009937600</v>
      </c>
      <c r="Q37" s="451">
        <v>-5.4991502851057245234706233700</v>
      </c>
      <c r="R37" s="451">
        <v>-2.1164208178455791699975444400</v>
      </c>
      <c r="S37" s="451">
        <v>0.5468056541161999673531230500</v>
      </c>
      <c r="T37" s="451">
        <v>0.3471745636642451967081477100</v>
      </c>
      <c r="U37" s="451">
        <v>-3.7335172003712346719136003400</v>
      </c>
      <c r="V37" s="451">
        <v>-1.4828433519241820970443697100</v>
      </c>
      <c r="W37" s="451">
        <v>-1.9934064574837634967681749500</v>
      </c>
      <c r="X37" s="452">
        <v>-5.981028707286948996740954500</v>
      </c>
      <c r="Y37" s="451">
        <v>-3.6750510280695392197662188300</v>
      </c>
      <c r="Z37" s="451">
        <v>-3.2436411108445625406953737100</v>
      </c>
      <c r="AA37" s="451">
        <v>-6.3405338598895327375416375100</v>
      </c>
      <c r="AB37" s="451">
        <v>-4.27591519889995072430131900</v>
      </c>
      <c r="AC37" s="451">
        <v>-0.0989183644053146178913036300</v>
      </c>
      <c r="AD37" s="453">
        <v>-2.0748966853000607798359060100</v>
      </c>
      <c r="AE37" s="448"/>
      <c r="AF37" s="450">
        <v>-3.3801029972619244157016339400</v>
      </c>
      <c r="AG37" s="451">
        <v>-0.7923541292922161219178602200</v>
      </c>
      <c r="AH37" s="454">
        <v>-4.304211277314314786770526900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275" t="s">
        <v>184</v>
      </c>
      <c r="D40" s="276"/>
      <c r="E40" s="276"/>
      <c r="F40" s="276"/>
      <c r="G40" s="276"/>
      <c r="H40" s="276"/>
      <c r="I40" s="276"/>
      <c r="J40" s="276"/>
      <c r="K40" s="276"/>
      <c r="L40" s="276"/>
      <c r="M40" s="276"/>
      <c r="N40" s="276"/>
      <c r="O40" s="276"/>
      <c r="P40" s="276"/>
      <c r="Q40" s="276"/>
      <c r="R40" s="276"/>
      <c r="S40" s="277"/>
      <c r="T40" s="277"/>
      <c r="U40" s="277"/>
      <c r="V40" s="277"/>
      <c r="W40" s="277"/>
      <c r="X40" s="312" t="s">
        <v>181</v>
      </c>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row>
    <row r="41" s="42" customFormat="1">
      <c r="C41" s="279">
        <v>11</v>
      </c>
      <c r="D41" s="280">
        <v>12</v>
      </c>
      <c r="E41" s="280">
        <v>13</v>
      </c>
      <c r="F41" s="280">
        <v>14</v>
      </c>
      <c r="G41" s="280">
        <v>15</v>
      </c>
      <c r="H41" s="280">
        <v>16</v>
      </c>
      <c r="I41" s="280">
        <v>17</v>
      </c>
      <c r="J41" s="280">
        <v>18</v>
      </c>
      <c r="K41" s="280">
        <v>19</v>
      </c>
      <c r="L41" s="280">
        <v>20</v>
      </c>
      <c r="M41" s="280">
        <v>21</v>
      </c>
      <c r="N41" s="280">
        <v>22</v>
      </c>
      <c r="O41" s="280">
        <v>23</v>
      </c>
      <c r="P41" s="280">
        <v>24</v>
      </c>
      <c r="Q41" s="280">
        <v>25</v>
      </c>
      <c r="R41" s="280">
        <v>26</v>
      </c>
      <c r="S41" s="280">
        <v>27</v>
      </c>
      <c r="T41" s="280">
        <v>28</v>
      </c>
      <c r="U41" s="280">
        <v>29</v>
      </c>
      <c r="V41" s="280">
        <v>30</v>
      </c>
      <c r="W41" s="280">
        <v>31</v>
      </c>
      <c r="X41" s="315">
        <v>1</v>
      </c>
      <c r="Y41" s="280">
        <v>2</v>
      </c>
      <c r="Z41" s="280">
        <v>3</v>
      </c>
      <c r="AA41" s="280">
        <v>4</v>
      </c>
      <c r="AB41" s="280">
        <v>5</v>
      </c>
      <c r="AC41" s="280">
        <v>6</v>
      </c>
      <c r="AD41" s="373">
        <v>7</v>
      </c>
      <c r="AE41" s="25"/>
      <c r="AF41" s="324" t="s">
        <v>60</v>
      </c>
      <c r="AG41" s="325">
        <v>28</v>
      </c>
      <c r="AH41" s="326"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row>
    <row r="42" ht="14.25" customHeight="1">
      <c r="A42" s="1"/>
      <c r="B42" s="46" t="s">
        <v>26</v>
      </c>
      <c r="C42" s="444">
        <v>73.177793852446475860676449530</v>
      </c>
      <c r="D42" s="445">
        <v>69.935151376847460516847166050</v>
      </c>
      <c r="E42" s="445">
        <v>77.595944660579025349014120370</v>
      </c>
      <c r="F42" s="445">
        <v>78.959057896899833970236176070</v>
      </c>
      <c r="G42" s="445">
        <v>82.13699011220977827230100162</v>
      </c>
      <c r="H42" s="445">
        <v>89.96478654998866938157905097</v>
      </c>
      <c r="I42" s="445">
        <v>98.72982246515994988306467830</v>
      </c>
      <c r="J42" s="445">
        <v>77.269694565525103314301753380</v>
      </c>
      <c r="K42" s="445">
        <v>77.216842109862615350591870220</v>
      </c>
      <c r="L42" s="445">
        <v>87.05451014656145439194272173</v>
      </c>
      <c r="M42" s="445">
        <v>84.47749801423760433710988583</v>
      </c>
      <c r="N42" s="445">
        <v>78.108270017853616654469245630</v>
      </c>
      <c r="O42" s="445">
        <v>80.83009014232245883053497030</v>
      </c>
      <c r="P42" s="445">
        <v>75.041976316025892344194008940</v>
      </c>
      <c r="Q42" s="445">
        <v>72.96756078214872079734837300</v>
      </c>
      <c r="R42" s="445">
        <v>68.981380076397161429876456930</v>
      </c>
      <c r="S42" s="445">
        <v>58.276224227569255502538271870</v>
      </c>
      <c r="T42" s="445">
        <v>60.846560846560846560846560850</v>
      </c>
      <c r="U42" s="445">
        <v>65.205517653509805838120961090</v>
      </c>
      <c r="V42" s="445">
        <v>76.081786031907378608929273820</v>
      </c>
      <c r="W42" s="445">
        <v>95.85182488905495983199603769</v>
      </c>
      <c r="X42" s="446">
        <v>82.66038012033041406028116914</v>
      </c>
      <c r="Y42" s="445">
        <v>66.801219030848142739125479500</v>
      </c>
      <c r="Z42" s="445">
        <v>67.842428721993207731327871860</v>
      </c>
      <c r="AA42" s="445">
        <v>64.872553027009928194760448510</v>
      </c>
      <c r="AB42" s="445">
        <v>65.105416736383966586543358570</v>
      </c>
      <c r="AC42" s="445">
        <v>76.263064584211267158729052880</v>
      </c>
      <c r="AD42" s="447">
        <v>77.670100298197569823975378240</v>
      </c>
      <c r="AE42" s="448"/>
      <c r="AF42" s="444">
        <v>71.875747659138975609293361170</v>
      </c>
      <c r="AG42" s="445">
        <v>76.280958001429805761021747520</v>
      </c>
      <c r="AH42" s="449">
        <v>71.875747659138975609293361170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183</v>
      </c>
      <c r="C43" s="329">
        <v>88.78457290729974982623016581</v>
      </c>
      <c r="D43" s="330">
        <v>76.22149730129908068118536300</v>
      </c>
      <c r="E43" s="330">
        <v>79.204498486721222630395612590</v>
      </c>
      <c r="F43" s="330">
        <v>74.962785448564335609358776470</v>
      </c>
      <c r="G43" s="330">
        <v>81.45547820022447132600900481</v>
      </c>
      <c r="H43" s="330">
        <v>113.16152610404241602524930450</v>
      </c>
      <c r="I43" s="330">
        <v>127.21424285980767521308714072</v>
      </c>
      <c r="J43" s="330">
        <v>98.41793338591786737871826442</v>
      </c>
      <c r="K43" s="330">
        <v>97.60102769176616959286483608</v>
      </c>
      <c r="L43" s="330">
        <v>102.33170161312570590494047986</v>
      </c>
      <c r="M43" s="330">
        <v>94.97174381079990893912262473</v>
      </c>
      <c r="N43" s="330">
        <v>98.84302029721594151309094751</v>
      </c>
      <c r="O43" s="330">
        <v>115.09909436734043892217086036</v>
      </c>
      <c r="P43" s="330">
        <v>117.28768955845820509116333940</v>
      </c>
      <c r="Q43" s="330">
        <v>96.09712596070367323884551927</v>
      </c>
      <c r="R43" s="330">
        <v>79.90039146612470700672118569</v>
      </c>
      <c r="S43" s="330">
        <v>70.188283743388348141142909440</v>
      </c>
      <c r="T43" s="330">
        <v>71.963245983381140333569555010</v>
      </c>
      <c r="U43" s="330">
        <v>88.70578556198458304026412175</v>
      </c>
      <c r="V43" s="330">
        <v>107.37447938516866808742818438</v>
      </c>
      <c r="W43" s="330">
        <v>115.66958186999044703279391866</v>
      </c>
      <c r="X43" s="331">
        <v>98.98304455658609030771220261</v>
      </c>
      <c r="Y43" s="330">
        <v>85.94971365317118230198564090</v>
      </c>
      <c r="Z43" s="330">
        <v>86.06202357089821133977182062</v>
      </c>
      <c r="AA43" s="330">
        <v>83.71896418602945385127094119</v>
      </c>
      <c r="AB43" s="330">
        <v>81.51419565970847002902883043</v>
      </c>
      <c r="AC43" s="330">
        <v>96.92702730983931694141188458</v>
      </c>
      <c r="AD43" s="338">
        <v>101.75269547192912251354442917</v>
      </c>
      <c r="AE43" s="88"/>
      <c r="AF43" s="329">
        <v>91.89660863112543514442525882</v>
      </c>
      <c r="AG43" s="330">
        <v>95.82041302668535702732691460</v>
      </c>
      <c r="AH43" s="332">
        <v>91.89660863112543514442525882</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275" t="s">
        <v>184</v>
      </c>
      <c r="D46" s="276"/>
      <c r="E46" s="276"/>
      <c r="F46" s="276"/>
      <c r="G46" s="276"/>
      <c r="H46" s="276"/>
      <c r="I46" s="276"/>
      <c r="J46" s="276"/>
      <c r="K46" s="276"/>
      <c r="L46" s="276"/>
      <c r="M46" s="276"/>
      <c r="N46" s="276"/>
      <c r="O46" s="276"/>
      <c r="P46" s="276"/>
      <c r="Q46" s="276"/>
      <c r="R46" s="276"/>
      <c r="S46" s="277"/>
      <c r="T46" s="277"/>
      <c r="U46" s="277"/>
      <c r="V46" s="277"/>
      <c r="W46" s="277"/>
      <c r="X46" s="312" t="s">
        <v>181</v>
      </c>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row>
    <row r="47" s="42" customFormat="1">
      <c r="C47" s="284">
        <v>11</v>
      </c>
      <c r="D47" s="42">
        <v>12</v>
      </c>
      <c r="E47" s="42">
        <v>13</v>
      </c>
      <c r="F47" s="42">
        <v>14</v>
      </c>
      <c r="G47" s="42">
        <v>15</v>
      </c>
      <c r="H47" s="42">
        <v>16</v>
      </c>
      <c r="I47" s="42">
        <v>17</v>
      </c>
      <c r="J47" s="42">
        <v>18</v>
      </c>
      <c r="K47" s="42">
        <v>19</v>
      </c>
      <c r="L47" s="42">
        <v>20</v>
      </c>
      <c r="M47" s="42">
        <v>21</v>
      </c>
      <c r="N47" s="42">
        <v>22</v>
      </c>
      <c r="O47" s="42">
        <v>23</v>
      </c>
      <c r="P47" s="42">
        <v>24</v>
      </c>
      <c r="Q47" s="42">
        <v>25</v>
      </c>
      <c r="R47" s="42">
        <v>26</v>
      </c>
      <c r="S47" s="42">
        <v>27</v>
      </c>
      <c r="T47" s="42">
        <v>28</v>
      </c>
      <c r="U47" s="42">
        <v>29</v>
      </c>
      <c r="V47" s="42">
        <v>30</v>
      </c>
      <c r="W47" s="42">
        <v>31</v>
      </c>
      <c r="X47" s="323">
        <v>1</v>
      </c>
      <c r="Y47" s="42">
        <v>2</v>
      </c>
      <c r="Z47" s="42">
        <v>3</v>
      </c>
      <c r="AA47" s="42">
        <v>4</v>
      </c>
      <c r="AB47" s="42">
        <v>5</v>
      </c>
      <c r="AC47" s="42">
        <v>6</v>
      </c>
      <c r="AD47" s="337">
        <v>7</v>
      </c>
      <c r="AE47" s="25"/>
      <c r="AF47" s="324" t="s">
        <v>60</v>
      </c>
      <c r="AG47" s="325">
        <v>28</v>
      </c>
      <c r="AH47" s="326"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row>
    <row r="48" ht="14.25" customHeight="1">
      <c r="A48" s="1"/>
      <c r="B48" s="46" t="s">
        <v>26</v>
      </c>
      <c r="C48" s="444">
        <v>-15.465837212128275781386284230</v>
      </c>
      <c r="D48" s="445">
        <v>-1.5597328705140617900904191600</v>
      </c>
      <c r="E48" s="445">
        <v>10.409038750788431626126345760</v>
      </c>
      <c r="F48" s="445">
        <v>1.3165851820770867925400773100</v>
      </c>
      <c r="G48" s="445">
        <v>-2.5033312737466228094698624700</v>
      </c>
      <c r="H48" s="445">
        <v>3.0245958507472736396135445800</v>
      </c>
      <c r="I48" s="445">
        <v>8.618634108916652824386875920</v>
      </c>
      <c r="J48" s="445">
        <v>-12.034989893266480616770595140</v>
      </c>
      <c r="K48" s="445">
        <v>16.628176762206845599955935920</v>
      </c>
      <c r="L48" s="445">
        <v>50.576301394287826797014101120</v>
      </c>
      <c r="M48" s="445">
        <v>24.268346647649782557106351920</v>
      </c>
      <c r="N48" s="445">
        <v>17.152903331534947283276267380</v>
      </c>
      <c r="O48" s="445">
        <v>14.964825236890000838905885780</v>
      </c>
      <c r="P48" s="445">
        <v>10.311675324678965205758971550</v>
      </c>
      <c r="Q48" s="445">
        <v>5.862660891931274697738880900</v>
      </c>
      <c r="R48" s="445">
        <v>-6.8701638190333339609935631600</v>
      </c>
      <c r="S48" s="445">
        <v>-8.442224164271541979019582140</v>
      </c>
      <c r="T48" s="445">
        <v>-12.209543825607664020653700680</v>
      </c>
      <c r="U48" s="445">
        <v>-2.1837588925579222938256529900</v>
      </c>
      <c r="V48" s="445">
        <v>-11.804188485301566391104212760</v>
      </c>
      <c r="W48" s="445">
        <v>5.087995056833536627351416500</v>
      </c>
      <c r="X48" s="446">
        <v>16.682224280875411906169809900</v>
      </c>
      <c r="Y48" s="445">
        <v>-4.2915306799731204264838739900</v>
      </c>
      <c r="Z48" s="445">
        <v>-11.335833936036343131443688060</v>
      </c>
      <c r="AA48" s="445">
        <v>-21.053658814665323806853945090</v>
      </c>
      <c r="AB48" s="445">
        <v>-18.142151346197711766688670050</v>
      </c>
      <c r="AC48" s="445">
        <v>-14.288763338987586492348861640</v>
      </c>
      <c r="AD48" s="447">
        <v>-1.6177910441174385342585536400</v>
      </c>
      <c r="AE48" s="448"/>
      <c r="AF48" s="444">
        <v>-8.238469108609619195144461570</v>
      </c>
      <c r="AG48" s="445">
        <v>1.949058521765775853983164300</v>
      </c>
      <c r="AH48" s="449">
        <v>-10.913933660795485493419866490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183</v>
      </c>
      <c r="C49" s="329">
        <v>-11.894221200429574262691176240</v>
      </c>
      <c r="D49" s="330">
        <v>-5.6802883622220506851111429200</v>
      </c>
      <c r="E49" s="330">
        <v>3.0302413347291234118005877300</v>
      </c>
      <c r="F49" s="330">
        <v>-5.6132052502733392781859652300</v>
      </c>
      <c r="G49" s="330">
        <v>-15.087912552991050820215113680</v>
      </c>
      <c r="H49" s="330">
        <v>0.1027416904934144287173949800</v>
      </c>
      <c r="I49" s="330">
        <v>4.8211745846431231990194826500</v>
      </c>
      <c r="J49" s="330">
        <v>-0.4565328422149789657000054200</v>
      </c>
      <c r="K49" s="330">
        <v>25.765026883300630804020063100</v>
      </c>
      <c r="L49" s="330">
        <v>49.259193288444023473435390410</v>
      </c>
      <c r="M49" s="330">
        <v>24.388063274346205732018746240</v>
      </c>
      <c r="N49" s="330">
        <v>20.942297373656663539219063970</v>
      </c>
      <c r="O49" s="330">
        <v>10.549330872188500230230493110</v>
      </c>
      <c r="P49" s="330">
        <v>7.1341859419954490810412290600</v>
      </c>
      <c r="Q49" s="330">
        <v>3.966049538020189645992627600</v>
      </c>
      <c r="R49" s="330">
        <v>-14.853538682843424287316155550</v>
      </c>
      <c r="S49" s="330">
        <v>-13.984324590543235383986775270</v>
      </c>
      <c r="T49" s="330">
        <v>-8.231242190295962676760476940</v>
      </c>
      <c r="U49" s="330">
        <v>4.3558648958239176763793807900</v>
      </c>
      <c r="V49" s="330">
        <v>-8.882659474382747893945820740</v>
      </c>
      <c r="W49" s="330">
        <v>-4.7933698553911712058727983100</v>
      </c>
      <c r="X49" s="331">
        <v>16.780141739708626274194627900</v>
      </c>
      <c r="Y49" s="330">
        <v>8.637970282833954926078582160</v>
      </c>
      <c r="Z49" s="330">
        <v>5.9889852833640997139313055600</v>
      </c>
      <c r="AA49" s="330">
        <v>5.7042921455472533682338459500</v>
      </c>
      <c r="AB49" s="330">
        <v>-5.5174613661451286059033453700</v>
      </c>
      <c r="AC49" s="330">
        <v>-10.073908037318765379513100730</v>
      </c>
      <c r="AD49" s="338">
        <v>6.3122436129031247615822742800</v>
      </c>
      <c r="AE49" s="88"/>
      <c r="AF49" s="329">
        <v>3.6153553266376254245404174800</v>
      </c>
      <c r="AG49" s="330">
        <v>3.1031737728897920488534851300</v>
      </c>
      <c r="AH49" s="332">
        <v>-1.9274011719226527900944049600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275" t="s">
        <v>184</v>
      </c>
      <c r="D52" s="276"/>
      <c r="E52" s="276"/>
      <c r="F52" s="276"/>
      <c r="G52" s="276"/>
      <c r="H52" s="276"/>
      <c r="I52" s="276"/>
      <c r="J52" s="276"/>
      <c r="K52" s="276"/>
      <c r="L52" s="276"/>
      <c r="M52" s="276"/>
      <c r="N52" s="276"/>
      <c r="O52" s="276"/>
      <c r="P52" s="276"/>
      <c r="Q52" s="276"/>
      <c r="R52" s="276"/>
      <c r="S52" s="277"/>
      <c r="T52" s="277"/>
      <c r="U52" s="277"/>
      <c r="V52" s="277"/>
      <c r="W52" s="277"/>
      <c r="X52" s="312" t="s">
        <v>181</v>
      </c>
      <c r="Y52" s="277"/>
      <c r="Z52" s="277"/>
      <c r="AA52" s="277"/>
      <c r="AB52" s="277"/>
      <c r="AC52" s="277"/>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284">
        <v>11</v>
      </c>
      <c r="D53" s="42">
        <v>12</v>
      </c>
      <c r="E53" s="42">
        <v>13</v>
      </c>
      <c r="F53" s="42">
        <v>14</v>
      </c>
      <c r="G53" s="42">
        <v>15</v>
      </c>
      <c r="H53" s="42">
        <v>16</v>
      </c>
      <c r="I53" s="42">
        <v>17</v>
      </c>
      <c r="J53" s="42">
        <v>18</v>
      </c>
      <c r="K53" s="42">
        <v>19</v>
      </c>
      <c r="L53" s="42">
        <v>20</v>
      </c>
      <c r="M53" s="42">
        <v>21</v>
      </c>
      <c r="N53" s="42">
        <v>22</v>
      </c>
      <c r="O53" s="42">
        <v>23</v>
      </c>
      <c r="P53" s="42">
        <v>24</v>
      </c>
      <c r="Q53" s="42">
        <v>25</v>
      </c>
      <c r="R53" s="42">
        <v>26</v>
      </c>
      <c r="S53" s="42">
        <v>27</v>
      </c>
      <c r="T53" s="42">
        <v>28</v>
      </c>
      <c r="U53" s="42">
        <v>29</v>
      </c>
      <c r="V53" s="42">
        <v>30</v>
      </c>
      <c r="W53" s="42">
        <v>31</v>
      </c>
      <c r="X53" s="323">
        <v>1</v>
      </c>
      <c r="Y53" s="42">
        <v>2</v>
      </c>
      <c r="Z53" s="42">
        <v>3</v>
      </c>
      <c r="AA53" s="42">
        <v>4</v>
      </c>
      <c r="AB53" s="42">
        <v>5</v>
      </c>
      <c r="AC53" s="42">
        <v>6</v>
      </c>
      <c r="AD53" s="337">
        <v>7</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171</v>
      </c>
      <c r="D54" s="456" t="s">
        <v>171</v>
      </c>
      <c r="E54" s="456" t="s">
        <v>171</v>
      </c>
      <c r="F54" s="456" t="s">
        <v>171</v>
      </c>
      <c r="G54" s="456" t="s">
        <v>171</v>
      </c>
      <c r="H54" s="456" t="s">
        <v>171</v>
      </c>
      <c r="I54" s="456" t="s">
        <v>171</v>
      </c>
      <c r="J54" s="456" t="s">
        <v>171</v>
      </c>
      <c r="K54" s="456" t="s">
        <v>171</v>
      </c>
      <c r="L54" s="456" t="s">
        <v>171</v>
      </c>
      <c r="M54" s="456" t="s">
        <v>171</v>
      </c>
      <c r="N54" s="456" t="s">
        <v>171</v>
      </c>
      <c r="O54" s="456" t="s">
        <v>171</v>
      </c>
      <c r="P54" s="456" t="s">
        <v>171</v>
      </c>
      <c r="Q54" s="456" t="s">
        <v>171</v>
      </c>
      <c r="R54" s="456" t="s">
        <v>171</v>
      </c>
      <c r="S54" s="456" t="s">
        <v>171</v>
      </c>
      <c r="T54" s="456" t="s">
        <v>171</v>
      </c>
      <c r="U54" s="456" t="s">
        <v>171</v>
      </c>
      <c r="V54" s="456" t="s">
        <v>171</v>
      </c>
      <c r="W54" s="456" t="s">
        <v>171</v>
      </c>
      <c r="X54" s="457" t="s">
        <v>170</v>
      </c>
      <c r="Y54" s="456" t="s">
        <v>174</v>
      </c>
      <c r="Z54" s="456" t="s">
        <v>174</v>
      </c>
      <c r="AA54" s="456" t="s">
        <v>173</v>
      </c>
      <c r="AB54" s="456" t="s">
        <v>173</v>
      </c>
      <c r="AC54" s="456" t="s">
        <v>173</v>
      </c>
      <c r="AD54" s="458" t="s">
        <v>173</v>
      </c>
      <c r="AE54" s="459"/>
      <c r="AF54" s="455" t="s">
        <v>174</v>
      </c>
      <c r="AG54" s="456" t="s">
        <v>171</v>
      </c>
      <c r="AH54" s="460" t="s">
        <v>174</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185</v>
      </c>
      <c r="D55" s="334" t="s">
        <v>170</v>
      </c>
      <c r="E55" s="334" t="s">
        <v>172</v>
      </c>
      <c r="F55" s="334" t="s">
        <v>171</v>
      </c>
      <c r="G55" s="334" t="s">
        <v>178</v>
      </c>
      <c r="H55" s="334" t="s">
        <v>170</v>
      </c>
      <c r="I55" s="334" t="s">
        <v>172</v>
      </c>
      <c r="J55" s="334" t="s">
        <v>170</v>
      </c>
      <c r="K55" s="334" t="s">
        <v>172</v>
      </c>
      <c r="L55" s="334" t="s">
        <v>172</v>
      </c>
      <c r="M55" s="334" t="s">
        <v>172</v>
      </c>
      <c r="N55" s="334" t="s">
        <v>172</v>
      </c>
      <c r="O55" s="334" t="s">
        <v>171</v>
      </c>
      <c r="P55" s="334" t="s">
        <v>171</v>
      </c>
      <c r="Q55" s="334" t="s">
        <v>172</v>
      </c>
      <c r="R55" s="334" t="s">
        <v>170</v>
      </c>
      <c r="S55" s="334" t="s">
        <v>170</v>
      </c>
      <c r="T55" s="334" t="s">
        <v>170</v>
      </c>
      <c r="U55" s="334" t="s">
        <v>170</v>
      </c>
      <c r="V55" s="334" t="s">
        <v>171</v>
      </c>
      <c r="W55" s="334" t="s">
        <v>170</v>
      </c>
      <c r="X55" s="60" t="s">
        <v>172</v>
      </c>
      <c r="Y55" s="61" t="s">
        <v>173</v>
      </c>
      <c r="Z55" s="61" t="s">
        <v>175</v>
      </c>
      <c r="AA55" s="61" t="s">
        <v>175</v>
      </c>
      <c r="AB55" s="61" t="s">
        <v>173</v>
      </c>
      <c r="AC55" s="61" t="s">
        <v>173</v>
      </c>
      <c r="AD55" s="62" t="s">
        <v>175</v>
      </c>
      <c r="AE55" s="59"/>
      <c r="AF55" s="333" t="s">
        <v>175</v>
      </c>
      <c r="AG55" s="334" t="s">
        <v>172</v>
      </c>
      <c r="AH55" s="335" t="s">
        <v>175</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53"/>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658"/>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658"/>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48"/>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65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row>
    <row r="69" s="25" customFormat="1" ht="10.5" customHeight="1">
      <c r="A69" s="248"/>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65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row>
    <row r="70" s="84" customFormat="1">
      <c r="A70" s="256"/>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658"/>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56"/>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658"/>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58" t="n">
        <v>45738</v>
      </c>
      <c r="C72" s="658">
        <v>45745</v>
      </c>
      <c r="D72" s="658">
        <v>45752</v>
      </c>
      <c r="E72" s="658">
        <v>45759</v>
      </c>
      <c r="F72" s="658">
        <v>45766</v>
      </c>
      <c r="G72" s="658">
        <v>45773</v>
      </c>
      <c r="H72" s="658">
        <v>45780</v>
      </c>
      <c r="I72" s="658">
        <v>45787</v>
      </c>
      <c r="J72" s="658">
        <v>45794</v>
      </c>
      <c r="K72" s="658">
        <v>45801</v>
      </c>
      <c r="L72" s="658">
        <v>45808</v>
      </c>
      <c r="M72" s="658">
        <v>45815</v>
      </c>
      <c r="N72" s="658"/>
      <c r="O72" s="658"/>
      <c r="P72" s="658"/>
      <c r="Q72" s="658"/>
      <c r="R72" s="658"/>
      <c r="S72" s="658"/>
      <c r="T72" s="658"/>
      <c r="U72" s="658"/>
      <c r="V72" s="658"/>
      <c r="W72" s="658"/>
      <c r="X72" s="658"/>
      <c r="Y72" s="658"/>
      <c r="Z72" s="658"/>
      <c r="AA72" s="658"/>
      <c r="AB72" s="658"/>
      <c r="AC72" s="658"/>
      <c r="AD72" s="658"/>
      <c r="AE72" s="658"/>
      <c r="AF72" s="658"/>
      <c r="AG72" s="658"/>
      <c r="AH72" s="658"/>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58">
        <v>292.02738095238095238095238095</v>
      </c>
      <c r="C73" s="658">
        <v>328.03836930455635491606714628</v>
      </c>
      <c r="D73" s="658">
        <v>264.93856655290102389078498294</v>
      </c>
      <c r="E73" s="658">
        <v>297.68166089965397923875432526</v>
      </c>
      <c r="F73" s="658">
        <v>261.60854893138357705286839145</v>
      </c>
      <c r="G73" s="658">
        <v>236.04422604422604422604422604</v>
      </c>
      <c r="H73" s="658">
        <v>322.13578826237054085155350978</v>
      </c>
      <c r="I73" s="658">
        <v>232.81440443213296398891966759</v>
      </c>
      <c r="J73" s="658">
        <v>199.37266187050359712230215827</v>
      </c>
      <c r="K73" s="658">
        <v>210.57524271844660194174757282</v>
      </c>
      <c r="L73" s="658">
        <v>169.71326676176890156918687589</v>
      </c>
      <c r="M73" s="658">
        <v>161.75036710719530102790014684</v>
      </c>
      <c r="N73" s="658"/>
      <c r="O73" s="658"/>
      <c r="P73" s="658"/>
      <c r="Q73" s="658"/>
      <c r="R73" s="658"/>
      <c r="S73" s="658"/>
      <c r="T73" s="658"/>
      <c r="U73" s="658"/>
      <c r="V73" s="658"/>
      <c r="W73" s="658"/>
      <c r="X73" s="658"/>
      <c r="Y73" s="658"/>
      <c r="Z73" s="658"/>
      <c r="AA73" s="658"/>
      <c r="AB73" s="658"/>
      <c r="AC73" s="658"/>
      <c r="AD73" s="658"/>
      <c r="AE73" s="658"/>
      <c r="AF73" s="658"/>
      <c r="AG73" s="658"/>
      <c r="AH73" s="658"/>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58">
        <v>398.99439252336448598130841121</v>
      </c>
      <c r="C74" s="658">
        <v>380.24565523720056364490371066</v>
      </c>
      <c r="D74" s="658">
        <v>341.34264079507808802650260293</v>
      </c>
      <c r="E74" s="658">
        <v>323.78790697674418604651162791</v>
      </c>
      <c r="F74" s="658">
        <v>374.43093922651933701657458564</v>
      </c>
      <c r="G74" s="658">
        <v>342.5159362549800796812749004</v>
      </c>
      <c r="H74" s="658">
        <v>383.20122753178430512932924156</v>
      </c>
      <c r="I74" s="658">
        <v>280.47484454494064443188241945</v>
      </c>
      <c r="J74" s="658">
        <v>238.04658385093167701863354037</v>
      </c>
      <c r="K74" s="658">
        <v>270.95356371490280777537796976</v>
      </c>
      <c r="L74" s="658">
        <v>238.47383553766532489936745256</v>
      </c>
      <c r="M74" s="658">
        <v>225.04164808727302894237449835</v>
      </c>
      <c r="N74" s="658"/>
      <c r="O74" s="658"/>
      <c r="P74" s="658"/>
      <c r="Q74" s="658"/>
      <c r="R74" s="658"/>
      <c r="S74" s="658"/>
      <c r="T74" s="658"/>
      <c r="U74" s="658"/>
      <c r="V74" s="658"/>
      <c r="W74" s="658"/>
      <c r="X74" s="658"/>
      <c r="Y74" s="658"/>
      <c r="Z74" s="658"/>
      <c r="AA74" s="658"/>
      <c r="AB74" s="658"/>
      <c r="AC74" s="658"/>
      <c r="AD74" s="658"/>
      <c r="AE74" s="658"/>
      <c r="AF74" s="658"/>
      <c r="AG74" s="658"/>
      <c r="AH74" s="658"/>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s="84" customFormat="1" ht="14.25">
      <c r="A75" s="260" t="s">
        <v>183</v>
      </c>
      <c r="B75" s="658">
        <v>286.60591050570634894072760133</v>
      </c>
      <c r="C75" s="658">
        <v>303.53818418460672576333192627</v>
      </c>
      <c r="D75" s="658">
        <v>260.3981971594780147790996279</v>
      </c>
      <c r="E75" s="658">
        <v>261.89942077443977236266612628</v>
      </c>
      <c r="F75" s="658">
        <v>255.10237519243457224543655157</v>
      </c>
      <c r="G75" s="658">
        <v>229.51864479846373914917798287</v>
      </c>
      <c r="H75" s="658">
        <v>288.94759760009307118283501471</v>
      </c>
      <c r="I75" s="658">
        <v>226.80824394359407014583584428</v>
      </c>
      <c r="J75" s="658">
        <v>209.33256941744592907859466759</v>
      </c>
      <c r="K75" s="658">
        <v>204.81076211638940604167917843</v>
      </c>
      <c r="L75" s="658">
        <v>186.85186482994240161187884628</v>
      </c>
      <c r="M75" s="658">
        <v>176.01342369064888388507588715</v>
      </c>
      <c r="N75" s="658"/>
      <c r="O75" s="658"/>
      <c r="P75" s="658"/>
      <c r="Q75" s="658"/>
      <c r="R75" s="658"/>
      <c r="S75" s="658"/>
      <c r="T75" s="658"/>
      <c r="U75" s="658"/>
      <c r="V75" s="658"/>
      <c r="W75" s="658"/>
      <c r="X75" s="658"/>
      <c r="Y75" s="658"/>
      <c r="Z75" s="658"/>
      <c r="AA75" s="658"/>
      <c r="AB75" s="658"/>
      <c r="AC75" s="658"/>
      <c r="AD75" s="658"/>
      <c r="AE75" s="658"/>
      <c r="AF75" s="658"/>
      <c r="AG75" s="658"/>
      <c r="AH75" s="658"/>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row>
    <row r="76" s="84" customFormat="1">
      <c r="A76" s="256"/>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658"/>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row>
    <row r="77">
      <c r="A77" s="256"/>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658"/>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658"/>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658"/>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658"/>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658"/>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658"/>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658"/>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658"/>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8"/>
      <c r="C95" s="658"/>
      <c r="D95" s="658"/>
      <c r="E95" s="658"/>
      <c r="F95" s="658"/>
      <c r="G95" s="658"/>
      <c r="H95" s="658"/>
      <c r="I95" s="658"/>
      <c r="J95" s="658"/>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7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133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179</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180</v>
      </c>
      <c r="R4" s="618" t="s">
        <v>186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275" t="s">
        <v>184</v>
      </c>
      <c r="D24" s="276"/>
      <c r="E24" s="276"/>
      <c r="F24" s="276"/>
      <c r="G24" s="276"/>
      <c r="H24" s="276"/>
      <c r="I24" s="276"/>
      <c r="J24" s="276"/>
      <c r="K24" s="276"/>
      <c r="L24" s="276"/>
      <c r="M24" s="276"/>
      <c r="N24" s="276"/>
      <c r="O24" s="276"/>
      <c r="P24" s="276"/>
      <c r="Q24" s="276"/>
      <c r="R24" s="276"/>
      <c r="S24" s="277"/>
      <c r="T24" s="277"/>
      <c r="U24" s="277"/>
      <c r="V24" s="277"/>
      <c r="W24" s="277"/>
      <c r="X24" s="312" t="s">
        <v>181</v>
      </c>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row>
    <row r="25" s="42" customFormat="1">
      <c r="C25" s="279">
        <v>11</v>
      </c>
      <c r="D25" s="280">
        <v>12</v>
      </c>
      <c r="E25" s="280">
        <v>13</v>
      </c>
      <c r="F25" s="280">
        <v>14</v>
      </c>
      <c r="G25" s="280">
        <v>15</v>
      </c>
      <c r="H25" s="280">
        <v>16</v>
      </c>
      <c r="I25" s="280">
        <v>17</v>
      </c>
      <c r="J25" s="280">
        <v>18</v>
      </c>
      <c r="K25" s="280">
        <v>19</v>
      </c>
      <c r="L25" s="280">
        <v>20</v>
      </c>
      <c r="M25" s="280">
        <v>21</v>
      </c>
      <c r="N25" s="280">
        <v>22</v>
      </c>
      <c r="O25" s="280">
        <v>23</v>
      </c>
      <c r="P25" s="280">
        <v>24</v>
      </c>
      <c r="Q25" s="280">
        <v>25</v>
      </c>
      <c r="R25" s="280">
        <v>26</v>
      </c>
      <c r="S25" s="280">
        <v>27</v>
      </c>
      <c r="T25" s="280">
        <v>28</v>
      </c>
      <c r="U25" s="280">
        <v>29</v>
      </c>
      <c r="V25" s="280">
        <v>30</v>
      </c>
      <c r="W25" s="280">
        <v>31</v>
      </c>
      <c r="X25" s="315">
        <v>1</v>
      </c>
      <c r="Y25" s="280">
        <v>2</v>
      </c>
      <c r="Z25" s="280">
        <v>3</v>
      </c>
      <c r="AA25" s="280">
        <v>4</v>
      </c>
      <c r="AB25" s="280">
        <v>5</v>
      </c>
      <c r="AC25" s="280">
        <v>6</v>
      </c>
      <c r="AD25" s="373">
        <v>7</v>
      </c>
      <c r="AE25" s="25"/>
      <c r="AF25" s="319" t="s">
        <v>60</v>
      </c>
      <c r="AG25" s="320">
        <v>28</v>
      </c>
      <c r="AH25" s="321"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row>
    <row r="26" ht="14.25" customHeight="1">
      <c r="B26" s="46" t="s">
        <v>32</v>
      </c>
      <c r="C26" s="461">
        <v>96.67424242424242424242424242</v>
      </c>
      <c r="D26" s="462">
        <v>94.43939393939393939393939394</v>
      </c>
      <c r="E26" s="462">
        <v>110.98484848484848484848484848</v>
      </c>
      <c r="F26" s="462">
        <v>108.79545454545454545454545455</v>
      </c>
      <c r="G26" s="462">
        <v>136.56060606060606060606060606</v>
      </c>
      <c r="H26" s="462">
        <v>224.74242424242424242424242424</v>
      </c>
      <c r="I26" s="462">
        <v>277.53030303030303030303030303</v>
      </c>
      <c r="J26" s="462">
        <v>173.28030303030303030303030303</v>
      </c>
      <c r="K26" s="462">
        <v>175.04545454545454545454545455</v>
      </c>
      <c r="L26" s="462">
        <v>180.98484848484848484848484848</v>
      </c>
      <c r="M26" s="462">
        <v>175.28030303030303030303030303</v>
      </c>
      <c r="N26" s="462">
        <v>179.46969696969696969696969697</v>
      </c>
      <c r="O26" s="462">
        <v>180.43181818181818181818181818</v>
      </c>
      <c r="P26" s="462">
        <v>250.00757575757575757575757576</v>
      </c>
      <c r="Q26" s="462">
        <v>179.24242424242424242424242424</v>
      </c>
      <c r="R26" s="462">
        <v>97.38636363636363636363636364</v>
      </c>
      <c r="S26" s="462">
        <v>79.204545454545454545454545455</v>
      </c>
      <c r="T26" s="462">
        <v>92.000000000</v>
      </c>
      <c r="U26" s="462">
        <v>118.09090909090909090909090909</v>
      </c>
      <c r="V26" s="462">
        <v>162.46212121212121212121212121</v>
      </c>
      <c r="W26" s="462">
        <v>172.89393939393939393939393939</v>
      </c>
      <c r="X26" s="463">
        <v>110.84090909090909090909090909</v>
      </c>
      <c r="Y26" s="462">
        <v>94.62878787878787878787878788</v>
      </c>
      <c r="Z26" s="462">
        <v>91.42424242424242424242424242</v>
      </c>
      <c r="AA26" s="462">
        <v>80.4469696969696969696969697</v>
      </c>
      <c r="AB26" s="462">
        <v>115.79545454545454545454545455</v>
      </c>
      <c r="AC26" s="462">
        <v>162.93939393939393939393939394</v>
      </c>
      <c r="AD26" s="464">
        <v>178.40909090909090909090909091</v>
      </c>
      <c r="AE26" s="465"/>
      <c r="AF26" s="461">
        <v>119.21212121212121212121212121</v>
      </c>
      <c r="AG26" s="462">
        <v>146.42830086580086580086580087</v>
      </c>
      <c r="AH26" s="466">
        <v>119.21212121212121212121212121</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129.69476744186046511627906977</v>
      </c>
      <c r="D27" s="85">
        <v>109.18604651162790697674418605</v>
      </c>
      <c r="E27" s="85">
        <v>113.34593023255813953488372093</v>
      </c>
      <c r="F27" s="85">
        <v>120.93023255813953488372093023</v>
      </c>
      <c r="G27" s="85">
        <v>147.27034883720930232558139535</v>
      </c>
      <c r="H27" s="85">
        <v>230.39534883720930232558139535</v>
      </c>
      <c r="I27" s="85">
        <v>263.2906976744186046511627907</v>
      </c>
      <c r="J27" s="85">
        <v>198.35465116279069767441860465</v>
      </c>
      <c r="K27" s="85">
        <v>201.02034883720930232558139535</v>
      </c>
      <c r="L27" s="85">
        <v>173.74709302325581395348837209</v>
      </c>
      <c r="M27" s="85">
        <v>133.9593023255813953488372093</v>
      </c>
      <c r="N27" s="85">
        <v>165.13953488372093023255813953</v>
      </c>
      <c r="O27" s="85">
        <v>255.20058139534883720930232558</v>
      </c>
      <c r="P27" s="85">
        <v>331.31686046511627906976744186</v>
      </c>
      <c r="Q27" s="85">
        <v>207.81686046511627906976744186</v>
      </c>
      <c r="R27" s="85">
        <v>122.86627906976744186046511628</v>
      </c>
      <c r="S27" s="85">
        <v>112.60174418604651162790697674</v>
      </c>
      <c r="T27" s="85">
        <v>126.9156976744186046511627907</v>
      </c>
      <c r="U27" s="85">
        <v>175.125000000</v>
      </c>
      <c r="V27" s="85">
        <v>252.57267441860465116279069767</v>
      </c>
      <c r="W27" s="85">
        <v>207.64244186046511627906976744</v>
      </c>
      <c r="X27" s="86">
        <v>125.77616279069767441860465116</v>
      </c>
      <c r="Y27" s="85">
        <v>111.33948339483394833948339483</v>
      </c>
      <c r="Z27" s="85">
        <v>89.86346863468634686346863469</v>
      </c>
      <c r="AA27" s="85">
        <v>87.42435424354243542435424354</v>
      </c>
      <c r="AB27" s="85">
        <v>120.80811808118081180811808118</v>
      </c>
      <c r="AC27" s="85">
        <v>190.036900369003690036900369</v>
      </c>
      <c r="AD27" s="87">
        <v>205.90405904059040590405904059</v>
      </c>
      <c r="AE27" s="169"/>
      <c r="AF27" s="370">
        <v>133.02179236493361611356977357</v>
      </c>
      <c r="AG27" s="85">
        <v>168.19803530053572960978779222</v>
      </c>
      <c r="AH27" s="371">
        <v>133.02179236493361611356977357</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183</v>
      </c>
      <c r="C28" s="467">
        <v>101.12574288395370659993744135</v>
      </c>
      <c r="D28" s="468">
        <v>120.1585861745386299655927432</v>
      </c>
      <c r="E28" s="468">
        <v>136.00250234594932749452611824</v>
      </c>
      <c r="F28" s="468">
        <v>152.82587842769262850589093942</v>
      </c>
      <c r="G28" s="468">
        <v>160.26441455531227192159316025</v>
      </c>
      <c r="H28" s="468">
        <v>199.24731519132520070899801898</v>
      </c>
      <c r="I28" s="468">
        <v>197.03096653112292774476071317</v>
      </c>
      <c r="J28" s="468">
        <v>136.72463768115942028985507246</v>
      </c>
      <c r="K28" s="468">
        <v>136.87926180794494838911479512</v>
      </c>
      <c r="L28" s="468">
        <v>138.74486497758315087060786154</v>
      </c>
      <c r="M28" s="468">
        <v>134.50370138671671358565321656</v>
      </c>
      <c r="N28" s="468">
        <v>141.34855593785840892503388593</v>
      </c>
      <c r="O28" s="468">
        <v>169.64195600041705765822124909</v>
      </c>
      <c r="P28" s="468">
        <v>208.87707225523928683140444166</v>
      </c>
      <c r="Q28" s="468">
        <v>147.17287039933270774684600146</v>
      </c>
      <c r="R28" s="468">
        <v>88.07673860911270983213429257</v>
      </c>
      <c r="S28" s="468">
        <v>93.97935564591804817015952455</v>
      </c>
      <c r="T28" s="468">
        <v>110.73798352622250026066103639</v>
      </c>
      <c r="U28" s="468">
        <v>120.39432801584819101240746533</v>
      </c>
      <c r="V28" s="468">
        <v>162.06109894692941299134605359</v>
      </c>
      <c r="W28" s="468">
        <v>167.14524032947554999478677927</v>
      </c>
      <c r="X28" s="469">
        <v>100.46523784631468897020386827</v>
      </c>
      <c r="Y28" s="468">
        <v>104.45771040250914793518034501</v>
      </c>
      <c r="Z28" s="468">
        <v>101.87067433350757971772085729</v>
      </c>
      <c r="AA28" s="468">
        <v>108.65258755880815473078933612</v>
      </c>
      <c r="AB28" s="468">
        <v>124.02749607945635128071092525</v>
      </c>
      <c r="AC28" s="468">
        <v>148.43355985363303711447987454</v>
      </c>
      <c r="AD28" s="470">
        <v>162.01766858337689492943021432</v>
      </c>
      <c r="AE28" s="465"/>
      <c r="AF28" s="467">
        <v>121.41784780822940781121648869</v>
      </c>
      <c r="AG28" s="468">
        <v>138.32817495509863395512099148</v>
      </c>
      <c r="AH28" s="471">
        <v>121.41784780822940781121648869</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275" t="s">
        <v>184</v>
      </c>
      <c r="D33" s="276"/>
      <c r="E33" s="276"/>
      <c r="F33" s="276"/>
      <c r="G33" s="276"/>
      <c r="H33" s="276"/>
      <c r="I33" s="276"/>
      <c r="J33" s="276"/>
      <c r="K33" s="276"/>
      <c r="L33" s="276"/>
      <c r="M33" s="276"/>
      <c r="N33" s="276"/>
      <c r="O33" s="276"/>
      <c r="P33" s="276"/>
      <c r="Q33" s="276"/>
      <c r="R33" s="276"/>
      <c r="S33" s="277"/>
      <c r="T33" s="277"/>
      <c r="U33" s="277"/>
      <c r="V33" s="277"/>
      <c r="W33" s="277"/>
      <c r="X33" s="312" t="s">
        <v>181</v>
      </c>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row>
    <row r="34" s="42" customFormat="1">
      <c r="C34" s="279">
        <v>11</v>
      </c>
      <c r="D34" s="280">
        <v>12</v>
      </c>
      <c r="E34" s="280">
        <v>13</v>
      </c>
      <c r="F34" s="280">
        <v>14</v>
      </c>
      <c r="G34" s="280">
        <v>15</v>
      </c>
      <c r="H34" s="280">
        <v>16</v>
      </c>
      <c r="I34" s="280">
        <v>17</v>
      </c>
      <c r="J34" s="280">
        <v>18</v>
      </c>
      <c r="K34" s="280">
        <v>19</v>
      </c>
      <c r="L34" s="280">
        <v>20</v>
      </c>
      <c r="M34" s="280">
        <v>21</v>
      </c>
      <c r="N34" s="280">
        <v>22</v>
      </c>
      <c r="O34" s="280">
        <v>23</v>
      </c>
      <c r="P34" s="280">
        <v>24</v>
      </c>
      <c r="Q34" s="280">
        <v>25</v>
      </c>
      <c r="R34" s="280">
        <v>26</v>
      </c>
      <c r="S34" s="280">
        <v>27</v>
      </c>
      <c r="T34" s="280">
        <v>28</v>
      </c>
      <c r="U34" s="280">
        <v>29</v>
      </c>
      <c r="V34" s="280">
        <v>30</v>
      </c>
      <c r="W34" s="280">
        <v>31</v>
      </c>
      <c r="X34" s="315">
        <v>1</v>
      </c>
      <c r="Y34" s="280">
        <v>2</v>
      </c>
      <c r="Z34" s="280">
        <v>3</v>
      </c>
      <c r="AA34" s="280">
        <v>4</v>
      </c>
      <c r="AB34" s="280">
        <v>5</v>
      </c>
      <c r="AC34" s="280">
        <v>6</v>
      </c>
      <c r="AD34" s="373">
        <v>7</v>
      </c>
      <c r="AE34" s="25"/>
      <c r="AF34" s="319" t="s">
        <v>60</v>
      </c>
      <c r="AG34" s="320">
        <v>28</v>
      </c>
      <c r="AH34" s="321"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row>
    <row r="35" ht="14.25" customHeight="1">
      <c r="B35" s="46" t="s">
        <v>32</v>
      </c>
      <c r="C35" s="444">
        <v>-26.040338472226319285251085760</v>
      </c>
      <c r="D35" s="445">
        <v>-22.835035592718687207004329950</v>
      </c>
      <c r="E35" s="445">
        <v>-11.810739224667492085332931920</v>
      </c>
      <c r="F35" s="445">
        <v>-15.379176241836255375465181360</v>
      </c>
      <c r="G35" s="445">
        <v>-10.166450712676912923125628810</v>
      </c>
      <c r="H35" s="445">
        <v>3.6004889121791039348136626400</v>
      </c>
      <c r="I35" s="445">
        <v>20.940213264651699027177949020</v>
      </c>
      <c r="J35" s="445">
        <v>11.217543518450105522419225930</v>
      </c>
      <c r="K35" s="445">
        <v>32.374677742815651557579720440</v>
      </c>
      <c r="L35" s="445">
        <v>70.923660299004047108146582280</v>
      </c>
      <c r="M35" s="445">
        <v>33.377529255745266551638595770</v>
      </c>
      <c r="N35" s="445">
        <v>25.829925107547600367548091770</v>
      </c>
      <c r="O35" s="445">
        <v>-12.825299220391414257267544780</v>
      </c>
      <c r="P35" s="445">
        <v>0.6741915802453620025306003500</v>
      </c>
      <c r="Q35" s="445">
        <v>3.1206415620533695284279581500</v>
      </c>
      <c r="R35" s="445">
        <v>-20.741106110109944248706836170</v>
      </c>
      <c r="S35" s="445">
        <v>-21.538461538485091643815839370</v>
      </c>
      <c r="T35" s="445">
        <v>-3.9088463364213094087890922800</v>
      </c>
      <c r="U35" s="445">
        <v>4.6455424274832645619726794700</v>
      </c>
      <c r="V35" s="445">
        <v>-24.284150690258154787216868990</v>
      </c>
      <c r="W35" s="445">
        <v>-25.969897495797462716200376780</v>
      </c>
      <c r="X35" s="446">
        <v>4.016778046358823647265540100</v>
      </c>
      <c r="Y35" s="445">
        <v>13.688905069693966414166382220</v>
      </c>
      <c r="Z35" s="445">
        <v>-11.192876591386800242375042520</v>
      </c>
      <c r="AA35" s="445">
        <v>-29.017379679123507785467121880</v>
      </c>
      <c r="AB35" s="445">
        <v>-21.134100407638493836113576410</v>
      </c>
      <c r="AC35" s="445">
        <v>-5.217697867094735535103097400</v>
      </c>
      <c r="AD35" s="447">
        <v>4.988631804210778508150778200</v>
      </c>
      <c r="AE35" s="448"/>
      <c r="AF35" s="444">
        <v>-6.7346282152981918114881103700</v>
      </c>
      <c r="AG35" s="445">
        <v>-1.8742203591370590066630605500</v>
      </c>
      <c r="AH35" s="449">
        <v>-12.925385168725669771320441460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-16.943308963757680099871438060</v>
      </c>
      <c r="D36" s="81">
        <v>-15.502039285595049591578413420</v>
      </c>
      <c r="E36" s="81">
        <v>-12.397012568185190820025722350</v>
      </c>
      <c r="F36" s="81">
        <v>-6.7560880404352019786134688200</v>
      </c>
      <c r="G36" s="81">
        <v>-17.894660432117127999857594130</v>
      </c>
      <c r="H36" s="81">
        <v>-6.9024955355962818087792871600</v>
      </c>
      <c r="I36" s="81">
        <v>4.893361054411667034694743900</v>
      </c>
      <c r="J36" s="81">
        <v>14.269924472045763443192921260</v>
      </c>
      <c r="K36" s="81">
        <v>8.823807125746458157770824170</v>
      </c>
      <c r="L36" s="81">
        <v>5.9546179755587919768783319500</v>
      </c>
      <c r="M36" s="81">
        <v>-8.572902406596977030885088400</v>
      </c>
      <c r="N36" s="81">
        <v>-10.338078853479917261788682200</v>
      </c>
      <c r="O36" s="81">
        <v>-12.475324519935091877050656110</v>
      </c>
      <c r="P36" s="81">
        <v>-9.650645675274430055923989570</v>
      </c>
      <c r="Q36" s="81">
        <v>-15.629278194788391150088868800</v>
      </c>
      <c r="R36" s="81">
        <v>-20.930145545692196973995004750</v>
      </c>
      <c r="S36" s="81">
        <v>-20.936071195317848185187376140</v>
      </c>
      <c r="T36" s="81">
        <v>-6.6616782469251807448978629600</v>
      </c>
      <c r="U36" s="81">
        <v>-6.5666826930614517824482971600</v>
      </c>
      <c r="V36" s="81">
        <v>2.4659763662571628170090457900</v>
      </c>
      <c r="W36" s="81">
        <v>-17.243257021044550379626227940</v>
      </c>
      <c r="X36" s="82">
        <v>-20.071307175064203919831883870</v>
      </c>
      <c r="Y36" s="81">
        <v>-15.415334714737980958523713390</v>
      </c>
      <c r="Z36" s="81">
        <v>-16.415116779349403714104590400</v>
      </c>
      <c r="AA36" s="81">
        <v>-23.200342552737090814624390430</v>
      </c>
      <c r="AB36" s="81">
        <v>-14.385792175817405972411936640</v>
      </c>
      <c r="AC36" s="81">
        <v>-0.921941578710925889818247300</v>
      </c>
      <c r="AD36" s="83">
        <v>5.4362171362387371706758376200</v>
      </c>
      <c r="AE36" s="88"/>
      <c r="AF36" s="327">
        <v>-10.340042038407984559633049140</v>
      </c>
      <c r="AG36" s="81">
        <v>-8.91810705810079791189252600</v>
      </c>
      <c r="AH36" s="328">
        <v>-14.897718851529852677471289230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183</v>
      </c>
      <c r="C37" s="450">
        <v>-10.644280090254273576497679370</v>
      </c>
      <c r="D37" s="451">
        <v>-3.4974803577480574960295121300</v>
      </c>
      <c r="E37" s="451">
        <v>-5.1571663656474051223065020500</v>
      </c>
      <c r="F37" s="451">
        <v>1.9226329089460669425930896600</v>
      </c>
      <c r="G37" s="451">
        <v>0.887669606700246792140869300</v>
      </c>
      <c r="H37" s="451">
        <v>3.1263285172797563496026946300</v>
      </c>
      <c r="I37" s="451">
        <v>5.2603273966897101148509983500</v>
      </c>
      <c r="J37" s="451">
        <v>9.871804779823069288178691250</v>
      </c>
      <c r="K37" s="451">
        <v>5.9917525573285483037857343900</v>
      </c>
      <c r="L37" s="451">
        <v>3.0099547371032174883433627900</v>
      </c>
      <c r="M37" s="451">
        <v>3.7689684739371464167117203700</v>
      </c>
      <c r="N37" s="451">
        <v>4.5169580216532537273580613200</v>
      </c>
      <c r="O37" s="451">
        <v>-2.6804564700183720065840230800</v>
      </c>
      <c r="P37" s="451">
        <v>-0.5177763198830426125470507100</v>
      </c>
      <c r="Q37" s="451">
        <v>-6.6591523358361077531677160200</v>
      </c>
      <c r="R37" s="451">
        <v>-4.1301337081708305831348195500</v>
      </c>
      <c r="S37" s="451">
        <v>-5.3806791713299037698359786800</v>
      </c>
      <c r="T37" s="451">
        <v>0.8480054342399302669494669700</v>
      </c>
      <c r="U37" s="451">
        <v>-5.2462886415767751139109014900</v>
      </c>
      <c r="V37" s="451">
        <v>-4.4211001572661557466514763600</v>
      </c>
      <c r="W37" s="451">
        <v>-4.277925030787503870692112700</v>
      </c>
      <c r="X37" s="452">
        <v>-11.985057749491963936024385810</v>
      </c>
      <c r="Y37" s="451">
        <v>-0.3820365016170113743690351100</v>
      </c>
      <c r="Z37" s="451">
        <v>-10.593155699783791848732768140</v>
      </c>
      <c r="AA37" s="451">
        <v>-21.882402410770903387842591350</v>
      </c>
      <c r="AB37" s="451">
        <v>-12.698501627110754631609085370</v>
      </c>
      <c r="AC37" s="451">
        <v>-6.2083505191638702117704203800</v>
      </c>
      <c r="AD37" s="453">
        <v>-3.3024775841863383417283340400</v>
      </c>
      <c r="AE37" s="448"/>
      <c r="AF37" s="450">
        <v>-9.573879208877624343590766600</v>
      </c>
      <c r="AG37" s="451">
        <v>-2.6263401117350119686717543200</v>
      </c>
      <c r="AH37" s="454">
        <v>-10.248430271414601953242976980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275" t="s">
        <v>184</v>
      </c>
      <c r="D40" s="276"/>
      <c r="E40" s="276"/>
      <c r="F40" s="276"/>
      <c r="G40" s="276"/>
      <c r="H40" s="276"/>
      <c r="I40" s="276"/>
      <c r="J40" s="276"/>
      <c r="K40" s="276"/>
      <c r="L40" s="276"/>
      <c r="M40" s="276"/>
      <c r="N40" s="276"/>
      <c r="O40" s="276"/>
      <c r="P40" s="276"/>
      <c r="Q40" s="276"/>
      <c r="R40" s="276"/>
      <c r="S40" s="277"/>
      <c r="T40" s="277"/>
      <c r="U40" s="277"/>
      <c r="V40" s="277"/>
      <c r="W40" s="277"/>
      <c r="X40" s="312" t="s">
        <v>181</v>
      </c>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row>
    <row r="41" s="42" customFormat="1">
      <c r="C41" s="279">
        <v>11</v>
      </c>
      <c r="D41" s="280">
        <v>12</v>
      </c>
      <c r="E41" s="280">
        <v>13</v>
      </c>
      <c r="F41" s="280">
        <v>14</v>
      </c>
      <c r="G41" s="280">
        <v>15</v>
      </c>
      <c r="H41" s="280">
        <v>16</v>
      </c>
      <c r="I41" s="280">
        <v>17</v>
      </c>
      <c r="J41" s="280">
        <v>18</v>
      </c>
      <c r="K41" s="280">
        <v>19</v>
      </c>
      <c r="L41" s="280">
        <v>20</v>
      </c>
      <c r="M41" s="280">
        <v>21</v>
      </c>
      <c r="N41" s="280">
        <v>22</v>
      </c>
      <c r="O41" s="280">
        <v>23</v>
      </c>
      <c r="P41" s="280">
        <v>24</v>
      </c>
      <c r="Q41" s="280">
        <v>25</v>
      </c>
      <c r="R41" s="280">
        <v>26</v>
      </c>
      <c r="S41" s="280">
        <v>27</v>
      </c>
      <c r="T41" s="280">
        <v>28</v>
      </c>
      <c r="U41" s="280">
        <v>29</v>
      </c>
      <c r="V41" s="280">
        <v>30</v>
      </c>
      <c r="W41" s="280">
        <v>31</v>
      </c>
      <c r="X41" s="315">
        <v>1</v>
      </c>
      <c r="Y41" s="280">
        <v>2</v>
      </c>
      <c r="Z41" s="280">
        <v>3</v>
      </c>
      <c r="AA41" s="280">
        <v>4</v>
      </c>
      <c r="AB41" s="280">
        <v>5</v>
      </c>
      <c r="AC41" s="280">
        <v>6</v>
      </c>
      <c r="AD41" s="373">
        <v>7</v>
      </c>
      <c r="AE41" s="25"/>
      <c r="AF41" s="319" t="s">
        <v>60</v>
      </c>
      <c r="AG41" s="320">
        <v>28</v>
      </c>
      <c r="AH41" s="321"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row>
    <row r="42" ht="14.25" customHeight="1">
      <c r="A42" s="1"/>
      <c r="B42" s="46" t="s">
        <v>26</v>
      </c>
      <c r="C42" s="444">
        <v>74.539817088264611732085476650</v>
      </c>
      <c r="D42" s="445">
        <v>86.49401361863636468802593346</v>
      </c>
      <c r="E42" s="445">
        <v>97.91692410754732823166192471</v>
      </c>
      <c r="F42" s="445">
        <v>89.96547202800143976096020327</v>
      </c>
      <c r="G42" s="445">
        <v>92.72783499112029399183704296</v>
      </c>
      <c r="H42" s="445">
        <v>97.54642416901819531582820546</v>
      </c>
      <c r="I42" s="445">
        <v>105.40832071990348955170306283</v>
      </c>
      <c r="J42" s="445">
        <v>87.35883026412264698196496221</v>
      </c>
      <c r="K42" s="445">
        <v>87.07847516831159368276528515</v>
      </c>
      <c r="L42" s="445">
        <v>104.16568434936513176371979517</v>
      </c>
      <c r="M42" s="445">
        <v>130.84593603232470006583124748</v>
      </c>
      <c r="N42" s="445">
        <v>108.67760836076535411132155834</v>
      </c>
      <c r="O42" s="445">
        <v>70.701962039159043245824789180</v>
      </c>
      <c r="P42" s="445">
        <v>75.458754319540844144053855170</v>
      </c>
      <c r="Q42" s="445">
        <v>86.25018385961304453025714763</v>
      </c>
      <c r="R42" s="445">
        <v>79.26207611531778156571710950</v>
      </c>
      <c r="S42" s="445">
        <v>70.340425032592980073942373860</v>
      </c>
      <c r="T42" s="445">
        <v>72.489062965264067660802530750</v>
      </c>
      <c r="U42" s="445">
        <v>67.432353513723963402764259290</v>
      </c>
      <c r="V42" s="445">
        <v>64.322920753836365467490396590</v>
      </c>
      <c r="W42" s="445">
        <v>83.26522162077749889898643667</v>
      </c>
      <c r="X42" s="446">
        <v>88.12552921920175253309339476</v>
      </c>
      <c r="Y42" s="445">
        <v>84.99122233506556969466071504</v>
      </c>
      <c r="Z42" s="445">
        <v>101.73682789375408658918778300</v>
      </c>
      <c r="AA42" s="445">
        <v>92.01894642870745423614376222</v>
      </c>
      <c r="AB42" s="445">
        <v>95.85072293537737127153907743</v>
      </c>
      <c r="AC42" s="445">
        <v>85.74092380111964074756424651</v>
      </c>
      <c r="AD42" s="447">
        <v>86.64670902573724650394568901</v>
      </c>
      <c r="AE42" s="448"/>
      <c r="AF42" s="444">
        <v>89.61848964198538493422750731</v>
      </c>
      <c r="AG42" s="445">
        <v>87.05708161465402110603162959</v>
      </c>
      <c r="AH42" s="449">
        <v>89.61848964198538493422750731</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183</v>
      </c>
      <c r="C43" s="329">
        <v>95.59805413260218719603650236</v>
      </c>
      <c r="D43" s="330">
        <v>78.595626784626585614752492210</v>
      </c>
      <c r="E43" s="330">
        <v>81.60500473923396898644890353</v>
      </c>
      <c r="F43" s="330">
        <v>71.189157009769327759898123880</v>
      </c>
      <c r="G43" s="330">
        <v>85.20956223471878262174109729</v>
      </c>
      <c r="H43" s="330">
        <v>112.79571020901639191192818157</v>
      </c>
      <c r="I43" s="330">
        <v>140.85618515528966697716280887</v>
      </c>
      <c r="J43" s="330">
        <v>126.73670668949926291203927210</v>
      </c>
      <c r="K43" s="330">
        <v>127.88310824697315828381723129</v>
      </c>
      <c r="L43" s="330">
        <v>130.44435807701281129051926946</v>
      </c>
      <c r="M43" s="330">
        <v>130.31634164949092155051473966</v>
      </c>
      <c r="N43" s="330">
        <v>126.96960062934430804358023457</v>
      </c>
      <c r="O43" s="330">
        <v>106.36037359849396002235899847</v>
      </c>
      <c r="P43" s="330">
        <v>119.69124856945701116803441369</v>
      </c>
      <c r="Q43" s="330">
        <v>121.79039775205524238284259959</v>
      </c>
      <c r="R43" s="330">
        <v>110.56990208116286366926232103</v>
      </c>
      <c r="S43" s="330">
        <v>84.27866408552129690299799223</v>
      </c>
      <c r="T43" s="330">
        <v>83.07899157133677100803426315</v>
      </c>
      <c r="U43" s="330">
        <v>98.08677122680678200658708567</v>
      </c>
      <c r="V43" s="330">
        <v>100.24745128092251722381691232</v>
      </c>
      <c r="W43" s="330">
        <v>103.43934356318298798021768014</v>
      </c>
      <c r="X43" s="331">
        <v>110.32762323270726519133113056</v>
      </c>
      <c r="Y43" s="330">
        <v>90.59052463830675315272956533</v>
      </c>
      <c r="Z43" s="330">
        <v>89.74539829288016778574458323</v>
      </c>
      <c r="AA43" s="330">
        <v>74.040546575509631174956884090</v>
      </c>
      <c r="AB43" s="330">
        <v>93.36272859304615504216400635</v>
      </c>
      <c r="AC43" s="330">
        <v>109.77261078970351555946333209</v>
      </c>
      <c r="AD43" s="338">
        <v>110.11705850911765360597382489</v>
      </c>
      <c r="AE43" s="88"/>
      <c r="AF43" s="329">
        <v>98.1833588422987816261915500</v>
      </c>
      <c r="AG43" s="330">
        <v>105.85573106370418683573970434</v>
      </c>
      <c r="AH43" s="332">
        <v>98.1833588422987816261915500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275" t="s">
        <v>184</v>
      </c>
      <c r="D46" s="276"/>
      <c r="E46" s="276"/>
      <c r="F46" s="276"/>
      <c r="G46" s="276"/>
      <c r="H46" s="276"/>
      <c r="I46" s="276"/>
      <c r="J46" s="276"/>
      <c r="K46" s="276"/>
      <c r="L46" s="276"/>
      <c r="M46" s="276"/>
      <c r="N46" s="276"/>
      <c r="O46" s="276"/>
      <c r="P46" s="276"/>
      <c r="Q46" s="276"/>
      <c r="R46" s="276"/>
      <c r="S46" s="277"/>
      <c r="T46" s="277"/>
      <c r="U46" s="277"/>
      <c r="V46" s="277"/>
      <c r="W46" s="277"/>
      <c r="X46" s="312" t="s">
        <v>181</v>
      </c>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row>
    <row r="47" s="42" customFormat="1">
      <c r="C47" s="279">
        <v>11</v>
      </c>
      <c r="D47" s="280">
        <v>12</v>
      </c>
      <c r="E47" s="280">
        <v>13</v>
      </c>
      <c r="F47" s="280">
        <v>14</v>
      </c>
      <c r="G47" s="280">
        <v>15</v>
      </c>
      <c r="H47" s="280">
        <v>16</v>
      </c>
      <c r="I47" s="280">
        <v>17</v>
      </c>
      <c r="J47" s="280">
        <v>18</v>
      </c>
      <c r="K47" s="280">
        <v>19</v>
      </c>
      <c r="L47" s="280">
        <v>20</v>
      </c>
      <c r="M47" s="280">
        <v>21</v>
      </c>
      <c r="N47" s="280">
        <v>22</v>
      </c>
      <c r="O47" s="280">
        <v>23</v>
      </c>
      <c r="P47" s="280">
        <v>24</v>
      </c>
      <c r="Q47" s="280">
        <v>25</v>
      </c>
      <c r="R47" s="280">
        <v>26</v>
      </c>
      <c r="S47" s="280">
        <v>27</v>
      </c>
      <c r="T47" s="280">
        <v>28</v>
      </c>
      <c r="U47" s="280">
        <v>29</v>
      </c>
      <c r="V47" s="280">
        <v>30</v>
      </c>
      <c r="W47" s="280">
        <v>31</v>
      </c>
      <c r="X47" s="315">
        <v>1</v>
      </c>
      <c r="Y47" s="280">
        <v>2</v>
      </c>
      <c r="Z47" s="280">
        <v>3</v>
      </c>
      <c r="AA47" s="280">
        <v>4</v>
      </c>
      <c r="AB47" s="280">
        <v>5</v>
      </c>
      <c r="AC47" s="280">
        <v>6</v>
      </c>
      <c r="AD47" s="373">
        <v>7</v>
      </c>
      <c r="AE47" s="25"/>
      <c r="AF47" s="319" t="s">
        <v>60</v>
      </c>
      <c r="AG47" s="320">
        <v>28</v>
      </c>
      <c r="AH47" s="321"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row>
    <row r="48" ht="14.25" customHeight="1">
      <c r="A48" s="1"/>
      <c r="B48" s="46" t="s">
        <v>26</v>
      </c>
      <c r="C48" s="444">
        <v>-10.952795488226637400431650470</v>
      </c>
      <c r="D48" s="445">
        <v>-8.678311577045359397795105910</v>
      </c>
      <c r="E48" s="445">
        <v>0.6692389844676247717185084300</v>
      </c>
      <c r="F48" s="445">
        <v>-9.247883341852773055157378750</v>
      </c>
      <c r="G48" s="445">
        <v>9.412554360228533635457998220</v>
      </c>
      <c r="H48" s="445">
        <v>11.281703530282249515315061380</v>
      </c>
      <c r="I48" s="445">
        <v>15.298253434714359757578121470</v>
      </c>
      <c r="J48" s="445">
        <v>-2.6712023900282101846995840600</v>
      </c>
      <c r="K48" s="445">
        <v>21.641285339185498792872703870</v>
      </c>
      <c r="L48" s="445">
        <v>61.317801493542561473855479900</v>
      </c>
      <c r="M48" s="445">
        <v>45.884024284460058156645998410</v>
      </c>
      <c r="N48" s="445">
        <v>40.338198756526344950322382840</v>
      </c>
      <c r="O48" s="445">
        <v>-0.3998583239121042929371248400</v>
      </c>
      <c r="P48" s="445">
        <v>11.427682392020447820930932890</v>
      </c>
      <c r="Q48" s="445">
        <v>22.223253938986922174137635030</v>
      </c>
      <c r="R48" s="445">
        <v>0.2390790230166211591883840400</v>
      </c>
      <c r="S48" s="445">
        <v>-0.7619028705200099614302375200</v>
      </c>
      <c r="T48" s="445">
        <v>2.949305128653757350130019800</v>
      </c>
      <c r="U48" s="445">
        <v>12.000243000739527912213916560</v>
      </c>
      <c r="V48" s="445">
        <v>-26.106350620140641066086129680</v>
      </c>
      <c r="W48" s="445">
        <v>-10.544929827626894593647537240</v>
      </c>
      <c r="X48" s="446">
        <v>30.136968803211904923806104490</v>
      </c>
      <c r="Y48" s="445">
        <v>34.408411603087486067252119480</v>
      </c>
      <c r="Z48" s="445">
        <v>6.2478285388032664370647088100</v>
      </c>
      <c r="AA48" s="445">
        <v>-7.5743008754883120217810238900</v>
      </c>
      <c r="AB48" s="445">
        <v>-7.8822293674549499215183728700</v>
      </c>
      <c r="AC48" s="445">
        <v>-4.3357291784488088882212661300</v>
      </c>
      <c r="AD48" s="447">
        <v>-0.4245081474183630337362056500</v>
      </c>
      <c r="AE48" s="448"/>
      <c r="AF48" s="444">
        <v>4.0212084693057832170973327600</v>
      </c>
      <c r="AG48" s="445">
        <v>7.7335752162132016806917964900</v>
      </c>
      <c r="AH48" s="449">
        <v>2.3176037777492332652208481900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183</v>
      </c>
      <c r="C49" s="329">
        <v>-17.230075923049122593216721800</v>
      </c>
      <c r="D49" s="330">
        <v>-20.038394133784989276912117220</v>
      </c>
      <c r="E49" s="330">
        <v>-7.0153670066735976805433268700</v>
      </c>
      <c r="F49" s="330">
        <v>-16.975433872700496944516701860</v>
      </c>
      <c r="G49" s="330">
        <v>-10.956859606753683851610193550</v>
      </c>
      <c r="H49" s="330">
        <v>0.4597859748662869047306426700</v>
      </c>
      <c r="I49" s="330">
        <v>14.896292131919270367978396510</v>
      </c>
      <c r="J49" s="330">
        <v>1.2248262793450835531577898500</v>
      </c>
      <c r="K49" s="330">
        <v>24.891488770565476458346041510</v>
      </c>
      <c r="L49" s="330">
        <v>65.929264540841941877227548830</v>
      </c>
      <c r="M49" s="330">
        <v>28.533155159342764728674391140</v>
      </c>
      <c r="N49" s="330">
        <v>20.391874667315780020014924560</v>
      </c>
      <c r="O49" s="330">
        <v>-10.424260515783622581031881480</v>
      </c>
      <c r="P49" s="330">
        <v>1.1981717497258770653153819100</v>
      </c>
      <c r="Q49" s="330">
        <v>10.477507053657285913062201820</v>
      </c>
      <c r="R49" s="330">
        <v>-17.326583466155812450901384800</v>
      </c>
      <c r="S49" s="330">
        <v>-17.076620531236930483764633270</v>
      </c>
      <c r="T49" s="330">
        <v>-4.7168526042904796525767483400</v>
      </c>
      <c r="U49" s="330">
        <v>10.439518333713793270169402590</v>
      </c>
      <c r="V49" s="330">
        <v>-20.781836331713463271123565590</v>
      </c>
      <c r="W49" s="330">
        <v>-22.661410622361147374448112360</v>
      </c>
      <c r="X49" s="331">
        <v>18.180817241638468388323051340</v>
      </c>
      <c r="Y49" s="330">
        <v>14.124903859885716021266589510</v>
      </c>
      <c r="Z49" s="330">
        <v>-0.6707773842577411707639169100</v>
      </c>
      <c r="AA49" s="330">
        <v>-9.133636323365368564295313260</v>
      </c>
      <c r="AB49" s="330">
        <v>-9.662604809504977844547800390</v>
      </c>
      <c r="AC49" s="330">
        <v>1.0562269216822582688487790900</v>
      </c>
      <c r="AD49" s="338">
        <v>8.574272826498380369631871180</v>
      </c>
      <c r="AE49" s="88"/>
      <c r="AF49" s="329">
        <v>3.1398571217278650002990868400</v>
      </c>
      <c r="AG49" s="330">
        <v>0.7724057547173971127339643800</v>
      </c>
      <c r="AH49" s="332">
        <v>-2.9826273851173426335082009200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275" t="s">
        <v>184</v>
      </c>
      <c r="D52" s="276"/>
      <c r="E52" s="276"/>
      <c r="F52" s="276"/>
      <c r="G52" s="276"/>
      <c r="H52" s="276"/>
      <c r="I52" s="276"/>
      <c r="J52" s="276"/>
      <c r="K52" s="276"/>
      <c r="L52" s="276"/>
      <c r="M52" s="276"/>
      <c r="N52" s="276"/>
      <c r="O52" s="276"/>
      <c r="P52" s="276"/>
      <c r="Q52" s="276"/>
      <c r="R52" s="276"/>
      <c r="S52" s="277"/>
      <c r="T52" s="277"/>
      <c r="U52" s="277"/>
      <c r="V52" s="277"/>
      <c r="W52" s="277"/>
      <c r="X52" s="312" t="s">
        <v>181</v>
      </c>
      <c r="Y52" s="277"/>
      <c r="Z52" s="277"/>
      <c r="AA52" s="277"/>
      <c r="AB52" s="277"/>
      <c r="AC52" s="277"/>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279">
        <v>11</v>
      </c>
      <c r="D53" s="280">
        <v>12</v>
      </c>
      <c r="E53" s="280">
        <v>13</v>
      </c>
      <c r="F53" s="280">
        <v>14</v>
      </c>
      <c r="G53" s="280">
        <v>15</v>
      </c>
      <c r="H53" s="280">
        <v>16</v>
      </c>
      <c r="I53" s="280">
        <v>17</v>
      </c>
      <c r="J53" s="280">
        <v>18</v>
      </c>
      <c r="K53" s="280">
        <v>19</v>
      </c>
      <c r="L53" s="280">
        <v>20</v>
      </c>
      <c r="M53" s="280">
        <v>21</v>
      </c>
      <c r="N53" s="280">
        <v>22</v>
      </c>
      <c r="O53" s="280">
        <v>23</v>
      </c>
      <c r="P53" s="280">
        <v>24</v>
      </c>
      <c r="Q53" s="280">
        <v>25</v>
      </c>
      <c r="R53" s="280">
        <v>26</v>
      </c>
      <c r="S53" s="280">
        <v>27</v>
      </c>
      <c r="T53" s="280">
        <v>28</v>
      </c>
      <c r="U53" s="280">
        <v>29</v>
      </c>
      <c r="V53" s="280">
        <v>30</v>
      </c>
      <c r="W53" s="280">
        <v>31</v>
      </c>
      <c r="X53" s="315">
        <v>1</v>
      </c>
      <c r="Y53" s="280">
        <v>2</v>
      </c>
      <c r="Z53" s="280">
        <v>3</v>
      </c>
      <c r="AA53" s="280">
        <v>4</v>
      </c>
      <c r="AB53" s="280">
        <v>5</v>
      </c>
      <c r="AC53" s="280">
        <v>6</v>
      </c>
      <c r="AD53" s="373">
        <v>7</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170</v>
      </c>
      <c r="D54" s="445" t="s">
        <v>170</v>
      </c>
      <c r="E54" s="445" t="s">
        <v>170</v>
      </c>
      <c r="F54" s="445" t="s">
        <v>170</v>
      </c>
      <c r="G54" s="445" t="s">
        <v>171</v>
      </c>
      <c r="H54" s="445" t="s">
        <v>171</v>
      </c>
      <c r="I54" s="445" t="s">
        <v>171</v>
      </c>
      <c r="J54" s="445" t="s">
        <v>171</v>
      </c>
      <c r="K54" s="445" t="s">
        <v>171</v>
      </c>
      <c r="L54" s="445" t="s">
        <v>171</v>
      </c>
      <c r="M54" s="445" t="s">
        <v>171</v>
      </c>
      <c r="N54" s="445" t="s">
        <v>171</v>
      </c>
      <c r="O54" s="445" t="s">
        <v>170</v>
      </c>
      <c r="P54" s="445" t="s">
        <v>171</v>
      </c>
      <c r="Q54" s="445" t="s">
        <v>171</v>
      </c>
      <c r="R54" s="445" t="s">
        <v>171</v>
      </c>
      <c r="S54" s="445" t="s">
        <v>170</v>
      </c>
      <c r="T54" s="445" t="s">
        <v>171</v>
      </c>
      <c r="U54" s="445" t="s">
        <v>170</v>
      </c>
      <c r="V54" s="445" t="s">
        <v>170</v>
      </c>
      <c r="W54" s="445" t="s">
        <v>170</v>
      </c>
      <c r="X54" s="446" t="s">
        <v>171</v>
      </c>
      <c r="Y54" s="445" t="s">
        <v>173</v>
      </c>
      <c r="Z54" s="445" t="s">
        <v>173</v>
      </c>
      <c r="AA54" s="445" t="s">
        <v>173</v>
      </c>
      <c r="AB54" s="445" t="s">
        <v>173</v>
      </c>
      <c r="AC54" s="445" t="s">
        <v>173</v>
      </c>
      <c r="AD54" s="447" t="s">
        <v>173</v>
      </c>
      <c r="AE54" s="448"/>
      <c r="AF54" s="444" t="s">
        <v>173</v>
      </c>
      <c r="AG54" s="445" t="s">
        <v>171</v>
      </c>
      <c r="AH54" s="449" t="s">
        <v>173</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170</v>
      </c>
      <c r="D55" s="330" t="s">
        <v>178</v>
      </c>
      <c r="E55" s="330" t="s">
        <v>171</v>
      </c>
      <c r="F55" s="330" t="s">
        <v>170</v>
      </c>
      <c r="G55" s="330" t="s">
        <v>171</v>
      </c>
      <c r="H55" s="330" t="s">
        <v>172</v>
      </c>
      <c r="I55" s="330" t="s">
        <v>172</v>
      </c>
      <c r="J55" s="330" t="s">
        <v>171</v>
      </c>
      <c r="K55" s="330" t="s">
        <v>172</v>
      </c>
      <c r="L55" s="330" t="s">
        <v>172</v>
      </c>
      <c r="M55" s="330" t="s">
        <v>172</v>
      </c>
      <c r="N55" s="330" t="s">
        <v>172</v>
      </c>
      <c r="O55" s="330" t="s">
        <v>170</v>
      </c>
      <c r="P55" s="330" t="s">
        <v>172</v>
      </c>
      <c r="Q55" s="330" t="s">
        <v>172</v>
      </c>
      <c r="R55" s="330" t="s">
        <v>170</v>
      </c>
      <c r="S55" s="330" t="s">
        <v>170</v>
      </c>
      <c r="T55" s="330" t="s">
        <v>171</v>
      </c>
      <c r="U55" s="330" t="s">
        <v>171</v>
      </c>
      <c r="V55" s="330" t="s">
        <v>178</v>
      </c>
      <c r="W55" s="330" t="s">
        <v>170</v>
      </c>
      <c r="X55" s="89" t="s">
        <v>172</v>
      </c>
      <c r="Y55" s="90" t="s">
        <v>175</v>
      </c>
      <c r="Z55" s="90" t="s">
        <v>173</v>
      </c>
      <c r="AA55" s="90" t="s">
        <v>173</v>
      </c>
      <c r="AB55" s="90" t="s">
        <v>173</v>
      </c>
      <c r="AC55" s="90" t="s">
        <v>173</v>
      </c>
      <c r="AD55" s="91" t="s">
        <v>173</v>
      </c>
      <c r="AE55" s="88"/>
      <c r="AF55" s="329" t="s">
        <v>173</v>
      </c>
      <c r="AG55" s="330" t="s">
        <v>172</v>
      </c>
      <c r="AH55" s="332" t="s">
        <v>173</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53"/>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58"/>
      <c r="B65" s="658"/>
      <c r="C65" s="658"/>
      <c r="D65" s="658"/>
      <c r="E65" s="658"/>
      <c r="F65" s="658"/>
      <c r="G65" s="658"/>
      <c r="H65" s="658"/>
      <c r="I65" s="658"/>
      <c r="J65" s="658"/>
      <c r="K65" s="658"/>
      <c r="L65" s="658"/>
      <c r="M65" s="658"/>
      <c r="N65" s="658"/>
      <c r="O65" s="658"/>
      <c r="P65" s="658"/>
      <c r="Q65" s="658"/>
      <c r="R65" s="658"/>
      <c r="S65" s="658"/>
      <c r="T65" s="658"/>
      <c r="U65" s="658"/>
      <c r="V65" s="658"/>
      <c r="W65" s="658"/>
      <c r="X65" s="658"/>
      <c r="Y65" s="658"/>
      <c r="Z65" s="658"/>
      <c r="AA65" s="658"/>
      <c r="AB65" s="658"/>
      <c r="AC65" s="658"/>
      <c r="AD65" s="658"/>
      <c r="AE65" s="658"/>
      <c r="AF65" s="658"/>
      <c r="AG65" s="658"/>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58"/>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58"/>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58"/>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row>
    <row r="69" s="25" customFormat="1" ht="10.5" customHeight="1">
      <c r="A69" s="658"/>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row>
    <row r="70" s="25" customFormat="1">
      <c r="A70" s="658"/>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row>
    <row r="71" s="25" customFormat="1">
      <c r="A71" s="658"/>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row>
    <row r="72" s="25" customFormat="1">
      <c r="A72" s="658"/>
      <c r="B72" s="658" t="n">
        <v>45738</v>
      </c>
      <c r="C72" s="658">
        <v>45745</v>
      </c>
      <c r="D72" s="658">
        <v>45752</v>
      </c>
      <c r="E72" s="658">
        <v>45759</v>
      </c>
      <c r="F72" s="658">
        <v>45766</v>
      </c>
      <c r="G72" s="658">
        <v>45773</v>
      </c>
      <c r="H72" s="658">
        <v>45780</v>
      </c>
      <c r="I72" s="658">
        <v>45787</v>
      </c>
      <c r="J72" s="658">
        <v>45794</v>
      </c>
      <c r="K72" s="658">
        <v>45801</v>
      </c>
      <c r="L72" s="658">
        <v>45808</v>
      </c>
      <c r="M72" s="658">
        <v>45815</v>
      </c>
      <c r="N72" s="658"/>
      <c r="O72" s="658"/>
      <c r="P72" s="658"/>
      <c r="Q72" s="658"/>
      <c r="R72" s="658"/>
      <c r="S72" s="658"/>
      <c r="T72" s="658"/>
      <c r="U72" s="658"/>
      <c r="V72" s="658"/>
      <c r="W72" s="658"/>
      <c r="X72" s="658"/>
      <c r="Y72" s="658"/>
      <c r="Z72" s="658"/>
      <c r="AA72" s="658"/>
      <c r="AB72" s="658"/>
      <c r="AC72" s="658"/>
      <c r="AD72" s="658"/>
      <c r="AE72" s="658"/>
      <c r="AF72" s="658"/>
      <c r="AG72" s="65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row>
    <row r="73" s="25" customFormat="1" ht="14.25">
      <c r="A73" s="658" t="s">
        <v>32</v>
      </c>
      <c r="B73" s="658">
        <v>265.47943722943722943722943723</v>
      </c>
      <c r="C73" s="658">
        <v>296.08658008658008658008658009</v>
      </c>
      <c r="D73" s="658">
        <v>252.03571428571428571428571429</v>
      </c>
      <c r="E73" s="658">
        <v>279.31818181818181818181818182</v>
      </c>
      <c r="F73" s="658">
        <v>251.6991341991341991341991342</v>
      </c>
      <c r="G73" s="658">
        <v>207.94372294372294372294372294</v>
      </c>
      <c r="H73" s="658">
        <v>302.96103896103896103896103896</v>
      </c>
      <c r="I73" s="658">
        <v>181.91774891774891774891774892</v>
      </c>
      <c r="J73" s="658">
        <v>149.96103896103896103896103896</v>
      </c>
      <c r="K73" s="658">
        <v>187.78571428571428571428571429</v>
      </c>
      <c r="L73" s="658">
        <v>128.754329004329004329004329</v>
      </c>
      <c r="M73" s="658">
        <v>119.21212121212121212121212121</v>
      </c>
      <c r="N73" s="658"/>
      <c r="O73" s="658"/>
      <c r="P73" s="658"/>
      <c r="Q73" s="658"/>
      <c r="R73" s="658"/>
      <c r="S73" s="658"/>
      <c r="T73" s="658"/>
      <c r="U73" s="658"/>
      <c r="V73" s="658"/>
      <c r="W73" s="658"/>
      <c r="X73" s="658"/>
      <c r="Y73" s="658"/>
      <c r="Z73" s="658"/>
      <c r="AA73" s="658"/>
      <c r="AB73" s="658"/>
      <c r="AC73" s="658"/>
      <c r="AD73" s="658"/>
      <c r="AE73" s="658"/>
      <c r="AF73" s="658"/>
      <c r="AG73" s="65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row>
    <row r="74" s="25" customFormat="1" ht="14.25">
      <c r="A74" s="658" t="s">
        <v>26</v>
      </c>
      <c r="B74" s="658">
        <v>354.58803986710963455149501661</v>
      </c>
      <c r="C74" s="658">
        <v>336.18895348837209302325581395</v>
      </c>
      <c r="D74" s="658">
        <v>299.52533222591362126245847176</v>
      </c>
      <c r="E74" s="658">
        <v>289.09634551495016611295681063</v>
      </c>
      <c r="F74" s="658">
        <v>337.73421926910299003322259136</v>
      </c>
      <c r="G74" s="658">
        <v>285.61960132890365448504983389</v>
      </c>
      <c r="H74" s="658">
        <v>362.99086378737541528239202658</v>
      </c>
      <c r="I74" s="658">
        <v>206.04651162790697674418604651</v>
      </c>
      <c r="J74" s="658">
        <v>159.15905315614617940199335548</v>
      </c>
      <c r="K74" s="658">
        <v>208.39119601328903654485049834</v>
      </c>
      <c r="L74" s="658">
        <v>172.22009966777408637873754153</v>
      </c>
      <c r="M74" s="658">
        <v>133.02179236493361611356977357</v>
      </c>
      <c r="N74" s="658"/>
      <c r="O74" s="658"/>
      <c r="P74" s="658"/>
      <c r="Q74" s="658"/>
      <c r="R74" s="658"/>
      <c r="S74" s="658"/>
      <c r="T74" s="658"/>
      <c r="U74" s="658"/>
      <c r="V74" s="658"/>
      <c r="W74" s="658"/>
      <c r="X74" s="658"/>
      <c r="Y74" s="658"/>
      <c r="Z74" s="658"/>
      <c r="AA74" s="658"/>
      <c r="AB74" s="658"/>
      <c r="AC74" s="658"/>
      <c r="AD74" s="658"/>
      <c r="AE74" s="658"/>
      <c r="AF74" s="658"/>
      <c r="AG74" s="65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row>
    <row r="75" s="25" customFormat="1" ht="14.25">
      <c r="A75" s="658" t="s">
        <v>183</v>
      </c>
      <c r="B75" s="658">
        <v>254.78639115752517814373484477</v>
      </c>
      <c r="C75" s="658">
        <v>256.73475550795138424004403386</v>
      </c>
      <c r="D75" s="658">
        <v>221.94389601107785768526376915</v>
      </c>
      <c r="E75" s="658">
        <v>231.00373862400762619717890284</v>
      </c>
      <c r="F75" s="658">
        <v>207.32838822110013852272219491</v>
      </c>
      <c r="G75" s="658">
        <v>174.46452775667664626063124656</v>
      </c>
      <c r="H75" s="658">
        <v>258.9583687087597003142827353</v>
      </c>
      <c r="I75" s="658">
        <v>168.17802404039501318200098306</v>
      </c>
      <c r="J75" s="658">
        <v>152.37934372998495613447130494</v>
      </c>
      <c r="K75" s="658">
        <v>152.38857857813128379284150319</v>
      </c>
      <c r="L75" s="658">
        <v>127.08108792469130285833445045</v>
      </c>
      <c r="M75" s="658">
        <v>121.41784780822940781121648869</v>
      </c>
      <c r="N75" s="658"/>
      <c r="O75" s="658"/>
      <c r="P75" s="658"/>
      <c r="Q75" s="658"/>
      <c r="R75" s="658"/>
      <c r="S75" s="658"/>
      <c r="T75" s="658"/>
      <c r="U75" s="658"/>
      <c r="V75" s="658"/>
      <c r="W75" s="658"/>
      <c r="X75" s="658"/>
      <c r="Y75" s="658"/>
      <c r="Z75" s="658"/>
      <c r="AA75" s="658"/>
      <c r="AB75" s="658"/>
      <c r="AC75" s="658"/>
      <c r="AD75" s="658"/>
      <c r="AE75" s="658"/>
      <c r="AF75" s="658"/>
      <c r="AG75" s="65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row>
    <row r="76" s="25" customFormat="1">
      <c r="A76" s="658"/>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row>
    <row r="77" s="25" customFormat="1">
      <c r="A77" s="658"/>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row>
    <row r="78">
      <c r="A78" s="658"/>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58"/>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58"/>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58"/>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58"/>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58"/>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58"/>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58"/>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58"/>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58"/>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58"/>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58"/>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58"/>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58"/>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58"/>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58"/>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58"/>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84"/>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107" display="For all STR definitions, please click here or visit www.str.com/data-insights/resources/glossary"/>
    <hyperlink ref="A14:I14" r:id="rId108" display="For the latest in industry news, visit HotelNewsNow.com."/>
    <hyperlink ref="A15:I15" r:id="rId109" display="To learn more about the Hotel Data Conference, visit HotelDataConference.com."/>
    <hyperlink ref="A9:F9" r:id="rId110" display="For all STR FAQs, please click here or visit www.str.com/data-insights/resources/FAQ"/>
    <hyperlink ref="A12:E12" r:id="rId111"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V112"/>
  <sheetViews>
    <sheetView showGridLines="0" zoomScale="75" workbookViewId="0"/>
  </sheetViews>
  <sheetFormatPr defaultRowHeight="12.75"/>
  <cols>
    <col min="1" max="1" width="2.7109375" customWidth="1"/>
    <col min="2" max="2" width="15.7109375" customWidth="1"/>
    <col min="3" max="3" width="1.42578125" customWidth="1"/>
    <col min="4" max="4" width="11" customWidth="1"/>
    <col min="6" max="6" width="8.7109375" customWidth="1"/>
    <col min="7" max="7" width="2.42578125" customWidth="1"/>
    <col min="9" max="9" width="8.7109375" customWidth="1"/>
    <col min="10" max="10" width="2.42578125" customWidth="1"/>
    <col min="12" max="12" width="8.7109375" customWidth="1"/>
    <col min="13" max="13" width="2.42578125" customWidth="1"/>
    <col min="15" max="15" width="8.7109375" customWidth="1"/>
    <col min="16" max="16" width="2.42578125" customWidth="1"/>
    <col min="18" max="18" width="8.7109375" customWidth="1"/>
    <col min="19" max="19" width="2.42578125" customWidth="1"/>
    <col min="21" max="21" width="8.7109375" customWidth="1"/>
    <col min="22" max="22" width="2.42578125" customWidth="1"/>
    <col min="24" max="24" width="8.7109375" customWidth="1"/>
    <col min="25" max="25" width="2.42578125" customWidth="1"/>
    <col min="27" max="27" width="8.7109375" customWidth="1"/>
    <col min="28" max="28" width="1.7109375" customWidth="1"/>
  </cols>
  <sheetData>
    <row r="1" ht="30" customHeight="1">
      <c r="B1" s="20" t="s">
        <v>115</v>
      </c>
      <c r="C1" s="20"/>
      <c r="AA1" s="176" t="s">
        <v>169</v>
      </c>
      <c r="AC1" s="244"/>
      <c r="AD1" s="244"/>
      <c r="AE1" s="244"/>
      <c r="AF1" s="244"/>
      <c r="AG1" s="244"/>
      <c r="AH1" s="244"/>
      <c r="AI1" s="244"/>
      <c r="AJ1" s="244"/>
      <c r="AK1" s="244"/>
      <c r="AL1" s="244"/>
      <c r="AM1" s="244"/>
      <c r="AN1" s="244"/>
      <c r="AO1" s="244"/>
      <c r="AP1" s="244"/>
      <c r="AQ1" s="244"/>
      <c r="AR1" s="244"/>
      <c r="AS1" s="244"/>
      <c r="AT1" s="244"/>
      <c r="AU1" s="244"/>
      <c r="AV1" s="244"/>
    </row>
    <row r="2" ht="15">
      <c r="B2" s="612" t="s">
        <v>167</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C2" s="244"/>
      <c r="AD2" s="244"/>
      <c r="AE2" s="244"/>
      <c r="AF2" s="244"/>
      <c r="AG2" s="244"/>
      <c r="AH2" s="244"/>
      <c r="AI2" s="244"/>
      <c r="AJ2" s="244"/>
      <c r="AK2" s="244"/>
      <c r="AL2" s="244"/>
      <c r="AM2" s="244"/>
      <c r="AN2" s="244"/>
      <c r="AO2" s="244"/>
      <c r="AP2" s="244"/>
      <c r="AQ2" s="244"/>
      <c r="AR2" s="244"/>
      <c r="AS2" s="244"/>
      <c r="AT2" s="244"/>
      <c r="AU2" s="244"/>
      <c r="AV2" s="244"/>
    </row>
    <row r="3" ht="19.5" customHeight="1">
      <c r="B3" s="220" t="s">
        <v>28</v>
      </c>
      <c r="C3" s="57"/>
      <c r="E3" s="648" t="s">
        <v>40</v>
      </c>
      <c r="F3" s="648"/>
      <c r="H3" s="648" t="s">
        <v>39</v>
      </c>
      <c r="I3" s="648"/>
      <c r="K3" s="648" t="s">
        <v>41</v>
      </c>
      <c r="L3" s="648"/>
      <c r="N3" s="648" t="s">
        <v>42</v>
      </c>
      <c r="O3" s="648"/>
      <c r="Q3" s="648" t="s">
        <v>43</v>
      </c>
      <c r="R3" s="648"/>
      <c r="T3" s="648" t="s">
        <v>44</v>
      </c>
      <c r="U3" s="648"/>
      <c r="W3" s="648" t="s">
        <v>45</v>
      </c>
      <c r="X3" s="648"/>
      <c r="Z3" s="649" t="s">
        <v>23</v>
      </c>
      <c r="AA3" s="649"/>
      <c r="AC3" s="244"/>
      <c r="AD3" s="244"/>
      <c r="AE3" s="244"/>
      <c r="AF3" s="244"/>
      <c r="AG3" s="244"/>
      <c r="AH3" s="244"/>
      <c r="AI3" s="244"/>
      <c r="AJ3" s="244"/>
      <c r="AK3" s="244"/>
      <c r="AL3" s="244"/>
      <c r="AM3" s="244"/>
      <c r="AN3" s="244"/>
      <c r="AO3" s="244"/>
      <c r="AP3" s="244"/>
      <c r="AQ3" s="244"/>
      <c r="AR3" s="244"/>
      <c r="AS3" s="244"/>
      <c r="AT3" s="244"/>
      <c r="AU3" s="244"/>
      <c r="AV3" s="244"/>
    </row>
    <row r="4">
      <c r="E4" s="176"/>
      <c r="F4" s="176" t="s">
        <v>57</v>
      </c>
      <c r="G4" s="176"/>
      <c r="H4" s="176"/>
      <c r="I4" s="176" t="s">
        <v>57</v>
      </c>
      <c r="J4" s="176"/>
      <c r="K4" s="176"/>
      <c r="L4" s="176" t="s">
        <v>57</v>
      </c>
      <c r="M4" s="176"/>
      <c r="N4" s="176"/>
      <c r="O4" s="176" t="s">
        <v>57</v>
      </c>
      <c r="P4" s="176"/>
      <c r="Q4" s="176"/>
      <c r="R4" s="176" t="s">
        <v>57</v>
      </c>
      <c r="S4" s="176"/>
      <c r="T4" s="176"/>
      <c r="U4" s="176" t="s">
        <v>57</v>
      </c>
      <c r="V4" s="176"/>
      <c r="W4" s="176"/>
      <c r="X4" s="176" t="s">
        <v>57</v>
      </c>
      <c r="Y4" s="176"/>
      <c r="Z4" s="226"/>
      <c r="AA4" s="176" t="s">
        <v>57</v>
      </c>
      <c r="AC4" s="244"/>
      <c r="AD4" s="244"/>
      <c r="AE4" s="244"/>
      <c r="AF4" s="244"/>
      <c r="AG4" s="244"/>
      <c r="AH4" s="244"/>
      <c r="AI4" s="244"/>
      <c r="AJ4" s="244"/>
      <c r="AK4" s="244"/>
      <c r="AL4" s="244"/>
      <c r="AM4" s="244"/>
      <c r="AN4" s="244"/>
      <c r="AO4" s="244"/>
      <c r="AP4" s="244"/>
      <c r="AQ4" s="244"/>
      <c r="AR4" s="244"/>
      <c r="AS4" s="244"/>
      <c r="AT4" s="244"/>
      <c r="AU4" s="244"/>
      <c r="AV4" s="244"/>
    </row>
    <row r="5">
      <c r="B5" s="216" t="s">
        <v>23</v>
      </c>
      <c r="C5" s="216"/>
      <c r="D5" s="217" t="s">
        <v>32</v>
      </c>
      <c r="E5" s="221">
        <v>0.6818181818181818181818181818</v>
      </c>
      <c r="F5" s="219">
        <v>-5.2631578947408310249307477600</v>
      </c>
      <c r="G5" s="217"/>
      <c r="H5" s="221">
        <v>0.6666666666666666666666666667</v>
      </c>
      <c r="I5" s="219">
        <v>8.641975308706355738454542040</v>
      </c>
      <c r="J5" s="217"/>
      <c r="K5" s="221">
        <v>0.6363636363636363636363636364</v>
      </c>
      <c r="L5" s="219">
        <v>-13.402061855612966308853187930</v>
      </c>
      <c r="M5" s="217"/>
      <c r="N5" s="221">
        <v>0.5757575757575757575757575758</v>
      </c>
      <c r="O5" s="219">
        <v>-28.301886792425774296902802170</v>
      </c>
      <c r="P5" s="217"/>
      <c r="Q5" s="221">
        <v>0.8257575757575757575757575758</v>
      </c>
      <c r="R5" s="219">
        <v>-12.800000000027903999999991070</v>
      </c>
      <c r="S5" s="217"/>
      <c r="T5" s="221">
        <v>0.8712121212121212121212121212</v>
      </c>
      <c r="U5" s="219">
        <v>5.5045871559090985607272393600</v>
      </c>
      <c r="V5" s="217"/>
      <c r="W5" s="221">
        <v>0.9015151515151515151515151515</v>
      </c>
      <c r="X5" s="219">
        <v>0.8474576271630853203102752600</v>
      </c>
      <c r="Y5" s="217"/>
      <c r="Z5" s="222">
        <v>0.737012987012987012987012987</v>
      </c>
      <c r="AA5" s="219">
        <v>-6.8399452804917918785240375900</v>
      </c>
      <c r="AC5" s="244"/>
      <c r="AD5" s="244"/>
      <c r="AE5" s="244"/>
      <c r="AF5" s="244"/>
      <c r="AG5" s="244"/>
      <c r="AH5" s="244"/>
      <c r="AI5" s="244"/>
      <c r="AJ5" s="244"/>
      <c r="AK5" s="244"/>
      <c r="AL5" s="244"/>
      <c r="AM5" s="244"/>
      <c r="AN5" s="244"/>
      <c r="AO5" s="244"/>
      <c r="AP5" s="244"/>
      <c r="AQ5" s="244"/>
      <c r="AR5" s="244"/>
      <c r="AS5" s="244"/>
      <c r="AT5" s="244"/>
      <c r="AU5" s="244"/>
      <c r="AV5" s="244"/>
    </row>
    <row r="6">
      <c r="D6" s="217" t="s">
        <v>26</v>
      </c>
      <c r="E6" s="221">
        <v>0.6395348837209302325581395349</v>
      </c>
      <c r="F6" s="219">
        <v>-15.057915057894068365110830960</v>
      </c>
      <c r="G6" s="217"/>
      <c r="H6" s="221">
        <v>0.5239852398523985239852398524</v>
      </c>
      <c r="I6" s="219">
        <v>-22.639089051794881826583538470</v>
      </c>
      <c r="J6" s="217"/>
      <c r="K6" s="221">
        <v>0.4243542435424354243542435424</v>
      </c>
      <c r="L6" s="219">
        <v>-27.733732782923899726204361880</v>
      </c>
      <c r="M6" s="217"/>
      <c r="N6" s="221">
        <v>0.4059040590405904059040590406</v>
      </c>
      <c r="O6" s="219">
        <v>-38.758334951731891390936045600</v>
      </c>
      <c r="P6" s="217"/>
      <c r="Q6" s="221">
        <v>0.5608856088560885608856088561</v>
      </c>
      <c r="R6" s="219">
        <v>-22.512188977276605906427752330</v>
      </c>
      <c r="S6" s="217"/>
      <c r="T6" s="221">
        <v>0.7749077490774907749077490775</v>
      </c>
      <c r="U6" s="219">
        <v>-5.4722462117701875977564360400</v>
      </c>
      <c r="V6" s="217"/>
      <c r="W6" s="221">
        <v>0.8081180811808118081180811808</v>
      </c>
      <c r="X6" s="219">
        <v>-0.3610681268217284822865558600</v>
      </c>
      <c r="Y6" s="217"/>
      <c r="Z6" s="222">
        <v>0.5910985521815351043875887264</v>
      </c>
      <c r="AA6" s="219">
        <v>-17.819554638960607637320872710</v>
      </c>
      <c r="AC6" s="244"/>
      <c r="AD6" s="244"/>
      <c r="AE6" s="244"/>
      <c r="AF6" s="244"/>
      <c r="AG6" s="244"/>
      <c r="AH6" s="244"/>
      <c r="AI6" s="244"/>
      <c r="AJ6" s="244"/>
      <c r="AK6" s="244"/>
      <c r="AL6" s="244"/>
      <c r="AM6" s="244"/>
      <c r="AN6" s="244"/>
      <c r="AO6" s="244"/>
      <c r="AP6" s="244"/>
      <c r="AQ6" s="244"/>
      <c r="AR6" s="244"/>
      <c r="AS6" s="244"/>
      <c r="AT6" s="244"/>
      <c r="AU6" s="244"/>
      <c r="AV6" s="244"/>
    </row>
    <row r="7">
      <c r="D7" t="s">
        <v>91</v>
      </c>
      <c r="E7" s="223">
        <v>106.61157024792225394440270600</v>
      </c>
      <c r="F7" s="218">
        <v>11.531100478451585953234951280</v>
      </c>
      <c r="H7" s="223">
        <v>127.23004694845357402631760319</v>
      </c>
      <c r="I7" s="218">
        <v>40.435232699743659312670441930</v>
      </c>
      <c r="K7" s="223">
        <v>149.96047430845426774359871435</v>
      </c>
      <c r="L7" s="218">
        <v>19.831757581054397662499422880</v>
      </c>
      <c r="N7" s="223">
        <v>141.84573002740507412972716674</v>
      </c>
      <c r="O7" s="218">
        <v>17.074075551324285323304447370</v>
      </c>
      <c r="Q7" s="223">
        <v>147.22388357259102897045245058</v>
      </c>
      <c r="R7" s="218">
        <v>12.533828029318486515075869970</v>
      </c>
      <c r="T7" s="223">
        <v>112.42784992792113215488219998</v>
      </c>
      <c r="U7" s="218">
        <v>11.612286262885788186852722390</v>
      </c>
      <c r="W7" s="223">
        <v>111.55735436554756454581469260</v>
      </c>
      <c r="X7" s="218">
        <v>1.2129051679052118394681659900</v>
      </c>
      <c r="Z7" s="224">
        <v>124.68529728119851187441780358</v>
      </c>
      <c r="AA7" s="218">
        <v>13.360367311471962511566601740</v>
      </c>
      <c r="AC7" s="244"/>
      <c r="AD7" s="244"/>
      <c r="AE7" s="244"/>
      <c r="AF7" s="244"/>
      <c r="AG7" s="244"/>
      <c r="AH7" s="244"/>
      <c r="AI7" s="244"/>
      <c r="AJ7" s="244"/>
      <c r="AK7" s="244"/>
      <c r="AL7" s="244"/>
      <c r="AM7" s="244"/>
      <c r="AN7" s="244"/>
      <c r="AO7" s="244"/>
      <c r="AP7" s="244"/>
      <c r="AQ7" s="244"/>
      <c r="AR7" s="244"/>
      <c r="AS7" s="244"/>
      <c r="AT7" s="244"/>
      <c r="AU7" s="244"/>
      <c r="AV7" s="244"/>
    </row>
    <row r="8">
      <c r="D8" s="214" t="s">
        <v>55</v>
      </c>
      <c r="E8" s="227" t="s">
        <v>170</v>
      </c>
      <c r="F8" s="228" t="s">
        <v>171</v>
      </c>
      <c r="G8" s="229"/>
      <c r="H8" s="227" t="s">
        <v>173</v>
      </c>
      <c r="I8" s="228" t="s">
        <v>173</v>
      </c>
      <c r="J8" s="229"/>
      <c r="K8" s="227" t="s">
        <v>175</v>
      </c>
      <c r="L8" s="228" t="s">
        <v>173</v>
      </c>
      <c r="M8" s="229"/>
      <c r="N8" s="227" t="s">
        <v>173</v>
      </c>
      <c r="O8" s="228" t="s">
        <v>173</v>
      </c>
      <c r="P8" s="229"/>
      <c r="Q8" s="227" t="s">
        <v>175</v>
      </c>
      <c r="R8" s="228" t="s">
        <v>173</v>
      </c>
      <c r="S8" s="229"/>
      <c r="T8" s="227" t="s">
        <v>173</v>
      </c>
      <c r="U8" s="228" t="s">
        <v>173</v>
      </c>
      <c r="V8" s="229"/>
      <c r="W8" s="227" t="s">
        <v>173</v>
      </c>
      <c r="X8" s="228" t="s">
        <v>174</v>
      </c>
      <c r="Y8" s="229"/>
      <c r="Z8" s="230" t="s">
        <v>173</v>
      </c>
      <c r="AA8" s="228" t="s">
        <v>173</v>
      </c>
      <c r="AC8" s="244"/>
      <c r="AD8" s="244"/>
      <c r="AE8" s="244"/>
      <c r="AF8" s="244"/>
      <c r="AG8" s="244"/>
      <c r="AH8" s="244"/>
      <c r="AI8" s="244"/>
      <c r="AJ8" s="244"/>
      <c r="AK8" s="244"/>
      <c r="AL8" s="244"/>
      <c r="AM8" s="244"/>
      <c r="AN8" s="244"/>
      <c r="AO8" s="244"/>
      <c r="AP8" s="244"/>
      <c r="AQ8" s="244"/>
      <c r="AR8" s="244"/>
      <c r="AS8" s="244"/>
      <c r="AT8" s="244"/>
      <c r="AU8" s="244"/>
      <c r="AV8" s="244"/>
    </row>
    <row r="9" ht="8.1" customHeight="1">
      <c r="F9" s="218"/>
      <c r="I9" s="218"/>
      <c r="L9" s="218"/>
      <c r="O9" s="218"/>
      <c r="R9" s="218"/>
      <c r="U9" s="218"/>
      <c r="X9" s="218"/>
      <c r="Z9" s="215"/>
      <c r="AA9" s="218"/>
      <c r="AC9" s="244"/>
      <c r="AD9" s="244"/>
      <c r="AE9" s="244"/>
      <c r="AF9" s="244"/>
      <c r="AG9" s="244"/>
      <c r="AH9" s="244"/>
      <c r="AI9" s="244"/>
      <c r="AJ9" s="244"/>
      <c r="AK9" s="244"/>
      <c r="AL9" s="244"/>
      <c r="AM9" s="244"/>
      <c r="AN9" s="244"/>
      <c r="AO9" s="244"/>
      <c r="AP9" s="244"/>
      <c r="AQ9" s="244"/>
      <c r="AR9" s="244"/>
      <c r="AS9" s="244"/>
      <c r="AT9" s="244"/>
      <c r="AU9" s="244"/>
      <c r="AV9" s="244"/>
    </row>
    <row r="10" ht="12.75" customHeight="1">
      <c r="B10" s="216" t="s">
        <v>21</v>
      </c>
      <c r="C10" s="216"/>
      <c r="D10" s="217" t="s">
        <v>32</v>
      </c>
      <c r="E10" s="221">
        <v>0.6818181818181818181818181818</v>
      </c>
      <c r="F10" s="219">
        <v>-5.2631578947408310249307477600</v>
      </c>
      <c r="G10" s="217"/>
      <c r="H10" s="221">
        <v>0.6666666666666666666666666667</v>
      </c>
      <c r="I10" s="219">
        <v>12.820512820530177514792902080</v>
      </c>
      <c r="J10" s="217"/>
      <c r="K10" s="221">
        <v>0.6363636363636363636363636364</v>
      </c>
      <c r="L10" s="219">
        <v>13.513513513525785244704164960</v>
      </c>
      <c r="M10" s="217"/>
      <c r="N10" s="221">
        <v>0.5757575757575757575757575758</v>
      </c>
      <c r="O10" s="219">
        <v>-8.433734939776687472782693640</v>
      </c>
      <c r="P10" s="217"/>
      <c r="Q10" s="221">
        <v>0.8257575757575757575757575758</v>
      </c>
      <c r="R10" s="219">
        <v>6.8627450980769319492503016700</v>
      </c>
      <c r="S10" s="217"/>
      <c r="T10" s="221">
        <v>0.8712121212121212121212121212</v>
      </c>
      <c r="U10" s="219">
        <v>9.523809523746938775510239840</v>
      </c>
      <c r="V10" s="217"/>
      <c r="W10" s="221">
        <v>0.9015151515151515151515151515</v>
      </c>
      <c r="X10" s="219">
        <v>6.249999999981026785714289100</v>
      </c>
      <c r="Y10" s="217"/>
      <c r="Z10" s="222">
        <v>0.737012987012987012987012987</v>
      </c>
      <c r="AA10" s="219">
        <v>4.930662557774087905774203300</v>
      </c>
      <c r="AC10" s="244"/>
      <c r="AD10" s="244"/>
      <c r="AE10" s="244"/>
      <c r="AF10" s="244"/>
      <c r="AG10" s="244"/>
      <c r="AH10" s="244"/>
      <c r="AI10" s="244"/>
      <c r="AJ10" s="244"/>
      <c r="AK10" s="244"/>
      <c r="AL10" s="244"/>
      <c r="AM10" s="244"/>
      <c r="AN10" s="244"/>
      <c r="AO10" s="244"/>
      <c r="AP10" s="244"/>
      <c r="AQ10" s="244"/>
      <c r="AR10" s="244"/>
      <c r="AS10" s="244"/>
      <c r="AT10" s="244"/>
      <c r="AU10" s="244"/>
      <c r="AV10" s="244"/>
    </row>
    <row r="11">
      <c r="D11" s="217" t="s">
        <v>26</v>
      </c>
      <c r="E11" s="221">
        <v>0.6395348837209302325581395349</v>
      </c>
      <c r="F11" s="219">
        <v>-13.385826771623535247070483740</v>
      </c>
      <c r="G11" s="217"/>
      <c r="H11" s="221">
        <v>0.5239852398523985239852398524</v>
      </c>
      <c r="I11" s="219">
        <v>-21.630033691665797445573691910</v>
      </c>
      <c r="J11" s="217"/>
      <c r="K11" s="221">
        <v>0.3985239852398523985239852399</v>
      </c>
      <c r="L11" s="219">
        <v>-31.109421646977519427879816920</v>
      </c>
      <c r="M11" s="217"/>
      <c r="N11" s="221">
        <v>0.339483394833948339483394834</v>
      </c>
      <c r="O11" s="219">
        <v>-48.326421317306859931470330180</v>
      </c>
      <c r="P11" s="217"/>
      <c r="Q11" s="221">
        <v>0.5018450184501845018450184502</v>
      </c>
      <c r="R11" s="219">
        <v>-30.668800663879068442593252080</v>
      </c>
      <c r="S11" s="217"/>
      <c r="T11" s="221">
        <v>0.6974169741697416974169741698</v>
      </c>
      <c r="U11" s="219">
        <v>-14.925021590593168837980792430</v>
      </c>
      <c r="V11" s="217"/>
      <c r="W11" s="221">
        <v>0.7638376383763837638376383764</v>
      </c>
      <c r="X11" s="219">
        <v>-5.8207356267219077435311281400</v>
      </c>
      <c r="Y11" s="217"/>
      <c r="Z11" s="222">
        <v>0.5520895906633484939500557797</v>
      </c>
      <c r="AA11" s="219">
        <v>-22.662493640677045062017905240</v>
      </c>
      <c r="AC11" s="244"/>
      <c r="AD11" s="244"/>
      <c r="AE11" s="244"/>
      <c r="AF11" s="244"/>
      <c r="AG11" s="244"/>
      <c r="AH11" s="244"/>
      <c r="AI11" s="244"/>
      <c r="AJ11" s="244"/>
      <c r="AK11" s="244"/>
      <c r="AL11" s="244"/>
      <c r="AM11" s="244"/>
      <c r="AN11" s="244"/>
      <c r="AO11" s="244"/>
      <c r="AP11" s="244"/>
      <c r="AQ11" s="244"/>
      <c r="AR11" s="244"/>
      <c r="AS11" s="244"/>
      <c r="AT11" s="244"/>
      <c r="AU11" s="244"/>
      <c r="AV11" s="244"/>
    </row>
    <row r="12">
      <c r="D12" t="s">
        <v>22</v>
      </c>
      <c r="E12" s="223">
        <v>106.61157024793388429752066115</v>
      </c>
      <c r="F12" s="218">
        <v>9.377990430517112826980902190</v>
      </c>
      <c r="H12" s="223">
        <v>127.23004694835680751173708921</v>
      </c>
      <c r="I12" s="218">
        <v>43.958863497158571297234960230</v>
      </c>
      <c r="K12" s="223">
        <v>159.68013468013468013468013467</v>
      </c>
      <c r="L12" s="218">
        <v>64.773639918966048375158421940</v>
      </c>
      <c r="N12" s="223">
        <v>169.59815546772068511198945980</v>
      </c>
      <c r="O12" s="218">
        <v>77.201322986595091545715401690</v>
      </c>
      <c r="Q12" s="223">
        <v>164.54434046345811051693404635</v>
      </c>
      <c r="R12" s="218">
        <v>54.133703327373376023587253230</v>
      </c>
      <c r="T12" s="223">
        <v>124.91983325316658649991983324</v>
      </c>
      <c r="U12" s="218">
        <v>28.737980980400648170074864050</v>
      </c>
      <c r="W12" s="223">
        <v>118.02444737227345922998096911</v>
      </c>
      <c r="X12" s="218">
        <v>12.816765672506720169442485590</v>
      </c>
      <c r="Z12" s="224">
        <v>133.49517894866460965784817497</v>
      </c>
      <c r="AA12" s="218">
        <v>35.678880141771006831755286520</v>
      </c>
      <c r="AC12" s="244"/>
      <c r="AD12" s="244"/>
      <c r="AE12" s="244"/>
      <c r="AF12" s="244"/>
      <c r="AG12" s="244"/>
      <c r="AH12" s="244"/>
      <c r="AI12" s="244"/>
      <c r="AJ12" s="244"/>
      <c r="AK12" s="244"/>
      <c r="AL12" s="244"/>
      <c r="AM12" s="244"/>
      <c r="AN12" s="244"/>
      <c r="AO12" s="244"/>
      <c r="AP12" s="244"/>
      <c r="AQ12" s="244"/>
      <c r="AR12" s="244"/>
      <c r="AS12" s="244"/>
      <c r="AT12" s="244"/>
      <c r="AU12" s="244"/>
      <c r="AV12" s="244"/>
    </row>
    <row r="13">
      <c r="D13" t="s">
        <v>55</v>
      </c>
      <c r="E13" s="231" t="s">
        <v>170</v>
      </c>
      <c r="F13" s="232" t="s">
        <v>171</v>
      </c>
      <c r="G13" s="176"/>
      <c r="H13" s="231" t="s">
        <v>173</v>
      </c>
      <c r="I13" s="232" t="s">
        <v>173</v>
      </c>
      <c r="J13" s="176"/>
      <c r="K13" s="231" t="s">
        <v>175</v>
      </c>
      <c r="L13" s="232" t="s">
        <v>175</v>
      </c>
      <c r="M13" s="176"/>
      <c r="N13" s="231" t="s">
        <v>175</v>
      </c>
      <c r="O13" s="232" t="s">
        <v>175</v>
      </c>
      <c r="P13" s="176"/>
      <c r="Q13" s="231" t="s">
        <v>175</v>
      </c>
      <c r="R13" s="232" t="s">
        <v>175</v>
      </c>
      <c r="S13" s="176"/>
      <c r="T13" s="231" t="s">
        <v>175</v>
      </c>
      <c r="U13" s="232" t="s">
        <v>175</v>
      </c>
      <c r="V13" s="176"/>
      <c r="W13" s="231" t="s">
        <v>175</v>
      </c>
      <c r="X13" s="232" t="s">
        <v>174</v>
      </c>
      <c r="Y13" s="176"/>
      <c r="Z13" s="233" t="s">
        <v>175</v>
      </c>
      <c r="AA13" s="232" t="s">
        <v>175</v>
      </c>
      <c r="AC13" s="244"/>
      <c r="AD13" s="244"/>
      <c r="AE13" s="244"/>
      <c r="AF13" s="244"/>
      <c r="AG13" s="244"/>
      <c r="AH13" s="244"/>
      <c r="AI13" s="244"/>
      <c r="AJ13" s="244"/>
      <c r="AK13" s="244"/>
      <c r="AL13" s="244"/>
      <c r="AM13" s="244"/>
      <c r="AN13" s="244"/>
      <c r="AO13" s="244"/>
      <c r="AP13" s="244"/>
      <c r="AQ13" s="244"/>
      <c r="AR13" s="244"/>
      <c r="AS13" s="244"/>
      <c r="AT13" s="244"/>
      <c r="AU13" s="244"/>
      <c r="AV13" s="244"/>
    </row>
    <row r="14" ht="8.1" customHeight="1">
      <c r="F14" s="218"/>
      <c r="I14" s="218"/>
      <c r="L14" s="218"/>
      <c r="O14" s="218"/>
      <c r="R14" s="218"/>
      <c r="U14" s="218"/>
      <c r="X14" s="218"/>
      <c r="Z14" s="215"/>
      <c r="AA14" s="218"/>
      <c r="AC14" s="244"/>
      <c r="AD14" s="244"/>
      <c r="AE14" s="244"/>
      <c r="AF14" s="244"/>
      <c r="AG14" s="244"/>
      <c r="AH14" s="244"/>
      <c r="AI14" s="244"/>
      <c r="AJ14" s="244"/>
      <c r="AK14" s="244"/>
      <c r="AL14" s="244"/>
      <c r="AM14" s="244"/>
      <c r="AN14" s="244"/>
      <c r="AO14" s="244"/>
      <c r="AP14" s="244"/>
      <c r="AQ14" s="244"/>
      <c r="AR14" s="244"/>
      <c r="AS14" s="244"/>
      <c r="AT14" s="244"/>
      <c r="AU14" s="244"/>
      <c r="AV14" s="244"/>
    </row>
    <row r="15" ht="12.75" customHeight="1">
      <c r="B15" s="216" t="s">
        <v>24</v>
      </c>
      <c r="C15" s="216"/>
      <c r="D15" s="217" t="s">
        <v>32</v>
      </c>
      <c r="E15" s="221">
        <v>0</v>
      </c>
      <c r="F15" s="219">
        <v>0</v>
      </c>
      <c r="G15" s="217"/>
      <c r="H15" s="221">
        <v>0</v>
      </c>
      <c r="I15" s="219">
        <v>-100</v>
      </c>
      <c r="J15" s="217"/>
      <c r="K15" s="221">
        <v>0</v>
      </c>
      <c r="L15" s="219">
        <v>-100</v>
      </c>
      <c r="M15" s="217"/>
      <c r="N15" s="221">
        <v>0</v>
      </c>
      <c r="O15" s="219">
        <v>-100</v>
      </c>
      <c r="P15" s="217"/>
      <c r="Q15" s="221">
        <v>0</v>
      </c>
      <c r="R15" s="219">
        <v>-100</v>
      </c>
      <c r="S15" s="217"/>
      <c r="T15" s="221">
        <v>0</v>
      </c>
      <c r="U15" s="219">
        <v>-100</v>
      </c>
      <c r="V15" s="217"/>
      <c r="W15" s="221">
        <v>0</v>
      </c>
      <c r="X15" s="219">
        <v>-100</v>
      </c>
      <c r="Y15" s="217"/>
      <c r="Z15" s="222">
        <v>0</v>
      </c>
      <c r="AA15" s="219">
        <v>-100</v>
      </c>
      <c r="AC15" s="244"/>
      <c r="AD15" s="244"/>
      <c r="AE15" s="244"/>
      <c r="AF15" s="244"/>
      <c r="AG15" s="244"/>
      <c r="AH15" s="244"/>
      <c r="AI15" s="244"/>
      <c r="AJ15" s="244"/>
      <c r="AK15" s="244"/>
      <c r="AL15" s="244"/>
      <c r="AM15" s="244"/>
      <c r="AN15" s="244"/>
      <c r="AO15" s="244"/>
      <c r="AP15" s="244"/>
      <c r="AQ15" s="244"/>
      <c r="AR15" s="244"/>
      <c r="AS15" s="244"/>
      <c r="AT15" s="244"/>
      <c r="AU15" s="244"/>
      <c r="AV15" s="244"/>
    </row>
    <row r="16">
      <c r="D16" s="217" t="s">
        <v>26</v>
      </c>
      <c r="E16" s="221">
        <v>0</v>
      </c>
      <c r="F16" s="219">
        <v>-100</v>
      </c>
      <c r="G16" s="217"/>
      <c r="H16" s="221">
        <v>0</v>
      </c>
      <c r="I16" s="219">
        <v>-100</v>
      </c>
      <c r="J16" s="217"/>
      <c r="K16" s="221">
        <v>0.0258302583025830258302583026</v>
      </c>
      <c r="L16" s="219">
        <v>196.18696185461189011966153405</v>
      </c>
      <c r="M16" s="217"/>
      <c r="N16" s="221">
        <v>0.0664206642066420664206642066</v>
      </c>
      <c r="O16" s="219">
        <v>1042.4354244273594095987753557</v>
      </c>
      <c r="P16" s="217"/>
      <c r="Q16" s="221">
        <v>0.0590405904059040590405904059</v>
      </c>
      <c r="R16" s="219">
        <v>0</v>
      </c>
      <c r="S16" s="217"/>
      <c r="T16" s="221">
        <v>0.0774907749077490774907749078</v>
      </c>
      <c r="U16" s="219">
        <v>0</v>
      </c>
      <c r="V16" s="217"/>
      <c r="W16" s="221">
        <v>0.0442804428044280442804428044</v>
      </c>
      <c r="X16" s="219">
        <v>0</v>
      </c>
      <c r="Y16" s="217"/>
      <c r="Z16" s="222">
        <v>0.0390089615181866104375329468</v>
      </c>
      <c r="AA16" s="219">
        <v>622.56599493696236162657586725</v>
      </c>
      <c r="AC16" s="244"/>
      <c r="AD16" s="244"/>
      <c r="AE16" s="244"/>
      <c r="AF16" s="244"/>
      <c r="AG16" s="244"/>
      <c r="AH16" s="244"/>
      <c r="AI16" s="244"/>
      <c r="AJ16" s="244"/>
      <c r="AK16" s="244"/>
      <c r="AL16" s="244"/>
      <c r="AM16" s="244"/>
      <c r="AN16" s="244"/>
      <c r="AO16" s="244"/>
      <c r="AP16" s="244"/>
      <c r="AQ16" s="244"/>
      <c r="AR16" s="244"/>
      <c r="AS16" s="244"/>
      <c r="AT16" s="244"/>
      <c r="AU16" s="244"/>
      <c r="AV16" s="244"/>
    </row>
    <row r="17">
      <c r="D17" t="s">
        <v>22</v>
      </c>
      <c r="E17" s="223"/>
      <c r="F17" s="218">
        <v>0</v>
      </c>
      <c r="H17" s="223"/>
      <c r="I17" s="218">
        <v>-100</v>
      </c>
      <c r="K17" s="223">
        <v>0</v>
      </c>
      <c r="L17" s="218">
        <v>-100</v>
      </c>
      <c r="N17" s="223">
        <v>0</v>
      </c>
      <c r="O17" s="218">
        <v>-100</v>
      </c>
      <c r="Q17" s="223">
        <v>0</v>
      </c>
      <c r="R17" s="218">
        <v>0</v>
      </c>
      <c r="T17" s="223">
        <v>0</v>
      </c>
      <c r="U17" s="218">
        <v>0</v>
      </c>
      <c r="W17" s="223">
        <v>0</v>
      </c>
      <c r="X17" s="218">
        <v>0</v>
      </c>
      <c r="Z17" s="224">
        <v>0</v>
      </c>
      <c r="AA17" s="218">
        <v>-100</v>
      </c>
      <c r="AC17" s="244"/>
      <c r="AD17" s="244"/>
      <c r="AE17" s="244"/>
      <c r="AF17" s="244"/>
      <c r="AG17" s="244"/>
      <c r="AH17" s="244"/>
      <c r="AI17" s="244"/>
      <c r="AJ17" s="244"/>
      <c r="AK17" s="244"/>
      <c r="AL17" s="244"/>
      <c r="AM17" s="244"/>
      <c r="AN17" s="244"/>
      <c r="AO17" s="244"/>
      <c r="AP17" s="244"/>
      <c r="AQ17" s="244"/>
      <c r="AR17" s="244"/>
      <c r="AS17" s="244"/>
      <c r="AT17" s="244"/>
      <c r="AU17" s="244"/>
      <c r="AV17" s="244"/>
    </row>
    <row r="18">
      <c r="D18" t="s">
        <v>55</v>
      </c>
      <c r="E18" s="231" t="s">
        <v>176</v>
      </c>
      <c r="F18" s="232"/>
      <c r="G18" s="176"/>
      <c r="H18" s="231" t="s">
        <v>176</v>
      </c>
      <c r="I18" s="232"/>
      <c r="J18" s="176"/>
      <c r="K18" s="231" t="s">
        <v>176</v>
      </c>
      <c r="L18" s="232"/>
      <c r="M18" s="176"/>
      <c r="N18" s="231" t="s">
        <v>176</v>
      </c>
      <c r="O18" s="232"/>
      <c r="P18" s="176"/>
      <c r="Q18" s="231" t="s">
        <v>176</v>
      </c>
      <c r="R18" s="232"/>
      <c r="S18" s="176"/>
      <c r="T18" s="231" t="s">
        <v>176</v>
      </c>
      <c r="U18" s="232"/>
      <c r="V18" s="176"/>
      <c r="W18" s="231" t="s">
        <v>176</v>
      </c>
      <c r="X18" s="232"/>
      <c r="Y18" s="176"/>
      <c r="Z18" s="233" t="s">
        <v>176</v>
      </c>
      <c r="AA18" s="232"/>
      <c r="AC18" s="244"/>
      <c r="AD18" s="244"/>
      <c r="AE18" s="244"/>
      <c r="AF18" s="244"/>
      <c r="AG18" s="244"/>
      <c r="AH18" s="244"/>
      <c r="AI18" s="244"/>
      <c r="AJ18" s="244"/>
      <c r="AK18" s="244"/>
      <c r="AL18" s="244"/>
      <c r="AM18" s="244"/>
      <c r="AN18" s="244"/>
      <c r="AO18" s="244"/>
      <c r="AP18" s="244"/>
      <c r="AQ18" s="244"/>
      <c r="AR18" s="244"/>
      <c r="AS18" s="244"/>
      <c r="AT18" s="244"/>
      <c r="AU18" s="244"/>
      <c r="AV18" s="244"/>
    </row>
    <row r="19" ht="8.1" customHeight="1">
      <c r="F19" s="218"/>
      <c r="I19" s="218"/>
      <c r="L19" s="218"/>
      <c r="O19" s="218"/>
      <c r="R19" s="218"/>
      <c r="U19" s="218"/>
      <c r="X19" s="218"/>
      <c r="Z19" s="215"/>
      <c r="AA19" s="218"/>
      <c r="AC19" s="244"/>
      <c r="AD19" s="244"/>
      <c r="AE19" s="244"/>
      <c r="AF19" s="244"/>
      <c r="AG19" s="244"/>
      <c r="AH19" s="244"/>
      <c r="AI19" s="244"/>
      <c r="AJ19" s="244"/>
      <c r="AK19" s="244"/>
      <c r="AL19" s="244"/>
      <c r="AM19" s="244"/>
      <c r="AN19" s="244"/>
      <c r="AO19" s="244"/>
      <c r="AP19" s="244"/>
      <c r="AQ19" s="244"/>
      <c r="AR19" s="244"/>
      <c r="AS19" s="244"/>
      <c r="AT19" s="244"/>
      <c r="AU19" s="244"/>
      <c r="AV19" s="244"/>
    </row>
    <row r="20" ht="12.75" customHeight="1">
      <c r="B20" s="216" t="s">
        <v>25</v>
      </c>
      <c r="C20" s="216"/>
      <c r="D20" s="217" t="s">
        <v>32</v>
      </c>
      <c r="E20" s="221">
        <v>0</v>
      </c>
      <c r="F20" s="219">
        <v>0</v>
      </c>
      <c r="G20" s="217"/>
      <c r="H20" s="221">
        <v>0</v>
      </c>
      <c r="I20" s="219">
        <v>0</v>
      </c>
      <c r="J20" s="217"/>
      <c r="K20" s="221">
        <v>0</v>
      </c>
      <c r="L20" s="219">
        <v>0</v>
      </c>
      <c r="M20" s="217"/>
      <c r="N20" s="221">
        <v>0</v>
      </c>
      <c r="O20" s="219">
        <v>0</v>
      </c>
      <c r="P20" s="217"/>
      <c r="Q20" s="221">
        <v>0</v>
      </c>
      <c r="R20" s="219">
        <v>0</v>
      </c>
      <c r="S20" s="217"/>
      <c r="T20" s="221">
        <v>0</v>
      </c>
      <c r="U20" s="219">
        <v>0</v>
      </c>
      <c r="V20" s="217"/>
      <c r="W20" s="221">
        <v>0</v>
      </c>
      <c r="X20" s="219">
        <v>0</v>
      </c>
      <c r="Y20" s="217"/>
      <c r="Z20" s="222">
        <v>0</v>
      </c>
      <c r="AA20" s="219">
        <v>0</v>
      </c>
      <c r="AC20" s="244"/>
      <c r="AD20" s="244"/>
      <c r="AE20" s="244"/>
      <c r="AF20" s="244"/>
      <c r="AG20" s="244"/>
      <c r="AH20" s="244"/>
      <c r="AI20" s="244"/>
      <c r="AJ20" s="244"/>
      <c r="AK20" s="244"/>
      <c r="AL20" s="244"/>
      <c r="AM20" s="244"/>
      <c r="AN20" s="244"/>
      <c r="AO20" s="244"/>
      <c r="AP20" s="244"/>
      <c r="AQ20" s="244"/>
      <c r="AR20" s="244"/>
      <c r="AS20" s="244"/>
      <c r="AT20" s="244"/>
      <c r="AU20" s="244"/>
      <c r="AV20" s="244"/>
    </row>
    <row r="21">
      <c r="D21" s="217" t="s">
        <v>26</v>
      </c>
      <c r="E21" s="221">
        <v>0</v>
      </c>
      <c r="F21" s="219">
        <v>0</v>
      </c>
      <c r="G21" s="217"/>
      <c r="H21" s="221">
        <v>0</v>
      </c>
      <c r="I21" s="219">
        <v>0</v>
      </c>
      <c r="J21" s="217"/>
      <c r="K21" s="221">
        <v>0</v>
      </c>
      <c r="L21" s="219">
        <v>0</v>
      </c>
      <c r="M21" s="217"/>
      <c r="N21" s="221">
        <v>0</v>
      </c>
      <c r="O21" s="219">
        <v>0</v>
      </c>
      <c r="P21" s="217"/>
      <c r="Q21" s="221">
        <v>0</v>
      </c>
      <c r="R21" s="219">
        <v>0</v>
      </c>
      <c r="S21" s="217"/>
      <c r="T21" s="221">
        <v>0</v>
      </c>
      <c r="U21" s="219">
        <v>0</v>
      </c>
      <c r="V21" s="217"/>
      <c r="W21" s="221">
        <v>0</v>
      </c>
      <c r="X21" s="219">
        <v>0</v>
      </c>
      <c r="Y21" s="217"/>
      <c r="Z21" s="222">
        <v>0</v>
      </c>
      <c r="AA21" s="219">
        <v>0</v>
      </c>
      <c r="AC21" s="244"/>
      <c r="AD21" s="244"/>
      <c r="AE21" s="244"/>
      <c r="AF21" s="244"/>
      <c r="AG21" s="244"/>
      <c r="AH21" s="244"/>
      <c r="AI21" s="244"/>
      <c r="AJ21" s="244"/>
      <c r="AK21" s="244"/>
      <c r="AL21" s="244"/>
      <c r="AM21" s="244"/>
      <c r="AN21" s="244"/>
      <c r="AO21" s="244"/>
      <c r="AP21" s="244"/>
      <c r="AQ21" s="244"/>
      <c r="AR21" s="244"/>
      <c r="AS21" s="244"/>
      <c r="AT21" s="244"/>
      <c r="AU21" s="244"/>
      <c r="AV21" s="244"/>
    </row>
    <row r="22">
      <c r="D22" t="s">
        <v>22</v>
      </c>
      <c r="E22" s="223"/>
      <c r="F22" s="218">
        <v>0</v>
      </c>
      <c r="H22" s="223"/>
      <c r="I22" s="218">
        <v>0</v>
      </c>
      <c r="K22" s="223"/>
      <c r="L22" s="218">
        <v>0</v>
      </c>
      <c r="N22" s="223"/>
      <c r="O22" s="218">
        <v>0</v>
      </c>
      <c r="Q22" s="223"/>
      <c r="R22" s="218">
        <v>0</v>
      </c>
      <c r="T22" s="223"/>
      <c r="U22" s="218">
        <v>0</v>
      </c>
      <c r="W22" s="223"/>
      <c r="X22" s="218">
        <v>0</v>
      </c>
      <c r="Z22" s="224"/>
      <c r="AA22" s="218">
        <v>0</v>
      </c>
      <c r="AC22" s="244"/>
      <c r="AD22" s="244"/>
      <c r="AE22" s="244"/>
      <c r="AF22" s="244"/>
      <c r="AG22" s="244"/>
      <c r="AH22" s="244"/>
      <c r="AI22" s="244"/>
      <c r="AJ22" s="244"/>
      <c r="AK22" s="244"/>
      <c r="AL22" s="244"/>
      <c r="AM22" s="244"/>
      <c r="AN22" s="244"/>
      <c r="AO22" s="244"/>
      <c r="AP22" s="244"/>
      <c r="AQ22" s="244"/>
      <c r="AR22" s="244"/>
      <c r="AS22" s="244"/>
      <c r="AT22" s="244"/>
      <c r="AU22" s="244"/>
      <c r="AV22" s="244"/>
    </row>
    <row r="23">
      <c r="D23" t="s">
        <v>55</v>
      </c>
      <c r="E23" s="231" t="s">
        <v>176</v>
      </c>
      <c r="F23" s="232"/>
      <c r="G23" s="176"/>
      <c r="H23" s="231" t="s">
        <v>176</v>
      </c>
      <c r="I23" s="232"/>
      <c r="J23" s="176"/>
      <c r="K23" s="231" t="s">
        <v>176</v>
      </c>
      <c r="L23" s="232"/>
      <c r="M23" s="176"/>
      <c r="N23" s="231" t="s">
        <v>176</v>
      </c>
      <c r="O23" s="232"/>
      <c r="P23" s="176"/>
      <c r="Q23" s="231" t="s">
        <v>176</v>
      </c>
      <c r="R23" s="232"/>
      <c r="S23" s="176"/>
      <c r="T23" s="231" t="s">
        <v>176</v>
      </c>
      <c r="U23" s="232"/>
      <c r="V23" s="176"/>
      <c r="W23" s="231" t="s">
        <v>176</v>
      </c>
      <c r="X23" s="232"/>
      <c r="Y23" s="176"/>
      <c r="Z23" s="233" t="s">
        <v>176</v>
      </c>
      <c r="AA23" s="232"/>
      <c r="AC23" s="244"/>
      <c r="AD23" s="244"/>
      <c r="AE23" s="244"/>
      <c r="AF23" s="244"/>
      <c r="AG23" s="244"/>
      <c r="AH23" s="244"/>
      <c r="AI23" s="244"/>
      <c r="AJ23" s="244"/>
      <c r="AK23" s="244"/>
      <c r="AL23" s="244"/>
      <c r="AM23" s="244"/>
      <c r="AN23" s="244"/>
      <c r="AO23" s="244"/>
      <c r="AP23" s="244"/>
      <c r="AQ23" s="244"/>
      <c r="AR23" s="244"/>
      <c r="AS23" s="244"/>
      <c r="AT23" s="244"/>
      <c r="AU23" s="244"/>
      <c r="AV23" s="244"/>
    </row>
    <row r="24" ht="15">
      <c r="B24" s="612"/>
      <c r="C24" s="612"/>
      <c r="D24" s="612"/>
      <c r="E24" s="612"/>
      <c r="F24" s="612"/>
      <c r="G24" s="612"/>
      <c r="H24" s="612"/>
      <c r="I24" s="612"/>
      <c r="J24" s="612"/>
      <c r="K24" s="612"/>
      <c r="L24" s="612"/>
      <c r="M24" s="612"/>
      <c r="N24" s="612"/>
      <c r="O24" s="612"/>
      <c r="P24" s="612"/>
      <c r="Q24" s="612"/>
      <c r="R24" s="612"/>
      <c r="S24" s="612"/>
      <c r="T24" s="612"/>
      <c r="U24" s="612"/>
      <c r="V24" s="612"/>
      <c r="W24" s="612"/>
      <c r="X24" s="612"/>
      <c r="Y24" s="612"/>
      <c r="Z24" s="612"/>
      <c r="AA24" s="612"/>
      <c r="AC24" s="244"/>
      <c r="AD24" s="244"/>
      <c r="AE24" s="244"/>
      <c r="AF24" s="244"/>
      <c r="AG24" s="244"/>
      <c r="AH24" s="244"/>
      <c r="AI24" s="244"/>
      <c r="AJ24" s="244"/>
      <c r="AK24" s="244"/>
      <c r="AL24" s="244"/>
      <c r="AM24" s="244"/>
      <c r="AN24" s="244"/>
      <c r="AO24" s="244"/>
      <c r="AP24" s="244"/>
      <c r="AQ24" s="244"/>
      <c r="AR24" s="244"/>
      <c r="AS24" s="244"/>
      <c r="AT24" s="244"/>
      <c r="AU24" s="244"/>
      <c r="AV24" s="244"/>
    </row>
    <row r="25" ht="18">
      <c r="B25" s="220" t="s">
        <v>12</v>
      </c>
      <c r="C25" s="57"/>
      <c r="E25" s="648" t="s">
        <v>40</v>
      </c>
      <c r="F25" s="648"/>
      <c r="H25" s="648" t="s">
        <v>39</v>
      </c>
      <c r="I25" s="648"/>
      <c r="K25" s="648" t="s">
        <v>41</v>
      </c>
      <c r="L25" s="648"/>
      <c r="N25" s="648" t="s">
        <v>42</v>
      </c>
      <c r="O25" s="648"/>
      <c r="Q25" s="648" t="s">
        <v>43</v>
      </c>
      <c r="R25" s="648"/>
      <c r="T25" s="648" t="s">
        <v>44</v>
      </c>
      <c r="U25" s="648"/>
      <c r="W25" s="648" t="s">
        <v>45</v>
      </c>
      <c r="X25" s="648"/>
      <c r="Z25" s="649" t="s">
        <v>23</v>
      </c>
      <c r="AA25" s="649"/>
      <c r="AC25" s="244"/>
      <c r="AD25" s="244"/>
      <c r="AE25" s="244"/>
      <c r="AF25" s="244"/>
      <c r="AG25" s="244"/>
      <c r="AH25" s="244"/>
      <c r="AI25" s="244"/>
      <c r="AJ25" s="244"/>
      <c r="AK25" s="244"/>
      <c r="AL25" s="244"/>
      <c r="AM25" s="244"/>
      <c r="AN25" s="244"/>
      <c r="AO25" s="244"/>
      <c r="AP25" s="244"/>
      <c r="AQ25" s="244"/>
      <c r="AR25" s="244"/>
      <c r="AS25" s="244"/>
      <c r="AT25" s="244"/>
      <c r="AU25" s="244"/>
      <c r="AV25" s="244"/>
    </row>
    <row r="26">
      <c r="E26" s="176"/>
      <c r="F26" s="176" t="s">
        <v>57</v>
      </c>
      <c r="G26" s="176"/>
      <c r="H26" s="176"/>
      <c r="I26" s="176" t="s">
        <v>57</v>
      </c>
      <c r="J26" s="176"/>
      <c r="K26" s="176"/>
      <c r="L26" s="176" t="s">
        <v>57</v>
      </c>
      <c r="M26" s="176"/>
      <c r="N26" s="176"/>
      <c r="O26" s="176" t="s">
        <v>57</v>
      </c>
      <c r="P26" s="176"/>
      <c r="Q26" s="176"/>
      <c r="R26" s="176" t="s">
        <v>57</v>
      </c>
      <c r="S26" s="176"/>
      <c r="T26" s="176"/>
      <c r="U26" s="176" t="s">
        <v>57</v>
      </c>
      <c r="V26" s="176"/>
      <c r="W26" s="176"/>
      <c r="X26" s="176" t="s">
        <v>57</v>
      </c>
      <c r="Y26" s="176"/>
      <c r="Z26" s="226"/>
      <c r="AA26" s="176" t="s">
        <v>57</v>
      </c>
      <c r="AC26" s="244"/>
      <c r="AD26" s="244"/>
      <c r="AE26" s="244"/>
      <c r="AF26" s="244"/>
      <c r="AG26" s="244"/>
      <c r="AH26" s="244"/>
      <c r="AI26" s="244"/>
      <c r="AJ26" s="244"/>
      <c r="AK26" s="244"/>
      <c r="AL26" s="244"/>
      <c r="AM26" s="244"/>
      <c r="AN26" s="244"/>
      <c r="AO26" s="244"/>
      <c r="AP26" s="244"/>
      <c r="AQ26" s="244"/>
      <c r="AR26" s="244"/>
      <c r="AS26" s="244"/>
      <c r="AT26" s="244"/>
      <c r="AU26" s="244"/>
      <c r="AV26" s="244"/>
    </row>
    <row r="27">
      <c r="B27" s="216" t="s">
        <v>23</v>
      </c>
      <c r="C27" s="216"/>
      <c r="D27" s="217" t="s">
        <v>32</v>
      </c>
      <c r="E27" s="598">
        <v>162.56666666666666666666666667</v>
      </c>
      <c r="F27" s="219">
        <v>9.795487937844278227009511470</v>
      </c>
      <c r="G27" s="217"/>
      <c r="H27" s="598">
        <v>141.94318181818181818181818182</v>
      </c>
      <c r="I27" s="219">
        <v>4.64546943912155473457907400</v>
      </c>
      <c r="J27" s="217"/>
      <c r="K27" s="225">
        <v>143.66666666666666666666666667</v>
      </c>
      <c r="L27" s="219">
        <v>2.5510829837527001178554827300</v>
      </c>
      <c r="M27" s="217"/>
      <c r="N27" s="598">
        <v>139.72368421052631578947368421</v>
      </c>
      <c r="O27" s="219">
        <v>-0.997924289334281620770125700</v>
      </c>
      <c r="P27" s="217"/>
      <c r="Q27" s="598">
        <v>140.22935779816513761467889908</v>
      </c>
      <c r="R27" s="219">
        <v>-9.557454595889571220087392880</v>
      </c>
      <c r="S27" s="217"/>
      <c r="T27" s="598">
        <v>187.02608695652173913043478261</v>
      </c>
      <c r="U27" s="219">
        <v>-10.162861456619011699865989600</v>
      </c>
      <c r="V27" s="217"/>
      <c r="W27" s="598">
        <v>197.89915966386554621848739496</v>
      </c>
      <c r="X27" s="219">
        <v>4.1063743940709389964496954500</v>
      </c>
      <c r="Y27" s="217"/>
      <c r="Z27" s="599">
        <v>161.75036710719530102790014684</v>
      </c>
      <c r="AA27" s="219">
        <v>0.1130495955687649177983963100</v>
      </c>
      <c r="AC27" s="244"/>
      <c r="AD27" s="244"/>
      <c r="AE27" s="244"/>
      <c r="AF27" s="244"/>
      <c r="AG27" s="244"/>
      <c r="AH27" s="244"/>
      <c r="AI27" s="244"/>
      <c r="AJ27" s="244"/>
      <c r="AK27" s="244"/>
      <c r="AL27" s="244"/>
      <c r="AM27" s="244"/>
      <c r="AN27" s="244"/>
      <c r="AO27" s="244"/>
      <c r="AP27" s="244"/>
      <c r="AQ27" s="244"/>
      <c r="AR27" s="244"/>
      <c r="AS27" s="244"/>
      <c r="AT27" s="244"/>
      <c r="AU27" s="244"/>
      <c r="AV27" s="244"/>
    </row>
    <row r="28">
      <c r="D28" s="217" t="s">
        <v>26</v>
      </c>
      <c r="E28" s="598">
        <v>196.6681818181818181818181818</v>
      </c>
      <c r="F28" s="219">
        <v>-5.9021298106488084234800402400</v>
      </c>
      <c r="G28" s="217"/>
      <c r="H28" s="598">
        <v>212.48591549295774647887323943</v>
      </c>
      <c r="I28" s="219">
        <v>9.337731741474278781260650830</v>
      </c>
      <c r="J28" s="217"/>
      <c r="K28" s="598">
        <v>211.76521739130434782608695654</v>
      </c>
      <c r="L28" s="219">
        <v>15.662378090637563103136312310</v>
      </c>
      <c r="M28" s="217"/>
      <c r="N28" s="598">
        <v>215.38181818181818181818181817</v>
      </c>
      <c r="O28" s="219">
        <v>25.404260950112478496757972730</v>
      </c>
      <c r="P28" s="217"/>
      <c r="Q28" s="598">
        <v>215.38815789473684210526315789</v>
      </c>
      <c r="R28" s="219">
        <v>10.487322708205260776459815690</v>
      </c>
      <c r="S28" s="217"/>
      <c r="T28" s="598">
        <v>245.23809523809523809523809523</v>
      </c>
      <c r="U28" s="219">
        <v>4.8137234311883356883254634200</v>
      </c>
      <c r="V28" s="217"/>
      <c r="W28" s="598">
        <v>254.79452054794520547945205479</v>
      </c>
      <c r="X28" s="219">
        <v>5.8182932655512124969631141400</v>
      </c>
      <c r="Y28" s="217"/>
      <c r="Z28" s="599">
        <v>225.04164808727302894237449835</v>
      </c>
      <c r="AA28" s="219">
        <v>9.101328871684562767776399280</v>
      </c>
      <c r="AC28" s="244"/>
      <c r="AD28" s="244"/>
      <c r="AE28" s="244"/>
      <c r="AF28" s="244"/>
      <c r="AG28" s="244"/>
      <c r="AH28" s="244"/>
      <c r="AI28" s="244"/>
      <c r="AJ28" s="244"/>
      <c r="AK28" s="244"/>
      <c r="AL28" s="244"/>
      <c r="AM28" s="244"/>
      <c r="AN28" s="244"/>
      <c r="AO28" s="244"/>
      <c r="AP28" s="244"/>
      <c r="AQ28" s="244"/>
      <c r="AR28" s="244"/>
      <c r="AS28" s="244"/>
      <c r="AT28" s="244"/>
      <c r="AU28" s="244"/>
      <c r="AV28" s="244"/>
    </row>
    <row r="29">
      <c r="D29" t="s">
        <v>92</v>
      </c>
      <c r="E29" s="223">
        <v>82.66038012033041406028116914</v>
      </c>
      <c r="F29" s="218">
        <v>16.682224280875411906169809900</v>
      </c>
      <c r="H29" s="223">
        <v>66.801219030848142739125479500</v>
      </c>
      <c r="I29" s="218">
        <v>-4.2915306799731204264838739900</v>
      </c>
      <c r="K29" s="223">
        <v>67.842428721993207731327871860</v>
      </c>
      <c r="L29" s="218">
        <v>-11.335833936036343131443688060</v>
      </c>
      <c r="N29" s="223">
        <v>64.872553027009928194760448510</v>
      </c>
      <c r="O29" s="218">
        <v>-21.053658814665323806853945090</v>
      </c>
      <c r="Q29" s="223">
        <v>65.105416736383966586543358570</v>
      </c>
      <c r="R29" s="218">
        <v>-18.142151346197711766688670050</v>
      </c>
      <c r="T29" s="223">
        <v>76.263064584211267158729052880</v>
      </c>
      <c r="U29" s="218">
        <v>-14.288763338987586492348861640</v>
      </c>
      <c r="W29" s="223">
        <v>77.670100298197569823975378240</v>
      </c>
      <c r="X29" s="218">
        <v>-1.6177910441174385342585536400</v>
      </c>
      <c r="Z29" s="224">
        <v>71.875747659138975609293361170</v>
      </c>
      <c r="AA29" s="218">
        <v>-8.238469108609619195144461570</v>
      </c>
      <c r="AC29" s="244"/>
      <c r="AD29" s="244"/>
      <c r="AE29" s="244"/>
      <c r="AF29" s="244"/>
      <c r="AG29" s="244"/>
      <c r="AH29" s="244"/>
      <c r="AI29" s="244"/>
      <c r="AJ29" s="244"/>
      <c r="AK29" s="244"/>
      <c r="AL29" s="244"/>
      <c r="AM29" s="244"/>
      <c r="AN29" s="244"/>
      <c r="AO29" s="244"/>
      <c r="AP29" s="244"/>
      <c r="AQ29" s="244"/>
      <c r="AR29" s="244"/>
      <c r="AS29" s="244"/>
      <c r="AT29" s="244"/>
      <c r="AU29" s="244"/>
      <c r="AV29" s="244"/>
    </row>
    <row r="30">
      <c r="D30" s="214" t="s">
        <v>55</v>
      </c>
      <c r="E30" s="227" t="s">
        <v>170</v>
      </c>
      <c r="F30" s="228" t="s">
        <v>172</v>
      </c>
      <c r="G30" s="229"/>
      <c r="H30" s="227" t="s">
        <v>174</v>
      </c>
      <c r="I30" s="228" t="s">
        <v>173</v>
      </c>
      <c r="J30" s="229"/>
      <c r="K30" s="227" t="s">
        <v>174</v>
      </c>
      <c r="L30" s="228" t="s">
        <v>175</v>
      </c>
      <c r="M30" s="229"/>
      <c r="N30" s="227" t="s">
        <v>173</v>
      </c>
      <c r="O30" s="228" t="s">
        <v>175</v>
      </c>
      <c r="P30" s="229"/>
      <c r="Q30" s="227" t="s">
        <v>173</v>
      </c>
      <c r="R30" s="228" t="s">
        <v>173</v>
      </c>
      <c r="S30" s="229"/>
      <c r="T30" s="227" t="s">
        <v>173</v>
      </c>
      <c r="U30" s="228" t="s">
        <v>173</v>
      </c>
      <c r="V30" s="229"/>
      <c r="W30" s="227" t="s">
        <v>173</v>
      </c>
      <c r="X30" s="228" t="s">
        <v>175</v>
      </c>
      <c r="Y30" s="229"/>
      <c r="Z30" s="230" t="s">
        <v>174</v>
      </c>
      <c r="AA30" s="228" t="s">
        <v>175</v>
      </c>
      <c r="AC30" s="244"/>
      <c r="AD30" s="244"/>
      <c r="AE30" s="244"/>
      <c r="AF30" s="244"/>
      <c r="AG30" s="244"/>
      <c r="AH30" s="244"/>
      <c r="AI30" s="244"/>
      <c r="AJ30" s="244"/>
      <c r="AK30" s="244"/>
      <c r="AL30" s="244"/>
      <c r="AM30" s="244"/>
      <c r="AN30" s="244"/>
      <c r="AO30" s="244"/>
      <c r="AP30" s="244"/>
      <c r="AQ30" s="244"/>
      <c r="AR30" s="244"/>
      <c r="AS30" s="244"/>
      <c r="AT30" s="244"/>
      <c r="AU30" s="244"/>
      <c r="AV30" s="244"/>
    </row>
    <row r="31" ht="8.1" customHeight="1">
      <c r="F31" s="218"/>
      <c r="I31" s="218"/>
      <c r="L31" s="218"/>
      <c r="O31" s="218"/>
      <c r="R31" s="218"/>
      <c r="U31" s="218"/>
      <c r="X31" s="218"/>
      <c r="Z31" s="215"/>
      <c r="AA31" s="218"/>
      <c r="AC31" s="244"/>
      <c r="AD31" s="244"/>
      <c r="AE31" s="244"/>
      <c r="AF31" s="244"/>
      <c r="AG31" s="244"/>
      <c r="AH31" s="244"/>
      <c r="AI31" s="244"/>
      <c r="AJ31" s="244"/>
      <c r="AK31" s="244"/>
      <c r="AL31" s="244"/>
      <c r="AM31" s="244"/>
      <c r="AN31" s="244"/>
      <c r="AO31" s="244"/>
      <c r="AP31" s="244"/>
      <c r="AQ31" s="244"/>
      <c r="AR31" s="244"/>
      <c r="AS31" s="244"/>
      <c r="AT31" s="244"/>
      <c r="AU31" s="244"/>
      <c r="AV31" s="244"/>
    </row>
    <row r="32">
      <c r="B32" s="216" t="s">
        <v>21</v>
      </c>
      <c r="C32" s="216"/>
      <c r="D32" s="217" t="s">
        <v>32</v>
      </c>
      <c r="E32" s="598">
        <v>162.56666666666666666666666667</v>
      </c>
      <c r="F32" s="219">
        <v>9.795487937844278227009511470</v>
      </c>
      <c r="G32" s="217"/>
      <c r="H32" s="598">
        <v>141.94318181818181818181818182</v>
      </c>
      <c r="I32" s="219">
        <v>5.7052528338186463488078391600</v>
      </c>
      <c r="J32" s="217"/>
      <c r="K32" s="598">
        <v>143.66666666666666666666666667</v>
      </c>
      <c r="L32" s="219">
        <v>8.471924633578424433944240380</v>
      </c>
      <c r="M32" s="217"/>
      <c r="N32" s="598">
        <v>139.72368421052631578947368421</v>
      </c>
      <c r="O32" s="219">
        <v>3.158386314501540385911566700</v>
      </c>
      <c r="P32" s="217"/>
      <c r="Q32" s="598">
        <v>140.22935779816513761467889908</v>
      </c>
      <c r="R32" s="219">
        <v>-8.270413035249292160629989660</v>
      </c>
      <c r="S32" s="217"/>
      <c r="T32" s="598">
        <v>187.02608695652173913043478261</v>
      </c>
      <c r="U32" s="219">
        <v>-9.553522796470798245967779500</v>
      </c>
      <c r="V32" s="217"/>
      <c r="W32" s="598">
        <v>197.89915966386554621848739496</v>
      </c>
      <c r="X32" s="219">
        <v>4.0303477065518381355510312800</v>
      </c>
      <c r="Y32" s="217"/>
      <c r="Z32" s="599">
        <v>161.75036710719530102790014684</v>
      </c>
      <c r="AA32" s="219">
        <v>0.7505117881452185021495407200</v>
      </c>
      <c r="AC32" s="244"/>
      <c r="AD32" s="244"/>
      <c r="AE32" s="244"/>
      <c r="AF32" s="244"/>
      <c r="AG32" s="244"/>
      <c r="AH32" s="244"/>
      <c r="AI32" s="244"/>
      <c r="AJ32" s="244"/>
      <c r="AK32" s="244"/>
      <c r="AL32" s="244"/>
      <c r="AM32" s="244"/>
      <c r="AN32" s="244"/>
      <c r="AO32" s="244"/>
      <c r="AP32" s="244"/>
      <c r="AQ32" s="244"/>
      <c r="AR32" s="244"/>
      <c r="AS32" s="244"/>
      <c r="AT32" s="244"/>
      <c r="AU32" s="244"/>
      <c r="AV32" s="244"/>
    </row>
    <row r="33">
      <c r="D33" s="217" t="s">
        <v>26</v>
      </c>
      <c r="E33" s="598">
        <v>196.66818181818181818181818182</v>
      </c>
      <c r="F33" s="219">
        <v>-6.3432173129104804575597780700</v>
      </c>
      <c r="G33" s="217"/>
      <c r="H33" s="598">
        <v>212.48591549295774647887323943</v>
      </c>
      <c r="I33" s="219">
        <v>9.006023471879515123812915780</v>
      </c>
      <c r="J33" s="217"/>
      <c r="K33" s="598">
        <v>208.70370370370370370370370372</v>
      </c>
      <c r="L33" s="219">
        <v>13.671174527278671382458281250</v>
      </c>
      <c r="M33" s="217"/>
      <c r="N33" s="598">
        <v>212.92391304347826086956521738</v>
      </c>
      <c r="O33" s="219">
        <v>23.828013555580175367049989090</v>
      </c>
      <c r="P33" s="217"/>
      <c r="Q33" s="598">
        <v>211.43382352941176470588235293</v>
      </c>
      <c r="R33" s="219">
        <v>8.458874062800443433923810970</v>
      </c>
      <c r="S33" s="217"/>
      <c r="T33" s="598">
        <v>242.96296296296296296296296295</v>
      </c>
      <c r="U33" s="219">
        <v>3.8413415309637189818318291300</v>
      </c>
      <c r="V33" s="217"/>
      <c r="W33" s="598">
        <v>257.07246376811594202898550724</v>
      </c>
      <c r="X33" s="219">
        <v>6.7643421177632544263617075400</v>
      </c>
      <c r="Y33" s="217"/>
      <c r="Z33" s="599">
        <v>223.69256070346068014522199646</v>
      </c>
      <c r="AA33" s="219">
        <v>8.235289174233406172354626620</v>
      </c>
      <c r="AC33" s="244"/>
      <c r="AD33" s="244"/>
      <c r="AE33" s="244"/>
      <c r="AF33" s="244"/>
      <c r="AG33" s="244"/>
      <c r="AH33" s="244"/>
      <c r="AI33" s="244"/>
      <c r="AJ33" s="244"/>
      <c r="AK33" s="244"/>
      <c r="AL33" s="244"/>
      <c r="AM33" s="244"/>
      <c r="AN33" s="244"/>
      <c r="AO33" s="244"/>
      <c r="AP33" s="244"/>
      <c r="AQ33" s="244"/>
      <c r="AR33" s="244"/>
      <c r="AS33" s="244"/>
      <c r="AT33" s="244"/>
      <c r="AU33" s="244"/>
      <c r="AV33" s="244"/>
    </row>
    <row r="34">
      <c r="D34" t="s">
        <v>22</v>
      </c>
      <c r="E34" s="223">
        <v>82.66038012033805594718068428</v>
      </c>
      <c r="F34" s="218">
        <v>17.231752776054933526793387510</v>
      </c>
      <c r="H34" s="223">
        <v>66.801219030861426380599150960</v>
      </c>
      <c r="I34" s="218">
        <v>-3.0280626087956962758282216100</v>
      </c>
      <c r="K34" s="223">
        <v>68.837622005323868677905944980</v>
      </c>
      <c r="L34" s="218">
        <v>-4.5739387450995571178670000600</v>
      </c>
      <c r="N34" s="223">
        <v>65.621414811212522602642191780</v>
      </c>
      <c r="O34" s="218">
        <v>-16.692206107137056278969509060</v>
      </c>
      <c r="Q34" s="223">
        <v>66.323048723875704105707982180</v>
      </c>
      <c r="R34" s="218">
        <v>-15.424544319352595397048692520</v>
      </c>
      <c r="T34" s="223">
        <v>76.977200424178154825026511140</v>
      </c>
      <c r="U34" s="218">
        <v>-12.899356007837331608965486330</v>
      </c>
      <c r="W34" s="223">
        <v>76.981858252377509804237401360</v>
      </c>
      <c r="X34" s="218">
        <v>-2.5607748401701175387545449400</v>
      </c>
      <c r="Z34" s="224">
        <v>72.309229506125864595736930810</v>
      </c>
      <c r="AA34" s="218">
        <v>-6.9152837703676585140849991800</v>
      </c>
      <c r="AC34" s="244"/>
      <c r="AD34" s="244"/>
      <c r="AE34" s="244"/>
      <c r="AF34" s="244"/>
      <c r="AG34" s="244"/>
      <c r="AH34" s="244"/>
      <c r="AI34" s="244"/>
      <c r="AJ34" s="244"/>
      <c r="AK34" s="244"/>
      <c r="AL34" s="244"/>
      <c r="AM34" s="244"/>
      <c r="AN34" s="244"/>
      <c r="AO34" s="244"/>
      <c r="AP34" s="244"/>
      <c r="AQ34" s="244"/>
      <c r="AR34" s="244"/>
      <c r="AS34" s="244"/>
      <c r="AT34" s="244"/>
      <c r="AU34" s="244"/>
      <c r="AV34" s="244"/>
    </row>
    <row r="35">
      <c r="D35" t="s">
        <v>55</v>
      </c>
      <c r="E35" s="231" t="s">
        <v>170</v>
      </c>
      <c r="F35" s="232" t="s">
        <v>172</v>
      </c>
      <c r="G35" s="176"/>
      <c r="H35" s="231" t="s">
        <v>174</v>
      </c>
      <c r="I35" s="232" t="s">
        <v>173</v>
      </c>
      <c r="J35" s="176"/>
      <c r="K35" s="231" t="s">
        <v>174</v>
      </c>
      <c r="L35" s="232" t="s">
        <v>175</v>
      </c>
      <c r="M35" s="176"/>
      <c r="N35" s="231" t="s">
        <v>173</v>
      </c>
      <c r="O35" s="232" t="s">
        <v>175</v>
      </c>
      <c r="P35" s="176"/>
      <c r="Q35" s="231" t="s">
        <v>173</v>
      </c>
      <c r="R35" s="232" t="s">
        <v>173</v>
      </c>
      <c r="S35" s="176"/>
      <c r="T35" s="231" t="s">
        <v>173</v>
      </c>
      <c r="U35" s="232" t="s">
        <v>173</v>
      </c>
      <c r="V35" s="176"/>
      <c r="W35" s="231" t="s">
        <v>173</v>
      </c>
      <c r="X35" s="232" t="s">
        <v>175</v>
      </c>
      <c r="Y35" s="176"/>
      <c r="Z35" s="233" t="s">
        <v>174</v>
      </c>
      <c r="AA35" s="232" t="s">
        <v>175</v>
      </c>
      <c r="AC35" s="244"/>
      <c r="AD35" s="244"/>
      <c r="AE35" s="244"/>
      <c r="AF35" s="244"/>
      <c r="AG35" s="244"/>
      <c r="AH35" s="244"/>
      <c r="AI35" s="244"/>
      <c r="AJ35" s="244"/>
      <c r="AK35" s="244"/>
      <c r="AL35" s="244"/>
      <c r="AM35" s="244"/>
      <c r="AN35" s="244"/>
      <c r="AO35" s="244"/>
      <c r="AP35" s="244"/>
      <c r="AQ35" s="244"/>
      <c r="AR35" s="244"/>
      <c r="AS35" s="244"/>
      <c r="AT35" s="244"/>
      <c r="AU35" s="244"/>
      <c r="AV35" s="244"/>
    </row>
    <row r="36" ht="8.1" customHeight="1">
      <c r="F36" s="218"/>
      <c r="I36" s="218"/>
      <c r="L36" s="218"/>
      <c r="O36" s="218"/>
      <c r="R36" s="218"/>
      <c r="U36" s="218"/>
      <c r="X36" s="218"/>
      <c r="Z36" s="215"/>
      <c r="AA36" s="218"/>
      <c r="AC36" s="244"/>
      <c r="AD36" s="244"/>
      <c r="AE36" s="244"/>
      <c r="AF36" s="244"/>
      <c r="AG36" s="244"/>
      <c r="AH36" s="244"/>
      <c r="AI36" s="244"/>
      <c r="AJ36" s="244"/>
      <c r="AK36" s="244"/>
      <c r="AL36" s="244"/>
      <c r="AM36" s="244"/>
      <c r="AN36" s="244"/>
      <c r="AO36" s="244"/>
      <c r="AP36" s="244"/>
      <c r="AQ36" s="244"/>
      <c r="AR36" s="244"/>
      <c r="AS36" s="244"/>
      <c r="AT36" s="244"/>
      <c r="AU36" s="244"/>
      <c r="AV36" s="244"/>
    </row>
    <row r="37">
      <c r="B37" s="216" t="s">
        <v>24</v>
      </c>
      <c r="C37" s="216"/>
      <c r="D37" s="217" t="s">
        <v>32</v>
      </c>
      <c r="E37" s="598">
        <v>0</v>
      </c>
      <c r="F37" s="219">
        <v>0</v>
      </c>
      <c r="G37" s="217"/>
      <c r="H37" s="598">
        <v>0</v>
      </c>
      <c r="I37" s="219">
        <v>-100</v>
      </c>
      <c r="J37" s="217"/>
      <c r="K37" s="598">
        <v>0</v>
      </c>
      <c r="L37" s="219">
        <v>-100</v>
      </c>
      <c r="M37" s="217"/>
      <c r="N37" s="598">
        <v>0</v>
      </c>
      <c r="O37" s="219">
        <v>-100</v>
      </c>
      <c r="P37" s="217"/>
      <c r="Q37" s="598">
        <v>0</v>
      </c>
      <c r="R37" s="219">
        <v>-100</v>
      </c>
      <c r="S37" s="217"/>
      <c r="T37" s="598">
        <v>0</v>
      </c>
      <c r="U37" s="219">
        <v>-100</v>
      </c>
      <c r="V37" s="217"/>
      <c r="W37" s="598">
        <v>0</v>
      </c>
      <c r="X37" s="219">
        <v>-100</v>
      </c>
      <c r="Y37" s="217"/>
      <c r="Z37" s="599">
        <v>0</v>
      </c>
      <c r="AA37" s="219">
        <v>-100</v>
      </c>
      <c r="AC37" s="244"/>
      <c r="AD37" s="244"/>
      <c r="AE37" s="244"/>
      <c r="AF37" s="244"/>
      <c r="AG37" s="244"/>
      <c r="AH37" s="244"/>
      <c r="AI37" s="244"/>
      <c r="AJ37" s="244"/>
      <c r="AK37" s="244"/>
      <c r="AL37" s="244"/>
      <c r="AM37" s="244"/>
      <c r="AN37" s="244"/>
      <c r="AO37" s="244"/>
      <c r="AP37" s="244"/>
      <c r="AQ37" s="244"/>
      <c r="AR37" s="244"/>
      <c r="AS37" s="244"/>
      <c r="AT37" s="244"/>
      <c r="AU37" s="244"/>
      <c r="AV37" s="244"/>
    </row>
    <row r="38">
      <c r="D38" s="217" t="s">
        <v>26</v>
      </c>
      <c r="E38" s="598">
        <v>0</v>
      </c>
      <c r="F38" s="219">
        <v>-100</v>
      </c>
      <c r="G38" s="217"/>
      <c r="H38" s="598">
        <v>0</v>
      </c>
      <c r="I38" s="219">
        <v>-100</v>
      </c>
      <c r="J38" s="217"/>
      <c r="K38" s="598">
        <v>259.00000000000000000000000003</v>
      </c>
      <c r="L38" s="219">
        <v>73.825503355704697986577181230</v>
      </c>
      <c r="M38" s="217"/>
      <c r="N38" s="598">
        <v>227.94444444444444444444444443</v>
      </c>
      <c r="O38" s="219">
        <v>52.982848620432513049962714380</v>
      </c>
      <c r="P38" s="217"/>
      <c r="Q38" s="598">
        <v>248.99999999999999999999999998</v>
      </c>
      <c r="R38" s="219">
        <v>0</v>
      </c>
      <c r="S38" s="217"/>
      <c r="T38" s="598">
        <v>265.71428571428571428571428569</v>
      </c>
      <c r="U38" s="219">
        <v>0</v>
      </c>
      <c r="V38" s="217"/>
      <c r="W38" s="598">
        <v>215.5</v>
      </c>
      <c r="X38" s="219">
        <v>0</v>
      </c>
      <c r="Y38" s="217"/>
      <c r="Z38" s="599">
        <v>244.13513513513513513513513512</v>
      </c>
      <c r="AA38" s="219">
        <v>59.726057209652662325792593890</v>
      </c>
      <c r="AC38" s="244"/>
      <c r="AD38" s="244"/>
      <c r="AE38" s="244"/>
      <c r="AF38" s="244"/>
      <c r="AG38" s="244"/>
      <c r="AH38" s="244"/>
      <c r="AI38" s="244"/>
      <c r="AJ38" s="244"/>
      <c r="AK38" s="244"/>
      <c r="AL38" s="244"/>
      <c r="AM38" s="244"/>
      <c r="AN38" s="244"/>
      <c r="AO38" s="244"/>
      <c r="AP38" s="244"/>
      <c r="AQ38" s="244"/>
      <c r="AR38" s="244"/>
      <c r="AS38" s="244"/>
      <c r="AT38" s="244"/>
      <c r="AU38" s="244"/>
      <c r="AV38" s="244"/>
    </row>
    <row r="39">
      <c r="D39" t="s">
        <v>22</v>
      </c>
      <c r="E39" s="223"/>
      <c r="F39" s="218">
        <v>0</v>
      </c>
      <c r="H39" s="223"/>
      <c r="I39" s="218">
        <v>-100</v>
      </c>
      <c r="K39" s="223">
        <v>0</v>
      </c>
      <c r="L39" s="218">
        <v>-100</v>
      </c>
      <c r="N39" s="223">
        <v>0</v>
      </c>
      <c r="O39" s="218">
        <v>-100</v>
      </c>
      <c r="Q39" s="223">
        <v>0</v>
      </c>
      <c r="R39" s="218">
        <v>0</v>
      </c>
      <c r="T39" s="223">
        <v>0</v>
      </c>
      <c r="U39" s="218">
        <v>0</v>
      </c>
      <c r="W39" s="223">
        <v>0</v>
      </c>
      <c r="X39" s="218">
        <v>0</v>
      </c>
      <c r="Z39" s="224">
        <v>0</v>
      </c>
      <c r="AA39" s="218">
        <v>-100</v>
      </c>
      <c r="AC39" s="244"/>
      <c r="AD39" s="244"/>
      <c r="AE39" s="244"/>
      <c r="AF39" s="244"/>
      <c r="AG39" s="244"/>
      <c r="AH39" s="244"/>
      <c r="AI39" s="244"/>
      <c r="AJ39" s="244"/>
      <c r="AK39" s="244"/>
      <c r="AL39" s="244"/>
      <c r="AM39" s="244"/>
      <c r="AN39" s="244"/>
      <c r="AO39" s="244"/>
      <c r="AP39" s="244"/>
      <c r="AQ39" s="244"/>
      <c r="AR39" s="244"/>
      <c r="AS39" s="244"/>
      <c r="AT39" s="244"/>
      <c r="AU39" s="244"/>
      <c r="AV39" s="244"/>
    </row>
    <row r="40">
      <c r="D40" t="s">
        <v>55</v>
      </c>
      <c r="E40" s="231" t="s">
        <v>176</v>
      </c>
      <c r="F40" s="232"/>
      <c r="G40" s="176"/>
      <c r="H40" s="231" t="s">
        <v>176</v>
      </c>
      <c r="I40" s="232"/>
      <c r="J40" s="176"/>
      <c r="K40" s="231" t="s">
        <v>176</v>
      </c>
      <c r="L40" s="232"/>
      <c r="M40" s="176"/>
      <c r="N40" s="231" t="s">
        <v>176</v>
      </c>
      <c r="O40" s="232"/>
      <c r="P40" s="176"/>
      <c r="Q40" s="231" t="s">
        <v>176</v>
      </c>
      <c r="R40" s="232"/>
      <c r="S40" s="176"/>
      <c r="T40" s="231" t="s">
        <v>176</v>
      </c>
      <c r="U40" s="232"/>
      <c r="V40" s="176"/>
      <c r="W40" s="231" t="s">
        <v>176</v>
      </c>
      <c r="X40" s="232"/>
      <c r="Y40" s="176"/>
      <c r="Z40" s="233" t="s">
        <v>176</v>
      </c>
      <c r="AA40" s="232"/>
      <c r="AC40" s="244"/>
      <c r="AD40" s="244"/>
      <c r="AE40" s="244"/>
      <c r="AF40" s="244"/>
      <c r="AG40" s="244"/>
      <c r="AH40" s="244"/>
      <c r="AI40" s="244"/>
      <c r="AJ40" s="244"/>
      <c r="AK40" s="244"/>
      <c r="AL40" s="244"/>
      <c r="AM40" s="244"/>
      <c r="AN40" s="244"/>
      <c r="AO40" s="244"/>
      <c r="AP40" s="244"/>
      <c r="AQ40" s="244"/>
      <c r="AR40" s="244"/>
      <c r="AS40" s="244"/>
      <c r="AT40" s="244"/>
      <c r="AU40" s="244"/>
      <c r="AV40" s="244"/>
    </row>
    <row r="41" ht="8.1" customHeight="1">
      <c r="F41" s="218"/>
      <c r="I41" s="218"/>
      <c r="L41" s="218"/>
      <c r="O41" s="218"/>
      <c r="R41" s="218"/>
      <c r="U41" s="218"/>
      <c r="X41" s="218"/>
      <c r="Z41" s="215"/>
      <c r="AA41" s="218"/>
      <c r="AC41" s="244"/>
      <c r="AD41" s="244"/>
      <c r="AE41" s="244"/>
      <c r="AF41" s="244"/>
      <c r="AG41" s="244"/>
      <c r="AH41" s="244"/>
      <c r="AI41" s="244"/>
      <c r="AJ41" s="244"/>
      <c r="AK41" s="244"/>
      <c r="AL41" s="244"/>
      <c r="AM41" s="244"/>
      <c r="AN41" s="244"/>
      <c r="AO41" s="244"/>
      <c r="AP41" s="244"/>
      <c r="AQ41" s="244"/>
      <c r="AR41" s="244"/>
      <c r="AS41" s="244"/>
      <c r="AT41" s="244"/>
      <c r="AU41" s="244"/>
      <c r="AV41" s="244"/>
    </row>
    <row r="42">
      <c r="B42" s="216" t="s">
        <v>25</v>
      </c>
      <c r="C42" s="216"/>
      <c r="D42" s="217" t="s">
        <v>32</v>
      </c>
      <c r="E42" s="598">
        <v>0</v>
      </c>
      <c r="F42" s="219">
        <v>0</v>
      </c>
      <c r="G42" s="217"/>
      <c r="H42" s="598">
        <v>0</v>
      </c>
      <c r="I42" s="219">
        <v>0</v>
      </c>
      <c r="J42" s="217"/>
      <c r="K42" s="598">
        <v>0</v>
      </c>
      <c r="L42" s="219">
        <v>0</v>
      </c>
      <c r="M42" s="217"/>
      <c r="N42" s="598">
        <v>0</v>
      </c>
      <c r="O42" s="219">
        <v>0</v>
      </c>
      <c r="P42" s="217"/>
      <c r="Q42" s="598">
        <v>0</v>
      </c>
      <c r="R42" s="219">
        <v>0</v>
      </c>
      <c r="S42" s="217"/>
      <c r="T42" s="598">
        <v>0</v>
      </c>
      <c r="U42" s="219">
        <v>0</v>
      </c>
      <c r="V42" s="217"/>
      <c r="W42" s="598">
        <v>0</v>
      </c>
      <c r="X42" s="219">
        <v>0</v>
      </c>
      <c r="Y42" s="217"/>
      <c r="Z42" s="599">
        <v>0</v>
      </c>
      <c r="AA42" s="219">
        <v>0</v>
      </c>
      <c r="AC42" s="244"/>
      <c r="AD42" s="244"/>
      <c r="AE42" s="244"/>
      <c r="AF42" s="244"/>
      <c r="AG42" s="244"/>
      <c r="AH42" s="244"/>
      <c r="AI42" s="244"/>
      <c r="AJ42" s="244"/>
      <c r="AK42" s="244"/>
      <c r="AL42" s="244"/>
      <c r="AM42" s="244"/>
      <c r="AN42" s="244"/>
      <c r="AO42" s="244"/>
      <c r="AP42" s="244"/>
      <c r="AQ42" s="244"/>
      <c r="AR42" s="244"/>
      <c r="AS42" s="244"/>
      <c r="AT42" s="244"/>
      <c r="AU42" s="244"/>
      <c r="AV42" s="244"/>
    </row>
    <row r="43">
      <c r="D43" s="217" t="s">
        <v>26</v>
      </c>
      <c r="E43" s="598">
        <v>0</v>
      </c>
      <c r="F43" s="219">
        <v>0</v>
      </c>
      <c r="G43" s="217"/>
      <c r="H43" s="598">
        <v>0</v>
      </c>
      <c r="I43" s="219">
        <v>0</v>
      </c>
      <c r="J43" s="217"/>
      <c r="K43" s="598">
        <v>0</v>
      </c>
      <c r="L43" s="219">
        <v>0</v>
      </c>
      <c r="M43" s="217"/>
      <c r="N43" s="598">
        <v>0</v>
      </c>
      <c r="O43" s="219">
        <v>0</v>
      </c>
      <c r="P43" s="217"/>
      <c r="Q43" s="598">
        <v>0</v>
      </c>
      <c r="R43" s="219">
        <v>0</v>
      </c>
      <c r="S43" s="217"/>
      <c r="T43" s="598">
        <v>0</v>
      </c>
      <c r="U43" s="219">
        <v>0</v>
      </c>
      <c r="V43" s="217"/>
      <c r="W43" s="598">
        <v>0</v>
      </c>
      <c r="X43" s="219">
        <v>0</v>
      </c>
      <c r="Y43" s="217"/>
      <c r="Z43" s="599">
        <v>0</v>
      </c>
      <c r="AA43" s="219">
        <v>0</v>
      </c>
      <c r="AC43" s="244"/>
      <c r="AD43" s="244"/>
      <c r="AE43" s="244"/>
      <c r="AF43" s="244"/>
      <c r="AG43" s="244"/>
      <c r="AH43" s="244"/>
      <c r="AI43" s="244"/>
      <c r="AJ43" s="244"/>
      <c r="AK43" s="244"/>
      <c r="AL43" s="244"/>
      <c r="AM43" s="244"/>
      <c r="AN43" s="244"/>
      <c r="AO43" s="244"/>
      <c r="AP43" s="244"/>
      <c r="AQ43" s="244"/>
      <c r="AR43" s="244"/>
      <c r="AS43" s="244"/>
      <c r="AT43" s="244"/>
      <c r="AU43" s="244"/>
      <c r="AV43" s="244"/>
    </row>
    <row r="44">
      <c r="D44" t="s">
        <v>22</v>
      </c>
      <c r="E44" s="223"/>
      <c r="F44" s="218">
        <v>0</v>
      </c>
      <c r="H44" s="223"/>
      <c r="I44" s="218">
        <v>0</v>
      </c>
      <c r="K44" s="223"/>
      <c r="L44" s="218">
        <v>0</v>
      </c>
      <c r="N44" s="223"/>
      <c r="O44" s="218">
        <v>0</v>
      </c>
      <c r="Q44" s="223"/>
      <c r="R44" s="218">
        <v>0</v>
      </c>
      <c r="T44" s="223"/>
      <c r="U44" s="218">
        <v>0</v>
      </c>
      <c r="W44" s="223"/>
      <c r="X44" s="218">
        <v>0</v>
      </c>
      <c r="Z44" s="224"/>
      <c r="AA44" s="218">
        <v>0</v>
      </c>
      <c r="AC44" s="244"/>
      <c r="AD44" s="244"/>
      <c r="AE44" s="244"/>
      <c r="AF44" s="244"/>
      <c r="AG44" s="244"/>
      <c r="AH44" s="244"/>
      <c r="AI44" s="244"/>
      <c r="AJ44" s="244"/>
      <c r="AK44" s="244"/>
      <c r="AL44" s="244"/>
      <c r="AM44" s="244"/>
      <c r="AN44" s="244"/>
      <c r="AO44" s="244"/>
      <c r="AP44" s="244"/>
      <c r="AQ44" s="244"/>
      <c r="AR44" s="244"/>
      <c r="AS44" s="244"/>
      <c r="AT44" s="244"/>
      <c r="AU44" s="244"/>
      <c r="AV44" s="244"/>
    </row>
    <row r="45">
      <c r="D45" t="s">
        <v>55</v>
      </c>
      <c r="E45" s="231" t="s">
        <v>176</v>
      </c>
      <c r="F45" s="232"/>
      <c r="G45" s="176"/>
      <c r="H45" s="231" t="s">
        <v>176</v>
      </c>
      <c r="I45" s="232"/>
      <c r="J45" s="176"/>
      <c r="K45" s="231" t="s">
        <v>176</v>
      </c>
      <c r="L45" s="232"/>
      <c r="M45" s="176"/>
      <c r="N45" s="231" t="s">
        <v>176</v>
      </c>
      <c r="O45" s="232"/>
      <c r="P45" s="176"/>
      <c r="Q45" s="231" t="s">
        <v>176</v>
      </c>
      <c r="R45" s="232"/>
      <c r="S45" s="176"/>
      <c r="T45" s="231" t="s">
        <v>176</v>
      </c>
      <c r="U45" s="232"/>
      <c r="V45" s="176"/>
      <c r="W45" s="231" t="s">
        <v>176</v>
      </c>
      <c r="X45" s="232"/>
      <c r="Y45" s="176"/>
      <c r="Z45" s="233" t="s">
        <v>176</v>
      </c>
      <c r="AA45" s="232"/>
      <c r="AC45" s="244"/>
      <c r="AD45" s="244"/>
      <c r="AE45" s="244"/>
      <c r="AF45" s="244"/>
      <c r="AG45" s="244"/>
      <c r="AH45" s="244"/>
      <c r="AI45" s="244"/>
      <c r="AJ45" s="244"/>
      <c r="AK45" s="244"/>
      <c r="AL45" s="244"/>
      <c r="AM45" s="244"/>
      <c r="AN45" s="244"/>
      <c r="AO45" s="244"/>
      <c r="AP45" s="244"/>
      <c r="AQ45" s="244"/>
      <c r="AR45" s="244"/>
      <c r="AS45" s="244"/>
      <c r="AT45" s="244"/>
      <c r="AU45" s="244"/>
      <c r="AV45" s="244"/>
    </row>
    <row r="46" ht="15">
      <c r="B46" s="612"/>
      <c r="C46" s="612"/>
      <c r="D46" s="612"/>
      <c r="E46" s="612"/>
      <c r="F46" s="612"/>
      <c r="G46" s="612"/>
      <c r="H46" s="612"/>
      <c r="I46" s="612"/>
      <c r="J46" s="612"/>
      <c r="K46" s="612"/>
      <c r="L46" s="612"/>
      <c r="M46" s="612"/>
      <c r="N46" s="612"/>
      <c r="O46" s="612"/>
      <c r="P46" s="612"/>
      <c r="Q46" s="612"/>
      <c r="R46" s="612"/>
      <c r="S46" s="612"/>
      <c r="T46" s="612"/>
      <c r="U46" s="612"/>
      <c r="V46" s="612"/>
      <c r="W46" s="612"/>
      <c r="X46" s="612"/>
      <c r="Y46" s="612"/>
      <c r="Z46" s="612"/>
      <c r="AA46" s="612"/>
      <c r="AC46" s="244"/>
      <c r="AD46" s="244"/>
      <c r="AE46" s="244"/>
      <c r="AF46" s="244"/>
      <c r="AG46" s="244"/>
      <c r="AH46" s="244"/>
      <c r="AI46" s="244"/>
      <c r="AJ46" s="244"/>
      <c r="AK46" s="244"/>
      <c r="AL46" s="244"/>
      <c r="AM46" s="244"/>
      <c r="AN46" s="244"/>
      <c r="AO46" s="244"/>
      <c r="AP46" s="244"/>
      <c r="AQ46" s="244"/>
      <c r="AR46" s="244"/>
      <c r="AS46" s="244"/>
      <c r="AT46" s="244"/>
      <c r="AU46" s="244"/>
      <c r="AV46" s="244"/>
    </row>
    <row r="47" ht="18">
      <c r="B47" s="220" t="s">
        <v>13</v>
      </c>
      <c r="C47" s="57"/>
      <c r="E47" s="648" t="s">
        <v>40</v>
      </c>
      <c r="F47" s="648"/>
      <c r="H47" s="648" t="s">
        <v>39</v>
      </c>
      <c r="I47" s="648"/>
      <c r="K47" s="648" t="s">
        <v>41</v>
      </c>
      <c r="L47" s="648"/>
      <c r="N47" s="648" t="s">
        <v>42</v>
      </c>
      <c r="O47" s="648"/>
      <c r="Q47" s="648" t="s">
        <v>43</v>
      </c>
      <c r="R47" s="648"/>
      <c r="T47" s="648" t="s">
        <v>44</v>
      </c>
      <c r="U47" s="648"/>
      <c r="W47" s="648" t="s">
        <v>45</v>
      </c>
      <c r="X47" s="648"/>
      <c r="Z47" s="649" t="s">
        <v>23</v>
      </c>
      <c r="AA47" s="649"/>
      <c r="AC47" s="244"/>
      <c r="AD47" s="244"/>
      <c r="AE47" s="244"/>
      <c r="AF47" s="244"/>
      <c r="AG47" s="244"/>
      <c r="AH47" s="244"/>
      <c r="AI47" s="244"/>
      <c r="AJ47" s="244"/>
      <c r="AK47" s="244"/>
      <c r="AL47" s="244"/>
      <c r="AM47" s="244"/>
      <c r="AN47" s="244"/>
      <c r="AO47" s="244"/>
      <c r="AP47" s="244"/>
      <c r="AQ47" s="244"/>
      <c r="AR47" s="244"/>
      <c r="AS47" s="244"/>
      <c r="AT47" s="244"/>
      <c r="AU47" s="244"/>
      <c r="AV47" s="244"/>
    </row>
    <row r="48">
      <c r="E48" s="176"/>
      <c r="F48" s="176" t="s">
        <v>57</v>
      </c>
      <c r="G48" s="176"/>
      <c r="H48" s="176"/>
      <c r="I48" s="176" t="s">
        <v>57</v>
      </c>
      <c r="J48" s="176"/>
      <c r="K48" s="176"/>
      <c r="L48" s="176" t="s">
        <v>57</v>
      </c>
      <c r="M48" s="176"/>
      <c r="N48" s="176"/>
      <c r="O48" s="176" t="s">
        <v>57</v>
      </c>
      <c r="P48" s="176"/>
      <c r="Q48" s="176"/>
      <c r="R48" s="176" t="s">
        <v>57</v>
      </c>
      <c r="S48" s="176"/>
      <c r="T48" s="176"/>
      <c r="U48" s="176" t="s">
        <v>57</v>
      </c>
      <c r="V48" s="176"/>
      <c r="W48" s="176"/>
      <c r="X48" s="176" t="s">
        <v>57</v>
      </c>
      <c r="Y48" s="176"/>
      <c r="Z48" s="226"/>
      <c r="AA48" s="176" t="s">
        <v>57</v>
      </c>
      <c r="AC48" s="244"/>
      <c r="AD48" s="244"/>
      <c r="AE48" s="244"/>
      <c r="AF48" s="244"/>
      <c r="AG48" s="244"/>
      <c r="AH48" s="244"/>
      <c r="AI48" s="244"/>
      <c r="AJ48" s="244"/>
      <c r="AK48" s="244"/>
      <c r="AL48" s="244"/>
      <c r="AM48" s="244"/>
      <c r="AN48" s="244"/>
      <c r="AO48" s="244"/>
      <c r="AP48" s="244"/>
      <c r="AQ48" s="244"/>
      <c r="AR48" s="244"/>
      <c r="AS48" s="244"/>
      <c r="AT48" s="244"/>
      <c r="AU48" s="244"/>
      <c r="AV48" s="244"/>
    </row>
    <row r="49">
      <c r="B49" s="216" t="s">
        <v>23</v>
      </c>
      <c r="C49" s="216"/>
      <c r="D49" s="217" t="s">
        <v>32</v>
      </c>
      <c r="E49" s="598">
        <v>110.84090909090909090909090909</v>
      </c>
      <c r="F49" s="219">
        <v>4.016778046358823647265540100</v>
      </c>
      <c r="G49" s="217"/>
      <c r="H49" s="598">
        <v>94.62878787878787878787878788</v>
      </c>
      <c r="I49" s="219">
        <v>13.688905069693966414166382220</v>
      </c>
      <c r="J49" s="217"/>
      <c r="K49" s="598">
        <v>91.42424242424242424242424242</v>
      </c>
      <c r="L49" s="219">
        <v>-11.192876591386800242375042520</v>
      </c>
      <c r="M49" s="217"/>
      <c r="N49" s="598">
        <v>80.4469696969696969696969697</v>
      </c>
      <c r="O49" s="219">
        <v>-29.017379679123507785467121880</v>
      </c>
      <c r="P49" s="217"/>
      <c r="Q49" s="598">
        <v>115.79545454545454545454545455</v>
      </c>
      <c r="R49" s="219">
        <v>-21.134100407638493836113576410</v>
      </c>
      <c r="S49" s="217"/>
      <c r="T49" s="598">
        <v>162.93939393939393939393939394</v>
      </c>
      <c r="U49" s="219">
        <v>-5.217697867094735535103097400</v>
      </c>
      <c r="V49" s="217"/>
      <c r="W49" s="598">
        <v>178.40909090909090909090909091</v>
      </c>
      <c r="X49" s="219">
        <v>4.988631804210778508150778200</v>
      </c>
      <c r="Y49" s="217"/>
      <c r="Z49" s="599">
        <v>119.21212121212121212121212121</v>
      </c>
      <c r="AA49" s="219">
        <v>-6.7346282152981918114881103700</v>
      </c>
      <c r="AC49" s="244"/>
      <c r="AD49" s="244"/>
      <c r="AE49" s="244"/>
      <c r="AF49" s="244"/>
      <c r="AG49" s="244"/>
      <c r="AH49" s="244"/>
      <c r="AI49" s="244"/>
      <c r="AJ49" s="244"/>
      <c r="AK49" s="244"/>
      <c r="AL49" s="244"/>
      <c r="AM49" s="244"/>
      <c r="AN49" s="244"/>
      <c r="AO49" s="244"/>
      <c r="AP49" s="244"/>
      <c r="AQ49" s="244"/>
      <c r="AR49" s="244"/>
      <c r="AS49" s="244"/>
      <c r="AT49" s="244"/>
      <c r="AU49" s="244"/>
      <c r="AV49" s="244"/>
    </row>
    <row r="50">
      <c r="D50" s="217" t="s">
        <v>26</v>
      </c>
      <c r="E50" s="598">
        <v>125.77616279069767441860465116</v>
      </c>
      <c r="F50" s="219">
        <v>-20.071307175064203919831883870</v>
      </c>
      <c r="G50" s="217"/>
      <c r="H50" s="598">
        <v>111.33948339483394833948339483</v>
      </c>
      <c r="I50" s="219">
        <v>-15.415334714737980958523713390</v>
      </c>
      <c r="J50" s="217"/>
      <c r="K50" s="598">
        <v>89.86346863468634686346863469</v>
      </c>
      <c r="L50" s="219">
        <v>-16.415116779349403714104590400</v>
      </c>
      <c r="M50" s="217"/>
      <c r="N50" s="598">
        <v>87.42435424354243542435424354</v>
      </c>
      <c r="O50" s="219">
        <v>-23.200342552737090814624390430</v>
      </c>
      <c r="P50" s="217"/>
      <c r="Q50" s="598">
        <v>120.80811808118081180811808118</v>
      </c>
      <c r="R50" s="219">
        <v>-14.385792175817405972411936640</v>
      </c>
      <c r="S50" s="217"/>
      <c r="T50" s="598">
        <v>190.036900369003690036900369</v>
      </c>
      <c r="U50" s="219">
        <v>-0.921941578710925889818247300</v>
      </c>
      <c r="V50" s="217"/>
      <c r="W50" s="598">
        <v>205.90405904059040590405904059</v>
      </c>
      <c r="X50" s="219">
        <v>5.4362171362387371706758376200</v>
      </c>
      <c r="Y50" s="217"/>
      <c r="Z50" s="599">
        <v>133.02179236493361611356977357</v>
      </c>
      <c r="AA50" s="219">
        <v>-10.340042038407984559633049140</v>
      </c>
      <c r="AC50" s="244"/>
      <c r="AD50" s="244"/>
      <c r="AE50" s="244"/>
      <c r="AF50" s="244"/>
      <c r="AG50" s="244"/>
      <c r="AH50" s="244"/>
      <c r="AI50" s="244"/>
      <c r="AJ50" s="244"/>
      <c r="AK50" s="244"/>
      <c r="AL50" s="244"/>
      <c r="AM50" s="244"/>
      <c r="AN50" s="244"/>
      <c r="AO50" s="244"/>
      <c r="AP50" s="244"/>
      <c r="AQ50" s="244"/>
      <c r="AR50" s="244"/>
      <c r="AS50" s="244"/>
      <c r="AT50" s="244"/>
      <c r="AU50" s="244"/>
      <c r="AV50" s="244"/>
    </row>
    <row r="51">
      <c r="D51" t="s">
        <v>93</v>
      </c>
      <c r="E51" s="223">
        <v>88.12552921920175253309339476</v>
      </c>
      <c r="F51" s="218">
        <v>30.136968803211904923806104490</v>
      </c>
      <c r="H51" s="223">
        <v>84.99122233506556969466071504</v>
      </c>
      <c r="I51" s="218">
        <v>34.408411603087486067252119480</v>
      </c>
      <c r="K51" s="223">
        <v>101.73682789375408658918778300</v>
      </c>
      <c r="L51" s="218">
        <v>6.2478285388032664370647088100</v>
      </c>
      <c r="N51" s="223">
        <v>92.01894642870745423614376222</v>
      </c>
      <c r="O51" s="218">
        <v>-7.5743008754883120217810238900</v>
      </c>
      <c r="Q51" s="223">
        <v>95.85072293537737127153907743</v>
      </c>
      <c r="R51" s="218">
        <v>-7.8822293674549499215183728700</v>
      </c>
      <c r="T51" s="223">
        <v>85.74092380111964074756424651</v>
      </c>
      <c r="U51" s="218">
        <v>-4.3357291784488088882212661300</v>
      </c>
      <c r="W51" s="223">
        <v>86.64670902573724650394568901</v>
      </c>
      <c r="X51" s="218">
        <v>-0.4245081474183630337362056500</v>
      </c>
      <c r="Z51" s="224">
        <v>89.61848964198538493422750731</v>
      </c>
      <c r="AA51" s="218">
        <v>4.0212084693057832170973327600</v>
      </c>
      <c r="AC51" s="244"/>
      <c r="AD51" s="244"/>
      <c r="AE51" s="244"/>
      <c r="AF51" s="244"/>
      <c r="AG51" s="244"/>
      <c r="AH51" s="244"/>
      <c r="AI51" s="244"/>
      <c r="AJ51" s="244"/>
      <c r="AK51" s="244"/>
      <c r="AL51" s="244"/>
      <c r="AM51" s="244"/>
      <c r="AN51" s="244"/>
      <c r="AO51" s="244"/>
      <c r="AP51" s="244"/>
      <c r="AQ51" s="244"/>
      <c r="AR51" s="244"/>
      <c r="AS51" s="244"/>
      <c r="AT51" s="244"/>
      <c r="AU51" s="244"/>
      <c r="AV51" s="244"/>
    </row>
    <row r="52">
      <c r="D52" s="214" t="s">
        <v>55</v>
      </c>
      <c r="E52" s="227" t="s">
        <v>171</v>
      </c>
      <c r="F52" s="228" t="s">
        <v>172</v>
      </c>
      <c r="G52" s="229"/>
      <c r="H52" s="227" t="s">
        <v>173</v>
      </c>
      <c r="I52" s="228" t="s">
        <v>175</v>
      </c>
      <c r="J52" s="229"/>
      <c r="K52" s="227" t="s">
        <v>173</v>
      </c>
      <c r="L52" s="228" t="s">
        <v>173</v>
      </c>
      <c r="M52" s="229"/>
      <c r="N52" s="227" t="s">
        <v>173</v>
      </c>
      <c r="O52" s="228" t="s">
        <v>173</v>
      </c>
      <c r="P52" s="229"/>
      <c r="Q52" s="227" t="s">
        <v>173</v>
      </c>
      <c r="R52" s="228" t="s">
        <v>173</v>
      </c>
      <c r="S52" s="229"/>
      <c r="T52" s="227" t="s">
        <v>173</v>
      </c>
      <c r="U52" s="228" t="s">
        <v>173</v>
      </c>
      <c r="V52" s="229"/>
      <c r="W52" s="227" t="s">
        <v>173</v>
      </c>
      <c r="X52" s="228" t="s">
        <v>173</v>
      </c>
      <c r="Y52" s="229"/>
      <c r="Z52" s="230" t="s">
        <v>173</v>
      </c>
      <c r="AA52" s="228" t="s">
        <v>173</v>
      </c>
      <c r="AC52" s="244"/>
      <c r="AD52" s="244"/>
      <c r="AE52" s="244"/>
      <c r="AF52" s="244"/>
      <c r="AG52" s="244"/>
      <c r="AH52" s="244"/>
      <c r="AI52" s="244"/>
      <c r="AJ52" s="244"/>
      <c r="AK52" s="244"/>
      <c r="AL52" s="244"/>
      <c r="AM52" s="244"/>
      <c r="AN52" s="244"/>
      <c r="AO52" s="244"/>
      <c r="AP52" s="244"/>
      <c r="AQ52" s="244"/>
      <c r="AR52" s="244"/>
      <c r="AS52" s="244"/>
      <c r="AT52" s="244"/>
      <c r="AU52" s="244"/>
      <c r="AV52" s="244"/>
    </row>
    <row r="53" ht="8.1" customHeight="1">
      <c r="F53" s="218"/>
      <c r="I53" s="218"/>
      <c r="L53" s="218"/>
      <c r="O53" s="218"/>
      <c r="R53" s="218"/>
      <c r="U53" s="218"/>
      <c r="X53" s="218"/>
      <c r="Z53" s="215"/>
      <c r="AA53" s="218"/>
      <c r="AC53" s="244"/>
      <c r="AD53" s="244"/>
      <c r="AE53" s="244"/>
      <c r="AF53" s="244"/>
      <c r="AG53" s="244"/>
      <c r="AH53" s="244"/>
      <c r="AI53" s="244"/>
      <c r="AJ53" s="244"/>
      <c r="AK53" s="244"/>
      <c r="AL53" s="244"/>
      <c r="AM53" s="244"/>
      <c r="AN53" s="244"/>
      <c r="AO53" s="244"/>
      <c r="AP53" s="244"/>
      <c r="AQ53" s="244"/>
      <c r="AR53" s="244"/>
      <c r="AS53" s="244"/>
      <c r="AT53" s="244"/>
      <c r="AU53" s="244"/>
      <c r="AV53" s="244"/>
    </row>
    <row r="54">
      <c r="B54" s="216" t="s">
        <v>21</v>
      </c>
      <c r="C54" s="216"/>
      <c r="D54" s="217" t="s">
        <v>32</v>
      </c>
      <c r="E54" s="598">
        <v>110.84090909090909090909090909</v>
      </c>
      <c r="F54" s="219">
        <v>4.016778046358823647265540100</v>
      </c>
      <c r="G54" s="217"/>
      <c r="H54" s="598">
        <v>94.62878787878787878787878788</v>
      </c>
      <c r="I54" s="219">
        <v>19.257208325354352261156128630</v>
      </c>
      <c r="J54" s="217"/>
      <c r="K54" s="598">
        <v>91.42424242424242424242424242</v>
      </c>
      <c r="L54" s="219">
        <v>23.130292827262524232221201910</v>
      </c>
      <c r="M54" s="217"/>
      <c r="N54" s="598">
        <v>80.4469696969696969696969697</v>
      </c>
      <c r="O54" s="219">
        <v>-5.5417185554541555273399752400</v>
      </c>
      <c r="P54" s="217"/>
      <c r="Q54" s="598">
        <v>115.79545454545454545454545455</v>
      </c>
      <c r="R54" s="219">
        <v>-1.9752453023893310849429985900</v>
      </c>
      <c r="S54" s="217"/>
      <c r="T54" s="598">
        <v>162.93939393939393939393939394</v>
      </c>
      <c r="U54" s="219">
        <v>-0.9395725865588620700328839700</v>
      </c>
      <c r="V54" s="217"/>
      <c r="W54" s="598">
        <v>178.40909090909090909090909091</v>
      </c>
      <c r="X54" s="219">
        <v>10.532244438180200943709480140</v>
      </c>
      <c r="Y54" s="217"/>
      <c r="Z54" s="599">
        <v>119.21212121212121212121212121</v>
      </c>
      <c r="AA54" s="219">
        <v>5.718179549657346907699001200</v>
      </c>
      <c r="AC54" s="244"/>
      <c r="AD54" s="244"/>
      <c r="AE54" s="244"/>
      <c r="AF54" s="244"/>
      <c r="AG54" s="244"/>
      <c r="AH54" s="244"/>
      <c r="AI54" s="244"/>
      <c r="AJ54" s="244"/>
      <c r="AK54" s="244"/>
      <c r="AL54" s="244"/>
      <c r="AM54" s="244"/>
      <c r="AN54" s="244"/>
      <c r="AO54" s="244"/>
      <c r="AP54" s="244"/>
      <c r="AQ54" s="244"/>
      <c r="AR54" s="244"/>
      <c r="AS54" s="244"/>
      <c r="AT54" s="244"/>
      <c r="AU54" s="244"/>
      <c r="AV54" s="244"/>
    </row>
    <row r="55">
      <c r="D55" s="217" t="s">
        <v>26</v>
      </c>
      <c r="E55" s="598">
        <v>125.77616279069767441860465116</v>
      </c>
      <c r="F55" s="219">
        <v>-18.879952003325324199080265760</v>
      </c>
      <c r="G55" s="217"/>
      <c r="H55" s="598">
        <v>111.33948339483394833948339483</v>
      </c>
      <c r="I55" s="219">
        <v>-14.572016130985829926579110420</v>
      </c>
      <c r="J55" s="217"/>
      <c r="K55" s="598">
        <v>83.17343173431734317343173432</v>
      </c>
      <c r="L55" s="219">
        <v>-21.691270447458583846891807620</v>
      </c>
      <c r="M55" s="217"/>
      <c r="N55" s="598">
        <v>72.284132841328413284132841326</v>
      </c>
      <c r="O55" s="219">
        <v>-36.01363398414851518151756700</v>
      </c>
      <c r="P55" s="217"/>
      <c r="Q55" s="598">
        <v>106.10701107011070110701107011</v>
      </c>
      <c r="R55" s="219">
        <v>-24.804161825823314967980244910</v>
      </c>
      <c r="S55" s="217"/>
      <c r="T55" s="598">
        <v>169.44649446494464944649446494</v>
      </c>
      <c r="U55" s="219">
        <v>-11.657001112512732366222406140</v>
      </c>
      <c r="V55" s="217"/>
      <c r="W55" s="598">
        <v>196.36162361623616236162361623</v>
      </c>
      <c r="X55" s="219">
        <v>0.5498720194947698888950541700</v>
      </c>
      <c r="Y55" s="217"/>
      <c r="Z55" s="599">
        <v>123.49833427320984173296882471</v>
      </c>
      <c r="AA55" s="219">
        <v>-16.293526351829930095937707720</v>
      </c>
      <c r="AC55" s="244"/>
      <c r="AD55" s="244"/>
      <c r="AE55" s="244"/>
      <c r="AF55" s="244"/>
      <c r="AG55" s="244"/>
      <c r="AH55" s="244"/>
      <c r="AI55" s="244"/>
      <c r="AJ55" s="244"/>
      <c r="AK55" s="244"/>
      <c r="AL55" s="244"/>
      <c r="AM55" s="244"/>
      <c r="AN55" s="244"/>
      <c r="AO55" s="244"/>
      <c r="AP55" s="244"/>
      <c r="AQ55" s="244"/>
      <c r="AR55" s="244"/>
      <c r="AS55" s="244"/>
      <c r="AT55" s="244"/>
      <c r="AU55" s="244"/>
      <c r="AV55" s="244"/>
    </row>
    <row r="56">
      <c r="D56" t="s">
        <v>22</v>
      </c>
      <c r="E56" s="223">
        <v>88.12552921920338196021742374</v>
      </c>
      <c r="F56" s="218">
        <v>28.225735333230480483467116720</v>
      </c>
      <c r="H56" s="223">
        <v>84.99122233503965516029281648</v>
      </c>
      <c r="I56" s="218">
        <v>39.599698979516536968453223100</v>
      </c>
      <c r="K56" s="223">
        <v>109.92000752870318087709392056</v>
      </c>
      <c r="L56" s="218">
        <v>57.236994561056891681453642010</v>
      </c>
      <c r="N56" s="223">
        <v>111.29270911163810239822287401</v>
      </c>
      <c r="O56" s="218">
        <v>47.622512929199409504508976370</v>
      </c>
      <c r="Q56" s="223">
        <v>109.13082309795924819398997803</v>
      </c>
      <c r="R56" s="218">
        <v>30.359281946705501554420490640</v>
      </c>
      <c r="T56" s="223">
        <v>96.15979041283919332699820505</v>
      </c>
      <c r="U56" s="218">
        <v>12.131610496509074031694458900</v>
      </c>
      <c r="W56" s="223">
        <v>90.85741277927544699446830465</v>
      </c>
      <c r="X56" s="218">
        <v>9.927782321503609714300585930</v>
      </c>
      <c r="Z56" s="224">
        <v>96.52933532560331368700450725</v>
      </c>
      <c r="AA56" s="218">
        <v>26.296300563431002547951351160</v>
      </c>
      <c r="AC56" s="244"/>
      <c r="AD56" s="244"/>
      <c r="AE56" s="244"/>
      <c r="AF56" s="244"/>
      <c r="AG56" s="244"/>
      <c r="AH56" s="244"/>
      <c r="AI56" s="244"/>
      <c r="AJ56" s="244"/>
      <c r="AK56" s="244"/>
      <c r="AL56" s="244"/>
      <c r="AM56" s="244"/>
      <c r="AN56" s="244"/>
      <c r="AO56" s="244"/>
      <c r="AP56" s="244"/>
      <c r="AQ56" s="244"/>
      <c r="AR56" s="244"/>
      <c r="AS56" s="244"/>
      <c r="AT56" s="244"/>
      <c r="AU56" s="244"/>
      <c r="AV56" s="244"/>
    </row>
    <row r="57">
      <c r="D57" t="s">
        <v>55</v>
      </c>
      <c r="E57" s="231" t="s">
        <v>171</v>
      </c>
      <c r="F57" s="232" t="s">
        <v>172</v>
      </c>
      <c r="G57" s="176"/>
      <c r="H57" s="231" t="s">
        <v>173</v>
      </c>
      <c r="I57" s="232" t="s">
        <v>175</v>
      </c>
      <c r="J57" s="176"/>
      <c r="K57" s="231" t="s">
        <v>173</v>
      </c>
      <c r="L57" s="232" t="s">
        <v>175</v>
      </c>
      <c r="M57" s="176"/>
      <c r="N57" s="231" t="s">
        <v>173</v>
      </c>
      <c r="O57" s="232" t="s">
        <v>175</v>
      </c>
      <c r="P57" s="176"/>
      <c r="Q57" s="231" t="s">
        <v>173</v>
      </c>
      <c r="R57" s="232" t="s">
        <v>175</v>
      </c>
      <c r="S57" s="176"/>
      <c r="T57" s="231" t="s">
        <v>173</v>
      </c>
      <c r="U57" s="232" t="s">
        <v>175</v>
      </c>
      <c r="V57" s="176"/>
      <c r="W57" s="231" t="s">
        <v>173</v>
      </c>
      <c r="X57" s="232" t="s">
        <v>175</v>
      </c>
      <c r="Y57" s="176"/>
      <c r="Z57" s="233" t="s">
        <v>173</v>
      </c>
      <c r="AA57" s="232" t="s">
        <v>175</v>
      </c>
      <c r="AC57" s="244"/>
      <c r="AD57" s="244"/>
      <c r="AE57" s="244"/>
      <c r="AF57" s="244"/>
      <c r="AG57" s="244"/>
      <c r="AH57" s="244"/>
      <c r="AI57" s="244"/>
      <c r="AJ57" s="244"/>
      <c r="AK57" s="244"/>
      <c r="AL57" s="244"/>
      <c r="AM57" s="244"/>
      <c r="AN57" s="244"/>
      <c r="AO57" s="244"/>
      <c r="AP57" s="244"/>
      <c r="AQ57" s="244"/>
      <c r="AR57" s="244"/>
      <c r="AS57" s="244"/>
      <c r="AT57" s="244"/>
      <c r="AU57" s="244"/>
      <c r="AV57" s="244"/>
    </row>
    <row r="58" ht="8.1" customHeight="1">
      <c r="F58" s="218"/>
      <c r="I58" s="218"/>
      <c r="L58" s="218"/>
      <c r="O58" s="218"/>
      <c r="R58" s="218"/>
      <c r="U58" s="218"/>
      <c r="X58" s="218"/>
      <c r="Z58" s="215"/>
      <c r="AA58" s="218"/>
      <c r="AC58" s="244"/>
      <c r="AD58" s="244"/>
      <c r="AE58" s="244"/>
      <c r="AF58" s="244"/>
      <c r="AG58" s="244"/>
      <c r="AH58" s="244"/>
      <c r="AI58" s="244"/>
      <c r="AJ58" s="244"/>
      <c r="AK58" s="244"/>
      <c r="AL58" s="244"/>
      <c r="AM58" s="244"/>
      <c r="AN58" s="244"/>
      <c r="AO58" s="244"/>
      <c r="AP58" s="244"/>
      <c r="AQ58" s="244"/>
      <c r="AR58" s="244"/>
      <c r="AS58" s="244"/>
      <c r="AT58" s="244"/>
      <c r="AU58" s="244"/>
      <c r="AV58" s="244"/>
    </row>
    <row r="59">
      <c r="B59" s="216" t="s">
        <v>24</v>
      </c>
      <c r="C59" s="216"/>
      <c r="D59" s="217" t="s">
        <v>32</v>
      </c>
      <c r="E59" s="598">
        <v>0</v>
      </c>
      <c r="F59" s="219">
        <v>0</v>
      </c>
      <c r="G59" s="217"/>
      <c r="H59" s="598">
        <v>0</v>
      </c>
      <c r="I59" s="219">
        <v>-100</v>
      </c>
      <c r="J59" s="217"/>
      <c r="K59" s="598">
        <v>0</v>
      </c>
      <c r="L59" s="219">
        <v>-100</v>
      </c>
      <c r="M59" s="217"/>
      <c r="N59" s="598">
        <v>0</v>
      </c>
      <c r="O59" s="219">
        <v>-100</v>
      </c>
      <c r="P59" s="217"/>
      <c r="Q59" s="598">
        <v>0</v>
      </c>
      <c r="R59" s="219">
        <v>-100</v>
      </c>
      <c r="S59" s="217"/>
      <c r="T59" s="598">
        <v>0</v>
      </c>
      <c r="U59" s="219">
        <v>-100</v>
      </c>
      <c r="V59" s="217"/>
      <c r="W59" s="598">
        <v>0</v>
      </c>
      <c r="X59" s="219">
        <v>-100</v>
      </c>
      <c r="Y59" s="217"/>
      <c r="Z59" s="599">
        <v>0</v>
      </c>
      <c r="AA59" s="219">
        <v>-100</v>
      </c>
      <c r="AC59" s="244"/>
      <c r="AD59" s="244"/>
      <c r="AE59" s="244"/>
      <c r="AF59" s="244"/>
      <c r="AG59" s="244"/>
      <c r="AH59" s="244"/>
      <c r="AI59" s="244"/>
      <c r="AJ59" s="244"/>
      <c r="AK59" s="244"/>
      <c r="AL59" s="244"/>
      <c r="AM59" s="244"/>
      <c r="AN59" s="244"/>
      <c r="AO59" s="244"/>
      <c r="AP59" s="244"/>
      <c r="AQ59" s="244"/>
      <c r="AR59" s="244"/>
      <c r="AS59" s="244"/>
      <c r="AT59" s="244"/>
      <c r="AU59" s="244"/>
      <c r="AV59" s="244"/>
    </row>
    <row r="60">
      <c r="D60" s="217" t="s">
        <v>26</v>
      </c>
      <c r="E60" s="598">
        <v>0</v>
      </c>
      <c r="F60" s="219">
        <v>-100</v>
      </c>
      <c r="G60" s="217"/>
      <c r="H60" s="598">
        <v>0</v>
      </c>
      <c r="I60" s="219">
        <v>-100</v>
      </c>
      <c r="J60" s="217"/>
      <c r="K60" s="598">
        <v>6.6900369003690036900369003695</v>
      </c>
      <c r="L60" s="219">
        <v>414.84847732448383113695311935</v>
      </c>
      <c r="M60" s="217"/>
      <c r="N60" s="598">
        <v>15.140221402214022140221402214</v>
      </c>
      <c r="O60" s="219">
        <v>1647.7302557603616871110744472</v>
      </c>
      <c r="P60" s="217"/>
      <c r="Q60" s="598">
        <v>14.70110701107011070110701107</v>
      </c>
      <c r="R60" s="219">
        <v>0</v>
      </c>
      <c r="S60" s="217"/>
      <c r="T60" s="598">
        <v>20.590405904059040590405904058</v>
      </c>
      <c r="U60" s="219">
        <v>0</v>
      </c>
      <c r="V60" s="217"/>
      <c r="W60" s="598">
        <v>9.542435424354243542435424354</v>
      </c>
      <c r="X60" s="219">
        <v>0</v>
      </c>
      <c r="Y60" s="217"/>
      <c r="Z60" s="599">
        <v>9.523458091723774380600948867</v>
      </c>
      <c r="AA60" s="219">
        <v>1054.1261743165856812882655140</v>
      </c>
      <c r="AC60" s="244"/>
      <c r="AD60" s="244"/>
      <c r="AE60" s="244"/>
      <c r="AF60" s="244"/>
      <c r="AG60" s="244"/>
      <c r="AH60" s="244"/>
      <c r="AI60" s="244"/>
      <c r="AJ60" s="244"/>
      <c r="AK60" s="244"/>
      <c r="AL60" s="244"/>
      <c r="AM60" s="244"/>
      <c r="AN60" s="244"/>
      <c r="AO60" s="244"/>
      <c r="AP60" s="244"/>
      <c r="AQ60" s="244"/>
      <c r="AR60" s="244"/>
      <c r="AS60" s="244"/>
      <c r="AT60" s="244"/>
      <c r="AU60" s="244"/>
      <c r="AV60" s="244"/>
    </row>
    <row r="61">
      <c r="D61" t="s">
        <v>22</v>
      </c>
      <c r="E61" s="223"/>
      <c r="F61" s="218">
        <v>0</v>
      </c>
      <c r="H61" s="223"/>
      <c r="I61" s="218">
        <v>-100</v>
      </c>
      <c r="K61" s="223">
        <v>0</v>
      </c>
      <c r="L61" s="218">
        <v>-100</v>
      </c>
      <c r="N61" s="223">
        <v>0</v>
      </c>
      <c r="O61" s="218">
        <v>-100</v>
      </c>
      <c r="Q61" s="223">
        <v>0</v>
      </c>
      <c r="R61" s="218">
        <v>0</v>
      </c>
      <c r="T61" s="223">
        <v>0</v>
      </c>
      <c r="U61" s="218">
        <v>0</v>
      </c>
      <c r="W61" s="223">
        <v>0</v>
      </c>
      <c r="X61" s="218">
        <v>0</v>
      </c>
      <c r="Z61" s="224">
        <v>0</v>
      </c>
      <c r="AA61" s="218">
        <v>-100</v>
      </c>
      <c r="AC61" s="244"/>
      <c r="AD61" s="244"/>
      <c r="AE61" s="244"/>
      <c r="AF61" s="244"/>
      <c r="AG61" s="244"/>
      <c r="AH61" s="244"/>
      <c r="AI61" s="244"/>
      <c r="AJ61" s="244"/>
      <c r="AK61" s="244"/>
      <c r="AL61" s="244"/>
      <c r="AM61" s="244"/>
      <c r="AN61" s="244"/>
      <c r="AO61" s="244"/>
      <c r="AP61" s="244"/>
      <c r="AQ61" s="244"/>
      <c r="AR61" s="244"/>
      <c r="AS61" s="244"/>
      <c r="AT61" s="244"/>
      <c r="AU61" s="244"/>
      <c r="AV61" s="244"/>
    </row>
    <row r="62">
      <c r="D62" t="s">
        <v>55</v>
      </c>
      <c r="E62" s="231" t="s">
        <v>176</v>
      </c>
      <c r="F62" s="232"/>
      <c r="G62" s="176"/>
      <c r="H62" s="231" t="s">
        <v>176</v>
      </c>
      <c r="I62" s="232"/>
      <c r="J62" s="176"/>
      <c r="K62" s="231" t="s">
        <v>176</v>
      </c>
      <c r="L62" s="232"/>
      <c r="M62" s="176"/>
      <c r="N62" s="231" t="s">
        <v>176</v>
      </c>
      <c r="O62" s="232"/>
      <c r="P62" s="176"/>
      <c r="Q62" s="231" t="s">
        <v>176</v>
      </c>
      <c r="R62" s="232"/>
      <c r="S62" s="176"/>
      <c r="T62" s="231" t="s">
        <v>176</v>
      </c>
      <c r="U62" s="232"/>
      <c r="V62" s="176"/>
      <c r="W62" s="231" t="s">
        <v>176</v>
      </c>
      <c r="X62" s="232"/>
      <c r="Y62" s="176"/>
      <c r="Z62" s="233" t="s">
        <v>176</v>
      </c>
      <c r="AA62" s="232"/>
      <c r="AC62" s="244"/>
      <c r="AD62" s="244"/>
      <c r="AE62" s="244"/>
      <c r="AF62" s="244"/>
      <c r="AG62" s="244"/>
      <c r="AH62" s="244"/>
      <c r="AI62" s="244"/>
      <c r="AJ62" s="244"/>
      <c r="AK62" s="244"/>
      <c r="AL62" s="244"/>
      <c r="AM62" s="244"/>
      <c r="AN62" s="244"/>
      <c r="AO62" s="244"/>
      <c r="AP62" s="244"/>
      <c r="AQ62" s="244"/>
      <c r="AR62" s="244"/>
      <c r="AS62" s="244"/>
      <c r="AT62" s="244"/>
      <c r="AU62" s="244"/>
      <c r="AV62" s="244"/>
    </row>
    <row r="63" ht="8.1" customHeight="1">
      <c r="F63" s="218"/>
      <c r="I63" s="218"/>
      <c r="L63" s="218"/>
      <c r="O63" s="218"/>
      <c r="R63" s="218"/>
      <c r="U63" s="218"/>
      <c r="X63" s="218"/>
      <c r="Z63" s="215"/>
      <c r="AA63" s="218"/>
      <c r="AC63" s="244"/>
      <c r="AD63" s="244"/>
      <c r="AE63" s="244"/>
      <c r="AF63" s="244"/>
      <c r="AG63" s="244"/>
      <c r="AH63" s="244"/>
      <c r="AI63" s="244"/>
      <c r="AJ63" s="244"/>
      <c r="AK63" s="244"/>
      <c r="AL63" s="244"/>
      <c r="AM63" s="244"/>
      <c r="AN63" s="244"/>
      <c r="AO63" s="244"/>
      <c r="AP63" s="244"/>
      <c r="AQ63" s="244"/>
      <c r="AR63" s="244"/>
      <c r="AS63" s="244"/>
      <c r="AT63" s="244"/>
      <c r="AU63" s="244"/>
      <c r="AV63" s="244"/>
    </row>
    <row r="64">
      <c r="B64" s="216" t="s">
        <v>25</v>
      </c>
      <c r="C64" s="216"/>
      <c r="D64" s="217" t="s">
        <v>32</v>
      </c>
      <c r="E64" s="598">
        <v>0</v>
      </c>
      <c r="F64" s="219">
        <v>0</v>
      </c>
      <c r="G64" s="217"/>
      <c r="H64" s="598">
        <v>0</v>
      </c>
      <c r="I64" s="219">
        <v>0</v>
      </c>
      <c r="J64" s="217"/>
      <c r="K64" s="598">
        <v>0</v>
      </c>
      <c r="L64" s="219">
        <v>0</v>
      </c>
      <c r="M64" s="217"/>
      <c r="N64" s="598">
        <v>0</v>
      </c>
      <c r="O64" s="219">
        <v>0</v>
      </c>
      <c r="P64" s="217"/>
      <c r="Q64" s="598">
        <v>0</v>
      </c>
      <c r="R64" s="219">
        <v>0</v>
      </c>
      <c r="S64" s="217"/>
      <c r="T64" s="598">
        <v>0</v>
      </c>
      <c r="U64" s="219">
        <v>0</v>
      </c>
      <c r="V64" s="217"/>
      <c r="W64" s="598">
        <v>0</v>
      </c>
      <c r="X64" s="219">
        <v>0</v>
      </c>
      <c r="Y64" s="217"/>
      <c r="Z64" s="599">
        <v>0</v>
      </c>
      <c r="AA64" s="219">
        <v>0</v>
      </c>
      <c r="AC64" s="244"/>
      <c r="AD64" s="244"/>
      <c r="AE64" s="244"/>
      <c r="AF64" s="244"/>
      <c r="AG64" s="244"/>
      <c r="AH64" s="244"/>
      <c r="AI64" s="244"/>
      <c r="AJ64" s="244"/>
      <c r="AK64" s="244"/>
      <c r="AL64" s="244"/>
      <c r="AM64" s="244"/>
      <c r="AN64" s="244"/>
      <c r="AO64" s="244"/>
      <c r="AP64" s="244"/>
      <c r="AQ64" s="244"/>
      <c r="AR64" s="244"/>
      <c r="AS64" s="244"/>
      <c r="AT64" s="244"/>
      <c r="AU64" s="244"/>
      <c r="AV64" s="244"/>
    </row>
    <row r="65">
      <c r="D65" s="217" t="s">
        <v>26</v>
      </c>
      <c r="E65" s="598">
        <v>0</v>
      </c>
      <c r="F65" s="219">
        <v>0</v>
      </c>
      <c r="G65" s="217"/>
      <c r="H65" s="598">
        <v>0</v>
      </c>
      <c r="I65" s="219">
        <v>0</v>
      </c>
      <c r="J65" s="217"/>
      <c r="K65" s="598">
        <v>0</v>
      </c>
      <c r="L65" s="219">
        <v>0</v>
      </c>
      <c r="M65" s="217"/>
      <c r="N65" s="598">
        <v>0</v>
      </c>
      <c r="O65" s="219">
        <v>0</v>
      </c>
      <c r="P65" s="217"/>
      <c r="Q65" s="598">
        <v>0</v>
      </c>
      <c r="R65" s="219">
        <v>0</v>
      </c>
      <c r="S65" s="217"/>
      <c r="T65" s="598">
        <v>0</v>
      </c>
      <c r="U65" s="219">
        <v>0</v>
      </c>
      <c r="V65" s="217"/>
      <c r="W65" s="598">
        <v>0</v>
      </c>
      <c r="X65" s="219">
        <v>0</v>
      </c>
      <c r="Y65" s="217"/>
      <c r="Z65" s="599">
        <v>0</v>
      </c>
      <c r="AA65" s="219">
        <v>0</v>
      </c>
      <c r="AC65" s="244"/>
      <c r="AD65" s="244"/>
      <c r="AE65" s="244"/>
      <c r="AF65" s="244"/>
      <c r="AG65" s="244"/>
      <c r="AH65" s="244"/>
      <c r="AI65" s="244"/>
      <c r="AJ65" s="244"/>
      <c r="AK65" s="244"/>
      <c r="AL65" s="244"/>
      <c r="AM65" s="244"/>
      <c r="AN65" s="244"/>
      <c r="AO65" s="244"/>
      <c r="AP65" s="244"/>
      <c r="AQ65" s="244"/>
      <c r="AR65" s="244"/>
      <c r="AS65" s="244"/>
      <c r="AT65" s="244"/>
      <c r="AU65" s="244"/>
      <c r="AV65" s="244"/>
    </row>
    <row r="66">
      <c r="D66" t="s">
        <v>22</v>
      </c>
      <c r="E66" s="223"/>
      <c r="F66" s="218">
        <v>0</v>
      </c>
      <c r="H66" s="223"/>
      <c r="I66" s="218">
        <v>0</v>
      </c>
      <c r="K66" s="223"/>
      <c r="L66" s="218">
        <v>0</v>
      </c>
      <c r="N66" s="223"/>
      <c r="O66" s="218">
        <v>0</v>
      </c>
      <c r="Q66" s="223"/>
      <c r="R66" s="218">
        <v>0</v>
      </c>
      <c r="T66" s="223"/>
      <c r="U66" s="218">
        <v>0</v>
      </c>
      <c r="W66" s="223"/>
      <c r="X66" s="218">
        <v>0</v>
      </c>
      <c r="Z66" s="224"/>
      <c r="AA66" s="218">
        <v>0</v>
      </c>
      <c r="AC66" s="244"/>
      <c r="AD66" s="244"/>
      <c r="AE66" s="244"/>
      <c r="AF66" s="244"/>
      <c r="AG66" s="244"/>
      <c r="AH66" s="244"/>
      <c r="AI66" s="244"/>
      <c r="AJ66" s="244"/>
      <c r="AK66" s="244"/>
      <c r="AL66" s="244"/>
      <c r="AM66" s="244"/>
      <c r="AN66" s="244"/>
      <c r="AO66" s="244"/>
      <c r="AP66" s="244"/>
      <c r="AQ66" s="244"/>
      <c r="AR66" s="244"/>
      <c r="AS66" s="244"/>
      <c r="AT66" s="244"/>
      <c r="AU66" s="244"/>
      <c r="AV66" s="244"/>
    </row>
    <row r="67">
      <c r="D67" t="s">
        <v>55</v>
      </c>
      <c r="E67" s="231" t="s">
        <v>176</v>
      </c>
      <c r="F67" s="232"/>
      <c r="G67" s="176"/>
      <c r="H67" s="231" t="s">
        <v>176</v>
      </c>
      <c r="I67" s="232"/>
      <c r="J67" s="176"/>
      <c r="K67" s="231" t="s">
        <v>176</v>
      </c>
      <c r="L67" s="232"/>
      <c r="M67" s="176"/>
      <c r="N67" s="231" t="s">
        <v>176</v>
      </c>
      <c r="O67" s="232"/>
      <c r="P67" s="176"/>
      <c r="Q67" s="231" t="s">
        <v>176</v>
      </c>
      <c r="R67" s="232"/>
      <c r="S67" s="176"/>
      <c r="T67" s="231" t="s">
        <v>176</v>
      </c>
      <c r="U67" s="232"/>
      <c r="V67" s="176"/>
      <c r="W67" s="231" t="s">
        <v>176</v>
      </c>
      <c r="X67" s="232"/>
      <c r="Y67" s="176"/>
      <c r="Z67" s="233" t="s">
        <v>176</v>
      </c>
      <c r="AA67" s="232"/>
      <c r="AC67" s="244"/>
      <c r="AD67" s="244"/>
      <c r="AE67" s="244"/>
      <c r="AF67" s="244"/>
      <c r="AG67" s="244"/>
      <c r="AH67" s="244"/>
      <c r="AI67" s="244"/>
      <c r="AJ67" s="244"/>
      <c r="AK67" s="244"/>
      <c r="AL67" s="244"/>
      <c r="AM67" s="244"/>
      <c r="AN67" s="244"/>
      <c r="AO67" s="244"/>
      <c r="AP67" s="244"/>
      <c r="AQ67" s="244"/>
      <c r="AR67" s="244"/>
      <c r="AS67" s="244"/>
      <c r="AT67" s="244"/>
      <c r="AU67" s="244"/>
      <c r="AV67" s="244"/>
    </row>
    <row r="68" ht="15">
      <c r="B68" s="612"/>
      <c r="C68" s="612"/>
      <c r="D68" s="612"/>
      <c r="E68" s="612"/>
      <c r="F68" s="612"/>
      <c r="G68" s="612"/>
      <c r="H68" s="612"/>
      <c r="I68" s="612"/>
      <c r="J68" s="612"/>
      <c r="K68" s="612"/>
      <c r="L68" s="612"/>
      <c r="M68" s="612"/>
      <c r="N68" s="612"/>
      <c r="O68" s="612"/>
      <c r="P68" s="612"/>
      <c r="Q68" s="612"/>
      <c r="R68" s="612"/>
      <c r="S68" s="612"/>
      <c r="T68" s="612"/>
      <c r="U68" s="612"/>
      <c r="V68" s="612"/>
      <c r="W68" s="612"/>
      <c r="X68" s="612"/>
      <c r="Y68" s="612"/>
      <c r="Z68" s="612"/>
      <c r="AA68" s="612"/>
      <c r="AC68" s="244"/>
      <c r="AD68" s="244"/>
      <c r="AE68" s="244"/>
      <c r="AF68" s="244"/>
      <c r="AG68" s="244"/>
      <c r="AH68" s="244"/>
      <c r="AI68" s="244"/>
      <c r="AJ68" s="244"/>
      <c r="AK68" s="244"/>
      <c r="AL68" s="244"/>
      <c r="AM68" s="244"/>
      <c r="AN68" s="244"/>
      <c r="AO68" s="244"/>
      <c r="AP68" s="244"/>
      <c r="AQ68" s="244"/>
      <c r="AR68" s="244"/>
      <c r="AS68" s="244"/>
      <c r="AT68" s="244"/>
      <c r="AU68" s="244"/>
      <c r="AV68" s="244"/>
    </row>
    <row r="69" ht="15.75">
      <c r="B69" t="s">
        <v>168</v>
      </c>
      <c r="Y69" s="80"/>
      <c r="Z69" s="242"/>
      <c r="AC69" s="244"/>
      <c r="AD69" s="244"/>
      <c r="AE69" s="244"/>
      <c r="AF69" s="244"/>
      <c r="AG69" s="244"/>
      <c r="AH69" s="244"/>
      <c r="AI69" s="244"/>
      <c r="AJ69" s="244"/>
      <c r="AK69" s="244"/>
      <c r="AL69" s="244"/>
      <c r="AM69" s="244"/>
      <c r="AN69" s="244"/>
      <c r="AO69" s="244"/>
      <c r="AP69" s="244"/>
      <c r="AQ69" s="244"/>
      <c r="AR69" s="244"/>
      <c r="AS69" s="244"/>
      <c r="AT69" s="244"/>
      <c r="AU69" s="244"/>
      <c r="AV69" s="244"/>
    </row>
    <row r="70" ht="6" customHeight="1">
      <c r="Y70" s="80"/>
      <c r="AC70" s="244"/>
      <c r="AD70" s="244"/>
      <c r="AE70" s="244"/>
      <c r="AF70" s="244"/>
      <c r="AG70" s="244"/>
      <c r="AH70" s="244"/>
      <c r="AI70" s="244"/>
      <c r="AJ70" s="244"/>
      <c r="AK70" s="244"/>
      <c r="AL70" s="244"/>
      <c r="AM70" s="244"/>
      <c r="AN70" s="244"/>
      <c r="AO70" s="244"/>
      <c r="AP70" s="244"/>
      <c r="AQ70" s="244"/>
      <c r="AR70" s="244"/>
      <c r="AS70" s="244"/>
      <c r="AT70" s="244"/>
      <c r="AU70" s="244"/>
      <c r="AV70" s="244"/>
    </row>
    <row r="71" ht="34.5" customHeight="1">
      <c r="B71" s="650" t="s">
        <v>114</v>
      </c>
      <c r="C71" s="650"/>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C71" s="244"/>
      <c r="AD71" s="244"/>
      <c r="AE71" s="244"/>
      <c r="AF71" s="244"/>
      <c r="AG71" s="244"/>
      <c r="AH71" s="244"/>
      <c r="AI71" s="244"/>
      <c r="AJ71" s="244"/>
      <c r="AK71" s="244"/>
      <c r="AL71" s="244"/>
      <c r="AM71" s="244"/>
      <c r="AN71" s="244"/>
      <c r="AO71" s="244"/>
      <c r="AP71" s="244"/>
      <c r="AQ71" s="244"/>
      <c r="AR71" s="244"/>
      <c r="AS71" s="244"/>
      <c r="AT71" s="244"/>
      <c r="AU71" s="244"/>
      <c r="AV71" s="244"/>
    </row>
    <row r="72">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row>
  </sheetData>
  <mergeCells count="29">
    <mergeCell ref="B71:AA71"/>
    <mergeCell ref="B2:AA2"/>
    <mergeCell ref="B24:AA24"/>
    <mergeCell ref="B46:AA46"/>
    <mergeCell ref="B68:AA68"/>
    <mergeCell ref="E3:F3"/>
    <mergeCell ref="H3:I3"/>
    <mergeCell ref="K3:L3"/>
    <mergeCell ref="N3:O3"/>
    <mergeCell ref="Q3:R3"/>
    <mergeCell ref="T3:U3"/>
    <mergeCell ref="W3:X3"/>
    <mergeCell ref="Z3:AA3"/>
    <mergeCell ref="E25:F25"/>
    <mergeCell ref="H25:I25"/>
    <mergeCell ref="K25:L25"/>
    <mergeCell ref="N25:O25"/>
    <mergeCell ref="Q25:R25"/>
    <mergeCell ref="T25:U25"/>
    <mergeCell ref="W25:X25"/>
    <mergeCell ref="Z25:AA25"/>
    <mergeCell ref="T47:U47"/>
    <mergeCell ref="W47:X47"/>
    <mergeCell ref="Z47:AA47"/>
    <mergeCell ref="E47:F47"/>
    <mergeCell ref="H47:I47"/>
    <mergeCell ref="K47:L47"/>
    <mergeCell ref="N47:O47"/>
    <mergeCell ref="Q47:R47"/>
  </mergeCells>
  <phoneticPr fontId="39" type="noConversion"/>
  <printOptions horizontalCentered="1" verticalCentered="1"/>
  <pageMargins left="0" right="0" top="0" bottom="0" header="0" footer="0"/>
  <pageSetup scale="64" orientation="landscape" horizontalDpi="1200" verticalDpi="1200" r:id="rId1"/>
  <headerFooter alignWithMargins="0">
    <oddHeader/>
    <oddFooter/>
  </headerFooter>
  <drawing r:id="rId22"/>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V112"/>
  <sheetViews>
    <sheetView showGridLines="0" zoomScale="75" workbookViewId="0"/>
  </sheetViews>
  <sheetFormatPr defaultRowHeight="12.75"/>
  <cols>
    <col min="1" max="1" width="2.7109375" customWidth="1"/>
    <col min="2" max="2" width="15.7109375" customWidth="1"/>
    <col min="3" max="3" width="1.42578125" customWidth="1"/>
    <col min="4" max="4" width="11" customWidth="1"/>
    <col min="6" max="6" width="8.7109375" customWidth="1"/>
    <col min="7" max="7" width="2.42578125" customWidth="1"/>
    <col min="9" max="9" width="8.7109375" customWidth="1"/>
    <col min="10" max="10" width="2.42578125" customWidth="1"/>
    <col min="12" max="12" width="8.7109375" customWidth="1"/>
    <col min="13" max="13" width="2.42578125" customWidth="1"/>
    <col min="15" max="15" width="8.7109375" customWidth="1"/>
    <col min="16" max="16" width="2.42578125" customWidth="1"/>
    <col min="18" max="18" width="8.7109375" customWidth="1"/>
    <col min="19" max="19" width="2.42578125" customWidth="1"/>
    <col min="21" max="21" width="8.7109375" customWidth="1"/>
    <col min="22" max="22" width="2.42578125" customWidth="1"/>
    <col min="24" max="24" width="8.7109375" customWidth="1"/>
    <col min="25" max="25" width="2.42578125" customWidth="1"/>
    <col min="27" max="27" width="8.7109375" customWidth="1"/>
    <col min="28" max="28" width="1.7109375" customWidth="1"/>
  </cols>
  <sheetData>
    <row r="1" ht="30" customHeight="1">
      <c r="B1" s="20" t="s">
        <v>117</v>
      </c>
      <c r="C1" s="20"/>
      <c r="AA1" s="176" t="s">
        <v>169</v>
      </c>
      <c r="AC1" s="244"/>
      <c r="AD1" s="244"/>
      <c r="AE1" s="244"/>
      <c r="AF1" s="244"/>
      <c r="AG1" s="244"/>
      <c r="AH1" s="244"/>
      <c r="AI1" s="244"/>
      <c r="AJ1" s="244"/>
      <c r="AK1" s="244"/>
      <c r="AL1" s="244"/>
      <c r="AM1" s="244"/>
      <c r="AN1" s="244"/>
      <c r="AO1" s="244"/>
      <c r="AP1" s="244"/>
      <c r="AQ1" s="244"/>
      <c r="AR1" s="244"/>
      <c r="AS1" s="244"/>
      <c r="AT1" s="244"/>
      <c r="AU1" s="244"/>
      <c r="AV1" s="244"/>
    </row>
    <row r="2" ht="15">
      <c r="B2" s="612" t="s">
        <v>177</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C2" s="244"/>
      <c r="AD2" s="244"/>
      <c r="AE2" s="244"/>
      <c r="AF2" s="244"/>
      <c r="AG2" s="244"/>
      <c r="AH2" s="244"/>
      <c r="AI2" s="244"/>
      <c r="AJ2" s="244"/>
      <c r="AK2" s="244"/>
      <c r="AL2" s="244"/>
      <c r="AM2" s="244"/>
      <c r="AN2" s="244"/>
      <c r="AO2" s="244"/>
      <c r="AP2" s="244"/>
      <c r="AQ2" s="244"/>
      <c r="AR2" s="244"/>
      <c r="AS2" s="244"/>
      <c r="AT2" s="244"/>
      <c r="AU2" s="244"/>
      <c r="AV2" s="244"/>
    </row>
    <row r="3" ht="19.5" customHeight="1">
      <c r="B3" s="220" t="s">
        <v>28</v>
      </c>
      <c r="C3" s="57"/>
      <c r="E3" s="648" t="s">
        <v>40</v>
      </c>
      <c r="F3" s="648"/>
      <c r="H3" s="648" t="s">
        <v>39</v>
      </c>
      <c r="I3" s="648"/>
      <c r="K3" s="648" t="s">
        <v>41</v>
      </c>
      <c r="L3" s="648"/>
      <c r="N3" s="648" t="s">
        <v>42</v>
      </c>
      <c r="O3" s="648"/>
      <c r="Q3" s="648" t="s">
        <v>43</v>
      </c>
      <c r="R3" s="648"/>
      <c r="T3" s="648" t="s">
        <v>44</v>
      </c>
      <c r="U3" s="648"/>
      <c r="W3" s="648" t="s">
        <v>45</v>
      </c>
      <c r="X3" s="648"/>
      <c r="Z3" s="649" t="s">
        <v>23</v>
      </c>
      <c r="AA3" s="649"/>
      <c r="AC3" s="244"/>
      <c r="AD3" s="244"/>
      <c r="AE3" s="244"/>
      <c r="AF3" s="244"/>
      <c r="AG3" s="244"/>
      <c r="AH3" s="244"/>
      <c r="AI3" s="244"/>
      <c r="AJ3" s="244"/>
      <c r="AK3" s="244"/>
      <c r="AL3" s="244"/>
      <c r="AM3" s="244"/>
      <c r="AN3" s="244"/>
      <c r="AO3" s="244"/>
      <c r="AP3" s="244"/>
      <c r="AQ3" s="244"/>
      <c r="AR3" s="244"/>
      <c r="AS3" s="244"/>
      <c r="AT3" s="244"/>
      <c r="AU3" s="244"/>
      <c r="AV3" s="244"/>
    </row>
    <row r="4">
      <c r="E4" s="176"/>
      <c r="F4" s="176" t="s">
        <v>57</v>
      </c>
      <c r="G4" s="176"/>
      <c r="H4" s="176"/>
      <c r="I4" s="176" t="s">
        <v>57</v>
      </c>
      <c r="J4" s="176"/>
      <c r="K4" s="176"/>
      <c r="L4" s="176" t="s">
        <v>57</v>
      </c>
      <c r="M4" s="176"/>
      <c r="N4" s="176"/>
      <c r="O4" s="176" t="s">
        <v>57</v>
      </c>
      <c r="P4" s="176"/>
      <c r="Q4" s="176"/>
      <c r="R4" s="176" t="s">
        <v>57</v>
      </c>
      <c r="S4" s="176"/>
      <c r="T4" s="176"/>
      <c r="U4" s="176" t="s">
        <v>57</v>
      </c>
      <c r="V4" s="176"/>
      <c r="W4" s="176"/>
      <c r="X4" s="176" t="s">
        <v>57</v>
      </c>
      <c r="Y4" s="176"/>
      <c r="Z4" s="226"/>
      <c r="AA4" s="176" t="s">
        <v>57</v>
      </c>
      <c r="AC4" s="244"/>
      <c r="AD4" s="244"/>
      <c r="AE4" s="244"/>
      <c r="AF4" s="244"/>
      <c r="AG4" s="244"/>
      <c r="AH4" s="244"/>
      <c r="AI4" s="244"/>
      <c r="AJ4" s="244"/>
      <c r="AK4" s="244"/>
      <c r="AL4" s="244"/>
      <c r="AM4" s="244"/>
      <c r="AN4" s="244"/>
      <c r="AO4" s="244"/>
      <c r="AP4" s="244"/>
      <c r="AQ4" s="244"/>
      <c r="AR4" s="244"/>
      <c r="AS4" s="244"/>
      <c r="AT4" s="244"/>
      <c r="AU4" s="244"/>
      <c r="AV4" s="244"/>
    </row>
    <row r="5">
      <c r="B5" s="216" t="s">
        <v>23</v>
      </c>
      <c r="C5" s="216"/>
      <c r="D5" s="217" t="s">
        <v>32</v>
      </c>
      <c r="E5" s="221">
        <v>0.7803030303030303030303030303</v>
      </c>
      <c r="F5" s="219">
        <v>-1.1990407674202094439556150800</v>
      </c>
      <c r="G5" s="217"/>
      <c r="H5" s="221">
        <v>0.7348484848484848484848484848</v>
      </c>
      <c r="I5" s="219">
        <v>-4.1975308641407590306355402100</v>
      </c>
      <c r="J5" s="217"/>
      <c r="K5" s="221">
        <v>0.7234848484848484848484848485</v>
      </c>
      <c r="L5" s="219">
        <v>-6.3725490195747981545559283600</v>
      </c>
      <c r="M5" s="217"/>
      <c r="N5" s="221">
        <v>0.7424242424242424242424242424</v>
      </c>
      <c r="O5" s="219">
        <v>-8.411214953264180277753515080</v>
      </c>
      <c r="P5" s="217"/>
      <c r="Q5" s="221">
        <v>0.8371212121212121212121212121</v>
      </c>
      <c r="R5" s="219">
        <v>-0.2257336342934944891438904800</v>
      </c>
      <c r="S5" s="217"/>
      <c r="T5" s="221">
        <v>0.8011363636363636363636363636</v>
      </c>
      <c r="U5" s="219">
        <v>-6.4159292035828882449682627500</v>
      </c>
      <c r="V5" s="217"/>
      <c r="W5" s="221">
        <v>0.875</v>
      </c>
      <c r="X5" s="219">
        <v>-1.9108280254277252626881160400</v>
      </c>
      <c r="Y5" s="217"/>
      <c r="Z5" s="222">
        <v>0.7849025974025974025974025974</v>
      </c>
      <c r="AA5" s="219">
        <v>-4.0674603174816358024691310700</v>
      </c>
      <c r="AC5" s="244"/>
      <c r="AD5" s="244"/>
      <c r="AE5" s="244"/>
      <c r="AF5" s="244"/>
      <c r="AG5" s="244"/>
      <c r="AH5" s="244"/>
      <c r="AI5" s="244"/>
      <c r="AJ5" s="244"/>
      <c r="AK5" s="244"/>
      <c r="AL5" s="244"/>
      <c r="AM5" s="244"/>
      <c r="AN5" s="244"/>
      <c r="AO5" s="244"/>
      <c r="AP5" s="244"/>
      <c r="AQ5" s="244"/>
      <c r="AR5" s="244"/>
      <c r="AS5" s="244"/>
      <c r="AT5" s="244"/>
      <c r="AU5" s="244"/>
      <c r="AV5" s="244"/>
    </row>
    <row r="6">
      <c r="D6" s="217" t="s">
        <v>26</v>
      </c>
      <c r="E6" s="221">
        <v>0.7042151162790697674418604651</v>
      </c>
      <c r="F6" s="219">
        <v>-11.556139086687805956584745960</v>
      </c>
      <c r="G6" s="217"/>
      <c r="H6" s="221">
        <v>0.6193684029863554449497983352</v>
      </c>
      <c r="I6" s="219">
        <v>-12.229169919164020835060238470</v>
      </c>
      <c r="J6" s="217"/>
      <c r="K6" s="221">
        <v>0.5690246073972367630653050717</v>
      </c>
      <c r="L6" s="219">
        <v>-11.286181019827198416678720220</v>
      </c>
      <c r="M6" s="217"/>
      <c r="N6" s="221">
        <v>0.5644120612717755084527589462</v>
      </c>
      <c r="O6" s="219">
        <v>-16.219511819124130568248220250</v>
      </c>
      <c r="P6" s="217"/>
      <c r="Q6" s="221">
        <v>0.674378378958208186733030121</v>
      </c>
      <c r="R6" s="219">
        <v>-12.689978668889900047223506810</v>
      </c>
      <c r="S6" s="217"/>
      <c r="T6" s="221">
        <v>0.8201804256414657169827512229</v>
      </c>
      <c r="U6" s="219">
        <v>-3.6318227349764607733420249600</v>
      </c>
      <c r="V6" s="217"/>
      <c r="W6" s="221">
        <v>0.8626399854114820217969621557</v>
      </c>
      <c r="X6" s="219">
        <v>-0.5901563243653802236612623600</v>
      </c>
      <c r="Y6" s="217"/>
      <c r="Z6" s="222">
        <v>0.6877455682779419156317809025</v>
      </c>
      <c r="AA6" s="219">
        <v>-9.218346438391985108956189810</v>
      </c>
      <c r="AC6" s="244"/>
      <c r="AD6" s="244"/>
      <c r="AE6" s="244"/>
      <c r="AF6" s="244"/>
      <c r="AG6" s="244"/>
      <c r="AH6" s="244"/>
      <c r="AI6" s="244"/>
      <c r="AJ6" s="244"/>
      <c r="AK6" s="244"/>
      <c r="AL6" s="244"/>
      <c r="AM6" s="244"/>
      <c r="AN6" s="244"/>
      <c r="AO6" s="244"/>
      <c r="AP6" s="244"/>
      <c r="AQ6" s="244"/>
      <c r="AR6" s="244"/>
      <c r="AS6" s="244"/>
      <c r="AT6" s="244"/>
      <c r="AU6" s="244"/>
      <c r="AV6" s="244"/>
    </row>
    <row r="7">
      <c r="D7" t="s">
        <v>91</v>
      </c>
      <c r="E7" s="223">
        <v>110.8046408356116</v>
      </c>
      <c r="F7" s="218">
        <v>11.7103643061186</v>
      </c>
      <c r="H7" s="223">
        <v>118.6448132171016</v>
      </c>
      <c r="I7" s="218">
        <v>9.1506928299560</v>
      </c>
      <c r="K7" s="223">
        <v>127.1447383961875</v>
      </c>
      <c r="L7" s="218">
        <v>5.5387447601044</v>
      </c>
      <c r="N7" s="223">
        <v>131.5394006200118</v>
      </c>
      <c r="O7" s="218">
        <v>9.3199467266655</v>
      </c>
      <c r="Q7" s="223">
        <v>124.1322732520978</v>
      </c>
      <c r="R7" s="218">
        <v>14.2758469698725</v>
      </c>
      <c r="T7" s="223">
        <v>97.6780643125258</v>
      </c>
      <c r="U7" s="218">
        <v>-2.8890309514694</v>
      </c>
      <c r="W7" s="223">
        <v>101.4328126214914</v>
      </c>
      <c r="X7" s="218">
        <v>-1.3285119986517</v>
      </c>
      <c r="Z7" s="224">
        <v>114.1268855236483</v>
      </c>
      <c r="AA7" s="218">
        <v>5.6739285073548</v>
      </c>
      <c r="AC7" s="244"/>
      <c r="AD7" s="244"/>
      <c r="AE7" s="244"/>
      <c r="AF7" s="244"/>
      <c r="AG7" s="244"/>
      <c r="AH7" s="244"/>
      <c r="AI7" s="244"/>
      <c r="AJ7" s="244"/>
      <c r="AK7" s="244"/>
      <c r="AL7" s="244"/>
      <c r="AM7" s="244"/>
      <c r="AN7" s="244"/>
      <c r="AO7" s="244"/>
      <c r="AP7" s="244"/>
      <c r="AQ7" s="244"/>
      <c r="AR7" s="244"/>
      <c r="AS7" s="244"/>
      <c r="AT7" s="244"/>
      <c r="AU7" s="244"/>
      <c r="AV7" s="244"/>
    </row>
    <row r="8">
      <c r="D8" s="214" t="s">
        <v>55</v>
      </c>
      <c r="E8" s="227" t="s">
        <v>171</v>
      </c>
      <c r="F8" s="228" t="s">
        <v>171</v>
      </c>
      <c r="G8" s="229"/>
      <c r="H8" s="227" t="s">
        <v>171</v>
      </c>
      <c r="I8" s="228" t="s">
        <v>171</v>
      </c>
      <c r="J8" s="229"/>
      <c r="K8" s="227" t="s">
        <v>171</v>
      </c>
      <c r="L8" s="228" t="s">
        <v>171</v>
      </c>
      <c r="M8" s="229"/>
      <c r="N8" s="227" t="s">
        <v>171</v>
      </c>
      <c r="O8" s="228" t="s">
        <v>171</v>
      </c>
      <c r="P8" s="229"/>
      <c r="Q8" s="227" t="s">
        <v>171</v>
      </c>
      <c r="R8" s="228" t="s">
        <v>172</v>
      </c>
      <c r="S8" s="229"/>
      <c r="T8" s="227" t="s">
        <v>178</v>
      </c>
      <c r="U8" s="228" t="s">
        <v>170</v>
      </c>
      <c r="V8" s="229"/>
      <c r="W8" s="227" t="s">
        <v>170</v>
      </c>
      <c r="X8" s="228" t="s">
        <v>170</v>
      </c>
      <c r="Y8" s="229"/>
      <c r="Z8" s="230" t="s">
        <v>171</v>
      </c>
      <c r="AA8" s="228" t="s">
        <v>171</v>
      </c>
      <c r="AC8" s="244"/>
      <c r="AD8" s="244"/>
      <c r="AE8" s="244"/>
      <c r="AF8" s="244"/>
      <c r="AG8" s="244"/>
      <c r="AH8" s="244"/>
      <c r="AI8" s="244"/>
      <c r="AJ8" s="244"/>
      <c r="AK8" s="244"/>
      <c r="AL8" s="244"/>
      <c r="AM8" s="244"/>
      <c r="AN8" s="244"/>
      <c r="AO8" s="244"/>
      <c r="AP8" s="244"/>
      <c r="AQ8" s="244"/>
      <c r="AR8" s="244"/>
      <c r="AS8" s="244"/>
      <c r="AT8" s="244"/>
      <c r="AU8" s="244"/>
      <c r="AV8" s="244"/>
    </row>
    <row r="9" ht="8.1" customHeight="1">
      <c r="F9" s="218"/>
      <c r="I9" s="218"/>
      <c r="L9" s="218"/>
      <c r="O9" s="218"/>
      <c r="R9" s="218"/>
      <c r="U9" s="218"/>
      <c r="X9" s="218"/>
      <c r="Z9" s="215"/>
      <c r="AA9" s="218"/>
      <c r="AC9" s="244"/>
      <c r="AD9" s="244"/>
      <c r="AE9" s="244"/>
      <c r="AF9" s="244"/>
      <c r="AG9" s="244"/>
      <c r="AH9" s="244"/>
      <c r="AI9" s="244"/>
      <c r="AJ9" s="244"/>
      <c r="AK9" s="244"/>
      <c r="AL9" s="244"/>
      <c r="AM9" s="244"/>
      <c r="AN9" s="244"/>
      <c r="AO9" s="244"/>
      <c r="AP9" s="244"/>
      <c r="AQ9" s="244"/>
      <c r="AR9" s="244"/>
      <c r="AS9" s="244"/>
      <c r="AT9" s="244"/>
      <c r="AU9" s="244"/>
      <c r="AV9" s="244"/>
    </row>
    <row r="10" ht="12.75" customHeight="1">
      <c r="B10" s="216" t="s">
        <v>21</v>
      </c>
      <c r="C10" s="216"/>
      <c r="D10" s="217" t="s">
        <v>32</v>
      </c>
      <c r="E10" s="221">
        <v>0.7462121212121212121212121212</v>
      </c>
      <c r="F10" s="219">
        <v>-5.5155875300086468954332823900</v>
      </c>
      <c r="G10" s="217"/>
      <c r="H10" s="221">
        <v>0.6496212121212121212121212121</v>
      </c>
      <c r="I10" s="219">
        <v>-14.676616915463637038687141750</v>
      </c>
      <c r="J10" s="217"/>
      <c r="K10" s="221">
        <v>0.6117424242424242424242424242</v>
      </c>
      <c r="L10" s="219">
        <v>-16.103896103934456400742097500</v>
      </c>
      <c r="M10" s="217"/>
      <c r="N10" s="221">
        <v>0.6268939393939393939393939394</v>
      </c>
      <c r="O10" s="219">
        <v>-18.271604938223173296753514970</v>
      </c>
      <c r="P10" s="217"/>
      <c r="Q10" s="221">
        <v>0.7348484848484848484848484848</v>
      </c>
      <c r="R10" s="219">
        <v>-7.6190476191004081632652759600</v>
      </c>
      <c r="S10" s="217"/>
      <c r="T10" s="221">
        <v>0.7973484848484848484848484848</v>
      </c>
      <c r="U10" s="219">
        <v>-6.026785714302495216836731700</v>
      </c>
      <c r="V10" s="217"/>
      <c r="W10" s="221">
        <v>0.8731060606060606060606060606</v>
      </c>
      <c r="X10" s="219">
        <v>-0.8602150537839084287200790200</v>
      </c>
      <c r="Y10" s="217"/>
      <c r="Z10" s="222">
        <v>0.7199675324675324675324675325</v>
      </c>
      <c r="AA10" s="219">
        <v>-9.551325628861313932031034880</v>
      </c>
      <c r="AC10" s="244"/>
      <c r="AD10" s="244"/>
      <c r="AE10" s="244"/>
      <c r="AF10" s="244"/>
      <c r="AG10" s="244"/>
      <c r="AH10" s="244"/>
      <c r="AI10" s="244"/>
      <c r="AJ10" s="244"/>
      <c r="AK10" s="244"/>
      <c r="AL10" s="244"/>
      <c r="AM10" s="244"/>
      <c r="AN10" s="244"/>
      <c r="AO10" s="244"/>
      <c r="AP10" s="244"/>
      <c r="AQ10" s="244"/>
      <c r="AR10" s="244"/>
      <c r="AS10" s="244"/>
      <c r="AT10" s="244"/>
      <c r="AU10" s="244"/>
      <c r="AV10" s="244"/>
    </row>
    <row r="11">
      <c r="D11" s="217" t="s">
        <v>26</v>
      </c>
      <c r="E11" s="221">
        <v>0.7027616279069767441860465116</v>
      </c>
      <c r="F11" s="219">
        <v>-11.065161294821561840792218110</v>
      </c>
      <c r="G11" s="217"/>
      <c r="H11" s="221">
        <v>0.6128277053119368402986355445</v>
      </c>
      <c r="I11" s="219">
        <v>-12.641533696115721461426076450</v>
      </c>
      <c r="J11" s="217"/>
      <c r="K11" s="221">
        <v>0.5480321591006607740496009612</v>
      </c>
      <c r="L11" s="219">
        <v>-13.485340345011604857974263240</v>
      </c>
      <c r="M11" s="217"/>
      <c r="N11" s="221">
        <v>0.5332720114991847592894533597</v>
      </c>
      <c r="O11" s="219">
        <v>-18.386392366794270409736414010</v>
      </c>
      <c r="P11" s="217"/>
      <c r="Q11" s="221">
        <v>0.6501705569381275208100918219</v>
      </c>
      <c r="R11" s="219">
        <v>-14.304766492731274529439229250</v>
      </c>
      <c r="S11" s="217"/>
      <c r="T11" s="221">
        <v>0.8000809877284819359821505192</v>
      </c>
      <c r="U11" s="219">
        <v>-4.3692317446035905337461466700</v>
      </c>
      <c r="V11" s="217"/>
      <c r="W11" s="221">
        <v>0.8501163863382819874710375011</v>
      </c>
      <c r="X11" s="219">
        <v>-1.038812388519549295893444700</v>
      </c>
      <c r="Y11" s="217"/>
      <c r="Z11" s="222">
        <v>0.6710373478319500802981451741</v>
      </c>
      <c r="AA11" s="219">
        <v>-10.146577880584893942002030230</v>
      </c>
      <c r="AC11" s="244"/>
      <c r="AD11" s="244"/>
      <c r="AE11" s="244"/>
      <c r="AF11" s="244"/>
      <c r="AG11" s="244"/>
      <c r="AH11" s="244"/>
      <c r="AI11" s="244"/>
      <c r="AJ11" s="244"/>
      <c r="AK11" s="244"/>
      <c r="AL11" s="244"/>
      <c r="AM11" s="244"/>
      <c r="AN11" s="244"/>
      <c r="AO11" s="244"/>
      <c r="AP11" s="244"/>
      <c r="AQ11" s="244"/>
      <c r="AR11" s="244"/>
      <c r="AS11" s="244"/>
      <c r="AT11" s="244"/>
      <c r="AU11" s="244"/>
      <c r="AV11" s="244"/>
    </row>
    <row r="12">
      <c r="D12" t="s">
        <v>22</v>
      </c>
      <c r="E12" s="223">
        <v>106.1828209708216</v>
      </c>
      <c r="F12" s="218">
        <v>6.2400447852187</v>
      </c>
      <c r="H12" s="223">
        <v>106.0038908962969</v>
      </c>
      <c r="I12" s="218">
        <v>-2.3295775503121</v>
      </c>
      <c r="K12" s="223">
        <v>111.6252785686766</v>
      </c>
      <c r="L12" s="218">
        <v>-3.0267191356936</v>
      </c>
      <c r="N12" s="223">
        <v>117.5561300567365</v>
      </c>
      <c r="O12" s="218">
        <v>0.1406474139612</v>
      </c>
      <c r="Q12" s="223">
        <v>113.0239560999622</v>
      </c>
      <c r="R12" s="218">
        <v>7.8017394901533</v>
      </c>
      <c r="T12" s="223">
        <v>99.6584717145605</v>
      </c>
      <c r="U12" s="218">
        <v>-1.7332852175614</v>
      </c>
      <c r="W12" s="223">
        <v>102.7042972747640</v>
      </c>
      <c r="X12" s="218">
        <v>0.1804721013741</v>
      </c>
      <c r="Z12" s="224">
        <v>107.2917230007565</v>
      </c>
      <c r="AA12" s="218">
        <v>0.6624703185855</v>
      </c>
      <c r="AC12" s="244"/>
      <c r="AD12" s="244"/>
      <c r="AE12" s="244"/>
      <c r="AF12" s="244"/>
      <c r="AG12" s="244"/>
      <c r="AH12" s="244"/>
      <c r="AI12" s="244"/>
      <c r="AJ12" s="244"/>
      <c r="AK12" s="244"/>
      <c r="AL12" s="244"/>
      <c r="AM12" s="244"/>
      <c r="AN12" s="244"/>
      <c r="AO12" s="244"/>
      <c r="AP12" s="244"/>
      <c r="AQ12" s="244"/>
      <c r="AR12" s="244"/>
      <c r="AS12" s="244"/>
      <c r="AT12" s="244"/>
      <c r="AU12" s="244"/>
      <c r="AV12" s="244"/>
    </row>
    <row r="13">
      <c r="D13" t="s">
        <v>55</v>
      </c>
      <c r="E13" s="231" t="s">
        <v>171</v>
      </c>
      <c r="F13" s="232" t="s">
        <v>171</v>
      </c>
      <c r="G13" s="176"/>
      <c r="H13" s="231" t="s">
        <v>170</v>
      </c>
      <c r="I13" s="232" t="s">
        <v>178</v>
      </c>
      <c r="J13" s="176"/>
      <c r="K13" s="231" t="s">
        <v>171</v>
      </c>
      <c r="L13" s="232" t="s">
        <v>170</v>
      </c>
      <c r="M13" s="176"/>
      <c r="N13" s="231" t="s">
        <v>171</v>
      </c>
      <c r="O13" s="232" t="s">
        <v>170</v>
      </c>
      <c r="P13" s="176"/>
      <c r="Q13" s="231" t="s">
        <v>171</v>
      </c>
      <c r="R13" s="232" t="s">
        <v>171</v>
      </c>
      <c r="S13" s="176"/>
      <c r="T13" s="231" t="s">
        <v>170</v>
      </c>
      <c r="U13" s="232" t="s">
        <v>178</v>
      </c>
      <c r="V13" s="176"/>
      <c r="W13" s="231" t="s">
        <v>170</v>
      </c>
      <c r="X13" s="232" t="s">
        <v>170</v>
      </c>
      <c r="Y13" s="176"/>
      <c r="Z13" s="233" t="s">
        <v>171</v>
      </c>
      <c r="AA13" s="232" t="s">
        <v>170</v>
      </c>
      <c r="AC13" s="244"/>
      <c r="AD13" s="244"/>
      <c r="AE13" s="244"/>
      <c r="AF13" s="244"/>
      <c r="AG13" s="244"/>
      <c r="AH13" s="244"/>
      <c r="AI13" s="244"/>
      <c r="AJ13" s="244"/>
      <c r="AK13" s="244"/>
      <c r="AL13" s="244"/>
      <c r="AM13" s="244"/>
      <c r="AN13" s="244"/>
      <c r="AO13" s="244"/>
      <c r="AP13" s="244"/>
      <c r="AQ13" s="244"/>
      <c r="AR13" s="244"/>
      <c r="AS13" s="244"/>
      <c r="AT13" s="244"/>
      <c r="AU13" s="244"/>
      <c r="AV13" s="244"/>
    </row>
    <row r="14" ht="8.1" customHeight="1">
      <c r="F14" s="218"/>
      <c r="I14" s="218"/>
      <c r="L14" s="218"/>
      <c r="O14" s="218"/>
      <c r="R14" s="218"/>
      <c r="U14" s="218"/>
      <c r="X14" s="218"/>
      <c r="Z14" s="215"/>
      <c r="AA14" s="218"/>
      <c r="AC14" s="244"/>
      <c r="AD14" s="244"/>
      <c r="AE14" s="244"/>
      <c r="AF14" s="244"/>
      <c r="AG14" s="244"/>
      <c r="AH14" s="244"/>
      <c r="AI14" s="244"/>
      <c r="AJ14" s="244"/>
      <c r="AK14" s="244"/>
      <c r="AL14" s="244"/>
      <c r="AM14" s="244"/>
      <c r="AN14" s="244"/>
      <c r="AO14" s="244"/>
      <c r="AP14" s="244"/>
      <c r="AQ14" s="244"/>
      <c r="AR14" s="244"/>
      <c r="AS14" s="244"/>
      <c r="AT14" s="244"/>
      <c r="AU14" s="244"/>
      <c r="AV14" s="244"/>
    </row>
    <row r="15" ht="12.75" customHeight="1">
      <c r="B15" s="216" t="s">
        <v>24</v>
      </c>
      <c r="C15" s="216"/>
      <c r="D15" s="217" t="s">
        <v>32</v>
      </c>
      <c r="E15" s="221">
        <v>0.0340909090909090909090909091</v>
      </c>
      <c r="F15" s="219">
        <v>0</v>
      </c>
      <c r="G15" s="217"/>
      <c r="H15" s="221">
        <v>0.0852272727272727272727272727</v>
      </c>
      <c r="I15" s="219">
        <v>1399.9999999520000000015359995</v>
      </c>
      <c r="J15" s="217"/>
      <c r="K15" s="221">
        <v>0.1117424242424242424242424242</v>
      </c>
      <c r="L15" s="219">
        <v>156.52173912811493383745009094</v>
      </c>
      <c r="M15" s="217"/>
      <c r="N15" s="221">
        <v>0.115530303030303030303030303</v>
      </c>
      <c r="O15" s="219">
        <v>165.21739130194933837431280591</v>
      </c>
      <c r="P15" s="217"/>
      <c r="Q15" s="221">
        <v>0.1022727272727272727272727273</v>
      </c>
      <c r="R15" s="219">
        <v>134.78260869352892249529330372</v>
      </c>
      <c r="S15" s="217"/>
      <c r="T15" s="221">
        <v>0.0037878787878787878787878788</v>
      </c>
      <c r="U15" s="219">
        <v>-50.000000001599999999948799840</v>
      </c>
      <c r="V15" s="217"/>
      <c r="W15" s="221">
        <v>0.0018939393939393939393939394</v>
      </c>
      <c r="X15" s="219">
        <v>-83.33333333386666666664959995</v>
      </c>
      <c r="Y15" s="217"/>
      <c r="Z15" s="222">
        <v>0.0649350649350649350649350649</v>
      </c>
      <c r="AA15" s="219">
        <v>192.68292683120999405117290517</v>
      </c>
      <c r="AC15" s="244"/>
      <c r="AD15" s="244"/>
      <c r="AE15" s="244"/>
      <c r="AF15" s="244"/>
      <c r="AG15" s="244"/>
      <c r="AH15" s="244"/>
      <c r="AI15" s="244"/>
      <c r="AJ15" s="244"/>
      <c r="AK15" s="244"/>
      <c r="AL15" s="244"/>
      <c r="AM15" s="244"/>
      <c r="AN15" s="244"/>
      <c r="AO15" s="244"/>
      <c r="AP15" s="244"/>
      <c r="AQ15" s="244"/>
      <c r="AR15" s="244"/>
      <c r="AS15" s="244"/>
      <c r="AT15" s="244"/>
      <c r="AU15" s="244"/>
      <c r="AV15" s="244"/>
    </row>
    <row r="16">
      <c r="D16" s="217" t="s">
        <v>26</v>
      </c>
      <c r="E16" s="221">
        <v>0.0014534883720930232558139535</v>
      </c>
      <c r="F16" s="219">
        <v>-75.895814513194192568500073140</v>
      </c>
      <c r="G16" s="217"/>
      <c r="H16" s="221">
        <v>0.0065406976744186046511627907</v>
      </c>
      <c r="I16" s="219">
        <v>57.372214947168115787923657640</v>
      </c>
      <c r="J16" s="217"/>
      <c r="K16" s="221">
        <v>0.0209924482965759890157041105</v>
      </c>
      <c r="L16" s="219">
        <v>163.71954708932485084238640234</v>
      </c>
      <c r="M16" s="217"/>
      <c r="N16" s="221">
        <v>0.0311400497725907491633055865</v>
      </c>
      <c r="O16" s="219">
        <v>53.634288024751163978958035160</v>
      </c>
      <c r="P16" s="217"/>
      <c r="Q16" s="221">
        <v>0.0242078220200806659229382992</v>
      </c>
      <c r="R16" s="219">
        <v>76.774234033543307824932459990</v>
      </c>
      <c r="S16" s="217"/>
      <c r="T16" s="221">
        <v>0.0200994379129837810006007037</v>
      </c>
      <c r="U16" s="219">
        <v>39.048421478296310787816880360</v>
      </c>
      <c r="V16" s="217"/>
      <c r="W16" s="221">
        <v>0.0125235990732000343259246546</v>
      </c>
      <c r="X16" s="219">
        <v>43.603936032084460844977093400</v>
      </c>
      <c r="Y16" s="217"/>
      <c r="Z16" s="222">
        <v>0.0167082204459918353336357284</v>
      </c>
      <c r="AA16" s="219">
        <v>55.154452307774965354958949040</v>
      </c>
      <c r="AC16" s="244"/>
      <c r="AD16" s="244"/>
      <c r="AE16" s="244"/>
      <c r="AF16" s="244"/>
      <c r="AG16" s="244"/>
      <c r="AH16" s="244"/>
      <c r="AI16" s="244"/>
      <c r="AJ16" s="244"/>
      <c r="AK16" s="244"/>
      <c r="AL16" s="244"/>
      <c r="AM16" s="244"/>
      <c r="AN16" s="244"/>
      <c r="AO16" s="244"/>
      <c r="AP16" s="244"/>
      <c r="AQ16" s="244"/>
      <c r="AR16" s="244"/>
      <c r="AS16" s="244"/>
      <c r="AT16" s="244"/>
      <c r="AU16" s="244"/>
      <c r="AV16" s="244"/>
    </row>
    <row r="17">
      <c r="D17" t="s">
        <v>22</v>
      </c>
      <c r="E17" s="223">
        <v>2345.4545456046545</v>
      </c>
      <c r="F17" s="218">
        <v>0</v>
      </c>
      <c r="H17" s="223">
        <v>1303.0303031136970</v>
      </c>
      <c r="I17" s="218">
        <v>853.1542785994754</v>
      </c>
      <c r="K17" s="223">
        <v>532.2981991499924</v>
      </c>
      <c r="L17" s="218">
        <v>-2.7293418495157</v>
      </c>
      <c r="N17" s="223">
        <v>371.0023069085575</v>
      </c>
      <c r="O17" s="218">
        <v>72.6290365977331</v>
      </c>
      <c r="Q17" s="223">
        <v>422.4780204854103</v>
      </c>
      <c r="R17" s="218">
        <v>32.8149489545555</v>
      </c>
      <c r="T17" s="223">
        <v>18.8456951098560</v>
      </c>
      <c r="U17" s="218">
        <v>-64.0413034046978</v>
      </c>
      <c r="W17" s="223">
        <v>15.1229641167817</v>
      </c>
      <c r="X17" s="218">
        <v>-88.3940042818793</v>
      </c>
      <c r="Z17" s="224">
        <v>388.6414184259257</v>
      </c>
      <c r="AA17" s="218">
        <v>88.6397215650589</v>
      </c>
      <c r="AC17" s="244"/>
      <c r="AD17" s="244"/>
      <c r="AE17" s="244"/>
      <c r="AF17" s="244"/>
      <c r="AG17" s="244"/>
      <c r="AH17" s="244"/>
      <c r="AI17" s="244"/>
      <c r="AJ17" s="244"/>
      <c r="AK17" s="244"/>
      <c r="AL17" s="244"/>
      <c r="AM17" s="244"/>
      <c r="AN17" s="244"/>
      <c r="AO17" s="244"/>
      <c r="AP17" s="244"/>
      <c r="AQ17" s="244"/>
      <c r="AR17" s="244"/>
      <c r="AS17" s="244"/>
      <c r="AT17" s="244"/>
      <c r="AU17" s="244"/>
      <c r="AV17" s="244"/>
    </row>
    <row r="18">
      <c r="D18" t="s">
        <v>55</v>
      </c>
      <c r="E18" s="231" t="s">
        <v>172</v>
      </c>
      <c r="F18" s="232" t="s">
        <v>171</v>
      </c>
      <c r="G18" s="176"/>
      <c r="H18" s="231" t="s">
        <v>172</v>
      </c>
      <c r="I18" s="232" t="s">
        <v>172</v>
      </c>
      <c r="J18" s="176"/>
      <c r="K18" s="231" t="s">
        <v>172</v>
      </c>
      <c r="L18" s="232" t="s">
        <v>171</v>
      </c>
      <c r="M18" s="176"/>
      <c r="N18" s="231" t="s">
        <v>172</v>
      </c>
      <c r="O18" s="232" t="s">
        <v>172</v>
      </c>
      <c r="P18" s="176"/>
      <c r="Q18" s="231" t="s">
        <v>172</v>
      </c>
      <c r="R18" s="232" t="s">
        <v>172</v>
      </c>
      <c r="S18" s="176"/>
      <c r="T18" s="231" t="s">
        <v>171</v>
      </c>
      <c r="U18" s="232" t="s">
        <v>178</v>
      </c>
      <c r="V18" s="176"/>
      <c r="W18" s="231" t="s">
        <v>171</v>
      </c>
      <c r="X18" s="232" t="s">
        <v>178</v>
      </c>
      <c r="Y18" s="176"/>
      <c r="Z18" s="233" t="s">
        <v>172</v>
      </c>
      <c r="AA18" s="232" t="s">
        <v>172</v>
      </c>
      <c r="AC18" s="244"/>
      <c r="AD18" s="244"/>
      <c r="AE18" s="244"/>
      <c r="AF18" s="244"/>
      <c r="AG18" s="244"/>
      <c r="AH18" s="244"/>
      <c r="AI18" s="244"/>
      <c r="AJ18" s="244"/>
      <c r="AK18" s="244"/>
      <c r="AL18" s="244"/>
      <c r="AM18" s="244"/>
      <c r="AN18" s="244"/>
      <c r="AO18" s="244"/>
      <c r="AP18" s="244"/>
      <c r="AQ18" s="244"/>
      <c r="AR18" s="244"/>
      <c r="AS18" s="244"/>
      <c r="AT18" s="244"/>
      <c r="AU18" s="244"/>
      <c r="AV18" s="244"/>
    </row>
    <row r="19" ht="8.1" customHeight="1">
      <c r="F19" s="218"/>
      <c r="I19" s="218"/>
      <c r="L19" s="218"/>
      <c r="O19" s="218"/>
      <c r="R19" s="218"/>
      <c r="U19" s="218"/>
      <c r="X19" s="218"/>
      <c r="Z19" s="215"/>
      <c r="AA19" s="218"/>
      <c r="AC19" s="244"/>
      <c r="AD19" s="244"/>
      <c r="AE19" s="244"/>
      <c r="AF19" s="244"/>
      <c r="AG19" s="244"/>
      <c r="AH19" s="244"/>
      <c r="AI19" s="244"/>
      <c r="AJ19" s="244"/>
      <c r="AK19" s="244"/>
      <c r="AL19" s="244"/>
      <c r="AM19" s="244"/>
      <c r="AN19" s="244"/>
      <c r="AO19" s="244"/>
      <c r="AP19" s="244"/>
      <c r="AQ19" s="244"/>
      <c r="AR19" s="244"/>
      <c r="AS19" s="244"/>
      <c r="AT19" s="244"/>
      <c r="AU19" s="244"/>
      <c r="AV19" s="244"/>
    </row>
    <row r="20" ht="12.75" customHeight="1">
      <c r="B20" s="216" t="s">
        <v>25</v>
      </c>
      <c r="C20" s="216"/>
      <c r="D20" s="217" t="s">
        <v>32</v>
      </c>
      <c r="E20" s="221">
        <v>0</v>
      </c>
      <c r="F20" s="219">
        <v>0</v>
      </c>
      <c r="G20" s="217"/>
      <c r="H20" s="221">
        <v>0</v>
      </c>
      <c r="I20" s="219">
        <v>0</v>
      </c>
      <c r="J20" s="217"/>
      <c r="K20" s="221">
        <v>0</v>
      </c>
      <c r="L20" s="219">
        <v>0</v>
      </c>
      <c r="M20" s="217"/>
      <c r="N20" s="221">
        <v>0</v>
      </c>
      <c r="O20" s="219">
        <v>0</v>
      </c>
      <c r="P20" s="217"/>
      <c r="Q20" s="221">
        <v>0</v>
      </c>
      <c r="R20" s="219">
        <v>0</v>
      </c>
      <c r="S20" s="217"/>
      <c r="T20" s="221">
        <v>0</v>
      </c>
      <c r="U20" s="219">
        <v>0</v>
      </c>
      <c r="V20" s="217"/>
      <c r="W20" s="221">
        <v>0</v>
      </c>
      <c r="X20" s="219">
        <v>0</v>
      </c>
      <c r="Y20" s="217"/>
      <c r="Z20" s="222">
        <v>0</v>
      </c>
      <c r="AA20" s="219">
        <v>0</v>
      </c>
      <c r="AC20" s="244"/>
      <c r="AD20" s="244"/>
      <c r="AE20" s="244"/>
      <c r="AF20" s="244"/>
      <c r="AG20" s="244"/>
      <c r="AH20" s="244"/>
      <c r="AI20" s="244"/>
      <c r="AJ20" s="244"/>
      <c r="AK20" s="244"/>
      <c r="AL20" s="244"/>
      <c r="AM20" s="244"/>
      <c r="AN20" s="244"/>
      <c r="AO20" s="244"/>
      <c r="AP20" s="244"/>
      <c r="AQ20" s="244"/>
      <c r="AR20" s="244"/>
      <c r="AS20" s="244"/>
      <c r="AT20" s="244"/>
      <c r="AU20" s="244"/>
      <c r="AV20" s="244"/>
    </row>
    <row r="21">
      <c r="D21" s="217" t="s">
        <v>26</v>
      </c>
      <c r="E21" s="221">
        <v>0</v>
      </c>
      <c r="F21" s="219">
        <v>0</v>
      </c>
      <c r="G21" s="217"/>
      <c r="H21" s="221">
        <v>0</v>
      </c>
      <c r="I21" s="219">
        <v>0</v>
      </c>
      <c r="J21" s="217"/>
      <c r="K21" s="221">
        <v>0</v>
      </c>
      <c r="L21" s="219">
        <v>0</v>
      </c>
      <c r="M21" s="217"/>
      <c r="N21" s="221">
        <v>0</v>
      </c>
      <c r="O21" s="219">
        <v>0</v>
      </c>
      <c r="P21" s="217"/>
      <c r="Q21" s="221">
        <v>0</v>
      </c>
      <c r="R21" s="219">
        <v>0</v>
      </c>
      <c r="S21" s="217"/>
      <c r="T21" s="221">
        <v>0</v>
      </c>
      <c r="U21" s="219">
        <v>0</v>
      </c>
      <c r="V21" s="217"/>
      <c r="W21" s="221">
        <v>0</v>
      </c>
      <c r="X21" s="219">
        <v>0</v>
      </c>
      <c r="Y21" s="217"/>
      <c r="Z21" s="222">
        <v>0</v>
      </c>
      <c r="AA21" s="219">
        <v>0</v>
      </c>
      <c r="AC21" s="244"/>
      <c r="AD21" s="244"/>
      <c r="AE21" s="244"/>
      <c r="AF21" s="244"/>
      <c r="AG21" s="244"/>
      <c r="AH21" s="244"/>
      <c r="AI21" s="244"/>
      <c r="AJ21" s="244"/>
      <c r="AK21" s="244"/>
      <c r="AL21" s="244"/>
      <c r="AM21" s="244"/>
      <c r="AN21" s="244"/>
      <c r="AO21" s="244"/>
      <c r="AP21" s="244"/>
      <c r="AQ21" s="244"/>
      <c r="AR21" s="244"/>
      <c r="AS21" s="244"/>
      <c r="AT21" s="244"/>
      <c r="AU21" s="244"/>
      <c r="AV21" s="244"/>
    </row>
    <row r="22">
      <c r="D22" t="s">
        <v>22</v>
      </c>
      <c r="E22" s="223">
        <v>0</v>
      </c>
      <c r="F22" s="218">
        <v>0</v>
      </c>
      <c r="H22" s="223">
        <v>0</v>
      </c>
      <c r="I22" s="218">
        <v>0</v>
      </c>
      <c r="K22" s="223">
        <v>0</v>
      </c>
      <c r="L22" s="218">
        <v>0</v>
      </c>
      <c r="N22" s="223">
        <v>0</v>
      </c>
      <c r="O22" s="218">
        <v>0</v>
      </c>
      <c r="Q22" s="223">
        <v>0</v>
      </c>
      <c r="R22" s="218">
        <v>0</v>
      </c>
      <c r="T22" s="223">
        <v>0</v>
      </c>
      <c r="U22" s="218">
        <v>0</v>
      </c>
      <c r="W22" s="223">
        <v>0</v>
      </c>
      <c r="X22" s="218">
        <v>0</v>
      </c>
      <c r="Z22" s="224">
        <v>0</v>
      </c>
      <c r="AA22" s="218">
        <v>0</v>
      </c>
      <c r="AC22" s="244"/>
      <c r="AD22" s="244"/>
      <c r="AE22" s="244"/>
      <c r="AF22" s="244"/>
      <c r="AG22" s="244"/>
      <c r="AH22" s="244"/>
      <c r="AI22" s="244"/>
      <c r="AJ22" s="244"/>
      <c r="AK22" s="244"/>
      <c r="AL22" s="244"/>
      <c r="AM22" s="244"/>
      <c r="AN22" s="244"/>
      <c r="AO22" s="244"/>
      <c r="AP22" s="244"/>
      <c r="AQ22" s="244"/>
      <c r="AR22" s="244"/>
      <c r="AS22" s="244"/>
      <c r="AT22" s="244"/>
      <c r="AU22" s="244"/>
      <c r="AV22" s="244"/>
    </row>
    <row r="23">
      <c r="D23" t="s">
        <v>55</v>
      </c>
      <c r="E23" s="231" t="s">
        <v>176</v>
      </c>
      <c r="F23" s="232"/>
      <c r="G23" s="176"/>
      <c r="H23" s="231" t="s">
        <v>176</v>
      </c>
      <c r="I23" s="232"/>
      <c r="J23" s="176"/>
      <c r="K23" s="231" t="s">
        <v>176</v>
      </c>
      <c r="L23" s="232"/>
      <c r="M23" s="176"/>
      <c r="N23" s="231" t="s">
        <v>176</v>
      </c>
      <c r="O23" s="232"/>
      <c r="P23" s="176"/>
      <c r="Q23" s="231" t="s">
        <v>176</v>
      </c>
      <c r="R23" s="232"/>
      <c r="S23" s="176"/>
      <c r="T23" s="231" t="s">
        <v>176</v>
      </c>
      <c r="U23" s="232"/>
      <c r="V23" s="176"/>
      <c r="W23" s="231" t="s">
        <v>176</v>
      </c>
      <c r="X23" s="232"/>
      <c r="Y23" s="176"/>
      <c r="Z23" s="233" t="s">
        <v>176</v>
      </c>
      <c r="AA23" s="232"/>
      <c r="AC23" s="244"/>
      <c r="AD23" s="244"/>
      <c r="AE23" s="244"/>
      <c r="AF23" s="244"/>
      <c r="AG23" s="244"/>
      <c r="AH23" s="244"/>
      <c r="AI23" s="244"/>
      <c r="AJ23" s="244"/>
      <c r="AK23" s="244"/>
      <c r="AL23" s="244"/>
      <c r="AM23" s="244"/>
      <c r="AN23" s="244"/>
      <c r="AO23" s="244"/>
      <c r="AP23" s="244"/>
      <c r="AQ23" s="244"/>
      <c r="AR23" s="244"/>
      <c r="AS23" s="244"/>
      <c r="AT23" s="244"/>
      <c r="AU23" s="244"/>
      <c r="AV23" s="244"/>
    </row>
    <row r="24" ht="15">
      <c r="B24" s="612"/>
      <c r="C24" s="612"/>
      <c r="D24" s="612"/>
      <c r="E24" s="612"/>
      <c r="F24" s="612"/>
      <c r="G24" s="612"/>
      <c r="H24" s="612"/>
      <c r="I24" s="612"/>
      <c r="J24" s="612"/>
      <c r="K24" s="612"/>
      <c r="L24" s="612"/>
      <c r="M24" s="612"/>
      <c r="N24" s="612"/>
      <c r="O24" s="612"/>
      <c r="P24" s="612"/>
      <c r="Q24" s="612"/>
      <c r="R24" s="612"/>
      <c r="S24" s="612"/>
      <c r="T24" s="612"/>
      <c r="U24" s="612"/>
      <c r="V24" s="612"/>
      <c r="W24" s="612"/>
      <c r="X24" s="612"/>
      <c r="Y24" s="612"/>
      <c r="Z24" s="612"/>
      <c r="AA24" s="612"/>
      <c r="AC24" s="244"/>
      <c r="AD24" s="244"/>
      <c r="AE24" s="244"/>
      <c r="AF24" s="244"/>
      <c r="AG24" s="244"/>
      <c r="AH24" s="244"/>
      <c r="AI24" s="244"/>
      <c r="AJ24" s="244"/>
      <c r="AK24" s="244"/>
      <c r="AL24" s="244"/>
      <c r="AM24" s="244"/>
      <c r="AN24" s="244"/>
      <c r="AO24" s="244"/>
      <c r="AP24" s="244"/>
      <c r="AQ24" s="244"/>
      <c r="AR24" s="244"/>
      <c r="AS24" s="244"/>
      <c r="AT24" s="244"/>
      <c r="AU24" s="244"/>
      <c r="AV24" s="244"/>
    </row>
    <row r="25" ht="18">
      <c r="B25" s="220" t="s">
        <v>12</v>
      </c>
      <c r="C25" s="57"/>
      <c r="E25" s="648" t="s">
        <v>40</v>
      </c>
      <c r="F25" s="648"/>
      <c r="H25" s="648" t="s">
        <v>39</v>
      </c>
      <c r="I25" s="648"/>
      <c r="K25" s="648" t="s">
        <v>41</v>
      </c>
      <c r="L25" s="648"/>
      <c r="N25" s="648" t="s">
        <v>42</v>
      </c>
      <c r="O25" s="648"/>
      <c r="Q25" s="648" t="s">
        <v>43</v>
      </c>
      <c r="R25" s="648"/>
      <c r="T25" s="648" t="s">
        <v>44</v>
      </c>
      <c r="U25" s="648"/>
      <c r="W25" s="648" t="s">
        <v>45</v>
      </c>
      <c r="X25" s="648"/>
      <c r="Z25" s="649" t="s">
        <v>23</v>
      </c>
      <c r="AA25" s="649"/>
      <c r="AC25" s="244"/>
      <c r="AD25" s="244"/>
      <c r="AE25" s="244"/>
      <c r="AF25" s="244"/>
      <c r="AG25" s="244"/>
      <c r="AH25" s="244"/>
      <c r="AI25" s="244"/>
      <c r="AJ25" s="244"/>
      <c r="AK25" s="244"/>
      <c r="AL25" s="244"/>
      <c r="AM25" s="244"/>
      <c r="AN25" s="244"/>
      <c r="AO25" s="244"/>
      <c r="AP25" s="244"/>
      <c r="AQ25" s="244"/>
      <c r="AR25" s="244"/>
      <c r="AS25" s="244"/>
      <c r="AT25" s="244"/>
      <c r="AU25" s="244"/>
      <c r="AV25" s="244"/>
    </row>
    <row r="26">
      <c r="E26" s="176"/>
      <c r="F26" s="176" t="s">
        <v>57</v>
      </c>
      <c r="G26" s="176"/>
      <c r="H26" s="176"/>
      <c r="I26" s="176" t="s">
        <v>57</v>
      </c>
      <c r="J26" s="176"/>
      <c r="K26" s="176"/>
      <c r="L26" s="176" t="s">
        <v>57</v>
      </c>
      <c r="M26" s="176"/>
      <c r="N26" s="176"/>
      <c r="O26" s="176" t="s">
        <v>57</v>
      </c>
      <c r="P26" s="176"/>
      <c r="Q26" s="176"/>
      <c r="R26" s="176" t="s">
        <v>57</v>
      </c>
      <c r="S26" s="176"/>
      <c r="T26" s="176"/>
      <c r="U26" s="176" t="s">
        <v>57</v>
      </c>
      <c r="V26" s="176"/>
      <c r="W26" s="176"/>
      <c r="X26" s="176" t="s">
        <v>57</v>
      </c>
      <c r="Y26" s="176"/>
      <c r="Z26" s="226"/>
      <c r="AA26" s="176" t="s">
        <v>57</v>
      </c>
      <c r="AC26" s="244"/>
      <c r="AD26" s="244"/>
      <c r="AE26" s="244"/>
      <c r="AF26" s="244"/>
      <c r="AG26" s="244"/>
      <c r="AH26" s="244"/>
      <c r="AI26" s="244"/>
      <c r="AJ26" s="244"/>
      <c r="AK26" s="244"/>
      <c r="AL26" s="244"/>
      <c r="AM26" s="244"/>
      <c r="AN26" s="244"/>
      <c r="AO26" s="244"/>
      <c r="AP26" s="244"/>
      <c r="AQ26" s="244"/>
      <c r="AR26" s="244"/>
      <c r="AS26" s="244"/>
      <c r="AT26" s="244"/>
      <c r="AU26" s="244"/>
      <c r="AV26" s="244"/>
    </row>
    <row r="27">
      <c r="B27" s="216" t="s">
        <v>23</v>
      </c>
      <c r="C27" s="216"/>
      <c r="D27" s="217" t="s">
        <v>32</v>
      </c>
      <c r="E27" s="598">
        <v>179.4296116504854368932038835</v>
      </c>
      <c r="F27" s="219">
        <v>-0.0104930398858384611310696800</v>
      </c>
      <c r="G27" s="217"/>
      <c r="H27" s="598">
        <v>157.00515463917525773195876289</v>
      </c>
      <c r="I27" s="219">
        <v>4.5565108340737567495695012900</v>
      </c>
      <c r="J27" s="217"/>
      <c r="K27" s="225">
        <v>159.85078534031413612565445026</v>
      </c>
      <c r="L27" s="219">
        <v>13.418639755919435231259101260</v>
      </c>
      <c r="M27" s="217"/>
      <c r="N27" s="598">
        <v>153.72704081632653061224489796</v>
      </c>
      <c r="O27" s="219">
        <v>6.2652197644772402820464909400</v>
      </c>
      <c r="P27" s="217"/>
      <c r="Q27" s="598">
        <v>164.22850678733031674208144796</v>
      </c>
      <c r="R27" s="219">
        <v>-0.569593403304434266331844900</v>
      </c>
      <c r="S27" s="217"/>
      <c r="T27" s="598">
        <v>227.9810874704491725768321513</v>
      </c>
      <c r="U27" s="219">
        <v>-3.6678618161615969566868741100</v>
      </c>
      <c r="V27" s="217"/>
      <c r="W27" s="598">
        <v>251.0974025974025974025974026</v>
      </c>
      <c r="X27" s="219">
        <v>1.6649846328537663055732302500</v>
      </c>
      <c r="Y27" s="217"/>
      <c r="Z27" s="599">
        <v>186.55601516718372974836263357</v>
      </c>
      <c r="AA27" s="219">
        <v>2.2862315181053998822924266400</v>
      </c>
      <c r="AC27" s="244"/>
      <c r="AD27" s="244"/>
      <c r="AE27" s="244"/>
      <c r="AF27" s="244"/>
      <c r="AG27" s="244"/>
      <c r="AH27" s="244"/>
      <c r="AI27" s="244"/>
      <c r="AJ27" s="244"/>
      <c r="AK27" s="244"/>
      <c r="AL27" s="244"/>
      <c r="AM27" s="244"/>
      <c r="AN27" s="244"/>
      <c r="AO27" s="244"/>
      <c r="AP27" s="244"/>
      <c r="AQ27" s="244"/>
      <c r="AR27" s="244"/>
      <c r="AS27" s="244"/>
      <c r="AT27" s="244"/>
      <c r="AU27" s="244"/>
      <c r="AV27" s="244"/>
    </row>
    <row r="28">
      <c r="D28" s="217" t="s">
        <v>26</v>
      </c>
      <c r="E28" s="598">
        <v>234.88648090815273477812177503</v>
      </c>
      <c r="F28" s="219">
        <v>1.3290058009257253334487845400</v>
      </c>
      <c r="G28" s="217"/>
      <c r="H28" s="598">
        <v>219.74488656044336681676480776</v>
      </c>
      <c r="I28" s="219">
        <v>2.617248329464494944823483600</v>
      </c>
      <c r="J28" s="217"/>
      <c r="K28" s="598">
        <v>215.08658400373255665992732825</v>
      </c>
      <c r="L28" s="219">
        <v>0.5898231448901894929352754400</v>
      </c>
      <c r="M28" s="217"/>
      <c r="N28" s="598">
        <v>207.83998916694778753913915246</v>
      </c>
      <c r="O28" s="219">
        <v>5.8069727178390556087759947700</v>
      </c>
      <c r="P28" s="217"/>
      <c r="Q28" s="598">
        <v>225.51990869795166876762117603</v>
      </c>
      <c r="R28" s="219">
        <v>-0.1872015436789287861940093100</v>
      </c>
      <c r="S28" s="217"/>
      <c r="T28" s="598">
        <v>282.92723040001046291876197513</v>
      </c>
      <c r="U28" s="219">
        <v>-2.4320892749971663318204882100</v>
      </c>
      <c r="V28" s="217"/>
      <c r="W28" s="598">
        <v>292.17114789772285692080516049</v>
      </c>
      <c r="X28" s="219">
        <v>-6.165036439949819516600404700</v>
      </c>
      <c r="Y28" s="217"/>
      <c r="Z28" s="599">
        <v>244.56433172181641853316867228</v>
      </c>
      <c r="AA28" s="219">
        <v>0.3307269348714584947738678400</v>
      </c>
      <c r="AC28" s="244"/>
      <c r="AD28" s="244"/>
      <c r="AE28" s="244"/>
      <c r="AF28" s="244"/>
      <c r="AG28" s="244"/>
      <c r="AH28" s="244"/>
      <c r="AI28" s="244"/>
      <c r="AJ28" s="244"/>
      <c r="AK28" s="244"/>
      <c r="AL28" s="244"/>
      <c r="AM28" s="244"/>
      <c r="AN28" s="244"/>
      <c r="AO28" s="244"/>
      <c r="AP28" s="244"/>
      <c r="AQ28" s="244"/>
      <c r="AR28" s="244"/>
      <c r="AS28" s="244"/>
      <c r="AT28" s="244"/>
      <c r="AU28" s="244"/>
      <c r="AV28" s="244"/>
    </row>
    <row r="29">
      <c r="D29" t="s">
        <v>92</v>
      </c>
      <c r="E29" s="223">
        <v>76.3899271497926</v>
      </c>
      <c r="F29" s="218">
        <v>-1.3219303103808</v>
      </c>
      <c r="H29" s="223">
        <v>71.4488319144665</v>
      </c>
      <c r="I29" s="218">
        <v>1.8898017011754</v>
      </c>
      <c r="K29" s="223">
        <v>74.3192729015420</v>
      </c>
      <c r="L29" s="218">
        <v>12.7535929678477</v>
      </c>
      <c r="N29" s="223">
        <v>73.9641304989101</v>
      </c>
      <c r="O29" s="218">
        <v>0.4330972098484</v>
      </c>
      <c r="Q29" s="223">
        <v>72.8221768692064</v>
      </c>
      <c r="R29" s="218">
        <v>-0.3831090457110</v>
      </c>
      <c r="T29" s="223">
        <v>80.5794080506608</v>
      </c>
      <c r="U29" s="218">
        <v>-1.2665768201491</v>
      </c>
      <c r="W29" s="223">
        <v>85.9418886512782</v>
      </c>
      <c r="X29" s="218">
        <v>8.3444600772059</v>
      </c>
      <c r="Z29" s="224">
        <v>76.2809580014298</v>
      </c>
      <c r="AA29" s="218">
        <v>1.9490585217658</v>
      </c>
      <c r="AC29" s="244"/>
      <c r="AD29" s="244"/>
      <c r="AE29" s="244"/>
      <c r="AF29" s="244"/>
      <c r="AG29" s="244"/>
      <c r="AH29" s="244"/>
      <c r="AI29" s="244"/>
      <c r="AJ29" s="244"/>
      <c r="AK29" s="244"/>
      <c r="AL29" s="244"/>
      <c r="AM29" s="244"/>
      <c r="AN29" s="244"/>
      <c r="AO29" s="244"/>
      <c r="AP29" s="244"/>
      <c r="AQ29" s="244"/>
      <c r="AR29" s="244"/>
      <c r="AS29" s="244"/>
      <c r="AT29" s="244"/>
      <c r="AU29" s="244"/>
      <c r="AV29" s="244"/>
    </row>
    <row r="30">
      <c r="D30" s="214" t="s">
        <v>55</v>
      </c>
      <c r="E30" s="227" t="s">
        <v>171</v>
      </c>
      <c r="F30" s="228" t="s">
        <v>171</v>
      </c>
      <c r="G30" s="229"/>
      <c r="H30" s="227" t="s">
        <v>171</v>
      </c>
      <c r="I30" s="228" t="s">
        <v>172</v>
      </c>
      <c r="J30" s="229"/>
      <c r="K30" s="227" t="s">
        <v>171</v>
      </c>
      <c r="L30" s="228" t="s">
        <v>172</v>
      </c>
      <c r="M30" s="229"/>
      <c r="N30" s="227" t="s">
        <v>171</v>
      </c>
      <c r="O30" s="228" t="s">
        <v>172</v>
      </c>
      <c r="P30" s="229"/>
      <c r="Q30" s="227" t="s">
        <v>171</v>
      </c>
      <c r="R30" s="228" t="s">
        <v>170</v>
      </c>
      <c r="S30" s="229"/>
      <c r="T30" s="227" t="s">
        <v>171</v>
      </c>
      <c r="U30" s="228" t="s">
        <v>170</v>
      </c>
      <c r="V30" s="229"/>
      <c r="W30" s="227" t="s">
        <v>171</v>
      </c>
      <c r="X30" s="228" t="s">
        <v>172</v>
      </c>
      <c r="Y30" s="229"/>
      <c r="Z30" s="230" t="s">
        <v>171</v>
      </c>
      <c r="AA30" s="228" t="s">
        <v>172</v>
      </c>
      <c r="AC30" s="244"/>
      <c r="AD30" s="244"/>
      <c r="AE30" s="244"/>
      <c r="AF30" s="244"/>
      <c r="AG30" s="244"/>
      <c r="AH30" s="244"/>
      <c r="AI30" s="244"/>
      <c r="AJ30" s="244"/>
      <c r="AK30" s="244"/>
      <c r="AL30" s="244"/>
      <c r="AM30" s="244"/>
      <c r="AN30" s="244"/>
      <c r="AO30" s="244"/>
      <c r="AP30" s="244"/>
      <c r="AQ30" s="244"/>
      <c r="AR30" s="244"/>
      <c r="AS30" s="244"/>
      <c r="AT30" s="244"/>
      <c r="AU30" s="244"/>
      <c r="AV30" s="244"/>
    </row>
    <row r="31" ht="8.1" customHeight="1">
      <c r="F31" s="218"/>
      <c r="I31" s="218"/>
      <c r="L31" s="218"/>
      <c r="O31" s="218"/>
      <c r="R31" s="218"/>
      <c r="U31" s="218"/>
      <c r="X31" s="218"/>
      <c r="Z31" s="215"/>
      <c r="AA31" s="218"/>
      <c r="AC31" s="244"/>
      <c r="AD31" s="244"/>
      <c r="AE31" s="244"/>
      <c r="AF31" s="244"/>
      <c r="AG31" s="244"/>
      <c r="AH31" s="244"/>
      <c r="AI31" s="244"/>
      <c r="AJ31" s="244"/>
      <c r="AK31" s="244"/>
      <c r="AL31" s="244"/>
      <c r="AM31" s="244"/>
      <c r="AN31" s="244"/>
      <c r="AO31" s="244"/>
      <c r="AP31" s="244"/>
      <c r="AQ31" s="244"/>
      <c r="AR31" s="244"/>
      <c r="AS31" s="244"/>
      <c r="AT31" s="244"/>
      <c r="AU31" s="244"/>
      <c r="AV31" s="244"/>
    </row>
    <row r="32">
      <c r="B32" s="216" t="s">
        <v>21</v>
      </c>
      <c r="C32" s="216"/>
      <c r="D32" s="217" t="s">
        <v>32</v>
      </c>
      <c r="E32" s="598">
        <v>180.3502538071065989847715736</v>
      </c>
      <c r="F32" s="219">
        <v>0.502546889702601633193429400</v>
      </c>
      <c r="G32" s="217"/>
      <c r="H32" s="598">
        <v>158.39650145772594752186588921</v>
      </c>
      <c r="I32" s="219">
        <v>5.5924142845163469563778440600</v>
      </c>
      <c r="J32" s="217"/>
      <c r="K32" s="598">
        <v>157.8359133126934984520123839</v>
      </c>
      <c r="L32" s="219">
        <v>13.128226054879479264768969260</v>
      </c>
      <c r="M32" s="217"/>
      <c r="N32" s="598">
        <v>151.18731117824773413897280967</v>
      </c>
      <c r="O32" s="219">
        <v>5.2112805030925569089684739200</v>
      </c>
      <c r="P32" s="217"/>
      <c r="Q32" s="598">
        <v>164.08762886597938144329896907</v>
      </c>
      <c r="R32" s="219">
        <v>-0.6704849619105345354823133900</v>
      </c>
      <c r="S32" s="217"/>
      <c r="T32" s="598">
        <v>227.738717339667458432304038</v>
      </c>
      <c r="U32" s="219">
        <v>-3.7399917274265337068891713200</v>
      </c>
      <c r="V32" s="217"/>
      <c r="W32" s="598">
        <v>251.03687635574837310195227766</v>
      </c>
      <c r="X32" s="219">
        <v>1.3255913419063917457368954400</v>
      </c>
      <c r="Y32" s="217"/>
      <c r="Z32" s="599">
        <v>188.53213077790304396843291995</v>
      </c>
      <c r="AA32" s="219">
        <v>3.1690416998816977273224915600</v>
      </c>
      <c r="AC32" s="244"/>
      <c r="AD32" s="244"/>
      <c r="AE32" s="244"/>
      <c r="AF32" s="244"/>
      <c r="AG32" s="244"/>
      <c r="AH32" s="244"/>
      <c r="AI32" s="244"/>
      <c r="AJ32" s="244"/>
      <c r="AK32" s="244"/>
      <c r="AL32" s="244"/>
      <c r="AM32" s="244"/>
      <c r="AN32" s="244"/>
      <c r="AO32" s="244"/>
      <c r="AP32" s="244"/>
      <c r="AQ32" s="244"/>
      <c r="AR32" s="244"/>
      <c r="AS32" s="244"/>
      <c r="AT32" s="244"/>
      <c r="AU32" s="244"/>
      <c r="AV32" s="244"/>
    </row>
    <row r="33">
      <c r="D33" s="217" t="s">
        <v>26</v>
      </c>
      <c r="E33" s="598">
        <v>234.67114788004136504653567735</v>
      </c>
      <c r="F33" s="219">
        <v>1.1780274108999119016222678600</v>
      </c>
      <c r="G33" s="217"/>
      <c r="H33" s="598">
        <v>218.47207915246301215205604737</v>
      </c>
      <c r="I33" s="219">
        <v>1.9661352108078063115134313500</v>
      </c>
      <c r="J33" s="217"/>
      <c r="K33" s="598">
        <v>212.26933484700942948438776858</v>
      </c>
      <c r="L33" s="219">
        <v>-0.4045362030973166048581971200</v>
      </c>
      <c r="M33" s="217"/>
      <c r="N33" s="598">
        <v>204.92555379547911795026526867</v>
      </c>
      <c r="O33" s="219">
        <v>6.164746034918713710550230300</v>
      </c>
      <c r="P33" s="217"/>
      <c r="Q33" s="598">
        <v>224.45565198023477392903986866</v>
      </c>
      <c r="R33" s="219">
        <v>0.5714596995966285243417631700</v>
      </c>
      <c r="S33" s="217"/>
      <c r="T33" s="598">
        <v>283.29308154598504426054225449</v>
      </c>
      <c r="U33" s="219">
        <v>-2.4095524592497435807224801800</v>
      </c>
      <c r="V33" s="217"/>
      <c r="W33" s="598">
        <v>293.08948439299064683522341918</v>
      </c>
      <c r="X33" s="219">
        <v>-5.8737437873995874570492301500</v>
      </c>
      <c r="Y33" s="217"/>
      <c r="Z33" s="599">
        <v>244.00752630467175537654359752</v>
      </c>
      <c r="AA33" s="219">
        <v>0.4116108773584047153827414300</v>
      </c>
      <c r="AC33" s="244"/>
      <c r="AD33" s="244"/>
      <c r="AE33" s="244"/>
      <c r="AF33" s="244"/>
      <c r="AG33" s="244"/>
      <c r="AH33" s="244"/>
      <c r="AI33" s="244"/>
      <c r="AJ33" s="244"/>
      <c r="AK33" s="244"/>
      <c r="AL33" s="244"/>
      <c r="AM33" s="244"/>
      <c r="AN33" s="244"/>
      <c r="AO33" s="244"/>
      <c r="AP33" s="244"/>
      <c r="AQ33" s="244"/>
      <c r="AR33" s="244"/>
      <c r="AS33" s="244"/>
      <c r="AT33" s="244"/>
      <c r="AU33" s="244"/>
      <c r="AV33" s="244"/>
    </row>
    <row r="34">
      <c r="D34" t="s">
        <v>22</v>
      </c>
      <c r="E34" s="223">
        <v>76.8523337599769</v>
      </c>
      <c r="F34" s="218">
        <v>-0.6676158238360</v>
      </c>
      <c r="H34" s="223">
        <v>72.5019426153584</v>
      </c>
      <c r="I34" s="218">
        <v>3.5563563003183</v>
      </c>
      <c r="K34" s="223">
        <v>74.3564365651114</v>
      </c>
      <c r="L34" s="218">
        <v>13.5877295432065</v>
      </c>
      <c r="N34" s="223">
        <v>73.7767000640248</v>
      </c>
      <c r="O34" s="218">
        <v>-0.8980999506963</v>
      </c>
      <c r="Q34" s="223">
        <v>73.1046990433790</v>
      </c>
      <c r="R34" s="218">
        <v>-1.2348877755898</v>
      </c>
      <c r="T34" s="223">
        <v>80.3897914120745</v>
      </c>
      <c r="U34" s="218">
        <v>-1.3632884178329</v>
      </c>
      <c r="W34" s="223">
        <v>85.6519560487323</v>
      </c>
      <c r="X34" s="218">
        <v>7.6485939407091</v>
      </c>
      <c r="Z34" s="224">
        <v>77.2648834374383</v>
      </c>
      <c r="AA34" s="218">
        <v>2.7461274631613</v>
      </c>
      <c r="AC34" s="244"/>
      <c r="AD34" s="244"/>
      <c r="AE34" s="244"/>
      <c r="AF34" s="244"/>
      <c r="AG34" s="244"/>
      <c r="AH34" s="244"/>
      <c r="AI34" s="244"/>
      <c r="AJ34" s="244"/>
      <c r="AK34" s="244"/>
      <c r="AL34" s="244"/>
      <c r="AM34" s="244"/>
      <c r="AN34" s="244"/>
      <c r="AO34" s="244"/>
      <c r="AP34" s="244"/>
      <c r="AQ34" s="244"/>
      <c r="AR34" s="244"/>
      <c r="AS34" s="244"/>
      <c r="AT34" s="244"/>
      <c r="AU34" s="244"/>
      <c r="AV34" s="244"/>
    </row>
    <row r="35">
      <c r="D35" t="s">
        <v>55</v>
      </c>
      <c r="E35" s="231" t="s">
        <v>171</v>
      </c>
      <c r="F35" s="232" t="s">
        <v>171</v>
      </c>
      <c r="G35" s="176"/>
      <c r="H35" s="231" t="s">
        <v>171</v>
      </c>
      <c r="I35" s="232" t="s">
        <v>172</v>
      </c>
      <c r="J35" s="176"/>
      <c r="K35" s="231" t="s">
        <v>171</v>
      </c>
      <c r="L35" s="232" t="s">
        <v>172</v>
      </c>
      <c r="M35" s="176"/>
      <c r="N35" s="231" t="s">
        <v>171</v>
      </c>
      <c r="O35" s="232" t="s">
        <v>172</v>
      </c>
      <c r="P35" s="176"/>
      <c r="Q35" s="231" t="s">
        <v>171</v>
      </c>
      <c r="R35" s="232" t="s">
        <v>170</v>
      </c>
      <c r="S35" s="176"/>
      <c r="T35" s="231" t="s">
        <v>171</v>
      </c>
      <c r="U35" s="232" t="s">
        <v>170</v>
      </c>
      <c r="V35" s="176"/>
      <c r="W35" s="231" t="s">
        <v>171</v>
      </c>
      <c r="X35" s="232" t="s">
        <v>172</v>
      </c>
      <c r="Y35" s="176"/>
      <c r="Z35" s="233" t="s">
        <v>171</v>
      </c>
      <c r="AA35" s="232" t="s">
        <v>172</v>
      </c>
      <c r="AC35" s="244"/>
      <c r="AD35" s="244"/>
      <c r="AE35" s="244"/>
      <c r="AF35" s="244"/>
      <c r="AG35" s="244"/>
      <c r="AH35" s="244"/>
      <c r="AI35" s="244"/>
      <c r="AJ35" s="244"/>
      <c r="AK35" s="244"/>
      <c r="AL35" s="244"/>
      <c r="AM35" s="244"/>
      <c r="AN35" s="244"/>
      <c r="AO35" s="244"/>
      <c r="AP35" s="244"/>
      <c r="AQ35" s="244"/>
      <c r="AR35" s="244"/>
      <c r="AS35" s="244"/>
      <c r="AT35" s="244"/>
      <c r="AU35" s="244"/>
      <c r="AV35" s="244"/>
    </row>
    <row r="36" ht="8.1" customHeight="1">
      <c r="F36" s="218"/>
      <c r="I36" s="218"/>
      <c r="L36" s="218"/>
      <c r="O36" s="218"/>
      <c r="R36" s="218"/>
      <c r="U36" s="218"/>
      <c r="X36" s="218"/>
      <c r="Z36" s="215"/>
      <c r="AA36" s="218"/>
      <c r="AC36" s="244"/>
      <c r="AD36" s="244"/>
      <c r="AE36" s="244"/>
      <c r="AF36" s="244"/>
      <c r="AG36" s="244"/>
      <c r="AH36" s="244"/>
      <c r="AI36" s="244"/>
      <c r="AJ36" s="244"/>
      <c r="AK36" s="244"/>
      <c r="AL36" s="244"/>
      <c r="AM36" s="244"/>
      <c r="AN36" s="244"/>
      <c r="AO36" s="244"/>
      <c r="AP36" s="244"/>
      <c r="AQ36" s="244"/>
      <c r="AR36" s="244"/>
      <c r="AS36" s="244"/>
      <c r="AT36" s="244"/>
      <c r="AU36" s="244"/>
      <c r="AV36" s="244"/>
    </row>
    <row r="37">
      <c r="B37" s="216" t="s">
        <v>24</v>
      </c>
      <c r="C37" s="216"/>
      <c r="D37" s="217" t="s">
        <v>32</v>
      </c>
      <c r="E37" s="598">
        <v>159.27777777777777777777777778</v>
      </c>
      <c r="F37" s="219">
        <v>0</v>
      </c>
      <c r="G37" s="217"/>
      <c r="H37" s="598">
        <v>146.4</v>
      </c>
      <c r="I37" s="219">
        <v>-14.385964912280701754385964910</v>
      </c>
      <c r="J37" s="217"/>
      <c r="K37" s="598">
        <v>170.88135593220338983050847458</v>
      </c>
      <c r="L37" s="219">
        <v>3.7558391351897896942740360300</v>
      </c>
      <c r="M37" s="217"/>
      <c r="N37" s="598">
        <v>167.50819672131147540983606557</v>
      </c>
      <c r="O37" s="219">
        <v>3.622606901323296409231918800</v>
      </c>
      <c r="P37" s="217"/>
      <c r="Q37" s="598">
        <v>165.24074074074074074074074074</v>
      </c>
      <c r="R37" s="219">
        <v>0.3309671868357452465310861700</v>
      </c>
      <c r="S37" s="217"/>
      <c r="T37" s="598">
        <v>279</v>
      </c>
      <c r="U37" s="219">
        <v>13.877551020408163265306122450</v>
      </c>
      <c r="V37" s="217"/>
      <c r="W37" s="598">
        <v>279</v>
      </c>
      <c r="X37" s="219">
        <v>48.800</v>
      </c>
      <c r="Y37" s="217"/>
      <c r="Z37" s="599">
        <v>164.64583333333333333333333333</v>
      </c>
      <c r="AA37" s="219">
        <v>-2.9545835729541686193690623200</v>
      </c>
      <c r="AC37" s="244"/>
      <c r="AD37" s="244"/>
      <c r="AE37" s="244"/>
      <c r="AF37" s="244"/>
      <c r="AG37" s="244"/>
      <c r="AH37" s="244"/>
      <c r="AI37" s="244"/>
      <c r="AJ37" s="244"/>
      <c r="AK37" s="244"/>
      <c r="AL37" s="244"/>
      <c r="AM37" s="244"/>
      <c r="AN37" s="244"/>
      <c r="AO37" s="244"/>
      <c r="AP37" s="244"/>
      <c r="AQ37" s="244"/>
      <c r="AR37" s="244"/>
      <c r="AS37" s="244"/>
      <c r="AT37" s="244"/>
      <c r="AU37" s="244"/>
      <c r="AV37" s="244"/>
    </row>
    <row r="38">
      <c r="D38" s="217" t="s">
        <v>26</v>
      </c>
      <c r="E38" s="598">
        <v>339</v>
      </c>
      <c r="F38" s="219">
        <v>58.140032102053212943087339350</v>
      </c>
      <c r="G38" s="217"/>
      <c r="H38" s="598">
        <v>339</v>
      </c>
      <c r="I38" s="219">
        <v>74.715120402543239860983890990</v>
      </c>
      <c r="J38" s="217"/>
      <c r="K38" s="598">
        <v>288.63413387838528359734287175</v>
      </c>
      <c r="L38" s="219">
        <v>7.2821957916144211947565965200</v>
      </c>
      <c r="M38" s="217"/>
      <c r="N38" s="598">
        <v>257.74956941095418532552531864</v>
      </c>
      <c r="O38" s="219">
        <v>-15.842494133808967506338788350</v>
      </c>
      <c r="P38" s="217"/>
      <c r="Q38" s="598">
        <v>254.10357815442561205273069679</v>
      </c>
      <c r="R38" s="219">
        <v>-32.954201014663426899015647280</v>
      </c>
      <c r="S38" s="217"/>
      <c r="T38" s="598">
        <v>268.36410940627084723148765842</v>
      </c>
      <c r="U38" s="219">
        <v>-1.3939648284677055563790800900</v>
      </c>
      <c r="V38" s="217"/>
      <c r="W38" s="598">
        <v>229.83340471092077087794432548</v>
      </c>
      <c r="X38" s="219">
        <v>-25.903109519108304392113039650</v>
      </c>
      <c r="Y38" s="217"/>
      <c r="Z38" s="599">
        <v>266.92681081328961548162245202</v>
      </c>
      <c r="AA38" s="219">
        <v>-9.770617705847443109120183320</v>
      </c>
      <c r="AC38" s="244"/>
      <c r="AD38" s="244"/>
      <c r="AE38" s="244"/>
      <c r="AF38" s="244"/>
      <c r="AG38" s="244"/>
      <c r="AH38" s="244"/>
      <c r="AI38" s="244"/>
      <c r="AJ38" s="244"/>
      <c r="AK38" s="244"/>
      <c r="AL38" s="244"/>
      <c r="AM38" s="244"/>
      <c r="AN38" s="244"/>
      <c r="AO38" s="244"/>
      <c r="AP38" s="244"/>
      <c r="AQ38" s="244"/>
      <c r="AR38" s="244"/>
      <c r="AS38" s="244"/>
      <c r="AT38" s="244"/>
      <c r="AU38" s="244"/>
      <c r="AV38" s="244"/>
    </row>
    <row r="39">
      <c r="D39" t="s">
        <v>22</v>
      </c>
      <c r="E39" s="223">
        <v>46.9845952146837</v>
      </c>
      <c r="F39" s="218">
        <v>0</v>
      </c>
      <c r="H39" s="223">
        <v>43.1858407079646</v>
      </c>
      <c r="I39" s="218">
        <v>-50.9979245697620</v>
      </c>
      <c r="K39" s="223">
        <v>59.2034468120790</v>
      </c>
      <c r="L39" s="218">
        <v>-3.2869914998112</v>
      </c>
      <c r="N39" s="223">
        <v>64.9887396918238</v>
      </c>
      <c r="O39" s="218">
        <v>23.1293701432448</v>
      </c>
      <c r="Q39" s="223">
        <v>65.0288917381306</v>
      </c>
      <c r="R39" s="218">
        <v>49.6454195567751</v>
      </c>
      <c r="T39" s="223">
        <v>103.9632313789015</v>
      </c>
      <c r="U39" s="218">
        <v>15.4874048249130</v>
      </c>
      <c r="W39" s="223">
        <v>121.3922755706226</v>
      </c>
      <c r="X39" s="218">
        <v>100.8181436958596</v>
      </c>
      <c r="Z39" s="224">
        <v>61.6820141939558</v>
      </c>
      <c r="AA39" s="218">
        <v>7.5541181372041</v>
      </c>
      <c r="AC39" s="244"/>
      <c r="AD39" s="244"/>
      <c r="AE39" s="244"/>
      <c r="AF39" s="244"/>
      <c r="AG39" s="244"/>
      <c r="AH39" s="244"/>
      <c r="AI39" s="244"/>
      <c r="AJ39" s="244"/>
      <c r="AK39" s="244"/>
      <c r="AL39" s="244"/>
      <c r="AM39" s="244"/>
      <c r="AN39" s="244"/>
      <c r="AO39" s="244"/>
      <c r="AP39" s="244"/>
      <c r="AQ39" s="244"/>
      <c r="AR39" s="244"/>
      <c r="AS39" s="244"/>
      <c r="AT39" s="244"/>
      <c r="AU39" s="244"/>
      <c r="AV39" s="244"/>
    </row>
    <row r="40">
      <c r="D40" t="s">
        <v>55</v>
      </c>
      <c r="E40" s="231" t="s">
        <v>171</v>
      </c>
      <c r="F40" s="232" t="s">
        <v>172</v>
      </c>
      <c r="G40" s="176"/>
      <c r="H40" s="231" t="s">
        <v>171</v>
      </c>
      <c r="I40" s="232" t="s">
        <v>178</v>
      </c>
      <c r="J40" s="176"/>
      <c r="K40" s="231" t="s">
        <v>170</v>
      </c>
      <c r="L40" s="232" t="s">
        <v>172</v>
      </c>
      <c r="M40" s="176"/>
      <c r="N40" s="231" t="s">
        <v>170</v>
      </c>
      <c r="O40" s="232" t="s">
        <v>171</v>
      </c>
      <c r="P40" s="176"/>
      <c r="Q40" s="231" t="s">
        <v>171</v>
      </c>
      <c r="R40" s="232" t="s">
        <v>172</v>
      </c>
      <c r="S40" s="176"/>
      <c r="T40" s="231" t="s">
        <v>172</v>
      </c>
      <c r="U40" s="232" t="s">
        <v>172</v>
      </c>
      <c r="V40" s="176"/>
      <c r="W40" s="231" t="s">
        <v>172</v>
      </c>
      <c r="X40" s="232" t="s">
        <v>172</v>
      </c>
      <c r="Y40" s="176"/>
      <c r="Z40" s="233" t="s">
        <v>170</v>
      </c>
      <c r="AA40" s="232" t="s">
        <v>170</v>
      </c>
      <c r="AC40" s="244"/>
      <c r="AD40" s="244"/>
      <c r="AE40" s="244"/>
      <c r="AF40" s="244"/>
      <c r="AG40" s="244"/>
      <c r="AH40" s="244"/>
      <c r="AI40" s="244"/>
      <c r="AJ40" s="244"/>
      <c r="AK40" s="244"/>
      <c r="AL40" s="244"/>
      <c r="AM40" s="244"/>
      <c r="AN40" s="244"/>
      <c r="AO40" s="244"/>
      <c r="AP40" s="244"/>
      <c r="AQ40" s="244"/>
      <c r="AR40" s="244"/>
      <c r="AS40" s="244"/>
      <c r="AT40" s="244"/>
      <c r="AU40" s="244"/>
      <c r="AV40" s="244"/>
    </row>
    <row r="41" ht="8.1" customHeight="1">
      <c r="F41" s="218"/>
      <c r="I41" s="218"/>
      <c r="L41" s="218"/>
      <c r="O41" s="218"/>
      <c r="R41" s="218"/>
      <c r="U41" s="218"/>
      <c r="X41" s="218"/>
      <c r="Z41" s="215"/>
      <c r="AA41" s="218"/>
      <c r="AC41" s="244"/>
      <c r="AD41" s="244"/>
      <c r="AE41" s="244"/>
      <c r="AF41" s="244"/>
      <c r="AG41" s="244"/>
      <c r="AH41" s="244"/>
      <c r="AI41" s="244"/>
      <c r="AJ41" s="244"/>
      <c r="AK41" s="244"/>
      <c r="AL41" s="244"/>
      <c r="AM41" s="244"/>
      <c r="AN41" s="244"/>
      <c r="AO41" s="244"/>
      <c r="AP41" s="244"/>
      <c r="AQ41" s="244"/>
      <c r="AR41" s="244"/>
      <c r="AS41" s="244"/>
      <c r="AT41" s="244"/>
      <c r="AU41" s="244"/>
      <c r="AV41" s="244"/>
    </row>
    <row r="42">
      <c r="B42" s="216" t="s">
        <v>25</v>
      </c>
      <c r="C42" s="216"/>
      <c r="D42" s="217" t="s">
        <v>32</v>
      </c>
      <c r="E42" s="598">
        <v>0</v>
      </c>
      <c r="F42" s="219">
        <v>0</v>
      </c>
      <c r="G42" s="217"/>
      <c r="H42" s="598">
        <v>0</v>
      </c>
      <c r="I42" s="219">
        <v>0</v>
      </c>
      <c r="J42" s="217"/>
      <c r="K42" s="598">
        <v>0</v>
      </c>
      <c r="L42" s="219">
        <v>0</v>
      </c>
      <c r="M42" s="217"/>
      <c r="N42" s="598">
        <v>0</v>
      </c>
      <c r="O42" s="219">
        <v>0</v>
      </c>
      <c r="P42" s="217"/>
      <c r="Q42" s="598">
        <v>0</v>
      </c>
      <c r="R42" s="219">
        <v>0</v>
      </c>
      <c r="S42" s="217"/>
      <c r="T42" s="598">
        <v>0</v>
      </c>
      <c r="U42" s="219">
        <v>0</v>
      </c>
      <c r="V42" s="217"/>
      <c r="W42" s="598">
        <v>0</v>
      </c>
      <c r="X42" s="219">
        <v>0</v>
      </c>
      <c r="Y42" s="217"/>
      <c r="Z42" s="599">
        <v>0</v>
      </c>
      <c r="AA42" s="219">
        <v>0</v>
      </c>
      <c r="AC42" s="244"/>
      <c r="AD42" s="244"/>
      <c r="AE42" s="244"/>
      <c r="AF42" s="244"/>
      <c r="AG42" s="244"/>
      <c r="AH42" s="244"/>
      <c r="AI42" s="244"/>
      <c r="AJ42" s="244"/>
      <c r="AK42" s="244"/>
      <c r="AL42" s="244"/>
      <c r="AM42" s="244"/>
      <c r="AN42" s="244"/>
      <c r="AO42" s="244"/>
      <c r="AP42" s="244"/>
      <c r="AQ42" s="244"/>
      <c r="AR42" s="244"/>
      <c r="AS42" s="244"/>
      <c r="AT42" s="244"/>
      <c r="AU42" s="244"/>
      <c r="AV42" s="244"/>
    </row>
    <row r="43">
      <c r="D43" s="217" t="s">
        <v>26</v>
      </c>
      <c r="E43" s="598">
        <v>0</v>
      </c>
      <c r="F43" s="219">
        <v>0</v>
      </c>
      <c r="G43" s="217"/>
      <c r="H43" s="598">
        <v>0</v>
      </c>
      <c r="I43" s="219">
        <v>0</v>
      </c>
      <c r="J43" s="217"/>
      <c r="K43" s="598">
        <v>0</v>
      </c>
      <c r="L43" s="219">
        <v>0</v>
      </c>
      <c r="M43" s="217"/>
      <c r="N43" s="598">
        <v>0</v>
      </c>
      <c r="O43" s="219">
        <v>0</v>
      </c>
      <c r="P43" s="217"/>
      <c r="Q43" s="598">
        <v>0</v>
      </c>
      <c r="R43" s="219">
        <v>0</v>
      </c>
      <c r="S43" s="217"/>
      <c r="T43" s="598">
        <v>0</v>
      </c>
      <c r="U43" s="219">
        <v>0</v>
      </c>
      <c r="V43" s="217"/>
      <c r="W43" s="598">
        <v>0</v>
      </c>
      <c r="X43" s="219">
        <v>0</v>
      </c>
      <c r="Y43" s="217"/>
      <c r="Z43" s="599">
        <v>0</v>
      </c>
      <c r="AA43" s="219">
        <v>0</v>
      </c>
      <c r="AC43" s="244"/>
      <c r="AD43" s="244"/>
      <c r="AE43" s="244"/>
      <c r="AF43" s="244"/>
      <c r="AG43" s="244"/>
      <c r="AH43" s="244"/>
      <c r="AI43" s="244"/>
      <c r="AJ43" s="244"/>
      <c r="AK43" s="244"/>
      <c r="AL43" s="244"/>
      <c r="AM43" s="244"/>
      <c r="AN43" s="244"/>
      <c r="AO43" s="244"/>
      <c r="AP43" s="244"/>
      <c r="AQ43" s="244"/>
      <c r="AR43" s="244"/>
      <c r="AS43" s="244"/>
      <c r="AT43" s="244"/>
      <c r="AU43" s="244"/>
      <c r="AV43" s="244"/>
    </row>
    <row r="44">
      <c r="D44" t="s">
        <v>22</v>
      </c>
      <c r="E44" s="223">
        <v>0</v>
      </c>
      <c r="F44" s="218">
        <v>0</v>
      </c>
      <c r="H44" s="223">
        <v>0</v>
      </c>
      <c r="I44" s="218">
        <v>0</v>
      </c>
      <c r="K44" s="223">
        <v>0</v>
      </c>
      <c r="L44" s="218">
        <v>0</v>
      </c>
      <c r="N44" s="223">
        <v>0</v>
      </c>
      <c r="O44" s="218">
        <v>0</v>
      </c>
      <c r="Q44" s="223">
        <v>0</v>
      </c>
      <c r="R44" s="218">
        <v>0</v>
      </c>
      <c r="T44" s="223">
        <v>0</v>
      </c>
      <c r="U44" s="218">
        <v>0</v>
      </c>
      <c r="W44" s="223">
        <v>0</v>
      </c>
      <c r="X44" s="218">
        <v>0</v>
      </c>
      <c r="Z44" s="224">
        <v>0</v>
      </c>
      <c r="AA44" s="218">
        <v>0</v>
      </c>
      <c r="AC44" s="244"/>
      <c r="AD44" s="244"/>
      <c r="AE44" s="244"/>
      <c r="AF44" s="244"/>
      <c r="AG44" s="244"/>
      <c r="AH44" s="244"/>
      <c r="AI44" s="244"/>
      <c r="AJ44" s="244"/>
      <c r="AK44" s="244"/>
      <c r="AL44" s="244"/>
      <c r="AM44" s="244"/>
      <c r="AN44" s="244"/>
      <c r="AO44" s="244"/>
      <c r="AP44" s="244"/>
      <c r="AQ44" s="244"/>
      <c r="AR44" s="244"/>
      <c r="AS44" s="244"/>
      <c r="AT44" s="244"/>
      <c r="AU44" s="244"/>
      <c r="AV44" s="244"/>
    </row>
    <row r="45">
      <c r="D45" t="s">
        <v>55</v>
      </c>
      <c r="E45" s="231" t="s">
        <v>176</v>
      </c>
      <c r="F45" s="232"/>
      <c r="G45" s="176"/>
      <c r="H45" s="231" t="s">
        <v>176</v>
      </c>
      <c r="I45" s="232"/>
      <c r="J45" s="176"/>
      <c r="K45" s="231" t="s">
        <v>176</v>
      </c>
      <c r="L45" s="232"/>
      <c r="M45" s="176"/>
      <c r="N45" s="231" t="s">
        <v>176</v>
      </c>
      <c r="O45" s="232"/>
      <c r="P45" s="176"/>
      <c r="Q45" s="231" t="s">
        <v>176</v>
      </c>
      <c r="R45" s="232"/>
      <c r="S45" s="176"/>
      <c r="T45" s="231" t="s">
        <v>176</v>
      </c>
      <c r="U45" s="232"/>
      <c r="V45" s="176"/>
      <c r="W45" s="231" t="s">
        <v>176</v>
      </c>
      <c r="X45" s="232"/>
      <c r="Y45" s="176"/>
      <c r="Z45" s="233" t="s">
        <v>176</v>
      </c>
      <c r="AA45" s="232"/>
      <c r="AC45" s="244"/>
      <c r="AD45" s="244"/>
      <c r="AE45" s="244"/>
      <c r="AF45" s="244"/>
      <c r="AG45" s="244"/>
      <c r="AH45" s="244"/>
      <c r="AI45" s="244"/>
      <c r="AJ45" s="244"/>
      <c r="AK45" s="244"/>
      <c r="AL45" s="244"/>
      <c r="AM45" s="244"/>
      <c r="AN45" s="244"/>
      <c r="AO45" s="244"/>
      <c r="AP45" s="244"/>
      <c r="AQ45" s="244"/>
      <c r="AR45" s="244"/>
      <c r="AS45" s="244"/>
      <c r="AT45" s="244"/>
      <c r="AU45" s="244"/>
      <c r="AV45" s="244"/>
    </row>
    <row r="46" ht="15">
      <c r="B46" s="612"/>
      <c r="C46" s="612"/>
      <c r="D46" s="612"/>
      <c r="E46" s="612"/>
      <c r="F46" s="612"/>
      <c r="G46" s="612"/>
      <c r="H46" s="612"/>
      <c r="I46" s="612"/>
      <c r="J46" s="612"/>
      <c r="K46" s="612"/>
      <c r="L46" s="612"/>
      <c r="M46" s="612"/>
      <c r="N46" s="612"/>
      <c r="O46" s="612"/>
      <c r="P46" s="612"/>
      <c r="Q46" s="612"/>
      <c r="R46" s="612"/>
      <c r="S46" s="612"/>
      <c r="T46" s="612"/>
      <c r="U46" s="612"/>
      <c r="V46" s="612"/>
      <c r="W46" s="612"/>
      <c r="X46" s="612"/>
      <c r="Y46" s="612"/>
      <c r="Z46" s="612"/>
      <c r="AA46" s="612"/>
      <c r="AC46" s="244"/>
      <c r="AD46" s="244"/>
      <c r="AE46" s="244"/>
      <c r="AF46" s="244"/>
      <c r="AG46" s="244"/>
      <c r="AH46" s="244"/>
      <c r="AI46" s="244"/>
      <c r="AJ46" s="244"/>
      <c r="AK46" s="244"/>
      <c r="AL46" s="244"/>
      <c r="AM46" s="244"/>
      <c r="AN46" s="244"/>
      <c r="AO46" s="244"/>
      <c r="AP46" s="244"/>
      <c r="AQ46" s="244"/>
      <c r="AR46" s="244"/>
      <c r="AS46" s="244"/>
      <c r="AT46" s="244"/>
      <c r="AU46" s="244"/>
      <c r="AV46" s="244"/>
    </row>
    <row r="47" ht="18">
      <c r="B47" s="220" t="s">
        <v>13</v>
      </c>
      <c r="C47" s="57"/>
      <c r="E47" s="648" t="s">
        <v>40</v>
      </c>
      <c r="F47" s="648"/>
      <c r="H47" s="648" t="s">
        <v>39</v>
      </c>
      <c r="I47" s="648"/>
      <c r="K47" s="648" t="s">
        <v>41</v>
      </c>
      <c r="L47" s="648"/>
      <c r="N47" s="648" t="s">
        <v>42</v>
      </c>
      <c r="O47" s="648"/>
      <c r="Q47" s="648" t="s">
        <v>43</v>
      </c>
      <c r="R47" s="648"/>
      <c r="T47" s="648" t="s">
        <v>44</v>
      </c>
      <c r="U47" s="648"/>
      <c r="W47" s="648" t="s">
        <v>45</v>
      </c>
      <c r="X47" s="648"/>
      <c r="Z47" s="649" t="s">
        <v>23</v>
      </c>
      <c r="AA47" s="649"/>
      <c r="AC47" s="244"/>
      <c r="AD47" s="244"/>
      <c r="AE47" s="244"/>
      <c r="AF47" s="244"/>
      <c r="AG47" s="244"/>
      <c r="AH47" s="244"/>
      <c r="AI47" s="244"/>
      <c r="AJ47" s="244"/>
      <c r="AK47" s="244"/>
      <c r="AL47" s="244"/>
      <c r="AM47" s="244"/>
      <c r="AN47" s="244"/>
      <c r="AO47" s="244"/>
      <c r="AP47" s="244"/>
      <c r="AQ47" s="244"/>
      <c r="AR47" s="244"/>
      <c r="AS47" s="244"/>
      <c r="AT47" s="244"/>
      <c r="AU47" s="244"/>
      <c r="AV47" s="244"/>
    </row>
    <row r="48">
      <c r="E48" s="176"/>
      <c r="F48" s="176" t="s">
        <v>57</v>
      </c>
      <c r="G48" s="176"/>
      <c r="H48" s="176"/>
      <c r="I48" s="176" t="s">
        <v>57</v>
      </c>
      <c r="J48" s="176"/>
      <c r="K48" s="176"/>
      <c r="L48" s="176" t="s">
        <v>57</v>
      </c>
      <c r="M48" s="176"/>
      <c r="N48" s="176"/>
      <c r="O48" s="176" t="s">
        <v>57</v>
      </c>
      <c r="P48" s="176"/>
      <c r="Q48" s="176"/>
      <c r="R48" s="176" t="s">
        <v>57</v>
      </c>
      <c r="S48" s="176"/>
      <c r="T48" s="176"/>
      <c r="U48" s="176" t="s">
        <v>57</v>
      </c>
      <c r="V48" s="176"/>
      <c r="W48" s="176"/>
      <c r="X48" s="176" t="s">
        <v>57</v>
      </c>
      <c r="Y48" s="176"/>
      <c r="Z48" s="226"/>
      <c r="AA48" s="176" t="s">
        <v>57</v>
      </c>
      <c r="AC48" s="244"/>
      <c r="AD48" s="244"/>
      <c r="AE48" s="244"/>
      <c r="AF48" s="244"/>
      <c r="AG48" s="244"/>
      <c r="AH48" s="244"/>
      <c r="AI48" s="244"/>
      <c r="AJ48" s="244"/>
      <c r="AK48" s="244"/>
      <c r="AL48" s="244"/>
      <c r="AM48" s="244"/>
      <c r="AN48" s="244"/>
      <c r="AO48" s="244"/>
      <c r="AP48" s="244"/>
      <c r="AQ48" s="244"/>
      <c r="AR48" s="244"/>
      <c r="AS48" s="244"/>
      <c r="AT48" s="244"/>
      <c r="AU48" s="244"/>
      <c r="AV48" s="244"/>
    </row>
    <row r="49">
      <c r="B49" s="216" t="s">
        <v>23</v>
      </c>
      <c r="C49" s="216"/>
      <c r="D49" s="217" t="s">
        <v>32</v>
      </c>
      <c r="E49" s="598">
        <v>140.0094696969696969696969697</v>
      </c>
      <c r="F49" s="219">
        <v>-1.2094079914578421052528175500</v>
      </c>
      <c r="G49" s="217"/>
      <c r="H49" s="598">
        <v>115.375000000</v>
      </c>
      <c r="I49" s="219">
        <v>0.1677190213259933258123640100</v>
      </c>
      <c r="J49" s="217"/>
      <c r="K49" s="598">
        <v>115.64962121212121212121212121</v>
      </c>
      <c r="L49" s="219">
        <v>6.1909813401010398488749428400</v>
      </c>
      <c r="M49" s="217"/>
      <c r="N49" s="598">
        <v>114.13068181818181818181818182</v>
      </c>
      <c r="O49" s="219">
        <v>-2.6729762904982810873920027800</v>
      </c>
      <c r="P49" s="217"/>
      <c r="Q49" s="598">
        <v>137.47916666666666666666666667</v>
      </c>
      <c r="R49" s="219">
        <v>-0.7940412737135309141802531700</v>
      </c>
      <c r="S49" s="217"/>
      <c r="T49" s="598">
        <v>182.64393939393939393939393939</v>
      </c>
      <c r="U49" s="219">
        <v>-9.848463602288776653249095680</v>
      </c>
      <c r="V49" s="217"/>
      <c r="W49" s="598">
        <v>219.71022727272727272727272727</v>
      </c>
      <c r="X49" s="219">
        <v>-0.2776583856408111189360418400</v>
      </c>
      <c r="Y49" s="217"/>
      <c r="Z49" s="599">
        <v>146.42830086580086580086580087</v>
      </c>
      <c r="AA49" s="219">
        <v>-1.8742203591370590066630605500</v>
      </c>
      <c r="AC49" s="244"/>
      <c r="AD49" s="244"/>
      <c r="AE49" s="244"/>
      <c r="AF49" s="244"/>
      <c r="AG49" s="244"/>
      <c r="AH49" s="244"/>
      <c r="AI49" s="244"/>
      <c r="AJ49" s="244"/>
      <c r="AK49" s="244"/>
      <c r="AL49" s="244"/>
      <c r="AM49" s="244"/>
      <c r="AN49" s="244"/>
      <c r="AO49" s="244"/>
      <c r="AP49" s="244"/>
      <c r="AQ49" s="244"/>
      <c r="AR49" s="244"/>
      <c r="AS49" s="244"/>
      <c r="AT49" s="244"/>
      <c r="AU49" s="244"/>
      <c r="AV49" s="244"/>
    </row>
    <row r="50">
      <c r="D50" s="217" t="s">
        <v>26</v>
      </c>
      <c r="E50" s="598">
        <v>165.41061046511627906976744186</v>
      </c>
      <c r="F50" s="219">
        <v>-10.380715044545912437305369900</v>
      </c>
      <c r="G50" s="217"/>
      <c r="H50" s="598">
        <v>136.10303945335964987556852312</v>
      </c>
      <c r="I50" s="219">
        <v>-9.931989335191306761292946880</v>
      </c>
      <c r="J50" s="217"/>
      <c r="K50" s="598">
        <v>122.38955901913670299493692611</v>
      </c>
      <c r="L50" s="219">
        <v>-10.762926382851401575424265070</v>
      </c>
      <c r="M50" s="217"/>
      <c r="N50" s="598">
        <v>117.30739670042049257701879344</v>
      </c>
      <c r="O50" s="219">
        <v>-11.354401727567716456586068690</v>
      </c>
      <c r="P50" s="217"/>
      <c r="Q50" s="598">
        <v>152.08575045052776109156440402</v>
      </c>
      <c r="R50" s="219">
        <v>-12.853424376572792559393240650</v>
      </c>
      <c r="S50" s="217"/>
      <c r="T50" s="598">
        <v>232.0513762550416201836436969</v>
      </c>
      <c r="U50" s="219">
        <v>-5.9755828387834268242451628800</v>
      </c>
      <c r="V50" s="217"/>
      <c r="W50" s="598">
        <v>252.03851476014760147601476015</v>
      </c>
      <c r="X50" s="219">
        <v>-6.7188094118757990094348343100</v>
      </c>
      <c r="Y50" s="217"/>
      <c r="Z50" s="599">
        <v>168.19803530053572960978779222</v>
      </c>
      <c r="AA50" s="219">
        <v>-8.91810705810079791189252600</v>
      </c>
      <c r="AC50" s="244"/>
      <c r="AD50" s="244"/>
      <c r="AE50" s="244"/>
      <c r="AF50" s="244"/>
      <c r="AG50" s="244"/>
      <c r="AH50" s="244"/>
      <c r="AI50" s="244"/>
      <c r="AJ50" s="244"/>
      <c r="AK50" s="244"/>
      <c r="AL50" s="244"/>
      <c r="AM50" s="244"/>
      <c r="AN50" s="244"/>
      <c r="AO50" s="244"/>
      <c r="AP50" s="244"/>
      <c r="AQ50" s="244"/>
      <c r="AR50" s="244"/>
      <c r="AS50" s="244"/>
      <c r="AT50" s="244"/>
      <c r="AU50" s="244"/>
      <c r="AV50" s="244"/>
    </row>
    <row r="51">
      <c r="D51" t="s">
        <v>93</v>
      </c>
      <c r="E51" s="223">
        <v>84.6435844129300</v>
      </c>
      <c r="F51" s="218">
        <v>10.2336311405218</v>
      </c>
      <c r="H51" s="223">
        <v>84.7703331706291</v>
      </c>
      <c r="I51" s="218">
        <v>11.2134244798904</v>
      </c>
      <c r="K51" s="223">
        <v>94.4930451085889</v>
      </c>
      <c r="L51" s="218">
        <v>18.9987266903437</v>
      </c>
      <c r="N51" s="223">
        <v>97.2919739321030</v>
      </c>
      <c r="O51" s="218">
        <v>9.7934083657755</v>
      </c>
      <c r="Q51" s="223">
        <v>90.3958235794172</v>
      </c>
      <c r="R51" s="218">
        <v>13.8380458630641</v>
      </c>
      <c r="T51" s="223">
        <v>78.7084060183435</v>
      </c>
      <c r="U51" s="218">
        <v>-4.1190159751723</v>
      </c>
      <c r="W51" s="223">
        <v>87.1732748789827</v>
      </c>
      <c r="X51" s="218">
        <v>6.9050909252782</v>
      </c>
      <c r="Z51" s="224">
        <v>87.0570816146540</v>
      </c>
      <c r="AA51" s="218">
        <v>7.7335752162132</v>
      </c>
      <c r="AC51" s="244"/>
      <c r="AD51" s="244"/>
      <c r="AE51" s="244"/>
      <c r="AF51" s="244"/>
      <c r="AG51" s="244"/>
      <c r="AH51" s="244"/>
      <c r="AI51" s="244"/>
      <c r="AJ51" s="244"/>
      <c r="AK51" s="244"/>
      <c r="AL51" s="244"/>
      <c r="AM51" s="244"/>
      <c r="AN51" s="244"/>
      <c r="AO51" s="244"/>
      <c r="AP51" s="244"/>
      <c r="AQ51" s="244"/>
      <c r="AR51" s="244"/>
      <c r="AS51" s="244"/>
      <c r="AT51" s="244"/>
      <c r="AU51" s="244"/>
      <c r="AV51" s="244"/>
    </row>
    <row r="52">
      <c r="D52" s="214" t="s">
        <v>55</v>
      </c>
      <c r="E52" s="227" t="s">
        <v>171</v>
      </c>
      <c r="F52" s="228" t="s">
        <v>172</v>
      </c>
      <c r="G52" s="229"/>
      <c r="H52" s="227" t="s">
        <v>171</v>
      </c>
      <c r="I52" s="228" t="s">
        <v>172</v>
      </c>
      <c r="J52" s="229"/>
      <c r="K52" s="227" t="s">
        <v>171</v>
      </c>
      <c r="L52" s="228" t="s">
        <v>172</v>
      </c>
      <c r="M52" s="229"/>
      <c r="N52" s="227" t="s">
        <v>171</v>
      </c>
      <c r="O52" s="228" t="s">
        <v>171</v>
      </c>
      <c r="P52" s="229"/>
      <c r="Q52" s="227" t="s">
        <v>171</v>
      </c>
      <c r="R52" s="228" t="s">
        <v>171</v>
      </c>
      <c r="S52" s="229"/>
      <c r="T52" s="227" t="s">
        <v>170</v>
      </c>
      <c r="U52" s="228" t="s">
        <v>170</v>
      </c>
      <c r="V52" s="229"/>
      <c r="W52" s="227" t="s">
        <v>171</v>
      </c>
      <c r="X52" s="228" t="s">
        <v>171</v>
      </c>
      <c r="Y52" s="229"/>
      <c r="Z52" s="230" t="s">
        <v>171</v>
      </c>
      <c r="AA52" s="228" t="s">
        <v>172</v>
      </c>
      <c r="AC52" s="244"/>
      <c r="AD52" s="244"/>
      <c r="AE52" s="244"/>
      <c r="AF52" s="244"/>
      <c r="AG52" s="244"/>
      <c r="AH52" s="244"/>
      <c r="AI52" s="244"/>
      <c r="AJ52" s="244"/>
      <c r="AK52" s="244"/>
      <c r="AL52" s="244"/>
      <c r="AM52" s="244"/>
      <c r="AN52" s="244"/>
      <c r="AO52" s="244"/>
      <c r="AP52" s="244"/>
      <c r="AQ52" s="244"/>
      <c r="AR52" s="244"/>
      <c r="AS52" s="244"/>
      <c r="AT52" s="244"/>
      <c r="AU52" s="244"/>
      <c r="AV52" s="244"/>
    </row>
    <row r="53" ht="8.1" customHeight="1">
      <c r="F53" s="218"/>
      <c r="I53" s="218"/>
      <c r="L53" s="218"/>
      <c r="O53" s="218"/>
      <c r="R53" s="218"/>
      <c r="U53" s="218"/>
      <c r="X53" s="218"/>
      <c r="Z53" s="215"/>
      <c r="AA53" s="218"/>
      <c r="AC53" s="244"/>
      <c r="AD53" s="244"/>
      <c r="AE53" s="244"/>
      <c r="AF53" s="244"/>
      <c r="AG53" s="244"/>
      <c r="AH53" s="244"/>
      <c r="AI53" s="244"/>
      <c r="AJ53" s="244"/>
      <c r="AK53" s="244"/>
      <c r="AL53" s="244"/>
      <c r="AM53" s="244"/>
      <c r="AN53" s="244"/>
      <c r="AO53" s="244"/>
      <c r="AP53" s="244"/>
      <c r="AQ53" s="244"/>
      <c r="AR53" s="244"/>
      <c r="AS53" s="244"/>
      <c r="AT53" s="244"/>
      <c r="AU53" s="244"/>
      <c r="AV53" s="244"/>
    </row>
    <row r="54">
      <c r="B54" s="216" t="s">
        <v>21</v>
      </c>
      <c r="C54" s="216"/>
      <c r="D54" s="217" t="s">
        <v>32</v>
      </c>
      <c r="E54" s="598">
        <v>134.57954545454545454545454545</v>
      </c>
      <c r="F54" s="219">
        <v>-5.040759053865557582888802300</v>
      </c>
      <c r="G54" s="217"/>
      <c r="H54" s="598">
        <v>102.89772727272727272727272727</v>
      </c>
      <c r="I54" s="219">
        <v>-9.904979851727155062100805450</v>
      </c>
      <c r="J54" s="217"/>
      <c r="K54" s="598">
        <v>96.55492424242424242424242424</v>
      </c>
      <c r="L54" s="219">
        <v>-5.0898259332081884795234665100</v>
      </c>
      <c r="M54" s="217"/>
      <c r="N54" s="598">
        <v>94.77840909090909090909090909</v>
      </c>
      <c r="O54" s="219">
        <v>-14.012509020940374238424558870</v>
      </c>
      <c r="P54" s="217"/>
      <c r="Q54" s="598">
        <v>120.57954545454545454545454545</v>
      </c>
      <c r="R54" s="219">
        <v>-8.238448012450681466616988860</v>
      </c>
      <c r="S54" s="217"/>
      <c r="T54" s="598">
        <v>181.58712121212121212121212121</v>
      </c>
      <c r="U54" s="219">
        <v>-9.541376154565507090398930550</v>
      </c>
      <c r="V54" s="217"/>
      <c r="W54" s="598">
        <v>219.18181818181818181818181818</v>
      </c>
      <c r="X54" s="219">
        <v>0.4539733518454675975048668800</v>
      </c>
      <c r="Y54" s="217"/>
      <c r="Z54" s="599">
        <v>135.73701298701298701298701299</v>
      </c>
      <c r="AA54" s="219">
        <v>-6.6849694209829967330264674800</v>
      </c>
      <c r="AC54" s="244"/>
      <c r="AD54" s="244"/>
      <c r="AE54" s="244"/>
      <c r="AF54" s="244"/>
      <c r="AG54" s="244"/>
      <c r="AH54" s="244"/>
      <c r="AI54" s="244"/>
      <c r="AJ54" s="244"/>
      <c r="AK54" s="244"/>
      <c r="AL54" s="244"/>
      <c r="AM54" s="244"/>
      <c r="AN54" s="244"/>
      <c r="AO54" s="244"/>
      <c r="AP54" s="244"/>
      <c r="AQ54" s="244"/>
      <c r="AR54" s="244"/>
      <c r="AS54" s="244"/>
      <c r="AT54" s="244"/>
      <c r="AU54" s="244"/>
      <c r="AV54" s="244"/>
    </row>
    <row r="55">
      <c r="D55" s="217" t="s">
        <v>26</v>
      </c>
      <c r="E55" s="598">
        <v>164.91787790697674418604651163</v>
      </c>
      <c r="F55" s="219">
        <v>-10.017484516997231959816758560</v>
      </c>
      <c r="G55" s="217"/>
      <c r="H55" s="598">
        <v>133.88574294173174289882433708</v>
      </c>
      <c r="I55" s="219">
        <v>-10.923948130529258727033854260</v>
      </c>
      <c r="J55" s="217"/>
      <c r="K55" s="598">
        <v>116.3304218870677078863811894</v>
      </c>
      <c r="L55" s="219">
        <v>-13.835323464219387633673811720</v>
      </c>
      <c r="M55" s="217"/>
      <c r="N55" s="598">
        <v>109.28106228009954518149832661</v>
      </c>
      <c r="O55" s="219">
        <v>-13.355120726271374689288579960</v>
      </c>
      <c r="P55" s="217"/>
      <c r="Q55" s="598">
        <v>145.93445625589976830000858148</v>
      </c>
      <c r="R55" s="219">
        <v>-13.815052768679909309519031130</v>
      </c>
      <c r="S55" s="217"/>
      <c r="T55" s="598">
        <v>226.65740849995709259418175577</v>
      </c>
      <c r="U55" s="219">
        <v>-6.6735052729395362963208422800</v>
      </c>
      <c r="V55" s="217"/>
      <c r="W55" s="598">
        <v>249.16017334591950570668497382</v>
      </c>
      <c r="X55" s="219">
        <v>-6.8515389978464500102359382900</v>
      </c>
      <c r="Y55" s="217"/>
      <c r="Z55" s="599">
        <v>163.73816330252172953623223939</v>
      </c>
      <c r="AA55" s="219">
        <v>-9.776731421428651978646054780</v>
      </c>
      <c r="AC55" s="244"/>
      <c r="AD55" s="244"/>
      <c r="AE55" s="244"/>
      <c r="AF55" s="244"/>
      <c r="AG55" s="244"/>
      <c r="AH55" s="244"/>
      <c r="AI55" s="244"/>
      <c r="AJ55" s="244"/>
      <c r="AK55" s="244"/>
      <c r="AL55" s="244"/>
      <c r="AM55" s="244"/>
      <c r="AN55" s="244"/>
      <c r="AO55" s="244"/>
      <c r="AP55" s="244"/>
      <c r="AQ55" s="244"/>
      <c r="AR55" s="244"/>
      <c r="AS55" s="244"/>
      <c r="AT55" s="244"/>
      <c r="AU55" s="244"/>
      <c r="AV55" s="244"/>
    </row>
    <row r="56">
      <c r="D56" t="s">
        <v>22</v>
      </c>
      <c r="E56" s="223">
        <v>81.6039759682314</v>
      </c>
      <c r="F56" s="218">
        <v>5.5307694349227</v>
      </c>
      <c r="H56" s="223">
        <v>76.8548801477194</v>
      </c>
      <c r="I56" s="218">
        <v>1.1439306721099</v>
      </c>
      <c r="K56" s="223">
        <v>83.0005794495716</v>
      </c>
      <c r="L56" s="218">
        <v>10.1497479972988</v>
      </c>
      <c r="N56" s="223">
        <v>86.7290334788118</v>
      </c>
      <c r="O56" s="218">
        <v>-0.7587156912110</v>
      </c>
      <c r="Q56" s="223">
        <v>82.6258229537690</v>
      </c>
      <c r="R56" s="218">
        <v>6.4705089871722</v>
      </c>
      <c r="T56" s="223">
        <v>80.1152375357372</v>
      </c>
      <c r="U56" s="218">
        <v>-3.0729439587889</v>
      </c>
      <c r="W56" s="223">
        <v>87.9682395619207</v>
      </c>
      <c r="X56" s="218">
        <v>7.8428696203208</v>
      </c>
      <c r="Z56" s="224">
        <v>82.8988247145805</v>
      </c>
      <c r="AA56" s="218">
        <v>3.4267900610391</v>
      </c>
      <c r="AC56" s="244"/>
      <c r="AD56" s="244"/>
      <c r="AE56" s="244"/>
      <c r="AF56" s="244"/>
      <c r="AG56" s="244"/>
      <c r="AH56" s="244"/>
      <c r="AI56" s="244"/>
      <c r="AJ56" s="244"/>
      <c r="AK56" s="244"/>
      <c r="AL56" s="244"/>
      <c r="AM56" s="244"/>
      <c r="AN56" s="244"/>
      <c r="AO56" s="244"/>
      <c r="AP56" s="244"/>
      <c r="AQ56" s="244"/>
      <c r="AR56" s="244"/>
      <c r="AS56" s="244"/>
      <c r="AT56" s="244"/>
      <c r="AU56" s="244"/>
      <c r="AV56" s="244"/>
    </row>
    <row r="57">
      <c r="D57" t="s">
        <v>55</v>
      </c>
      <c r="E57" s="231" t="s">
        <v>171</v>
      </c>
      <c r="F57" s="232" t="s">
        <v>172</v>
      </c>
      <c r="G57" s="176"/>
      <c r="H57" s="231" t="s">
        <v>171</v>
      </c>
      <c r="I57" s="232" t="s">
        <v>172</v>
      </c>
      <c r="J57" s="176"/>
      <c r="K57" s="231" t="s">
        <v>170</v>
      </c>
      <c r="L57" s="232" t="s">
        <v>172</v>
      </c>
      <c r="M57" s="176"/>
      <c r="N57" s="231" t="s">
        <v>170</v>
      </c>
      <c r="O57" s="232" t="s">
        <v>170</v>
      </c>
      <c r="P57" s="176"/>
      <c r="Q57" s="231" t="s">
        <v>170</v>
      </c>
      <c r="R57" s="232" t="s">
        <v>171</v>
      </c>
      <c r="S57" s="176"/>
      <c r="T57" s="231" t="s">
        <v>170</v>
      </c>
      <c r="U57" s="232" t="s">
        <v>170</v>
      </c>
      <c r="V57" s="176"/>
      <c r="W57" s="231" t="s">
        <v>171</v>
      </c>
      <c r="X57" s="232" t="s">
        <v>172</v>
      </c>
      <c r="Y57" s="176"/>
      <c r="Z57" s="233" t="s">
        <v>170</v>
      </c>
      <c r="AA57" s="232" t="s">
        <v>171</v>
      </c>
      <c r="AC57" s="244"/>
      <c r="AD57" s="244"/>
      <c r="AE57" s="244"/>
      <c r="AF57" s="244"/>
      <c r="AG57" s="244"/>
      <c r="AH57" s="244"/>
      <c r="AI57" s="244"/>
      <c r="AJ57" s="244"/>
      <c r="AK57" s="244"/>
      <c r="AL57" s="244"/>
      <c r="AM57" s="244"/>
      <c r="AN57" s="244"/>
      <c r="AO57" s="244"/>
      <c r="AP57" s="244"/>
      <c r="AQ57" s="244"/>
      <c r="AR57" s="244"/>
      <c r="AS57" s="244"/>
      <c r="AT57" s="244"/>
      <c r="AU57" s="244"/>
      <c r="AV57" s="244"/>
    </row>
    <row r="58" ht="8.1" customHeight="1">
      <c r="F58" s="218"/>
      <c r="I58" s="218"/>
      <c r="L58" s="218"/>
      <c r="O58" s="218"/>
      <c r="R58" s="218"/>
      <c r="U58" s="218"/>
      <c r="X58" s="218"/>
      <c r="Z58" s="215"/>
      <c r="AA58" s="218"/>
      <c r="AC58" s="244"/>
      <c r="AD58" s="244"/>
      <c r="AE58" s="244"/>
      <c r="AF58" s="244"/>
      <c r="AG58" s="244"/>
      <c r="AH58" s="244"/>
      <c r="AI58" s="244"/>
      <c r="AJ58" s="244"/>
      <c r="AK58" s="244"/>
      <c r="AL58" s="244"/>
      <c r="AM58" s="244"/>
      <c r="AN58" s="244"/>
      <c r="AO58" s="244"/>
      <c r="AP58" s="244"/>
      <c r="AQ58" s="244"/>
      <c r="AR58" s="244"/>
      <c r="AS58" s="244"/>
      <c r="AT58" s="244"/>
      <c r="AU58" s="244"/>
      <c r="AV58" s="244"/>
    </row>
    <row r="59">
      <c r="B59" s="216" t="s">
        <v>24</v>
      </c>
      <c r="C59" s="216"/>
      <c r="D59" s="217" t="s">
        <v>32</v>
      </c>
      <c r="E59" s="598">
        <v>5.4299242424242424242424242424</v>
      </c>
      <c r="F59" s="219">
        <v>0</v>
      </c>
      <c r="G59" s="217"/>
      <c r="H59" s="598">
        <v>12.477272727272727272727272727</v>
      </c>
      <c r="I59" s="219">
        <v>1184.2105263037734687597307745</v>
      </c>
      <c r="J59" s="217"/>
      <c r="K59" s="598">
        <v>19.09469696969696969696969697</v>
      </c>
      <c r="L59" s="219">
        <v>166.15628300051792522154477337</v>
      </c>
      <c r="M59" s="217"/>
      <c r="N59" s="598">
        <v>19.352272727272727272727272727</v>
      </c>
      <c r="O59" s="219">
        <v>174.82517482387387760169441090</v>
      </c>
      <c r="P59" s="217"/>
      <c r="Q59" s="598">
        <v>16.899621212121212121212121212</v>
      </c>
      <c r="R59" s="219">
        <v>135.55966209220605502398770212</v>
      </c>
      <c r="S59" s="217"/>
      <c r="T59" s="598">
        <v>1.0568181818181818181818181818</v>
      </c>
      <c r="U59" s="219">
        <v>-43.061224491004414827129702220</v>
      </c>
      <c r="V59" s="217"/>
      <c r="W59" s="598">
        <v>0.5284090909090909090909090909</v>
      </c>
      <c r="X59" s="219">
        <v>-75.200000000211626666664860790</v>
      </c>
      <c r="Y59" s="217"/>
      <c r="Z59" s="599">
        <v>10.691287878787878787878787879</v>
      </c>
      <c r="AA59" s="219">
        <v>184.03536515006710627652044112</v>
      </c>
      <c r="AC59" s="244"/>
      <c r="AD59" s="244"/>
      <c r="AE59" s="244"/>
      <c r="AF59" s="244"/>
      <c r="AG59" s="244"/>
      <c r="AH59" s="244"/>
      <c r="AI59" s="244"/>
      <c r="AJ59" s="244"/>
      <c r="AK59" s="244"/>
      <c r="AL59" s="244"/>
      <c r="AM59" s="244"/>
      <c r="AN59" s="244"/>
      <c r="AO59" s="244"/>
      <c r="AP59" s="244"/>
      <c r="AQ59" s="244"/>
      <c r="AR59" s="244"/>
      <c r="AS59" s="244"/>
      <c r="AT59" s="244"/>
      <c r="AU59" s="244"/>
      <c r="AV59" s="244"/>
    </row>
    <row r="60">
      <c r="D60" s="217" t="s">
        <v>26</v>
      </c>
      <c r="E60" s="598">
        <v>0.4927325581395348837209302326</v>
      </c>
      <c r="F60" s="219">
        <v>-61.881633334335870874343793220</v>
      </c>
      <c r="G60" s="217"/>
      <c r="H60" s="598">
        <v>2.2172965116279069767441860465</v>
      </c>
      <c r="I60" s="219">
        <v>174.95305481728308391547921892</v>
      </c>
      <c r="J60" s="217"/>
      <c r="K60" s="598">
        <v>6.0591371320689951085557367202</v>
      </c>
      <c r="L60" s="219">
        <v>182.92412086180848410174557544</v>
      </c>
      <c r="M60" s="217"/>
      <c r="N60" s="598">
        <v>8.026334420320947395520466833</v>
      </c>
      <c r="O60" s="219">
        <v>29.294784954490015422305744950</v>
      </c>
      <c r="P60" s="217"/>
      <c r="Q60" s="598">
        <v>6.1512941946279927915558225349</v>
      </c>
      <c r="R60" s="219">
        <v>18.519697606376542553897754480</v>
      </c>
      <c r="S60" s="217"/>
      <c r="T60" s="598">
        <v>5.3939677550845275894619411309</v>
      </c>
      <c r="U60" s="219">
        <v>37.110135389067347688359967030</v>
      </c>
      <c r="V60" s="217"/>
      <c r="W60" s="598">
        <v>2.8783414142280957693297863211</v>
      </c>
      <c r="X60" s="219">
        <v>6.4060512135861980611980549800</v>
      </c>
      <c r="Y60" s="217"/>
      <c r="Z60" s="599">
        <v>4.4598719980140000735555528312</v>
      </c>
      <c r="AA60" s="219">
        <v>39.994903917262232825303812060</v>
      </c>
      <c r="AC60" s="244"/>
      <c r="AD60" s="244"/>
      <c r="AE60" s="244"/>
      <c r="AF60" s="244"/>
      <c r="AG60" s="244"/>
      <c r="AH60" s="244"/>
      <c r="AI60" s="244"/>
      <c r="AJ60" s="244"/>
      <c r="AK60" s="244"/>
      <c r="AL60" s="244"/>
      <c r="AM60" s="244"/>
      <c r="AN60" s="244"/>
      <c r="AO60" s="244"/>
      <c r="AP60" s="244"/>
      <c r="AQ60" s="244"/>
      <c r="AR60" s="244"/>
      <c r="AS60" s="244"/>
      <c r="AT60" s="244"/>
      <c r="AU60" s="244"/>
      <c r="AV60" s="244"/>
    </row>
    <row r="61">
      <c r="D61" t="s">
        <v>22</v>
      </c>
      <c r="E61" s="223">
        <v>1102.0023242146382</v>
      </c>
      <c r="F61" s="218">
        <v>0</v>
      </c>
      <c r="H61" s="223">
        <v>562.7245910502576</v>
      </c>
      <c r="I61" s="218">
        <v>367.0653785552026</v>
      </c>
      <c r="K61" s="223">
        <v>315.1388812201887</v>
      </c>
      <c r="L61" s="218">
        <v>-5.9266201175023</v>
      </c>
      <c r="N61" s="223">
        <v>241.1097234913045</v>
      </c>
      <c r="O61" s="218">
        <v>112.5570454544365</v>
      </c>
      <c r="Q61" s="223">
        <v>274.7327745591616</v>
      </c>
      <c r="R61" s="218">
        <v>98.7514876001371</v>
      </c>
      <c r="T61" s="223">
        <v>19.5925936119837</v>
      </c>
      <c r="U61" s="218">
        <v>-58.4722344934592</v>
      </c>
      <c r="W61" s="223">
        <v>18.3581102749743</v>
      </c>
      <c r="X61" s="218">
        <v>-76.6930548428500</v>
      </c>
      <c r="Z61" s="224">
        <v>239.7218548779498</v>
      </c>
      <c r="AA61" s="218">
        <v>102.8897889891722</v>
      </c>
      <c r="AC61" s="244"/>
      <c r="AD61" s="244"/>
      <c r="AE61" s="244"/>
      <c r="AF61" s="244"/>
      <c r="AG61" s="244"/>
      <c r="AH61" s="244"/>
      <c r="AI61" s="244"/>
      <c r="AJ61" s="244"/>
      <c r="AK61" s="244"/>
      <c r="AL61" s="244"/>
      <c r="AM61" s="244"/>
      <c r="AN61" s="244"/>
      <c r="AO61" s="244"/>
      <c r="AP61" s="244"/>
      <c r="AQ61" s="244"/>
      <c r="AR61" s="244"/>
      <c r="AS61" s="244"/>
      <c r="AT61" s="244"/>
      <c r="AU61" s="244"/>
      <c r="AV61" s="244"/>
    </row>
    <row r="62">
      <c r="D62" t="s">
        <v>55</v>
      </c>
      <c r="E62" s="231" t="s">
        <v>172</v>
      </c>
      <c r="F62" s="232" t="s">
        <v>171</v>
      </c>
      <c r="G62" s="176"/>
      <c r="H62" s="231" t="s">
        <v>172</v>
      </c>
      <c r="I62" s="232" t="s">
        <v>172</v>
      </c>
      <c r="J62" s="176"/>
      <c r="K62" s="231" t="s">
        <v>172</v>
      </c>
      <c r="L62" s="232" t="s">
        <v>171</v>
      </c>
      <c r="M62" s="176"/>
      <c r="N62" s="231" t="s">
        <v>172</v>
      </c>
      <c r="O62" s="232" t="s">
        <v>172</v>
      </c>
      <c r="P62" s="176"/>
      <c r="Q62" s="231" t="s">
        <v>172</v>
      </c>
      <c r="R62" s="232" t="s">
        <v>172</v>
      </c>
      <c r="S62" s="176"/>
      <c r="T62" s="231" t="s">
        <v>171</v>
      </c>
      <c r="U62" s="232" t="s">
        <v>178</v>
      </c>
      <c r="V62" s="176"/>
      <c r="W62" s="231" t="s">
        <v>171</v>
      </c>
      <c r="X62" s="232" t="s">
        <v>178</v>
      </c>
      <c r="Y62" s="176"/>
      <c r="Z62" s="233" t="s">
        <v>172</v>
      </c>
      <c r="AA62" s="232" t="s">
        <v>172</v>
      </c>
      <c r="AC62" s="244"/>
      <c r="AD62" s="244"/>
      <c r="AE62" s="244"/>
      <c r="AF62" s="244"/>
      <c r="AG62" s="244"/>
      <c r="AH62" s="244"/>
      <c r="AI62" s="244"/>
      <c r="AJ62" s="244"/>
      <c r="AK62" s="244"/>
      <c r="AL62" s="244"/>
      <c r="AM62" s="244"/>
      <c r="AN62" s="244"/>
      <c r="AO62" s="244"/>
      <c r="AP62" s="244"/>
      <c r="AQ62" s="244"/>
      <c r="AR62" s="244"/>
      <c r="AS62" s="244"/>
      <c r="AT62" s="244"/>
      <c r="AU62" s="244"/>
      <c r="AV62" s="244"/>
    </row>
    <row r="63" ht="8.1" customHeight="1">
      <c r="F63" s="218"/>
      <c r="I63" s="218"/>
      <c r="L63" s="218"/>
      <c r="O63" s="218"/>
      <c r="R63" s="218"/>
      <c r="U63" s="218"/>
      <c r="X63" s="218"/>
      <c r="Z63" s="215"/>
      <c r="AA63" s="218"/>
      <c r="AC63" s="244"/>
      <c r="AD63" s="244"/>
      <c r="AE63" s="244"/>
      <c r="AF63" s="244"/>
      <c r="AG63" s="244"/>
      <c r="AH63" s="244"/>
      <c r="AI63" s="244"/>
      <c r="AJ63" s="244"/>
      <c r="AK63" s="244"/>
      <c r="AL63" s="244"/>
      <c r="AM63" s="244"/>
      <c r="AN63" s="244"/>
      <c r="AO63" s="244"/>
      <c r="AP63" s="244"/>
      <c r="AQ63" s="244"/>
      <c r="AR63" s="244"/>
      <c r="AS63" s="244"/>
      <c r="AT63" s="244"/>
      <c r="AU63" s="244"/>
      <c r="AV63" s="244"/>
    </row>
    <row r="64">
      <c r="B64" s="216" t="s">
        <v>25</v>
      </c>
      <c r="C64" s="216"/>
      <c r="D64" s="217" t="s">
        <v>32</v>
      </c>
      <c r="E64" s="598">
        <v>0</v>
      </c>
      <c r="F64" s="219">
        <v>0</v>
      </c>
      <c r="G64" s="217"/>
      <c r="H64" s="598">
        <v>0</v>
      </c>
      <c r="I64" s="219">
        <v>0</v>
      </c>
      <c r="J64" s="217"/>
      <c r="K64" s="598">
        <v>0</v>
      </c>
      <c r="L64" s="219">
        <v>0</v>
      </c>
      <c r="M64" s="217"/>
      <c r="N64" s="598">
        <v>0</v>
      </c>
      <c r="O64" s="219">
        <v>0</v>
      </c>
      <c r="P64" s="217"/>
      <c r="Q64" s="598">
        <v>0</v>
      </c>
      <c r="R64" s="219">
        <v>0</v>
      </c>
      <c r="S64" s="217"/>
      <c r="T64" s="598">
        <v>0</v>
      </c>
      <c r="U64" s="219">
        <v>0</v>
      </c>
      <c r="V64" s="217"/>
      <c r="W64" s="598">
        <v>0</v>
      </c>
      <c r="X64" s="219">
        <v>0</v>
      </c>
      <c r="Y64" s="217"/>
      <c r="Z64" s="599">
        <v>0</v>
      </c>
      <c r="AA64" s="219">
        <v>0</v>
      </c>
      <c r="AC64" s="244"/>
      <c r="AD64" s="244"/>
      <c r="AE64" s="244"/>
      <c r="AF64" s="244"/>
      <c r="AG64" s="244"/>
      <c r="AH64" s="244"/>
      <c r="AI64" s="244"/>
      <c r="AJ64" s="244"/>
      <c r="AK64" s="244"/>
      <c r="AL64" s="244"/>
      <c r="AM64" s="244"/>
      <c r="AN64" s="244"/>
      <c r="AO64" s="244"/>
      <c r="AP64" s="244"/>
      <c r="AQ64" s="244"/>
      <c r="AR64" s="244"/>
      <c r="AS64" s="244"/>
      <c r="AT64" s="244"/>
      <c r="AU64" s="244"/>
      <c r="AV64" s="244"/>
    </row>
    <row r="65">
      <c r="D65" s="217" t="s">
        <v>26</v>
      </c>
      <c r="E65" s="598">
        <v>0</v>
      </c>
      <c r="F65" s="219">
        <v>0</v>
      </c>
      <c r="G65" s="217"/>
      <c r="H65" s="598">
        <v>0</v>
      </c>
      <c r="I65" s="219">
        <v>0</v>
      </c>
      <c r="J65" s="217"/>
      <c r="K65" s="598">
        <v>0</v>
      </c>
      <c r="L65" s="219">
        <v>0</v>
      </c>
      <c r="M65" s="217"/>
      <c r="N65" s="598">
        <v>0</v>
      </c>
      <c r="O65" s="219">
        <v>0</v>
      </c>
      <c r="P65" s="217"/>
      <c r="Q65" s="598">
        <v>0</v>
      </c>
      <c r="R65" s="219">
        <v>0</v>
      </c>
      <c r="S65" s="217"/>
      <c r="T65" s="598">
        <v>0</v>
      </c>
      <c r="U65" s="219">
        <v>0</v>
      </c>
      <c r="V65" s="217"/>
      <c r="W65" s="598">
        <v>0</v>
      </c>
      <c r="X65" s="219">
        <v>0</v>
      </c>
      <c r="Y65" s="217"/>
      <c r="Z65" s="599">
        <v>0</v>
      </c>
      <c r="AA65" s="219">
        <v>0</v>
      </c>
      <c r="AC65" s="244"/>
      <c r="AD65" s="244"/>
      <c r="AE65" s="244"/>
      <c r="AF65" s="244"/>
      <c r="AG65" s="244"/>
      <c r="AH65" s="244"/>
      <c r="AI65" s="244"/>
      <c r="AJ65" s="244"/>
      <c r="AK65" s="244"/>
      <c r="AL65" s="244"/>
      <c r="AM65" s="244"/>
      <c r="AN65" s="244"/>
      <c r="AO65" s="244"/>
      <c r="AP65" s="244"/>
      <c r="AQ65" s="244"/>
      <c r="AR65" s="244"/>
      <c r="AS65" s="244"/>
      <c r="AT65" s="244"/>
      <c r="AU65" s="244"/>
      <c r="AV65" s="244"/>
    </row>
    <row r="66">
      <c r="D66" t="s">
        <v>22</v>
      </c>
      <c r="E66" s="223">
        <v>0</v>
      </c>
      <c r="F66" s="218">
        <v>0</v>
      </c>
      <c r="H66" s="223">
        <v>0</v>
      </c>
      <c r="I66" s="218">
        <v>0</v>
      </c>
      <c r="K66" s="223">
        <v>0</v>
      </c>
      <c r="L66" s="218">
        <v>0</v>
      </c>
      <c r="N66" s="223">
        <v>0</v>
      </c>
      <c r="O66" s="218">
        <v>0</v>
      </c>
      <c r="Q66" s="223">
        <v>0</v>
      </c>
      <c r="R66" s="218">
        <v>0</v>
      </c>
      <c r="T66" s="223">
        <v>0</v>
      </c>
      <c r="U66" s="218">
        <v>0</v>
      </c>
      <c r="W66" s="223">
        <v>0</v>
      </c>
      <c r="X66" s="218">
        <v>0</v>
      </c>
      <c r="Z66" s="224">
        <v>0</v>
      </c>
      <c r="AA66" s="218">
        <v>0</v>
      </c>
      <c r="AC66" s="244"/>
      <c r="AD66" s="244"/>
      <c r="AE66" s="244"/>
      <c r="AF66" s="244"/>
      <c r="AG66" s="244"/>
      <c r="AH66" s="244"/>
      <c r="AI66" s="244"/>
      <c r="AJ66" s="244"/>
      <c r="AK66" s="244"/>
      <c r="AL66" s="244"/>
      <c r="AM66" s="244"/>
      <c r="AN66" s="244"/>
      <c r="AO66" s="244"/>
      <c r="AP66" s="244"/>
      <c r="AQ66" s="244"/>
      <c r="AR66" s="244"/>
      <c r="AS66" s="244"/>
      <c r="AT66" s="244"/>
      <c r="AU66" s="244"/>
      <c r="AV66" s="244"/>
    </row>
    <row r="67">
      <c r="D67" t="s">
        <v>55</v>
      </c>
      <c r="E67" s="231" t="s">
        <v>176</v>
      </c>
      <c r="F67" s="232"/>
      <c r="G67" s="176"/>
      <c r="H67" s="231" t="s">
        <v>176</v>
      </c>
      <c r="I67" s="232"/>
      <c r="J67" s="176"/>
      <c r="K67" s="231" t="s">
        <v>176</v>
      </c>
      <c r="L67" s="232"/>
      <c r="M67" s="176"/>
      <c r="N67" s="231" t="s">
        <v>176</v>
      </c>
      <c r="O67" s="232"/>
      <c r="P67" s="176"/>
      <c r="Q67" s="231" t="s">
        <v>176</v>
      </c>
      <c r="R67" s="232"/>
      <c r="S67" s="176"/>
      <c r="T67" s="231" t="s">
        <v>176</v>
      </c>
      <c r="U67" s="232"/>
      <c r="V67" s="176"/>
      <c r="W67" s="231" t="s">
        <v>176</v>
      </c>
      <c r="X67" s="232"/>
      <c r="Y67" s="176"/>
      <c r="Z67" s="233" t="s">
        <v>176</v>
      </c>
      <c r="AA67" s="232"/>
      <c r="AC67" s="244"/>
      <c r="AD67" s="244"/>
      <c r="AE67" s="244"/>
      <c r="AF67" s="244"/>
      <c r="AG67" s="244"/>
      <c r="AH67" s="244"/>
      <c r="AI67" s="244"/>
      <c r="AJ67" s="244"/>
      <c r="AK67" s="244"/>
      <c r="AL67" s="244"/>
      <c r="AM67" s="244"/>
      <c r="AN67" s="244"/>
      <c r="AO67" s="244"/>
      <c r="AP67" s="244"/>
      <c r="AQ67" s="244"/>
      <c r="AR67" s="244"/>
      <c r="AS67" s="244"/>
      <c r="AT67" s="244"/>
      <c r="AU67" s="244"/>
      <c r="AV67" s="244"/>
    </row>
    <row r="68" ht="15">
      <c r="B68" s="612"/>
      <c r="C68" s="612"/>
      <c r="D68" s="612"/>
      <c r="E68" s="612"/>
      <c r="F68" s="612"/>
      <c r="G68" s="612"/>
      <c r="H68" s="612"/>
      <c r="I68" s="612"/>
      <c r="J68" s="612"/>
      <c r="K68" s="612"/>
      <c r="L68" s="612"/>
      <c r="M68" s="612"/>
      <c r="N68" s="612"/>
      <c r="O68" s="612"/>
      <c r="P68" s="612"/>
      <c r="Q68" s="612"/>
      <c r="R68" s="612"/>
      <c r="S68" s="612"/>
      <c r="T68" s="612"/>
      <c r="U68" s="612"/>
      <c r="V68" s="612"/>
      <c r="W68" s="612"/>
      <c r="X68" s="612"/>
      <c r="Y68" s="612"/>
      <c r="Z68" s="612"/>
      <c r="AA68" s="612"/>
      <c r="AC68" s="244"/>
      <c r="AD68" s="244"/>
      <c r="AE68" s="244"/>
      <c r="AF68" s="244"/>
      <c r="AG68" s="244"/>
      <c r="AH68" s="244"/>
      <c r="AI68" s="244"/>
      <c r="AJ68" s="244"/>
      <c r="AK68" s="244"/>
      <c r="AL68" s="244"/>
      <c r="AM68" s="244"/>
      <c r="AN68" s="244"/>
      <c r="AO68" s="244"/>
      <c r="AP68" s="244"/>
      <c r="AQ68" s="244"/>
      <c r="AR68" s="244"/>
      <c r="AS68" s="244"/>
      <c r="AT68" s="244"/>
      <c r="AU68" s="244"/>
      <c r="AV68" s="244"/>
    </row>
    <row r="69" ht="15.75">
      <c r="B69" t="s">
        <v>168</v>
      </c>
      <c r="Y69" s="80"/>
      <c r="Z69" s="242"/>
      <c r="AC69" s="244"/>
      <c r="AD69" s="244"/>
      <c r="AE69" s="244"/>
      <c r="AF69" s="244"/>
      <c r="AG69" s="244"/>
      <c r="AH69" s="244"/>
      <c r="AI69" s="244"/>
      <c r="AJ69" s="244"/>
      <c r="AK69" s="244"/>
      <c r="AL69" s="244"/>
      <c r="AM69" s="244"/>
      <c r="AN69" s="244"/>
      <c r="AO69" s="244"/>
      <c r="AP69" s="244"/>
      <c r="AQ69" s="244"/>
      <c r="AR69" s="244"/>
      <c r="AS69" s="244"/>
      <c r="AT69" s="244"/>
      <c r="AU69" s="244"/>
      <c r="AV69" s="244"/>
    </row>
    <row r="70" ht="6" customHeight="1">
      <c r="Y70" s="80"/>
      <c r="AC70" s="244"/>
      <c r="AD70" s="244"/>
      <c r="AE70" s="244"/>
      <c r="AF70" s="244"/>
      <c r="AG70" s="244"/>
      <c r="AH70" s="244"/>
      <c r="AI70" s="244"/>
      <c r="AJ70" s="244"/>
      <c r="AK70" s="244"/>
      <c r="AL70" s="244"/>
      <c r="AM70" s="244"/>
      <c r="AN70" s="244"/>
      <c r="AO70" s="244"/>
      <c r="AP70" s="244"/>
      <c r="AQ70" s="244"/>
      <c r="AR70" s="244"/>
      <c r="AS70" s="244"/>
      <c r="AT70" s="244"/>
      <c r="AU70" s="244"/>
      <c r="AV70" s="244"/>
    </row>
    <row r="71" ht="34.5" customHeight="1">
      <c r="B71" s="650" t="s">
        <v>114</v>
      </c>
      <c r="C71" s="650"/>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C71" s="244"/>
      <c r="AD71" s="244"/>
      <c r="AE71" s="244"/>
      <c r="AF71" s="244"/>
      <c r="AG71" s="244"/>
      <c r="AH71" s="244"/>
      <c r="AI71" s="244"/>
      <c r="AJ71" s="244"/>
      <c r="AK71" s="244"/>
      <c r="AL71" s="244"/>
      <c r="AM71" s="244"/>
      <c r="AN71" s="244"/>
      <c r="AO71" s="244"/>
      <c r="AP71" s="244"/>
      <c r="AQ71" s="244"/>
      <c r="AR71" s="244"/>
      <c r="AS71" s="244"/>
      <c r="AT71" s="244"/>
      <c r="AU71" s="244"/>
      <c r="AV71" s="244"/>
    </row>
    <row r="72">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row>
  </sheetData>
  <mergeCells count="29">
    <mergeCell ref="B71:AA71"/>
    <mergeCell ref="B2:AA2"/>
    <mergeCell ref="B24:AA24"/>
    <mergeCell ref="B46:AA46"/>
    <mergeCell ref="B68:AA68"/>
    <mergeCell ref="E3:F3"/>
    <mergeCell ref="H3:I3"/>
    <mergeCell ref="K3:L3"/>
    <mergeCell ref="N3:O3"/>
    <mergeCell ref="Q3:R3"/>
    <mergeCell ref="T3:U3"/>
    <mergeCell ref="W3:X3"/>
    <mergeCell ref="Z3:AA3"/>
    <mergeCell ref="E25:F25"/>
    <mergeCell ref="H25:I25"/>
    <mergeCell ref="K25:L25"/>
    <mergeCell ref="N25:O25"/>
    <mergeCell ref="Q25:R25"/>
    <mergeCell ref="T25:U25"/>
    <mergeCell ref="W25:X25"/>
    <mergeCell ref="Z25:AA25"/>
    <mergeCell ref="T47:U47"/>
    <mergeCell ref="W47:X47"/>
    <mergeCell ref="Z47:AA47"/>
    <mergeCell ref="E47:F47"/>
    <mergeCell ref="H47:I47"/>
    <mergeCell ref="K47:L47"/>
    <mergeCell ref="N47:O47"/>
    <mergeCell ref="Q47:R47"/>
  </mergeCells>
  <phoneticPr fontId="39" type="noConversion"/>
  <printOptions horizontalCentered="1" verticalCentered="1"/>
  <pageMargins left="0" right="0" top="0" bottom="0" header="0" footer="0"/>
  <pageSetup scale="64" orientation="landscape" horizontalDpi="1200" verticalDpi="1200" r:id="rId1"/>
  <headerFooter alignWithMargins="0">
    <oddHeader/>
    <oddFooter/>
  </headerFooter>
  <drawing r:id="rId22"/>
</worksheet>
</file>

<file path=xl/worksheets/sheet2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119</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168</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179</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180</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167</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1" t="s">
        <v>40</v>
      </c>
      <c r="F8" s="651"/>
      <c r="G8" s="64"/>
      <c r="H8" s="651" t="s">
        <v>39</v>
      </c>
      <c r="I8" s="651"/>
      <c r="J8" s="1"/>
      <c r="K8" s="651" t="s">
        <v>41</v>
      </c>
      <c r="L8" s="651"/>
      <c r="M8" s="64"/>
      <c r="N8" s="651" t="s">
        <v>42</v>
      </c>
      <c r="O8" s="651"/>
      <c r="P8" s="64"/>
      <c r="Q8" s="651" t="s">
        <v>43</v>
      </c>
      <c r="R8" s="651"/>
      <c r="S8" s="64"/>
      <c r="T8" s="651" t="s">
        <v>44</v>
      </c>
      <c r="U8" s="651"/>
      <c r="V8" s="64"/>
      <c r="W8" s="651" t="s">
        <v>45</v>
      </c>
      <c r="X8" s="651"/>
      <c r="Y8" s="64"/>
      <c r="Z8" s="651" t="s">
        <v>23</v>
      </c>
      <c r="AA8" s="651"/>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2" t="s">
        <v>57</v>
      </c>
      <c r="F9" s="652"/>
      <c r="G9" s="65"/>
      <c r="H9" s="652" t="s">
        <v>57</v>
      </c>
      <c r="I9" s="652"/>
      <c r="J9" s="3"/>
      <c r="K9" s="652" t="s">
        <v>57</v>
      </c>
      <c r="L9" s="652"/>
      <c r="M9" s="79"/>
      <c r="N9" s="652" t="s">
        <v>57</v>
      </c>
      <c r="O9" s="652"/>
      <c r="P9" s="65"/>
      <c r="Q9" s="652" t="s">
        <v>57</v>
      </c>
      <c r="R9" s="652"/>
      <c r="S9" s="65"/>
      <c r="T9" s="652" t="s">
        <v>57</v>
      </c>
      <c r="U9" s="652"/>
      <c r="V9" s="65"/>
      <c r="W9" s="652" t="s">
        <v>57</v>
      </c>
      <c r="X9" s="652"/>
      <c r="Y9" s="1"/>
      <c r="Z9" s="652" t="s">
        <v>57</v>
      </c>
      <c r="AA9" s="652"/>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3" t="s">
        <v>28</v>
      </c>
      <c r="C10" s="1"/>
      <c r="D10" s="17" t="s">
        <v>32</v>
      </c>
      <c r="E10" s="67">
        <v>0.6818181818181818181818181818</v>
      </c>
      <c r="F10" s="73">
        <v>-5.2631578947408310249307477600</v>
      </c>
      <c r="G10" s="66"/>
      <c r="H10" s="67">
        <v>0.6666666666666666666666666667</v>
      </c>
      <c r="I10" s="73">
        <v>8.641975308706355738454542040</v>
      </c>
      <c r="J10" s="66"/>
      <c r="K10" s="67">
        <v>0.6363636363636363636363636364</v>
      </c>
      <c r="L10" s="73">
        <v>-13.402061855612966308853187930</v>
      </c>
      <c r="M10" s="67"/>
      <c r="N10" s="67">
        <v>0.5757575757575757575757575758</v>
      </c>
      <c r="O10" s="73">
        <v>-28.301886792425774296902802170</v>
      </c>
      <c r="P10" s="66"/>
      <c r="Q10" s="67">
        <v>0.8257575757575757575757575758</v>
      </c>
      <c r="R10" s="73">
        <v>-12.800000000027903999999991070</v>
      </c>
      <c r="S10" s="66"/>
      <c r="T10" s="67">
        <v>0.8712121212121212121212121212</v>
      </c>
      <c r="U10" s="73">
        <v>5.5045871559090985607272393600</v>
      </c>
      <c r="V10" s="66"/>
      <c r="W10" s="67">
        <v>0.9015151515151515151515151515</v>
      </c>
      <c r="X10" s="73">
        <v>0.8474576271630853203102752600</v>
      </c>
      <c r="Y10" s="177"/>
      <c r="Z10" s="67">
        <v>0.737012987012987012987012987</v>
      </c>
      <c r="AA10" s="73">
        <v>-6.8399452804917918785240375900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3"/>
      <c r="C11" s="15"/>
      <c r="D11" s="187" t="s">
        <v>26</v>
      </c>
      <c r="E11" s="180">
        <v>0.6395348837209302325581395349</v>
      </c>
      <c r="F11" s="81">
        <v>-15.057915057894068365110830960</v>
      </c>
      <c r="G11" s="181"/>
      <c r="H11" s="180">
        <v>0.5239852398523985239852398524</v>
      </c>
      <c r="I11" s="81">
        <v>-22.639089051794881826583538470</v>
      </c>
      <c r="J11" s="181"/>
      <c r="K11" s="180">
        <v>0.4243542435424354243542435424</v>
      </c>
      <c r="L11" s="81">
        <v>-27.733732782923899726204361880</v>
      </c>
      <c r="M11" s="180"/>
      <c r="N11" s="180">
        <v>0.4059040590405904059040590406</v>
      </c>
      <c r="O11" s="81">
        <v>-38.758334951731891390936045600</v>
      </c>
      <c r="P11" s="181"/>
      <c r="Q11" s="180">
        <v>0.5608856088560885608856088561</v>
      </c>
      <c r="R11" s="81">
        <v>-22.512188977276605906427752330</v>
      </c>
      <c r="S11" s="182"/>
      <c r="T11" s="180">
        <v>0.7749077490774907749077490775</v>
      </c>
      <c r="U11" s="81">
        <v>-5.4722462117701875977564360400</v>
      </c>
      <c r="V11" s="181"/>
      <c r="W11" s="180">
        <v>0.8081180811808118081180811808</v>
      </c>
      <c r="X11" s="81">
        <v>-0.3610681268217284822865558600</v>
      </c>
      <c r="Y11" s="183"/>
      <c r="Z11" s="180">
        <v>0.5910985521815351043875887264</v>
      </c>
      <c r="AA11" s="81">
        <v>-17.819554638960607637320872710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106.61157024792225394440270600</v>
      </c>
      <c r="F12" s="73">
        <v>11.531100478451585953234951280</v>
      </c>
      <c r="G12" s="68"/>
      <c r="H12" s="68">
        <v>127.23004694845357402631760319</v>
      </c>
      <c r="I12" s="73">
        <v>40.435232699743659312670441930</v>
      </c>
      <c r="J12" s="68"/>
      <c r="K12" s="68">
        <v>149.96047430845426774359871435</v>
      </c>
      <c r="L12" s="73">
        <v>19.831757581054397662499422880</v>
      </c>
      <c r="M12" s="68"/>
      <c r="N12" s="68">
        <v>141.84573002740507412972716674</v>
      </c>
      <c r="O12" s="73">
        <v>17.074075551324285323304447370</v>
      </c>
      <c r="P12" s="68"/>
      <c r="Q12" s="68">
        <v>147.22388357259102897045245058</v>
      </c>
      <c r="R12" s="73">
        <v>12.533828029318486515075869970</v>
      </c>
      <c r="S12" s="68"/>
      <c r="T12" s="68">
        <v>112.42784992792113215488219998</v>
      </c>
      <c r="U12" s="73">
        <v>11.612286262885788186852722390</v>
      </c>
      <c r="V12" s="68"/>
      <c r="W12" s="68">
        <v>111.55735436554756454581469260</v>
      </c>
      <c r="X12" s="73">
        <v>1.2129051679052118394681659900</v>
      </c>
      <c r="Y12" s="174"/>
      <c r="Z12" s="68">
        <v>124.68529728119851187441780358</v>
      </c>
      <c r="AA12" s="73">
        <v>13.360367311471962511566601740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3" t="s">
        <v>12</v>
      </c>
      <c r="C14" s="1"/>
      <c r="D14" s="17" t="s">
        <v>32</v>
      </c>
      <c r="E14" s="237">
        <v>162.56666666666666666666666667</v>
      </c>
      <c r="F14" s="73">
        <v>9.795487937844278227009511470</v>
      </c>
      <c r="G14" s="70"/>
      <c r="H14" s="237">
        <v>141.94318181818181818181818182</v>
      </c>
      <c r="I14" s="73">
        <v>4.64546943912155473457907400</v>
      </c>
      <c r="J14" s="70"/>
      <c r="K14" s="237">
        <v>143.66666666666666666666666667</v>
      </c>
      <c r="L14" s="73">
        <v>2.5510829837527001178554827300</v>
      </c>
      <c r="M14" s="70"/>
      <c r="N14" s="237">
        <v>139.72368421052631578947368421</v>
      </c>
      <c r="O14" s="73">
        <v>-0.997924289334281620770125700</v>
      </c>
      <c r="P14" s="70"/>
      <c r="Q14" s="237">
        <v>140.22935779816513761467889908</v>
      </c>
      <c r="R14" s="73">
        <v>-9.557454595889571220087392880</v>
      </c>
      <c r="S14" s="70"/>
      <c r="T14" s="237">
        <v>187.02608695652173913043478261</v>
      </c>
      <c r="U14" s="73">
        <v>-10.162861456619011699865989600</v>
      </c>
      <c r="V14" s="70"/>
      <c r="W14" s="237">
        <v>197.89915966386554621848739496</v>
      </c>
      <c r="X14" s="73">
        <v>4.1063743940709389964496954500</v>
      </c>
      <c r="Y14" s="178"/>
      <c r="Z14" s="237">
        <v>161.75036710719530102790014684</v>
      </c>
      <c r="AA14" s="73">
        <v>0.1130495955687649177983963100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3"/>
      <c r="C15" s="15"/>
      <c r="D15" s="187" t="s">
        <v>26</v>
      </c>
      <c r="E15" s="238">
        <v>196.6681818181818181818181818</v>
      </c>
      <c r="F15" s="81">
        <v>-5.9021298106488084234800402400</v>
      </c>
      <c r="G15" s="184"/>
      <c r="H15" s="238">
        <v>212.48591549295774647887323943</v>
      </c>
      <c r="I15" s="81">
        <v>9.337731741474278781260650830</v>
      </c>
      <c r="J15" s="184"/>
      <c r="K15" s="238">
        <v>211.76521739130434782608695654</v>
      </c>
      <c r="L15" s="81">
        <v>15.662378090637563103136312310</v>
      </c>
      <c r="M15" s="184"/>
      <c r="N15" s="238">
        <v>215.38181818181818181818181817</v>
      </c>
      <c r="O15" s="81">
        <v>25.404260950112478496757972730</v>
      </c>
      <c r="P15" s="184"/>
      <c r="Q15" s="238">
        <v>215.38815789473684210526315789</v>
      </c>
      <c r="R15" s="81">
        <v>10.487322708205260776459815690</v>
      </c>
      <c r="S15" s="184"/>
      <c r="T15" s="238">
        <v>245.23809523809523809523809523</v>
      </c>
      <c r="U15" s="81">
        <v>4.8137234311883356883254634200</v>
      </c>
      <c r="V15" s="184"/>
      <c r="W15" s="238">
        <v>254.79452054794520547945205479</v>
      </c>
      <c r="X15" s="81">
        <v>5.8182932655512124969631141400</v>
      </c>
      <c r="Y15" s="186"/>
      <c r="Z15" s="238">
        <v>225.04164808727302894237449835</v>
      </c>
      <c r="AA15" s="81">
        <v>9.101328871684562767776399280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82.66038012033041406028116914</v>
      </c>
      <c r="F16" s="73">
        <v>16.682224280875411906169809900</v>
      </c>
      <c r="G16" s="68"/>
      <c r="H16" s="68">
        <v>66.801219030848142739125479500</v>
      </c>
      <c r="I16" s="73">
        <v>-4.2915306799731204264838739900</v>
      </c>
      <c r="J16" s="68"/>
      <c r="K16" s="68">
        <v>67.842428721993207731327871860</v>
      </c>
      <c r="L16" s="73">
        <v>-11.335833936036343131443688060</v>
      </c>
      <c r="M16" s="68"/>
      <c r="N16" s="68">
        <v>64.872553027009928194760448510</v>
      </c>
      <c r="O16" s="73">
        <v>-21.053658814665323806853945090</v>
      </c>
      <c r="P16" s="68"/>
      <c r="Q16" s="68">
        <v>65.105416736383966586543358570</v>
      </c>
      <c r="R16" s="73">
        <v>-18.142151346197711766688670050</v>
      </c>
      <c r="S16" s="68"/>
      <c r="T16" s="68">
        <v>76.263064584211267158729052880</v>
      </c>
      <c r="U16" s="73">
        <v>-14.288763338987586492348861640</v>
      </c>
      <c r="V16" s="68"/>
      <c r="W16" s="68">
        <v>77.670100298197569823975378240</v>
      </c>
      <c r="X16" s="73">
        <v>-1.6177910441174385342585536400</v>
      </c>
      <c r="Y16" s="174"/>
      <c r="Z16" s="68">
        <v>71.875747659138975609293361170</v>
      </c>
      <c r="AA16" s="73">
        <v>-8.238469108609619195144461570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3" t="s">
        <v>13</v>
      </c>
      <c r="C18" s="1"/>
      <c r="D18" s="17" t="s">
        <v>32</v>
      </c>
      <c r="E18" s="237">
        <v>110.84090909090909090909090909</v>
      </c>
      <c r="F18" s="73">
        <v>4.016778046358823647265540100</v>
      </c>
      <c r="G18" s="70"/>
      <c r="H18" s="237">
        <v>94.62878787878787878787878788</v>
      </c>
      <c r="I18" s="73">
        <v>13.688905069693966414166382220</v>
      </c>
      <c r="J18" s="70"/>
      <c r="K18" s="237">
        <v>91.42424242424242424242424242</v>
      </c>
      <c r="L18" s="73">
        <v>-11.192876591386800242375042520</v>
      </c>
      <c r="M18" s="70"/>
      <c r="N18" s="237">
        <v>80.4469696969696969696969697</v>
      </c>
      <c r="O18" s="73">
        <v>-29.017379679123507785467121880</v>
      </c>
      <c r="P18" s="70"/>
      <c r="Q18" s="237">
        <v>115.79545454545454545454545455</v>
      </c>
      <c r="R18" s="73">
        <v>-21.134100407638493836113576410</v>
      </c>
      <c r="S18" s="70"/>
      <c r="T18" s="237">
        <v>162.93939393939393939393939394</v>
      </c>
      <c r="U18" s="73">
        <v>-5.217697867094735535103097400</v>
      </c>
      <c r="V18" s="70"/>
      <c r="W18" s="237">
        <v>178.40909090909090909090909091</v>
      </c>
      <c r="X18" s="73">
        <v>4.988631804210778508150778200</v>
      </c>
      <c r="Y18" s="178"/>
      <c r="Z18" s="237">
        <v>119.21212121212121212121212121</v>
      </c>
      <c r="AA18" s="73">
        <v>-6.7346282152981918114881103700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3" t="s"/>
      <c r="C19" s="15"/>
      <c r="D19" s="187" t="s">
        <v>26</v>
      </c>
      <c r="E19" s="238">
        <v>125.77616279069767441860465116</v>
      </c>
      <c r="F19" s="81">
        <v>-20.071307175064203919831883870</v>
      </c>
      <c r="G19" s="184"/>
      <c r="H19" s="238">
        <v>111.33948339483394833948339483</v>
      </c>
      <c r="I19" s="81">
        <v>-15.415334714737980958523713390</v>
      </c>
      <c r="J19" s="184"/>
      <c r="K19" s="238">
        <v>89.86346863468634686346863469</v>
      </c>
      <c r="L19" s="81">
        <v>-16.415116779349403714104590400</v>
      </c>
      <c r="M19" s="184"/>
      <c r="N19" s="238">
        <v>87.42435424354243542435424354</v>
      </c>
      <c r="O19" s="81">
        <v>-23.200342552737090814624390430</v>
      </c>
      <c r="P19" s="184"/>
      <c r="Q19" s="238">
        <v>120.80811808118081180811808118</v>
      </c>
      <c r="R19" s="81">
        <v>-14.385792175817405972411936640</v>
      </c>
      <c r="S19" s="184"/>
      <c r="T19" s="238">
        <v>190.036900369003690036900369</v>
      </c>
      <c r="U19" s="81">
        <v>-0.921941578710925889818247300</v>
      </c>
      <c r="V19" s="184"/>
      <c r="W19" s="238">
        <v>205.90405904059040590405904059</v>
      </c>
      <c r="X19" s="81">
        <v>5.4362171362387371706758376200</v>
      </c>
      <c r="Y19" s="186"/>
      <c r="Z19" s="238">
        <v>133.02179236493361611356977357</v>
      </c>
      <c r="AA19" s="81">
        <v>-10.340042038407984559633049140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88.12552921920175253309339476</v>
      </c>
      <c r="F20" s="73">
        <v>30.136968803211904923806104490</v>
      </c>
      <c r="G20" s="68"/>
      <c r="H20" s="68">
        <v>84.99122233506556969466071504</v>
      </c>
      <c r="I20" s="73">
        <v>34.408411603087486067252119480</v>
      </c>
      <c r="J20" s="68"/>
      <c r="K20" s="68">
        <v>101.73682789375408658918778300</v>
      </c>
      <c r="L20" s="73">
        <v>6.2478285388032664370647088100</v>
      </c>
      <c r="M20" s="68"/>
      <c r="N20" s="68">
        <v>92.01894642870745423614376222</v>
      </c>
      <c r="O20" s="73">
        <v>-7.5743008754883120217810238900</v>
      </c>
      <c r="P20" s="68"/>
      <c r="Q20" s="68">
        <v>95.85072293537737127153907743</v>
      </c>
      <c r="R20" s="73">
        <v>-7.8822293674549499215183728700</v>
      </c>
      <c r="S20" s="68"/>
      <c r="T20" s="68">
        <v>85.74092380111964074756424651</v>
      </c>
      <c r="U20" s="73">
        <v>-4.3357291784488088882212661300</v>
      </c>
      <c r="V20" s="68"/>
      <c r="W20" s="68">
        <v>86.64670902573724650394568901</v>
      </c>
      <c r="X20" s="73">
        <v>-0.4245081474183630337362056500</v>
      </c>
      <c r="Y20" s="174"/>
      <c r="Z20" s="68">
        <v>89.61848964198538493422750731</v>
      </c>
      <c r="AA20" s="73">
        <v>4.0212084693057832170973327600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1" t="s">
        <v>40</v>
      </c>
      <c r="F25" s="651"/>
      <c r="G25" s="64"/>
      <c r="H25" s="651" t="s">
        <v>39</v>
      </c>
      <c r="I25" s="651"/>
      <c r="J25" s="1"/>
      <c r="K25" s="651" t="s">
        <v>41</v>
      </c>
      <c r="L25" s="651"/>
      <c r="M25" s="64"/>
      <c r="N25" s="651" t="s">
        <v>42</v>
      </c>
      <c r="O25" s="651"/>
      <c r="P25" s="64"/>
      <c r="Q25" s="651" t="s">
        <v>43</v>
      </c>
      <c r="R25" s="651"/>
      <c r="S25" s="64"/>
      <c r="T25" s="651" t="s">
        <v>44</v>
      </c>
      <c r="U25" s="651"/>
      <c r="V25" s="64"/>
      <c r="W25" s="651" t="s">
        <v>45</v>
      </c>
      <c r="X25" s="651"/>
      <c r="Y25" s="64"/>
      <c r="Z25" s="651" t="s">
        <v>23</v>
      </c>
      <c r="AA25" s="651"/>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2" t="s">
        <v>57</v>
      </c>
      <c r="F26" s="652"/>
      <c r="G26" s="65"/>
      <c r="H26" s="652" t="s">
        <v>57</v>
      </c>
      <c r="I26" s="652"/>
      <c r="J26" s="3"/>
      <c r="K26" s="652" t="s">
        <v>57</v>
      </c>
      <c r="L26" s="652"/>
      <c r="M26" s="65"/>
      <c r="N26" s="652" t="s">
        <v>57</v>
      </c>
      <c r="O26" s="652"/>
      <c r="P26" s="65"/>
      <c r="Q26" s="652" t="s">
        <v>57</v>
      </c>
      <c r="R26" s="652"/>
      <c r="S26" s="65"/>
      <c r="T26" s="652" t="s">
        <v>57</v>
      </c>
      <c r="U26" s="652"/>
      <c r="V26" s="65"/>
      <c r="W26" s="652" t="s">
        <v>57</v>
      </c>
      <c r="X26" s="652"/>
      <c r="Y26" s="1"/>
      <c r="Z26" s="652" t="s">
        <v>57</v>
      </c>
      <c r="AA26" s="652"/>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3" t="s">
        <v>28</v>
      </c>
      <c r="C27" s="1"/>
      <c r="D27" s="17" t="s">
        <v>32</v>
      </c>
      <c r="E27" s="67">
        <v>0.7803030303030303030303030303</v>
      </c>
      <c r="F27" s="73">
        <v>-1.1990407674202094439556150800</v>
      </c>
      <c r="G27" s="66"/>
      <c r="H27" s="67">
        <v>0.7348484848484848484848484848</v>
      </c>
      <c r="I27" s="73">
        <v>-4.1975308641407590306355402100</v>
      </c>
      <c r="J27" s="66"/>
      <c r="K27" s="67">
        <v>0.7234848484848484848484848485</v>
      </c>
      <c r="L27" s="73">
        <v>-6.3725490195747981545559283600</v>
      </c>
      <c r="M27" s="67"/>
      <c r="N27" s="67">
        <v>0.7424242424242424242424242424</v>
      </c>
      <c r="O27" s="73">
        <v>-8.411214953264180277753515080</v>
      </c>
      <c r="P27" s="66"/>
      <c r="Q27" s="67">
        <v>0.8371212121212121212121212121</v>
      </c>
      <c r="R27" s="73">
        <v>-0.2257336342934944891438904800</v>
      </c>
      <c r="S27" s="66"/>
      <c r="T27" s="67">
        <v>0.8011363636363636363636363636</v>
      </c>
      <c r="U27" s="73">
        <v>-6.4159292035828882449682627500</v>
      </c>
      <c r="V27" s="66"/>
      <c r="W27" s="67">
        <v>0.875</v>
      </c>
      <c r="X27" s="73">
        <v>-1.9108280254277252626881160400</v>
      </c>
      <c r="Y27" s="177"/>
      <c r="Z27" s="67">
        <v>0.7849025974025974025974025974</v>
      </c>
      <c r="AA27" s="73">
        <v>-4.0674603174816358024691310700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3"/>
      <c r="C28" s="15"/>
      <c r="D28" s="187" t="s">
        <v>26</v>
      </c>
      <c r="E28" s="180">
        <v>0.7042151162790697674418604651</v>
      </c>
      <c r="F28" s="81">
        <v>-11.556139086687805956584745960</v>
      </c>
      <c r="G28" s="181"/>
      <c r="H28" s="180">
        <v>0.6193684029863554449497983352</v>
      </c>
      <c r="I28" s="81">
        <v>-12.229169919164020835060238470</v>
      </c>
      <c r="J28" s="181"/>
      <c r="K28" s="180">
        <v>0.5690246073972367630653050717</v>
      </c>
      <c r="L28" s="81">
        <v>-11.286181019827198416678720220</v>
      </c>
      <c r="M28" s="180"/>
      <c r="N28" s="180">
        <v>0.5644120612717755084527589462</v>
      </c>
      <c r="O28" s="81">
        <v>-16.219511819124130568248220250</v>
      </c>
      <c r="P28" s="181"/>
      <c r="Q28" s="180">
        <v>0.674378378958208186733030121</v>
      </c>
      <c r="R28" s="81">
        <v>-12.689978668889900047223506810</v>
      </c>
      <c r="S28" s="182"/>
      <c r="T28" s="180">
        <v>0.8201804256414657169827512229</v>
      </c>
      <c r="U28" s="81">
        <v>-3.6318227349764607733420249600</v>
      </c>
      <c r="V28" s="181"/>
      <c r="W28" s="180">
        <v>0.8626399854114820217969621557</v>
      </c>
      <c r="X28" s="81">
        <v>-0.5901563243653802236612623600</v>
      </c>
      <c r="Y28" s="183"/>
      <c r="Z28" s="180">
        <v>0.6877455682779419156317809025</v>
      </c>
      <c r="AA28" s="81">
        <v>-9.218346438391985108956189810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110.80464083561156547212581597</v>
      </c>
      <c r="F29" s="73">
        <v>11.710364306118644938909235830</v>
      </c>
      <c r="G29" s="68"/>
      <c r="H29" s="68">
        <v>118.64481321710160315285613775</v>
      </c>
      <c r="I29" s="73">
        <v>9.150692829956025599028361460</v>
      </c>
      <c r="J29" s="68"/>
      <c r="K29" s="68">
        <v>127.14473839618747338559658794</v>
      </c>
      <c r="L29" s="73">
        <v>5.5387447601044479985058690800</v>
      </c>
      <c r="M29" s="68"/>
      <c r="N29" s="68">
        <v>131.53940062001177798289328305</v>
      </c>
      <c r="O29" s="73">
        <v>9.319946726665549433655161410</v>
      </c>
      <c r="P29" s="68"/>
      <c r="Q29" s="68">
        <v>124.13227325209779241424972863</v>
      </c>
      <c r="R29" s="73">
        <v>14.275846969872537584882762560</v>
      </c>
      <c r="S29" s="68"/>
      <c r="T29" s="68">
        <v>97.67806431252577676678227654</v>
      </c>
      <c r="U29" s="73">
        <v>-2.8890309514693955529665018900</v>
      </c>
      <c r="V29" s="68"/>
      <c r="W29" s="68">
        <v>101.43281262149135599431674001</v>
      </c>
      <c r="X29" s="73">
        <v>-1.3285119986516863019068410600</v>
      </c>
      <c r="Y29" s="174"/>
      <c r="Z29" s="68">
        <v>114.12688552364828337820133646</v>
      </c>
      <c r="AA29" s="73">
        <v>5.6739285073547867974274644700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3" t="s">
        <v>12</v>
      </c>
      <c r="C31" s="1"/>
      <c r="D31" s="17" t="s">
        <v>32</v>
      </c>
      <c r="E31" s="237">
        <v>179.4296116504854368932038835</v>
      </c>
      <c r="F31" s="73">
        <v>-0.0104930398858384611310696800</v>
      </c>
      <c r="G31" s="70"/>
      <c r="H31" s="237">
        <v>157.00515463917525773195876289</v>
      </c>
      <c r="I31" s="73">
        <v>4.5565108340737567495695012900</v>
      </c>
      <c r="J31" s="70"/>
      <c r="K31" s="237">
        <v>159.85078534031413612565445026</v>
      </c>
      <c r="L31" s="73">
        <v>13.418639755919435231259101260</v>
      </c>
      <c r="M31" s="70"/>
      <c r="N31" s="237">
        <v>153.72704081632653061224489796</v>
      </c>
      <c r="O31" s="73">
        <v>6.2652197644772402820464909400</v>
      </c>
      <c r="P31" s="70"/>
      <c r="Q31" s="237">
        <v>164.22850678733031674208144796</v>
      </c>
      <c r="R31" s="73">
        <v>-0.569593403304434266331844900</v>
      </c>
      <c r="S31" s="70"/>
      <c r="T31" s="237">
        <v>227.9810874704491725768321513</v>
      </c>
      <c r="U31" s="73">
        <v>-3.6678618161615969566868741100</v>
      </c>
      <c r="V31" s="70"/>
      <c r="W31" s="237">
        <v>251.0974025974025974025974026</v>
      </c>
      <c r="X31" s="73">
        <v>1.6649846328537663055732302500</v>
      </c>
      <c r="Y31" s="178"/>
      <c r="Z31" s="237">
        <v>186.55601516718372974836263357</v>
      </c>
      <c r="AA31" s="73">
        <v>2.2862315181053998822924266400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3"/>
      <c r="C32" s="15"/>
      <c r="D32" s="187" t="s">
        <v>26</v>
      </c>
      <c r="E32" s="238">
        <v>234.88648090815273477812177503</v>
      </c>
      <c r="F32" s="81">
        <v>1.3290058009257253334487845400</v>
      </c>
      <c r="G32" s="184"/>
      <c r="H32" s="238">
        <v>219.74488656044336681676480776</v>
      </c>
      <c r="I32" s="81">
        <v>2.617248329464494944823483600</v>
      </c>
      <c r="J32" s="184"/>
      <c r="K32" s="238">
        <v>215.08658400373255665992732825</v>
      </c>
      <c r="L32" s="81">
        <v>0.5898231448901894929352754400</v>
      </c>
      <c r="M32" s="184"/>
      <c r="N32" s="238">
        <v>207.83998916694778753913915246</v>
      </c>
      <c r="O32" s="81">
        <v>5.8069727178390556087759947700</v>
      </c>
      <c r="P32" s="184"/>
      <c r="Q32" s="238">
        <v>225.51990869795166876762117603</v>
      </c>
      <c r="R32" s="81">
        <v>-0.1872015436789287861940093100</v>
      </c>
      <c r="S32" s="184"/>
      <c r="T32" s="238">
        <v>282.92723040001046291876197513</v>
      </c>
      <c r="U32" s="81">
        <v>-2.4320892749971663318204882100</v>
      </c>
      <c r="V32" s="184"/>
      <c r="W32" s="238">
        <v>292.17114789772285692080516049</v>
      </c>
      <c r="X32" s="81">
        <v>-6.165036439949819516600404700</v>
      </c>
      <c r="Y32" s="186"/>
      <c r="Z32" s="238">
        <v>244.56433172181641853316867228</v>
      </c>
      <c r="AA32" s="81">
        <v>0.3307269348714584947738678400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76.389927149792580023672572270</v>
      </c>
      <c r="F33" s="73">
        <v>-1.3219303103807944320681064600</v>
      </c>
      <c r="G33" s="68"/>
      <c r="H33" s="68">
        <v>71.448831914466488964520684560</v>
      </c>
      <c r="I33" s="73">
        <v>1.8898017011754353545323772700</v>
      </c>
      <c r="J33" s="68"/>
      <c r="K33" s="68">
        <v>74.319272901541977638315831490</v>
      </c>
      <c r="L33" s="73">
        <v>12.753592967847694163426455520</v>
      </c>
      <c r="M33" s="68"/>
      <c r="N33" s="68">
        <v>73.964130498910099927672696890</v>
      </c>
      <c r="O33" s="73">
        <v>0.4330972098484032174229055100</v>
      </c>
      <c r="P33" s="68"/>
      <c r="Q33" s="68">
        <v>72.822176869206386069925531010</v>
      </c>
      <c r="R33" s="73">
        <v>-0.3831090457110185883417932500</v>
      </c>
      <c r="S33" s="68"/>
      <c r="T33" s="68">
        <v>80.57940805066077958427297117</v>
      </c>
      <c r="U33" s="73">
        <v>-1.2665768201490757860617145700</v>
      </c>
      <c r="V33" s="68"/>
      <c r="W33" s="68">
        <v>85.94188865127817120835455380</v>
      </c>
      <c r="X33" s="73">
        <v>8.344460077205898919858537820</v>
      </c>
      <c r="Y33" s="174"/>
      <c r="Z33" s="68">
        <v>76.280958001429805761021747520</v>
      </c>
      <c r="AA33" s="73">
        <v>1.949058521765775853983164300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3" t="s">
        <v>13</v>
      </c>
      <c r="C35" s="1"/>
      <c r="D35" s="17" t="s">
        <v>32</v>
      </c>
      <c r="E35" s="237">
        <v>140.0094696969696969696969697</v>
      </c>
      <c r="F35" s="73">
        <v>-1.2094079914578421052528175500</v>
      </c>
      <c r="G35" s="70"/>
      <c r="H35" s="237">
        <v>115.375000000</v>
      </c>
      <c r="I35" s="73">
        <v>0.1677190213259933258123640100</v>
      </c>
      <c r="J35" s="70"/>
      <c r="K35" s="237">
        <v>115.64962121212121212121212121</v>
      </c>
      <c r="L35" s="73">
        <v>6.1909813401010398488749428400</v>
      </c>
      <c r="M35" s="70"/>
      <c r="N35" s="237">
        <v>114.13068181818181818181818182</v>
      </c>
      <c r="O35" s="73">
        <v>-2.6729762904982810873920027800</v>
      </c>
      <c r="P35" s="70"/>
      <c r="Q35" s="237">
        <v>137.47916666666666666666666667</v>
      </c>
      <c r="R35" s="73">
        <v>-0.7940412737135309141802531700</v>
      </c>
      <c r="S35" s="70"/>
      <c r="T35" s="237">
        <v>182.64393939393939393939393939</v>
      </c>
      <c r="U35" s="73">
        <v>-9.848463602288776653249095680</v>
      </c>
      <c r="V35" s="70"/>
      <c r="W35" s="237">
        <v>219.71022727272727272727272727</v>
      </c>
      <c r="X35" s="73">
        <v>-0.2776583856408111189360418400</v>
      </c>
      <c r="Y35" s="178"/>
      <c r="Z35" s="237">
        <v>146.42830086580086580086580087</v>
      </c>
      <c r="AA35" s="73">
        <v>-1.8742203591370590066630605500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3" t="s"/>
      <c r="C36" s="15"/>
      <c r="D36" s="187" t="s">
        <v>26</v>
      </c>
      <c r="E36" s="238">
        <v>165.41061046511627906976744186</v>
      </c>
      <c r="F36" s="81">
        <v>-10.380715044545912437305369900</v>
      </c>
      <c r="G36" s="184"/>
      <c r="H36" s="238">
        <v>136.10303945335964987556852312</v>
      </c>
      <c r="I36" s="81">
        <v>-9.931989335191306761292946880</v>
      </c>
      <c r="J36" s="184"/>
      <c r="K36" s="238">
        <v>122.38955901913670299493692611</v>
      </c>
      <c r="L36" s="81">
        <v>-10.762926382851401575424265070</v>
      </c>
      <c r="M36" s="184"/>
      <c r="N36" s="238">
        <v>117.30739670042049257701879344</v>
      </c>
      <c r="O36" s="81">
        <v>-11.354401727567716456586068690</v>
      </c>
      <c r="P36" s="184"/>
      <c r="Q36" s="238">
        <v>152.08575045052776109156440402</v>
      </c>
      <c r="R36" s="81">
        <v>-12.853424376572792559393240650</v>
      </c>
      <c r="S36" s="184"/>
      <c r="T36" s="238">
        <v>232.0513762550416201836436969</v>
      </c>
      <c r="U36" s="81">
        <v>-5.9755828387834268242451628800</v>
      </c>
      <c r="V36" s="184"/>
      <c r="W36" s="238">
        <v>252.03851476014760147601476015</v>
      </c>
      <c r="X36" s="81">
        <v>-6.7188094118757990094348343100</v>
      </c>
      <c r="Y36" s="186"/>
      <c r="Z36" s="238">
        <v>168.19803530053572960978779222</v>
      </c>
      <c r="AA36" s="81">
        <v>-8.91810705810079791189252600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84.64358441292997218567761105</v>
      </c>
      <c r="F37" s="73">
        <v>10.233631140521756935240804800</v>
      </c>
      <c r="G37" s="68"/>
      <c r="H37" s="68">
        <v>84.77033317062913591838863917</v>
      </c>
      <c r="I37" s="73">
        <v>11.213424479890366647714314590</v>
      </c>
      <c r="J37" s="68"/>
      <c r="K37" s="68">
        <v>94.49304510858891198837609916</v>
      </c>
      <c r="L37" s="73">
        <v>18.998726690343745780211540160</v>
      </c>
      <c r="M37" s="68"/>
      <c r="N37" s="68">
        <v>97.29197393210299609870190721</v>
      </c>
      <c r="O37" s="73">
        <v>9.793408365775459933272117190</v>
      </c>
      <c r="P37" s="68"/>
      <c r="Q37" s="68">
        <v>90.39582357941719157869308506</v>
      </c>
      <c r="R37" s="73">
        <v>13.838045863064111870577522160</v>
      </c>
      <c r="S37" s="68"/>
      <c r="T37" s="68">
        <v>78.708406018343523458623212200</v>
      </c>
      <c r="U37" s="73">
        <v>-4.1190159751722554759368387200</v>
      </c>
      <c r="V37" s="68"/>
      <c r="W37" s="68">
        <v>87.17327487898266626509529452</v>
      </c>
      <c r="X37" s="73">
        <v>6.9050909252781821641436413900</v>
      </c>
      <c r="Y37" s="174"/>
      <c r="Z37" s="68">
        <v>87.05708161465402110603162959</v>
      </c>
      <c r="AA37" s="73">
        <v>7.7335752162132016806917964900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9"/>
</worksheet>
</file>

<file path=xl/worksheets/sheet2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121</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168</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179</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180</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167</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51" t="s">
        <v>21</v>
      </c>
      <c r="E8" s="651"/>
      <c r="F8" s="651"/>
      <c r="G8" s="1"/>
      <c r="H8" s="651" t="s">
        <v>24</v>
      </c>
      <c r="I8" s="651"/>
      <c r="J8" s="651"/>
      <c r="K8" s="1"/>
      <c r="L8" s="651" t="s">
        <v>25</v>
      </c>
      <c r="M8" s="651"/>
      <c r="N8" s="651"/>
      <c r="O8" s="1"/>
      <c r="P8" s="651" t="s">
        <v>23</v>
      </c>
      <c r="Q8" s="651"/>
      <c r="R8" s="651"/>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0.737012987012987012987012987</v>
      </c>
      <c r="F10" s="73">
        <v>4.930662557774087905774203300</v>
      </c>
      <c r="G10" s="66"/>
      <c r="H10" s="17" t="s">
        <v>32</v>
      </c>
      <c r="I10" s="19">
        <v>0</v>
      </c>
      <c r="J10" s="73">
        <v>-100</v>
      </c>
      <c r="K10" s="1"/>
      <c r="L10" s="17" t="s">
        <v>32</v>
      </c>
      <c r="M10" s="19">
        <v>0</v>
      </c>
      <c r="N10" s="73">
        <v>0</v>
      </c>
      <c r="O10" s="1"/>
      <c r="P10" s="17" t="s">
        <v>32</v>
      </c>
      <c r="Q10" s="19">
        <v>0.737012987012987012987012987</v>
      </c>
      <c r="R10" s="73">
        <v>-6.8399452804917918785240375900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0.5520895906633484939500557797</v>
      </c>
      <c r="F11" s="81">
        <v>-22.662493640677045062017905240</v>
      </c>
      <c r="G11" s="181"/>
      <c r="H11" s="187" t="s">
        <v>27</v>
      </c>
      <c r="I11" s="190">
        <v>0.0390089615181866104375329468</v>
      </c>
      <c r="J11" s="81">
        <v>622.56599493696236162657586725</v>
      </c>
      <c r="K11" s="191"/>
      <c r="L11" s="187" t="s">
        <v>27</v>
      </c>
      <c r="M11" s="190">
        <v>0</v>
      </c>
      <c r="N11" s="81">
        <v>0</v>
      </c>
      <c r="O11" s="191"/>
      <c r="P11" s="187" t="s">
        <v>27</v>
      </c>
      <c r="Q11" s="190">
        <v>0.5910985521815351043875887264</v>
      </c>
      <c r="R11" s="81">
        <v>-17.819554638960607637320872710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133.49517894874887544190209108</v>
      </c>
      <c r="F12" s="73">
        <v>35.678880141771006831755286520</v>
      </c>
      <c r="G12" s="68"/>
      <c r="H12" s="406" t="s">
        <v>91</v>
      </c>
      <c r="I12" s="74">
        <v>0</v>
      </c>
      <c r="J12" s="73">
        <v>-100</v>
      </c>
      <c r="K12" s="1"/>
      <c r="L12" s="406" t="s">
        <v>91</v>
      </c>
      <c r="M12" s="74">
        <v>0</v>
      </c>
      <c r="N12" s="73">
        <v>0</v>
      </c>
      <c r="O12" s="1"/>
      <c r="P12" s="406" t="s">
        <v>91</v>
      </c>
      <c r="Q12" s="74">
        <v>124.68529728119851187441780358</v>
      </c>
      <c r="R12" s="73">
        <v>13.360367311471962511566601740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161.75036710719530102790014684</v>
      </c>
      <c r="F14" s="73">
        <v>0.7505117881452185021495407200</v>
      </c>
      <c r="G14" s="70"/>
      <c r="H14" s="76" t="s">
        <v>32</v>
      </c>
      <c r="I14" s="239">
        <v>0</v>
      </c>
      <c r="J14" s="73">
        <v>-100</v>
      </c>
      <c r="K14" s="77"/>
      <c r="L14" s="76" t="s">
        <v>32</v>
      </c>
      <c r="M14" s="239">
        <v>0</v>
      </c>
      <c r="N14" s="73">
        <v>0</v>
      </c>
      <c r="O14" s="77"/>
      <c r="P14" s="76" t="s">
        <v>32</v>
      </c>
      <c r="Q14" s="239">
        <v>161.75036710719530102790014684</v>
      </c>
      <c r="R14" s="73">
        <v>0.1130495955687649177983963100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223.69256070346068014522199646</v>
      </c>
      <c r="F15" s="81">
        <v>8.235289174233406172354626620</v>
      </c>
      <c r="G15" s="184"/>
      <c r="H15" s="189" t="s">
        <v>27</v>
      </c>
      <c r="I15" s="240">
        <v>244.13513513513513513513513512</v>
      </c>
      <c r="J15" s="81">
        <v>59.726057209652662325792593890</v>
      </c>
      <c r="K15" s="188"/>
      <c r="L15" s="189" t="s">
        <v>27</v>
      </c>
      <c r="M15" s="240">
        <v>0</v>
      </c>
      <c r="N15" s="81">
        <v>0</v>
      </c>
      <c r="O15" s="188"/>
      <c r="P15" s="189" t="s">
        <v>27</v>
      </c>
      <c r="Q15" s="240">
        <v>225.04164808727302894237449835</v>
      </c>
      <c r="R15" s="81">
        <v>9.101328871684562767776399280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72.309229506113154345586686490</v>
      </c>
      <c r="F16" s="73">
        <v>-6.9152837703676585140849991800</v>
      </c>
      <c r="G16" s="68"/>
      <c r="H16" s="406" t="s">
        <v>92</v>
      </c>
      <c r="I16" s="74">
        <v>0</v>
      </c>
      <c r="J16" s="73">
        <v>-100</v>
      </c>
      <c r="K16" s="1"/>
      <c r="L16" s="406" t="s">
        <v>92</v>
      </c>
      <c r="M16" s="74">
        <v>0</v>
      </c>
      <c r="N16" s="73">
        <v>0</v>
      </c>
      <c r="O16" s="1"/>
      <c r="P16" s="406" t="s">
        <v>92</v>
      </c>
      <c r="Q16" s="74">
        <v>71.875747659138975609293361170</v>
      </c>
      <c r="R16" s="73">
        <v>-8.238469108609619195144461570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119.21212121212121212121212121</v>
      </c>
      <c r="F18" s="73">
        <v>5.718179549657346907699001200</v>
      </c>
      <c r="G18" s="70"/>
      <c r="H18" s="76" t="s">
        <v>32</v>
      </c>
      <c r="I18" s="239">
        <v>0</v>
      </c>
      <c r="J18" s="73">
        <v>-100</v>
      </c>
      <c r="K18" s="77"/>
      <c r="L18" s="76" t="s">
        <v>32</v>
      </c>
      <c r="M18" s="239">
        <v>0</v>
      </c>
      <c r="N18" s="73">
        <v>0</v>
      </c>
      <c r="O18" s="77"/>
      <c r="P18" s="76" t="s">
        <v>32</v>
      </c>
      <c r="Q18" s="239">
        <v>119.21212121212121212121212121</v>
      </c>
      <c r="R18" s="73">
        <v>-6.7346282152981918114881103700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123.49833427320984173296882471</v>
      </c>
      <c r="F19" s="81">
        <v>-16.293526351829930095937707720</v>
      </c>
      <c r="G19" s="184"/>
      <c r="H19" s="189" t="s">
        <v>27</v>
      </c>
      <c r="I19" s="240">
        <v>9.523458091723774380600948867</v>
      </c>
      <c r="J19" s="81">
        <v>1054.1261743165856812882655140</v>
      </c>
      <c r="K19" s="188"/>
      <c r="L19" s="189" t="s">
        <v>27</v>
      </c>
      <c r="M19" s="240">
        <v>0</v>
      </c>
      <c r="N19" s="81">
        <v>0</v>
      </c>
      <c r="O19" s="188"/>
      <c r="P19" s="189" t="s">
        <v>27</v>
      </c>
      <c r="Q19" s="240">
        <v>133.02179236493361611356977357</v>
      </c>
      <c r="R19" s="81">
        <v>-10.340042038407984559633049140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96.52933532561100622753571088</v>
      </c>
      <c r="F20" s="73">
        <v>26.296300563431002547951351160</v>
      </c>
      <c r="G20" s="68"/>
      <c r="H20" s="406" t="s">
        <v>93</v>
      </c>
      <c r="I20" s="74">
        <v>0</v>
      </c>
      <c r="J20" s="73">
        <v>-100</v>
      </c>
      <c r="K20" s="1"/>
      <c r="L20" s="406" t="s">
        <v>93</v>
      </c>
      <c r="M20" s="74">
        <v>0</v>
      </c>
      <c r="N20" s="73">
        <v>0</v>
      </c>
      <c r="O20" s="1"/>
      <c r="P20" s="406" t="s">
        <v>93</v>
      </c>
      <c r="Q20" s="74">
        <v>89.61848964198538493422750731</v>
      </c>
      <c r="R20" s="73">
        <v>4.0212084693057832170973327600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51" t="s">
        <v>21</v>
      </c>
      <c r="E25" s="651"/>
      <c r="F25" s="651"/>
      <c r="G25" s="1"/>
      <c r="H25" s="651" t="s">
        <v>24</v>
      </c>
      <c r="I25" s="651"/>
      <c r="J25" s="651"/>
      <c r="K25" s="1"/>
      <c r="L25" s="651" t="s">
        <v>25</v>
      </c>
      <c r="M25" s="651"/>
      <c r="N25" s="651"/>
      <c r="O25" s="1"/>
      <c r="P25" s="651" t="s">
        <v>23</v>
      </c>
      <c r="Q25" s="651"/>
      <c r="R25" s="651"/>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0.7199675324675324675324675325</v>
      </c>
      <c r="F27" s="73">
        <v>-9.551325628861313932031034880</v>
      </c>
      <c r="G27" s="1"/>
      <c r="H27" s="17" t="s">
        <v>32</v>
      </c>
      <c r="I27" s="19">
        <v>0.0649350649350649350649350649</v>
      </c>
      <c r="J27" s="73">
        <v>192.68292683120999405117290517</v>
      </c>
      <c r="K27" s="1"/>
      <c r="L27" s="17" t="s">
        <v>32</v>
      </c>
      <c r="M27" s="19">
        <v>0</v>
      </c>
      <c r="N27" s="73">
        <v>0</v>
      </c>
      <c r="O27" s="1"/>
      <c r="P27" s="17" t="s">
        <v>32</v>
      </c>
      <c r="Q27" s="19">
        <v>0.7849025974025974025974025974</v>
      </c>
      <c r="R27" s="73">
        <v>-4.0674603174816358024691310700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0.6710373478319500802981451741</v>
      </c>
      <c r="F28" s="81">
        <v>-10.146577880584893942002030230</v>
      </c>
      <c r="G28" s="191"/>
      <c r="H28" s="187" t="s">
        <v>27</v>
      </c>
      <c r="I28" s="190">
        <v>0.0167082204459918353336357284</v>
      </c>
      <c r="J28" s="81">
        <v>55.154452307774965354958949040</v>
      </c>
      <c r="K28" s="191"/>
      <c r="L28" s="187" t="s">
        <v>27</v>
      </c>
      <c r="M28" s="190">
        <v>0</v>
      </c>
      <c r="N28" s="81">
        <v>0</v>
      </c>
      <c r="O28" s="191"/>
      <c r="P28" s="187" t="s">
        <v>27</v>
      </c>
      <c r="Q28" s="190">
        <v>0.6877455682779419156317809025</v>
      </c>
      <c r="R28" s="81">
        <v>-9.218346438391985108956189810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107.29172300075651857364852421</v>
      </c>
      <c r="F29" s="73">
        <v>0.6624703185854735205796699500</v>
      </c>
      <c r="G29" s="75"/>
      <c r="H29" s="406" t="s">
        <v>91</v>
      </c>
      <c r="I29" s="74">
        <v>388.64141842592573526866587585</v>
      </c>
      <c r="J29" s="73">
        <v>88.63972156505887223665543459</v>
      </c>
      <c r="K29" s="75"/>
      <c r="L29" s="406" t="s">
        <v>91</v>
      </c>
      <c r="M29" s="74">
        <v>0</v>
      </c>
      <c r="N29" s="73">
        <v>0</v>
      </c>
      <c r="O29" s="75"/>
      <c r="P29" s="406" t="s">
        <v>91</v>
      </c>
      <c r="Q29" s="74">
        <v>114.12688552364828337820133646</v>
      </c>
      <c r="R29" s="73">
        <v>5.6739285073547867974274644700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188.53213077790304396843291995</v>
      </c>
      <c r="F31" s="73">
        <v>3.1690416998816977273224915600</v>
      </c>
      <c r="G31" s="77"/>
      <c r="H31" s="76" t="s">
        <v>32</v>
      </c>
      <c r="I31" s="239">
        <v>164.64583333333333333333333333</v>
      </c>
      <c r="J31" s="73">
        <v>-2.9545835729541686193690623200</v>
      </c>
      <c r="K31" s="77"/>
      <c r="L31" s="76" t="s">
        <v>32</v>
      </c>
      <c r="M31" s="239">
        <v>0</v>
      </c>
      <c r="N31" s="73">
        <v>0</v>
      </c>
      <c r="O31" s="77"/>
      <c r="P31" s="76" t="s">
        <v>32</v>
      </c>
      <c r="Q31" s="239">
        <v>186.55601516718372974836263357</v>
      </c>
      <c r="R31" s="73">
        <v>2.2862315181053998822924266400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244.00752630467175537654359752</v>
      </c>
      <c r="F32" s="81">
        <v>0.4116108773584047153827414300</v>
      </c>
      <c r="G32" s="188"/>
      <c r="H32" s="189" t="s">
        <v>27</v>
      </c>
      <c r="I32" s="240">
        <v>266.92681081328961548162245202</v>
      </c>
      <c r="J32" s="81">
        <v>-9.770617705847443109120183320</v>
      </c>
      <c r="K32" s="188"/>
      <c r="L32" s="189" t="s">
        <v>27</v>
      </c>
      <c r="M32" s="240">
        <v>0</v>
      </c>
      <c r="N32" s="81">
        <v>0</v>
      </c>
      <c r="O32" s="188"/>
      <c r="P32" s="189" t="s">
        <v>27</v>
      </c>
      <c r="Q32" s="240">
        <v>244.56433172181641853316867228</v>
      </c>
      <c r="R32" s="81">
        <v>0.3307269348714584947738678400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77.264883437438296118193678860</v>
      </c>
      <c r="F33" s="73">
        <v>2.746127463161342901821330900</v>
      </c>
      <c r="G33" s="75"/>
      <c r="H33" s="406" t="s">
        <v>92</v>
      </c>
      <c r="I33" s="74">
        <v>61.682014193955830773945322930</v>
      </c>
      <c r="J33" s="73">
        <v>7.5541181372040759877392622100</v>
      </c>
      <c r="K33" s="75"/>
      <c r="L33" s="406" t="s">
        <v>92</v>
      </c>
      <c r="M33" s="74">
        <v>0</v>
      </c>
      <c r="N33" s="73">
        <v>0</v>
      </c>
      <c r="O33" s="75"/>
      <c r="P33" s="406" t="s">
        <v>92</v>
      </c>
      <c r="Q33" s="74">
        <v>76.280958001429805761021747520</v>
      </c>
      <c r="R33" s="73">
        <v>1.949058521765775853983164300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135.73701298701298701298701299</v>
      </c>
      <c r="F35" s="73">
        <v>-6.6849694209829967330264674800</v>
      </c>
      <c r="G35" s="77"/>
      <c r="H35" s="76" t="s">
        <v>32</v>
      </c>
      <c r="I35" s="239">
        <v>10.691287878787878787878787879</v>
      </c>
      <c r="J35" s="73">
        <v>184.03536515006710627652044112</v>
      </c>
      <c r="K35" s="77"/>
      <c r="L35" s="76" t="s">
        <v>32</v>
      </c>
      <c r="M35" s="239">
        <v>0</v>
      </c>
      <c r="N35" s="73">
        <v>0</v>
      </c>
      <c r="O35" s="77"/>
      <c r="P35" s="76" t="s">
        <v>32</v>
      </c>
      <c r="Q35" s="239">
        <v>146.42830086580086580086580087</v>
      </c>
      <c r="R35" s="73">
        <v>-1.8742203591370590066630605500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163.73816330252172953623223939</v>
      </c>
      <c r="F36" s="81">
        <v>-9.776731421428651978646054780</v>
      </c>
      <c r="G36" s="188"/>
      <c r="H36" s="189" t="s">
        <v>27</v>
      </c>
      <c r="I36" s="240">
        <v>4.4598719980140000735555528312</v>
      </c>
      <c r="J36" s="81">
        <v>39.994903917262232825303812060</v>
      </c>
      <c r="K36" s="188"/>
      <c r="L36" s="189" t="s">
        <v>27</v>
      </c>
      <c r="M36" s="240">
        <v>0</v>
      </c>
      <c r="N36" s="81">
        <v>0</v>
      </c>
      <c r="O36" s="188"/>
      <c r="P36" s="189" t="s">
        <v>27</v>
      </c>
      <c r="Q36" s="240">
        <v>168.19803530053572960978779222</v>
      </c>
      <c r="R36" s="81">
        <v>-8.91810705810079791189252600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82.89882471458046237600767165</v>
      </c>
      <c r="F37" s="73">
        <v>3.4267900610390987720673074100</v>
      </c>
      <c r="G37" s="75"/>
      <c r="H37" s="406" t="s">
        <v>93</v>
      </c>
      <c r="I37" s="74">
        <v>239.72185487794976818701934142</v>
      </c>
      <c r="J37" s="73">
        <v>102.88978898917218462983252170</v>
      </c>
      <c r="K37" s="75"/>
      <c r="L37" s="406" t="s">
        <v>93</v>
      </c>
      <c r="M37" s="74">
        <v>0</v>
      </c>
      <c r="N37" s="73">
        <v>0</v>
      </c>
      <c r="O37" s="75"/>
      <c r="P37" s="406" t="s">
        <v>93</v>
      </c>
      <c r="Q37" s="74">
        <v>87.05708161465402110603162959</v>
      </c>
      <c r="R37" s="73">
        <v>7.7335752162132016806917964900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33"/>
</worksheet>
</file>

<file path=xl/worksheets/sheet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123</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168</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179</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180</v>
      </c>
      <c r="T4" s="655"/>
      <c r="U4" s="655"/>
      <c r="V4" s="655"/>
      <c r="W4" s="655"/>
      <c r="X4" s="655"/>
      <c r="Y4" s="655"/>
      <c r="Z4" s="655"/>
      <c r="AA4" s="655"/>
      <c r="AB4" s="655"/>
      <c r="AC4" s="655"/>
      <c r="AD4" s="655"/>
      <c r="AE4" s="655"/>
      <c r="AF4" s="655"/>
      <c r="AG4" s="655"/>
      <c r="AH4" s="655"/>
      <c r="AI4" s="655"/>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167</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6"/>
      <c r="Y22" s="656"/>
      <c r="Z22" s="656"/>
      <c r="AA22" s="656"/>
      <c r="AB22" s="656"/>
      <c r="AC22" s="656"/>
      <c r="AD22" s="656"/>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0" t="s">
        <v>49</v>
      </c>
      <c r="Y23" s="50" t="s">
        <v>47</v>
      </c>
      <c r="Z23" s="50" t="s">
        <v>48</v>
      </c>
      <c r="AA23" s="50" t="s">
        <v>50</v>
      </c>
      <c r="AB23" s="50" t="s">
        <v>51</v>
      </c>
      <c r="AC23" s="50" t="s">
        <v>52</v>
      </c>
      <c r="AD23" s="50" t="s">
        <v>53</v>
      </c>
      <c r="AE23" s="50" t="s">
        <v>49</v>
      </c>
      <c r="AF23" s="50" t="s">
        <v>47</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181</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68.181818181818181818181818180</v>
      </c>
      <c r="D26" s="287">
        <v>66.666666666666666666666666670</v>
      </c>
      <c r="E26" s="287">
        <v>63.636363636363636363636363640</v>
      </c>
      <c r="F26" s="287">
        <v>57.575757575757575757575757580</v>
      </c>
      <c r="G26" s="287">
        <v>82.57575757575757575757575758</v>
      </c>
      <c r="H26" s="287">
        <v>87.12121212121212121212121212</v>
      </c>
      <c r="I26" s="287">
        <v>90.15151515151515151515151515</v>
      </c>
      <c r="J26" s="287"/>
      <c r="K26" s="287"/>
      <c r="L26" s="287"/>
      <c r="M26" s="287"/>
      <c r="N26" s="287"/>
      <c r="O26" s="287"/>
      <c r="P26" s="287"/>
      <c r="Q26" s="287"/>
      <c r="R26" s="287"/>
      <c r="S26" s="287"/>
      <c r="T26" s="287"/>
      <c r="U26" s="287"/>
      <c r="V26" s="287"/>
      <c r="W26" s="287"/>
      <c r="X26" s="287"/>
      <c r="Y26" s="287"/>
      <c r="Z26" s="287"/>
      <c r="AA26" s="287"/>
      <c r="AB26" s="287"/>
      <c r="AC26" s="287"/>
      <c r="AD26" s="287"/>
      <c r="AE26" s="287"/>
      <c r="AF26" s="287"/>
      <c r="AG26" s="288"/>
      <c r="AH26" s="218"/>
      <c r="AI26" s="302">
        <v>73.701298701298701298701298700</v>
      </c>
      <c r="AJ26" s="302">
        <v>67.727272727272727272727272730</v>
      </c>
      <c r="AK26" s="302">
        <v>88.63636363636363636363636364</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63.953488372093023255813953490</v>
      </c>
      <c r="D27" s="202">
        <v>52.398523985239852398523985240</v>
      </c>
      <c r="E27" s="202">
        <v>42.435424354243542435424354240</v>
      </c>
      <c r="F27" s="202">
        <v>40.590405904059040590405904060</v>
      </c>
      <c r="G27" s="202">
        <v>56.088560885608856088560885610</v>
      </c>
      <c r="H27" s="202">
        <v>77.490774907749077490774907750</v>
      </c>
      <c r="I27" s="202">
        <v>80.81180811808118081180811808</v>
      </c>
      <c r="J27" s="202"/>
      <c r="K27" s="202"/>
      <c r="L27" s="202"/>
      <c r="M27" s="202"/>
      <c r="N27" s="202"/>
      <c r="O27" s="202"/>
      <c r="P27" s="202"/>
      <c r="Q27" s="202"/>
      <c r="R27" s="202"/>
      <c r="S27" s="202"/>
      <c r="T27" s="202"/>
      <c r="U27" s="202"/>
      <c r="V27" s="202"/>
      <c r="W27" s="202"/>
      <c r="X27" s="202"/>
      <c r="Y27" s="202"/>
      <c r="Z27" s="202"/>
      <c r="AA27" s="202"/>
      <c r="AB27" s="202"/>
      <c r="AC27" s="202"/>
      <c r="AD27" s="202"/>
      <c r="AE27" s="202"/>
      <c r="AF27" s="202"/>
      <c r="AG27" s="290"/>
      <c r="AH27" s="218"/>
      <c r="AI27" s="303">
        <v>59.109855218153510438758872640</v>
      </c>
      <c r="AJ27" s="303">
        <v>51.093280700248862953745816530</v>
      </c>
      <c r="AK27" s="303">
        <v>79.151291512915129151291512920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106.61157024792225394440270600</v>
      </c>
      <c r="D28" s="292">
        <v>127.23004694845357402631760319</v>
      </c>
      <c r="E28" s="292">
        <v>149.96047430845426774359871435</v>
      </c>
      <c r="F28" s="292">
        <v>141.84573002740507412972716674</v>
      </c>
      <c r="G28" s="292">
        <v>147.22388357259102897045245058</v>
      </c>
      <c r="H28" s="292">
        <v>112.42784992792113215488219998</v>
      </c>
      <c r="I28" s="292">
        <v>111.55735436554756454581469260</v>
      </c>
      <c r="J28" s="292"/>
      <c r="K28" s="292"/>
      <c r="L28" s="292"/>
      <c r="M28" s="292"/>
      <c r="N28" s="292"/>
      <c r="O28" s="292"/>
      <c r="P28" s="292"/>
      <c r="Q28" s="292"/>
      <c r="R28" s="292"/>
      <c r="S28" s="292"/>
      <c r="T28" s="292"/>
      <c r="U28" s="292"/>
      <c r="V28" s="292"/>
      <c r="W28" s="292"/>
      <c r="X28" s="292"/>
      <c r="Y28" s="292"/>
      <c r="Z28" s="292"/>
      <c r="AA28" s="292"/>
      <c r="AB28" s="292"/>
      <c r="AC28" s="292"/>
      <c r="AD28" s="292"/>
      <c r="AE28" s="292"/>
      <c r="AF28" s="292"/>
      <c r="AG28" s="293"/>
      <c r="AH28" s="218"/>
      <c r="AI28" s="304">
        <v>124.68529728119851187441780358</v>
      </c>
      <c r="AJ28" s="304">
        <v>132.55612440445151337467035994</v>
      </c>
      <c r="AK28" s="304">
        <v>111.98347107440157005528906765</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-5.2631578947408310249307477600</v>
      </c>
      <c r="D31" s="287">
        <v>8.641975308706355738454542040</v>
      </c>
      <c r="E31" s="287">
        <v>-13.402061855612966308853187930</v>
      </c>
      <c r="F31" s="287">
        <v>-28.301886792425774296902802170</v>
      </c>
      <c r="G31" s="287">
        <v>-12.800000000027903999999991070</v>
      </c>
      <c r="H31" s="287">
        <v>5.5045871559090985607272393600</v>
      </c>
      <c r="I31" s="287">
        <v>0.8474576271630853203102752600</v>
      </c>
      <c r="J31" s="287"/>
      <c r="K31" s="287"/>
      <c r="L31" s="287"/>
      <c r="M31" s="287"/>
      <c r="N31" s="287"/>
      <c r="O31" s="287"/>
      <c r="P31" s="287"/>
      <c r="Q31" s="287"/>
      <c r="R31" s="287"/>
      <c r="S31" s="287"/>
      <c r="T31" s="287"/>
      <c r="U31" s="287"/>
      <c r="V31" s="287"/>
      <c r="W31" s="287"/>
      <c r="X31" s="287"/>
      <c r="Y31" s="287"/>
      <c r="Z31" s="287"/>
      <c r="AA31" s="287"/>
      <c r="AB31" s="287"/>
      <c r="AC31" s="287"/>
      <c r="AD31" s="287"/>
      <c r="AE31" s="287"/>
      <c r="AF31" s="287"/>
      <c r="AG31" s="288"/>
      <c r="AH31" s="218"/>
      <c r="AI31" s="302">
        <v>-7.2207084468321035867813873800</v>
      </c>
      <c r="AJ31" s="302">
        <v>-11.309523809481575963718800750</v>
      </c>
      <c r="AK31" s="302">
        <v>1.7391304347967637051039717300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-15.057915057894068365110830960</v>
      </c>
      <c r="D32" s="202">
        <v>-22.639089051794881826583538470</v>
      </c>
      <c r="E32" s="202">
        <v>-27.733732782923899726204361880</v>
      </c>
      <c r="F32" s="202">
        <v>-38.758334951731891390936045600</v>
      </c>
      <c r="G32" s="202">
        <v>-22.512188977276605906427752330</v>
      </c>
      <c r="H32" s="202">
        <v>-5.4722462117701875977564360400</v>
      </c>
      <c r="I32" s="202">
        <v>-0.3610681268217284822865558600</v>
      </c>
      <c r="J32" s="202"/>
      <c r="K32" s="202"/>
      <c r="L32" s="202"/>
      <c r="M32" s="202"/>
      <c r="N32" s="202"/>
      <c r="O32" s="202"/>
      <c r="P32" s="202"/>
      <c r="Q32" s="202"/>
      <c r="R32" s="202"/>
      <c r="S32" s="202"/>
      <c r="T32" s="202"/>
      <c r="U32" s="202"/>
      <c r="V32" s="202"/>
      <c r="W32" s="202"/>
      <c r="X32" s="202"/>
      <c r="Y32" s="202"/>
      <c r="Z32" s="202"/>
      <c r="AA32" s="202"/>
      <c r="AB32" s="202"/>
      <c r="AC32" s="202"/>
      <c r="AD32" s="202"/>
      <c r="AE32" s="202"/>
      <c r="AF32" s="202"/>
      <c r="AG32" s="290"/>
      <c r="AH32" s="218"/>
      <c r="AI32" s="303">
        <v>-19.218767670101762546117612470</v>
      </c>
      <c r="AJ32" s="303">
        <v>-24.952653454759970467778174170</v>
      </c>
      <c r="AK32" s="303">
        <v>-7.8577181710928348907287675600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11.531100478451585953234951280</v>
      </c>
      <c r="D33" s="292">
        <v>40.435232699743659312670441930</v>
      </c>
      <c r="E33" s="292">
        <v>19.831757581054397662499422880</v>
      </c>
      <c r="F33" s="292">
        <v>17.074075551324285323304447370</v>
      </c>
      <c r="G33" s="292">
        <v>12.533828029318486515075869970</v>
      </c>
      <c r="H33" s="292">
        <v>11.612286262885788186852722390</v>
      </c>
      <c r="I33" s="292">
        <v>1.2129051679052118394681659900</v>
      </c>
      <c r="J33" s="292"/>
      <c r="K33" s="292"/>
      <c r="L33" s="292"/>
      <c r="M33" s="292"/>
      <c r="N33" s="292"/>
      <c r="O33" s="292"/>
      <c r="P33" s="292"/>
      <c r="Q33" s="292"/>
      <c r="R33" s="292"/>
      <c r="S33" s="292"/>
      <c r="T33" s="292"/>
      <c r="U33" s="292"/>
      <c r="V33" s="292"/>
      <c r="W33" s="292"/>
      <c r="X33" s="292"/>
      <c r="Y33" s="292"/>
      <c r="Z33" s="292"/>
      <c r="AA33" s="292"/>
      <c r="AB33" s="292"/>
      <c r="AC33" s="292"/>
      <c r="AD33" s="292"/>
      <c r="AE33" s="292"/>
      <c r="AF33" s="292"/>
      <c r="AG33" s="293"/>
      <c r="AH33" s="218"/>
      <c r="AI33" s="304">
        <v>14.852533041589841178885512600</v>
      </c>
      <c r="AJ33" s="304">
        <v>18.179363126604121428320745520</v>
      </c>
      <c r="AK33" s="304">
        <v>10.415249563395006698480810590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6"/>
      <c r="Y35" s="656"/>
      <c r="Z35" s="656"/>
      <c r="AA35" s="656"/>
      <c r="AB35" s="656"/>
      <c r="AC35" s="656"/>
      <c r="AD35" s="656"/>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181</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162.56666666666666666666666667</v>
      </c>
      <c r="D38" s="295">
        <v>141.94318181818181818181818182</v>
      </c>
      <c r="E38" s="295">
        <v>143.66666666666666666666666667</v>
      </c>
      <c r="F38" s="295">
        <v>139.72368421052631578947368421</v>
      </c>
      <c r="G38" s="295">
        <v>140.22935779816513761467889908</v>
      </c>
      <c r="H38" s="295">
        <v>187.02608695652173913043478261</v>
      </c>
      <c r="I38" s="295">
        <v>197.89915966386554621848739496</v>
      </c>
      <c r="J38" s="295"/>
      <c r="K38" s="295"/>
      <c r="L38" s="295"/>
      <c r="M38" s="295"/>
      <c r="N38" s="295"/>
      <c r="O38" s="295"/>
      <c r="P38" s="295"/>
      <c r="Q38" s="295"/>
      <c r="R38" s="295"/>
      <c r="S38" s="295"/>
      <c r="T38" s="295"/>
      <c r="U38" s="295"/>
      <c r="V38" s="295"/>
      <c r="W38" s="295"/>
      <c r="X38" s="295"/>
      <c r="Y38" s="295"/>
      <c r="Z38" s="295"/>
      <c r="AA38" s="295"/>
      <c r="AB38" s="295"/>
      <c r="AC38" s="295"/>
      <c r="AD38" s="295"/>
      <c r="AE38" s="295"/>
      <c r="AF38" s="295"/>
      <c r="AG38" s="296"/>
      <c r="AH38" s="218"/>
      <c r="AI38" s="305">
        <v>161.75036710719530102790014684</v>
      </c>
      <c r="AJ38" s="305">
        <v>145.62416107382550335570469799</v>
      </c>
      <c r="AK38" s="305">
        <v>192.55555555555555555555555556</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196.6681818181818181818181818</v>
      </c>
      <c r="D39" s="207">
        <v>212.48591549295774647887323943</v>
      </c>
      <c r="E39" s="207">
        <v>211.76521739130434782608695654</v>
      </c>
      <c r="F39" s="207">
        <v>215.38181818181818181818181817</v>
      </c>
      <c r="G39" s="207">
        <v>215.38815789473684210526315789</v>
      </c>
      <c r="H39" s="207">
        <v>245.23809523809523809523809523</v>
      </c>
      <c r="I39" s="207">
        <v>254.79452054794520547945205479</v>
      </c>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98"/>
      <c r="AH39" s="218"/>
      <c r="AI39" s="306">
        <v>225.04164808727302894237449835</v>
      </c>
      <c r="AJ39" s="306">
        <v>209.50370765380674851777826298</v>
      </c>
      <c r="AK39" s="306">
        <v>250.11655011655011655011655011</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82.66038012033041406028116914</v>
      </c>
      <c r="D40" s="292">
        <v>66.801219030848142739125479500</v>
      </c>
      <c r="E40" s="292">
        <v>67.842428721993207731327871860</v>
      </c>
      <c r="F40" s="292">
        <v>64.872553027009928194760448510</v>
      </c>
      <c r="G40" s="292">
        <v>65.105416736383966586543358570</v>
      </c>
      <c r="H40" s="292">
        <v>76.263064584211267158729052880</v>
      </c>
      <c r="I40" s="292">
        <v>77.670100298197569823975378240</v>
      </c>
      <c r="J40" s="292"/>
      <c r="K40" s="292"/>
      <c r="L40" s="292"/>
      <c r="M40" s="292"/>
      <c r="N40" s="292"/>
      <c r="O40" s="292"/>
      <c r="P40" s="292"/>
      <c r="Q40" s="292"/>
      <c r="R40" s="292"/>
      <c r="S40" s="292"/>
      <c r="T40" s="292"/>
      <c r="U40" s="292"/>
      <c r="V40" s="292"/>
      <c r="W40" s="292"/>
      <c r="X40" s="292"/>
      <c r="Y40" s="292"/>
      <c r="Z40" s="292"/>
      <c r="AA40" s="292"/>
      <c r="AB40" s="292"/>
      <c r="AC40" s="292"/>
      <c r="AD40" s="292"/>
      <c r="AE40" s="292"/>
      <c r="AF40" s="292"/>
      <c r="AG40" s="293"/>
      <c r="AH40" s="218"/>
      <c r="AI40" s="304">
        <v>71.875747659138975609293361170</v>
      </c>
      <c r="AJ40" s="304">
        <v>69.509109268111874965911347560</v>
      </c>
      <c r="AK40" s="304">
        <v>76.986331158729597631374990870</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9.795487937844278227009511470</v>
      </c>
      <c r="D43" s="287">
        <v>4.64546943912155473457907400</v>
      </c>
      <c r="E43" s="287">
        <v>2.5510829837527001178554827300</v>
      </c>
      <c r="F43" s="287">
        <v>-0.997924289334281620770125700</v>
      </c>
      <c r="G43" s="287">
        <v>-9.557454595889571220087392880</v>
      </c>
      <c r="H43" s="287">
        <v>-10.162861456619011699865989600</v>
      </c>
      <c r="I43" s="287">
        <v>4.1063743940709389964496954500</v>
      </c>
      <c r="J43" s="287"/>
      <c r="K43" s="287"/>
      <c r="L43" s="287"/>
      <c r="M43" s="287"/>
      <c r="N43" s="287"/>
      <c r="O43" s="287"/>
      <c r="P43" s="287"/>
      <c r="Q43" s="287"/>
      <c r="R43" s="287"/>
      <c r="S43" s="287"/>
      <c r="T43" s="287"/>
      <c r="U43" s="287"/>
      <c r="V43" s="287"/>
      <c r="W43" s="287"/>
      <c r="X43" s="287"/>
      <c r="Y43" s="287"/>
      <c r="Z43" s="287"/>
      <c r="AA43" s="287"/>
      <c r="AB43" s="287"/>
      <c r="AC43" s="287"/>
      <c r="AD43" s="287"/>
      <c r="AE43" s="287"/>
      <c r="AF43" s="287"/>
      <c r="AG43" s="288"/>
      <c r="AH43" s="218"/>
      <c r="AI43" s="302">
        <v>-6.1486530305921049566798047500</v>
      </c>
      <c r="AJ43" s="302">
        <v>0.5639356853351691194007300600</v>
      </c>
      <c r="AK43" s="302">
        <v>-17.250041521337331321875677020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-5.9021298106488084234800402400</v>
      </c>
      <c r="D44" s="202">
        <v>9.337731741474278781260650830</v>
      </c>
      <c r="E44" s="202">
        <v>15.662378090637563103136312310</v>
      </c>
      <c r="F44" s="202">
        <v>25.404260950112478496757972730</v>
      </c>
      <c r="G44" s="202">
        <v>10.487322708205260776459815690</v>
      </c>
      <c r="H44" s="202">
        <v>4.8137234311883356883254634200</v>
      </c>
      <c r="I44" s="202">
        <v>5.8182932655512124969631141400</v>
      </c>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90"/>
      <c r="AH44" s="218"/>
      <c r="AI44" s="303">
        <v>5.3490751427685432646159008400</v>
      </c>
      <c r="AJ44" s="303">
        <v>9.474397989554443253014603670</v>
      </c>
      <c r="AK44" s="303">
        <v>-2.9378361980668757645609323800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16.682224280875411906169809900</v>
      </c>
      <c r="D45" s="292">
        <v>-4.2915306799731204264838739900</v>
      </c>
      <c r="E45" s="292">
        <v>-11.335833936036343131443688060</v>
      </c>
      <c r="F45" s="292">
        <v>-21.053658814665323806853945090</v>
      </c>
      <c r="G45" s="292">
        <v>-18.142151346197711766688670050</v>
      </c>
      <c r="H45" s="292">
        <v>-14.288763338987586492348861640</v>
      </c>
      <c r="I45" s="292">
        <v>-1.6177910441174385342585536400</v>
      </c>
      <c r="J45" s="292"/>
      <c r="K45" s="292"/>
      <c r="L45" s="292"/>
      <c r="M45" s="292"/>
      <c r="N45" s="292"/>
      <c r="O45" s="292"/>
      <c r="P45" s="292"/>
      <c r="Q45" s="292"/>
      <c r="R45" s="292"/>
      <c r="S45" s="292"/>
      <c r="T45" s="292"/>
      <c r="U45" s="292"/>
      <c r="V45" s="292"/>
      <c r="W45" s="292"/>
      <c r="X45" s="292"/>
      <c r="Y45" s="292"/>
      <c r="Z45" s="292"/>
      <c r="AA45" s="292"/>
      <c r="AB45" s="292"/>
      <c r="AC45" s="292"/>
      <c r="AD45" s="292"/>
      <c r="AE45" s="292"/>
      <c r="AF45" s="292"/>
      <c r="AG45" s="293"/>
      <c r="AH45" s="218"/>
      <c r="AI45" s="304">
        <v>-10.913933660795485493419866490</v>
      </c>
      <c r="AJ45" s="304">
        <v>-8.139311535796383725302884130</v>
      </c>
      <c r="AK45" s="304">
        <v>-14.745401053010998216980963310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6"/>
      <c r="Y47" s="656"/>
      <c r="Z47" s="656"/>
      <c r="AA47" s="656"/>
      <c r="AB47" s="656"/>
      <c r="AC47" s="656"/>
      <c r="AD47" s="656"/>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181</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110.84090909090909090909090909</v>
      </c>
      <c r="D50" s="295">
        <v>94.62878787878787878787878788</v>
      </c>
      <c r="E50" s="295">
        <v>91.42424242424242424242424242</v>
      </c>
      <c r="F50" s="295">
        <v>80.4469696969696969696969697</v>
      </c>
      <c r="G50" s="295">
        <v>115.79545454545454545454545455</v>
      </c>
      <c r="H50" s="295">
        <v>162.93939393939393939393939394</v>
      </c>
      <c r="I50" s="295">
        <v>178.40909090909090909090909091</v>
      </c>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6"/>
      <c r="AH50" s="218"/>
      <c r="AI50" s="305">
        <v>119.21212121212121212121212121</v>
      </c>
      <c r="AJ50" s="305">
        <v>98.62727272727272727272727273</v>
      </c>
      <c r="AK50" s="305">
        <v>170.67424242424242424242424242</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125.77616279069767441860465116</v>
      </c>
      <c r="D51" s="207">
        <v>111.33948339483394833948339483</v>
      </c>
      <c r="E51" s="207">
        <v>89.86346863468634686346863469</v>
      </c>
      <c r="F51" s="207">
        <v>87.42435424354243542435424354</v>
      </c>
      <c r="G51" s="207">
        <v>120.80811808118081180811808118</v>
      </c>
      <c r="H51" s="207">
        <v>190.036900369003690036900369</v>
      </c>
      <c r="I51" s="207">
        <v>205.90405904059040590405904059</v>
      </c>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98"/>
      <c r="AH51" s="218"/>
      <c r="AI51" s="306">
        <v>133.02179236493361611356977357</v>
      </c>
      <c r="AJ51" s="306">
        <v>107.04231742898824337080580108</v>
      </c>
      <c r="AK51" s="306">
        <v>197.9704797047970479704797048</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88.12552921920175253309339476</v>
      </c>
      <c r="D52" s="292">
        <v>84.99122233506556969466071504</v>
      </c>
      <c r="E52" s="292">
        <v>101.73682789375408658918778300</v>
      </c>
      <c r="F52" s="292">
        <v>92.01894642870745423614376222</v>
      </c>
      <c r="G52" s="292">
        <v>95.85072293537737127153907743</v>
      </c>
      <c r="H52" s="292">
        <v>85.74092380111964074756424651</v>
      </c>
      <c r="I52" s="292">
        <v>86.64670902573724650394568901</v>
      </c>
      <c r="J52" s="292"/>
      <c r="K52" s="292"/>
      <c r="L52" s="292"/>
      <c r="M52" s="292"/>
      <c r="N52" s="292"/>
      <c r="O52" s="292"/>
      <c r="P52" s="292"/>
      <c r="Q52" s="292"/>
      <c r="R52" s="292"/>
      <c r="S52" s="292"/>
      <c r="T52" s="292"/>
      <c r="U52" s="292"/>
      <c r="V52" s="292"/>
      <c r="W52" s="292"/>
      <c r="X52" s="292"/>
      <c r="Y52" s="292"/>
      <c r="Z52" s="292"/>
      <c r="AA52" s="292"/>
      <c r="AB52" s="292"/>
      <c r="AC52" s="292"/>
      <c r="AD52" s="292"/>
      <c r="AE52" s="292"/>
      <c r="AF52" s="292"/>
      <c r="AG52" s="293"/>
      <c r="AH52" s="218"/>
      <c r="AI52" s="304">
        <v>89.61848964198538493422750731</v>
      </c>
      <c r="AJ52" s="304">
        <v>92.13858135376330957511193882</v>
      </c>
      <c r="AK52" s="304">
        <v>86.21196588437839193657016714</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4.016778046358823647265540100</v>
      </c>
      <c r="D55" s="287">
        <v>13.688905069693966414166382220</v>
      </c>
      <c r="E55" s="287">
        <v>-11.192876591386800242375042520</v>
      </c>
      <c r="F55" s="287">
        <v>-29.017379679123507785467121880</v>
      </c>
      <c r="G55" s="287">
        <v>-21.134100407638493836113576410</v>
      </c>
      <c r="H55" s="287">
        <v>-5.217697867094735535103097400</v>
      </c>
      <c r="I55" s="287">
        <v>4.988631804210778508150778200</v>
      </c>
      <c r="J55" s="287"/>
      <c r="K55" s="287"/>
      <c r="L55" s="287"/>
      <c r="M55" s="287"/>
      <c r="N55" s="287"/>
      <c r="O55" s="287"/>
      <c r="P55" s="287"/>
      <c r="Q55" s="287"/>
      <c r="R55" s="287"/>
      <c r="S55" s="287"/>
      <c r="T55" s="287"/>
      <c r="U55" s="287"/>
      <c r="V55" s="287"/>
      <c r="W55" s="287"/>
      <c r="X55" s="287"/>
      <c r="Y55" s="287"/>
      <c r="Z55" s="287"/>
      <c r="AA55" s="287"/>
      <c r="AB55" s="287"/>
      <c r="AC55" s="287"/>
      <c r="AD55" s="287"/>
      <c r="AE55" s="287"/>
      <c r="AF55" s="287"/>
      <c r="AG55" s="288"/>
      <c r="AH55" s="218"/>
      <c r="AI55" s="302">
        <v>-12.925385168725669771320441460</v>
      </c>
      <c r="AJ55" s="302">
        <v>-10.809366564814019959896546150</v>
      </c>
      <c r="AK55" s="302">
        <v>-15.810911808680982089592255180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-20.071307175064203919831883870</v>
      </c>
      <c r="D56" s="202">
        <v>-15.415334714737980958523713390</v>
      </c>
      <c r="E56" s="202">
        <v>-16.415116779349403714104590400</v>
      </c>
      <c r="F56" s="202">
        <v>-23.200342552737090814624390430</v>
      </c>
      <c r="G56" s="202">
        <v>-14.385792175817405972411936640</v>
      </c>
      <c r="H56" s="202">
        <v>-0.921941578710925889818247300</v>
      </c>
      <c r="I56" s="202">
        <v>5.4362171362387371706758376200</v>
      </c>
      <c r="J56" s="202"/>
      <c r="K56" s="202"/>
      <c r="L56" s="202"/>
      <c r="M56" s="202"/>
      <c r="N56" s="202"/>
      <c r="O56" s="202"/>
      <c r="P56" s="202"/>
      <c r="Q56" s="202"/>
      <c r="R56" s="202"/>
      <c r="S56" s="202"/>
      <c r="T56" s="202"/>
      <c r="U56" s="202"/>
      <c r="V56" s="202"/>
      <c r="W56" s="202"/>
      <c r="X56" s="202"/>
      <c r="Y56" s="202"/>
      <c r="Z56" s="202"/>
      <c r="AA56" s="202"/>
      <c r="AB56" s="202"/>
      <c r="AC56" s="202"/>
      <c r="AD56" s="202"/>
      <c r="AE56" s="202"/>
      <c r="AF56" s="202"/>
      <c r="AG56" s="290"/>
      <c r="AH56" s="218"/>
      <c r="AI56" s="303">
        <v>-14.897718851529852677471289230</v>
      </c>
      <c r="AJ56" s="303">
        <v>-17.842369162541067959417574720</v>
      </c>
      <c r="AK56" s="303">
        <v>-10.564707480398000191207068750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30.136968803211904923806104490</v>
      </c>
      <c r="D57" s="292">
        <v>34.408411603087486067252119480</v>
      </c>
      <c r="E57" s="292">
        <v>6.2478285388032664370647088100</v>
      </c>
      <c r="F57" s="292">
        <v>-7.5743008754883120217810238900</v>
      </c>
      <c r="G57" s="292">
        <v>-7.8822293674549499215183728700</v>
      </c>
      <c r="H57" s="292">
        <v>-4.3357291784488088882212661300</v>
      </c>
      <c r="I57" s="292">
        <v>-0.4245081474183630337362056500</v>
      </c>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3"/>
      <c r="AH57" s="218"/>
      <c r="AI57" s="304">
        <v>2.3176037777492332652208481900</v>
      </c>
      <c r="AJ57" s="304">
        <v>8.560376590743749034200352490</v>
      </c>
      <c r="AK57" s="304">
        <v>-5.8659218083942324343560508200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7" t="s">
        <v>82</v>
      </c>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0" t="s">
        <v>114</v>
      </c>
      <c r="C62" s="650"/>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c r="AC62" s="650"/>
      <c r="AD62" s="650"/>
      <c r="AE62" s="650"/>
      <c r="AF62" s="650"/>
      <c r="AG62" s="650"/>
      <c r="AH62" s="650"/>
      <c r="AI62" s="650"/>
      <c r="AJ62" s="650"/>
      <c r="AK62" s="650"/>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7"/>
</worksheet>
</file>

<file path=xl/worksheets/sheet3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180</v>
      </c>
      <c r="B4" s="442"/>
      <c r="C4" s="211"/>
      <c r="D4" s="212"/>
      <c r="E4" s="212"/>
      <c r="F4" s="212"/>
      <c r="G4" s="212"/>
      <c r="H4" s="212"/>
      <c r="I4" s="212"/>
      <c r="J4" s="212"/>
      <c r="K4" s="212"/>
      <c r="L4" s="212"/>
      <c r="M4" s="212"/>
      <c r="N4" s="212"/>
      <c r="O4" s="212"/>
      <c r="P4" s="212"/>
      <c r="Q4" s="212"/>
      <c r="R4" s="659" t="s">
        <v>182</v>
      </c>
      <c r="S4" s="659"/>
      <c r="T4" s="659"/>
      <c r="U4" s="659"/>
      <c r="V4" s="659"/>
      <c r="W4" s="659"/>
      <c r="X4" s="659"/>
      <c r="Y4" s="659"/>
      <c r="Z4" s="659"/>
      <c r="AA4" s="659"/>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183</v>
      </c>
      <c r="G9" s="339" t="s">
        <v>63</v>
      </c>
      <c r="H9" s="340" t="s">
        <v>26</v>
      </c>
      <c r="I9" s="341" t="s">
        <v>183</v>
      </c>
      <c r="J9" s="340" t="s">
        <v>63</v>
      </c>
      <c r="K9" s="340" t="s">
        <v>26</v>
      </c>
      <c r="L9" s="341" t="s">
        <v>183</v>
      </c>
      <c r="M9" s="339" t="s">
        <v>63</v>
      </c>
      <c r="N9" s="340" t="s">
        <v>26</v>
      </c>
      <c r="O9" s="341" t="s">
        <v>183</v>
      </c>
      <c r="P9" s="96"/>
      <c r="Q9" s="339" t="s">
        <v>63</v>
      </c>
      <c r="R9" s="340" t="s">
        <v>26</v>
      </c>
      <c r="S9" s="341" t="s">
        <v>183</v>
      </c>
      <c r="T9" s="339" t="s">
        <v>63</v>
      </c>
      <c r="U9" s="340" t="s">
        <v>26</v>
      </c>
      <c r="V9" s="341" t="s">
        <v>183</v>
      </c>
      <c r="W9" s="340"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184</v>
      </c>
      <c r="B10" s="342">
        <v>11</v>
      </c>
      <c r="C10" s="350" t="s">
        <v>49</v>
      </c>
      <c r="D10" s="354">
        <v>57.575757575757575757575757580</v>
      </c>
      <c r="E10" s="355">
        <v>57.267441860465116279069767440</v>
      </c>
      <c r="F10" s="356">
        <v>41.469699547137146969889562030</v>
      </c>
      <c r="G10" s="354">
        <v>0.7575757575757575757575757600</v>
      </c>
      <c r="H10" s="355">
        <v>0</v>
      </c>
      <c r="I10" s="356">
        <v>5.1794808413975375399127371400</v>
      </c>
      <c r="J10" s="355">
        <v>0</v>
      </c>
      <c r="K10" s="355">
        <v>0</v>
      </c>
      <c r="L10" s="356">
        <v>7.526609414405571980657506900</v>
      </c>
      <c r="M10" s="354">
        <v>58.333333333333333333333333330</v>
      </c>
      <c r="N10" s="355">
        <v>57.267441860465116279069767440</v>
      </c>
      <c r="O10" s="356">
        <v>54.175789802940256490459806070</v>
      </c>
      <c r="P10" s="4"/>
      <c r="Q10" s="354">
        <v>-17.391304347862003780718320860</v>
      </c>
      <c r="R10" s="355">
        <v>-20.282198871922837640659507060</v>
      </c>
      <c r="S10" s="356">
        <v>-11.561318245049873083055459680</v>
      </c>
      <c r="T10" s="354">
        <v>0</v>
      </c>
      <c r="U10" s="355">
        <v>-100</v>
      </c>
      <c r="V10" s="356">
        <v>-29.645906791525105278062465880</v>
      </c>
      <c r="W10" s="355">
        <v>0</v>
      </c>
      <c r="X10" s="355">
        <v>0</v>
      </c>
      <c r="Y10" s="356">
        <v>14.797067939234109571176433330</v>
      </c>
      <c r="Z10" s="354">
        <v>-16.304347826123345935727772460</v>
      </c>
      <c r="AA10" s="355">
        <v>-20.546165100838404648459911270</v>
      </c>
      <c r="AB10" s="356">
        <v>-10.908815017594091856842092070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12</v>
      </c>
      <c r="C11" s="351" t="s">
        <v>47</v>
      </c>
      <c r="D11" s="327">
        <v>55.303030303030303030303030300</v>
      </c>
      <c r="E11" s="171">
        <v>51.453488372093023255813953490</v>
      </c>
      <c r="F11" s="328">
        <v>42.471850027277160359615724130</v>
      </c>
      <c r="G11" s="327">
        <v>8.333333333333333333333333330</v>
      </c>
      <c r="H11" s="171">
        <v>0</v>
      </c>
      <c r="I11" s="328">
        <v>11.984409158540759911600428490</v>
      </c>
      <c r="J11" s="171">
        <v>0</v>
      </c>
      <c r="K11" s="171">
        <v>0</v>
      </c>
      <c r="L11" s="328">
        <v>7.2578477894714134791748389300</v>
      </c>
      <c r="M11" s="327">
        <v>63.636363636363636363636363640</v>
      </c>
      <c r="N11" s="171">
        <v>51.453488372093023255813953490</v>
      </c>
      <c r="O11" s="328">
        <v>61.714106975289333750390991550</v>
      </c>
      <c r="P11" s="4"/>
      <c r="Q11" s="327">
        <v>-30.476190476230204081632630360</v>
      </c>
      <c r="R11" s="171">
        <v>-13.763953488345532320930224370</v>
      </c>
      <c r="S11" s="328">
        <v>-7.8510830760528810747916154300</v>
      </c>
      <c r="T11" s="327">
        <v>0</v>
      </c>
      <c r="U11" s="171">
        <v>0</v>
      </c>
      <c r="V11" s="328">
        <v>-9.299129316264998911755533960</v>
      </c>
      <c r="W11" s="171">
        <v>0</v>
      </c>
      <c r="X11" s="171">
        <v>0</v>
      </c>
      <c r="Y11" s="328">
        <v>19.063131610506633673742390830</v>
      </c>
      <c r="Z11" s="327">
        <v>-20.000000000045714285714259590</v>
      </c>
      <c r="AA11" s="171">
        <v>-13.763953488345532320930224370</v>
      </c>
      <c r="AB11" s="328">
        <v>-5.6350000818026742360452259200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13</v>
      </c>
      <c r="C12" s="352" t="s">
        <v>48</v>
      </c>
      <c r="D12" s="359">
        <v>61.363636363636363636363636360</v>
      </c>
      <c r="E12" s="170">
        <v>53.779069767441860465116279080</v>
      </c>
      <c r="F12" s="360">
        <v>46.33077375199074072389377700</v>
      </c>
      <c r="G12" s="359">
        <v>8.333333333333333333333333330</v>
      </c>
      <c r="H12" s="170">
        <v>1.4534883720930232558139534900</v>
      </c>
      <c r="I12" s="360">
        <v>14.446746971926256207280636610</v>
      </c>
      <c r="J12" s="170">
        <v>0</v>
      </c>
      <c r="K12" s="170">
        <v>0</v>
      </c>
      <c r="L12" s="360">
        <v>6.8692314395696050915552287700</v>
      </c>
      <c r="M12" s="359">
        <v>69.696969696969696969696969700</v>
      </c>
      <c r="N12" s="170">
        <v>55.232558139534883720930232560</v>
      </c>
      <c r="O12" s="360">
        <v>67.646752163486602022729642370</v>
      </c>
      <c r="P12" s="4"/>
      <c r="Q12" s="359">
        <v>-25.688073394533591448531248800</v>
      </c>
      <c r="R12" s="170">
        <v>-9.866279069739680674418596080</v>
      </c>
      <c r="S12" s="360">
        <v>-6.3205923909077693137909612700</v>
      </c>
      <c r="T12" s="359">
        <v>0</v>
      </c>
      <c r="U12" s="170">
        <v>0</v>
      </c>
      <c r="V12" s="360">
        <v>-13.565951705547738140432605050</v>
      </c>
      <c r="W12" s="170">
        <v>0</v>
      </c>
      <c r="X12" s="170">
        <v>0</v>
      </c>
      <c r="Y12" s="360">
        <v>11.489047776847411198084320710</v>
      </c>
      <c r="Z12" s="359">
        <v>-15.596330275272721151418208510</v>
      </c>
      <c r="AA12" s="170">
        <v>-7.4302325581110233953488284200</v>
      </c>
      <c r="AB12" s="360">
        <v>-6.4777675478208307322070406200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14</v>
      </c>
      <c r="C13" s="351" t="s">
        <v>50</v>
      </c>
      <c r="D13" s="327">
        <v>62.878787878787878787878787880</v>
      </c>
      <c r="E13" s="171">
        <v>60.755813953488372093023255810</v>
      </c>
      <c r="F13" s="328">
        <v>48.449191398535969657281373030</v>
      </c>
      <c r="G13" s="327">
        <v>8.333333333333333333333333330</v>
      </c>
      <c r="H13" s="171">
        <v>1.7441860465116279069767441900</v>
      </c>
      <c r="I13" s="328">
        <v>19.448461763598249326589019220</v>
      </c>
      <c r="J13" s="171">
        <v>0</v>
      </c>
      <c r="K13" s="171">
        <v>0</v>
      </c>
      <c r="L13" s="328">
        <v>7.089313786046366982139408600</v>
      </c>
      <c r="M13" s="327">
        <v>71.212121212121212121212121210</v>
      </c>
      <c r="N13" s="171">
        <v>62.500</v>
      </c>
      <c r="O13" s="328">
        <v>74.986966948180585966009800850</v>
      </c>
      <c r="P13" s="4"/>
      <c r="Q13" s="327">
        <v>-23.853211009213433212692514200</v>
      </c>
      <c r="R13" s="171">
        <v>-6.4092424760175251437142720200</v>
      </c>
      <c r="S13" s="328">
        <v>-7.0136461600472165121612550800</v>
      </c>
      <c r="T13" s="327">
        <v>0</v>
      </c>
      <c r="U13" s="171">
        <v>0</v>
      </c>
      <c r="V13" s="328">
        <v>8.502616132944782741104043590</v>
      </c>
      <c r="W13" s="171">
        <v>0</v>
      </c>
      <c r="X13" s="171">
        <v>0</v>
      </c>
      <c r="Y13" s="328">
        <v>9.781540197988557461630650880</v>
      </c>
      <c r="Z13" s="327">
        <v>-13.761467889952562915579473920</v>
      </c>
      <c r="AA13" s="171">
        <v>-3.7224264705443440473615716900</v>
      </c>
      <c r="AB13" s="328">
        <v>-1.9593957611572482970206926400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15</v>
      </c>
      <c r="C14" s="352" t="s">
        <v>51</v>
      </c>
      <c r="D14" s="359">
        <v>72.727272727272727272727272730</v>
      </c>
      <c r="E14" s="170">
        <v>70.348837209302325581395348840</v>
      </c>
      <c r="F14" s="360">
        <v>52.300314693014435849691206980</v>
      </c>
      <c r="G14" s="359">
        <v>8.333333333333333333333333330</v>
      </c>
      <c r="H14" s="170">
        <v>1.4534883720930232558139534900</v>
      </c>
      <c r="I14" s="360">
        <v>17.444486037234853022108664090</v>
      </c>
      <c r="J14" s="170">
        <v>0</v>
      </c>
      <c r="K14" s="170">
        <v>0</v>
      </c>
      <c r="L14" s="360">
        <v>7.7445121672587916203281656300</v>
      </c>
      <c r="M14" s="359">
        <v>81.06060606060606060606060606</v>
      </c>
      <c r="N14" s="170">
        <v>71.802325581395348837209302330</v>
      </c>
      <c r="O14" s="360">
        <v>77.489312897508080492128036700</v>
      </c>
      <c r="P14" s="4"/>
      <c r="Q14" s="359">
        <v>-6.7961165048507493637477611900</v>
      </c>
      <c r="R14" s="170">
        <v>-9.304114490121374663547526370</v>
      </c>
      <c r="S14" s="360">
        <v>-6.2179064237023494209102538200</v>
      </c>
      <c r="T14" s="359">
        <v>0</v>
      </c>
      <c r="U14" s="170">
        <v>0</v>
      </c>
      <c r="V14" s="360">
        <v>6.248050443310466128283193200</v>
      </c>
      <c r="W14" s="170">
        <v>0</v>
      </c>
      <c r="X14" s="170">
        <v>0</v>
      </c>
      <c r="Y14" s="360">
        <v>28.327482227106544536618758440</v>
      </c>
      <c r="Z14" s="359">
        <v>3.8834951456351022716561411700</v>
      </c>
      <c r="AA14" s="170">
        <v>-7.4302325580990890161001612100</v>
      </c>
      <c r="AB14" s="360">
        <v>-0.9360588009075025433278821200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16</v>
      </c>
      <c r="C15" s="351" t="s">
        <v>52</v>
      </c>
      <c r="D15" s="327">
        <v>86.36363636363636363636363636</v>
      </c>
      <c r="E15" s="171">
        <v>79.65116279069767441860465116</v>
      </c>
      <c r="F15" s="328">
        <v>63.359216450065446410854783310</v>
      </c>
      <c r="G15" s="327">
        <v>0</v>
      </c>
      <c r="H15" s="171">
        <v>0</v>
      </c>
      <c r="I15" s="328">
        <v>15.523008030266034370659421910</v>
      </c>
      <c r="J15" s="171">
        <v>0</v>
      </c>
      <c r="K15" s="171">
        <v>0</v>
      </c>
      <c r="L15" s="328">
        <v>7.7615040151330171853297109600</v>
      </c>
      <c r="M15" s="327">
        <v>86.36363636363636363636363636</v>
      </c>
      <c r="N15" s="171">
        <v>79.65116279069767441860465116</v>
      </c>
      <c r="O15" s="328">
        <v>86.64372849546449796684391617</v>
      </c>
      <c r="P15" s="4"/>
      <c r="Q15" s="327">
        <v>2.7027027027138056975894825700</v>
      </c>
      <c r="R15" s="171">
        <v>-4.9178427085487805284350032800</v>
      </c>
      <c r="S15" s="328">
        <v>-4.6921575641591356142025429500</v>
      </c>
      <c r="T15" s="327">
        <v>0</v>
      </c>
      <c r="U15" s="171">
        <v>0</v>
      </c>
      <c r="V15" s="328">
        <v>30.954940616962109417750668770</v>
      </c>
      <c r="W15" s="171">
        <v>0</v>
      </c>
      <c r="X15" s="171">
        <v>0</v>
      </c>
      <c r="Y15" s="328">
        <v>22.569229506613686535176508860</v>
      </c>
      <c r="Z15" s="327">
        <v>2.7027027027138056975894825700</v>
      </c>
      <c r="AA15" s="171">
        <v>-4.9178427085487805284350032800</v>
      </c>
      <c r="AB15" s="328">
        <v>2.3376868644712857428082358400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17</v>
      </c>
      <c r="C16" s="352" t="s">
        <v>53</v>
      </c>
      <c r="D16" s="359">
        <v>96.21212121212121212121212121</v>
      </c>
      <c r="E16" s="170">
        <v>89.82558139534883720930232558</v>
      </c>
      <c r="F16" s="360">
        <v>68.448244596397730467249755500</v>
      </c>
      <c r="G16" s="359">
        <v>0</v>
      </c>
      <c r="H16" s="170">
        <v>0.290697674418604651162790700</v>
      </c>
      <c r="I16" s="360">
        <v>10.691257230869129682495060640</v>
      </c>
      <c r="J16" s="170">
        <v>0</v>
      </c>
      <c r="K16" s="170">
        <v>0</v>
      </c>
      <c r="L16" s="360">
        <v>7.7544612631303872697109236100</v>
      </c>
      <c r="M16" s="359">
        <v>96.21212121212121212121212121</v>
      </c>
      <c r="N16" s="170">
        <v>90.11627906976744186046511628</v>
      </c>
      <c r="O16" s="360">
        <v>86.89396309039724741945573976</v>
      </c>
      <c r="P16" s="4"/>
      <c r="Q16" s="359">
        <v>16.513761467830047975759646950</v>
      </c>
      <c r="R16" s="170">
        <v>9.409647106523404545452762780</v>
      </c>
      <c r="S16" s="360">
        <v>3.3477912182642174490761613100</v>
      </c>
      <c r="T16" s="359">
        <v>0</v>
      </c>
      <c r="U16" s="170">
        <v>0</v>
      </c>
      <c r="V16" s="360">
        <v>19.301048851352104627126577940</v>
      </c>
      <c r="W16" s="170">
        <v>0</v>
      </c>
      <c r="X16" s="170">
        <v>0</v>
      </c>
      <c r="Y16" s="360">
        <v>18.316642362469936544203815690</v>
      </c>
      <c r="Z16" s="359">
        <v>16.513761467830047975759646950</v>
      </c>
      <c r="AA16" s="170">
        <v>9.763723634376231097379794380</v>
      </c>
      <c r="AB16" s="360">
        <v>6.2968099816603067266442621300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18</v>
      </c>
      <c r="C17" s="351" t="s">
        <v>49</v>
      </c>
      <c r="D17" s="327">
        <v>76.515151515151515151515151520</v>
      </c>
      <c r="E17" s="171">
        <v>78.779069767441860465116279070</v>
      </c>
      <c r="F17" s="328">
        <v>51.360785886514525845653562190</v>
      </c>
      <c r="G17" s="327">
        <v>12.878787878787878787878787880</v>
      </c>
      <c r="H17" s="171">
        <v>0.290697674418604651162790700</v>
      </c>
      <c r="I17" s="328">
        <v>10.627922375464645418302709930</v>
      </c>
      <c r="J17" s="171">
        <v>0</v>
      </c>
      <c r="K17" s="171">
        <v>0</v>
      </c>
      <c r="L17" s="328">
        <v>7.4305389489477393814404539800</v>
      </c>
      <c r="M17" s="327">
        <v>89.39393939393939393939393939</v>
      </c>
      <c r="N17" s="171">
        <v>79.069767441860465116279069770</v>
      </c>
      <c r="O17" s="328">
        <v>69.419247210926910645396726100</v>
      </c>
      <c r="P17" s="4"/>
      <c r="Q17" s="327">
        <v>-7.3394495413320090901439028200</v>
      </c>
      <c r="R17" s="171">
        <v>-2.5179856115444542207960134300</v>
      </c>
      <c r="S17" s="328">
        <v>-0.4762172209186849643307450600</v>
      </c>
      <c r="T17" s="327">
        <v>0</v>
      </c>
      <c r="U17" s="171">
        <v>0</v>
      </c>
      <c r="V17" s="328">
        <v>37.136886371000976146566863740</v>
      </c>
      <c r="W17" s="171">
        <v>0</v>
      </c>
      <c r="X17" s="171">
        <v>0</v>
      </c>
      <c r="Y17" s="328">
        <v>26.990441605566510795185583640</v>
      </c>
      <c r="Z17" s="327">
        <v>8.256880733889335914485341250</v>
      </c>
      <c r="AA17" s="171">
        <v>-2.1582733813287510998395411500</v>
      </c>
      <c r="AB17" s="328">
        <v>6.4587181628119413722692502100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19</v>
      </c>
      <c r="C18" s="352" t="s">
        <v>47</v>
      </c>
      <c r="D18" s="359">
        <v>64.393939393939393939393939390</v>
      </c>
      <c r="E18" s="170">
        <v>77.325581395348837209302325580</v>
      </c>
      <c r="F18" s="360">
        <v>47.989964147014974304733711910</v>
      </c>
      <c r="G18" s="359">
        <v>25.757575757575757575757575760</v>
      </c>
      <c r="H18" s="170">
        <v>2.6162790697674418604651162800</v>
      </c>
      <c r="I18" s="360">
        <v>13.432756708125207588299597880</v>
      </c>
      <c r="J18" s="170">
        <v>0</v>
      </c>
      <c r="K18" s="170">
        <v>0</v>
      </c>
      <c r="L18" s="360">
        <v>7.3813663099103863480260166600</v>
      </c>
      <c r="M18" s="359">
        <v>90.15151515151515151515151515</v>
      </c>
      <c r="N18" s="170">
        <v>79.94186046511627906976744186</v>
      </c>
      <c r="O18" s="360">
        <v>68.804087165050568241059326450</v>
      </c>
      <c r="P18" s="4"/>
      <c r="Q18" s="359">
        <v>-27.350427350457155380232291090</v>
      </c>
      <c r="R18" s="170">
        <v>-5.6737588651947085156681955800</v>
      </c>
      <c r="S18" s="360">
        <v>-3.9709894923679471853675710900</v>
      </c>
      <c r="T18" s="359">
        <v>0</v>
      </c>
      <c r="U18" s="170">
        <v>0</v>
      </c>
      <c r="V18" s="360">
        <v>19.165567908518021445727104400</v>
      </c>
      <c r="W18" s="170">
        <v>0</v>
      </c>
      <c r="X18" s="170">
        <v>0</v>
      </c>
      <c r="Y18" s="360">
        <v>24.452788739584142000357077640</v>
      </c>
      <c r="Z18" s="359">
        <v>1.7094017093599824676747924800</v>
      </c>
      <c r="AA18" s="170">
        <v>-2.4822695034907700819877961800</v>
      </c>
      <c r="AB18" s="360">
        <v>2.4207955738357980105441669900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20</v>
      </c>
      <c r="C19" s="351" t="s">
        <v>48</v>
      </c>
      <c r="D19" s="327">
        <v>53.030303030303030303030303030</v>
      </c>
      <c r="E19" s="171">
        <v>70.348837209302325581395348840</v>
      </c>
      <c r="F19" s="328">
        <v>47.013040852803590130915919780</v>
      </c>
      <c r="G19" s="327">
        <v>36.363636363636363636363636360</v>
      </c>
      <c r="H19" s="171">
        <v>4.3604651162790697674418604700</v>
      </c>
      <c r="I19" s="328">
        <v>15.895147692788458843793846730</v>
      </c>
      <c r="J19" s="171">
        <v>0</v>
      </c>
      <c r="K19" s="171">
        <v>0</v>
      </c>
      <c r="L19" s="328">
        <v>7.2200566843109851197537930700</v>
      </c>
      <c r="M19" s="327">
        <v>89.39393939393939393939393939</v>
      </c>
      <c r="N19" s="171">
        <v>74.709302325581395348837209300</v>
      </c>
      <c r="O19" s="328">
        <v>70.128245229903034094463559590</v>
      </c>
      <c r="P19" s="4"/>
      <c r="Q19" s="327">
        <v>-33.333333333371428571428549660</v>
      </c>
      <c r="R19" s="171">
        <v>0.8333333332829166666666918800</v>
      </c>
      <c r="S19" s="328">
        <v>-5.1313634088844929564946370500</v>
      </c>
      <c r="T19" s="327">
        <v>0</v>
      </c>
      <c r="U19" s="171">
        <v>199.99999999856000000000691234</v>
      </c>
      <c r="V19" s="328">
        <v>17.373087447637324540071232210</v>
      </c>
      <c r="W19" s="171">
        <v>0</v>
      </c>
      <c r="X19" s="171">
        <v>0</v>
      </c>
      <c r="Y19" s="328">
        <v>15.091414370046763763706912730</v>
      </c>
      <c r="Z19" s="327">
        <v>12.380952380888163265306159140</v>
      </c>
      <c r="AA19" s="171">
        <v>4.8979591836118150770512648900</v>
      </c>
      <c r="AB19" s="328">
        <v>1.0906083372125379984017472100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21</v>
      </c>
      <c r="C20" s="352" t="s">
        <v>50</v>
      </c>
      <c r="D20" s="359">
        <v>57.575757575757575757575757580</v>
      </c>
      <c r="E20" s="170">
        <v>57.558139534883720930232558140</v>
      </c>
      <c r="F20" s="360">
        <v>47.782058337919647771051183270</v>
      </c>
      <c r="G20" s="359">
        <v>37.878787878787878787878787880</v>
      </c>
      <c r="H20" s="170">
        <v>4.0697674418604651162790697700</v>
      </c>
      <c r="I20" s="360">
        <v>14.870665932856356631810676940</v>
      </c>
      <c r="J20" s="170">
        <v>0</v>
      </c>
      <c r="K20" s="170">
        <v>0</v>
      </c>
      <c r="L20" s="360">
        <v>6.9124931205283434232250963100</v>
      </c>
      <c r="M20" s="359">
        <v>95.45454545454545454545454545</v>
      </c>
      <c r="N20" s="170">
        <v>61.627906976744186046511627910</v>
      </c>
      <c r="O20" s="360">
        <v>69.565217391304347826086956520</v>
      </c>
      <c r="P20" s="4"/>
      <c r="Q20" s="359">
        <v>-37.190082644650939143501118660</v>
      </c>
      <c r="R20" s="170">
        <v>-10.407239818988309002682169830</v>
      </c>
      <c r="S20" s="360">
        <v>-6.5612293653952862173790687600</v>
      </c>
      <c r="T20" s="359">
        <v>0</v>
      </c>
      <c r="U20" s="170">
        <v>-22.222222221703703703700246860</v>
      </c>
      <c r="V20" s="360">
        <v>27.684091081947594309952609050</v>
      </c>
      <c r="W20" s="170">
        <v>0</v>
      </c>
      <c r="X20" s="170">
        <v>0</v>
      </c>
      <c r="Y20" s="360">
        <v>10.650544575749704840136481770</v>
      </c>
      <c r="Z20" s="359">
        <v>4.1322314049208114199849874700</v>
      </c>
      <c r="AA20" s="170">
        <v>-11.297071129647730256823195130</v>
      </c>
      <c r="AB20" s="360">
        <v>0.7740498771977976940581767100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22</v>
      </c>
      <c r="C21" s="351" t="s">
        <v>51</v>
      </c>
      <c r="D21" s="327">
        <v>62.878787878787878787878787880</v>
      </c>
      <c r="E21" s="171">
        <v>66.279069767441860465116279070</v>
      </c>
      <c r="F21" s="328">
        <v>52.882156184832193394755589620</v>
      </c>
      <c r="G21" s="327">
        <v>32.575757575757575757575757580</v>
      </c>
      <c r="H21" s="171">
        <v>2.3255813953488372093023255800</v>
      </c>
      <c r="I21" s="328">
        <v>15.268546083689189655176630360</v>
      </c>
      <c r="J21" s="171">
        <v>0</v>
      </c>
      <c r="K21" s="171">
        <v>0</v>
      </c>
      <c r="L21" s="328">
        <v>6.1585459850496731485872253300</v>
      </c>
      <c r="M21" s="327">
        <v>95.45454545454545454545454545</v>
      </c>
      <c r="N21" s="171">
        <v>68.604651162790697674418604650</v>
      </c>
      <c r="O21" s="328">
        <v>74.309248253571056198519445310</v>
      </c>
      <c r="P21" s="4"/>
      <c r="Q21" s="327">
        <v>-30.252100840324412117788289820</v>
      </c>
      <c r="R21" s="171">
        <v>-8.433734939717849712101399190</v>
      </c>
      <c r="S21" s="328">
        <v>1.6321795701134574880201637300</v>
      </c>
      <c r="T21" s="327">
        <v>0</v>
      </c>
      <c r="U21" s="171">
        <v>-55.555555555259259259257283980</v>
      </c>
      <c r="V21" s="328">
        <v>29.108188235319056636267778160</v>
      </c>
      <c r="W21" s="171">
        <v>0</v>
      </c>
      <c r="X21" s="171">
        <v>0</v>
      </c>
      <c r="Y21" s="328">
        <v>2.5996013022737182794473006900</v>
      </c>
      <c r="Z21" s="327">
        <v>5.8823529411942659416707889500</v>
      </c>
      <c r="AA21" s="171">
        <v>-11.610486891422845039206594160</v>
      </c>
      <c r="AB21" s="328">
        <v>6.3664391922006865024365765500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23</v>
      </c>
      <c r="C22" s="352" t="s">
        <v>52</v>
      </c>
      <c r="D22" s="359">
        <v>71.969696969696969696969696970</v>
      </c>
      <c r="E22" s="170">
        <v>83.72093023255813953488372093</v>
      </c>
      <c r="F22" s="360">
        <v>62.013367502359871875432179090</v>
      </c>
      <c r="G22" s="359">
        <v>1.5151515151515151515151515200</v>
      </c>
      <c r="H22" s="170">
        <v>0.290697674418604651162790700</v>
      </c>
      <c r="I22" s="360">
        <v>10.264769734979659157463089010</v>
      </c>
      <c r="J22" s="170">
        <v>0</v>
      </c>
      <c r="K22" s="170">
        <v>0</v>
      </c>
      <c r="L22" s="360">
        <v>7.2443317439971387617038352300</v>
      </c>
      <c r="M22" s="359">
        <v>73.484848484848484848484848480</v>
      </c>
      <c r="N22" s="170">
        <v>84.01162790697674418604651163</v>
      </c>
      <c r="O22" s="360">
        <v>79.52246898133666979459910333</v>
      </c>
      <c r="P22" s="4"/>
      <c r="Q22" s="359">
        <v>-18.803418803452114836730207680</v>
      </c>
      <c r="R22" s="170">
        <v>-1.7064846416945846777481068600</v>
      </c>
      <c r="S22" s="360">
        <v>-3.3933283517939162420365146600</v>
      </c>
      <c r="T22" s="359">
        <v>0</v>
      </c>
      <c r="U22" s="170">
        <v>-88.88888888902716049382543969</v>
      </c>
      <c r="V22" s="360">
        <v>43.447921875249577836684716370</v>
      </c>
      <c r="W22" s="170">
        <v>0</v>
      </c>
      <c r="X22" s="170">
        <v>0</v>
      </c>
      <c r="Y22" s="360">
        <v>13.660931605191735066950938850</v>
      </c>
      <c r="Z22" s="359">
        <v>-17.09401709405110672802979100</v>
      </c>
      <c r="AA22" s="170">
        <v>-4.3046357615691241612209947800</v>
      </c>
      <c r="AB22" s="360">
        <v>2.3178930850685275622034917800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24</v>
      </c>
      <c r="C23" s="351" t="s">
        <v>53</v>
      </c>
      <c r="D23" s="327">
        <v>90.15151515151515151515151515</v>
      </c>
      <c r="E23" s="171">
        <v>90.11627906976744186046511628</v>
      </c>
      <c r="F23" s="328">
        <v>72.010651138523877069145962510</v>
      </c>
      <c r="G23" s="327">
        <v>0.7575757575757575757575757600</v>
      </c>
      <c r="H23" s="171">
        <v>0.290697674418604651162790700</v>
      </c>
      <c r="I23" s="328">
        <v>9.292077790788373709365120920</v>
      </c>
      <c r="J23" s="171">
        <v>0</v>
      </c>
      <c r="K23" s="171">
        <v>0</v>
      </c>
      <c r="L23" s="328">
        <v>7.7807868667465543512981126900</v>
      </c>
      <c r="M23" s="327">
        <v>90.90909090909090909090909091</v>
      </c>
      <c r="N23" s="171">
        <v>90.40697674418604651162790698</v>
      </c>
      <c r="O23" s="328">
        <v>89.08351579605880512980919612</v>
      </c>
      <c r="P23" s="4"/>
      <c r="Q23" s="327">
        <v>-3.2520325203063255998413605900</v>
      </c>
      <c r="R23" s="171">
        <v>-1.898734177237542060567211700</v>
      </c>
      <c r="S23" s="328">
        <v>-2.5706291310874218507232306900</v>
      </c>
      <c r="T23" s="327">
        <v>0</v>
      </c>
      <c r="U23" s="171">
        <v>-83.33333333322222222222148135</v>
      </c>
      <c r="V23" s="328">
        <v>48.448583865014672131646311690</v>
      </c>
      <c r="W23" s="171">
        <v>0</v>
      </c>
      <c r="X23" s="171">
        <v>0</v>
      </c>
      <c r="Y23" s="328">
        <v>27.947090363661053214788300620</v>
      </c>
      <c r="Z23" s="327">
        <v>-2.4390243902248661511005316800</v>
      </c>
      <c r="AA23" s="171">
        <v>-3.4161490683325797615832712900</v>
      </c>
      <c r="AB23" s="328">
        <v>3.2836416008233868457455193100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25</v>
      </c>
      <c r="C24" s="352" t="s">
        <v>49</v>
      </c>
      <c r="D24" s="359">
        <v>96.21212121212121212121212121</v>
      </c>
      <c r="E24" s="170">
        <v>81.10465116279069767441860465</v>
      </c>
      <c r="F24" s="360">
        <v>62.896103181365046434818834200</v>
      </c>
      <c r="G24" s="359">
        <v>0</v>
      </c>
      <c r="H24" s="170">
        <v>0.290697674418604651162790700</v>
      </c>
      <c r="I24" s="360">
        <v>6.1318064750291371434662089300</v>
      </c>
      <c r="J24" s="170">
        <v>0</v>
      </c>
      <c r="K24" s="170">
        <v>0</v>
      </c>
      <c r="L24" s="360">
        <v>6.8870105813286816078269368600</v>
      </c>
      <c r="M24" s="359">
        <v>96.21212121212121212121212121</v>
      </c>
      <c r="N24" s="170">
        <v>81.39534883720930232558139535</v>
      </c>
      <c r="O24" s="360">
        <v>75.914920237722865186111979980</v>
      </c>
      <c r="P24" s="4"/>
      <c r="Q24" s="359">
        <v>4.9586776859122464312547095900</v>
      </c>
      <c r="R24" s="170">
        <v>-8.524590163960819134641217860</v>
      </c>
      <c r="S24" s="360">
        <v>-4.2733122200106604703402382300</v>
      </c>
      <c r="T24" s="359">
        <v>0</v>
      </c>
      <c r="U24" s="170">
        <v>-66.666666668355555555469984920</v>
      </c>
      <c r="V24" s="360">
        <v>20.648525776409840323460314380</v>
      </c>
      <c r="W24" s="170">
        <v>0</v>
      </c>
      <c r="X24" s="170">
        <v>0</v>
      </c>
      <c r="Y24" s="360">
        <v>13.419541542816760356398011140</v>
      </c>
      <c r="Z24" s="359">
        <v>4.9586776859122464312547095900</v>
      </c>
      <c r="AA24" s="170">
        <v>-9.090909090878394332939777120</v>
      </c>
      <c r="AB24" s="360">
        <v>-1.2275043602284145424717943700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26</v>
      </c>
      <c r="C25" s="351" t="s">
        <v>47</v>
      </c>
      <c r="D25" s="327">
        <v>73.484848484848484848484848480</v>
      </c>
      <c r="E25" s="171">
        <v>63.953488372093023255813953490</v>
      </c>
      <c r="F25" s="328">
        <v>41.476346581095230233068605920</v>
      </c>
      <c r="G25" s="327">
        <v>0</v>
      </c>
      <c r="H25" s="171">
        <v>0</v>
      </c>
      <c r="I25" s="328">
        <v>4.67719169903378036783858500</v>
      </c>
      <c r="J25" s="171">
        <v>0</v>
      </c>
      <c r="K25" s="171">
        <v>0</v>
      </c>
      <c r="L25" s="328">
        <v>6.948328052891529488760205600</v>
      </c>
      <c r="M25" s="327">
        <v>73.484848484848484848484848480</v>
      </c>
      <c r="N25" s="171">
        <v>63.953488372093023255813953490</v>
      </c>
      <c r="O25" s="328">
        <v>53.101866333020540089667396520</v>
      </c>
      <c r="P25" s="4"/>
      <c r="Q25" s="327">
        <v>-4.9019607842801614763552361400</v>
      </c>
      <c r="R25" s="171">
        <v>-10.569105691085993786767126500</v>
      </c>
      <c r="S25" s="328">
        <v>-10.386485752919659574920002960</v>
      </c>
      <c r="T25" s="327">
        <v>0</v>
      </c>
      <c r="U25" s="171">
        <v>-100</v>
      </c>
      <c r="V25" s="328">
        <v>82.17228008114010629771972923</v>
      </c>
      <c r="W25" s="171">
        <v>0</v>
      </c>
      <c r="X25" s="171">
        <v>0</v>
      </c>
      <c r="Y25" s="328">
        <v>29.482904395740579394587498680</v>
      </c>
      <c r="Z25" s="327">
        <v>-4.9019607842801614763552361400</v>
      </c>
      <c r="AA25" s="171">
        <v>-11.646586345341784809922402730</v>
      </c>
      <c r="AB25" s="328">
        <v>-2.0572530216555856400342333400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27</v>
      </c>
      <c r="C26" s="352" t="s">
        <v>48</v>
      </c>
      <c r="D26" s="359">
        <v>66.666666666666666666666666670</v>
      </c>
      <c r="E26" s="170">
        <v>55.232558139534883720930232560</v>
      </c>
      <c r="F26" s="360">
        <v>43.097422697917366967614820010</v>
      </c>
      <c r="G26" s="359">
        <v>0</v>
      </c>
      <c r="H26" s="170">
        <v>0</v>
      </c>
      <c r="I26" s="360">
        <v>5.5487374621413776499152482800</v>
      </c>
      <c r="J26" s="170">
        <v>0</v>
      </c>
      <c r="K26" s="170">
        <v>0</v>
      </c>
      <c r="L26" s="360">
        <v>6.8746405906450401807182895400</v>
      </c>
      <c r="M26" s="359">
        <v>66.666666666666666666666666670</v>
      </c>
      <c r="N26" s="170">
        <v>55.232558139534883720930232560</v>
      </c>
      <c r="O26" s="360">
        <v>55.520800750703784798248357840</v>
      </c>
      <c r="P26" s="4"/>
      <c r="Q26" s="359">
        <v>-9.278350515404059942608101640</v>
      </c>
      <c r="R26" s="170">
        <v>-15.178571428613839285714264510</v>
      </c>
      <c r="S26" s="360">
        <v>-14.785879705904608599032711210</v>
      </c>
      <c r="T26" s="359">
        <v>0</v>
      </c>
      <c r="U26" s="170">
        <v>-100</v>
      </c>
      <c r="V26" s="360">
        <v>103.45341111849865657001915328</v>
      </c>
      <c r="W26" s="170">
        <v>0</v>
      </c>
      <c r="X26" s="170">
        <v>0</v>
      </c>
      <c r="Y26" s="360">
        <v>20.687959331644219948603354830</v>
      </c>
      <c r="Z26" s="359">
        <v>-9.278350515404059942608101640</v>
      </c>
      <c r="AA26" s="170">
        <v>-16.299559471336140813910603040</v>
      </c>
      <c r="AB26" s="360">
        <v>-5.8952492691559385340709575300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28</v>
      </c>
      <c r="C27" s="351" t="s">
        <v>50</v>
      </c>
      <c r="D27" s="327">
        <v>72.727272727272727272727272730</v>
      </c>
      <c r="E27" s="171">
        <v>61.046511627906976744186046510</v>
      </c>
      <c r="F27" s="328">
        <v>49.475631089331433404001436530</v>
      </c>
      <c r="G27" s="327">
        <v>0</v>
      </c>
      <c r="H27" s="171">
        <v>0</v>
      </c>
      <c r="I27" s="328">
        <v>8.037894322223380715717281250</v>
      </c>
      <c r="J27" s="171">
        <v>0</v>
      </c>
      <c r="K27" s="171">
        <v>0</v>
      </c>
      <c r="L27" s="328">
        <v>5.4830338627648605753078696500</v>
      </c>
      <c r="M27" s="327">
        <v>72.727272727272727272727272730</v>
      </c>
      <c r="N27" s="171">
        <v>61.046511627906976744186046510</v>
      </c>
      <c r="O27" s="328">
        <v>62.996559274319674695026587430</v>
      </c>
      <c r="P27" s="4"/>
      <c r="Q27" s="327">
        <v>4.3478260869111531190926473300</v>
      </c>
      <c r="R27" s="171">
        <v>-8.296943231495509238954221010</v>
      </c>
      <c r="S27" s="328">
        <v>-4.7886044375950120736674419400</v>
      </c>
      <c r="T27" s="327">
        <v>0</v>
      </c>
      <c r="U27" s="171">
        <v>-100</v>
      </c>
      <c r="V27" s="328">
        <v>89.22229189704875029540335174</v>
      </c>
      <c r="W27" s="171">
        <v>0</v>
      </c>
      <c r="X27" s="171">
        <v>0</v>
      </c>
      <c r="Y27" s="328">
        <v>-15.278953292795221567628432560</v>
      </c>
      <c r="Z27" s="327">
        <v>4.3478260869111531190926473300</v>
      </c>
      <c r="AA27" s="171">
        <v>-11.016949152554438379775924820</v>
      </c>
      <c r="AB27" s="328">
        <v>0.499098128736690696821106700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29</v>
      </c>
      <c r="C28" s="352" t="s">
        <v>51</v>
      </c>
      <c r="D28" s="359">
        <v>75.757575757575757575757575760</v>
      </c>
      <c r="E28" s="170">
        <v>73.255813953488372093023255810</v>
      </c>
      <c r="F28" s="360">
        <v>52.705978288690529692330949980</v>
      </c>
      <c r="G28" s="359">
        <v>0</v>
      </c>
      <c r="H28" s="170">
        <v>0</v>
      </c>
      <c r="I28" s="360">
        <v>8.898704125155647595866335420</v>
      </c>
      <c r="J28" s="170">
        <v>0</v>
      </c>
      <c r="K28" s="170">
        <v>0</v>
      </c>
      <c r="L28" s="360">
        <v>6.9074643904495165914815802100</v>
      </c>
      <c r="M28" s="359">
        <v>75.757575757575757575757575760</v>
      </c>
      <c r="N28" s="170">
        <v>73.255813953488372093023255810</v>
      </c>
      <c r="O28" s="360">
        <v>68.512146804295693879678865600</v>
      </c>
      <c r="P28" s="4"/>
      <c r="Q28" s="359">
        <v>4.1666666666276041666666813200</v>
      </c>
      <c r="R28" s="170">
        <v>-9.025270758175292262377949290</v>
      </c>
      <c r="S28" s="360">
        <v>-8.083487693246306371431265430</v>
      </c>
      <c r="T28" s="359">
        <v>0</v>
      </c>
      <c r="U28" s="170">
        <v>0</v>
      </c>
      <c r="V28" s="360">
        <v>49.369237328406286661369011520</v>
      </c>
      <c r="W28" s="170">
        <v>0</v>
      </c>
      <c r="X28" s="170">
        <v>0</v>
      </c>
      <c r="Y28" s="360">
        <v>9.515392956352779599380295350</v>
      </c>
      <c r="Z28" s="359">
        <v>4.1666666666276041666666813200</v>
      </c>
      <c r="AA28" s="170">
        <v>-9.025270758175292262377949290</v>
      </c>
      <c r="AB28" s="360">
        <v>-1.5714414791869048568657203500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30</v>
      </c>
      <c r="C29" s="351" t="s">
        <v>52</v>
      </c>
      <c r="D29" s="327">
        <v>73.484848484848484848484848480</v>
      </c>
      <c r="E29" s="171">
        <v>86.91860465116279069767441860</v>
      </c>
      <c r="F29" s="328">
        <v>61.087914069179248599290706390</v>
      </c>
      <c r="G29" s="327">
        <v>0</v>
      </c>
      <c r="H29" s="171">
        <v>0</v>
      </c>
      <c r="I29" s="328">
        <v>10.547470759073125770203272030</v>
      </c>
      <c r="J29" s="171">
        <v>0</v>
      </c>
      <c r="K29" s="171">
        <v>0</v>
      </c>
      <c r="L29" s="328">
        <v>7.0738217195528597041166982500</v>
      </c>
      <c r="M29" s="327">
        <v>73.484848484848484848484848480</v>
      </c>
      <c r="N29" s="171">
        <v>86.91860465116279069767441860</v>
      </c>
      <c r="O29" s="328">
        <v>78.709206547805234073610676680</v>
      </c>
      <c r="P29" s="4"/>
      <c r="Q29" s="327">
        <v>-15.652173913031742911153117470</v>
      </c>
      <c r="R29" s="171">
        <v>4.1811846690389151258361996200</v>
      </c>
      <c r="S29" s="328">
        <v>-10.212435492320409889387311570</v>
      </c>
      <c r="T29" s="327">
        <v>0</v>
      </c>
      <c r="U29" s="171">
        <v>-100</v>
      </c>
      <c r="V29" s="328">
        <v>38.365155894650957364942894950</v>
      </c>
      <c r="W29" s="171">
        <v>0</v>
      </c>
      <c r="X29" s="171">
        <v>0</v>
      </c>
      <c r="Y29" s="328">
        <v>29.323056040324368537427869660</v>
      </c>
      <c r="Z29" s="327">
        <v>-15.652173913031742911153117470</v>
      </c>
      <c r="AA29" s="171">
        <v>0.6734006734305025564284911900</v>
      </c>
      <c r="AB29" s="328">
        <v>-2.9824823465824429315066616200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31</v>
      </c>
      <c r="C30" s="352" t="s">
        <v>53</v>
      </c>
      <c r="D30" s="359">
        <v>72.727272727272727272727272730</v>
      </c>
      <c r="E30" s="170">
        <v>83.72093023255813953488372093</v>
      </c>
      <c r="F30" s="360">
        <v>65.349846152574205718742378250</v>
      </c>
      <c r="G30" s="359">
        <v>0</v>
      </c>
      <c r="H30" s="170">
        <v>0</v>
      </c>
      <c r="I30" s="360">
        <v>8.452824026930533718973872810</v>
      </c>
      <c r="J30" s="170">
        <v>0</v>
      </c>
      <c r="K30" s="170">
        <v>0</v>
      </c>
      <c r="L30" s="360">
        <v>7.5235731736388326611264139400</v>
      </c>
      <c r="M30" s="359">
        <v>72.727272727272727272727272730</v>
      </c>
      <c r="N30" s="170">
        <v>83.72093023255813953488372093</v>
      </c>
      <c r="O30" s="360">
        <v>81.32624335314357209884266500</v>
      </c>
      <c r="P30" s="4"/>
      <c r="Q30" s="359">
        <v>-20.661157024822238918106676210</v>
      </c>
      <c r="R30" s="170">
        <v>-4.9504950494647975688657805100</v>
      </c>
      <c r="S30" s="360">
        <v>-4.4759157189930579926913874100</v>
      </c>
      <c r="T30" s="359">
        <v>0</v>
      </c>
      <c r="U30" s="170">
        <v>-100</v>
      </c>
      <c r="V30" s="360">
        <v>14.830593238374367541119585850</v>
      </c>
      <c r="W30" s="170">
        <v>0</v>
      </c>
      <c r="X30" s="170">
        <v>0</v>
      </c>
      <c r="Y30" s="360">
        <v>0.3925101841102944993405862100</v>
      </c>
      <c r="Z30" s="359">
        <v>-20.661157024822238918106676210</v>
      </c>
      <c r="AA30" s="170">
        <v>-6.7961165048036949759637767700</v>
      </c>
      <c r="AB30" s="360">
        <v>-2.3309845702538192765782166600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t="s">
        <v>181</v>
      </c>
      <c r="B31" s="660">
        <v>1</v>
      </c>
      <c r="C31" s="661" t="s">
        <v>49</v>
      </c>
      <c r="D31" s="662">
        <v>68.181818181818181818181818180</v>
      </c>
      <c r="E31" s="663">
        <v>63.953488372093023255813953490</v>
      </c>
      <c r="F31" s="664">
        <v>48.138721007342130722229136250</v>
      </c>
      <c r="G31" s="662">
        <v>0</v>
      </c>
      <c r="H31" s="663">
        <v>0</v>
      </c>
      <c r="I31" s="664">
        <v>5.7225505353515604666313716700</v>
      </c>
      <c r="J31" s="663">
        <v>0</v>
      </c>
      <c r="K31" s="663">
        <v>0</v>
      </c>
      <c r="L31" s="664">
        <v>7.3096641603904698147986661500</v>
      </c>
      <c r="M31" s="662">
        <v>68.181818181818181818181818180</v>
      </c>
      <c r="N31" s="663">
        <v>63.953488372093023255813953490</v>
      </c>
      <c r="O31" s="664">
        <v>61.170935703084161003659174070</v>
      </c>
      <c r="P31" s="4"/>
      <c r="Q31" s="662">
        <v>-5.2631578947408310249307477600</v>
      </c>
      <c r="R31" s="663">
        <v>-13.385826771623535247070483740</v>
      </c>
      <c r="S31" s="664">
        <v>-10.507007589835320934703769040</v>
      </c>
      <c r="T31" s="662">
        <v>0</v>
      </c>
      <c r="U31" s="663">
        <v>-100</v>
      </c>
      <c r="V31" s="664">
        <v>36.018008407927070798113084790</v>
      </c>
      <c r="W31" s="663">
        <v>0</v>
      </c>
      <c r="X31" s="663">
        <v>0</v>
      </c>
      <c r="Y31" s="664">
        <v>-0.4957277085221674418488720200</v>
      </c>
      <c r="Z31" s="662">
        <v>-5.2631578947408310249307477600</v>
      </c>
      <c r="AA31" s="663">
        <v>-15.057915057894068365110830960</v>
      </c>
      <c r="AB31" s="664">
        <v>-6.3859761064253815632274285500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2</v>
      </c>
      <c r="C32" s="352" t="s">
        <v>47</v>
      </c>
      <c r="D32" s="359">
        <v>66.666666666666666666666666670</v>
      </c>
      <c r="E32" s="170">
        <v>52.398523985239852398523985240</v>
      </c>
      <c r="F32" s="360">
        <v>46.073538808599576225226525640</v>
      </c>
      <c r="G32" s="359">
        <v>0</v>
      </c>
      <c r="H32" s="170">
        <v>0</v>
      </c>
      <c r="I32" s="360">
        <v>10.322244752311251211997865840</v>
      </c>
      <c r="J32" s="170">
        <v>0</v>
      </c>
      <c r="K32" s="170">
        <v>0</v>
      </c>
      <c r="L32" s="360">
        <v>6.8556539717603696354363508100</v>
      </c>
      <c r="M32" s="359">
        <v>66.666666666666666666666666670</v>
      </c>
      <c r="N32" s="170">
        <v>52.398523985239852398523985240</v>
      </c>
      <c r="O32" s="360">
        <v>63.251437532671197072660742290</v>
      </c>
      <c r="P32" s="4"/>
      <c r="Q32" s="359">
        <v>12.820512820530177514792902080</v>
      </c>
      <c r="R32" s="170">
        <v>-21.630033691665797445573691910</v>
      </c>
      <c r="S32" s="360">
        <v>-0.9377625922384644838763779400</v>
      </c>
      <c r="T32" s="359">
        <v>-100</v>
      </c>
      <c r="U32" s="170">
        <v>-100</v>
      </c>
      <c r="V32" s="360">
        <v>35.920690552482149305191068930</v>
      </c>
      <c r="W32" s="170">
        <v>0</v>
      </c>
      <c r="X32" s="170">
        <v>0</v>
      </c>
      <c r="Y32" s="360">
        <v>-2.8471756637376304999409051800</v>
      </c>
      <c r="Z32" s="359">
        <v>8.641975308706355738454542040</v>
      </c>
      <c r="AA32" s="170">
        <v>-22.639089051794881826583538470</v>
      </c>
      <c r="AB32" s="360">
        <v>3.4186517216437902644060959500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3</v>
      </c>
      <c r="C33" s="351" t="s">
        <v>48</v>
      </c>
      <c r="D33" s="327">
        <v>63.636363636363636363636363640</v>
      </c>
      <c r="E33" s="171">
        <v>39.852398523985239852398523990</v>
      </c>
      <c r="F33" s="328">
        <v>43.950967730928196113910690750</v>
      </c>
      <c r="G33" s="327">
        <v>0</v>
      </c>
      <c r="H33" s="171">
        <v>2.5830258302583025830258302600</v>
      </c>
      <c r="I33" s="328">
        <v>10.224243248584504836166535310</v>
      </c>
      <c r="J33" s="171">
        <v>0</v>
      </c>
      <c r="K33" s="171">
        <v>0</v>
      </c>
      <c r="L33" s="328">
        <v>6.8493577606859399281245512500</v>
      </c>
      <c r="M33" s="327">
        <v>63.636363636363636363636363640</v>
      </c>
      <c r="N33" s="171">
        <v>42.435424354243542435424354240</v>
      </c>
      <c r="O33" s="328">
        <v>61.024568740198640878201777310</v>
      </c>
      <c r="P33" s="4"/>
      <c r="Q33" s="327">
        <v>13.513513513525785244704164960</v>
      </c>
      <c r="R33" s="171">
        <v>-31.109421646977519427879816920</v>
      </c>
      <c r="S33" s="328">
        <v>-10.865947901070226392536866800</v>
      </c>
      <c r="T33" s="327">
        <v>-100</v>
      </c>
      <c r="U33" s="171">
        <v>196.18696185461189011966153405</v>
      </c>
      <c r="V33" s="328">
        <v>2.6490684044301233341987296300</v>
      </c>
      <c r="W33" s="171">
        <v>0</v>
      </c>
      <c r="X33" s="171">
        <v>0</v>
      </c>
      <c r="Y33" s="328">
        <v>1.1460898304072209777584258900</v>
      </c>
      <c r="Z33" s="327">
        <v>-13.402061855612966308853187930</v>
      </c>
      <c r="AA33" s="171">
        <v>-27.733732782923899726204361880</v>
      </c>
      <c r="AB33" s="328">
        <v>-7.59589826780614925939916500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4</v>
      </c>
      <c r="C34" s="352" t="s">
        <v>50</v>
      </c>
      <c r="D34" s="359">
        <v>57.575757575757575757575757580</v>
      </c>
      <c r="E34" s="170">
        <v>33.948339483394833948339483400</v>
      </c>
      <c r="F34" s="360">
        <v>46.055802537815994752359653060</v>
      </c>
      <c r="G34" s="359">
        <v>0</v>
      </c>
      <c r="H34" s="170">
        <v>6.6420664206642066420664206600</v>
      </c>
      <c r="I34" s="360">
        <v>12.166518441786165760709802680</v>
      </c>
      <c r="J34" s="170">
        <v>0</v>
      </c>
      <c r="K34" s="170">
        <v>0</v>
      </c>
      <c r="L34" s="360">
        <v>6.8796131552645410028740884300</v>
      </c>
      <c r="M34" s="359">
        <v>57.575757575757575757575757580</v>
      </c>
      <c r="N34" s="170">
        <v>40.590405904059040590405904060</v>
      </c>
      <c r="O34" s="360">
        <v>65.101934134866701515943544170</v>
      </c>
      <c r="P34" s="4"/>
      <c r="Q34" s="359">
        <v>-8.433734939776687472782693640</v>
      </c>
      <c r="R34" s="170">
        <v>-48.326421317306859931470330180</v>
      </c>
      <c r="S34" s="360">
        <v>-19.565592841602934765938460610</v>
      </c>
      <c r="T34" s="359">
        <v>-100</v>
      </c>
      <c r="U34" s="170">
        <v>1042.4354244273594095987753557</v>
      </c>
      <c r="V34" s="360">
        <v>-12.541600105420682549524351970</v>
      </c>
      <c r="W34" s="170">
        <v>0</v>
      </c>
      <c r="X34" s="170">
        <v>0</v>
      </c>
      <c r="Y34" s="360">
        <v>-0.0671436290689151163864640100</v>
      </c>
      <c r="Z34" s="359">
        <v>-28.301886792425774296902802170</v>
      </c>
      <c r="AA34" s="170">
        <v>-38.758334951731891390936045600</v>
      </c>
      <c r="AB34" s="360">
        <v>-16.594017872836205516657566670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5</v>
      </c>
      <c r="C35" s="351" t="s">
        <v>51</v>
      </c>
      <c r="D35" s="327">
        <v>82.57575757575757575757575758</v>
      </c>
      <c r="E35" s="171">
        <v>50.184501845018450184501845020</v>
      </c>
      <c r="F35" s="328">
        <v>50.035458189088474944253963160</v>
      </c>
      <c r="G35" s="327">
        <v>0</v>
      </c>
      <c r="H35" s="171">
        <v>5.9040590405904059040590405900</v>
      </c>
      <c r="I35" s="328">
        <v>14.916058931796131565025834150</v>
      </c>
      <c r="J35" s="171">
        <v>0</v>
      </c>
      <c r="K35" s="171">
        <v>0</v>
      </c>
      <c r="L35" s="328">
        <v>7.144666883297306716020777700</v>
      </c>
      <c r="M35" s="327">
        <v>82.57575757575757575757575758</v>
      </c>
      <c r="N35" s="171">
        <v>56.088560885608856088560885610</v>
      </c>
      <c r="O35" s="328">
        <v>72.096184004181913225300575010</v>
      </c>
      <c r="P35" s="4"/>
      <c r="Q35" s="327">
        <v>6.8627450980769319492503016700</v>
      </c>
      <c r="R35" s="171">
        <v>-30.668800663879068442593252080</v>
      </c>
      <c r="S35" s="328">
        <v>-13.496669870507597327207096420</v>
      </c>
      <c r="T35" s="327">
        <v>-100</v>
      </c>
      <c r="U35" s="171">
        <v>0</v>
      </c>
      <c r="V35" s="328">
        <v>-2.1378247206390452416465147700</v>
      </c>
      <c r="W35" s="171">
        <v>0</v>
      </c>
      <c r="X35" s="171">
        <v>0</v>
      </c>
      <c r="Y35" s="328">
        <v>19.722893367528264640401245910</v>
      </c>
      <c r="Z35" s="327">
        <v>-12.800000000027903999999991070</v>
      </c>
      <c r="AA35" s="171">
        <v>-22.512188977276605906427752330</v>
      </c>
      <c r="AB35" s="328">
        <v>-8.798816353950676182774738570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6</v>
      </c>
      <c r="C36" s="352" t="s">
        <v>52</v>
      </c>
      <c r="D36" s="359">
        <v>87.12121212121212121212121212</v>
      </c>
      <c r="E36" s="170">
        <v>69.741697416974169741697416980</v>
      </c>
      <c r="F36" s="360">
        <v>55.474418058611039133976453620</v>
      </c>
      <c r="G36" s="359">
        <v>0</v>
      </c>
      <c r="H36" s="170">
        <v>7.7490774907749077490774907800</v>
      </c>
      <c r="I36" s="360">
        <v>13.951451614501342577899693530</v>
      </c>
      <c r="J36" s="170">
        <v>0</v>
      </c>
      <c r="K36" s="170">
        <v>0</v>
      </c>
      <c r="L36" s="360">
        <v>7.5004241062916956535185209100</v>
      </c>
      <c r="M36" s="359">
        <v>87.12121212121212121212121212</v>
      </c>
      <c r="N36" s="170">
        <v>77.490774907749077490774907750</v>
      </c>
      <c r="O36" s="360">
        <v>76.926293779404077365394668060</v>
      </c>
      <c r="P36" s="4"/>
      <c r="Q36" s="359">
        <v>9.523809523746938775510239840</v>
      </c>
      <c r="R36" s="170">
        <v>-14.925021590593168837980792430</v>
      </c>
      <c r="S36" s="360">
        <v>-10.050717448013551168567992820</v>
      </c>
      <c r="T36" s="359">
        <v>-100</v>
      </c>
      <c r="U36" s="170">
        <v>0</v>
      </c>
      <c r="V36" s="360">
        <v>1.1596826789038809243160129900</v>
      </c>
      <c r="W36" s="170">
        <v>0</v>
      </c>
      <c r="X36" s="170">
        <v>0</v>
      </c>
      <c r="Y36" s="360">
        <v>15.879005333178472161361301070</v>
      </c>
      <c r="Z36" s="359">
        <v>5.5045871559090985607272393600</v>
      </c>
      <c r="AA36" s="170">
        <v>-5.4722462117701875977564360400</v>
      </c>
      <c r="AB36" s="360">
        <v>-6.1154814890036769558733265100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7</v>
      </c>
      <c r="C37" s="353" t="s">
        <v>53</v>
      </c>
      <c r="D37" s="329">
        <v>90.15151515151515151515151515</v>
      </c>
      <c r="E37" s="330">
        <v>76.383763837638376383763837640</v>
      </c>
      <c r="F37" s="332">
        <v>60.210939963478331551161868350</v>
      </c>
      <c r="G37" s="329">
        <v>0</v>
      </c>
      <c r="H37" s="330">
        <v>4.4280442804428044280442804400</v>
      </c>
      <c r="I37" s="332">
        <v>15.242569185858294244683967040</v>
      </c>
      <c r="J37" s="330">
        <v>0</v>
      </c>
      <c r="K37" s="330">
        <v>0</v>
      </c>
      <c r="L37" s="332">
        <v>7.8502022986508284644782628800</v>
      </c>
      <c r="M37" s="329">
        <v>90.15151515151515151515151515</v>
      </c>
      <c r="N37" s="330">
        <v>80.81180811808118081180811808</v>
      </c>
      <c r="O37" s="332">
        <v>83.30371144798745426032409827</v>
      </c>
      <c r="P37" s="4"/>
      <c r="Q37" s="329">
        <v>6.249999999981026785714289100</v>
      </c>
      <c r="R37" s="330">
        <v>-5.8207356267219077435311281400</v>
      </c>
      <c r="S37" s="332">
        <v>-6.3240420266400571560520592600</v>
      </c>
      <c r="T37" s="329">
        <v>-100</v>
      </c>
      <c r="U37" s="330">
        <v>0</v>
      </c>
      <c r="V37" s="332">
        <v>15.666658391067231783075739800</v>
      </c>
      <c r="W37" s="330">
        <v>0</v>
      </c>
      <c r="X37" s="330">
        <v>0</v>
      </c>
      <c r="Y37" s="332">
        <v>13.647912576098222140808966340</v>
      </c>
      <c r="Z37" s="329">
        <v>0.8474576271630853203102752600</v>
      </c>
      <c r="AA37" s="330">
        <v>-0.3610681268217284822865558600</v>
      </c>
      <c r="AB37" s="332">
        <v>-1.2535916300802452720219205600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74.621212121212121212121212120</v>
      </c>
      <c r="E39" s="355">
        <v>70.276162790697674418604651160</v>
      </c>
      <c r="F39" s="356">
        <v>50.968245026914623472490563710</v>
      </c>
      <c r="G39" s="354">
        <v>3.4090909090909090909090909100</v>
      </c>
      <c r="H39" s="355">
        <v>0.1453488372093023255813953500</v>
      </c>
      <c r="I39" s="356">
        <v>6.9162490486088822306473429100</v>
      </c>
      <c r="J39" s="355">
        <v>0</v>
      </c>
      <c r="K39" s="355">
        <v>0</v>
      </c>
      <c r="L39" s="356">
        <v>7.2884413932020407520762412200</v>
      </c>
      <c r="M39" s="354">
        <v>78.030303030303030303030303030</v>
      </c>
      <c r="N39" s="355">
        <v>70.421511627906976744186046510</v>
      </c>
      <c r="O39" s="356">
        <v>65.172935468725546455214147840</v>
      </c>
      <c r="P39" s="4"/>
      <c r="Q39" s="354">
        <v>-5.5155875300086468954332823900</v>
      </c>
      <c r="R39" s="355">
        <v>-11.065161294821561840792218110</v>
      </c>
      <c r="S39" s="356">
        <v>-6.4789260195437456211729118300</v>
      </c>
      <c r="T39" s="354">
        <v>0</v>
      </c>
      <c r="U39" s="355">
        <v>-75.895814513194192568500073140</v>
      </c>
      <c r="V39" s="356">
        <v>13.311535726102707699066395360</v>
      </c>
      <c r="W39" s="355">
        <v>0</v>
      </c>
      <c r="X39" s="355">
        <v>0</v>
      </c>
      <c r="Y39" s="356">
        <v>12.913386740542967422797644900</v>
      </c>
      <c r="Z39" s="354">
        <v>-1.1990407674202094439556150800</v>
      </c>
      <c r="AA39" s="355">
        <v>-11.556139086687805956584745960</v>
      </c>
      <c r="AB39" s="356">
        <v>-2.8108794236933464289764746200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64.962121212121212121212121210</v>
      </c>
      <c r="E40" s="171">
        <v>61.282770531193684029863554450</v>
      </c>
      <c r="F40" s="328">
        <v>44.501859734706431303808966510</v>
      </c>
      <c r="G40" s="327">
        <v>8.522727272727272727272727270</v>
      </c>
      <c r="H40" s="171">
        <v>0.6540697674418604651162790700</v>
      </c>
      <c r="I40" s="328">
        <v>10.104002672765491148266487780</v>
      </c>
      <c r="J40" s="171">
        <v>0</v>
      </c>
      <c r="K40" s="171">
        <v>0</v>
      </c>
      <c r="L40" s="328">
        <v>7.1109720648531857956161310800</v>
      </c>
      <c r="M40" s="327">
        <v>73.484848484848484848484848480</v>
      </c>
      <c r="N40" s="171">
        <v>61.936840298635544494979833520</v>
      </c>
      <c r="O40" s="328">
        <v>61.716834472325108247691585370</v>
      </c>
      <c r="P40" s="4"/>
      <c r="Q40" s="327">
        <v>-14.676616915463637038687141750</v>
      </c>
      <c r="R40" s="171">
        <v>-12.641533696115721461426076450</v>
      </c>
      <c r="S40" s="328">
        <v>-5.7479521521781910836505602400</v>
      </c>
      <c r="T40" s="327">
        <v>1399.9999999520000000015359995</v>
      </c>
      <c r="U40" s="171">
        <v>57.372214947168115787923657640</v>
      </c>
      <c r="V40" s="328">
        <v>16.624361762924754471178907060</v>
      </c>
      <c r="W40" s="171">
        <v>0</v>
      </c>
      <c r="X40" s="171">
        <v>0</v>
      </c>
      <c r="Y40" s="328">
        <v>16.368780659789638745511227620</v>
      </c>
      <c r="Z40" s="327">
        <v>-4.1975308641407590306355402100</v>
      </c>
      <c r="AA40" s="171">
        <v>-12.229169919164020835060238470</v>
      </c>
      <c r="AB40" s="328">
        <v>-0.4410431602000253870178228600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61.174242424242424242424242420</v>
      </c>
      <c r="E41" s="170">
        <v>54.803215910066077404960096120</v>
      </c>
      <c r="F41" s="360">
        <v>45.098829185576610403370788710</v>
      </c>
      <c r="G41" s="359">
        <v>11.174242424242424242424242420</v>
      </c>
      <c r="H41" s="170">
        <v>2.0992448296575989015704110500</v>
      </c>
      <c r="I41" s="360">
        <v>11.529603510913129893398858220</v>
      </c>
      <c r="J41" s="170">
        <v>0</v>
      </c>
      <c r="K41" s="170">
        <v>0</v>
      </c>
      <c r="L41" s="360">
        <v>6.9533921248363591346039249900</v>
      </c>
      <c r="M41" s="359">
        <v>72.348484848484848484848484850</v>
      </c>
      <c r="N41" s="170">
        <v>56.902460739723676306530507170</v>
      </c>
      <c r="O41" s="360">
        <v>63.581824821326099431373571910</v>
      </c>
      <c r="P41" s="4"/>
      <c r="Q41" s="359">
        <v>-16.103896103934456400742097500</v>
      </c>
      <c r="R41" s="170">
        <v>-13.485340345011604857974263240</v>
      </c>
      <c r="S41" s="360">
        <v>-9.303477055629392190628737570</v>
      </c>
      <c r="T41" s="359">
        <v>156.52173912811493383745009094</v>
      </c>
      <c r="U41" s="170">
        <v>163.71954708932485084238640234</v>
      </c>
      <c r="V41" s="360">
        <v>7.3774704986948334405211875300</v>
      </c>
      <c r="W41" s="170">
        <v>0</v>
      </c>
      <c r="X41" s="170">
        <v>0</v>
      </c>
      <c r="Y41" s="360">
        <v>11.706779578809306158826507890</v>
      </c>
      <c r="Z41" s="359">
        <v>-6.3725490195747981545559283600</v>
      </c>
      <c r="AA41" s="170">
        <v>-11.286181019827198416678720220</v>
      </c>
      <c r="AB41" s="360">
        <v>-4.6565068981045724175706441300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62.689393939393939393939393940</v>
      </c>
      <c r="E42" s="171">
        <v>53.327201149918475928945335970</v>
      </c>
      <c r="F42" s="328">
        <v>47.941949117698721747071714930</v>
      </c>
      <c r="G42" s="327">
        <v>11.553030303030303030303030300</v>
      </c>
      <c r="H42" s="171">
        <v>3.1140049772590749163305586500</v>
      </c>
      <c r="I42" s="328">
        <v>13.631878216829914072008064920</v>
      </c>
      <c r="J42" s="171">
        <v>0</v>
      </c>
      <c r="K42" s="171">
        <v>0</v>
      </c>
      <c r="L42" s="328">
        <v>6.5909178269299692203067296200</v>
      </c>
      <c r="M42" s="327">
        <v>74.242424242424242424242424240</v>
      </c>
      <c r="N42" s="171">
        <v>56.441206127177550845275894620</v>
      </c>
      <c r="O42" s="328">
        <v>68.164745161458605039386509470</v>
      </c>
      <c r="P42" s="4"/>
      <c r="Q42" s="327">
        <v>-18.271604938223173296753514970</v>
      </c>
      <c r="R42" s="171">
        <v>-18.386392366794270409736414010</v>
      </c>
      <c r="S42" s="328">
        <v>-9.728312040196849374050940340</v>
      </c>
      <c r="T42" s="327">
        <v>165.21739130194933837431280591</v>
      </c>
      <c r="U42" s="171">
        <v>53.634288024751163978958035160</v>
      </c>
      <c r="V42" s="328">
        <v>14.275617175673591689955684580</v>
      </c>
      <c r="W42" s="171">
        <v>0</v>
      </c>
      <c r="X42" s="171">
        <v>0</v>
      </c>
      <c r="Y42" s="328">
        <v>1.1720338527498315779694586100</v>
      </c>
      <c r="Z42" s="327">
        <v>-8.411214953264180277753515080</v>
      </c>
      <c r="AA42" s="171">
        <v>-16.219511819124130568248220250</v>
      </c>
      <c r="AB42" s="328">
        <v>-4.7340071443461910163855575500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73.484848484848484848484848480</v>
      </c>
      <c r="E43" s="170">
        <v>65.017055693812752081009182190</v>
      </c>
      <c r="F43" s="360">
        <v>51.982296247453940064803185480</v>
      </c>
      <c r="G43" s="359">
        <v>10.227272727272727272727272730</v>
      </c>
      <c r="H43" s="170">
        <v>2.4207822020080665922938299200</v>
      </c>
      <c r="I43" s="360">
        <v>14.131417027982166723075522610</v>
      </c>
      <c r="J43" s="170">
        <v>0</v>
      </c>
      <c r="K43" s="170">
        <v>0</v>
      </c>
      <c r="L43" s="360">
        <v>6.9886916491817658189343755400</v>
      </c>
      <c r="M43" s="359">
        <v>83.71212121212121212121212121</v>
      </c>
      <c r="N43" s="170">
        <v>67.437837895820818673303012100</v>
      </c>
      <c r="O43" s="360">
        <v>73.102404924617872606813083620</v>
      </c>
      <c r="P43" s="4"/>
      <c r="Q43" s="359">
        <v>-7.6190476191004081632652759600</v>
      </c>
      <c r="R43" s="170">
        <v>-14.304766492731274529439229250</v>
      </c>
      <c r="S43" s="360">
        <v>-6.7453286761916793032687005500</v>
      </c>
      <c r="T43" s="359">
        <v>134.78260869352892249529330372</v>
      </c>
      <c r="U43" s="170">
        <v>76.774234033543307824932459990</v>
      </c>
      <c r="V43" s="360">
        <v>14.369702789223100566942695980</v>
      </c>
      <c r="W43" s="170">
        <v>0</v>
      </c>
      <c r="X43" s="170">
        <v>0</v>
      </c>
      <c r="Y43" s="360">
        <v>14.977621594936360826959211080</v>
      </c>
      <c r="Z43" s="359">
        <v>-0.2257336342934944891438904800</v>
      </c>
      <c r="AA43" s="170">
        <v>-12.689978668889900047223506810</v>
      </c>
      <c r="AB43" s="360">
        <v>-1.4480432980439258878228404400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79.73484848484848484848484848</v>
      </c>
      <c r="E44" s="171">
        <v>80.00809877284819359821505192</v>
      </c>
      <c r="F44" s="328">
        <v>60.487126226089623619282701240</v>
      </c>
      <c r="G44" s="327">
        <v>0.3787878787878787878787878800</v>
      </c>
      <c r="H44" s="171">
        <v>2.0099437912983781000600703700</v>
      </c>
      <c r="I44" s="328">
        <v>12.570739300157732214717855730</v>
      </c>
      <c r="J44" s="171">
        <v>0</v>
      </c>
      <c r="K44" s="171">
        <v>0</v>
      </c>
      <c r="L44" s="328">
        <v>7.3949489137338638436039085700</v>
      </c>
      <c r="M44" s="327">
        <v>80.11363636363636363636363636</v>
      </c>
      <c r="N44" s="171">
        <v>82.01804256414657169827512229</v>
      </c>
      <c r="O44" s="328">
        <v>80.45281443998121967760446554</v>
      </c>
      <c r="P44" s="4"/>
      <c r="Q44" s="327">
        <v>-6.026785714302495216836731700</v>
      </c>
      <c r="R44" s="171">
        <v>-4.3692317446035905337461466700</v>
      </c>
      <c r="S44" s="328">
        <v>-7.0871117330318967410599654300</v>
      </c>
      <c r="T44" s="327">
        <v>-50.000000001599999999948799840</v>
      </c>
      <c r="U44" s="171">
        <v>39.048421478296310787816880360</v>
      </c>
      <c r="V44" s="328">
        <v>24.470338678072348375639654110</v>
      </c>
      <c r="W44" s="171">
        <v>0</v>
      </c>
      <c r="X44" s="171">
        <v>0</v>
      </c>
      <c r="Y44" s="328">
        <v>20.017302386643181963883297590</v>
      </c>
      <c r="Z44" s="327">
        <v>-6.4159292035828882449682627500</v>
      </c>
      <c r="AA44" s="171">
        <v>-3.6318227349764607733420249600</v>
      </c>
      <c r="AB44" s="328">
        <v>-1.1172800590817514515703727300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87.31060606060606060606060606</v>
      </c>
      <c r="E45" s="365">
        <v>85.01163863382819874710375011</v>
      </c>
      <c r="F45" s="366">
        <v>66.509188903793692582213280610</v>
      </c>
      <c r="G45" s="364">
        <v>0.1893939393939393939393939400</v>
      </c>
      <c r="H45" s="365">
        <v>1.2523599073200034325924654600</v>
      </c>
      <c r="I45" s="366">
        <v>10.916750370330806207428962390</v>
      </c>
      <c r="J45" s="365">
        <v>0</v>
      </c>
      <c r="K45" s="365">
        <v>0</v>
      </c>
      <c r="L45" s="366">
        <v>7.727172520961316850192907500</v>
      </c>
      <c r="M45" s="364">
        <v>87.500</v>
      </c>
      <c r="N45" s="365">
        <v>86.26399854114820217969621557</v>
      </c>
      <c r="O45" s="366">
        <v>85.15311179508581563983515050</v>
      </c>
      <c r="P45" s="4"/>
      <c r="Q45" s="364">
        <v>-0.8602150537839084287200790200</v>
      </c>
      <c r="R45" s="365">
        <v>-1.038812388519549295893444700</v>
      </c>
      <c r="S45" s="366">
        <v>-2.4991917074397807835899579100</v>
      </c>
      <c r="T45" s="364">
        <v>-83.33333333386666666664959995</v>
      </c>
      <c r="U45" s="365">
        <v>43.603936032084460844977093400</v>
      </c>
      <c r="V45" s="366">
        <v>22.175749932189665512856237470</v>
      </c>
      <c r="W45" s="365">
        <v>0</v>
      </c>
      <c r="X45" s="365">
        <v>0</v>
      </c>
      <c r="Y45" s="366">
        <v>14.347234453808681657947108350</v>
      </c>
      <c r="Z45" s="364">
        <v>-1.9108280254277252626881160400</v>
      </c>
      <c r="AA45" s="365">
        <v>-0.5901563243653802236612623600</v>
      </c>
      <c r="AB45" s="366">
        <v>1.4852199485201736685736423700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73.701298701298701298701298700</v>
      </c>
      <c r="E47" s="355">
        <v>55.208959066334849395005577970</v>
      </c>
      <c r="F47" s="356">
        <v>49.991406613694820491874041550</v>
      </c>
      <c r="G47" s="354">
        <v>0</v>
      </c>
      <c r="H47" s="355">
        <v>3.9008961518186610437532946800</v>
      </c>
      <c r="I47" s="356">
        <v>11.792233815741321523302152890</v>
      </c>
      <c r="J47" s="355">
        <v>0</v>
      </c>
      <c r="K47" s="355">
        <v>0</v>
      </c>
      <c r="L47" s="356">
        <v>7.1985117623344501736073168800</v>
      </c>
      <c r="M47" s="354">
        <v>73.701298701298701298701298700</v>
      </c>
      <c r="N47" s="355">
        <v>59.109855218153510438758872640</v>
      </c>
      <c r="O47" s="356">
        <v>68.982152191770592188783511310</v>
      </c>
      <c r="P47" s="4"/>
      <c r="Q47" s="354">
        <v>4.930662557774087905774203300</v>
      </c>
      <c r="R47" s="355">
        <v>-22.662493640677045062017905240</v>
      </c>
      <c r="S47" s="356">
        <v>-10.423162007900290403573104040</v>
      </c>
      <c r="T47" s="354">
        <v>-100</v>
      </c>
      <c r="U47" s="355">
        <v>622.56599493696236162657586725</v>
      </c>
      <c r="V47" s="356">
        <v>5.9846239340837856469400686100</v>
      </c>
      <c r="W47" s="355">
        <v>0</v>
      </c>
      <c r="X47" s="355">
        <v>0</v>
      </c>
      <c r="Y47" s="356">
        <v>6.2927606212631159108044245700</v>
      </c>
      <c r="Z47" s="354">
        <v>-6.8399452804917918785240375900</v>
      </c>
      <c r="AA47" s="355">
        <v>-17.819554638960607637320872710</v>
      </c>
      <c r="AB47" s="356">
        <v>-6.4104562348955132752297750600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71.996753246753246753246753250</v>
      </c>
      <c r="E48" s="171">
        <v>67.103734783195008029814517410</v>
      </c>
      <c r="F48" s="328">
        <v>52.498499206033377599005885890</v>
      </c>
      <c r="G48" s="327">
        <v>6.4935064935064935064935064900</v>
      </c>
      <c r="H48" s="171">
        <v>1.6708220445991835333635728400</v>
      </c>
      <c r="I48" s="328">
        <v>11.400091449655446069934727790</v>
      </c>
      <c r="J48" s="171">
        <v>0</v>
      </c>
      <c r="K48" s="171">
        <v>0</v>
      </c>
      <c r="L48" s="328">
        <v>7.150648070528357345047745500</v>
      </c>
      <c r="M48" s="327">
        <v>78.490259740259740259740259740</v>
      </c>
      <c r="N48" s="171">
        <v>68.774556827794191563178090250</v>
      </c>
      <c r="O48" s="328">
        <v>71.049238726217181013988359180</v>
      </c>
      <c r="P48" s="4"/>
      <c r="Q48" s="327">
        <v>-9.551325628861313932031034880</v>
      </c>
      <c r="R48" s="171">
        <v>-10.146577880584893942002030230</v>
      </c>
      <c r="S48" s="328">
        <v>-6.6300338557306989090492989300</v>
      </c>
      <c r="T48" s="327">
        <v>192.68292683120999405117290517</v>
      </c>
      <c r="U48" s="171">
        <v>55.154452307774965354958949040</v>
      </c>
      <c r="V48" s="328">
        <v>15.945414182711058822623343570</v>
      </c>
      <c r="W48" s="171">
        <v>0</v>
      </c>
      <c r="X48" s="171">
        <v>0</v>
      </c>
      <c r="Y48" s="328">
        <v>12.985814553442261703135693310</v>
      </c>
      <c r="Z48" s="327">
        <v>-4.0674603174816358024691310700</v>
      </c>
      <c r="AA48" s="171">
        <v>-9.218346438391985108956189810</v>
      </c>
      <c r="AB48" s="328">
        <v>-1.8486337080396406489943658100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73.701298701298701298701298700</v>
      </c>
      <c r="E49" s="365">
        <v>55.208959066334849395005577970</v>
      </c>
      <c r="F49" s="366">
        <v>49.991406613694820491874041550</v>
      </c>
      <c r="G49" s="364">
        <v>0</v>
      </c>
      <c r="H49" s="365">
        <v>3.9008961518186610437532946800</v>
      </c>
      <c r="I49" s="366">
        <v>11.792233815741321523302152890</v>
      </c>
      <c r="J49" s="365">
        <v>0</v>
      </c>
      <c r="K49" s="365">
        <v>0</v>
      </c>
      <c r="L49" s="366">
        <v>7.1985117623344501736073168800</v>
      </c>
      <c r="M49" s="364">
        <v>73.701298701298701298701298700</v>
      </c>
      <c r="N49" s="365">
        <v>59.109855218153510438758872640</v>
      </c>
      <c r="O49" s="366">
        <v>68.982152191770592188783511310</v>
      </c>
      <c r="P49" s="4"/>
      <c r="Q49" s="364">
        <v>3.4954407295141111039255087600</v>
      </c>
      <c r="R49" s="365">
        <v>-23.727381852097466967411711220</v>
      </c>
      <c r="S49" s="366">
        <v>-11.361629456320461075388179470</v>
      </c>
      <c r="T49" s="364">
        <v>-100</v>
      </c>
      <c r="U49" s="365">
        <v>394.38725963105400946724827422</v>
      </c>
      <c r="V49" s="366">
        <v>14.539097512746213132961974930</v>
      </c>
      <c r="W49" s="365">
        <v>0</v>
      </c>
      <c r="X49" s="365">
        <v>0</v>
      </c>
      <c r="Y49" s="366">
        <v>4.9934063114477735788418220900</v>
      </c>
      <c r="Z49" s="364">
        <v>-7.2207084468321035867813873800</v>
      </c>
      <c r="AA49" s="365">
        <v>-19.218767670101762546117612470</v>
      </c>
      <c r="AB49" s="366">
        <v>-6.2115784544142301187397858400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1"/>
</worksheet>
</file>

<file path=xl/worksheets/sheet4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180</v>
      </c>
      <c r="B4" s="442"/>
      <c r="C4" s="211"/>
      <c r="D4" s="212"/>
      <c r="E4" s="212"/>
      <c r="F4" s="212"/>
      <c r="G4" s="212"/>
      <c r="H4" s="212"/>
      <c r="I4" s="212"/>
      <c r="J4" s="212"/>
      <c r="K4" s="212"/>
      <c r="L4" s="212"/>
      <c r="M4" s="212"/>
      <c r="N4" s="212"/>
      <c r="O4" s="212"/>
      <c r="P4" s="212"/>
      <c r="Q4" s="212"/>
      <c r="R4" s="665" t="s">
        <v>182</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66" t="s">
        <v>21</v>
      </c>
      <c r="E8" s="666"/>
      <c r="F8" s="666"/>
      <c r="G8" s="666" t="s">
        <v>24</v>
      </c>
      <c r="H8" s="666"/>
      <c r="I8" s="666"/>
      <c r="J8" s="666" t="s">
        <v>25</v>
      </c>
      <c r="K8" s="666"/>
      <c r="L8" s="666"/>
      <c r="M8" s="666" t="s">
        <v>23</v>
      </c>
      <c r="N8" s="666"/>
      <c r="O8" s="666"/>
      <c r="Q8" s="666" t="s">
        <v>21</v>
      </c>
      <c r="R8" s="666"/>
      <c r="S8" s="666"/>
      <c r="T8" s="666" t="s">
        <v>24</v>
      </c>
      <c r="U8" s="666"/>
      <c r="V8" s="666"/>
      <c r="W8" s="666" t="s">
        <v>25</v>
      </c>
      <c r="X8" s="666"/>
      <c r="Y8" s="666"/>
      <c r="Z8" s="666" t="s">
        <v>23</v>
      </c>
      <c r="AA8" s="666"/>
      <c r="AB8" s="66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184</v>
      </c>
      <c r="B10" s="342">
        <v>11</v>
      </c>
      <c r="C10" s="343" t="s">
        <v>49</v>
      </c>
      <c r="D10" s="374">
        <v>164.05263157894736842105263158</v>
      </c>
      <c r="E10" s="382">
        <v>226.47208121827411167512690358</v>
      </c>
      <c r="F10" s="375">
        <v>187.83902579159790947757871081</v>
      </c>
      <c r="G10" s="374">
        <v>293</v>
      </c>
      <c r="H10" s="382">
        <v>0</v>
      </c>
      <c r="I10" s="375">
        <v>224.9283490730015397252950333</v>
      </c>
      <c r="J10" s="374">
        <v>0</v>
      </c>
      <c r="K10" s="382">
        <v>0</v>
      </c>
      <c r="L10" s="375">
        <v>153.8454019765978428116751958</v>
      </c>
      <c r="M10" s="374">
        <v>165.72727272727272727272727273</v>
      </c>
      <c r="N10" s="382">
        <v>226.47208121827411167512690357</v>
      </c>
      <c r="O10" s="375">
        <v>186.66224018475750577367205543</v>
      </c>
      <c r="P10" s="4"/>
      <c r="Q10" s="354">
        <v>-12.525547089018728352525010840</v>
      </c>
      <c r="R10" s="355">
        <v>4.5062437801421856951730057200</v>
      </c>
      <c r="S10" s="356">
        <v>-0.1069299635085173413556045500</v>
      </c>
      <c r="T10" s="354">
        <v>0</v>
      </c>
      <c r="U10" s="355">
        <v>-100</v>
      </c>
      <c r="V10" s="356">
        <v>7.7146113168833528485216647200</v>
      </c>
      <c r="W10" s="354">
        <v>0</v>
      </c>
      <c r="X10" s="355">
        <v>0</v>
      </c>
      <c r="Y10" s="356">
        <v>4.796591172853362336897730900</v>
      </c>
      <c r="Z10" s="354">
        <v>-11.632612200610776502651407250</v>
      </c>
      <c r="AA10" s="355">
        <v>4.5345276810198486059934950600</v>
      </c>
      <c r="AB10" s="356">
        <v>0.2969260397504829801347802300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12</v>
      </c>
      <c r="C11" s="345" t="s">
        <v>47</v>
      </c>
      <c r="D11" s="370">
        <v>145.3013698630136986301369863</v>
      </c>
      <c r="E11" s="172">
        <v>212.20338983050847457627118642</v>
      </c>
      <c r="F11" s="371">
        <v>188.29328276730299872465086984</v>
      </c>
      <c r="G11" s="370">
        <v>169</v>
      </c>
      <c r="H11" s="172">
        <v>0</v>
      </c>
      <c r="I11" s="371">
        <v>243.77858668524414882351464604</v>
      </c>
      <c r="J11" s="370">
        <v>0</v>
      </c>
      <c r="K11" s="172">
        <v>0</v>
      </c>
      <c r="L11" s="371">
        <v>151.16770914954965559033249275</v>
      </c>
      <c r="M11" s="370">
        <v>148.4047619047619047619047619</v>
      </c>
      <c r="N11" s="172">
        <v>212.20338983050847457627118643</v>
      </c>
      <c r="O11" s="371">
        <v>194.70197668525088697415103903</v>
      </c>
      <c r="P11" s="4"/>
      <c r="Q11" s="327">
        <v>-5.560855242211772716320123600</v>
      </c>
      <c r="R11" s="171">
        <v>-2.0154980051983251399506694100</v>
      </c>
      <c r="S11" s="328">
        <v>-0.7681071173541580103803109500</v>
      </c>
      <c r="T11" s="327">
        <v>0</v>
      </c>
      <c r="U11" s="171">
        <v>0</v>
      </c>
      <c r="V11" s="328">
        <v>16.533226661984620983499886860</v>
      </c>
      <c r="W11" s="327">
        <v>0</v>
      </c>
      <c r="X11" s="171">
        <v>0</v>
      </c>
      <c r="Y11" s="328">
        <v>-2.1319358014718964469972458100</v>
      </c>
      <c r="Z11" s="327">
        <v>-3.5437944908428317595301016900</v>
      </c>
      <c r="AA11" s="171">
        <v>-2.0154980051983251399506694100</v>
      </c>
      <c r="AB11" s="328">
        <v>2.2651615809730942440196023600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13</v>
      </c>
      <c r="C12" s="347" t="s">
        <v>48</v>
      </c>
      <c r="D12" s="378">
        <v>157.91358024691358024691358025</v>
      </c>
      <c r="E12" s="173">
        <v>205.6216216216216216216216216</v>
      </c>
      <c r="F12" s="379">
        <v>195.53685132333711219178341657</v>
      </c>
      <c r="G12" s="378">
        <v>169</v>
      </c>
      <c r="H12" s="173">
        <v>190.19999999999999999999999998</v>
      </c>
      <c r="I12" s="379">
        <v>253.56210187318327970561182638</v>
      </c>
      <c r="J12" s="378">
        <v>0</v>
      </c>
      <c r="K12" s="173">
        <v>0</v>
      </c>
      <c r="L12" s="379">
        <v>127.77689848517854278094150901</v>
      </c>
      <c r="M12" s="378">
        <v>159.23913043478260869565217391</v>
      </c>
      <c r="N12" s="173">
        <v>205.21578947368421052631578946</v>
      </c>
      <c r="O12" s="379">
        <v>201.04808877928483353884093711</v>
      </c>
      <c r="P12" s="4"/>
      <c r="Q12" s="359">
        <v>3.6153397959924425477974264900</v>
      </c>
      <c r="R12" s="170">
        <v>-5.1782969573450401743403198900</v>
      </c>
      <c r="S12" s="360">
        <v>-1.3254656766337089761685823300</v>
      </c>
      <c r="T12" s="359">
        <v>0</v>
      </c>
      <c r="U12" s="170">
        <v>0</v>
      </c>
      <c r="V12" s="360">
        <v>17.155028583571062333883762660</v>
      </c>
      <c r="W12" s="359">
        <v>0</v>
      </c>
      <c r="X12" s="170">
        <v>0</v>
      </c>
      <c r="Y12" s="360">
        <v>-14.589619521767061146538708620</v>
      </c>
      <c r="Z12" s="359">
        <v>4.4851024403320540846857472300</v>
      </c>
      <c r="AA12" s="170">
        <v>-5.3654450554555433845225429400</v>
      </c>
      <c r="AB12" s="360">
        <v>1.4120719186807644707012806700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14</v>
      </c>
      <c r="C13" s="345" t="s">
        <v>50</v>
      </c>
      <c r="D13" s="370">
        <v>150.6265060240963855421686747</v>
      </c>
      <c r="E13" s="172">
        <v>193.8277511961722488038277512</v>
      </c>
      <c r="F13" s="371">
        <v>193.90462743343319857772283028</v>
      </c>
      <c r="G13" s="370">
        <v>169</v>
      </c>
      <c r="H13" s="172">
        <v>181.66666666666666666666666667</v>
      </c>
      <c r="I13" s="371">
        <v>246.11542109399812118912019081</v>
      </c>
      <c r="J13" s="370">
        <v>0</v>
      </c>
      <c r="K13" s="172">
        <v>0</v>
      </c>
      <c r="L13" s="371">
        <v>155.37456964799393747275181162</v>
      </c>
      <c r="M13" s="370">
        <v>152.77659574468085106382978723</v>
      </c>
      <c r="N13" s="172">
        <v>193.48837209302325581395348837</v>
      </c>
      <c r="O13" s="371">
        <v>203.80325361512791991101223582</v>
      </c>
      <c r="P13" s="4"/>
      <c r="Q13" s="327">
        <v>-3.256795965889883560230957600</v>
      </c>
      <c r="R13" s="171">
        <v>-2.9810800198258164577388274600</v>
      </c>
      <c r="S13" s="328">
        <v>-0.7827492435056138653150898400</v>
      </c>
      <c r="T13" s="327">
        <v>0</v>
      </c>
      <c r="U13" s="171">
        <v>0</v>
      </c>
      <c r="V13" s="328">
        <v>15.148988131949916473390715660</v>
      </c>
      <c r="W13" s="327">
        <v>0</v>
      </c>
      <c r="X13" s="171">
        <v>0</v>
      </c>
      <c r="Y13" s="328">
        <v>2.3440785115854915600812409700</v>
      </c>
      <c r="Z13" s="327">
        <v>-1.8758533016759899506322162300</v>
      </c>
      <c r="AA13" s="171">
        <v>-3.1509534969113085612125012500</v>
      </c>
      <c r="AB13" s="328">
        <v>3.9596131625500054530012018900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15</v>
      </c>
      <c r="C14" s="347" t="s">
        <v>51</v>
      </c>
      <c r="D14" s="378">
        <v>168.40625</v>
      </c>
      <c r="E14" s="173">
        <v>206.47107438016528925619834709</v>
      </c>
      <c r="F14" s="379">
        <v>206.87168098620459952202862562</v>
      </c>
      <c r="G14" s="378">
        <v>169</v>
      </c>
      <c r="H14" s="173">
        <v>138.99999999999999999999999999</v>
      </c>
      <c r="I14" s="379">
        <v>230.54548933076771059731798811</v>
      </c>
      <c r="J14" s="378">
        <v>0</v>
      </c>
      <c r="K14" s="173">
        <v>0</v>
      </c>
      <c r="L14" s="379">
        <v>153.04254725205023249986292809</v>
      </c>
      <c r="M14" s="378">
        <v>168.46728971962616822429906542</v>
      </c>
      <c r="N14" s="173">
        <v>205.10526315789473684210526314</v>
      </c>
      <c r="O14" s="379">
        <v>206.82131324004305705059203445</v>
      </c>
      <c r="P14" s="4"/>
      <c r="Q14" s="359">
        <v>-13.556046297226931083258496540</v>
      </c>
      <c r="R14" s="170">
        <v>-10.713737948342692396472464130</v>
      </c>
      <c r="S14" s="360">
        <v>0.2927879526607325041692578900</v>
      </c>
      <c r="T14" s="359">
        <v>0</v>
      </c>
      <c r="U14" s="170">
        <v>0</v>
      </c>
      <c r="V14" s="360">
        <v>8.128373439136671318606905900</v>
      </c>
      <c r="W14" s="359">
        <v>0</v>
      </c>
      <c r="X14" s="170">
        <v>0</v>
      </c>
      <c r="Y14" s="360">
        <v>4.7628780338059145995654476900</v>
      </c>
      <c r="Z14" s="359">
        <v>-13.524714237416830599227164150</v>
      </c>
      <c r="AA14" s="170">
        <v>-11.30436876222708946200350200</v>
      </c>
      <c r="AB14" s="360">
        <v>1.8409608838959258255218996400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16</v>
      </c>
      <c r="C15" s="345" t="s">
        <v>52</v>
      </c>
      <c r="D15" s="370">
        <v>260.22807017543859649122807018</v>
      </c>
      <c r="E15" s="172">
        <v>289.25547445255474452554744526</v>
      </c>
      <c r="F15" s="371">
        <v>238.57596759605351735053216198</v>
      </c>
      <c r="G15" s="370">
        <v>0</v>
      </c>
      <c r="H15" s="172">
        <v>0</v>
      </c>
      <c r="I15" s="371">
        <v>230.53192296942985181162599712</v>
      </c>
      <c r="J15" s="370">
        <v>0</v>
      </c>
      <c r="K15" s="172">
        <v>0</v>
      </c>
      <c r="L15" s="371">
        <v>158.49972563882665489938140433</v>
      </c>
      <c r="M15" s="370">
        <v>260.22807017543859649122807018</v>
      </c>
      <c r="N15" s="172">
        <v>289.25547445255474452554744527</v>
      </c>
      <c r="O15" s="371">
        <v>229.9616125150421179302045728</v>
      </c>
      <c r="P15" s="4"/>
      <c r="Q15" s="327">
        <v>0.8741602565764204145926959900</v>
      </c>
      <c r="R15" s="171">
        <v>-2.0873031108786410878297339900</v>
      </c>
      <c r="S15" s="328">
        <v>0.9405365859576283211413938600</v>
      </c>
      <c r="T15" s="327">
        <v>0</v>
      </c>
      <c r="U15" s="171">
        <v>0</v>
      </c>
      <c r="V15" s="328">
        <v>2.3090386888863287275049983700</v>
      </c>
      <c r="W15" s="327">
        <v>0</v>
      </c>
      <c r="X15" s="171">
        <v>0</v>
      </c>
      <c r="Y15" s="328">
        <v>7.0779911384078975525211728500</v>
      </c>
      <c r="Z15" s="327">
        <v>0.8741602565764204145926959900</v>
      </c>
      <c r="AA15" s="171">
        <v>-2.0873031108786410878297339800</v>
      </c>
      <c r="AB15" s="328">
        <v>0.7706268111028434499683060700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17</v>
      </c>
      <c r="C16" s="347" t="s">
        <v>53</v>
      </c>
      <c r="D16" s="378">
        <v>288.45669291338582677165354331</v>
      </c>
      <c r="E16" s="173">
        <v>292.01618122977346278317152104</v>
      </c>
      <c r="F16" s="379">
        <v>235.55368793832105537013924784</v>
      </c>
      <c r="G16" s="378">
        <v>0</v>
      </c>
      <c r="H16" s="173">
        <v>339</v>
      </c>
      <c r="I16" s="379">
        <v>222.62772689236764704155284208</v>
      </c>
      <c r="J16" s="378">
        <v>0</v>
      </c>
      <c r="K16" s="173">
        <v>0</v>
      </c>
      <c r="L16" s="379">
        <v>154.70964002369222553655945392</v>
      </c>
      <c r="M16" s="378">
        <v>288.45669291338582677165354331</v>
      </c>
      <c r="N16" s="173">
        <v>292.16774193548387096774193548</v>
      </c>
      <c r="O16" s="379">
        <v>226.74874010079193664506839453</v>
      </c>
      <c r="P16" s="4"/>
      <c r="Q16" s="359">
        <v>3.7990806759759846514002311900</v>
      </c>
      <c r="R16" s="170">
        <v>-4.4867059694105498901727014700</v>
      </c>
      <c r="S16" s="360">
        <v>-1.3580925141515459009088108600</v>
      </c>
      <c r="T16" s="359">
        <v>0</v>
      </c>
      <c r="U16" s="170">
        <v>0</v>
      </c>
      <c r="V16" s="360">
        <v>3.1903993389409261510286299100</v>
      </c>
      <c r="W16" s="359">
        <v>0</v>
      </c>
      <c r="X16" s="170">
        <v>0</v>
      </c>
      <c r="Y16" s="360">
        <v>4.608961780479567747692120600</v>
      </c>
      <c r="Z16" s="359">
        <v>3.7990806759759846514002311900</v>
      </c>
      <c r="AA16" s="170">
        <v>-4.4371331608523442113013897200</v>
      </c>
      <c r="AB16" s="360">
        <v>-0.9750834339393514986266116700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18</v>
      </c>
      <c r="C17" s="345" t="s">
        <v>49</v>
      </c>
      <c r="D17" s="370">
        <v>200.98019801980198019801980198</v>
      </c>
      <c r="E17" s="172">
        <v>250.53505535055350553505535055</v>
      </c>
      <c r="F17" s="371">
        <v>194.86547426817902658923709096</v>
      </c>
      <c r="G17" s="370">
        <v>151.41176470588235294117647059</v>
      </c>
      <c r="H17" s="172">
        <v>339.000000000000000000000000</v>
      </c>
      <c r="I17" s="371">
        <v>236.68012179753942741019925987</v>
      </c>
      <c r="J17" s="370">
        <v>0</v>
      </c>
      <c r="K17" s="172">
        <v>0</v>
      </c>
      <c r="L17" s="371">
        <v>154.57854580478085775914782524</v>
      </c>
      <c r="M17" s="370">
        <v>193.83898305084745762711864407</v>
      </c>
      <c r="N17" s="172">
        <v>250.86029411764705882352941176</v>
      </c>
      <c r="O17" s="371">
        <v>196.95494142385100630820066086</v>
      </c>
      <c r="P17" s="4"/>
      <c r="Q17" s="327">
        <v>6.5197003994689982095233709500</v>
      </c>
      <c r="R17" s="171">
        <v>16.639166324663657213840552270</v>
      </c>
      <c r="S17" s="328">
        <v>1.3830926614712434124408020700</v>
      </c>
      <c r="T17" s="327">
        <v>0</v>
      </c>
      <c r="U17" s="171">
        <v>0</v>
      </c>
      <c r="V17" s="328">
        <v>9.832853261010659767079915520</v>
      </c>
      <c r="W17" s="327">
        <v>0</v>
      </c>
      <c r="X17" s="171">
        <v>0</v>
      </c>
      <c r="Y17" s="328">
        <v>5.8062617059805829778431710300</v>
      </c>
      <c r="Z17" s="327">
        <v>2.7348495212432164566381889200</v>
      </c>
      <c r="AA17" s="171">
        <v>16.790584570693831754439823930</v>
      </c>
      <c r="AB17" s="328">
        <v>3.2060188925835590766708626400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19</v>
      </c>
      <c r="C18" s="347" t="s">
        <v>47</v>
      </c>
      <c r="D18" s="378">
        <v>216.2</v>
      </c>
      <c r="E18" s="173">
        <v>248.4962406015037593984962406</v>
      </c>
      <c r="F18" s="379">
        <v>199.57389059204563425614444002</v>
      </c>
      <c r="G18" s="378">
        <v>139.08823529411764705882352941</v>
      </c>
      <c r="H18" s="173">
        <v>339</v>
      </c>
      <c r="I18" s="379">
        <v>223.60766665029584047290183679</v>
      </c>
      <c r="J18" s="378">
        <v>0</v>
      </c>
      <c r="K18" s="173">
        <v>0</v>
      </c>
      <c r="L18" s="379">
        <v>149.93361607471627407193147457</v>
      </c>
      <c r="M18" s="378">
        <v>194.1680672268907563025210084</v>
      </c>
      <c r="N18" s="173">
        <v>251.45818181818181818181818182</v>
      </c>
      <c r="O18" s="379">
        <v>198.94059706016063039854523413</v>
      </c>
      <c r="P18" s="4"/>
      <c r="Q18" s="359">
        <v>44.917788599288437190168842950</v>
      </c>
      <c r="R18" s="170">
        <v>10.279396716659993726657600860</v>
      </c>
      <c r="S18" s="360">
        <v>3.906336613757865260372634800</v>
      </c>
      <c r="T18" s="359">
        <v>0</v>
      </c>
      <c r="U18" s="170">
        <v>0</v>
      </c>
      <c r="V18" s="360">
        <v>2.1425040667090080688021152400</v>
      </c>
      <c r="W18" s="359">
        <v>0</v>
      </c>
      <c r="X18" s="170">
        <v>0</v>
      </c>
      <c r="Y18" s="360">
        <v>4.8919710611927540701506655100</v>
      </c>
      <c r="Z18" s="359">
        <v>30.149893242918501765251645500</v>
      </c>
      <c r="AA18" s="170">
        <v>11.593867670807255682414993010</v>
      </c>
      <c r="AB18" s="360">
        <v>3.4865546235043198817067099800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20</v>
      </c>
      <c r="C19" s="345" t="s">
        <v>48</v>
      </c>
      <c r="D19" s="370">
        <v>223.81428571428571428571428571</v>
      </c>
      <c r="E19" s="172">
        <v>225.96694214876033057851239669</v>
      </c>
      <c r="F19" s="371">
        <v>200.89537797313421531327979993</v>
      </c>
      <c r="G19" s="370">
        <v>171.3125</v>
      </c>
      <c r="H19" s="172">
        <v>339</v>
      </c>
      <c r="I19" s="371">
        <v>213.39937060346125739625779986</v>
      </c>
      <c r="J19" s="370">
        <v>0</v>
      </c>
      <c r="K19" s="172">
        <v>0</v>
      </c>
      <c r="L19" s="371">
        <v>143.73424171764051442363980609</v>
      </c>
      <c r="M19" s="370">
        <v>202.45762711864406779661016949</v>
      </c>
      <c r="N19" s="172">
        <v>232.56420233463035019455252919</v>
      </c>
      <c r="O19" s="371">
        <v>197.84448409158489443948855189</v>
      </c>
      <c r="P19" s="4"/>
      <c r="Q19" s="327">
        <v>68.136939257333318637126278890</v>
      </c>
      <c r="R19" s="171">
        <v>-0.7738246899743093132958134700</v>
      </c>
      <c r="S19" s="328">
        <v>2.5471191929734632395753212100</v>
      </c>
      <c r="T19" s="327">
        <v>0</v>
      </c>
      <c r="U19" s="171">
        <v>-3.4188034188034188034188034200</v>
      </c>
      <c r="V19" s="328">
        <v>1.6728736998007116354456599300</v>
      </c>
      <c r="W19" s="327">
        <v>0</v>
      </c>
      <c r="X19" s="171">
        <v>0</v>
      </c>
      <c r="Y19" s="328">
        <v>-1.8197134799911341012088765900</v>
      </c>
      <c r="Z19" s="327">
        <v>52.093087554234426002223326040</v>
      </c>
      <c r="AA19" s="171">
        <v>1.0073206381499654402408148400</v>
      </c>
      <c r="AB19" s="328">
        <v>1.8986396772714385010531908500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21</v>
      </c>
      <c r="C20" s="347" t="s">
        <v>50</v>
      </c>
      <c r="D20" s="378">
        <v>194.44736842105263157894736842</v>
      </c>
      <c r="E20" s="173">
        <v>208.76767676767676767676767677</v>
      </c>
      <c r="F20" s="379">
        <v>195.43699974082740194426708068</v>
      </c>
      <c r="G20" s="378">
        <v>167.18</v>
      </c>
      <c r="H20" s="173">
        <v>339</v>
      </c>
      <c r="I20" s="379">
        <v>207.51535207000033465174578575</v>
      </c>
      <c r="J20" s="378">
        <v>0</v>
      </c>
      <c r="K20" s="173">
        <v>0</v>
      </c>
      <c r="L20" s="379">
        <v>148.44087671468015759727311887</v>
      </c>
      <c r="M20" s="378">
        <v>183.62698412698412698412698413</v>
      </c>
      <c r="N20" s="173">
        <v>217.36792452830188679245283017</v>
      </c>
      <c r="O20" s="379">
        <v>193.3490707434052757793764988</v>
      </c>
      <c r="P20" s="4"/>
      <c r="Q20" s="359">
        <v>35.632279811802249618748780060</v>
      </c>
      <c r="R20" s="170">
        <v>5.8664476851432561087186028400</v>
      </c>
      <c r="S20" s="360">
        <v>4.0073004711734923097824954700</v>
      </c>
      <c r="T20" s="359">
        <v>0</v>
      </c>
      <c r="U20" s="170">
        <v>-10.554089709762532981530343010</v>
      </c>
      <c r="V20" s="360">
        <v>1.9165891333381870804916839200</v>
      </c>
      <c r="W20" s="359">
        <v>0</v>
      </c>
      <c r="X20" s="170">
        <v>0</v>
      </c>
      <c r="Y20" s="360">
        <v>-5.5112060050585299077070648600</v>
      </c>
      <c r="Z20" s="359">
        <v>28.084770158360033982627156980</v>
      </c>
      <c r="AA20" s="170">
        <v>3.0711147397365386390650417100</v>
      </c>
      <c r="AB20" s="360">
        <v>2.9719144962297747254309654800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22</v>
      </c>
      <c r="C21" s="345" t="s">
        <v>51</v>
      </c>
      <c r="D21" s="370">
        <v>200.31325301204819277108433735</v>
      </c>
      <c r="E21" s="172">
        <v>237.26315789473684210526315789</v>
      </c>
      <c r="F21" s="371">
        <v>188.02430049859101167130628015</v>
      </c>
      <c r="G21" s="370">
        <v>164.27906976744186046511627907</v>
      </c>
      <c r="H21" s="172">
        <v>339</v>
      </c>
      <c r="I21" s="371">
        <v>199.26986728278809743135750755</v>
      </c>
      <c r="J21" s="370">
        <v>0</v>
      </c>
      <c r="K21" s="172">
        <v>0</v>
      </c>
      <c r="L21" s="371">
        <v>186.59664462477529557745401103</v>
      </c>
      <c r="M21" s="370">
        <v>188.01587301587301587301587302</v>
      </c>
      <c r="N21" s="172">
        <v>240.71186440677966101694915253</v>
      </c>
      <c r="O21" s="371">
        <v>190.21664094289322295496001122</v>
      </c>
      <c r="P21" s="4"/>
      <c r="Q21" s="327">
        <v>26.612190515938602723786536160</v>
      </c>
      <c r="R21" s="171">
        <v>4.4971811161034330229685244200</v>
      </c>
      <c r="S21" s="328">
        <v>-4.367782984559985383377277500</v>
      </c>
      <c r="T21" s="327">
        <v>0</v>
      </c>
      <c r="U21" s="171">
        <v>-10.554089709762532981530343010</v>
      </c>
      <c r="V21" s="328">
        <v>-1.7658662322624172187090687600</v>
      </c>
      <c r="W21" s="327">
        <v>0</v>
      </c>
      <c r="X21" s="171">
        <v>0</v>
      </c>
      <c r="Y21" s="328">
        <v>25.181477061399892605222105710</v>
      </c>
      <c r="Z21" s="327">
        <v>18.839373712704043760919382560</v>
      </c>
      <c r="AA21" s="171">
        <v>1.439546381851728962565748100</v>
      </c>
      <c r="AB21" s="328">
        <v>-1.7387826316120994421011062200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23</v>
      </c>
      <c r="C22" s="347" t="s">
        <v>52</v>
      </c>
      <c r="D22" s="378">
        <v>244.83157894736842105263157895</v>
      </c>
      <c r="E22" s="173">
        <v>303.64583333333333333333333333</v>
      </c>
      <c r="F22" s="379">
        <v>219.64050530200011568341647103</v>
      </c>
      <c r="G22" s="378">
        <v>279</v>
      </c>
      <c r="H22" s="173">
        <v>339.00000000000000000000000</v>
      </c>
      <c r="I22" s="379">
        <v>202.36089712080990610611928342</v>
      </c>
      <c r="J22" s="378">
        <v>0</v>
      </c>
      <c r="K22" s="173">
        <v>0</v>
      </c>
      <c r="L22" s="379">
        <v>174.80704346333547043602608699</v>
      </c>
      <c r="M22" s="378">
        <v>245.53608247422680412371134021</v>
      </c>
      <c r="N22" s="173">
        <v>303.76816608996539792387543252</v>
      </c>
      <c r="O22" s="379">
        <v>213.32581617936279008784581093</v>
      </c>
      <c r="P22" s="4"/>
      <c r="Q22" s="359">
        <v>4.8471678812804128516051589100</v>
      </c>
      <c r="R22" s="170">
        <v>-7.968026433292867220477562620</v>
      </c>
      <c r="S22" s="360">
        <v>-5.2018584613766104498610742500</v>
      </c>
      <c r="T22" s="359">
        <v>0</v>
      </c>
      <c r="U22" s="170">
        <v>-15.973561002469399455907735540</v>
      </c>
      <c r="V22" s="360">
        <v>-7.2446346483483285680721846200</v>
      </c>
      <c r="W22" s="359">
        <v>0</v>
      </c>
      <c r="X22" s="170">
        <v>0</v>
      </c>
      <c r="Y22" s="360">
        <v>11.687963332428976160258131370</v>
      </c>
      <c r="Z22" s="359">
        <v>5.1488658888293241654974514400</v>
      </c>
      <c r="AA22" s="170">
        <v>-8.538228391097749107672467530</v>
      </c>
      <c r="AB22" s="360">
        <v>-4.8851177485765023791463266900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24</v>
      </c>
      <c r="C23" s="345" t="s">
        <v>53</v>
      </c>
      <c r="D23" s="370">
        <v>274.97478991596638655462184874</v>
      </c>
      <c r="E23" s="172">
        <v>366.56129032258064516129032258</v>
      </c>
      <c r="F23" s="371">
        <v>245.73186632036547713823138947</v>
      </c>
      <c r="G23" s="370">
        <v>279</v>
      </c>
      <c r="H23" s="172">
        <v>339.00000000000000000000000</v>
      </c>
      <c r="I23" s="371">
        <v>208.65978394750711986926760425</v>
      </c>
      <c r="J23" s="370">
        <v>0</v>
      </c>
      <c r="K23" s="172">
        <v>0</v>
      </c>
      <c r="L23" s="371">
        <v>161.10357519464039474376175058</v>
      </c>
      <c r="M23" s="370">
        <v>275.00833333333333333333333333</v>
      </c>
      <c r="N23" s="172">
        <v>366.47266881028938906752411574</v>
      </c>
      <c r="O23" s="371">
        <v>234.47331460674157303370786517</v>
      </c>
      <c r="P23" s="4"/>
      <c r="Q23" s="327">
        <v>3.1784599135374364251487541500</v>
      </c>
      <c r="R23" s="171">
        <v>-6.2328545879015263688624694100</v>
      </c>
      <c r="S23" s="328">
        <v>-3.0745825192860338991171147700</v>
      </c>
      <c r="T23" s="327">
        <v>0</v>
      </c>
      <c r="U23" s="171">
        <v>-22.188217291513222018569891870</v>
      </c>
      <c r="V23" s="328">
        <v>-3.4666457224916328976680289200</v>
      </c>
      <c r="W23" s="327">
        <v>0</v>
      </c>
      <c r="X23" s="171">
        <v>0</v>
      </c>
      <c r="Y23" s="328">
        <v>8.243327114003522916060481660</v>
      </c>
      <c r="Z23" s="327">
        <v>3.1910463697184421786804367700</v>
      </c>
      <c r="AA23" s="171">
        <v>-6.4550093486817587424043068100</v>
      </c>
      <c r="AB23" s="328">
        <v>-3.6805614730311761298009937600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25</v>
      </c>
      <c r="C24" s="347" t="s">
        <v>49</v>
      </c>
      <c r="D24" s="378">
        <v>186.29921259842519685039370079</v>
      </c>
      <c r="E24" s="173">
        <v>255.01792114695340501792114695</v>
      </c>
      <c r="F24" s="379">
        <v>196.49928854110943320160227005</v>
      </c>
      <c r="G24" s="378">
        <v>0</v>
      </c>
      <c r="H24" s="173">
        <v>339</v>
      </c>
      <c r="I24" s="379">
        <v>207.0454743521056707098415008</v>
      </c>
      <c r="J24" s="378">
        <v>0</v>
      </c>
      <c r="K24" s="173">
        <v>0</v>
      </c>
      <c r="L24" s="379">
        <v>158.07798168346556206387482466</v>
      </c>
      <c r="M24" s="378">
        <v>186.29921259842519685039370079</v>
      </c>
      <c r="N24" s="173">
        <v>255.31785714285714285714285714</v>
      </c>
      <c r="O24" s="379">
        <v>193.86554044774069495948358742</v>
      </c>
      <c r="P24" s="4"/>
      <c r="Q24" s="359">
        <v>-1.7511997715539748722552936100</v>
      </c>
      <c r="R24" s="170">
        <v>-7.2374554856830051340812272300</v>
      </c>
      <c r="S24" s="360">
        <v>-6.192227091696247582860743500</v>
      </c>
      <c r="T24" s="359">
        <v>0</v>
      </c>
      <c r="U24" s="170">
        <v>15.175537938857890774398511650</v>
      </c>
      <c r="V24" s="360">
        <v>-3.6262000656821731887548296500</v>
      </c>
      <c r="W24" s="359">
        <v>0</v>
      </c>
      <c r="X24" s="170">
        <v>0</v>
      </c>
      <c r="Y24" s="360">
        <v>5.2049848723060288713754136800</v>
      </c>
      <c r="Z24" s="359">
        <v>-1.7511997715539748722552936100</v>
      </c>
      <c r="AA24" s="170">
        <v>-7.1922060142580296623800086200</v>
      </c>
      <c r="AB24" s="360">
        <v>-5.4991502851057245234706233700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26</v>
      </c>
      <c r="C25" s="345" t="s">
        <v>47</v>
      </c>
      <c r="D25" s="370">
        <v>132.52577319587628865979381443</v>
      </c>
      <c r="E25" s="172">
        <v>192.11818181818181818181818182</v>
      </c>
      <c r="F25" s="371">
        <v>165.31521542919969969685454309</v>
      </c>
      <c r="G25" s="370">
        <v>0</v>
      </c>
      <c r="H25" s="172">
        <v>0</v>
      </c>
      <c r="I25" s="371">
        <v>188.82217607725136603580042698</v>
      </c>
      <c r="J25" s="370">
        <v>0</v>
      </c>
      <c r="K25" s="172">
        <v>0</v>
      </c>
      <c r="L25" s="371">
        <v>153.68375931170470399913144695</v>
      </c>
      <c r="M25" s="370">
        <v>132.52577319587628865979381443</v>
      </c>
      <c r="N25" s="172">
        <v>192.11818181818181818181818181</v>
      </c>
      <c r="O25" s="371">
        <v>165.86373453760062831337129393</v>
      </c>
      <c r="P25" s="4"/>
      <c r="Q25" s="327">
        <v>-16.655596115810380280074757980</v>
      </c>
      <c r="R25" s="171">
        <v>-10.424228639957184628609934480</v>
      </c>
      <c r="S25" s="328">
        <v>-2.7026041817987947165534685400</v>
      </c>
      <c r="T25" s="327">
        <v>0</v>
      </c>
      <c r="U25" s="171">
        <v>-100</v>
      </c>
      <c r="V25" s="328">
        <v>-8.642736526881740816144695790</v>
      </c>
      <c r="W25" s="327">
        <v>0</v>
      </c>
      <c r="X25" s="171">
        <v>0</v>
      </c>
      <c r="Y25" s="328">
        <v>4.0568652576899793577755121600</v>
      </c>
      <c r="Z25" s="327">
        <v>-16.655596115810380280074757980</v>
      </c>
      <c r="AA25" s="171">
        <v>-10.507301094917167886920935210</v>
      </c>
      <c r="AB25" s="328">
        <v>-2.1164208178455791699975444400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27</v>
      </c>
      <c r="C26" s="347" t="s">
        <v>48</v>
      </c>
      <c r="D26" s="378">
        <v>118.80681818181818181818181818</v>
      </c>
      <c r="E26" s="173">
        <v>203.86842105263157894736842103</v>
      </c>
      <c r="F26" s="379">
        <v>165.75900203936308006059447569</v>
      </c>
      <c r="G26" s="378">
        <v>0</v>
      </c>
      <c r="H26" s="173">
        <v>0</v>
      </c>
      <c r="I26" s="379">
        <v>215.52353546437132849000240616</v>
      </c>
      <c r="J26" s="378">
        <v>0</v>
      </c>
      <c r="K26" s="173">
        <v>0</v>
      </c>
      <c r="L26" s="379">
        <v>153.93768715010282868878387597</v>
      </c>
      <c r="M26" s="378">
        <v>118.80681818181818181818181818</v>
      </c>
      <c r="N26" s="173">
        <v>203.86842105263157894736842104</v>
      </c>
      <c r="O26" s="379">
        <v>169.26873239436619718309859155</v>
      </c>
      <c r="P26" s="4"/>
      <c r="Q26" s="359">
        <v>-13.513986013974331072304804310</v>
      </c>
      <c r="R26" s="170">
        <v>-5.4503689190532969709187850300</v>
      </c>
      <c r="S26" s="360">
        <v>-1.8975675995323830777180829200</v>
      </c>
      <c r="T26" s="359">
        <v>0</v>
      </c>
      <c r="U26" s="170">
        <v>-100</v>
      </c>
      <c r="V26" s="360">
        <v>5.9754977716213607628819374900</v>
      </c>
      <c r="W26" s="359">
        <v>0</v>
      </c>
      <c r="X26" s="170">
        <v>0</v>
      </c>
      <c r="Y26" s="360">
        <v>5.3637999078724928840555164700</v>
      </c>
      <c r="Z26" s="359">
        <v>-13.513986013974331072304804310</v>
      </c>
      <c r="AA26" s="170">
        <v>-5.5394113754534864843208026200</v>
      </c>
      <c r="AB26" s="360">
        <v>0.5468056541161999673531230500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28</v>
      </c>
      <c r="C27" s="345" t="s">
        <v>50</v>
      </c>
      <c r="D27" s="370">
        <v>126.5</v>
      </c>
      <c r="E27" s="172">
        <v>207.9</v>
      </c>
      <c r="F27" s="371">
        <v>171.41056530459232880589342845</v>
      </c>
      <c r="G27" s="370">
        <v>0</v>
      </c>
      <c r="H27" s="172">
        <v>0</v>
      </c>
      <c r="I27" s="371">
        <v>224.95514424575750978381044372</v>
      </c>
      <c r="J27" s="370">
        <v>0</v>
      </c>
      <c r="K27" s="172">
        <v>0</v>
      </c>
      <c r="L27" s="371">
        <v>143.16650266222038994741637938</v>
      </c>
      <c r="M27" s="370">
        <v>126.500000000</v>
      </c>
      <c r="N27" s="172">
        <v>207.90000000000000000000000001</v>
      </c>
      <c r="O27" s="371">
        <v>175.7841774246938099966898378</v>
      </c>
      <c r="P27" s="4"/>
      <c r="Q27" s="327">
        <v>-7.912644405766234363386246800</v>
      </c>
      <c r="R27" s="171">
        <v>4.2185105730949840684008518400</v>
      </c>
      <c r="S27" s="328">
        <v>-1.5655310216666770237942271800</v>
      </c>
      <c r="T27" s="327">
        <v>0</v>
      </c>
      <c r="U27" s="171">
        <v>-100</v>
      </c>
      <c r="V27" s="328">
        <v>7.9008776441504008214755158800</v>
      </c>
      <c r="W27" s="327">
        <v>0</v>
      </c>
      <c r="X27" s="171">
        <v>0</v>
      </c>
      <c r="Y27" s="328">
        <v>-11.439327729050675971523888210</v>
      </c>
      <c r="Z27" s="327">
        <v>-7.912644405766234363386246800</v>
      </c>
      <c r="AA27" s="171">
        <v>4.8944949224869839707642134400</v>
      </c>
      <c r="AB27" s="328">
        <v>0.3471745636642451967081477100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29</v>
      </c>
      <c r="C28" s="347" t="s">
        <v>51</v>
      </c>
      <c r="D28" s="378">
        <v>155.88</v>
      </c>
      <c r="E28" s="173">
        <v>239.05952380952380952380952381</v>
      </c>
      <c r="F28" s="379">
        <v>172.49584761328613341478166705</v>
      </c>
      <c r="G28" s="378">
        <v>0</v>
      </c>
      <c r="H28" s="173">
        <v>0</v>
      </c>
      <c r="I28" s="379">
        <v>215.39230539692259745967578472</v>
      </c>
      <c r="J28" s="378">
        <v>0</v>
      </c>
      <c r="K28" s="173">
        <v>0</v>
      </c>
      <c r="L28" s="379">
        <v>149.28169694989991170439441626</v>
      </c>
      <c r="M28" s="378">
        <v>155.880000000</v>
      </c>
      <c r="N28" s="173">
        <v>239.05952380952380952380952382</v>
      </c>
      <c r="O28" s="379">
        <v>175.72698219449094506163445442</v>
      </c>
      <c r="P28" s="4"/>
      <c r="Q28" s="359">
        <v>0.459720730375841091142776400</v>
      </c>
      <c r="R28" s="170">
        <v>2.7024956112037405325802869400</v>
      </c>
      <c r="S28" s="360">
        <v>-6.3263843659524037358897635200</v>
      </c>
      <c r="T28" s="359">
        <v>0</v>
      </c>
      <c r="U28" s="170">
        <v>0</v>
      </c>
      <c r="V28" s="360">
        <v>1.5199492389590982554343673100</v>
      </c>
      <c r="W28" s="359">
        <v>0</v>
      </c>
      <c r="X28" s="170">
        <v>0</v>
      </c>
      <c r="Y28" s="360">
        <v>6.6425824547287728717856862400</v>
      </c>
      <c r="Z28" s="359">
        <v>0.459720730375841091142776400</v>
      </c>
      <c r="AA28" s="170">
        <v>2.7024956112037405325802869500</v>
      </c>
      <c r="AB28" s="360">
        <v>-3.7335172003712346719136003400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30</v>
      </c>
      <c r="C29" s="345" t="s">
        <v>52</v>
      </c>
      <c r="D29" s="370">
        <v>221.08247422680412371134020619</v>
      </c>
      <c r="E29" s="172">
        <v>290.58528428093645484949832779</v>
      </c>
      <c r="F29" s="371">
        <v>214.28082332635909992555200159</v>
      </c>
      <c r="G29" s="370">
        <v>0</v>
      </c>
      <c r="H29" s="172">
        <v>0</v>
      </c>
      <c r="I29" s="371">
        <v>205.11940352513005371500709468</v>
      </c>
      <c r="J29" s="370">
        <v>0</v>
      </c>
      <c r="K29" s="172">
        <v>0</v>
      </c>
      <c r="L29" s="371">
        <v>134.67267053483553483773470504</v>
      </c>
      <c r="M29" s="370">
        <v>221.08247422680412371134020619</v>
      </c>
      <c r="N29" s="172">
        <v>290.58528428093645484949832778</v>
      </c>
      <c r="O29" s="371">
        <v>205.89852960657040667638097761</v>
      </c>
      <c r="P29" s="4"/>
      <c r="Q29" s="327">
        <v>-10.233786900799655028091700290</v>
      </c>
      <c r="R29" s="171">
        <v>0.1729365419354655770132219700</v>
      </c>
      <c r="S29" s="328">
        <v>-0.0514280219241528550353826100</v>
      </c>
      <c r="T29" s="327">
        <v>0</v>
      </c>
      <c r="U29" s="171">
        <v>-100</v>
      </c>
      <c r="V29" s="328">
        <v>-0.6973533209162881811612293400</v>
      </c>
      <c r="W29" s="327">
        <v>0</v>
      </c>
      <c r="X29" s="171">
        <v>0</v>
      </c>
      <c r="Y29" s="328">
        <v>-7.3202585408257719613982150200</v>
      </c>
      <c r="Z29" s="327">
        <v>-10.233786900799655028091700290</v>
      </c>
      <c r="AA29" s="171">
        <v>1.780585219983890182825700100</v>
      </c>
      <c r="AB29" s="328">
        <v>-1.4828433519241820970443697100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31</v>
      </c>
      <c r="C30" s="347" t="s">
        <v>53</v>
      </c>
      <c r="D30" s="378">
        <v>237.72916666666666666666666667</v>
      </c>
      <c r="E30" s="173">
        <v>248.01736111111111111111111111</v>
      </c>
      <c r="F30" s="379">
        <v>211.25211409885608287018161235</v>
      </c>
      <c r="G30" s="378">
        <v>0</v>
      </c>
      <c r="H30" s="173">
        <v>0</v>
      </c>
      <c r="I30" s="379">
        <v>208.30285583304954944756514012</v>
      </c>
      <c r="J30" s="378">
        <v>0</v>
      </c>
      <c r="K30" s="173">
        <v>0</v>
      </c>
      <c r="L30" s="379">
        <v>152.65133547733366696045832069</v>
      </c>
      <c r="M30" s="378">
        <v>237.72916666666666666666666667</v>
      </c>
      <c r="N30" s="173">
        <v>248.01736111111111111111111111</v>
      </c>
      <c r="O30" s="379">
        <v>205.52435897435897435897435897</v>
      </c>
      <c r="P30" s="4"/>
      <c r="Q30" s="359">
        <v>-6.6912249686314204330709418700</v>
      </c>
      <c r="R30" s="170">
        <v>-11.970222546301268637770528570</v>
      </c>
      <c r="S30" s="360">
        <v>-2.411650713521375384286926800</v>
      </c>
      <c r="T30" s="359">
        <v>0</v>
      </c>
      <c r="U30" s="170">
        <v>-100</v>
      </c>
      <c r="V30" s="360">
        <v>1.8583394743337313642371204600</v>
      </c>
      <c r="W30" s="359">
        <v>0</v>
      </c>
      <c r="X30" s="170">
        <v>0</v>
      </c>
      <c r="Y30" s="360">
        <v>-0.2480127021454438926327504400</v>
      </c>
      <c r="Z30" s="359">
        <v>-6.6912249686314204330709418700</v>
      </c>
      <c r="AA30" s="170">
        <v>-11.208911178816498431381382760</v>
      </c>
      <c r="AB30" s="360">
        <v>-1.9934064574837634967681749500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t="s">
        <v>181</v>
      </c>
      <c r="B31" s="660">
        <v>1</v>
      </c>
      <c r="C31" s="667" t="s">
        <v>49</v>
      </c>
      <c r="D31" s="668">
        <v>162.56666666666666666666666667</v>
      </c>
      <c r="E31" s="669">
        <v>196.66818181818181818181818182</v>
      </c>
      <c r="F31" s="670">
        <v>163.52499316659383860757574146</v>
      </c>
      <c r="G31" s="668">
        <v>0</v>
      </c>
      <c r="H31" s="669">
        <v>0</v>
      </c>
      <c r="I31" s="670">
        <v>191.71950301541388335108561294</v>
      </c>
      <c r="J31" s="668">
        <v>0</v>
      </c>
      <c r="K31" s="669">
        <v>0</v>
      </c>
      <c r="L31" s="670">
        <v>147.40967472594922145385163384</v>
      </c>
      <c r="M31" s="668">
        <v>162.56666666666666666666666667</v>
      </c>
      <c r="N31" s="669">
        <v>196.6681818181818181818181818</v>
      </c>
      <c r="O31" s="670">
        <v>164.23688258417364553067851649</v>
      </c>
      <c r="P31" s="4"/>
      <c r="Q31" s="662">
        <v>9.795487937844278227009511470</v>
      </c>
      <c r="R31" s="663">
        <v>-6.3432173129104804575597780700</v>
      </c>
      <c r="S31" s="664">
        <v>-6.746415957367315612520027600</v>
      </c>
      <c r="T31" s="662">
        <v>0</v>
      </c>
      <c r="U31" s="663">
        <v>-100</v>
      </c>
      <c r="V31" s="664">
        <v>-9.215635508542305491269428690</v>
      </c>
      <c r="W31" s="662">
        <v>0</v>
      </c>
      <c r="X31" s="663">
        <v>0</v>
      </c>
      <c r="Y31" s="664">
        <v>-0.983823183670521901043621200</v>
      </c>
      <c r="Z31" s="662">
        <v>9.795487937844278227009511470</v>
      </c>
      <c r="AA31" s="663">
        <v>-5.9021298106488084234800402400</v>
      </c>
      <c r="AB31" s="664">
        <v>-5.981028707286948996740954500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2</v>
      </c>
      <c r="C32" s="347" t="s">
        <v>47</v>
      </c>
      <c r="D32" s="378">
        <v>141.94318181818181818181818182</v>
      </c>
      <c r="E32" s="173">
        <v>212.48591549295774647887323943</v>
      </c>
      <c r="F32" s="379">
        <v>164.81032270990683201529315933</v>
      </c>
      <c r="G32" s="378">
        <v>0</v>
      </c>
      <c r="H32" s="173">
        <v>0</v>
      </c>
      <c r="I32" s="379">
        <v>172.62635413584558974762857288</v>
      </c>
      <c r="J32" s="378">
        <v>0</v>
      </c>
      <c r="K32" s="173">
        <v>0</v>
      </c>
      <c r="L32" s="379">
        <v>156.14626513216088585645290199</v>
      </c>
      <c r="M32" s="378">
        <v>141.94318181818181818181818182</v>
      </c>
      <c r="N32" s="173">
        <v>212.48591549295774647887323943</v>
      </c>
      <c r="O32" s="379">
        <v>165.14677685950413223140495868</v>
      </c>
      <c r="P32" s="4"/>
      <c r="Q32" s="359">
        <v>5.7052528338186463488078391600</v>
      </c>
      <c r="R32" s="170">
        <v>9.006023471879515123812915780</v>
      </c>
      <c r="S32" s="360">
        <v>-2.5856368190137088205833812600</v>
      </c>
      <c r="T32" s="359">
        <v>-100</v>
      </c>
      <c r="U32" s="170">
        <v>-100</v>
      </c>
      <c r="V32" s="360">
        <v>-16.482571616809468220856942280</v>
      </c>
      <c r="W32" s="359">
        <v>0</v>
      </c>
      <c r="X32" s="170">
        <v>0</v>
      </c>
      <c r="Y32" s="360">
        <v>5.2002098692333684880320058600</v>
      </c>
      <c r="Z32" s="359">
        <v>4.64546943912155473457907400</v>
      </c>
      <c r="AA32" s="170">
        <v>9.337731741474278781260650830</v>
      </c>
      <c r="AB32" s="360">
        <v>-3.6750510280695392197662188300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3</v>
      </c>
      <c r="C33" s="345" t="s">
        <v>48</v>
      </c>
      <c r="D33" s="370">
        <v>143.66666666666666666666666667</v>
      </c>
      <c r="E33" s="172">
        <v>208.70370370370370370370370372</v>
      </c>
      <c r="F33" s="371">
        <v>166.66581082893554036255000198</v>
      </c>
      <c r="G33" s="370">
        <v>0</v>
      </c>
      <c r="H33" s="172">
        <v>259.00000000000000000000000003</v>
      </c>
      <c r="I33" s="371">
        <v>182.10560393140201693595196966</v>
      </c>
      <c r="J33" s="370">
        <v>0</v>
      </c>
      <c r="K33" s="172">
        <v>0</v>
      </c>
      <c r="L33" s="371">
        <v>146.00664809397198232979136046</v>
      </c>
      <c r="M33" s="370">
        <v>143.66666666666666666666666667</v>
      </c>
      <c r="N33" s="172">
        <v>211.76521739130434782608695654</v>
      </c>
      <c r="O33" s="371">
        <v>166.93387013876991605276683228</v>
      </c>
      <c r="P33" s="4"/>
      <c r="Q33" s="327">
        <v>8.471924633578424433944240380</v>
      </c>
      <c r="R33" s="171">
        <v>13.671174527278671382458281250</v>
      </c>
      <c r="S33" s="328">
        <v>-2.3085465106630351072800734100</v>
      </c>
      <c r="T33" s="327">
        <v>-100</v>
      </c>
      <c r="U33" s="171">
        <v>73.825503355704697986577181230</v>
      </c>
      <c r="V33" s="328">
        <v>-10.253977979729532610141380190</v>
      </c>
      <c r="W33" s="327">
        <v>0</v>
      </c>
      <c r="X33" s="171">
        <v>0</v>
      </c>
      <c r="Y33" s="328">
        <v>2.9193802574730845683907220100</v>
      </c>
      <c r="Z33" s="327">
        <v>2.5510829837527001178554827300</v>
      </c>
      <c r="AA33" s="171">
        <v>15.662378090637563103136312310</v>
      </c>
      <c r="AB33" s="328">
        <v>-3.2436411108445625406953737100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4</v>
      </c>
      <c r="C34" s="347" t="s">
        <v>50</v>
      </c>
      <c r="D34" s="378">
        <v>139.72368421052631578947368421</v>
      </c>
      <c r="E34" s="173">
        <v>212.92391304347826086956521738</v>
      </c>
      <c r="F34" s="379">
        <v>168.03706790718235650101250213</v>
      </c>
      <c r="G34" s="378">
        <v>0</v>
      </c>
      <c r="H34" s="173">
        <v>227.94444444444444444444444443</v>
      </c>
      <c r="I34" s="379">
        <v>172.34381855125494159617610023</v>
      </c>
      <c r="J34" s="378">
        <v>0</v>
      </c>
      <c r="K34" s="173">
        <v>0</v>
      </c>
      <c r="L34" s="379">
        <v>149.62360053554117538564739287</v>
      </c>
      <c r="M34" s="378">
        <v>139.72368421052631578947368421</v>
      </c>
      <c r="N34" s="173">
        <v>215.38181818181818181818181817</v>
      </c>
      <c r="O34" s="379">
        <v>166.89609763931267062791071142</v>
      </c>
      <c r="P34" s="4"/>
      <c r="Q34" s="359">
        <v>3.158386314501540385911566700</v>
      </c>
      <c r="R34" s="170">
        <v>23.828013555580175367049989090</v>
      </c>
      <c r="S34" s="360">
        <v>-3.3277892827509367614239921500</v>
      </c>
      <c r="T34" s="359">
        <v>-100</v>
      </c>
      <c r="U34" s="170">
        <v>52.982848620432513049962714380</v>
      </c>
      <c r="V34" s="360">
        <v>-18.122219308388562608942486350</v>
      </c>
      <c r="W34" s="359">
        <v>0</v>
      </c>
      <c r="X34" s="170">
        <v>0</v>
      </c>
      <c r="Y34" s="360">
        <v>0.2108830468775604077341462300</v>
      </c>
      <c r="Z34" s="359">
        <v>-0.997924289334281620770125700</v>
      </c>
      <c r="AA34" s="170">
        <v>25.404260950112478496757972730</v>
      </c>
      <c r="AB34" s="360">
        <v>-6.3405338598895327375416375100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5</v>
      </c>
      <c r="C35" s="345" t="s">
        <v>51</v>
      </c>
      <c r="D35" s="370">
        <v>140.22935779816513761467889908</v>
      </c>
      <c r="E35" s="172">
        <v>211.43382352941176470588235293</v>
      </c>
      <c r="F35" s="371">
        <v>168.90543785269951361028332713</v>
      </c>
      <c r="G35" s="370">
        <v>0</v>
      </c>
      <c r="H35" s="172">
        <v>248.99999999999999999999999998</v>
      </c>
      <c r="I35" s="371">
        <v>192.85555552388002205879674194</v>
      </c>
      <c r="J35" s="370">
        <v>0</v>
      </c>
      <c r="K35" s="172">
        <v>0</v>
      </c>
      <c r="L35" s="371">
        <v>150.4400163640217913817985708</v>
      </c>
      <c r="M35" s="370">
        <v>140.22935779816513761467889908</v>
      </c>
      <c r="N35" s="172">
        <v>215.38815789473684210526315789</v>
      </c>
      <c r="O35" s="371">
        <v>172.03059744779582366589327146</v>
      </c>
      <c r="P35" s="4"/>
      <c r="Q35" s="327">
        <v>-8.270413035249292160629989660</v>
      </c>
      <c r="R35" s="171">
        <v>8.458874062800443433923810970</v>
      </c>
      <c r="S35" s="328">
        <v>-5.0153804992784915813438704300</v>
      </c>
      <c r="T35" s="327">
        <v>-100</v>
      </c>
      <c r="U35" s="171">
        <v>0</v>
      </c>
      <c r="V35" s="328">
        <v>-3.8792223994906355338223636400</v>
      </c>
      <c r="W35" s="327">
        <v>0</v>
      </c>
      <c r="X35" s="171">
        <v>0</v>
      </c>
      <c r="Y35" s="328">
        <v>4.0361237632634152403336141100</v>
      </c>
      <c r="Z35" s="327">
        <v>-9.557454595889571220087392880</v>
      </c>
      <c r="AA35" s="171">
        <v>10.487322708205260776459815690</v>
      </c>
      <c r="AB35" s="328">
        <v>-4.27591519889995072430131900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6</v>
      </c>
      <c r="C36" s="347" t="s">
        <v>52</v>
      </c>
      <c r="D36" s="378">
        <v>187.02608695652173913043478261</v>
      </c>
      <c r="E36" s="173">
        <v>242.96296296296296296296296295</v>
      </c>
      <c r="F36" s="379">
        <v>198.7026262603289001156828093</v>
      </c>
      <c r="G36" s="378">
        <v>0</v>
      </c>
      <c r="H36" s="173">
        <v>265.71428571428571428571428569</v>
      </c>
      <c r="I36" s="379">
        <v>194.98816408180743197348947696</v>
      </c>
      <c r="J36" s="378">
        <v>0</v>
      </c>
      <c r="K36" s="173">
        <v>0</v>
      </c>
      <c r="L36" s="379">
        <v>146.6684383011483198303673857</v>
      </c>
      <c r="M36" s="378">
        <v>187.02608695652173913043478261</v>
      </c>
      <c r="N36" s="173">
        <v>245.23809523809523809523809523</v>
      </c>
      <c r="O36" s="379">
        <v>192.95555857569991845610220169</v>
      </c>
      <c r="P36" s="4"/>
      <c r="Q36" s="359">
        <v>-9.553522796470798245967779500</v>
      </c>
      <c r="R36" s="170">
        <v>3.8413415309637189818318291300</v>
      </c>
      <c r="S36" s="360">
        <v>0.3737464957615997293477181600</v>
      </c>
      <c r="T36" s="359">
        <v>-100</v>
      </c>
      <c r="U36" s="170">
        <v>0</v>
      </c>
      <c r="V36" s="360">
        <v>0.5263938709666118931564042300</v>
      </c>
      <c r="W36" s="359">
        <v>0</v>
      </c>
      <c r="X36" s="170">
        <v>0</v>
      </c>
      <c r="Y36" s="360">
        <v>0.7968758226617243088000931500</v>
      </c>
      <c r="Z36" s="359">
        <v>-10.162861456619011699865989600</v>
      </c>
      <c r="AA36" s="170">
        <v>4.8137234311883356883254634200</v>
      </c>
      <c r="AB36" s="360">
        <v>-0.0989183644053146178913036300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7</v>
      </c>
      <c r="C37" s="349" t="s">
        <v>53</v>
      </c>
      <c r="D37" s="380">
        <v>197.89915966386554621848739496</v>
      </c>
      <c r="E37" s="383">
        <v>257.07246376811594202898550724</v>
      </c>
      <c r="F37" s="381">
        <v>199.23102560078519583351226157</v>
      </c>
      <c r="G37" s="380">
        <v>0</v>
      </c>
      <c r="H37" s="383">
        <v>215.5</v>
      </c>
      <c r="I37" s="381">
        <v>200.73594928543362313816593555</v>
      </c>
      <c r="J37" s="380">
        <v>0</v>
      </c>
      <c r="K37" s="383">
        <v>0</v>
      </c>
      <c r="L37" s="381">
        <v>146.00234469771765749795335246</v>
      </c>
      <c r="M37" s="380">
        <v>197.89915966386554621848739496</v>
      </c>
      <c r="N37" s="383">
        <v>254.79452054794520547945205479</v>
      </c>
      <c r="O37" s="381">
        <v>194.49033634538152610441767068</v>
      </c>
      <c r="P37" s="4"/>
      <c r="Q37" s="329">
        <v>4.0303477065518381355510312800</v>
      </c>
      <c r="R37" s="330">
        <v>6.7643421177632544263617075400</v>
      </c>
      <c r="S37" s="332">
        <v>-2.5203858941675221039925916800</v>
      </c>
      <c r="T37" s="329">
        <v>-100</v>
      </c>
      <c r="U37" s="330">
        <v>0</v>
      </c>
      <c r="V37" s="332">
        <v>1.6393670134786189687036704600</v>
      </c>
      <c r="W37" s="329">
        <v>0</v>
      </c>
      <c r="X37" s="330">
        <v>0</v>
      </c>
      <c r="Y37" s="332">
        <v>-0.7022643801993519495660605400</v>
      </c>
      <c r="Z37" s="329">
        <v>4.1063743940709389964496954500</v>
      </c>
      <c r="AA37" s="330">
        <v>5.8182932655512124969631141400</v>
      </c>
      <c r="AB37" s="332">
        <v>-2.0748966853000607798359060100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180.3502538071065989847715736</v>
      </c>
      <c r="E39" s="382">
        <v>234.67114788004136504653567735</v>
      </c>
      <c r="F39" s="375">
        <v>186.55454818005165506990996625</v>
      </c>
      <c r="G39" s="374">
        <v>159.27777777777777777777777778</v>
      </c>
      <c r="H39" s="382">
        <v>339</v>
      </c>
      <c r="I39" s="375">
        <v>218.62436412102650158361690637</v>
      </c>
      <c r="J39" s="374">
        <v>0</v>
      </c>
      <c r="K39" s="382">
        <v>0</v>
      </c>
      <c r="L39" s="375">
        <v>153.42259704226160958907918243</v>
      </c>
      <c r="M39" s="374">
        <v>179.4296116504854368932038835</v>
      </c>
      <c r="N39" s="382">
        <v>234.88648090815273477812177503</v>
      </c>
      <c r="O39" s="375">
        <v>186.25262146802209237172816777</v>
      </c>
      <c r="P39" s="4"/>
      <c r="Q39" s="354">
        <v>0.502546889702601633193429400</v>
      </c>
      <c r="R39" s="355">
        <v>1.1780274108999119016222678600</v>
      </c>
      <c r="S39" s="356">
        <v>-3.03093061610021700746104800</v>
      </c>
      <c r="T39" s="354">
        <v>0</v>
      </c>
      <c r="U39" s="355">
        <v>58.140032102053212943087339350</v>
      </c>
      <c r="V39" s="356">
        <v>2.833546082166424442484881200</v>
      </c>
      <c r="W39" s="354">
        <v>0</v>
      </c>
      <c r="X39" s="355">
        <v>0</v>
      </c>
      <c r="Y39" s="356">
        <v>3.634078058635461587713378800</v>
      </c>
      <c r="Z39" s="354">
        <v>-0.0104930398858384611310696800</v>
      </c>
      <c r="AA39" s="355">
        <v>1.3290058009257253334487845400</v>
      </c>
      <c r="AB39" s="356">
        <v>-1.9502190800266563853589560700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158.39650145772594752186588921</v>
      </c>
      <c r="E40" s="172">
        <v>218.47207915246301215205604737</v>
      </c>
      <c r="F40" s="371">
        <v>179.91323220015599929289021295</v>
      </c>
      <c r="G40" s="370">
        <v>146.4</v>
      </c>
      <c r="H40" s="172">
        <v>339</v>
      </c>
      <c r="I40" s="371">
        <v>212.57047698095874905932564328</v>
      </c>
      <c r="J40" s="370">
        <v>0</v>
      </c>
      <c r="K40" s="172">
        <v>0</v>
      </c>
      <c r="L40" s="371">
        <v>152.65978867020316716030471582</v>
      </c>
      <c r="M40" s="370">
        <v>157.00515463917525773195876289</v>
      </c>
      <c r="N40" s="172">
        <v>219.74488656044336681676480776</v>
      </c>
      <c r="O40" s="371">
        <v>182.1196061028697011960610287</v>
      </c>
      <c r="P40" s="4"/>
      <c r="Q40" s="327">
        <v>5.5924142845163469563778440600</v>
      </c>
      <c r="R40" s="171">
        <v>1.9661352108078063115134313500</v>
      </c>
      <c r="S40" s="328">
        <v>-0.3011664822121558086983114200</v>
      </c>
      <c r="T40" s="327">
        <v>-14.385964912280701754385964910</v>
      </c>
      <c r="U40" s="171">
        <v>74.715120402543239860983890990</v>
      </c>
      <c r="V40" s="328">
        <v>0.4439693032298014627105367800</v>
      </c>
      <c r="W40" s="327">
        <v>0</v>
      </c>
      <c r="X40" s="171">
        <v>0</v>
      </c>
      <c r="Y40" s="328">
        <v>2.8431393935332467998229542800</v>
      </c>
      <c r="Z40" s="327">
        <v>4.5565108340737567495695012900</v>
      </c>
      <c r="AA40" s="171">
        <v>2.617248329464494944823483600</v>
      </c>
      <c r="AB40" s="328">
        <v>0.2543977710169589428157294300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157.8359133126934984520123839</v>
      </c>
      <c r="E41" s="173">
        <v>212.26933484700942948438776858</v>
      </c>
      <c r="F41" s="379">
        <v>182.7956339461235676400050864</v>
      </c>
      <c r="G41" s="378">
        <v>170.88135593220338983050847458</v>
      </c>
      <c r="H41" s="173">
        <v>288.63413387838528359734287175</v>
      </c>
      <c r="I41" s="379">
        <v>219.32118337183126571897456942</v>
      </c>
      <c r="J41" s="378">
        <v>0</v>
      </c>
      <c r="K41" s="173">
        <v>0</v>
      </c>
      <c r="L41" s="379">
        <v>142.87266318702653195903388351</v>
      </c>
      <c r="M41" s="378">
        <v>159.85078534031413612565445026</v>
      </c>
      <c r="N41" s="173">
        <v>215.08658400373255665992732825</v>
      </c>
      <c r="O41" s="379">
        <v>185.05296192976698391860846734</v>
      </c>
      <c r="P41" s="4"/>
      <c r="Q41" s="359">
        <v>13.128226054879479264768969260</v>
      </c>
      <c r="R41" s="170">
        <v>-0.4045362030973166048581971200</v>
      </c>
      <c r="S41" s="360">
        <v>-0.3114254444659537898672549100</v>
      </c>
      <c r="T41" s="359">
        <v>3.7558391351897896942740360300</v>
      </c>
      <c r="U41" s="170">
        <v>7.2821957916144211947565965200</v>
      </c>
      <c r="V41" s="360">
        <v>4.2321802369367439557625897900</v>
      </c>
      <c r="W41" s="359">
        <v>0</v>
      </c>
      <c r="X41" s="170">
        <v>0</v>
      </c>
      <c r="Y41" s="360">
        <v>-2.0738929684730708089653461600</v>
      </c>
      <c r="Z41" s="359">
        <v>13.418639755919435231259101260</v>
      </c>
      <c r="AA41" s="170">
        <v>0.5898231448901894929352754400</v>
      </c>
      <c r="AB41" s="360">
        <v>0.4496407237171672727594231500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151.18731117824773413897280967</v>
      </c>
      <c r="E42" s="172">
        <v>204.92555379547911795026526867</v>
      </c>
      <c r="F42" s="371">
        <v>182.27952395145957415435041673</v>
      </c>
      <c r="G42" s="370">
        <v>167.50819672131147540983606557</v>
      </c>
      <c r="H42" s="172">
        <v>257.74956941095418532552531864</v>
      </c>
      <c r="I42" s="371">
        <v>216.03308612202415499144647541</v>
      </c>
      <c r="J42" s="370">
        <v>0</v>
      </c>
      <c r="K42" s="172">
        <v>0</v>
      </c>
      <c r="L42" s="371">
        <v>149.51695615523518272062314161</v>
      </c>
      <c r="M42" s="370">
        <v>153.72704081632653061224489796</v>
      </c>
      <c r="N42" s="172">
        <v>207.83998916694778753913915246</v>
      </c>
      <c r="O42" s="371">
        <v>185.86186048291432288677151494</v>
      </c>
      <c r="P42" s="4"/>
      <c r="Q42" s="327">
        <v>5.2112805030925569089684739200</v>
      </c>
      <c r="R42" s="171">
        <v>6.164746034918713710550230300</v>
      </c>
      <c r="S42" s="328">
        <v>-0.1787461794695070092603559500</v>
      </c>
      <c r="T42" s="327">
        <v>3.622606901323296409231918800</v>
      </c>
      <c r="U42" s="171">
        <v>-15.842494133808967506338788350</v>
      </c>
      <c r="V42" s="328">
        <v>2.945969622013834504205772600</v>
      </c>
      <c r="W42" s="327">
        <v>0</v>
      </c>
      <c r="X42" s="171">
        <v>0</v>
      </c>
      <c r="Y42" s="328">
        <v>-3.4595691525626986849636849600</v>
      </c>
      <c r="Z42" s="327">
        <v>6.2652197644772402820464909400</v>
      </c>
      <c r="AA42" s="171">
        <v>5.8069727178390556087759947700</v>
      </c>
      <c r="AB42" s="328">
        <v>0.6708433091834747526682721300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164.08762886597938144329896907</v>
      </c>
      <c r="E43" s="173">
        <v>224.45565198023477392903986866</v>
      </c>
      <c r="F43" s="379">
        <v>184.23801288892615147569118249</v>
      </c>
      <c r="G43" s="378">
        <v>165.24074074074074074074074074</v>
      </c>
      <c r="H43" s="173">
        <v>254.10357815442561205273069679</v>
      </c>
      <c r="I43" s="379">
        <v>209.77910469291380699899982048</v>
      </c>
      <c r="J43" s="378">
        <v>0</v>
      </c>
      <c r="K43" s="173">
        <v>0</v>
      </c>
      <c r="L43" s="379">
        <v>158.84594575294845507844081115</v>
      </c>
      <c r="M43" s="378">
        <v>164.22850678733031674208144796</v>
      </c>
      <c r="N43" s="173">
        <v>225.51990869795166876762117603</v>
      </c>
      <c r="O43" s="379">
        <v>186.7478412902305002497680725</v>
      </c>
      <c r="P43" s="4"/>
      <c r="Q43" s="359">
        <v>-0.6704849619105345354823133900</v>
      </c>
      <c r="R43" s="170">
        <v>0.5714596995966285243417631700</v>
      </c>
      <c r="S43" s="360">
        <v>-3.5260609745924256475643798900</v>
      </c>
      <c r="T43" s="359">
        <v>0.3309671868357452465310861700</v>
      </c>
      <c r="U43" s="170">
        <v>-32.954201014663426899015647280</v>
      </c>
      <c r="V43" s="360">
        <v>1.4667569770508869775088328500</v>
      </c>
      <c r="W43" s="359">
        <v>0</v>
      </c>
      <c r="X43" s="170">
        <v>0</v>
      </c>
      <c r="Y43" s="360">
        <v>9.644553740766808925837005960</v>
      </c>
      <c r="Z43" s="359">
        <v>-0.569593403304434266331844900</v>
      </c>
      <c r="AA43" s="170">
        <v>-0.1872015436789287861940093100</v>
      </c>
      <c r="AB43" s="360">
        <v>-1.6195021514352739959408535900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227.738717339667458432304038</v>
      </c>
      <c r="E44" s="172">
        <v>283.29308154598504426054225449</v>
      </c>
      <c r="F44" s="371">
        <v>218.45745333136929092797930739</v>
      </c>
      <c r="G44" s="370">
        <v>279</v>
      </c>
      <c r="H44" s="172">
        <v>268.36410940627084723148765842</v>
      </c>
      <c r="I44" s="371">
        <v>209.60111507060143859023175209</v>
      </c>
      <c r="J44" s="370">
        <v>0</v>
      </c>
      <c r="K44" s="172">
        <v>0</v>
      </c>
      <c r="L44" s="371">
        <v>153.80036804491120825494949464</v>
      </c>
      <c r="M44" s="370">
        <v>227.9810874704491725768321513</v>
      </c>
      <c r="N44" s="172">
        <v>282.92723040001046291876197513</v>
      </c>
      <c r="O44" s="371">
        <v>211.13059265983659706912203346</v>
      </c>
      <c r="P44" s="4"/>
      <c r="Q44" s="327">
        <v>-3.7399917274265337068891713200</v>
      </c>
      <c r="R44" s="171">
        <v>-2.4095524592497435807224801800</v>
      </c>
      <c r="S44" s="328">
        <v>-0.8860673691607929539103074500</v>
      </c>
      <c r="T44" s="327">
        <v>13.877551020408163265306122450</v>
      </c>
      <c r="U44" s="171">
        <v>-1.3939648284677055563790800900</v>
      </c>
      <c r="V44" s="328">
        <v>-0.1236283612431031411073880700</v>
      </c>
      <c r="W44" s="327">
        <v>0</v>
      </c>
      <c r="X44" s="171">
        <v>0</v>
      </c>
      <c r="Y44" s="328">
        <v>3.2476170471904997617633381600</v>
      </c>
      <c r="Z44" s="327">
        <v>-3.6678618161615969566868741100</v>
      </c>
      <c r="AA44" s="171">
        <v>-2.4320892749971663318204882100</v>
      </c>
      <c r="AB44" s="328">
        <v>-1.1977735601392713557778847300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251.03687635574837310195227766</v>
      </c>
      <c r="E45" s="385">
        <v>293.08948439299064683522341918</v>
      </c>
      <c r="F45" s="386">
        <v>224.13301459198862895430296469</v>
      </c>
      <c r="G45" s="384">
        <v>279</v>
      </c>
      <c r="H45" s="385">
        <v>229.83340471092077087794432548</v>
      </c>
      <c r="I45" s="386">
        <v>209.25252403541032551660843196</v>
      </c>
      <c r="J45" s="384">
        <v>0</v>
      </c>
      <c r="K45" s="385">
        <v>0</v>
      </c>
      <c r="L45" s="386">
        <v>153.61196548739734083017001963</v>
      </c>
      <c r="M45" s="384">
        <v>251.0974025974025974025974026</v>
      </c>
      <c r="N45" s="385">
        <v>292.17114789772285692080516049</v>
      </c>
      <c r="O45" s="386">
        <v>215.8259204803038657109599951</v>
      </c>
      <c r="P45" s="4"/>
      <c r="Q45" s="364">
        <v>1.3255913419063917457368954400</v>
      </c>
      <c r="R45" s="365">
        <v>-5.8737437873995874570492301500</v>
      </c>
      <c r="S45" s="366">
        <v>-2.1876894219645431004445440300</v>
      </c>
      <c r="T45" s="364">
        <v>48.800</v>
      </c>
      <c r="U45" s="365">
        <v>-25.903109519108304392113039650</v>
      </c>
      <c r="V45" s="366">
        <v>1.1830946278772117757063325200</v>
      </c>
      <c r="W45" s="364">
        <v>0</v>
      </c>
      <c r="X45" s="365">
        <v>0</v>
      </c>
      <c r="Y45" s="366">
        <v>2.8836076919132830927897621900</v>
      </c>
      <c r="Z45" s="364">
        <v>1.6649846328537663055732302500</v>
      </c>
      <c r="AA45" s="365">
        <v>-6.165036439949819516600404700</v>
      </c>
      <c r="AB45" s="366">
        <v>-2.0473288783919673691545309300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161.75036710719530102790014684</v>
      </c>
      <c r="E47" s="382">
        <v>223.69256070346068014522199646</v>
      </c>
      <c r="F47" s="375">
        <v>177.17200834670132086890116577</v>
      </c>
      <c r="G47" s="374">
        <v>0</v>
      </c>
      <c r="H47" s="382">
        <v>244.13513513513513513513513512</v>
      </c>
      <c r="I47" s="375">
        <v>187.70800301101924655674561874</v>
      </c>
      <c r="J47" s="374">
        <v>0</v>
      </c>
      <c r="K47" s="382">
        <v>0</v>
      </c>
      <c r="L47" s="375">
        <v>148.80995485917745389201749844</v>
      </c>
      <c r="M47" s="374">
        <v>161.75036710719530102790014684</v>
      </c>
      <c r="N47" s="382">
        <v>225.04164808727302894237449835</v>
      </c>
      <c r="O47" s="375">
        <v>176.01342369064888388507588715</v>
      </c>
      <c r="P47" s="4"/>
      <c r="Q47" s="354">
        <v>0.7505117881452185021495407200</v>
      </c>
      <c r="R47" s="355">
        <v>8.235289174233406172354626620</v>
      </c>
      <c r="S47" s="356">
        <v>-2.9229439509076274941863148300</v>
      </c>
      <c r="T47" s="354">
        <v>-100</v>
      </c>
      <c r="U47" s="355">
        <v>59.726057209652662325792593890</v>
      </c>
      <c r="V47" s="356">
        <v>-7.1378394497374286685353568800</v>
      </c>
      <c r="W47" s="354">
        <v>0</v>
      </c>
      <c r="X47" s="355">
        <v>0</v>
      </c>
      <c r="Y47" s="356">
        <v>1.5043039775793701462662292800</v>
      </c>
      <c r="Z47" s="354">
        <v>0.1130495955687649177983963100</v>
      </c>
      <c r="AA47" s="355">
        <v>9.101328871684562767776399280</v>
      </c>
      <c r="AB47" s="356">
        <v>-3.3801029972619244157016339400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188.53213077790304396843291995</v>
      </c>
      <c r="E48" s="172">
        <v>244.00752630467175537654359752</v>
      </c>
      <c r="F48" s="371">
        <v>196.45573737385501155598828351</v>
      </c>
      <c r="G48" s="370">
        <v>164.64583333333333333333333333</v>
      </c>
      <c r="H48" s="172">
        <v>266.92681081328961548162245202</v>
      </c>
      <c r="I48" s="371">
        <v>213.24604350410085421190205796</v>
      </c>
      <c r="J48" s="370">
        <v>0</v>
      </c>
      <c r="K48" s="172">
        <v>0</v>
      </c>
      <c r="L48" s="371">
        <v>152.17665797716671080566959789</v>
      </c>
      <c r="M48" s="370">
        <v>186.55601516718372974836263357</v>
      </c>
      <c r="N48" s="172">
        <v>244.56433172181641853316867228</v>
      </c>
      <c r="O48" s="371">
        <v>194.69339494000167827473357389</v>
      </c>
      <c r="P48" s="4"/>
      <c r="Q48" s="327">
        <v>3.1690416998816977273224915600</v>
      </c>
      <c r="R48" s="171">
        <v>0.4116108773584047153827414300</v>
      </c>
      <c r="S48" s="328">
        <v>-1.4232828211242029968027969200</v>
      </c>
      <c r="T48" s="327">
        <v>-2.9545835729541686193690623200</v>
      </c>
      <c r="U48" s="171">
        <v>-9.770617705847443109120183320</v>
      </c>
      <c r="V48" s="328">
        <v>1.8092945056985010518889556200</v>
      </c>
      <c r="W48" s="327">
        <v>0</v>
      </c>
      <c r="X48" s="171">
        <v>0</v>
      </c>
      <c r="Y48" s="328">
        <v>2.3472937329313416465152635100</v>
      </c>
      <c r="Z48" s="327">
        <v>2.2862315181053998822924266400</v>
      </c>
      <c r="AA48" s="171">
        <v>0.3307269348714584947738678400</v>
      </c>
      <c r="AB48" s="328">
        <v>-0.7923541292922161219178602200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161.75036710719530102790014684</v>
      </c>
      <c r="E49" s="385">
        <v>223.69256070346068014522199646</v>
      </c>
      <c r="F49" s="386">
        <v>177.17200834670132086890116577</v>
      </c>
      <c r="G49" s="384">
        <v>0</v>
      </c>
      <c r="H49" s="385">
        <v>244.13513513513513513513513512</v>
      </c>
      <c r="I49" s="386">
        <v>187.70800301101924655674561874</v>
      </c>
      <c r="J49" s="384">
        <v>0</v>
      </c>
      <c r="K49" s="385">
        <v>0</v>
      </c>
      <c r="L49" s="386">
        <v>148.80995485917745389201749844</v>
      </c>
      <c r="M49" s="384">
        <v>161.75036710719530102790014684</v>
      </c>
      <c r="N49" s="385">
        <v>225.04164808727302894237449835</v>
      </c>
      <c r="O49" s="386">
        <v>176.01342369064888388507588715</v>
      </c>
      <c r="P49" s="4"/>
      <c r="Q49" s="364">
        <v>-6.4056583448766015891716169900</v>
      </c>
      <c r="R49" s="365">
        <v>4.4013220477214460369403479900</v>
      </c>
      <c r="S49" s="366">
        <v>-4.1436997857046993258514820500</v>
      </c>
      <c r="T49" s="364">
        <v>-100</v>
      </c>
      <c r="U49" s="365">
        <v>58.258872997907723632840427200</v>
      </c>
      <c r="V49" s="366">
        <v>-7.6358027567251364012311882400</v>
      </c>
      <c r="W49" s="364">
        <v>0</v>
      </c>
      <c r="X49" s="365">
        <v>0</v>
      </c>
      <c r="Y49" s="366">
        <v>0.8565764556636591139713252800</v>
      </c>
      <c r="Z49" s="364">
        <v>-6.1486530305921049566798047500</v>
      </c>
      <c r="AA49" s="365">
        <v>5.3490751427685432646159008400</v>
      </c>
      <c r="AB49" s="366">
        <v>-4.304211277314314786770526900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5"/>
</worksheet>
</file>

<file path=xl/worksheets/sheet4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135</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180</v>
      </c>
      <c r="B4" s="442"/>
      <c r="C4" s="211"/>
      <c r="D4" s="212"/>
      <c r="E4" s="212"/>
      <c r="F4" s="212"/>
      <c r="G4" s="212"/>
      <c r="H4" s="212"/>
      <c r="I4" s="212"/>
      <c r="J4" s="212"/>
      <c r="K4" s="212"/>
      <c r="L4" s="212"/>
      <c r="M4" s="212"/>
      <c r="N4" s="212"/>
      <c r="O4" s="212"/>
      <c r="P4" s="212"/>
      <c r="Q4" s="212"/>
      <c r="R4" s="665" t="s">
        <v>182</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184</v>
      </c>
      <c r="B10" s="342">
        <v>11</v>
      </c>
      <c r="C10" s="343" t="s">
        <v>49</v>
      </c>
      <c r="D10" s="374">
        <v>94.45454545454545454545454545</v>
      </c>
      <c r="E10" s="382">
        <v>129.69476744186046511627906977</v>
      </c>
      <c r="F10" s="375">
        <v>77.896279628045106962828178144</v>
      </c>
      <c r="G10" s="374">
        <v>2.2196969696969696969696969697</v>
      </c>
      <c r="H10" s="382">
        <v>0</v>
      </c>
      <c r="I10" s="375">
        <v>11.650120747107890479177804484</v>
      </c>
      <c r="J10" s="374">
        <v>0</v>
      </c>
      <c r="K10" s="382">
        <v>0</v>
      </c>
      <c r="L10" s="375">
        <v>11.579342508800709157931458726</v>
      </c>
      <c r="M10" s="374">
        <v>96.67424242424242424242424242</v>
      </c>
      <c r="N10" s="382">
        <v>129.69476744186046511627906977</v>
      </c>
      <c r="O10" s="375">
        <v>101.12574288395370659993744135</v>
      </c>
      <c r="P10" s="4"/>
      <c r="Q10" s="354">
        <v>-27.738495421339843965873406260</v>
      </c>
      <c r="R10" s="355">
        <v>-16.689920417006559413489833680</v>
      </c>
      <c r="S10" s="356">
        <v>-11.655885695107062040090068400</v>
      </c>
      <c r="T10" s="354">
        <v>0</v>
      </c>
      <c r="U10" s="355">
        <v>-100</v>
      </c>
      <c r="V10" s="356">
        <v>-24.218361954635522175959891980</v>
      </c>
      <c r="W10" s="354">
        <v>0</v>
      </c>
      <c r="X10" s="355">
        <v>0</v>
      </c>
      <c r="Y10" s="356">
        <v>20.303413967047251890936654640</v>
      </c>
      <c r="Z10" s="354">
        <v>-26.040338472226319285251085760</v>
      </c>
      <c r="AA10" s="355">
        <v>-16.943308963757680099871438060</v>
      </c>
      <c r="AB10" s="356">
        <v>-10.644280090254273576497679370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12</v>
      </c>
      <c r="C11" s="345" t="s">
        <v>47</v>
      </c>
      <c r="D11" s="370">
        <v>80.35606060606060606060606061</v>
      </c>
      <c r="E11" s="172">
        <v>109.18604651162790697674418605</v>
      </c>
      <c r="F11" s="371">
        <v>79.97164066836583935065754943</v>
      </c>
      <c r="G11" s="370">
        <v>14.083333333333333333333333333</v>
      </c>
      <c r="H11" s="172">
        <v>0</v>
      </c>
      <c r="I11" s="371">
        <v>29.215423269267625276124338687</v>
      </c>
      <c r="J11" s="370">
        <v>0</v>
      </c>
      <c r="K11" s="172">
        <v>0</v>
      </c>
      <c r="L11" s="371">
        <v>10.971522236905165338810855079</v>
      </c>
      <c r="M11" s="370">
        <v>94.43939393939393939393939394</v>
      </c>
      <c r="N11" s="172">
        <v>109.18604651162790697674418605</v>
      </c>
      <c r="O11" s="371">
        <v>120.1585861745386299655927432</v>
      </c>
      <c r="P11" s="4"/>
      <c r="Q11" s="327">
        <v>-34.342308882718363164182169720</v>
      </c>
      <c r="R11" s="171">
        <v>-15.502039285595049591578413420</v>
      </c>
      <c r="S11" s="328">
        <v>-8.558885465510543655969847310</v>
      </c>
      <c r="T11" s="327">
        <v>0</v>
      </c>
      <c r="U11" s="171">
        <v>0</v>
      </c>
      <c r="V11" s="328">
        <v>5.696651218201417255205075900</v>
      </c>
      <c r="W11" s="327">
        <v>0</v>
      </c>
      <c r="X11" s="171">
        <v>0</v>
      </c>
      <c r="Y11" s="328">
        <v>16.524782081086674767354557200</v>
      </c>
      <c r="Z11" s="327">
        <v>-22.835035592718687207004329950</v>
      </c>
      <c r="AA11" s="171">
        <v>-15.502039285595049591578413420</v>
      </c>
      <c r="AB11" s="328">
        <v>-3.4974803577480574960295121300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13</v>
      </c>
      <c r="C12" s="347" t="s">
        <v>48</v>
      </c>
      <c r="D12" s="378">
        <v>96.90151515151515151515151515</v>
      </c>
      <c r="E12" s="173">
        <v>110.5813953488372093023255814</v>
      </c>
      <c r="F12" s="379">
        <v>90.59373618838183012887214053</v>
      </c>
      <c r="G12" s="378">
        <v>14.083333333333333333333333333</v>
      </c>
      <c r="H12" s="173">
        <v>2.7645348837209302325581395349</v>
      </c>
      <c r="I12" s="379">
        <v>36.631475274316674430060545716</v>
      </c>
      <c r="J12" s="378">
        <v>0</v>
      </c>
      <c r="K12" s="173">
        <v>0</v>
      </c>
      <c r="L12" s="379">
        <v>8.777290883250822935593431996</v>
      </c>
      <c r="M12" s="378">
        <v>110.98484848484848484848484848</v>
      </c>
      <c r="N12" s="173">
        <v>113.34593023255813953488372093</v>
      </c>
      <c r="O12" s="379">
        <v>136.00250234594932749452611824</v>
      </c>
      <c r="P12" s="4"/>
      <c r="Q12" s="359">
        <v>-23.001444738752347526518329840</v>
      </c>
      <c r="R12" s="170">
        <v>-14.533670798229454458561680340</v>
      </c>
      <c r="S12" s="360">
        <v>-7.5622807847893757553814919100</v>
      </c>
      <c r="T12" s="359">
        <v>0</v>
      </c>
      <c r="U12" s="170">
        <v>0</v>
      </c>
      <c r="V12" s="360">
        <v>1.2618339853655068891696089600</v>
      </c>
      <c r="W12" s="359">
        <v>0</v>
      </c>
      <c r="X12" s="170">
        <v>0</v>
      </c>
      <c r="Y12" s="360">
        <v>-4.7767801033501563730100865800</v>
      </c>
      <c r="Z12" s="359">
        <v>-11.810739224667492085332931920</v>
      </c>
      <c r="AA12" s="170">
        <v>-12.397012568185190820025722350</v>
      </c>
      <c r="AB12" s="360">
        <v>-5.1571663656474051223065020500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14</v>
      </c>
      <c r="C13" s="345" t="s">
        <v>50</v>
      </c>
      <c r="D13" s="370">
        <v>94.71212121212121212121212121</v>
      </c>
      <c r="E13" s="172">
        <v>117.76162790697674418604651163</v>
      </c>
      <c r="F13" s="371">
        <v>93.94522407584213538850204298</v>
      </c>
      <c r="G13" s="370">
        <v>14.083333333333333333333333333</v>
      </c>
      <c r="H13" s="172">
        <v>3.1686046511627906976744186047</v>
      </c>
      <c r="I13" s="371">
        <v>47.86566356578504473673101394</v>
      </c>
      <c r="J13" s="370">
        <v>0</v>
      </c>
      <c r="K13" s="172">
        <v>0</v>
      </c>
      <c r="L13" s="371">
        <v>11.014990786065448380657882503</v>
      </c>
      <c r="M13" s="370">
        <v>108.79545454545454545454545455</v>
      </c>
      <c r="N13" s="172">
        <v>120.93023255813953488372093023</v>
      </c>
      <c r="O13" s="371">
        <v>152.82587842769262850589093942</v>
      </c>
      <c r="P13" s="4"/>
      <c r="Q13" s="327">
        <v>-26.333156561203040505818933050</v>
      </c>
      <c r="R13" s="171">
        <v>-9.199257848991106542154606290</v>
      </c>
      <c r="S13" s="328">
        <v>-7.7414961414019822045479793700</v>
      </c>
      <c r="T13" s="327">
        <v>0</v>
      </c>
      <c r="U13" s="171">
        <v>0</v>
      </c>
      <c r="V13" s="328">
        <v>24.939664573831791555843364280</v>
      </c>
      <c r="W13" s="327">
        <v>0</v>
      </c>
      <c r="X13" s="171">
        <v>0</v>
      </c>
      <c r="Y13" s="328">
        <v>12.354905691356263292815651050</v>
      </c>
      <c r="Z13" s="327">
        <v>-15.379176241836255375465181360</v>
      </c>
      <c r="AA13" s="171">
        <v>-6.7560880404352019786134688200</v>
      </c>
      <c r="AB13" s="328">
        <v>1.9226329089460669425930896600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15</v>
      </c>
      <c r="C14" s="347" t="s">
        <v>51</v>
      </c>
      <c r="D14" s="378">
        <v>122.47727272727272727272727273</v>
      </c>
      <c r="E14" s="173">
        <v>145.250000000000000000000000</v>
      </c>
      <c r="F14" s="379">
        <v>108.19454016651391515178218676</v>
      </c>
      <c r="G14" s="378">
        <v>14.083333333333333333333333333</v>
      </c>
      <c r="H14" s="173">
        <v>2.0203488372093023255813953488</v>
      </c>
      <c r="I14" s="379">
        <v>40.217475695780541069082221443</v>
      </c>
      <c r="J14" s="378">
        <v>0</v>
      </c>
      <c r="K14" s="173">
        <v>0</v>
      </c>
      <c r="L14" s="379">
        <v>11.852398693017815700728752044</v>
      </c>
      <c r="M14" s="378">
        <v>136.56060606060606060606060606</v>
      </c>
      <c r="N14" s="173">
        <v>147.27034883720930232558139535</v>
      </c>
      <c r="O14" s="379">
        <v>160.26441455531227192159316025</v>
      </c>
      <c r="P14" s="4"/>
      <c r="Q14" s="359">
        <v>-19.430878102288230956849663870</v>
      </c>
      <c r="R14" s="170">
        <v>-19.021033993627532374822537020</v>
      </c>
      <c r="S14" s="360">
        <v>-5.9433237520084545645110586800</v>
      </c>
      <c r="T14" s="359">
        <v>0</v>
      </c>
      <c r="U14" s="170">
        <v>0</v>
      </c>
      <c r="V14" s="360">
        <v>14.884288754928079804440545190</v>
      </c>
      <c r="W14" s="359">
        <v>0</v>
      </c>
      <c r="X14" s="170">
        <v>0</v>
      </c>
      <c r="Y14" s="360">
        <v>34.439563690079265788156029130</v>
      </c>
      <c r="Z14" s="359">
        <v>-10.166450712676912923125628810</v>
      </c>
      <c r="AA14" s="170">
        <v>-17.894660432117127999857594130</v>
      </c>
      <c r="AB14" s="360">
        <v>0.887669606700246792140869300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16</v>
      </c>
      <c r="C15" s="345" t="s">
        <v>52</v>
      </c>
      <c r="D15" s="370">
        <v>224.74242424242424242424242424</v>
      </c>
      <c r="E15" s="172">
        <v>230.39534883720930232558139535</v>
      </c>
      <c r="F15" s="371">
        <v>151.15986370702154912391566561</v>
      </c>
      <c r="G15" s="370">
        <v>0</v>
      </c>
      <c r="H15" s="172">
        <v>0</v>
      </c>
      <c r="I15" s="371">
        <v>35.785488914871304492376590016</v>
      </c>
      <c r="J15" s="370">
        <v>0</v>
      </c>
      <c r="K15" s="172">
        <v>0</v>
      </c>
      <c r="L15" s="371">
        <v>12.30196256943234709270576335</v>
      </c>
      <c r="M15" s="370">
        <v>224.74242424242424242424242424</v>
      </c>
      <c r="N15" s="172">
        <v>230.39534883720930232558139535</v>
      </c>
      <c r="O15" s="371">
        <v>199.24731519132520070899801898</v>
      </c>
      <c r="P15" s="4"/>
      <c r="Q15" s="327">
        <v>3.6004889121791039348136626400</v>
      </c>
      <c r="R15" s="171">
        <v>-6.9024955355962818087792871600</v>
      </c>
      <c r="S15" s="328">
        <v>-3.79575243675381214699133900</v>
      </c>
      <c r="T15" s="327">
        <v>0</v>
      </c>
      <c r="U15" s="171">
        <v>0</v>
      </c>
      <c r="V15" s="328">
        <v>33.978740860758400815688185540</v>
      </c>
      <c r="W15" s="327">
        <v>0</v>
      </c>
      <c r="X15" s="171">
        <v>0</v>
      </c>
      <c r="Y15" s="328">
        <v>31.244668709820302785271304960</v>
      </c>
      <c r="Z15" s="327">
        <v>3.6004889121791039348136626400</v>
      </c>
      <c r="AA15" s="171">
        <v>-6.9024955355962818087792871600</v>
      </c>
      <c r="AB15" s="328">
        <v>3.1263285172797563496026946300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17</v>
      </c>
      <c r="C16" s="347" t="s">
        <v>53</v>
      </c>
      <c r="D16" s="378">
        <v>277.53030303030303030303030303</v>
      </c>
      <c r="E16" s="173">
        <v>262.30523255813953488372093023</v>
      </c>
      <c r="F16" s="379">
        <v>161.23236447585741437918262081</v>
      </c>
      <c r="G16" s="378">
        <v>0</v>
      </c>
      <c r="H16" s="173">
        <v>0.9854651162790697674418604651</v>
      </c>
      <c r="I16" s="379">
        <v>23.801702949299834038396504991</v>
      </c>
      <c r="J16" s="378">
        <v>0</v>
      </c>
      <c r="K16" s="173">
        <v>0</v>
      </c>
      <c r="L16" s="379">
        <v>11.996899105965679327181587362</v>
      </c>
      <c r="M16" s="378">
        <v>277.53030303030303030303030303</v>
      </c>
      <c r="N16" s="173">
        <v>263.2906976744186046511627907</v>
      </c>
      <c r="O16" s="379">
        <v>197.03096653112292774476071317</v>
      </c>
      <c r="P16" s="4"/>
      <c r="Q16" s="359">
        <v>20.940213264651699027177949020</v>
      </c>
      <c r="R16" s="170">
        <v>4.5007579386866575933137263900</v>
      </c>
      <c r="S16" s="360">
        <v>1.9442326022418415740314528100</v>
      </c>
      <c r="T16" s="359">
        <v>0</v>
      </c>
      <c r="U16" s="170">
        <v>0</v>
      </c>
      <c r="V16" s="360">
        <v>23.107228724744809782257127930</v>
      </c>
      <c r="W16" s="359">
        <v>0</v>
      </c>
      <c r="X16" s="170">
        <v>0</v>
      </c>
      <c r="Y16" s="360">
        <v>23.769811189864327731315090880</v>
      </c>
      <c r="Z16" s="359">
        <v>20.940213264651699027177949020</v>
      </c>
      <c r="AA16" s="170">
        <v>4.893361054411667034694743900</v>
      </c>
      <c r="AB16" s="360">
        <v>5.2603273966897101148509983500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18</v>
      </c>
      <c r="C17" s="345" t="s">
        <v>49</v>
      </c>
      <c r="D17" s="370">
        <v>153.78030303030303030303030303</v>
      </c>
      <c r="E17" s="172">
        <v>197.36918604651162790697674419</v>
      </c>
      <c r="F17" s="371">
        <v>100.08443900562048850702224377</v>
      </c>
      <c r="G17" s="370">
        <v>19.5</v>
      </c>
      <c r="H17" s="172">
        <v>0.9854651162790697674418604651</v>
      </c>
      <c r="I17" s="371">
        <v>25.154179622797668347140990592</v>
      </c>
      <c r="J17" s="370">
        <v>0</v>
      </c>
      <c r="K17" s="172">
        <v>0</v>
      </c>
      <c r="L17" s="371">
        <v>11.48601905274126343569183811</v>
      </c>
      <c r="M17" s="370">
        <v>173.28030303030303030303030303</v>
      </c>
      <c r="N17" s="172">
        <v>198.35465116279069767441860465</v>
      </c>
      <c r="O17" s="371">
        <v>136.72463768115942028985507246</v>
      </c>
      <c r="P17" s="4"/>
      <c r="Q17" s="327">
        <v>-1.2982592628418357015001151100</v>
      </c>
      <c r="R17" s="171">
        <v>13.702208899222485989031617510</v>
      </c>
      <c r="S17" s="328">
        <v>0.9002889151585558239699706100</v>
      </c>
      <c r="T17" s="327">
        <v>0</v>
      </c>
      <c r="U17" s="171">
        <v>0</v>
      </c>
      <c r="V17" s="328">
        <v>50.621355174755426910511484450</v>
      </c>
      <c r="W17" s="327">
        <v>0</v>
      </c>
      <c r="X17" s="171">
        <v>0</v>
      </c>
      <c r="Y17" s="328">
        <v>34.363838986502500179641360190</v>
      </c>
      <c r="Z17" s="327">
        <v>11.217543518450105522419225930</v>
      </c>
      <c r="AA17" s="171">
        <v>14.269924472045763443192921260</v>
      </c>
      <c r="AB17" s="328">
        <v>9.871804779823069288178691250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19</v>
      </c>
      <c r="C18" s="347" t="s">
        <v>47</v>
      </c>
      <c r="D18" s="378">
        <v>139.21969696969696969696969697</v>
      </c>
      <c r="E18" s="173">
        <v>192.15116279069767441860465116</v>
      </c>
      <c r="F18" s="379">
        <v>95.77543854192559071594864463</v>
      </c>
      <c r="G18" s="378">
        <v>35.825757575757575757575757576</v>
      </c>
      <c r="H18" s="173">
        <v>8.869186046511627906976744186</v>
      </c>
      <c r="I18" s="379">
        <v>30.036673841849867179634540056</v>
      </c>
      <c r="J18" s="378">
        <v>0</v>
      </c>
      <c r="K18" s="173">
        <v>0</v>
      </c>
      <c r="L18" s="379">
        <v>11.067149424169490493531610445</v>
      </c>
      <c r="M18" s="378">
        <v>175.04545454545454545454545455</v>
      </c>
      <c r="N18" s="173">
        <v>201.02034883720930232558139535</v>
      </c>
      <c r="O18" s="379">
        <v>136.87926180794494838911479512</v>
      </c>
      <c r="P18" s="4"/>
      <c r="Q18" s="359">
        <v>5.2821541106086396898486333600</v>
      </c>
      <c r="R18" s="170">
        <v>4.0224096688672742871202365500</v>
      </c>
      <c r="S18" s="360">
        <v>-0.2197730950271941118139447700</v>
      </c>
      <c r="T18" s="359">
        <v>0</v>
      </c>
      <c r="U18" s="170">
        <v>0</v>
      </c>
      <c r="V18" s="360">
        <v>21.718695047249714765777774970</v>
      </c>
      <c r="W18" s="359">
        <v>0</v>
      </c>
      <c r="X18" s="170">
        <v>0</v>
      </c>
      <c r="Y18" s="360">
        <v>30.540983149274751527690218820</v>
      </c>
      <c r="Z18" s="359">
        <v>32.374677742815651557579720440</v>
      </c>
      <c r="AA18" s="170">
        <v>8.823807125746458157770824170</v>
      </c>
      <c r="AB18" s="360">
        <v>5.9917525573285483037857343900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20</v>
      </c>
      <c r="C19" s="345" t="s">
        <v>48</v>
      </c>
      <c r="D19" s="370">
        <v>118.68939393939393939393939394</v>
      </c>
      <c r="E19" s="172">
        <v>158.96511627906976744186046512</v>
      </c>
      <c r="F19" s="371">
        <v>94.44702611790377366088021323</v>
      </c>
      <c r="G19" s="370">
        <v>62.295454545454545454545454545</v>
      </c>
      <c r="H19" s="172">
        <v>14.781976744186046511627906977</v>
      </c>
      <c r="I19" s="371">
        <v>33.920145132901164737258847651</v>
      </c>
      <c r="J19" s="370">
        <v>0</v>
      </c>
      <c r="K19" s="172">
        <v>0</v>
      </c>
      <c r="L19" s="371">
        <v>10.377693726778212472468800651</v>
      </c>
      <c r="M19" s="370">
        <v>180.98484848484848484848484848</v>
      </c>
      <c r="N19" s="172">
        <v>173.74709302325581395348837209</v>
      </c>
      <c r="O19" s="371">
        <v>138.74486497758315087060786154</v>
      </c>
      <c r="P19" s="4"/>
      <c r="Q19" s="327">
        <v>12.091292838195747427514964610</v>
      </c>
      <c r="R19" s="171">
        <v>0.0530601042832272941100149500</v>
      </c>
      <c r="S19" s="328">
        <v>-2.714946158140490524397111100</v>
      </c>
      <c r="T19" s="327">
        <v>0</v>
      </c>
      <c r="U19" s="171">
        <v>189.74358974623128059027903162</v>
      </c>
      <c r="V19" s="328">
        <v>19.336590957999820572633395880</v>
      </c>
      <c r="W19" s="327">
        <v>0</v>
      </c>
      <c r="X19" s="171">
        <v>0</v>
      </c>
      <c r="Y19" s="328">
        <v>12.997080387945239370654420030</v>
      </c>
      <c r="Z19" s="327">
        <v>70.923660299004047108146582280</v>
      </c>
      <c r="AA19" s="171">
        <v>5.9546179755587919768783319500</v>
      </c>
      <c r="AB19" s="328">
        <v>3.0099547371032174883433627900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21</v>
      </c>
      <c r="C20" s="347" t="s">
        <v>50</v>
      </c>
      <c r="D20" s="378">
        <v>111.95454545454545454545454545</v>
      </c>
      <c r="E20" s="173">
        <v>120.16279069767441860465116279</v>
      </c>
      <c r="F20" s="379">
        <v>93.38382123004202001541699475</v>
      </c>
      <c r="G20" s="378">
        <v>63.325757575757575757575757576</v>
      </c>
      <c r="H20" s="173">
        <v>13.796511627906976744186046512</v>
      </c>
      <c r="I20" s="379">
        <v>30.85891476572046803681987414</v>
      </c>
      <c r="J20" s="378">
        <v>0</v>
      </c>
      <c r="K20" s="173">
        <v>0</v>
      </c>
      <c r="L20" s="379">
        <v>10.260965390954225533416347678</v>
      </c>
      <c r="M20" s="378">
        <v>175.28030303030303030303030303</v>
      </c>
      <c r="N20" s="173">
        <v>133.9593023255813953488372093</v>
      </c>
      <c r="O20" s="379">
        <v>134.50370138671671358565321656</v>
      </c>
      <c r="P20" s="4"/>
      <c r="Q20" s="359">
        <v>-14.809477143043456407480867520</v>
      </c>
      <c r="R20" s="170">
        <v>-5.1513274133432125755910122600</v>
      </c>
      <c r="S20" s="360">
        <v>-2.8168570695882606258314100</v>
      </c>
      <c r="T20" s="359">
        <v>0</v>
      </c>
      <c r="U20" s="170">
        <v>-30.430958663018105580604900580</v>
      </c>
      <c r="V20" s="360">
        <v>30.131270496292805385996939180</v>
      </c>
      <c r="W20" s="359">
        <v>0</v>
      </c>
      <c r="X20" s="170">
        <v>0</v>
      </c>
      <c r="Y20" s="360">
        <v>4.5523651182814518166010121900</v>
      </c>
      <c r="Z20" s="359">
        <v>33.377529255745266551638595770</v>
      </c>
      <c r="AA20" s="170">
        <v>-8.572902406596977030885088400</v>
      </c>
      <c r="AB20" s="360">
        <v>3.7689684739371464167117203700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22</v>
      </c>
      <c r="C21" s="345" t="s">
        <v>51</v>
      </c>
      <c r="D21" s="370">
        <v>125.95454545454545454545454545</v>
      </c>
      <c r="E21" s="172">
        <v>157.25581395348837209302325581</v>
      </c>
      <c r="F21" s="371">
        <v>99.43130425510311532069053134</v>
      </c>
      <c r="G21" s="370">
        <v>53.515151515151515151515151515</v>
      </c>
      <c r="H21" s="172">
        <v>7.8837209302325581395348837209</v>
      </c>
      <c r="I21" s="371">
        <v>30.425611516978787894742936577</v>
      </c>
      <c r="J21" s="370">
        <v>0</v>
      </c>
      <c r="K21" s="172">
        <v>0</v>
      </c>
      <c r="L21" s="371">
        <v>11.49164016577650570960041801</v>
      </c>
      <c r="M21" s="370">
        <v>179.46969696969696969696969697</v>
      </c>
      <c r="N21" s="172">
        <v>165.13953488372093023255813953</v>
      </c>
      <c r="O21" s="371">
        <v>141.34855593785840892503388593</v>
      </c>
      <c r="P21" s="4"/>
      <c r="Q21" s="327">
        <v>-11.690657035116656660580220610</v>
      </c>
      <c r="R21" s="171">
        <v>-4.315834158764741981521986200</v>
      </c>
      <c r="S21" s="328">
        <v>-2.8068934759848437914071737800</v>
      </c>
      <c r="T21" s="327">
        <v>0</v>
      </c>
      <c r="U21" s="171">
        <v>-60.246262093153203188917086040</v>
      </c>
      <c r="V21" s="328">
        <v>26.828310336425658984175757530</v>
      </c>
      <c r="W21" s="327">
        <v>0</v>
      </c>
      <c r="X21" s="171">
        <v>0</v>
      </c>
      <c r="Y21" s="328">
        <v>28.435696368651338296861298590</v>
      </c>
      <c r="Z21" s="327">
        <v>25.829925107547600367548091770</v>
      </c>
      <c r="AA21" s="171">
        <v>-10.338078853479917261788682200</v>
      </c>
      <c r="AB21" s="328">
        <v>4.5169580216532537273580613200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23</v>
      </c>
      <c r="C22" s="347" t="s">
        <v>52</v>
      </c>
      <c r="D22" s="378">
        <v>176.20454545454545454545454545</v>
      </c>
      <c r="E22" s="173">
        <v>254.21511627906976744186046512</v>
      </c>
      <c r="F22" s="379">
        <v>136.20647373696955110086121762</v>
      </c>
      <c r="G22" s="378">
        <v>4.2272727272727272727272727273</v>
      </c>
      <c r="H22" s="173">
        <v>0.9854651162790697674418604651</v>
      </c>
      <c r="I22" s="379">
        <v>20.77188012309021971742322479</v>
      </c>
      <c r="J22" s="378">
        <v>0</v>
      </c>
      <c r="K22" s="173">
        <v>0</v>
      </c>
      <c r="L22" s="379">
        <v>12.663602140357286839936806681</v>
      </c>
      <c r="M22" s="378">
        <v>180.43181818181818181818181818</v>
      </c>
      <c r="N22" s="173">
        <v>255.20058139534883720930232558</v>
      </c>
      <c r="O22" s="379">
        <v>169.64195600041705765822124909</v>
      </c>
      <c r="P22" s="4"/>
      <c r="Q22" s="359">
        <v>-14.867684198979044556820163080</v>
      </c>
      <c r="R22" s="170">
        <v>-9.538537927607147162244813260</v>
      </c>
      <c r="S22" s="360">
        <v>-8.418670675112197035267375280</v>
      </c>
      <c r="T22" s="359">
        <v>0</v>
      </c>
      <c r="U22" s="170">
        <v>-90.66372900024043699102265766</v>
      </c>
      <c r="V22" s="360">
        <v>33.055644025338038373709791440</v>
      </c>
      <c r="W22" s="359">
        <v>0</v>
      </c>
      <c r="X22" s="170">
        <v>0</v>
      </c>
      <c r="Y22" s="360">
        <v>26.945579614907031902876637210</v>
      </c>
      <c r="Z22" s="359">
        <v>-12.825299220391414257267544780</v>
      </c>
      <c r="AA22" s="170">
        <v>-12.475324519935091877050656110</v>
      </c>
      <c r="AB22" s="360">
        <v>-2.6804564700183720065840230800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24</v>
      </c>
      <c r="C23" s="345" t="s">
        <v>53</v>
      </c>
      <c r="D23" s="370">
        <v>247.89393939393939393939393939</v>
      </c>
      <c r="E23" s="172">
        <v>330.3313953488372093023255814</v>
      </c>
      <c r="F23" s="371">
        <v>176.95311699214223408783775712</v>
      </c>
      <c r="G23" s="370">
        <v>2.1136363636363636363636363636</v>
      </c>
      <c r="H23" s="172">
        <v>0.9854651162790697674418604651</v>
      </c>
      <c r="I23" s="371">
        <v>19.38882944249331322270110111</v>
      </c>
      <c r="J23" s="370">
        <v>0</v>
      </c>
      <c r="K23" s="172">
        <v>0</v>
      </c>
      <c r="L23" s="371">
        <v>12.535125820603739520865583431</v>
      </c>
      <c r="M23" s="370">
        <v>250.00757575757575757575757576</v>
      </c>
      <c r="N23" s="172">
        <v>331.31686046511627906976744186</v>
      </c>
      <c r="O23" s="371">
        <v>208.87707225523928683140444166</v>
      </c>
      <c r="P23" s="4"/>
      <c r="Q23" s="327">
        <v>-0.176937156789529546171137100</v>
      </c>
      <c r="R23" s="171">
        <v>-8.013243424824914467560068150</v>
      </c>
      <c r="S23" s="328">
        <v>-5.5661755364380286925783302600</v>
      </c>
      <c r="T23" s="327">
        <v>0</v>
      </c>
      <c r="U23" s="171">
        <v>-87.03136954858057578257033836</v>
      </c>
      <c r="V23" s="328">
        <v>43.302397383109307764501476880</v>
      </c>
      <c r="W23" s="327">
        <v>0</v>
      </c>
      <c r="X23" s="171">
        <v>0</v>
      </c>
      <c r="Y23" s="328">
        <v>38.494187554830670816146410340</v>
      </c>
      <c r="Z23" s="327">
        <v>0.6741915802453620025306003500</v>
      </c>
      <c r="AA23" s="171">
        <v>-9.650645675274430055923989570</v>
      </c>
      <c r="AB23" s="328">
        <v>-0.5177763198830426125470507100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25</v>
      </c>
      <c r="C24" s="347" t="s">
        <v>49</v>
      </c>
      <c r="D24" s="378">
        <v>179.24242424242424242424242424</v>
      </c>
      <c r="E24" s="173">
        <v>206.8313953488372093023255814</v>
      </c>
      <c r="F24" s="379">
        <v>123.5903952714644123558677295</v>
      </c>
      <c r="G24" s="378">
        <v>0</v>
      </c>
      <c r="H24" s="173">
        <v>0.9854651162790697674418604651</v>
      </c>
      <c r="I24" s="379">
        <v>12.695627802577206952330505442</v>
      </c>
      <c r="J24" s="378">
        <v>0</v>
      </c>
      <c r="K24" s="173">
        <v>0</v>
      </c>
      <c r="L24" s="379">
        <v>10.886847325291088438647766518</v>
      </c>
      <c r="M24" s="378">
        <v>179.24242424242424242424242424</v>
      </c>
      <c r="N24" s="173">
        <v>207.81686046511627906976744186</v>
      </c>
      <c r="O24" s="379">
        <v>147.17287039933270774684600146</v>
      </c>
      <c r="P24" s="4"/>
      <c r="Q24" s="359">
        <v>3.1206415620533695284279581500</v>
      </c>
      <c r="R24" s="170">
        <v>-15.145082231169003741846488700</v>
      </c>
      <c r="S24" s="360">
        <v>-10.200926114802234070902472770</v>
      </c>
      <c r="T24" s="359">
        <v>0</v>
      </c>
      <c r="U24" s="170">
        <v>-61.608154020141569266718904630</v>
      </c>
      <c r="V24" s="360">
        <v>16.273568855810497418469211480</v>
      </c>
      <c r="W24" s="359">
        <v>0</v>
      </c>
      <c r="X24" s="170">
        <v>0</v>
      </c>
      <c r="Y24" s="360">
        <v>19.323011522978584088826886840</v>
      </c>
      <c r="Z24" s="359">
        <v>3.1206415620533695284279581500</v>
      </c>
      <c r="AA24" s="170">
        <v>-15.629278194788391150088868800</v>
      </c>
      <c r="AB24" s="360">
        <v>-6.6591523358361077531677160200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26</v>
      </c>
      <c r="C25" s="345" t="s">
        <v>47</v>
      </c>
      <c r="D25" s="370">
        <v>97.38636363636363636363636364</v>
      </c>
      <c r="E25" s="172">
        <v>122.86627906976744186046511628</v>
      </c>
      <c r="F25" s="371">
        <v>68.56671170269908418582969149</v>
      </c>
      <c r="G25" s="370">
        <v>0</v>
      </c>
      <c r="H25" s="172">
        <v>0</v>
      </c>
      <c r="I25" s="371">
        <v>8.831575145420149545230279097</v>
      </c>
      <c r="J25" s="370">
        <v>0</v>
      </c>
      <c r="K25" s="172">
        <v>0</v>
      </c>
      <c r="L25" s="371">
        <v>10.67845176099347610107432198</v>
      </c>
      <c r="M25" s="370">
        <v>97.38636363636363636363636364</v>
      </c>
      <c r="N25" s="172">
        <v>122.86627906976744186046511628</v>
      </c>
      <c r="O25" s="371">
        <v>88.07673860911270983213429257</v>
      </c>
      <c r="P25" s="4"/>
      <c r="Q25" s="327">
        <v>-20.741106110109944248706836170</v>
      </c>
      <c r="R25" s="171">
        <v>-19.891586588578685013551676430</v>
      </c>
      <c r="S25" s="328">
        <v>-12.808384336410609998309418060</v>
      </c>
      <c r="T25" s="327">
        <v>0</v>
      </c>
      <c r="U25" s="171">
        <v>-100</v>
      </c>
      <c r="V25" s="328">
        <v>66.427609890010175938588129140</v>
      </c>
      <c r="W25" s="327">
        <v>0</v>
      </c>
      <c r="X25" s="171">
        <v>0</v>
      </c>
      <c r="Y25" s="328">
        <v>34.735851359009496355578447880</v>
      </c>
      <c r="Z25" s="327">
        <v>-20.741106110109944248706836170</v>
      </c>
      <c r="AA25" s="171">
        <v>-20.930145545692196973995004750</v>
      </c>
      <c r="AB25" s="328">
        <v>-4.1301337081708305831348195500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27</v>
      </c>
      <c r="C26" s="347" t="s">
        <v>48</v>
      </c>
      <c r="D26" s="378">
        <v>79.204545454545454545454545455</v>
      </c>
      <c r="E26" s="173">
        <v>112.60174418604651162790697674</v>
      </c>
      <c r="F26" s="379">
        <v>71.437857768753775270830017661</v>
      </c>
      <c r="G26" s="378">
        <v>0</v>
      </c>
      <c r="H26" s="173">
        <v>0</v>
      </c>
      <c r="I26" s="379">
        <v>11.958835152043129676165627313</v>
      </c>
      <c r="J26" s="378">
        <v>0</v>
      </c>
      <c r="K26" s="173">
        <v>0</v>
      </c>
      <c r="L26" s="379">
        <v>10.582662725121143223163879578</v>
      </c>
      <c r="M26" s="378">
        <v>79.204545454545454545454545455</v>
      </c>
      <c r="N26" s="173">
        <v>112.60174418604651162790697674</v>
      </c>
      <c r="O26" s="379">
        <v>93.97935564591804817015952455</v>
      </c>
      <c r="P26" s="4"/>
      <c r="Q26" s="359">
        <v>-21.538461538485091643815839370</v>
      </c>
      <c r="R26" s="170">
        <v>-19.801652208096340375407287680</v>
      </c>
      <c r="S26" s="360">
        <v>-16.402875242853966405301033080</v>
      </c>
      <c r="T26" s="359">
        <v>0</v>
      </c>
      <c r="U26" s="170">
        <v>-100</v>
      </c>
      <c r="V26" s="360">
        <v>115.61076516705833994623845919</v>
      </c>
      <c r="W26" s="359">
        <v>0</v>
      </c>
      <c r="X26" s="170">
        <v>0</v>
      </c>
      <c r="Y26" s="360">
        <v>27.161419982733369059818766620</v>
      </c>
      <c r="Z26" s="359">
        <v>-21.538461538485091643815839370</v>
      </c>
      <c r="AA26" s="170">
        <v>-20.936071195317848185187376140</v>
      </c>
      <c r="AB26" s="360">
        <v>-5.3806791713299037698359786800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28</v>
      </c>
      <c r="C27" s="345" t="s">
        <v>50</v>
      </c>
      <c r="D27" s="370">
        <v>92</v>
      </c>
      <c r="E27" s="172">
        <v>126.9156976744186046511627907</v>
      </c>
      <c r="F27" s="371">
        <v>84.80645893823764164680482724</v>
      </c>
      <c r="G27" s="370">
        <v>0</v>
      </c>
      <c r="H27" s="172">
        <v>0</v>
      </c>
      <c r="I27" s="371">
        <v>18.081656766879159016060509679</v>
      </c>
      <c r="J27" s="370">
        <v>0</v>
      </c>
      <c r="K27" s="172">
        <v>0</v>
      </c>
      <c r="L27" s="371">
        <v>7.849867821105699597795699463</v>
      </c>
      <c r="M27" s="370">
        <v>92.000000000</v>
      </c>
      <c r="N27" s="172">
        <v>126.9156976744186046511627907</v>
      </c>
      <c r="O27" s="371">
        <v>110.73798352622250026066103639</v>
      </c>
      <c r="P27" s="4"/>
      <c r="Q27" s="327">
        <v>-3.9088463364213094087890922800</v>
      </c>
      <c r="R27" s="171">
        <v>-4.42844008580558268587640500</v>
      </c>
      <c r="S27" s="328">
        <v>-6.2791683713806058115266355100</v>
      </c>
      <c r="T27" s="327">
        <v>0</v>
      </c>
      <c r="U27" s="171">
        <v>-100</v>
      </c>
      <c r="V27" s="328">
        <v>104.17251365759297450511717695</v>
      </c>
      <c r="W27" s="327">
        <v>0</v>
      </c>
      <c r="X27" s="171">
        <v>0</v>
      </c>
      <c r="Y27" s="328">
        <v>-24.970471481495631736417519860</v>
      </c>
      <c r="Z27" s="327">
        <v>-3.9088463364213094087890922800</v>
      </c>
      <c r="AA27" s="171">
        <v>-6.6616782469251807448978629600</v>
      </c>
      <c r="AB27" s="328">
        <v>0.8480054342399302669494669700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29</v>
      </c>
      <c r="C28" s="347" t="s">
        <v>51</v>
      </c>
      <c r="D28" s="378">
        <v>118.09090909090909090909090909</v>
      </c>
      <c r="E28" s="173">
        <v>175.125000000</v>
      </c>
      <c r="F28" s="379">
        <v>90.91562399195129072671722747</v>
      </c>
      <c r="G28" s="378">
        <v>0</v>
      </c>
      <c r="H28" s="173">
        <v>0</v>
      </c>
      <c r="I28" s="379">
        <v>19.167123965623801748232699322</v>
      </c>
      <c r="J28" s="378">
        <v>0</v>
      </c>
      <c r="K28" s="173">
        <v>0</v>
      </c>
      <c r="L28" s="379">
        <v>10.311580058273098537457538539</v>
      </c>
      <c r="M28" s="378">
        <v>118.09090909090909090909090909</v>
      </c>
      <c r="N28" s="173">
        <v>175.125000000</v>
      </c>
      <c r="O28" s="379">
        <v>120.39432801584819101240746533</v>
      </c>
      <c r="P28" s="4"/>
      <c r="Q28" s="359">
        <v>4.6455424274832645619726794700</v>
      </c>
      <c r="R28" s="170">
        <v>-6.5666826930614517824482971600</v>
      </c>
      <c r="S28" s="360">
        <v>-13.898479557493799214325684330</v>
      </c>
      <c r="T28" s="359">
        <v>0</v>
      </c>
      <c r="U28" s="170">
        <v>0</v>
      </c>
      <c r="V28" s="360">
        <v>51.639573914092568386708287710</v>
      </c>
      <c r="W28" s="359">
        <v>0</v>
      </c>
      <c r="X28" s="170">
        <v>0</v>
      </c>
      <c r="Y28" s="360">
        <v>16.790043233221800771785824560</v>
      </c>
      <c r="Z28" s="359">
        <v>4.6455424274832645619726794700</v>
      </c>
      <c r="AA28" s="170">
        <v>-6.5666826930614517824482971600</v>
      </c>
      <c r="AB28" s="360">
        <v>-5.2462886415767751139109014900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30</v>
      </c>
      <c r="C29" s="345" t="s">
        <v>52</v>
      </c>
      <c r="D29" s="370">
        <v>162.46212121212121212121212121</v>
      </c>
      <c r="E29" s="172">
        <v>252.57267441860465116279069767</v>
      </c>
      <c r="F29" s="371">
        <v>130.89968522033604976324414163</v>
      </c>
      <c r="G29" s="370">
        <v>0</v>
      </c>
      <c r="H29" s="172">
        <v>0</v>
      </c>
      <c r="I29" s="371">
        <v>21.634909107998302775975475379</v>
      </c>
      <c r="J29" s="370">
        <v>0</v>
      </c>
      <c r="K29" s="172">
        <v>0</v>
      </c>
      <c r="L29" s="371">
        <v>9.526504618595060452126436583</v>
      </c>
      <c r="M29" s="370">
        <v>162.46212121212121212121212121</v>
      </c>
      <c r="N29" s="172">
        <v>252.57267441860465116279069767</v>
      </c>
      <c r="O29" s="371">
        <v>162.06109894692941299134605359</v>
      </c>
      <c r="P29" s="4"/>
      <c r="Q29" s="327">
        <v>-24.284150690258154787216868990</v>
      </c>
      <c r="R29" s="171">
        <v>4.3613520070957270975078056400</v>
      </c>
      <c r="S29" s="328">
        <v>-10.258611460755615117826073650</v>
      </c>
      <c r="T29" s="327">
        <v>0</v>
      </c>
      <c r="U29" s="171">
        <v>-100</v>
      </c>
      <c r="V29" s="328">
        <v>37.400261884579976440969607740</v>
      </c>
      <c r="W29" s="327">
        <v>0</v>
      </c>
      <c r="X29" s="171">
        <v>0</v>
      </c>
      <c r="Y29" s="328">
        <v>19.856273986812175489490507900</v>
      </c>
      <c r="Z29" s="327">
        <v>-24.284150690258154787216868990</v>
      </c>
      <c r="AA29" s="171">
        <v>2.4659763662571628170090457900</v>
      </c>
      <c r="AB29" s="328">
        <v>-4.4211001572661557466514763600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31</v>
      </c>
      <c r="C30" s="347" t="s">
        <v>53</v>
      </c>
      <c r="D30" s="378">
        <v>172.89393939393939393939393939</v>
      </c>
      <c r="E30" s="173">
        <v>207.64244186046511627906976744</v>
      </c>
      <c r="F30" s="379">
        <v>138.0529315576629730676771151</v>
      </c>
      <c r="G30" s="378">
        <v>0</v>
      </c>
      <c r="H30" s="173">
        <v>0</v>
      </c>
      <c r="I30" s="379">
        <v>17.607473846638483075300597153</v>
      </c>
      <c r="J30" s="378">
        <v>0</v>
      </c>
      <c r="K30" s="173">
        <v>0</v>
      </c>
      <c r="L30" s="379">
        <v>11.484834925174093851809067021</v>
      </c>
      <c r="M30" s="378">
        <v>172.89393939393939393939393939</v>
      </c>
      <c r="N30" s="173">
        <v>207.64244186046511627906976744</v>
      </c>
      <c r="O30" s="379">
        <v>167.14524032947554999478677927</v>
      </c>
      <c r="P30" s="4"/>
      <c r="Q30" s="359">
        <v>-25.969897495797462716200376780</v>
      </c>
      <c r="R30" s="170">
        <v>-16.328132321253119581524376490</v>
      </c>
      <c r="S30" s="360">
        <v>-6.7796229790988785634641966200</v>
      </c>
      <c r="T30" s="359">
        <v>0</v>
      </c>
      <c r="U30" s="170">
        <v>-100</v>
      </c>
      <c r="V30" s="360">
        <v>16.964535480974530561401355730</v>
      </c>
      <c r="W30" s="359">
        <v>0</v>
      </c>
      <c r="X30" s="170">
        <v>0</v>
      </c>
      <c r="Y30" s="360">
        <v>0.143524006643294592607710600</v>
      </c>
      <c r="Z30" s="359">
        <v>-25.969897495797462716200376780</v>
      </c>
      <c r="AA30" s="170">
        <v>-17.243257021044550379626227940</v>
      </c>
      <c r="AB30" s="360">
        <v>-4.277925030787503870692112700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t="s">
        <v>181</v>
      </c>
      <c r="B31" s="660">
        <v>1</v>
      </c>
      <c r="C31" s="667" t="s">
        <v>49</v>
      </c>
      <c r="D31" s="668">
        <v>110.84090909090909090909090909</v>
      </c>
      <c r="E31" s="669">
        <v>125.77616279069767441860465116</v>
      </c>
      <c r="F31" s="670">
        <v>78.718840237741891932298752953</v>
      </c>
      <c r="G31" s="668">
        <v>0</v>
      </c>
      <c r="H31" s="669">
        <v>0</v>
      </c>
      <c r="I31" s="670">
        <v>10.97124544618191829359616139</v>
      </c>
      <c r="J31" s="668">
        <v>0</v>
      </c>
      <c r="K31" s="669">
        <v>0</v>
      </c>
      <c r="L31" s="670">
        <v>10.775152162390878744308953928</v>
      </c>
      <c r="M31" s="668">
        <v>110.84090909090909090909090909</v>
      </c>
      <c r="N31" s="669">
        <v>125.77616279069767441860465116</v>
      </c>
      <c r="O31" s="670">
        <v>100.46523784631468897020386827</v>
      </c>
      <c r="P31" s="4"/>
      <c r="Q31" s="662">
        <v>4.016778046358823647265540100</v>
      </c>
      <c r="R31" s="663">
        <v>-18.879952003325324199080265760</v>
      </c>
      <c r="S31" s="664">
        <v>-16.544577110580161291665321910</v>
      </c>
      <c r="T31" s="662">
        <v>0</v>
      </c>
      <c r="U31" s="663">
        <v>-100</v>
      </c>
      <c r="V31" s="664">
        <v>23.483084527174227650836064540</v>
      </c>
      <c r="W31" s="662">
        <v>0</v>
      </c>
      <c r="X31" s="663">
        <v>0</v>
      </c>
      <c r="Y31" s="664">
        <v>-1.4746738085753453990046892900</v>
      </c>
      <c r="Z31" s="662">
        <v>4.016778046358823647265540100</v>
      </c>
      <c r="AA31" s="663">
        <v>-20.071307175064203919831883870</v>
      </c>
      <c r="AB31" s="664">
        <v>-11.985057749491963936024385810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v>
      </c>
      <c r="C32" s="347" t="s">
        <v>47</v>
      </c>
      <c r="D32" s="378">
        <v>94.62878787878787878787878788</v>
      </c>
      <c r="E32" s="173">
        <v>111.33948339483394833948339483</v>
      </c>
      <c r="F32" s="379">
        <v>75.933947994327125020897176979</v>
      </c>
      <c r="G32" s="378">
        <v>0</v>
      </c>
      <c r="H32" s="173">
        <v>0</v>
      </c>
      <c r="I32" s="379">
        <v>17.818914780893557958023587811</v>
      </c>
      <c r="J32" s="378">
        <v>0</v>
      </c>
      <c r="K32" s="173">
        <v>0</v>
      </c>
      <c r="L32" s="379">
        <v>10.704847627288464956259580224</v>
      </c>
      <c r="M32" s="378">
        <v>94.62878787878787878787878788</v>
      </c>
      <c r="N32" s="173">
        <v>111.33948339483394833948339483</v>
      </c>
      <c r="O32" s="379">
        <v>104.45771040250914793518034501</v>
      </c>
      <c r="P32" s="4"/>
      <c r="Q32" s="359">
        <v>19.257208325354352261156128630</v>
      </c>
      <c r="R32" s="170">
        <v>-14.572016130985829926579110420</v>
      </c>
      <c r="S32" s="360">
        <v>-3.499152276438533006077007700</v>
      </c>
      <c r="T32" s="359">
        <v>-100</v>
      </c>
      <c r="U32" s="170">
        <v>-100</v>
      </c>
      <c r="V32" s="360">
        <v>13.517465390750215615467804790</v>
      </c>
      <c r="W32" s="359">
        <v>0</v>
      </c>
      <c r="X32" s="170">
        <v>0</v>
      </c>
      <c r="Y32" s="360">
        <v>2.2049750962775129945525883600</v>
      </c>
      <c r="Z32" s="359">
        <v>13.688905069693966414166382220</v>
      </c>
      <c r="AA32" s="170">
        <v>-15.415334714737980958523713390</v>
      </c>
      <c r="AB32" s="360">
        <v>-0.3820365016170113743690351100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3</v>
      </c>
      <c r="C33" s="345" t="s">
        <v>48</v>
      </c>
      <c r="D33" s="370">
        <v>91.42424242424242424242424242</v>
      </c>
      <c r="E33" s="172">
        <v>83.17343173431734317343173432</v>
      </c>
      <c r="F33" s="371">
        <v>73.251236735915290426577399267</v>
      </c>
      <c r="G33" s="370">
        <v>0</v>
      </c>
      <c r="H33" s="172">
        <v>6.6900369003690036900369003695</v>
      </c>
      <c r="I33" s="371">
        <v>18.618919915250409330219206788</v>
      </c>
      <c r="J33" s="370">
        <v>0</v>
      </c>
      <c r="K33" s="172">
        <v>0</v>
      </c>
      <c r="L33" s="371">
        <v>10.000517682341879960924251237</v>
      </c>
      <c r="M33" s="370">
        <v>91.42424242424242424242424242</v>
      </c>
      <c r="N33" s="172">
        <v>89.86346863468634686346863469</v>
      </c>
      <c r="O33" s="371">
        <v>101.87067433350757971772085729</v>
      </c>
      <c r="P33" s="4"/>
      <c r="Q33" s="327">
        <v>23.130292827262524232221201910</v>
      </c>
      <c r="R33" s="171">
        <v>-21.691270447458583846891807620</v>
      </c>
      <c r="S33" s="328">
        <v>-12.923648950518510961656119890</v>
      </c>
      <c r="T33" s="327">
        <v>-100</v>
      </c>
      <c r="U33" s="171">
        <v>414.84847732448383113695311935</v>
      </c>
      <c r="V33" s="328">
        <v>-7.8765444668266138357134545900</v>
      </c>
      <c r="W33" s="327">
        <v>0</v>
      </c>
      <c r="X33" s="171">
        <v>0</v>
      </c>
      <c r="Y33" s="328">
        <v>4.0989288076486177322444581600</v>
      </c>
      <c r="Z33" s="327">
        <v>-11.192876591386800242375042520</v>
      </c>
      <c r="AA33" s="171">
        <v>-16.415116779349403714104590400</v>
      </c>
      <c r="AB33" s="328">
        <v>-10.593155699783791848732768140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4</v>
      </c>
      <c r="C34" s="347" t="s">
        <v>50</v>
      </c>
      <c r="D34" s="378">
        <v>80.4469696969696969696969697</v>
      </c>
      <c r="E34" s="173">
        <v>72.284132841328413284132841326</v>
      </c>
      <c r="F34" s="379">
        <v>77.390820185667678206751335106</v>
      </c>
      <c r="G34" s="378">
        <v>0</v>
      </c>
      <c r="H34" s="173">
        <v>15.140221402214022140221402214</v>
      </c>
      <c r="I34" s="379">
        <v>20.968242467316919598372340432</v>
      </c>
      <c r="J34" s="378">
        <v>0</v>
      </c>
      <c r="K34" s="173">
        <v>0</v>
      </c>
      <c r="L34" s="379">
        <v>10.293524905823556925665660588</v>
      </c>
      <c r="M34" s="378">
        <v>80.4469696969696969696969697</v>
      </c>
      <c r="N34" s="173">
        <v>87.42435424354243542435424354</v>
      </c>
      <c r="O34" s="379">
        <v>108.65258755880815473078933612</v>
      </c>
      <c r="P34" s="4"/>
      <c r="Q34" s="359">
        <v>-5.5417185554541555273399752400</v>
      </c>
      <c r="R34" s="170">
        <v>-36.01363398414851518151756700</v>
      </c>
      <c r="S34" s="360">
        <v>-22.242280422656898429964392020</v>
      </c>
      <c r="T34" s="359">
        <v>-100</v>
      </c>
      <c r="U34" s="170">
        <v>1647.7302557603616871110744472</v>
      </c>
      <c r="V34" s="360">
        <v>-28.391003137811904967168632770</v>
      </c>
      <c r="W34" s="359">
        <v>0</v>
      </c>
      <c r="X34" s="170">
        <v>0</v>
      </c>
      <c r="Y34" s="360">
        <v>0.1435978230584538026693718300</v>
      </c>
      <c r="Z34" s="359">
        <v>-29.017379679123507785467121880</v>
      </c>
      <c r="AA34" s="170">
        <v>-23.200342552737090814624390430</v>
      </c>
      <c r="AB34" s="360">
        <v>-21.882402410770903387842591350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5</v>
      </c>
      <c r="C35" s="345" t="s">
        <v>51</v>
      </c>
      <c r="D35" s="370">
        <v>115.79545454545454545454545455</v>
      </c>
      <c r="E35" s="172">
        <v>106.10701107011070110701107011</v>
      </c>
      <c r="F35" s="371">
        <v>84.51260973588428353226176683</v>
      </c>
      <c r="G35" s="370">
        <v>0</v>
      </c>
      <c r="H35" s="172">
        <v>14.70110701107011070110701107</v>
      </c>
      <c r="I35" s="371">
        <v>28.766448315184753820457454066</v>
      </c>
      <c r="J35" s="370">
        <v>0</v>
      </c>
      <c r="K35" s="172">
        <v>0</v>
      </c>
      <c r="L35" s="371">
        <v>10.748438028387313927991704352</v>
      </c>
      <c r="M35" s="370">
        <v>115.79545454545454545454545455</v>
      </c>
      <c r="N35" s="172">
        <v>120.80811808118081180811808118</v>
      </c>
      <c r="O35" s="371">
        <v>124.02749607945635128071092525</v>
      </c>
      <c r="P35" s="4"/>
      <c r="Q35" s="327">
        <v>-1.9752453023893310849429985900</v>
      </c>
      <c r="R35" s="171">
        <v>-24.804161825823314967980244910</v>
      </c>
      <c r="S35" s="328">
        <v>-17.835141021098031901293519700</v>
      </c>
      <c r="T35" s="327">
        <v>-100</v>
      </c>
      <c r="U35" s="171">
        <v>0</v>
      </c>
      <c r="V35" s="328">
        <v>-5.9341161443932348155355808800</v>
      </c>
      <c r="W35" s="327">
        <v>0</v>
      </c>
      <c r="X35" s="171">
        <v>0</v>
      </c>
      <c r="Y35" s="328">
        <v>24.555057517978507091366762610</v>
      </c>
      <c r="Z35" s="327">
        <v>-21.134100407638493836113576410</v>
      </c>
      <c r="AA35" s="171">
        <v>-14.385792175817405972411936640</v>
      </c>
      <c r="AB35" s="328">
        <v>-12.698501627110754631609085370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6</v>
      </c>
      <c r="C36" s="347" t="s">
        <v>52</v>
      </c>
      <c r="D36" s="378">
        <v>162.93939393939393939393939394</v>
      </c>
      <c r="E36" s="173">
        <v>169.44649446494464944649446494</v>
      </c>
      <c r="F36" s="379">
        <v>110.22912558509429626265671027</v>
      </c>
      <c r="G36" s="378">
        <v>0</v>
      </c>
      <c r="H36" s="173">
        <v>20.590405904059040590405904058</v>
      </c>
      <c r="I36" s="379">
        <v>27.203679365877849936844367353</v>
      </c>
      <c r="J36" s="378">
        <v>0</v>
      </c>
      <c r="K36" s="173">
        <v>0</v>
      </c>
      <c r="L36" s="379">
        <v>11.000754902660890914978796923</v>
      </c>
      <c r="M36" s="378">
        <v>162.93939393939393939393939394</v>
      </c>
      <c r="N36" s="173">
        <v>190.036900369003690036900369</v>
      </c>
      <c r="O36" s="379">
        <v>148.43355985363303711447987454</v>
      </c>
      <c r="P36" s="4"/>
      <c r="Q36" s="359">
        <v>-0.9395725865588620700328839700</v>
      </c>
      <c r="R36" s="170">
        <v>-11.657001112512732366222406140</v>
      </c>
      <c r="S36" s="360">
        <v>-9.714535156597555617959451600</v>
      </c>
      <c r="T36" s="359">
        <v>-100</v>
      </c>
      <c r="U36" s="170">
        <v>0</v>
      </c>
      <c r="V36" s="360">
        <v>1.6921810481445783246458280300</v>
      </c>
      <c r="W36" s="359">
        <v>0</v>
      </c>
      <c r="X36" s="170">
        <v>0</v>
      </c>
      <c r="Y36" s="360">
        <v>16.80241710985392066692500400</v>
      </c>
      <c r="Z36" s="359">
        <v>-5.217697867094735535103097400</v>
      </c>
      <c r="AA36" s="170">
        <v>-0.921941578710925889818247300</v>
      </c>
      <c r="AB36" s="360">
        <v>-6.2083505191638702117704203800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7</v>
      </c>
      <c r="C37" s="349" t="s">
        <v>53</v>
      </c>
      <c r="D37" s="380">
        <v>178.40909090909090909090909091</v>
      </c>
      <c r="E37" s="383">
        <v>196.36162361623616236162361623</v>
      </c>
      <c r="F37" s="381">
        <v>119.95887321311091917505998013</v>
      </c>
      <c r="G37" s="380">
        <v>0</v>
      </c>
      <c r="H37" s="383">
        <v>9.542435424354243542435424354</v>
      </c>
      <c r="I37" s="381">
        <v>30.597315950721638233815714524</v>
      </c>
      <c r="J37" s="380">
        <v>0</v>
      </c>
      <c r="K37" s="383">
        <v>0</v>
      </c>
      <c r="L37" s="381">
        <v>11.461479419544337520554519671</v>
      </c>
      <c r="M37" s="380">
        <v>178.40909090909090909090909091</v>
      </c>
      <c r="N37" s="383">
        <v>205.90405904059040590405904059</v>
      </c>
      <c r="O37" s="381">
        <v>162.01766858337689492943021432</v>
      </c>
      <c r="P37" s="4"/>
      <c r="Q37" s="329">
        <v>10.532244438180200943709480140</v>
      </c>
      <c r="R37" s="330">
        <v>0.5498720194947698888950541700</v>
      </c>
      <c r="S37" s="332">
        <v>-8.685037657591635075928601990</v>
      </c>
      <c r="T37" s="329">
        <v>-100</v>
      </c>
      <c r="U37" s="330">
        <v>0</v>
      </c>
      <c r="V37" s="332">
        <v>17.56285943454956390891844700</v>
      </c>
      <c r="W37" s="329">
        <v>0</v>
      </c>
      <c r="X37" s="330">
        <v>0</v>
      </c>
      <c r="Y37" s="332">
        <v>12.849803767459708461198225620</v>
      </c>
      <c r="Z37" s="329">
        <v>4.988631804210778508150778200</v>
      </c>
      <c r="AA37" s="330">
        <v>5.4362171362387371706758376200</v>
      </c>
      <c r="AB37" s="332">
        <v>-3.3024775841863383417283340400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134.57954545454545454545454545</v>
      </c>
      <c r="E39" s="382">
        <v>164.91787790697674418604651163</v>
      </c>
      <c r="F39" s="375">
        <v>95.08357922526222289605353337</v>
      </c>
      <c r="G39" s="374">
        <v>5.4299242424242424242424242424</v>
      </c>
      <c r="H39" s="382">
        <v>0.4927325581395348837209302326</v>
      </c>
      <c r="I39" s="375">
        <v>15.120605503547713888603284599</v>
      </c>
      <c r="J39" s="374">
        <v>0</v>
      </c>
      <c r="K39" s="382">
        <v>0</v>
      </c>
      <c r="L39" s="375">
        <v>11.182116069353765025557590718</v>
      </c>
      <c r="M39" s="374">
        <v>140.0094696969696969696969697</v>
      </c>
      <c r="N39" s="382">
        <v>165.41061046511627906976744186</v>
      </c>
      <c r="O39" s="375">
        <v>121.38630079816370181021440868</v>
      </c>
      <c r="P39" s="4"/>
      <c r="Q39" s="354">
        <v>-5.040759053865557582888802300</v>
      </c>
      <c r="R39" s="355">
        <v>-10.017484516997231959816758560</v>
      </c>
      <c r="S39" s="356">
        <v>-9.313484883424773395714856360</v>
      </c>
      <c r="T39" s="354">
        <v>0</v>
      </c>
      <c r="U39" s="355">
        <v>-61.881633334335870874343793220</v>
      </c>
      <c r="V39" s="356">
        <v>16.522270307467652703098757910</v>
      </c>
      <c r="W39" s="354">
        <v>0</v>
      </c>
      <c r="X39" s="355">
        <v>0</v>
      </c>
      <c r="Y39" s="356">
        <v>17.016747353403990649002704890</v>
      </c>
      <c r="Z39" s="354">
        <v>-1.2094079914578421052528175500</v>
      </c>
      <c r="AA39" s="355">
        <v>-10.380715044545912437305369900</v>
      </c>
      <c r="AB39" s="356">
        <v>-4.7062801968686184879922371700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102.89772727272727272727272727</v>
      </c>
      <c r="E40" s="172">
        <v>133.88574294173174289882433708</v>
      </c>
      <c r="F40" s="371">
        <v>80.06473423789010832646444979</v>
      </c>
      <c r="G40" s="370">
        <v>12.477272727272727272727272727</v>
      </c>
      <c r="H40" s="172">
        <v>2.2172965116279069767441860465</v>
      </c>
      <c r="I40" s="371">
        <v>21.47812667566642512128912907</v>
      </c>
      <c r="J40" s="370">
        <v>0</v>
      </c>
      <c r="K40" s="172">
        <v>0</v>
      </c>
      <c r="L40" s="371">
        <v>10.855594926602055941364267666</v>
      </c>
      <c r="M40" s="370">
        <v>115.375000000</v>
      </c>
      <c r="N40" s="172">
        <v>136.10303945335964987556852312</v>
      </c>
      <c r="O40" s="371">
        <v>112.39845584015858938911784652</v>
      </c>
      <c r="P40" s="4"/>
      <c r="Q40" s="327">
        <v>-9.904979851727155062100805450</v>
      </c>
      <c r="R40" s="171">
        <v>-10.923948130529258727033854260</v>
      </c>
      <c r="S40" s="328">
        <v>-6.0318077290214426812644592500</v>
      </c>
      <c r="T40" s="327">
        <v>1184.2105263037734687597307745</v>
      </c>
      <c r="U40" s="171">
        <v>174.95305481728308391547921892</v>
      </c>
      <c r="V40" s="328">
        <v>17.142138128819940346412995200</v>
      </c>
      <c r="W40" s="327">
        <v>0</v>
      </c>
      <c r="X40" s="171">
        <v>0</v>
      </c>
      <c r="Y40" s="328">
        <v>19.677307305105848927456284140</v>
      </c>
      <c r="Z40" s="327">
        <v>0.1677190213259933258123640100</v>
      </c>
      <c r="AA40" s="171">
        <v>-9.931989335191306761292946880</v>
      </c>
      <c r="AB40" s="328">
        <v>-0.187767393164174793577635400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96.55492424242424242424242424</v>
      </c>
      <c r="E41" s="173">
        <v>116.3304218870677078863811894</v>
      </c>
      <c r="F41" s="379">
        <v>82.43869071205416134123476311</v>
      </c>
      <c r="G41" s="378">
        <v>19.09469696969696969696969697</v>
      </c>
      <c r="H41" s="173">
        <v>6.0591371320689951085557367202</v>
      </c>
      <c r="I41" s="379">
        <v>25.286862858214881251536635878</v>
      </c>
      <c r="J41" s="378">
        <v>0</v>
      </c>
      <c r="K41" s="173">
        <v>0</v>
      </c>
      <c r="L41" s="379">
        <v>9.93449651059067883244640058</v>
      </c>
      <c r="M41" s="378">
        <v>115.64962121212121212121212121</v>
      </c>
      <c r="N41" s="173">
        <v>122.38955901913670299493692611</v>
      </c>
      <c r="O41" s="379">
        <v>117.66005008085972142521779957</v>
      </c>
      <c r="P41" s="4"/>
      <c r="Q41" s="359">
        <v>-5.0898259332081884795234665100</v>
      </c>
      <c r="R41" s="170">
        <v>-13.835323464219387633673811720</v>
      </c>
      <c r="S41" s="360">
        <v>-9.585929105247004534535060110</v>
      </c>
      <c r="T41" s="359">
        <v>166.15628300051792522154477337</v>
      </c>
      <c r="U41" s="170">
        <v>182.92412086180848410174557544</v>
      </c>
      <c r="V41" s="360">
        <v>11.921878583675970271628440350</v>
      </c>
      <c r="W41" s="359">
        <v>0</v>
      </c>
      <c r="X41" s="170">
        <v>0</v>
      </c>
      <c r="Y41" s="360">
        <v>9.390100531262470001083442570</v>
      </c>
      <c r="Z41" s="359">
        <v>6.1909813401010398488749428400</v>
      </c>
      <c r="AA41" s="170">
        <v>-10.762926382851401575424265070</v>
      </c>
      <c r="AB41" s="360">
        <v>-4.2278037257817243666649901700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94.77840909090909090909090909</v>
      </c>
      <c r="E42" s="172">
        <v>109.28106228009954518149832661</v>
      </c>
      <c r="F42" s="371">
        <v>87.38835662479220349421120322</v>
      </c>
      <c r="G42" s="370">
        <v>19.352272727272727272727272727</v>
      </c>
      <c r="H42" s="172">
        <v>8.026334420320947395520466833</v>
      </c>
      <c r="I42" s="371">
        <v>29.449367208213618944457049197</v>
      </c>
      <c r="J42" s="370">
        <v>0</v>
      </c>
      <c r="K42" s="172">
        <v>0</v>
      </c>
      <c r="L42" s="371">
        <v>9.854539717518461561540417829</v>
      </c>
      <c r="M42" s="370">
        <v>114.13068181818181818181818182</v>
      </c>
      <c r="N42" s="172">
        <v>117.30739670042049257701879344</v>
      </c>
      <c r="O42" s="371">
        <v>126.69226355052428400020867025</v>
      </c>
      <c r="P42" s="4"/>
      <c r="Q42" s="327">
        <v>-14.012509020940374238424558870</v>
      </c>
      <c r="R42" s="171">
        <v>-13.355120726271374689288579960</v>
      </c>
      <c r="S42" s="328">
        <v>-9.889669233531179691860574810</v>
      </c>
      <c r="T42" s="327">
        <v>174.82517482387387760169441090</v>
      </c>
      <c r="U42" s="171">
        <v>29.294784954490015422305744950</v>
      </c>
      <c r="V42" s="328">
        <v>17.642142143328405012448164880</v>
      </c>
      <c r="W42" s="327">
        <v>0</v>
      </c>
      <c r="X42" s="171">
        <v>0</v>
      </c>
      <c r="Y42" s="328">
        <v>-2.328082621747155076412796400</v>
      </c>
      <c r="Z42" s="327">
        <v>-2.6729762904982810873920027800</v>
      </c>
      <c r="AA42" s="171">
        <v>-11.354401727567716456586068690</v>
      </c>
      <c r="AB42" s="328">
        <v>-4.0949216054018256585085187600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120.57954545454545454545454545</v>
      </c>
      <c r="E43" s="173">
        <v>145.93445625589976830000858148</v>
      </c>
      <c r="F43" s="379">
        <v>95.77114966034396527224984526</v>
      </c>
      <c r="G43" s="378">
        <v>16.899621212121212121212121212</v>
      </c>
      <c r="H43" s="173">
        <v>6.1512941946279927915558225349</v>
      </c>
      <c r="I43" s="379">
        <v>29.644760121722958342950139754</v>
      </c>
      <c r="J43" s="378">
        <v>0</v>
      </c>
      <c r="K43" s="173">
        <v>0</v>
      </c>
      <c r="L43" s="379">
        <v>11.101253345900106485483410043</v>
      </c>
      <c r="M43" s="378">
        <v>137.47916666666666666666666667</v>
      </c>
      <c r="N43" s="173">
        <v>152.08575045052776109156440402</v>
      </c>
      <c r="O43" s="379">
        <v>136.51716312796703010068339506</v>
      </c>
      <c r="P43" s="4"/>
      <c r="Q43" s="359">
        <v>-8.238448012450681466616988860</v>
      </c>
      <c r="R43" s="170">
        <v>-13.815052768679909309519031130</v>
      </c>
      <c r="S43" s="360">
        <v>-10.033545248782902203374038040</v>
      </c>
      <c r="T43" s="359">
        <v>135.55966209220605502398770212</v>
      </c>
      <c r="U43" s="170">
        <v>18.519697606376542553897754480</v>
      </c>
      <c r="V43" s="360">
        <v>16.047228384644016453512874420</v>
      </c>
      <c r="W43" s="359">
        <v>0</v>
      </c>
      <c r="X43" s="170">
        <v>0</v>
      </c>
      <c r="Y43" s="360">
        <v>26.066700100133018026211072320</v>
      </c>
      <c r="Z43" s="359">
        <v>-0.7940412737135309141802531700</v>
      </c>
      <c r="AA43" s="170">
        <v>-12.853424376572792559393240650</v>
      </c>
      <c r="AB43" s="360">
        <v>-3.0440943571230236132935854800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181.58712121212121212121212121</v>
      </c>
      <c r="E44" s="172">
        <v>226.65740849995709259418175577</v>
      </c>
      <c r="F44" s="371">
        <v>132.13863554684617453407640157</v>
      </c>
      <c r="G44" s="370">
        <v>1.0568181818181818181818181818</v>
      </c>
      <c r="H44" s="172">
        <v>5.3939677550845275894619411309</v>
      </c>
      <c r="I44" s="371">
        <v>26.348409745748926268101809742</v>
      </c>
      <c r="J44" s="370">
        <v>0</v>
      </c>
      <c r="K44" s="172">
        <v>0</v>
      </c>
      <c r="L44" s="371">
        <v>11.373458646055846039075896891</v>
      </c>
      <c r="M44" s="370">
        <v>182.64393939393939393939393939</v>
      </c>
      <c r="N44" s="172">
        <v>232.0513762550416201836436969</v>
      </c>
      <c r="O44" s="371">
        <v>169.8605039386509468412541082</v>
      </c>
      <c r="P44" s="4"/>
      <c r="Q44" s="327">
        <v>-9.541376154565507090398930550</v>
      </c>
      <c r="R44" s="171">
        <v>-6.6735052729395362963208422800</v>
      </c>
      <c r="S44" s="328">
        <v>-7.9103825177319863517863970500</v>
      </c>
      <c r="T44" s="327">
        <v>-43.061224491004414827129702220</v>
      </c>
      <c r="U44" s="171">
        <v>37.110135389067347688359967030</v>
      </c>
      <c r="V44" s="328">
        <v>24.316458038659056886634052630</v>
      </c>
      <c r="W44" s="327">
        <v>0</v>
      </c>
      <c r="X44" s="171">
        <v>0</v>
      </c>
      <c r="Y44" s="328">
        <v>23.915004758441255431258198090</v>
      </c>
      <c r="Z44" s="327">
        <v>-9.848463602288776653249095680</v>
      </c>
      <c r="AA44" s="171">
        <v>-5.9755828387834268242451628800</v>
      </c>
      <c r="AB44" s="328">
        <v>-2.3016711340233225152166190600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219.18181818181818181818181818</v>
      </c>
      <c r="E45" s="385">
        <v>249.16017334591950570668497382</v>
      </c>
      <c r="F45" s="386">
        <v>149.06905007075319904660473591</v>
      </c>
      <c r="G45" s="384">
        <v>0.5284090909090909090909090909</v>
      </c>
      <c r="H45" s="385">
        <v>2.8783414142280957693297863211</v>
      </c>
      <c r="I45" s="386">
        <v>22.843575692562215980563474276</v>
      </c>
      <c r="J45" s="384">
        <v>0</v>
      </c>
      <c r="K45" s="385">
        <v>0</v>
      </c>
      <c r="L45" s="386">
        <v>11.869861586050749091982501892</v>
      </c>
      <c r="M45" s="384">
        <v>219.71022727272727272727272727</v>
      </c>
      <c r="N45" s="385">
        <v>252.03851476014760147601476015</v>
      </c>
      <c r="O45" s="386">
        <v>183.78248734936616411915071209</v>
      </c>
      <c r="P45" s="4"/>
      <c r="Q45" s="364">
        <v>0.4539733518454675975048668800</v>
      </c>
      <c r="R45" s="365">
        <v>-6.8515389978464500102359382900</v>
      </c>
      <c r="S45" s="366">
        <v>-4.6322065767457512104101868100</v>
      </c>
      <c r="T45" s="364">
        <v>-75.200000000211626666664860790</v>
      </c>
      <c r="U45" s="365">
        <v>6.4060512135861980611980549800</v>
      </c>
      <c r="V45" s="366">
        <v>23.621204666640359266919586010</v>
      </c>
      <c r="W45" s="364">
        <v>0</v>
      </c>
      <c r="X45" s="365">
        <v>0</v>
      </c>
      <c r="Y45" s="366">
        <v>17.644560102328130825323327810</v>
      </c>
      <c r="Z45" s="364">
        <v>-0.2776583856408111189360418400</v>
      </c>
      <c r="AA45" s="365">
        <v>-6.7188094118757990094348343100</v>
      </c>
      <c r="AB45" s="366">
        <v>-0.5925162667904370661304600600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119.21212121212121212121212121</v>
      </c>
      <c r="E47" s="382">
        <v>123.49833427320984173296882471</v>
      </c>
      <c r="F47" s="375">
        <v>88.5707790982487835080718745</v>
      </c>
      <c r="G47" s="374">
        <v>0</v>
      </c>
      <c r="H47" s="382">
        <v>9.523458091723774380600948867</v>
      </c>
      <c r="I47" s="375">
        <v>22.134966605918149595904118908</v>
      </c>
      <c r="J47" s="374">
        <v>0</v>
      </c>
      <c r="K47" s="382">
        <v>0</v>
      </c>
      <c r="L47" s="375">
        <v>10.712102104062474707240495275</v>
      </c>
      <c r="M47" s="374">
        <v>119.21212121212121212121212121</v>
      </c>
      <c r="N47" s="382">
        <v>133.02179236493361611356977357</v>
      </c>
      <c r="O47" s="375">
        <v>121.41784780822940781121648869</v>
      </c>
      <c r="P47" s="4"/>
      <c r="Q47" s="354">
        <v>5.718179549657346907699001200</v>
      </c>
      <c r="R47" s="355">
        <v>-16.293526351829930095937707720</v>
      </c>
      <c r="S47" s="356">
        <v>-13.041442775369928235503860420</v>
      </c>
      <c r="T47" s="354">
        <v>-100</v>
      </c>
      <c r="U47" s="355">
        <v>1054.1261743165856812882655140</v>
      </c>
      <c r="V47" s="356">
        <v>-1.5803883640232759136293963800</v>
      </c>
      <c r="W47" s="354">
        <v>0</v>
      </c>
      <c r="X47" s="355">
        <v>0</v>
      </c>
      <c r="Y47" s="356">
        <v>7.8917268473289361412740682300</v>
      </c>
      <c r="Z47" s="354">
        <v>-6.7346282152981918114881103700</v>
      </c>
      <c r="AA47" s="355">
        <v>-10.340042038407984559633049140</v>
      </c>
      <c r="AB47" s="356">
        <v>-9.573879208877624343590766600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135.73701298701298701298701299</v>
      </c>
      <c r="E48" s="172">
        <v>163.73816330252172953623223939</v>
      </c>
      <c r="F48" s="371">
        <v>103.13631372542029070155641889</v>
      </c>
      <c r="G48" s="370">
        <v>10.691287878787878787878787879</v>
      </c>
      <c r="H48" s="172">
        <v>4.4598719980140000735555528312</v>
      </c>
      <c r="I48" s="371">
        <v>24.310243972239534256785931788</v>
      </c>
      <c r="J48" s="370">
        <v>0</v>
      </c>
      <c r="K48" s="172">
        <v>0</v>
      </c>
      <c r="L48" s="371">
        <v>10.881617257438808996778640802</v>
      </c>
      <c r="M48" s="370">
        <v>146.42830086580086580086580087</v>
      </c>
      <c r="N48" s="172">
        <v>168.19803530053572960978779222</v>
      </c>
      <c r="O48" s="371">
        <v>138.32817495509863395512099148</v>
      </c>
      <c r="P48" s="4"/>
      <c r="Q48" s="327">
        <v>-6.6849694209829967330264674800</v>
      </c>
      <c r="R48" s="171">
        <v>-9.776731421428651978646054780</v>
      </c>
      <c r="S48" s="328">
        <v>-7.958952543968412276798920150</v>
      </c>
      <c r="T48" s="327">
        <v>184.03536515006710627652044112</v>
      </c>
      <c r="U48" s="171">
        <v>39.994903917262232825303812060</v>
      </c>
      <c r="V48" s="328">
        <v>18.043208191006256901319928550</v>
      </c>
      <c r="W48" s="327">
        <v>0</v>
      </c>
      <c r="X48" s="171">
        <v>0</v>
      </c>
      <c r="Y48" s="328">
        <v>15.637923497138422940166295630</v>
      </c>
      <c r="Z48" s="327">
        <v>-1.8742203591370590066630605500</v>
      </c>
      <c r="AA48" s="171">
        <v>-8.91810705810079791189252600</v>
      </c>
      <c r="AB48" s="328">
        <v>-2.6263401117350119686717543200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119.21212121212121212121212121</v>
      </c>
      <c r="E49" s="385">
        <v>123.49833427320984173296882471</v>
      </c>
      <c r="F49" s="386">
        <v>88.5707790982487835080718745</v>
      </c>
      <c r="G49" s="384">
        <v>0</v>
      </c>
      <c r="H49" s="385">
        <v>9.523458091723774380600948867</v>
      </c>
      <c r="I49" s="386">
        <v>22.134966605918149595904118908</v>
      </c>
      <c r="J49" s="384">
        <v>0</v>
      </c>
      <c r="K49" s="385">
        <v>0</v>
      </c>
      <c r="L49" s="386">
        <v>10.712102104062474707240495275</v>
      </c>
      <c r="M49" s="384">
        <v>119.21212121212121212121212121</v>
      </c>
      <c r="N49" s="385">
        <v>133.02179236493361611356977357</v>
      </c>
      <c r="O49" s="386">
        <v>121.41784780822940781121648869</v>
      </c>
      <c r="P49" s="4"/>
      <c r="Q49" s="364">
        <v>-3.1341236062050718201156740600</v>
      </c>
      <c r="R49" s="365">
        <v>-20.370378293252873607638046720</v>
      </c>
      <c r="S49" s="366">
        <v>-15.03453742655358535470927600</v>
      </c>
      <c r="T49" s="364">
        <v>-100</v>
      </c>
      <c r="U49" s="365">
        <v>682.41170540546520424356942405</v>
      </c>
      <c r="V49" s="366">
        <v>5.7931179472899700785849010100</v>
      </c>
      <c r="W49" s="364">
        <v>0</v>
      </c>
      <c r="X49" s="365">
        <v>0</v>
      </c>
      <c r="Y49" s="366">
        <v>5.8927551092598713552415792300</v>
      </c>
      <c r="Z49" s="364">
        <v>-12.925385168725669771320441460</v>
      </c>
      <c r="AA49" s="365">
        <v>-14.897718851529852677471289230</v>
      </c>
      <c r="AB49" s="366">
        <v>-10.248430271414601953242976980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9"/>
</worksheet>
</file>

<file path=xl/worksheets/sheet4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137</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180</v>
      </c>
      <c r="B4" s="443"/>
      <c r="C4" s="211"/>
      <c r="D4" s="212"/>
      <c r="E4" s="212"/>
      <c r="F4" s="212"/>
      <c r="G4" s="212"/>
      <c r="H4" s="212"/>
      <c r="I4" s="212"/>
      <c r="J4" s="212"/>
      <c r="K4" s="212"/>
      <c r="L4" s="212"/>
      <c r="M4" s="212"/>
      <c r="N4" s="212"/>
      <c r="O4" s="212"/>
      <c r="P4" s="212"/>
      <c r="Q4" s="659" t="s">
        <v>182</v>
      </c>
      <c r="R4" s="659"/>
      <c r="S4" s="659"/>
      <c r="T4" s="659"/>
      <c r="U4" s="659"/>
      <c r="V4" s="659"/>
      <c r="W4" s="659"/>
      <c r="X4" s="659"/>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71" t="s">
        <v>33</v>
      </c>
      <c r="E8" s="671"/>
      <c r="F8" s="671"/>
      <c r="G8" s="671" t="s">
        <v>30</v>
      </c>
      <c r="H8" s="671"/>
      <c r="I8" s="671"/>
      <c r="J8" s="671" t="s">
        <v>29</v>
      </c>
      <c r="K8" s="671"/>
      <c r="L8" s="671"/>
      <c r="M8" s="671" t="s">
        <v>94</v>
      </c>
      <c r="N8" s="671"/>
      <c r="O8" s="671"/>
      <c r="Q8" s="671" t="s">
        <v>33</v>
      </c>
      <c r="R8" s="671"/>
      <c r="S8" s="671"/>
      <c r="T8" s="671" t="s">
        <v>30</v>
      </c>
      <c r="U8" s="671"/>
      <c r="V8" s="671"/>
      <c r="W8" s="671" t="s">
        <v>29</v>
      </c>
      <c r="X8" s="671"/>
      <c r="Y8" s="671"/>
      <c r="Z8" s="672" t="s">
        <v>23</v>
      </c>
      <c r="AA8" s="672"/>
      <c r="AB8" s="672"/>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94" t="s">
        <v>63</v>
      </c>
      <c r="AA9" s="94" t="s">
        <v>26</v>
      </c>
      <c r="AB9" s="95" t="s">
        <v>183</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184</v>
      </c>
      <c r="B10" s="342">
        <v>11</v>
      </c>
      <c r="C10" s="343" t="s">
        <v>49</v>
      </c>
      <c r="D10" s="374">
        <v>165.72727272727272727272727273</v>
      </c>
      <c r="E10" s="382">
        <v>226.47208121827411167512690357</v>
      </c>
      <c r="F10" s="375">
        <v>186.66224018475750577367205543</v>
      </c>
      <c r="G10" s="374">
        <v>3.012987012987012987012987013</v>
      </c>
      <c r="H10" s="382">
        <v>111.38246640302377037848879996</v>
      </c>
      <c r="I10" s="375">
        <v>87.98210216473278607364151453</v>
      </c>
      <c r="J10" s="374">
        <v>32.623376623376623376623376623</v>
      </c>
      <c r="K10" s="382">
        <v>33.92257589492120961505335015</v>
      </c>
      <c r="L10" s="375">
        <v>29.334824379998996294812832656</v>
      </c>
      <c r="M10" s="374">
        <v>201.36363636363636363636363636</v>
      </c>
      <c r="N10" s="382">
        <v>371.77712351621909166866905368</v>
      </c>
      <c r="O10" s="375">
        <v>303.97916672948928814212640262</v>
      </c>
      <c r="P10" s="4"/>
      <c r="Q10" s="354">
        <v>82.30248306997742663656884876</v>
      </c>
      <c r="R10" s="355">
        <v>60.916088401656073240422182050</v>
      </c>
      <c r="S10" s="356">
        <v>61.406260893815798647423830440</v>
      </c>
      <c r="T10" s="354">
        <v>1.4962915188648822960335375700</v>
      </c>
      <c r="U10" s="355">
        <v>29.959472855560090967403347130</v>
      </c>
      <c r="V10" s="356">
        <v>28.943464485192157227296319540</v>
      </c>
      <c r="W10" s="354">
        <v>16.201225411157691067397613670</v>
      </c>
      <c r="X10" s="355">
        <v>9.124438742783835792174470810</v>
      </c>
      <c r="Y10" s="356">
        <v>9.650274620992044125279850020</v>
      </c>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12</v>
      </c>
      <c r="C11" s="345" t="s">
        <v>47</v>
      </c>
      <c r="D11" s="370">
        <v>148.4047619047619047619047619</v>
      </c>
      <c r="E11" s="172">
        <v>212.20338983050847457627118643</v>
      </c>
      <c r="F11" s="371">
        <v>194.70197668525088697415103903</v>
      </c>
      <c r="G11" s="370">
        <v>1.7261904761904761904761904762</v>
      </c>
      <c r="H11" s="172">
        <v>69.063601509385444914663378024</v>
      </c>
      <c r="I11" s="371">
        <v>66.660106015111041407117114053</v>
      </c>
      <c r="J11" s="370">
        <v>28.261904761904761904761904762</v>
      </c>
      <c r="K11" s="172">
        <v>36.336804907251639398117664187</v>
      </c>
      <c r="L11" s="371">
        <v>28.935950003441579316930918934</v>
      </c>
      <c r="M11" s="370">
        <v>178.39285714285714285714285714</v>
      </c>
      <c r="N11" s="172">
        <v>317.60379624714555888905222865</v>
      </c>
      <c r="O11" s="371">
        <v>290.29803270380350769819907202</v>
      </c>
      <c r="P11" s="4"/>
      <c r="Q11" s="327">
        <v>83.18985652318985652318985652</v>
      </c>
      <c r="R11" s="171">
        <v>66.813870721299867702685076490</v>
      </c>
      <c r="S11" s="328">
        <v>67.069685203106058229340875650</v>
      </c>
      <c r="T11" s="327">
        <v>0.967634300967634300967634300</v>
      </c>
      <c r="U11" s="171">
        <v>21.745206551512102409301805580</v>
      </c>
      <c r="V11" s="328">
        <v>22.962644766912902143720754010</v>
      </c>
      <c r="W11" s="327">
        <v>15.842509175842509175842509180</v>
      </c>
      <c r="X11" s="171">
        <v>11.440922727188029888013117930</v>
      </c>
      <c r="Y11" s="328">
        <v>9.967670029981039626938370340</v>
      </c>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13</v>
      </c>
      <c r="C12" s="347" t="s">
        <v>48</v>
      </c>
      <c r="D12" s="378">
        <v>159.23913043478260869565217391</v>
      </c>
      <c r="E12" s="173">
        <v>205.21578947368421052631578946</v>
      </c>
      <c r="F12" s="379">
        <v>201.04808877928483353884093711</v>
      </c>
      <c r="G12" s="378">
        <v>1.3695652173913043478260869565</v>
      </c>
      <c r="H12" s="173">
        <v>102.24668539881505462924137585</v>
      </c>
      <c r="I12" s="379">
        <v>55.538832039756282917721157269</v>
      </c>
      <c r="J12" s="378">
        <v>29.521739130434782608695652174</v>
      </c>
      <c r="K12" s="173">
        <v>32.139483505354264674948003659</v>
      </c>
      <c r="L12" s="379">
        <v>23.690573231719898188052834525</v>
      </c>
      <c r="M12" s="378">
        <v>190.13043478260869565217391304</v>
      </c>
      <c r="N12" s="173">
        <v>339.60195837785352983050516897</v>
      </c>
      <c r="O12" s="379">
        <v>280.27749405076101464461492891</v>
      </c>
      <c r="P12" s="4"/>
      <c r="Q12" s="359">
        <v>83.75257260461925451635033158</v>
      </c>
      <c r="R12" s="170">
        <v>60.428329228111704679952656660</v>
      </c>
      <c r="S12" s="360">
        <v>71.731799037304452466907340550</v>
      </c>
      <c r="T12" s="359">
        <v>0.7203292933912645780928424400</v>
      </c>
      <c r="U12" s="170">
        <v>30.107802053677105658808099550</v>
      </c>
      <c r="V12" s="360">
        <v>19.815658844765342960288808660</v>
      </c>
      <c r="W12" s="359">
        <v>15.527098101989480905556825980</v>
      </c>
      <c r="X12" s="170">
        <v>9.463868718211189661239243790</v>
      </c>
      <c r="Y12" s="360">
        <v>8.452542117930204572803850780</v>
      </c>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14</v>
      </c>
      <c r="C13" s="345" t="s">
        <v>50</v>
      </c>
      <c r="D13" s="370">
        <v>152.77659574468085106382978723</v>
      </c>
      <c r="E13" s="172">
        <v>193.48837209302325581395348837</v>
      </c>
      <c r="F13" s="371">
        <v>203.80325361512791991101223582</v>
      </c>
      <c r="G13" s="370">
        <v>0.9680851063829787234042553191</v>
      </c>
      <c r="H13" s="172">
        <v>49.81338543757046182297841</v>
      </c>
      <c r="I13" s="371">
        <v>119.28144552471488947624052925</v>
      </c>
      <c r="J13" s="370">
        <v>30.829787234042553191489361702</v>
      </c>
      <c r="K13" s="172">
        <v>33.068781194149657572239159841</v>
      </c>
      <c r="L13" s="371">
        <v>33.518963151140148083793671809</v>
      </c>
      <c r="M13" s="370">
        <v>184.57446808510638297872340426</v>
      </c>
      <c r="N13" s="172">
        <v>276.37053872474337520917105821</v>
      </c>
      <c r="O13" s="371">
        <v>356.60366229098295747104643687</v>
      </c>
      <c r="P13" s="4"/>
      <c r="Q13" s="327">
        <v>82.77233429394812680115273775</v>
      </c>
      <c r="R13" s="171">
        <v>70.010491344640671446057002970</v>
      </c>
      <c r="S13" s="328">
        <v>57.151194776240879747630949420</v>
      </c>
      <c r="T13" s="327">
        <v>0.5244956772334293948126801200</v>
      </c>
      <c r="U13" s="171">
        <v>18.024130092673544325931106840</v>
      </c>
      <c r="V13" s="328">
        <v>33.449304687000974612679030990</v>
      </c>
      <c r="W13" s="327">
        <v>16.703170028818443804034582130</v>
      </c>
      <c r="X13" s="171">
        <v>11.965378562685784228011890190</v>
      </c>
      <c r="Y13" s="328">
        <v>9.399500536758145639690019600</v>
      </c>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15</v>
      </c>
      <c r="C14" s="347" t="s">
        <v>51</v>
      </c>
      <c r="D14" s="378">
        <v>168.46728971962616822429906542</v>
      </c>
      <c r="E14" s="173">
        <v>205.10526315789473684210526314</v>
      </c>
      <c r="F14" s="379">
        <v>206.82131324004305705059203445</v>
      </c>
      <c r="G14" s="378">
        <v>2.1401869158878504672897196262</v>
      </c>
      <c r="H14" s="173">
        <v>108.7551363110573636889426363</v>
      </c>
      <c r="I14" s="379">
        <v>82.82726123692565530124600597</v>
      </c>
      <c r="J14" s="378">
        <v>30.280373831775700934579439252</v>
      </c>
      <c r="K14" s="173">
        <v>38.192573873494926126505073871</v>
      </c>
      <c r="L14" s="379">
        <v>20.653199564921893264515041172</v>
      </c>
      <c r="M14" s="378">
        <v>200.8878504672897196261682243</v>
      </c>
      <c r="N14" s="173">
        <v>352.05297334244702665755297333</v>
      </c>
      <c r="O14" s="379">
        <v>310.30177404189060561635308159</v>
      </c>
      <c r="P14" s="4"/>
      <c r="Q14" s="359">
        <v>83.86136310769946499185857176</v>
      </c>
      <c r="R14" s="170">
        <v>58.259773013871374527112232030</v>
      </c>
      <c r="S14" s="360">
        <v>66.651669613761946780225746330</v>
      </c>
      <c r="T14" s="359">
        <v>1.0653640381484066061874854600</v>
      </c>
      <c r="U14" s="170">
        <v>30.891696575807546803763701620</v>
      </c>
      <c r="V14" s="360">
        <v>26.692487174032079742469212440</v>
      </c>
      <c r="W14" s="359">
        <v>15.073272854152128401953942780</v>
      </c>
      <c r="X14" s="170">
        <v>10.848530410321078669124066350</v>
      </c>
      <c r="Y14" s="360">
        <v>6.6558432122059734773050412200</v>
      </c>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16</v>
      </c>
      <c r="C15" s="345" t="s">
        <v>52</v>
      </c>
      <c r="D15" s="370">
        <v>260.22807017543859649122807018</v>
      </c>
      <c r="E15" s="172">
        <v>289.25547445255474452554744527</v>
      </c>
      <c r="F15" s="371">
        <v>229.9616125150421179302045728</v>
      </c>
      <c r="G15" s="370">
        <v>0.4912280701754385964912280702</v>
      </c>
      <c r="H15" s="172">
        <v>75.656375467818697611280491784</v>
      </c>
      <c r="I15" s="371">
        <v>109.54253060080521005499304058</v>
      </c>
      <c r="J15" s="370">
        <v>31.745614035087719298245614035</v>
      </c>
      <c r="K15" s="172">
        <v>35.844680089672912808701936998</v>
      </c>
      <c r="L15" s="371">
        <v>31.700416229227885701184787451</v>
      </c>
      <c r="M15" s="370">
        <v>292.46491228070175438596491228</v>
      </c>
      <c r="N15" s="172">
        <v>400.75653001004635494552987407</v>
      </c>
      <c r="O15" s="371">
        <v>371.20455934507521368638240083</v>
      </c>
      <c r="P15" s="4"/>
      <c r="Q15" s="327">
        <v>88.97753516691161032962418644</v>
      </c>
      <c r="R15" s="171">
        <v>72.177357770141275295914471170</v>
      </c>
      <c r="S15" s="328">
        <v>61.950104524785123224298830960</v>
      </c>
      <c r="T15" s="327">
        <v>0.167961368885156414024774300</v>
      </c>
      <c r="U15" s="171">
        <v>18.878388697976326842306223750</v>
      </c>
      <c r="V15" s="328">
        <v>29.510017547756856602394833200</v>
      </c>
      <c r="W15" s="327">
        <v>10.854503464203233256351039260</v>
      </c>
      <c r="X15" s="171">
        <v>8.944253531882397861779305080</v>
      </c>
      <c r="Y15" s="328">
        <v>8.539877927458020173306335850</v>
      </c>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17</v>
      </c>
      <c r="C16" s="347" t="s">
        <v>53</v>
      </c>
      <c r="D16" s="378">
        <v>288.45669291338582677165354331</v>
      </c>
      <c r="E16" s="173">
        <v>292.16774193548387096774193548</v>
      </c>
      <c r="F16" s="379">
        <v>226.74874010079193664506839453</v>
      </c>
      <c r="G16" s="378">
        <v>1.1259842519685039370078740157</v>
      </c>
      <c r="H16" s="173">
        <v>67.152117735306077300727240358</v>
      </c>
      <c r="I16" s="379">
        <v>99.86060770167885596713819803</v>
      </c>
      <c r="J16" s="378">
        <v>33.787401574803149606299212598</v>
      </c>
      <c r="K16" s="173">
        <v>38.180536579366553739003771929</v>
      </c>
      <c r="L16" s="379">
        <v>26.310608437130094567320076994</v>
      </c>
      <c r="M16" s="378">
        <v>323.37007874015748031496062992</v>
      </c>
      <c r="N16" s="173">
        <v>397.50039625015650200747294777</v>
      </c>
      <c r="O16" s="379">
        <v>352.91995623960088717952666956</v>
      </c>
      <c r="P16" s="4"/>
      <c r="Q16" s="359">
        <v>89.20327262101879809097107237</v>
      </c>
      <c r="R16" s="170">
        <v>73.501245455769489699744176650</v>
      </c>
      <c r="S16" s="360">
        <v>64.249339288382419979424436190</v>
      </c>
      <c r="T16" s="359">
        <v>0.3482029804227135482614200800</v>
      </c>
      <c r="U16" s="170">
        <v>16.893597684125488084017772990</v>
      </c>
      <c r="V16" s="360">
        <v>28.295540089516074540261772180</v>
      </c>
      <c r="W16" s="359">
        <v>10.448524398558488360767507550</v>
      </c>
      <c r="X16" s="170">
        <v>9.605156860105022216238050360</v>
      </c>
      <c r="Y16" s="360">
        <v>7.4551206221015054803137916200</v>
      </c>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18</v>
      </c>
      <c r="C17" s="345" t="s">
        <v>49</v>
      </c>
      <c r="D17" s="370">
        <v>193.83898305084745762711864407</v>
      </c>
      <c r="E17" s="172">
        <v>250.86029411764705882352941176</v>
      </c>
      <c r="F17" s="371">
        <v>196.95494142385100630820066086</v>
      </c>
      <c r="G17" s="370">
        <v>1.5</v>
      </c>
      <c r="H17" s="172">
        <v>87.31716777709615639738269261</v>
      </c>
      <c r="I17" s="371">
        <v>85.91550933611636069758165657</v>
      </c>
      <c r="J17" s="370">
        <v>28.720338983050847457627118644</v>
      </c>
      <c r="K17" s="172">
        <v>36.709965997084955646629669168</v>
      </c>
      <c r="L17" s="371">
        <v>26.875450403044354486399051871</v>
      </c>
      <c r="M17" s="370">
        <v>224.05932203389830508474576271</v>
      </c>
      <c r="N17" s="172">
        <v>374.88742789182817086754177352</v>
      </c>
      <c r="O17" s="371">
        <v>309.74590116301172149218136932</v>
      </c>
      <c r="P17" s="4"/>
      <c r="Q17" s="327">
        <v>86.51234918113393093536064148</v>
      </c>
      <c r="R17" s="171">
        <v>66.916166148423494140644782290</v>
      </c>
      <c r="S17" s="328">
        <v>63.585971818945368067551765770</v>
      </c>
      <c r="T17" s="327">
        <v>0.669465562237603540224668100</v>
      </c>
      <c r="U17" s="171">
        <v>23.291570023599477367797348350</v>
      </c>
      <c r="V17" s="328">
        <v>27.737416060560272363318073470</v>
      </c>
      <c r="W17" s="327">
        <v>12.818185256628465524414690420</v>
      </c>
      <c r="X17" s="171">
        <v>9.792263827977028491557869360</v>
      </c>
      <c r="Y17" s="328">
        <v>8.676612120494359569130160750</v>
      </c>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19</v>
      </c>
      <c r="C18" s="347" t="s">
        <v>47</v>
      </c>
      <c r="D18" s="378">
        <v>194.1680672268907563025210084</v>
      </c>
      <c r="E18" s="173">
        <v>251.45818181818181818181818182</v>
      </c>
      <c r="F18" s="379">
        <v>198.94059706016063039854523413</v>
      </c>
      <c r="G18" s="378">
        <v>2.4705882352941176470588235294</v>
      </c>
      <c r="H18" s="173">
        <v>62.379570365866018039931083407</v>
      </c>
      <c r="I18" s="379">
        <v>100.58840063370694331780652653</v>
      </c>
      <c r="J18" s="378">
        <v>26.420168067226890756302521008</v>
      </c>
      <c r="K18" s="173">
        <v>36.510494537346711259754738015</v>
      </c>
      <c r="L18" s="379">
        <v>33.143989819016800486029103881</v>
      </c>
      <c r="M18" s="378">
        <v>223.05882352941176470588235294</v>
      </c>
      <c r="N18" s="173">
        <v>350.34824672139454748150400324</v>
      </c>
      <c r="O18" s="379">
        <v>332.67298751288437420238086454</v>
      </c>
      <c r="P18" s="4"/>
      <c r="Q18" s="359">
        <v>87.04792043399638336347197107</v>
      </c>
      <c r="R18" s="170">
        <v>71.773780565868646780181794910</v>
      </c>
      <c r="S18" s="360">
        <v>59.800646438856323234215173200</v>
      </c>
      <c r="T18" s="359">
        <v>1.1075949367088607594936708900</v>
      </c>
      <c r="U18" s="170">
        <v>17.805018563564204327230828320</v>
      </c>
      <c r="V18" s="360">
        <v>30.236419670175706665122245460</v>
      </c>
      <c r="W18" s="359">
        <v>11.844484629294755877034358050</v>
      </c>
      <c r="X18" s="170">
        <v>10.421200870567148892587376780</v>
      </c>
      <c r="Y18" s="360">
        <v>9.962933890967970100662581340</v>
      </c>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20</v>
      </c>
      <c r="C19" s="345" t="s">
        <v>48</v>
      </c>
      <c r="D19" s="370">
        <v>202.45762711864406779661016949</v>
      </c>
      <c r="E19" s="172">
        <v>232.56420233463035019455252919</v>
      </c>
      <c r="F19" s="371">
        <v>197.84448409158489443948855189</v>
      </c>
      <c r="G19" s="370">
        <v>0.2203389830508474576271186441</v>
      </c>
      <c r="H19" s="172">
        <v>117.30298508377829642880268179</v>
      </c>
      <c r="I19" s="371">
        <v>86.54012559826382251709178709</v>
      </c>
      <c r="J19" s="370">
        <v>23.161016949152542372881355932</v>
      </c>
      <c r="K19" s="172">
        <v>29.712353197889188102571621334</v>
      </c>
      <c r="L19" s="371">
        <v>27.32814804792092214274839357</v>
      </c>
      <c r="M19" s="370">
        <v>225.83898305084745762711864407</v>
      </c>
      <c r="N19" s="172">
        <v>379.57954061629783472592683231</v>
      </c>
      <c r="O19" s="371">
        <v>311.71275773776963909932873256</v>
      </c>
      <c r="P19" s="4"/>
      <c r="Q19" s="327">
        <v>89.64689106533078164283838043</v>
      </c>
      <c r="R19" s="171">
        <v>61.268898201686913161105511640</v>
      </c>
      <c r="S19" s="328">
        <v>63.470127282381826115758095130</v>
      </c>
      <c r="T19" s="327">
        <v>0.0975646365717287703103305900</v>
      </c>
      <c r="U19" s="171">
        <v>30.903400350114052304917511010</v>
      </c>
      <c r="V19" s="328">
        <v>27.762779498125726182527456930</v>
      </c>
      <c r="W19" s="327">
        <v>10.255544298097489586851288980</v>
      </c>
      <c r="X19" s="171">
        <v>7.8277014481990345339769773500</v>
      </c>
      <c r="Y19" s="328">
        <v>8.767093219492447701714447940</v>
      </c>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21</v>
      </c>
      <c r="C20" s="347" t="s">
        <v>50</v>
      </c>
      <c r="D20" s="378">
        <v>183.62698412698412698412698413</v>
      </c>
      <c r="E20" s="173">
        <v>217.36792452830188679245283017</v>
      </c>
      <c r="F20" s="379">
        <v>193.3490707434052757793764988</v>
      </c>
      <c r="G20" s="378">
        <v>1.380952380952380952380952381</v>
      </c>
      <c r="H20" s="173">
        <v>68.901983673911594106273751582</v>
      </c>
      <c r="I20" s="379">
        <v>75.777667382319810509877006437</v>
      </c>
      <c r="J20" s="378">
        <v>23.055555555555555555555555556</v>
      </c>
      <c r="K20" s="173">
        <v>27.958277218481232082138809253</v>
      </c>
      <c r="L20" s="379">
        <v>20.184599284972820153965552984</v>
      </c>
      <c r="M20" s="378">
        <v>208.06349206349206349206349206</v>
      </c>
      <c r="N20" s="173">
        <v>314.22818542069471298086539101</v>
      </c>
      <c r="O20" s="379">
        <v>289.31133741069790644321905823</v>
      </c>
      <c r="P20" s="4"/>
      <c r="Q20" s="359">
        <v>88.25526396093988404028074458</v>
      </c>
      <c r="R20" s="170">
        <v>69.175183708388713201032739050</v>
      </c>
      <c r="S20" s="360">
        <v>66.830796357258752801928289390</v>
      </c>
      <c r="T20" s="359">
        <v>0.6637168141592920353982300900</v>
      </c>
      <c r="U20" s="170">
        <v>21.927372167988144889011106530</v>
      </c>
      <c r="V20" s="360">
        <v>26.192429256496108863796886080</v>
      </c>
      <c r="W20" s="359">
        <v>11.081019224900823924321025330</v>
      </c>
      <c r="X20" s="170">
        <v>8.897444123623141909956154420</v>
      </c>
      <c r="Y20" s="360">
        <v>6.9767743862451383342748245300</v>
      </c>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22</v>
      </c>
      <c r="C21" s="345" t="s">
        <v>51</v>
      </c>
      <c r="D21" s="370">
        <v>188.01587301587301587301587302</v>
      </c>
      <c r="E21" s="172">
        <v>240.71186440677966101694915253</v>
      </c>
      <c r="F21" s="371">
        <v>190.21664094289322295496001122</v>
      </c>
      <c r="G21" s="370">
        <v>1.1666666666666666666666666667</v>
      </c>
      <c r="H21" s="172">
        <v>74.178554133517813905223106186</v>
      </c>
      <c r="I21" s="371">
        <v>66.244476498293227098681504693</v>
      </c>
      <c r="J21" s="370">
        <v>23.611111111111111111111111111</v>
      </c>
      <c r="K21" s="172">
        <v>28.00552339729952277896309266</v>
      </c>
      <c r="L21" s="371">
        <v>19.756634700015721879221064037</v>
      </c>
      <c r="M21" s="370">
        <v>212.79365079365079365079365079</v>
      </c>
      <c r="N21" s="172">
        <v>342.8959419375969977011353514</v>
      </c>
      <c r="O21" s="371">
        <v>276.21775214120217193286257996</v>
      </c>
      <c r="P21" s="4"/>
      <c r="Q21" s="327">
        <v>88.35596001790243174697896464</v>
      </c>
      <c r="R21" s="171">
        <v>70.199683042789223454833597460</v>
      </c>
      <c r="S21" s="328">
        <v>68.864741483253658615198214970</v>
      </c>
      <c r="T21" s="327">
        <v>0.548261972251230792182604800</v>
      </c>
      <c r="U21" s="171">
        <v>21.632963549920760697305863710</v>
      </c>
      <c r="V21" s="328">
        <v>23.982700599355081625686562640</v>
      </c>
      <c r="W21" s="327">
        <v>11.095778009846337460838430550</v>
      </c>
      <c r="X21" s="171">
        <v>8.167353407290015847860538830</v>
      </c>
      <c r="Y21" s="328">
        <v>7.1525579173912597591152223900</v>
      </c>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23</v>
      </c>
      <c r="C22" s="347" t="s">
        <v>52</v>
      </c>
      <c r="D22" s="378">
        <v>245.53608247422680412371134021</v>
      </c>
      <c r="E22" s="173">
        <v>303.76816608996539792387543252</v>
      </c>
      <c r="F22" s="379">
        <v>213.32581617936279008784581093</v>
      </c>
      <c r="G22" s="378">
        <v>1.5876288659793814432989690722</v>
      </c>
      <c r="H22" s="173">
        <v>62.926912472697562230027310576</v>
      </c>
      <c r="I22" s="379">
        <v>89.11152398934395026372983356</v>
      </c>
      <c r="J22" s="378">
        <v>32.783505154639175257731958763</v>
      </c>
      <c r="K22" s="173">
        <v>36.435034032427646505450722151</v>
      </c>
      <c r="L22" s="379">
        <v>28.878154903015754511553205617</v>
      </c>
      <c r="M22" s="378">
        <v>279.90721649484536082474226804</v>
      </c>
      <c r="N22" s="173">
        <v>403.13011259509060665935346525</v>
      </c>
      <c r="O22" s="379">
        <v>331.31549507172249486312885011</v>
      </c>
      <c r="P22" s="4"/>
      <c r="Q22" s="359">
        <v>87.72052594747891422047070089</v>
      </c>
      <c r="R22" s="170">
        <v>75.352387876584723042668241920</v>
      </c>
      <c r="S22" s="360">
        <v>64.387515631643626416097419650</v>
      </c>
      <c r="T22" s="359">
        <v>0.5671982615741593311480240100</v>
      </c>
      <c r="U22" s="170">
        <v>15.609578770391239151179170260</v>
      </c>
      <c r="V22" s="360">
        <v>26.896274190270899158893771990</v>
      </c>
      <c r="W22" s="359">
        <v>11.712275790946926448381275090</v>
      </c>
      <c r="X22" s="170">
        <v>9.038033353024037806152587810</v>
      </c>
      <c r="Y22" s="360">
        <v>8.716210178085474425008808360</v>
      </c>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24</v>
      </c>
      <c r="C23" s="345" t="s">
        <v>53</v>
      </c>
      <c r="D23" s="370">
        <v>275.00833333333333333333333333</v>
      </c>
      <c r="E23" s="172">
        <v>366.47266881028938906752411574</v>
      </c>
      <c r="F23" s="371">
        <v>234.47331460674157303370786517</v>
      </c>
      <c r="G23" s="370">
        <v>0.2166666666666666666666666667</v>
      </c>
      <c r="H23" s="172">
        <v>93.5432049292162065530761863</v>
      </c>
      <c r="I23" s="371">
        <v>63.266023923549222082024738981</v>
      </c>
      <c r="J23" s="370">
        <v>31.366666666666666666666666667</v>
      </c>
      <c r="K23" s="172">
        <v>38.49394024003950834589891651</v>
      </c>
      <c r="L23" s="371">
        <v>27.230948545822530231405482177</v>
      </c>
      <c r="M23" s="370">
        <v>306.59166666666666666666666667</v>
      </c>
      <c r="N23" s="172">
        <v>498.50981397954510396649921857</v>
      </c>
      <c r="O23" s="371">
        <v>324.97028707611332534713808632</v>
      </c>
      <c r="P23" s="4"/>
      <c r="Q23" s="327">
        <v>89.69856758446359163925960153</v>
      </c>
      <c r="R23" s="171">
        <v>73.513631734705733598518245130</v>
      </c>
      <c r="S23" s="328">
        <v>72.152231736750784894587522500</v>
      </c>
      <c r="T23" s="327">
        <v>0.0706694572042075507596966600</v>
      </c>
      <c r="U23" s="171">
        <v>18.764566374826570434616199520</v>
      </c>
      <c r="V23" s="328">
        <v>19.468248772150449113117733110</v>
      </c>
      <c r="W23" s="327">
        <v>10.230762958332200809980701800</v>
      </c>
      <c r="X23" s="171">
        <v>7.7218018904676959668655553500</v>
      </c>
      <c r="Y23" s="328">
        <v>8.379519491098765992294744390</v>
      </c>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25</v>
      </c>
      <c r="C24" s="347" t="s">
        <v>49</v>
      </c>
      <c r="D24" s="378">
        <v>186.29921259842519685039370079</v>
      </c>
      <c r="E24" s="173">
        <v>255.31785714285714285714285714</v>
      </c>
      <c r="F24" s="379">
        <v>193.86554044774069495948358742</v>
      </c>
      <c r="G24" s="378">
        <v>2.4488188976377952755905511811</v>
      </c>
      <c r="H24" s="173">
        <v>95.09137147043773549797646184</v>
      </c>
      <c r="I24" s="379">
        <v>96.55038334999883223860898768</v>
      </c>
      <c r="J24" s="378">
        <v>31.716535433070866141732283465</v>
      </c>
      <c r="K24" s="173">
        <v>43.753443503744708563985672421</v>
      </c>
      <c r="L24" s="379">
        <v>29.183373287570680447428635631</v>
      </c>
      <c r="M24" s="378">
        <v>220.46456692913385826771653543</v>
      </c>
      <c r="N24" s="173">
        <v>394.16267211703958691910499139</v>
      </c>
      <c r="O24" s="379">
        <v>319.59929708531020764552121073</v>
      </c>
      <c r="P24" s="4"/>
      <c r="Q24" s="359">
        <v>84.50301796492731883281545769</v>
      </c>
      <c r="R24" s="170">
        <v>64.774742816601631784320681090</v>
      </c>
      <c r="S24" s="360">
        <v>60.658938306736146773951875340</v>
      </c>
      <c r="T24" s="359">
        <v>1.1107539554984106575234829800</v>
      </c>
      <c r="U24" s="170">
        <v>24.124905323912063890779747470</v>
      </c>
      <c r="V24" s="360">
        <v>30.209823435320875920634900310</v>
      </c>
      <c r="W24" s="359">
        <v>14.386228079574270509661059320</v>
      </c>
      <c r="X24" s="170">
        <v>11.100351859486304324899571440</v>
      </c>
      <c r="Y24" s="360">
        <v>9.131238257942977305413224360</v>
      </c>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26</v>
      </c>
      <c r="C25" s="345" t="s">
        <v>47</v>
      </c>
      <c r="D25" s="370">
        <v>132.52577319587628865979381443</v>
      </c>
      <c r="E25" s="172">
        <v>192.11818181818181818181818181</v>
      </c>
      <c r="F25" s="371">
        <v>165.86373453760062831337129393</v>
      </c>
      <c r="G25" s="370">
        <v>2.9175257731958762886597938144</v>
      </c>
      <c r="H25" s="172">
        <v>71.896842945448267666927493792</v>
      </c>
      <c r="I25" s="371">
        <v>63.169332355438091867961913218</v>
      </c>
      <c r="J25" s="370">
        <v>21.422680412371134020618556701</v>
      </c>
      <c r="K25" s="172">
        <v>36.142686041115024763630085848</v>
      </c>
      <c r="L25" s="371">
        <v>24.686462260745810247382865115</v>
      </c>
      <c r="M25" s="370">
        <v>156.86597938144329896907216495</v>
      </c>
      <c r="N25" s="172">
        <v>300.15771080474511061237576145</v>
      </c>
      <c r="O25" s="371">
        <v>253.71952915378453042871607226</v>
      </c>
      <c r="P25" s="4"/>
      <c r="Q25" s="327">
        <v>84.48343848580441640378548896</v>
      </c>
      <c r="R25" s="171">
        <v>64.005745947055202134208906220</v>
      </c>
      <c r="S25" s="328">
        <v>65.372868651773064433467695470</v>
      </c>
      <c r="T25" s="327">
        <v>1.8598843322818086225026288100</v>
      </c>
      <c r="U25" s="171">
        <v>23.953022147153072660973338170</v>
      </c>
      <c r="V25" s="328">
        <v>24.897307891955720853055083360</v>
      </c>
      <c r="W25" s="327">
        <v>13.656677181913774973711882230</v>
      </c>
      <c r="X25" s="171">
        <v>12.041231905791725204817755610</v>
      </c>
      <c r="Y25" s="328">
        <v>9.729823456271214713477221170</v>
      </c>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27</v>
      </c>
      <c r="C26" s="347" t="s">
        <v>48</v>
      </c>
      <c r="D26" s="378">
        <v>118.80681818181818181818181818</v>
      </c>
      <c r="E26" s="173">
        <v>203.86842105263157894736842104</v>
      </c>
      <c r="F26" s="379">
        <v>169.26873239436619718309859155</v>
      </c>
      <c r="G26" s="378">
        <v>1.9886363636363636363636363636</v>
      </c>
      <c r="H26" s="173">
        <v>67.949027317738281330698196486</v>
      </c>
      <c r="I26" s="379">
        <v>93.24972412674889678146412578</v>
      </c>
      <c r="J26" s="378">
        <v>30.397727272727272727272727273</v>
      </c>
      <c r="K26" s="173">
        <v>35.732321973322682606030974331</v>
      </c>
      <c r="L26" s="379">
        <v>22.788061399938358097731165731</v>
      </c>
      <c r="M26" s="378">
        <v>151.19318181818181818181818182</v>
      </c>
      <c r="N26" s="173">
        <v>307.54977034369254288409759185</v>
      </c>
      <c r="O26" s="379">
        <v>285.30651792105345206229388306</v>
      </c>
      <c r="P26" s="4"/>
      <c r="Q26" s="359">
        <v>78.579481397970687711386696730</v>
      </c>
      <c r="R26" s="170">
        <v>66.287944492627927146574154380</v>
      </c>
      <c r="S26" s="360">
        <v>59.328729545955967642817305770</v>
      </c>
      <c r="T26" s="359">
        <v>1.3152950018789928598271326600</v>
      </c>
      <c r="U26" s="170">
        <v>22.093668690372940156114483950</v>
      </c>
      <c r="V26" s="360">
        <v>32.684049704238381875735616480</v>
      </c>
      <c r="W26" s="359">
        <v>20.105223600150319428786170610</v>
      </c>
      <c r="X26" s="170">
        <v>11.618386816999132697311361660</v>
      </c>
      <c r="Y26" s="360">
        <v>7.987220749805650481447077750</v>
      </c>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28</v>
      </c>
      <c r="C27" s="345" t="s">
        <v>50</v>
      </c>
      <c r="D27" s="370">
        <v>126.500000000</v>
      </c>
      <c r="E27" s="172">
        <v>207.90000000000000000000000001</v>
      </c>
      <c r="F27" s="371">
        <v>175.7841774246938099966898378</v>
      </c>
      <c r="G27" s="370">
        <v>0.5104166666666666666666666667</v>
      </c>
      <c r="H27" s="172">
        <v>64.291094576795988631374633184</v>
      </c>
      <c r="I27" s="371">
        <v>77.490022822971789774460331837</v>
      </c>
      <c r="J27" s="370">
        <v>29.364583333333333333333333333</v>
      </c>
      <c r="K27" s="172">
        <v>36.841396122651754973773597988</v>
      </c>
      <c r="L27" s="371">
        <v>31.046775216217970644874237355</v>
      </c>
      <c r="M27" s="370">
        <v>156.375000000</v>
      </c>
      <c r="N27" s="172">
        <v>309.03249069944774360514823119</v>
      </c>
      <c r="O27" s="371">
        <v>284.320975463883570416024407</v>
      </c>
      <c r="P27" s="4"/>
      <c r="Q27" s="327">
        <v>80.89528377298161470823341327</v>
      </c>
      <c r="R27" s="171">
        <v>67.274479628161482379642152060</v>
      </c>
      <c r="S27" s="328">
        <v>61.825961710314665096670416430</v>
      </c>
      <c r="T27" s="327">
        <v>0.3264055422328803623767652500</v>
      </c>
      <c r="U27" s="171">
        <v>20.803991978734318891946089630</v>
      </c>
      <c r="V27" s="328">
        <v>27.254416490567756902902039940</v>
      </c>
      <c r="W27" s="327">
        <v>18.778310684785504929389821480</v>
      </c>
      <c r="X27" s="171">
        <v>11.921528393104198728411758310</v>
      </c>
      <c r="Y27" s="328">
        <v>10.919621799117578000427543620</v>
      </c>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29</v>
      </c>
      <c r="C28" s="347" t="s">
        <v>51</v>
      </c>
      <c r="D28" s="378">
        <v>155.880000000</v>
      </c>
      <c r="E28" s="173">
        <v>239.05952380952380952380952382</v>
      </c>
      <c r="F28" s="379">
        <v>175.72698219449094506163445442</v>
      </c>
      <c r="G28" s="378">
        <v>1.36</v>
      </c>
      <c r="H28" s="173">
        <v>54.583283221632736195842991959</v>
      </c>
      <c r="I28" s="379">
        <v>57.483487886548801279751671577</v>
      </c>
      <c r="J28" s="378">
        <v>25.01</v>
      </c>
      <c r="K28" s="173">
        <v>38.304058401145779786556485585</v>
      </c>
      <c r="L28" s="379">
        <v>27.19231913215963813515787711</v>
      </c>
      <c r="M28" s="378">
        <v>182.250000000</v>
      </c>
      <c r="N28" s="173">
        <v>331.94686543230232550620900136</v>
      </c>
      <c r="O28" s="379">
        <v>260.4027892131993844765440031</v>
      </c>
      <c r="P28" s="4"/>
      <c r="Q28" s="359">
        <v>85.53086419753086419753086420</v>
      </c>
      <c r="R28" s="170">
        <v>72.017406610600430275767651090</v>
      </c>
      <c r="S28" s="360">
        <v>67.482757279768659433738815650</v>
      </c>
      <c r="T28" s="359">
        <v>0.746227709190672153635116600</v>
      </c>
      <c r="U28" s="170">
        <v>16.443379620575004889497359670</v>
      </c>
      <c r="V28" s="360">
        <v>22.074835703654997118848387790</v>
      </c>
      <c r="W28" s="359">
        <v>13.722908093278463648834019200</v>
      </c>
      <c r="X28" s="170">
        <v>11.539213768824564834734989240</v>
      </c>
      <c r="Y28" s="360">
        <v>10.442407016576343447412796560</v>
      </c>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30</v>
      </c>
      <c r="C29" s="345" t="s">
        <v>52</v>
      </c>
      <c r="D29" s="370">
        <v>221.08247422680412371134020619</v>
      </c>
      <c r="E29" s="172">
        <v>290.58528428093645484949832778</v>
      </c>
      <c r="F29" s="371">
        <v>205.89852960657040667638097761</v>
      </c>
      <c r="G29" s="370">
        <v>1.1752577319587628865979381443</v>
      </c>
      <c r="H29" s="172">
        <v>65.382215729370300877238293894</v>
      </c>
      <c r="I29" s="371">
        <v>65.064890588217673578140702884</v>
      </c>
      <c r="J29" s="370">
        <v>23.876288659793814432989690722</v>
      </c>
      <c r="K29" s="172">
        <v>36.171276292432812280349899404</v>
      </c>
      <c r="L29" s="371">
        <v>33.220597704304226118122724638</v>
      </c>
      <c r="M29" s="370">
        <v>246.13402061855670103092783505</v>
      </c>
      <c r="N29" s="172">
        <v>392.13877630273956800708652106</v>
      </c>
      <c r="O29" s="371">
        <v>304.18401789909230637264440514</v>
      </c>
      <c r="P29" s="4"/>
      <c r="Q29" s="327">
        <v>89.82198952879581151832460733</v>
      </c>
      <c r="R29" s="171">
        <v>74.102665138271958733342885800</v>
      </c>
      <c r="S29" s="328">
        <v>67.688805949980455450622162660</v>
      </c>
      <c r="T29" s="327">
        <v>0.4774869109947643979057591600</v>
      </c>
      <c r="U29" s="171">
        <v>16.673233987677317667287577020</v>
      </c>
      <c r="V29" s="328">
        <v>21.389976711334586205964614150</v>
      </c>
      <c r="W29" s="327">
        <v>9.700523560209424083769633510</v>
      </c>
      <c r="X29" s="171">
        <v>9.224100874050723599369537180</v>
      </c>
      <c r="Y29" s="328">
        <v>10.921217338684958343413223190</v>
      </c>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31</v>
      </c>
      <c r="C30" s="347" t="s">
        <v>53</v>
      </c>
      <c r="D30" s="378">
        <v>237.72916666666666666666666667</v>
      </c>
      <c r="E30" s="173">
        <v>248.01736111111111111111111111</v>
      </c>
      <c r="F30" s="379">
        <v>205.52435897435897435897435897</v>
      </c>
      <c r="G30" s="378">
        <v>2.1354166666666666666666666667</v>
      </c>
      <c r="H30" s="173">
        <v>62.959628831875712255952702115</v>
      </c>
      <c r="I30" s="379">
        <v>75.298079687679973143650786409</v>
      </c>
      <c r="J30" s="378">
        <v>32.041666666666666666666666667</v>
      </c>
      <c r="K30" s="173">
        <v>34.547321692802474767540912309</v>
      </c>
      <c r="L30" s="379">
        <v>56.400510564759601926860662881</v>
      </c>
      <c r="M30" s="378">
        <v>271.906250000</v>
      </c>
      <c r="N30" s="173">
        <v>345.52431163578929813460472556</v>
      </c>
      <c r="O30" s="379">
        <v>337.22294922679854942948580827</v>
      </c>
      <c r="P30" s="4"/>
      <c r="Q30" s="359">
        <v>87.43056353675822702371374938</v>
      </c>
      <c r="R30" s="170">
        <v>71.780002957517375414580560660</v>
      </c>
      <c r="S30" s="360">
        <v>60.946136508679313169749728580</v>
      </c>
      <c r="T30" s="359">
        <v>0.7853503428724667662720760100</v>
      </c>
      <c r="U30" s="170">
        <v>18.221475801170331875699769730</v>
      </c>
      <c r="V30" s="360">
        <v>22.328871703520514559077455420</v>
      </c>
      <c r="W30" s="359">
        <v>11.784086120369306210014174620</v>
      </c>
      <c r="X30" s="170">
        <v>9.998521241312292709719669600</v>
      </c>
      <c r="Y30" s="360">
        <v>16.72499178780017227117281600</v>
      </c>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t="s">
        <v>181</v>
      </c>
      <c r="B31" s="660">
        <v>1</v>
      </c>
      <c r="C31" s="667" t="s">
        <v>49</v>
      </c>
      <c r="D31" s="668">
        <v>162.56666666666666666666666667</v>
      </c>
      <c r="E31" s="669">
        <v>196.6681818181818181818181818</v>
      </c>
      <c r="F31" s="670">
        <v>164.23688258417364553067851649</v>
      </c>
      <c r="G31" s="668">
        <v>2.5444444444444444444444444444</v>
      </c>
      <c r="H31" s="669">
        <v>86.74354236647310667071707531</v>
      </c>
      <c r="I31" s="670">
        <v>61.152755801291483003806112695</v>
      </c>
      <c r="J31" s="668">
        <v>31.066666666666666666666666667</v>
      </c>
      <c r="K31" s="669">
        <v>39.445215782606700220951248666</v>
      </c>
      <c r="L31" s="670">
        <v>25.665074071452316402071142856</v>
      </c>
      <c r="M31" s="668">
        <v>196.17777777777777777777777778</v>
      </c>
      <c r="N31" s="669">
        <v>322.85693996726162507348650578</v>
      </c>
      <c r="O31" s="670">
        <v>251.05471245691744493655577204</v>
      </c>
      <c r="P31" s="4"/>
      <c r="Q31" s="662">
        <v>82.86701404621658359764386044</v>
      </c>
      <c r="R31" s="663">
        <v>60.914961852182699488921756700</v>
      </c>
      <c r="S31" s="664">
        <v>65.418761104656706774789291270</v>
      </c>
      <c r="T31" s="662">
        <v>1.2970095151789759855006796600</v>
      </c>
      <c r="U31" s="663">
        <v>26.867485758636343667169446600</v>
      </c>
      <c r="V31" s="664">
        <v>24.358338149810941091073266900</v>
      </c>
      <c r="W31" s="662">
        <v>15.835976438604440416855459900</v>
      </c>
      <c r="X31" s="663">
        <v>12.217552389180956843908796700</v>
      </c>
      <c r="Y31" s="664">
        <v>10.222900745532352134137441840</v>
      </c>
      <c r="Z31" s="673"/>
      <c r="AA31" s="673"/>
      <c r="AB31" s="674"/>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v>
      </c>
      <c r="C32" s="347" t="s">
        <v>47</v>
      </c>
      <c r="D32" s="378">
        <v>141.94318181818181818181818182</v>
      </c>
      <c r="E32" s="173">
        <v>212.48591549295774647887323943</v>
      </c>
      <c r="F32" s="379">
        <v>165.14677685950413223140495868</v>
      </c>
      <c r="G32" s="378">
        <v>2.5340909090909090909090909091</v>
      </c>
      <c r="H32" s="173"/>
      <c r="I32" s="379">
        <v>65.743146543799809453816796788</v>
      </c>
      <c r="J32" s="378">
        <v>30.488636363636363636363636364</v>
      </c>
      <c r="K32" s="173"/>
      <c r="L32" s="379">
        <v>21.190117883821314120282198689</v>
      </c>
      <c r="M32" s="378">
        <v>174.96590909090909090909090909</v>
      </c>
      <c r="N32" s="173"/>
      <c r="O32" s="379">
        <v>252.08004128712525580550395417</v>
      </c>
      <c r="P32" s="4"/>
      <c r="Q32" s="359">
        <v>81.12619341430148730272130935</v>
      </c>
      <c r="R32" s="170"/>
      <c r="S32" s="360">
        <v>65.513626551416644845827900620</v>
      </c>
      <c r="T32" s="359">
        <v>1.4483340910566993570176008300</v>
      </c>
      <c r="U32" s="170"/>
      <c r="V32" s="360">
        <v>26.080266493179750621556469180</v>
      </c>
      <c r="W32" s="359">
        <v>17.425472494641813340261089820</v>
      </c>
      <c r="X32" s="170"/>
      <c r="Y32" s="360">
        <v>8.406106955403604532615630200</v>
      </c>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3</v>
      </c>
      <c r="C33" s="345" t="s">
        <v>48</v>
      </c>
      <c r="D33" s="370">
        <v>143.66666666666666666666666667</v>
      </c>
      <c r="E33" s="172">
        <v>211.76521739130434782608695654</v>
      </c>
      <c r="F33" s="371">
        <v>166.93387013876991605276683228</v>
      </c>
      <c r="G33" s="370">
        <v>2.0476190476190476190476190476</v>
      </c>
      <c r="H33" s="172"/>
      <c r="I33" s="371">
        <v>62.174546696752010384732401455</v>
      </c>
      <c r="J33" s="370">
        <v>31.011904761904761904761904762</v>
      </c>
      <c r="K33" s="172"/>
      <c r="L33" s="371">
        <v>18.901978655383781279687362157</v>
      </c>
      <c r="M33" s="370">
        <v>176.72619047619047619047619048</v>
      </c>
      <c r="N33" s="172"/>
      <c r="O33" s="371">
        <v>248.01039549090570771718659589</v>
      </c>
      <c r="P33" s="4"/>
      <c r="Q33" s="327">
        <v>81.29336476928258672953856517</v>
      </c>
      <c r="R33" s="171"/>
      <c r="S33" s="328">
        <v>67.309222989764238944873835780</v>
      </c>
      <c r="T33" s="327">
        <v>1.1586392724823172785449646300</v>
      </c>
      <c r="U33" s="171"/>
      <c r="V33" s="328">
        <v>25.069330893846297910348851450</v>
      </c>
      <c r="W33" s="327">
        <v>17.547995958235095991916470190</v>
      </c>
      <c r="X33" s="171"/>
      <c r="Y33" s="328">
        <v>7.6214461163894631447773127700</v>
      </c>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4</v>
      </c>
      <c r="C34" s="347" t="s">
        <v>50</v>
      </c>
      <c r="D34" s="378">
        <v>139.72368421052631578947368421</v>
      </c>
      <c r="E34" s="173">
        <v>215.38181818181818181818181817</v>
      </c>
      <c r="F34" s="379">
        <v>166.89609763931267062791071142</v>
      </c>
      <c r="G34" s="378">
        <v>0</v>
      </c>
      <c r="H34" s="173"/>
      <c r="I34" s="379">
        <v>57.518586185270969623500814561</v>
      </c>
      <c r="J34" s="378">
        <v>30.776315789473684210526315789</v>
      </c>
      <c r="K34" s="173"/>
      <c r="L34" s="379">
        <v>18.923132783989755859879000384</v>
      </c>
      <c r="M34" s="378">
        <v>170.500000000</v>
      </c>
      <c r="N34" s="173"/>
      <c r="O34" s="379">
        <v>243.33781660857339611129052637</v>
      </c>
      <c r="P34" s="4"/>
      <c r="Q34" s="359">
        <v>81.94937490353449606420743942</v>
      </c>
      <c r="R34" s="170"/>
      <c r="S34" s="360">
        <v>68.586173725630653282040884500</v>
      </c>
      <c r="T34" s="359">
        <v>0</v>
      </c>
      <c r="U34" s="170"/>
      <c r="V34" s="360">
        <v>23.637339640387176411428081450</v>
      </c>
      <c r="W34" s="359">
        <v>18.050625096465503935792560580</v>
      </c>
      <c r="X34" s="170"/>
      <c r="Y34" s="360">
        <v>7.7764866339821703065310340400</v>
      </c>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5</v>
      </c>
      <c r="C35" s="345" t="s">
        <v>51</v>
      </c>
      <c r="D35" s="370">
        <v>140.22935779816513761467889908</v>
      </c>
      <c r="E35" s="172">
        <v>215.38815789473684210526315789</v>
      </c>
      <c r="F35" s="371">
        <v>172.03059744779582366589327146</v>
      </c>
      <c r="G35" s="370">
        <v>0.2477064220183486238532110092</v>
      </c>
      <c r="H35" s="172"/>
      <c r="I35" s="371">
        <v>83.60813935853522012428015713</v>
      </c>
      <c r="J35" s="370">
        <v>31.183486238532110091743119266</v>
      </c>
      <c r="K35" s="172"/>
      <c r="L35" s="371">
        <v>18.551840204187714477542903184</v>
      </c>
      <c r="M35" s="370">
        <v>171.66055045871559633027522936</v>
      </c>
      <c r="N35" s="172"/>
      <c r="O35" s="371">
        <v>274.19057701051875826771633179</v>
      </c>
      <c r="P35" s="4"/>
      <c r="Q35" s="327">
        <v>81.68991502324835658168991502</v>
      </c>
      <c r="R35" s="171"/>
      <c r="S35" s="328">
        <v>62.741250747357456841281957750</v>
      </c>
      <c r="T35" s="327">
        <v>0.1443001443001443001443001400</v>
      </c>
      <c r="U35" s="171"/>
      <c r="V35" s="328">
        <v>30.492710679597047421005726920</v>
      </c>
      <c r="W35" s="327">
        <v>18.165784832451499118165784830</v>
      </c>
      <c r="X35" s="171"/>
      <c r="Y35" s="328">
        <v>6.7660385730454957377123153200</v>
      </c>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6</v>
      </c>
      <c r="C36" s="347" t="s">
        <v>52</v>
      </c>
      <c r="D36" s="378">
        <v>187.02608695652173913043478261</v>
      </c>
      <c r="E36" s="173">
        <v>245.23809523809523809523809523</v>
      </c>
      <c r="F36" s="379">
        <v>192.95555857569991845610220169</v>
      </c>
      <c r="G36" s="378">
        <v>2.0869565217391304347826086957</v>
      </c>
      <c r="H36" s="173"/>
      <c r="I36" s="379">
        <v>70.993455622442589513909403962</v>
      </c>
      <c r="J36" s="378">
        <v>31.982608695652173913043478261</v>
      </c>
      <c r="K36" s="173"/>
      <c r="L36" s="379">
        <v>21.961484098882548740686655753</v>
      </c>
      <c r="M36" s="378">
        <v>221.09565217391304347826086957</v>
      </c>
      <c r="N36" s="173"/>
      <c r="O36" s="379">
        <v>285.9104982970250567106982614</v>
      </c>
      <c r="P36" s="4"/>
      <c r="Q36" s="359">
        <v>84.59057657515928577047117124</v>
      </c>
      <c r="R36" s="170"/>
      <c r="S36" s="360">
        <v>67.488098452139856632918010930</v>
      </c>
      <c r="T36" s="359">
        <v>0.9439156768661999528042161600</v>
      </c>
      <c r="U36" s="170"/>
      <c r="V36" s="360">
        <v>24.830657162049823017233825970</v>
      </c>
      <c r="W36" s="359">
        <v>14.465507747974514276724612600</v>
      </c>
      <c r="X36" s="170"/>
      <c r="Y36" s="360">
        <v>7.681244385810320349848163100</v>
      </c>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7</v>
      </c>
      <c r="C37" s="349" t="s">
        <v>53</v>
      </c>
      <c r="D37" s="380">
        <v>197.89915966386554621848739496</v>
      </c>
      <c r="E37" s="383">
        <v>254.79452054794520547945205479</v>
      </c>
      <c r="F37" s="381">
        <v>194.49033634538152610441767068</v>
      </c>
      <c r="G37" s="380">
        <v>0.5798319327731092436974789916</v>
      </c>
      <c r="H37" s="383"/>
      <c r="I37" s="381">
        <v>72.484371654626894893762341086</v>
      </c>
      <c r="J37" s="380">
        <v>33.411764705882352941176470588</v>
      </c>
      <c r="K37" s="383"/>
      <c r="L37" s="381">
        <v>23.448694958509102873470141471</v>
      </c>
      <c r="M37" s="380">
        <v>231.89075630252100840336134454</v>
      </c>
      <c r="N37" s="383"/>
      <c r="O37" s="381">
        <v>290.42340295851752387165015324</v>
      </c>
      <c r="P37" s="4"/>
      <c r="Q37" s="329">
        <v>85.34154738177206015582533068</v>
      </c>
      <c r="R37" s="330"/>
      <c r="S37" s="332">
        <v>66.967859464535457020473128040</v>
      </c>
      <c r="T37" s="329">
        <v>0.2500452980612429788005073400</v>
      </c>
      <c r="U37" s="330"/>
      <c r="V37" s="332">
        <v>24.958171730044827869381706390</v>
      </c>
      <c r="W37" s="329">
        <v>14.408407320166696865374161990</v>
      </c>
      <c r="X37" s="330"/>
      <c r="Y37" s="332">
        <v>8.073968805419715110145165570</v>
      </c>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179.4296116504854368932038835</v>
      </c>
      <c r="E39" s="382">
        <v>234.88648090815273477812177503</v>
      </c>
      <c r="F39" s="375">
        <v>186.25262146802209237172816777</v>
      </c>
      <c r="G39" s="374">
        <v>2.3033980582524271844660194175</v>
      </c>
      <c r="H39" s="382">
        <v>94.32588116523476440829881513</v>
      </c>
      <c r="I39" s="375">
        <v>83.64558470233379694819985527</v>
      </c>
      <c r="J39" s="374">
        <v>30.885922330097087378640776699</v>
      </c>
      <c r="K39" s="382">
        <v>38.799556094663135889137299255</v>
      </c>
      <c r="L39" s="375">
        <v>27.775993979060823041884996347</v>
      </c>
      <c r="M39" s="374">
        <v>212.61893203883495145631067961</v>
      </c>
      <c r="N39" s="382">
        <v>368.01191816805063507555788941</v>
      </c>
      <c r="O39" s="375">
        <v>297.67420014941671236181301939</v>
      </c>
      <c r="P39" s="4"/>
      <c r="Q39" s="354">
        <v>84.39023276521421477414125732</v>
      </c>
      <c r="R39" s="355">
        <v>63.825780990302902223395669050</v>
      </c>
      <c r="S39" s="356">
        <v>62.569285942326584691734032020</v>
      </c>
      <c r="T39" s="354">
        <v>1.0833457002933823445473121800</v>
      </c>
      <c r="U39" s="355">
        <v>25.631202824839320905811534810</v>
      </c>
      <c r="V39" s="356">
        <v>28.099709232559669339727916460</v>
      </c>
      <c r="W39" s="354">
        <v>14.526421534492402881311430500</v>
      </c>
      <c r="X39" s="355">
        <v>10.543016184857776870792796140</v>
      </c>
      <c r="Y39" s="356">
        <v>9.331004825113745968538051520</v>
      </c>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157.00515463917525773195876289</v>
      </c>
      <c r="E40" s="172">
        <v>219.74488656044336681676480776</v>
      </c>
      <c r="F40" s="371">
        <v>182.1196061028697011960610287</v>
      </c>
      <c r="G40" s="370">
        <v>2.4355670103092783505154639175</v>
      </c>
      <c r="H40" s="172">
        <v>71.448034841213461985527075309</v>
      </c>
      <c r="I40" s="371">
        <v>75.136784986328110482314911086</v>
      </c>
      <c r="J40" s="370">
        <v>26.49226804123711340206185567</v>
      </c>
      <c r="K40" s="172">
        <v>40.374857475591893120575632609</v>
      </c>
      <c r="L40" s="371">
        <v>27.214295354260594919988521186</v>
      </c>
      <c r="M40" s="370">
        <v>185.93298969072164948453608247</v>
      </c>
      <c r="N40" s="172">
        <v>331.56777887724872192286751568</v>
      </c>
      <c r="O40" s="371">
        <v>284.47068644345840659836446097</v>
      </c>
      <c r="P40" s="4"/>
      <c r="Q40" s="327">
        <v>84.44179534806354134900612681</v>
      </c>
      <c r="R40" s="171">
        <v>66.274499682852525370594407960</v>
      </c>
      <c r="S40" s="328">
        <v>64.020517677862011274437575300</v>
      </c>
      <c r="T40" s="327">
        <v>1.3099165534640015524936929900</v>
      </c>
      <c r="U40" s="171">
        <v>21.548545845784543925260132360</v>
      </c>
      <c r="V40" s="328">
        <v>26.412839201715903557457374570</v>
      </c>
      <c r="W40" s="327">
        <v>14.248288098472457098500180200</v>
      </c>
      <c r="X40" s="171">
        <v>12.176954471362930704145459670</v>
      </c>
      <c r="Y40" s="328">
        <v>9.566643120422085168105050120</v>
      </c>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159.85078534031413612565445026</v>
      </c>
      <c r="E41" s="173">
        <v>215.08658400373255665992732825</v>
      </c>
      <c r="F41" s="379">
        <v>185.05296192976698391860846734</v>
      </c>
      <c r="G41" s="378">
        <v>1.3062827225130890052356020942</v>
      </c>
      <c r="H41" s="173">
        <v>96.91643294746488691877941546</v>
      </c>
      <c r="I41" s="379">
        <v>73.919939165233860920459210921</v>
      </c>
      <c r="J41" s="378">
        <v>28.086387434554973821989528796</v>
      </c>
      <c r="K41" s="173">
        <v>33.383289017889216145469591683</v>
      </c>
      <c r="L41" s="379">
        <v>23.350461079088517803420006399</v>
      </c>
      <c r="M41" s="378">
        <v>189.24345549738219895287958115</v>
      </c>
      <c r="N41" s="173">
        <v>345.38630596908665972417633539</v>
      </c>
      <c r="O41" s="379">
        <v>282.32336217408936264248768467</v>
      </c>
      <c r="P41" s="4"/>
      <c r="Q41" s="359">
        <v>84.46832939093386451978807874</v>
      </c>
      <c r="R41" s="170">
        <v>62.274207253307719227355240100</v>
      </c>
      <c r="S41" s="360">
        <v>65.546457262597196697956022260</v>
      </c>
      <c r="T41" s="359">
        <v>0.6902657315571786252783887300</v>
      </c>
      <c r="U41" s="170">
        <v>28.060299807062779981946656530</v>
      </c>
      <c r="V41" s="360">
        <v>26.182721329187248852618314160</v>
      </c>
      <c r="W41" s="359">
        <v>14.841404877508956854933532530</v>
      </c>
      <c r="X41" s="170">
        <v>9.665492939629500790698103370</v>
      </c>
      <c r="Y41" s="360">
        <v>8.270821408215554449425663580</v>
      </c>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153.72704081632653061224489796</v>
      </c>
      <c r="E42" s="172">
        <v>207.83998916694778753913915246</v>
      </c>
      <c r="F42" s="371">
        <v>185.86186048291432288677151494</v>
      </c>
      <c r="G42" s="370">
        <v>0.8010204081632653061224489796</v>
      </c>
      <c r="H42" s="172">
        <v>72.185726116553563933115550459</v>
      </c>
      <c r="I42" s="371">
        <v>83.79534332302702110350323999</v>
      </c>
      <c r="J42" s="370">
        <v>27.961734693877551020408163265</v>
      </c>
      <c r="K42" s="172">
        <v>35.187847675804831431745482165</v>
      </c>
      <c r="L42" s="371">
        <v>26.065089852471273465032676488</v>
      </c>
      <c r="M42" s="370">
        <v>182.4897959183673469387755102</v>
      </c>
      <c r="N42" s="172">
        <v>315.21356295930618290400018507</v>
      </c>
      <c r="O42" s="371">
        <v>295.72229365841261745530743142</v>
      </c>
      <c r="P42" s="4"/>
      <c r="Q42" s="327">
        <v>84.23870498769850145381346455</v>
      </c>
      <c r="R42" s="171">
        <v>65.936245641111503422301095020</v>
      </c>
      <c r="S42" s="328">
        <v>62.850134896357341798872622800</v>
      </c>
      <c r="T42" s="327">
        <v>0.4389398344889286513084321200</v>
      </c>
      <c r="U42" s="171">
        <v>22.900577449414092322641554840</v>
      </c>
      <c r="V42" s="328">
        <v>28.335822195339325503501229350</v>
      </c>
      <c r="W42" s="327">
        <v>15.322355177812569894878103330</v>
      </c>
      <c r="X42" s="171">
        <v>11.163176909474404255057350140</v>
      </c>
      <c r="Y42" s="328">
        <v>8.814042908303332697626147860</v>
      </c>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164.22850678733031674208144796</v>
      </c>
      <c r="E43" s="173">
        <v>225.51990869795166876762117603</v>
      </c>
      <c r="F43" s="379">
        <v>186.7478412902305002497680725</v>
      </c>
      <c r="G43" s="378">
        <v>1.2194570135746606334841628959</v>
      </c>
      <c r="H43" s="173">
        <v>87.38532316714173092949674204</v>
      </c>
      <c r="I43" s="379">
        <v>72.860283930462368904497523649</v>
      </c>
      <c r="J43" s="378">
        <v>27.409502262443438914027149321</v>
      </c>
      <c r="K43" s="173">
        <v>37.02189787056169388785219126</v>
      </c>
      <c r="L43" s="379">
        <v>21.441316411154321765444322423</v>
      </c>
      <c r="M43" s="378">
        <v>192.85746606334841628959276018</v>
      </c>
      <c r="N43" s="173">
        <v>349.92712973565509358497010933</v>
      </c>
      <c r="O43" s="379">
        <v>281.04944163184719091970991858</v>
      </c>
      <c r="P43" s="4"/>
      <c r="Q43" s="359">
        <v>85.15537932733479581901153174</v>
      </c>
      <c r="R43" s="170">
        <v>64.447677683155296368651995710</v>
      </c>
      <c r="S43" s="360">
        <v>66.446615302248342846298633950</v>
      </c>
      <c r="T43" s="359">
        <v>0.6323099843975458395410766900</v>
      </c>
      <c r="U43" s="170">
        <v>24.972434470329605326584481350</v>
      </c>
      <c r="V43" s="360">
        <v>25.924365302921913648005250920</v>
      </c>
      <c r="W43" s="359">
        <v>14.212310688267658341447391570</v>
      </c>
      <c r="X43" s="170">
        <v>10.579887846515098304763522940</v>
      </c>
      <c r="Y43" s="360">
        <v>7.6290193948297435056961151300</v>
      </c>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227.9810874704491725768321513</v>
      </c>
      <c r="E44" s="172">
        <v>282.92723040001046291876197513</v>
      </c>
      <c r="F44" s="371">
        <v>211.13059265983659706912203346</v>
      </c>
      <c r="G44" s="370">
        <v>1.3333333333333333333333333333</v>
      </c>
      <c r="H44" s="172">
        <v>71.404240534246020495306400053</v>
      </c>
      <c r="I44" s="371">
        <v>84.40853093891211891139894852</v>
      </c>
      <c r="J44" s="370">
        <v>30.243498817966903073286052009</v>
      </c>
      <c r="K44" s="172">
        <v>54.787079414473026017210528374</v>
      </c>
      <c r="L44" s="371">
        <v>29.051324029942785839584448979</v>
      </c>
      <c r="M44" s="370">
        <v>259.55791962174940898345153664</v>
      </c>
      <c r="N44" s="172">
        <v>409.11855034872950943127890356</v>
      </c>
      <c r="O44" s="371">
        <v>324.59044762869150182010543094</v>
      </c>
      <c r="P44" s="4"/>
      <c r="Q44" s="327">
        <v>87.83437924093521444900858889</v>
      </c>
      <c r="R44" s="171">
        <v>69.155317000132471431215765030</v>
      </c>
      <c r="S44" s="328">
        <v>65.045226747200845430257571850</v>
      </c>
      <c r="T44" s="327">
        <v>0.5136939513448034027670252200</v>
      </c>
      <c r="U44" s="171">
        <v>17.453190639579064405120823750</v>
      </c>
      <c r="V44" s="328">
        <v>26.004625692333837262797927480</v>
      </c>
      <c r="W44" s="327">
        <v>11.651926807719982148224385890</v>
      </c>
      <c r="X44" s="171">
        <v>13.391492360288464163663411230</v>
      </c>
      <c r="Y44" s="328">
        <v>8.950147560465317306944500680</v>
      </c>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251.0974025974025974025974026</v>
      </c>
      <c r="E45" s="385">
        <v>292.17114789772285692080516049</v>
      </c>
      <c r="F45" s="386">
        <v>215.8259204803038657109599951</v>
      </c>
      <c r="G45" s="384">
        <v>0.9588744588744588744588744589</v>
      </c>
      <c r="H45" s="385">
        <v>82.5772261377801009453284206</v>
      </c>
      <c r="I45" s="386">
        <v>77.732760763847547268667634013</v>
      </c>
      <c r="J45" s="384">
        <v>32.699134199134199134199134199</v>
      </c>
      <c r="K45" s="385">
        <v>40.096686564512731137300206264</v>
      </c>
      <c r="L45" s="386">
        <v>33.042241589324123419300901155</v>
      </c>
      <c r="M45" s="384">
        <v>284.75541125541125541125541126</v>
      </c>
      <c r="N45" s="385">
        <v>414.84506060001568900343378735</v>
      </c>
      <c r="O45" s="386">
        <v>326.60092283347553639892853026</v>
      </c>
      <c r="P45" s="4"/>
      <c r="Q45" s="364">
        <v>88.18002842874191415128043358</v>
      </c>
      <c r="R45" s="365">
        <v>70.428980756125653943870520440</v>
      </c>
      <c r="S45" s="366">
        <v>66.082458863824866125177197190</v>
      </c>
      <c r="T45" s="364">
        <v>0.3367361675927544714458371700</v>
      </c>
      <c r="U45" s="365">
        <v>19.905558479675189354677115760</v>
      </c>
      <c r="V45" s="366">
        <v>23.800533106111661955656969600</v>
      </c>
      <c r="W45" s="364">
        <v>11.483235403665331377273729260</v>
      </c>
      <c r="X45" s="365">
        <v>9.665460764199156701452363800</v>
      </c>
      <c r="Y45" s="366">
        <v>10.117008030063471919165833220</v>
      </c>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161.75036710719530102790014684</v>
      </c>
      <c r="E47" s="382">
        <v>225.04164808727302894237449835</v>
      </c>
      <c r="F47" s="375">
        <v>176.01342369064888388507588715</v>
      </c>
      <c r="G47" s="374">
        <v>1.409691629955947136563876652</v>
      </c>
      <c r="H47" s="382"/>
      <c r="I47" s="375">
        <v>68.268537139420782402969742075</v>
      </c>
      <c r="J47" s="374">
        <v>31.535976505139500734214390602</v>
      </c>
      <c r="K47" s="382"/>
      <c r="L47" s="375">
        <v>21.280816037491558211880953251</v>
      </c>
      <c r="M47" s="374">
        <v>194.6960352422907488986784141</v>
      </c>
      <c r="N47" s="382"/>
      <c r="O47" s="375">
        <v>265.56277686756122449992658248</v>
      </c>
      <c r="P47" s="4"/>
      <c r="Q47" s="354">
        <v>83.07840830241047455274987178</v>
      </c>
      <c r="R47" s="355"/>
      <c r="S47" s="356">
        <v>66.279403223151456170596479680</v>
      </c>
      <c r="T47" s="354">
        <v>0.7240474251063444655624943400</v>
      </c>
      <c r="U47" s="355"/>
      <c r="V47" s="356">
        <v>25.707118273381730399886623340</v>
      </c>
      <c r="W47" s="354">
        <v>16.197544272483180981687633870</v>
      </c>
      <c r="X47" s="355"/>
      <c r="Y47" s="356">
        <v>8.013478503466813429516896980</v>
      </c>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186.55601516718372974836263357</v>
      </c>
      <c r="E48" s="172">
        <v>244.56433172181641853316867228</v>
      </c>
      <c r="F48" s="371">
        <v>194.69339494000167827473357389</v>
      </c>
      <c r="G48" s="370">
        <v>1.4660461909686315063771113409</v>
      </c>
      <c r="H48" s="172">
        <v>82.110566267763853922885393</v>
      </c>
      <c r="I48" s="371">
        <v>78.892647828196789165259182979</v>
      </c>
      <c r="J48" s="370">
        <v>29.199931058255773871078938297</v>
      </c>
      <c r="K48" s="172">
        <v>40.645755222786657485805363941</v>
      </c>
      <c r="L48" s="371">
        <v>27.082889209533171109262159482</v>
      </c>
      <c r="M48" s="370">
        <v>217.22199241640813512581868321</v>
      </c>
      <c r="N48" s="172">
        <v>367.32065321236692994185942922</v>
      </c>
      <c r="O48" s="371">
        <v>300.66893197773163854925491635</v>
      </c>
      <c r="P48" s="4"/>
      <c r="Q48" s="327">
        <v>85.88265538489370176827826540</v>
      </c>
      <c r="R48" s="171">
        <v>66.580610042752271010694934580</v>
      </c>
      <c r="S48" s="328">
        <v>64.753412884847444865911434540</v>
      </c>
      <c r="T48" s="327">
        <v>0.6749068888744305026810608700</v>
      </c>
      <c r="U48" s="171">
        <v>22.353920355328214975874625900</v>
      </c>
      <c r="V48" s="328">
        <v>26.239042161509322125439110690</v>
      </c>
      <c r="W48" s="327">
        <v>13.442437726231867729040673730</v>
      </c>
      <c r="X48" s="171">
        <v>11.065469601919514013430439520</v>
      </c>
      <c r="Y48" s="328">
        <v>9.007544953643233008649454780</v>
      </c>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161.75036710719530102790014684</v>
      </c>
      <c r="E49" s="385">
        <v>225.04164808727302894237449835</v>
      </c>
      <c r="F49" s="386">
        <v>176.01342369064888388507588715</v>
      </c>
      <c r="G49" s="384">
        <v>1.409691629955947136563876652</v>
      </c>
      <c r="H49" s="385"/>
      <c r="I49" s="386">
        <v>68.268537139420782402969742075</v>
      </c>
      <c r="J49" s="384">
        <v>31.535976505139500734214390602</v>
      </c>
      <c r="K49" s="385"/>
      <c r="L49" s="386">
        <v>21.280816037491558211880953251</v>
      </c>
      <c r="M49" s="384">
        <v>194.6960352422907488986784141</v>
      </c>
      <c r="N49" s="385"/>
      <c r="O49" s="386">
        <v>265.56277686756122449992658248</v>
      </c>
      <c r="P49" s="4"/>
      <c r="Q49" s="364">
        <v>83.07840830241047455274987178</v>
      </c>
      <c r="R49" s="365"/>
      <c r="S49" s="366">
        <v>66.279403223151456170596479680</v>
      </c>
      <c r="T49" s="364">
        <v>0.7240474251063444655624943400</v>
      </c>
      <c r="U49" s="365"/>
      <c r="V49" s="366">
        <v>25.707118273381730399886623340</v>
      </c>
      <c r="W49" s="364">
        <v>16.197544272483180981687633870</v>
      </c>
      <c r="X49" s="365"/>
      <c r="Y49" s="366">
        <v>8.013478503466813429516896980</v>
      </c>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0" t="s">
        <v>114</v>
      </c>
      <c r="E53" s="650"/>
      <c r="F53" s="650"/>
      <c r="G53" s="650"/>
      <c r="H53" s="650"/>
      <c r="I53" s="650"/>
      <c r="J53" s="650"/>
      <c r="K53" s="650"/>
      <c r="L53" s="650"/>
      <c r="M53" s="650"/>
      <c r="N53" s="650"/>
      <c r="O53" s="650"/>
      <c r="P53" s="650"/>
      <c r="Q53" s="650"/>
      <c r="R53" s="650"/>
      <c r="S53" s="650"/>
      <c r="T53" s="650"/>
      <c r="U53" s="650"/>
      <c r="V53" s="650"/>
      <c r="W53" s="650"/>
      <c r="X53" s="650"/>
      <c r="Y53" s="650"/>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53"/>
</worksheet>
</file>

<file path=xl/worksheets/sheet5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138</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168</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179</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187</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75" t="s">
        <v>212</v>
      </c>
      <c r="I5" s="675"/>
      <c r="J5" s="675"/>
      <c r="K5" s="675"/>
      <c r="L5" s="675"/>
      <c r="M5" s="675"/>
      <c r="N5" s="675"/>
      <c r="O5" s="675"/>
      <c r="P5" s="675"/>
      <c r="Q5" s="675"/>
      <c r="R5" s="675"/>
      <c r="S5" s="675"/>
      <c r="T5" s="675"/>
      <c r="U5" s="675"/>
      <c r="V5" s="675"/>
      <c r="AB5" s="675" t="s">
        <v>214</v>
      </c>
      <c r="AC5" s="675"/>
      <c r="AD5" s="675"/>
      <c r="AE5" s="675"/>
      <c r="AF5" s="675"/>
      <c r="AG5" s="675"/>
      <c r="AH5" s="675"/>
      <c r="AI5" s="675"/>
      <c r="AJ5" s="675"/>
      <c r="AK5" s="675"/>
      <c r="AL5" s="675"/>
      <c r="AM5" s="675"/>
      <c r="AN5" s="675"/>
      <c r="AO5" s="675"/>
      <c r="AP5" s="675"/>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216</v>
      </c>
      <c r="D6" s="104" t="s">
        <v>217</v>
      </c>
      <c r="I6" s="676" t="s">
        <v>0</v>
      </c>
      <c r="J6" s="676"/>
      <c r="K6" s="676" t="s">
        <v>1</v>
      </c>
      <c r="L6" s="676"/>
      <c r="M6" s="676" t="s">
        <v>2</v>
      </c>
      <c r="N6" s="676"/>
      <c r="O6" s="676" t="s">
        <v>3</v>
      </c>
      <c r="P6" s="676"/>
      <c r="Q6" s="676" t="s">
        <v>4</v>
      </c>
      <c r="R6" s="676"/>
      <c r="S6" s="676" t="s">
        <v>5</v>
      </c>
      <c r="T6" s="676"/>
      <c r="U6" s="676" t="s">
        <v>6</v>
      </c>
      <c r="V6" s="676"/>
      <c r="AC6" s="676" t="s">
        <v>0</v>
      </c>
      <c r="AD6" s="676"/>
      <c r="AE6" s="676" t="s">
        <v>1</v>
      </c>
      <c r="AF6" s="676"/>
      <c r="AG6" s="676" t="s">
        <v>2</v>
      </c>
      <c r="AH6" s="676"/>
      <c r="AI6" s="676" t="s">
        <v>3</v>
      </c>
      <c r="AJ6" s="676"/>
      <c r="AK6" s="676" t="s">
        <v>4</v>
      </c>
      <c r="AL6" s="676"/>
      <c r="AM6" s="676" t="s">
        <v>5</v>
      </c>
      <c r="AN6" s="676"/>
      <c r="AO6" s="676" t="s">
        <v>6</v>
      </c>
      <c r="AP6" s="676"/>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218</v>
      </c>
      <c r="D7" s="104" t="s">
        <v>219</v>
      </c>
      <c r="E7" s="104"/>
      <c r="F7" s="104"/>
      <c r="G7" s="104"/>
      <c r="H7" s="97" t="s">
        <v>213</v>
      </c>
      <c r="I7" s="677">
        <v>27</v>
      </c>
      <c r="J7" s="677"/>
      <c r="K7" s="678">
        <v>28</v>
      </c>
      <c r="L7" s="678"/>
      <c r="M7" s="678">
        <v>29</v>
      </c>
      <c r="N7" s="678"/>
      <c r="O7" s="678">
        <v>30</v>
      </c>
      <c r="P7" s="678"/>
      <c r="Q7" s="678">
        <v>1</v>
      </c>
      <c r="R7" s="678"/>
      <c r="S7" s="678">
        <v>2</v>
      </c>
      <c r="T7" s="678"/>
      <c r="U7" s="679">
        <v>3</v>
      </c>
      <c r="V7" s="679"/>
      <c r="Y7" s="3"/>
      <c r="AB7" s="97" t="s">
        <v>213</v>
      </c>
      <c r="AC7" s="677">
        <v>28</v>
      </c>
      <c r="AD7" s="677"/>
      <c r="AE7" s="678">
        <v>29</v>
      </c>
      <c r="AF7" s="678"/>
      <c r="AG7" s="678">
        <v>30</v>
      </c>
      <c r="AH7" s="678"/>
      <c r="AI7" s="678">
        <v>1</v>
      </c>
      <c r="AJ7" s="678"/>
      <c r="AK7" s="678">
        <v>2</v>
      </c>
      <c r="AL7" s="678"/>
      <c r="AM7" s="678">
        <v>3</v>
      </c>
      <c r="AN7" s="678"/>
      <c r="AO7" s="679">
        <v>4</v>
      </c>
      <c r="AP7" s="679"/>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H8" s="97" t="s">
        <v>184</v>
      </c>
      <c r="I8" s="680">
        <v>4</v>
      </c>
      <c r="J8" s="680"/>
      <c r="K8" s="681">
        <v>5</v>
      </c>
      <c r="L8" s="681"/>
      <c r="M8" s="681">
        <v>6</v>
      </c>
      <c r="N8" s="681"/>
      <c r="O8" s="681">
        <v>7</v>
      </c>
      <c r="P8" s="681"/>
      <c r="Q8" s="681">
        <v>8</v>
      </c>
      <c r="R8" s="681"/>
      <c r="S8" s="681">
        <v>9</v>
      </c>
      <c r="T8" s="681"/>
      <c r="U8" s="682">
        <v>10</v>
      </c>
      <c r="V8" s="682"/>
      <c r="Y8" s="3"/>
      <c r="AB8" s="97" t="s">
        <v>184</v>
      </c>
      <c r="AC8" s="680">
        <v>5</v>
      </c>
      <c r="AD8" s="680"/>
      <c r="AE8" s="681">
        <v>6</v>
      </c>
      <c r="AF8" s="681"/>
      <c r="AG8" s="681">
        <v>7</v>
      </c>
      <c r="AH8" s="681"/>
      <c r="AI8" s="681">
        <v>8</v>
      </c>
      <c r="AJ8" s="681"/>
      <c r="AK8" s="681">
        <v>9</v>
      </c>
      <c r="AL8" s="681"/>
      <c r="AM8" s="681">
        <v>10</v>
      </c>
      <c r="AN8" s="681"/>
      <c r="AO8" s="682">
        <v>11</v>
      </c>
      <c r="AP8" s="682"/>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184</v>
      </c>
      <c r="I9" s="683">
        <v>11</v>
      </c>
      <c r="J9" s="683"/>
      <c r="K9" s="684">
        <v>12</v>
      </c>
      <c r="L9" s="684"/>
      <c r="M9" s="684">
        <v>13</v>
      </c>
      <c r="N9" s="684"/>
      <c r="O9" s="684">
        <v>14</v>
      </c>
      <c r="P9" s="684"/>
      <c r="Q9" s="684">
        <v>15</v>
      </c>
      <c r="R9" s="684"/>
      <c r="S9" s="684">
        <v>16</v>
      </c>
      <c r="T9" s="684"/>
      <c r="U9" s="685">
        <v>17</v>
      </c>
      <c r="V9" s="685"/>
      <c r="Y9" s="3"/>
      <c r="AB9" s="97" t="s">
        <v>184</v>
      </c>
      <c r="AC9" s="683">
        <v>12</v>
      </c>
      <c r="AD9" s="683"/>
      <c r="AE9" s="684">
        <v>13</v>
      </c>
      <c r="AF9" s="684"/>
      <c r="AG9" s="684">
        <v>14</v>
      </c>
      <c r="AH9" s="684"/>
      <c r="AI9" s="684">
        <v>15</v>
      </c>
      <c r="AJ9" s="684"/>
      <c r="AK9" s="684">
        <v>16</v>
      </c>
      <c r="AL9" s="684"/>
      <c r="AM9" s="684">
        <v>17</v>
      </c>
      <c r="AN9" s="684"/>
      <c r="AO9" s="685">
        <v>18</v>
      </c>
      <c r="AP9" s="685"/>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184</v>
      </c>
      <c r="I10" s="680">
        <v>18</v>
      </c>
      <c r="J10" s="680"/>
      <c r="K10" s="681">
        <v>19</v>
      </c>
      <c r="L10" s="681"/>
      <c r="M10" s="681">
        <v>20</v>
      </c>
      <c r="N10" s="681"/>
      <c r="O10" s="681">
        <v>21</v>
      </c>
      <c r="P10" s="681"/>
      <c r="Q10" s="681">
        <v>22</v>
      </c>
      <c r="R10" s="681"/>
      <c r="S10" s="681">
        <v>23</v>
      </c>
      <c r="T10" s="681"/>
      <c r="U10" s="682">
        <v>24</v>
      </c>
      <c r="V10" s="682"/>
      <c r="Y10" s="3"/>
      <c r="AB10" s="97" t="s">
        <v>184</v>
      </c>
      <c r="AC10" s="680">
        <v>19</v>
      </c>
      <c r="AD10" s="680"/>
      <c r="AE10" s="681">
        <v>20</v>
      </c>
      <c r="AF10" s="681"/>
      <c r="AG10" s="681">
        <v>21</v>
      </c>
      <c r="AH10" s="681"/>
      <c r="AI10" s="681">
        <v>22</v>
      </c>
      <c r="AJ10" s="681"/>
      <c r="AK10" s="681">
        <v>23</v>
      </c>
      <c r="AL10" s="681"/>
      <c r="AM10" s="681">
        <v>24</v>
      </c>
      <c r="AN10" s="681"/>
      <c r="AO10" s="682">
        <v>25</v>
      </c>
      <c r="AP10" s="682"/>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184</v>
      </c>
      <c r="I11" s="683">
        <v>25</v>
      </c>
      <c r="J11" s="683"/>
      <c r="K11" s="684">
        <v>26</v>
      </c>
      <c r="L11" s="684"/>
      <c r="M11" s="684">
        <v>27</v>
      </c>
      <c r="N11" s="684"/>
      <c r="O11" s="684">
        <v>28</v>
      </c>
      <c r="P11" s="684"/>
      <c r="Q11" s="684">
        <v>29</v>
      </c>
      <c r="R11" s="684"/>
      <c r="S11" s="684">
        <v>30</v>
      </c>
      <c r="T11" s="684"/>
      <c r="U11" s="685">
        <v>31</v>
      </c>
      <c r="V11" s="685"/>
      <c r="Y11" s="3"/>
      <c r="AB11" s="97" t="s">
        <v>215</v>
      </c>
      <c r="AC11" s="683">
        <v>26</v>
      </c>
      <c r="AD11" s="683"/>
      <c r="AE11" s="684">
        <v>27</v>
      </c>
      <c r="AF11" s="684"/>
      <c r="AG11" s="684">
        <v>28</v>
      </c>
      <c r="AH11" s="684"/>
      <c r="AI11" s="684">
        <v>29</v>
      </c>
      <c r="AJ11" s="684"/>
      <c r="AK11" s="684">
        <v>30</v>
      </c>
      <c r="AL11" s="684"/>
      <c r="AM11" s="684">
        <v>31</v>
      </c>
      <c r="AN11" s="684"/>
      <c r="AO11" s="685">
        <v>1</v>
      </c>
      <c r="AP11" s="685"/>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181</v>
      </c>
      <c r="I12" s="686">
        <v>1</v>
      </c>
      <c r="J12" s="686"/>
      <c r="K12" s="687">
        <v>2</v>
      </c>
      <c r="L12" s="687"/>
      <c r="M12" s="687">
        <v>3</v>
      </c>
      <c r="N12" s="687"/>
      <c r="O12" s="687">
        <v>4</v>
      </c>
      <c r="P12" s="687"/>
      <c r="Q12" s="687">
        <v>5</v>
      </c>
      <c r="R12" s="687"/>
      <c r="S12" s="687">
        <v>6</v>
      </c>
      <c r="T12" s="687"/>
      <c r="U12" s="688">
        <v>7</v>
      </c>
      <c r="V12" s="688"/>
      <c r="Y12" s="3"/>
      <c r="AB12" s="97" t="s">
        <v>181</v>
      </c>
      <c r="AC12" s="686">
        <v>2</v>
      </c>
      <c r="AD12" s="686"/>
      <c r="AE12" s="687">
        <v>3</v>
      </c>
      <c r="AF12" s="687"/>
      <c r="AG12" s="687">
        <v>4</v>
      </c>
      <c r="AH12" s="687"/>
      <c r="AI12" s="687">
        <v>5</v>
      </c>
      <c r="AJ12" s="687"/>
      <c r="AK12" s="687">
        <v>6</v>
      </c>
      <c r="AL12" s="687"/>
      <c r="AM12" s="687">
        <v>7</v>
      </c>
      <c r="AN12" s="687"/>
      <c r="AO12" s="688">
        <v>8</v>
      </c>
      <c r="AP12" s="688"/>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220</v>
      </c>
      <c r="D14" s="106" t="s">
        <v>217</v>
      </c>
      <c r="H14" s="97"/>
      <c r="O14" s="648"/>
      <c r="P14" s="648"/>
      <c r="Q14" s="648"/>
      <c r="R14" s="648"/>
      <c r="S14" s="648"/>
      <c r="T14" s="648"/>
      <c r="U14" s="648"/>
      <c r="W14" s="648"/>
      <c r="X14" s="648"/>
      <c r="Y14" s="648"/>
      <c r="Z14" s="648"/>
      <c r="AA14" s="648"/>
      <c r="AB14" s="648"/>
      <c r="AC14" s="648"/>
      <c r="AE14" s="648"/>
      <c r="AF14" s="648"/>
      <c r="AG14" s="648"/>
      <c r="AH14" s="648"/>
      <c r="AI14" s="648"/>
      <c r="AJ14" s="648"/>
      <c r="AK14" s="648"/>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221</v>
      </c>
      <c r="D15" s="104" t="s">
        <v>219</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222</v>
      </c>
      <c r="D16" s="104" t="s">
        <v>223</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224</v>
      </c>
      <c r="D17" s="104" t="s">
        <v>225</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226</v>
      </c>
      <c r="D18" s="104" t="s">
        <v>227</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228</v>
      </c>
      <c r="D19" s="104" t="s">
        <v>229</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689"/>
      <c r="AW20" s="689"/>
      <c r="AX20" s="689"/>
      <c r="AY20" s="689"/>
      <c r="AZ20" s="689"/>
      <c r="BA20" s="689"/>
      <c r="BB20" s="689"/>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45809</v>
      </c>
      <c r="R21" s="119">
        <v>45810</v>
      </c>
      <c r="S21" s="119">
        <v>45811</v>
      </c>
      <c r="T21" s="119">
        <v>45812</v>
      </c>
      <c r="U21" s="119">
        <v>45813</v>
      </c>
      <c r="V21" s="119">
        <v>45814</v>
      </c>
      <c r="W21" s="119">
        <v>45815</v>
      </c>
      <c r="X21" s="120"/>
      <c r="Y21" s="120"/>
      <c r="Z21" s="119">
        <v>45809</v>
      </c>
      <c r="AA21" s="119">
        <v>45810</v>
      </c>
      <c r="AB21" s="119">
        <v>45811</v>
      </c>
      <c r="AC21" s="119">
        <v>45812</v>
      </c>
      <c r="AD21" s="119">
        <v>45813</v>
      </c>
      <c r="AE21" s="119">
        <v>45814</v>
      </c>
      <c r="AF21" s="119">
        <v>45815</v>
      </c>
      <c r="AG21" s="120"/>
      <c r="AH21" s="120"/>
      <c r="AI21" s="119">
        <v>45809</v>
      </c>
      <c r="AJ21" s="119">
        <v>45810</v>
      </c>
      <c r="AK21" s="119">
        <v>45811</v>
      </c>
      <c r="AL21" s="119">
        <v>45812</v>
      </c>
      <c r="AM21" s="119">
        <v>45813</v>
      </c>
      <c r="AN21" s="119">
        <v>45814</v>
      </c>
      <c r="AO21" s="119">
        <v>45815</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690">
        <v>56387</v>
      </c>
      <c r="D22" s="690" t="s">
        <v>188</v>
      </c>
      <c r="E22" s="690" t="s">
        <v>189</v>
      </c>
      <c r="F22" s="690" t="s">
        <v>190</v>
      </c>
      <c r="G22" s="690" t="s">
        <v>191</v>
      </c>
      <c r="H22" s="691">
        <v>132</v>
      </c>
      <c r="I22" s="691" t="s">
        <v>192</v>
      </c>
      <c r="J22" s="691"/>
      <c r="K22" s="691"/>
      <c r="L22" s="691"/>
      <c r="M22" s="691"/>
      <c r="N22" s="691"/>
      <c r="O22" s="113"/>
      <c r="Q22" s="692" t="s">
        <v>193</v>
      </c>
      <c r="R22" s="693" t="s">
        <v>193</v>
      </c>
      <c r="S22" s="693" t="s">
        <v>193</v>
      </c>
      <c r="T22" s="693" t="s">
        <v>193</v>
      </c>
      <c r="U22" s="693" t="s">
        <v>193</v>
      </c>
      <c r="V22" s="693" t="s">
        <v>193</v>
      </c>
      <c r="W22" s="694" t="s">
        <v>193</v>
      </c>
      <c r="Z22" s="692" t="s">
        <v>193</v>
      </c>
      <c r="AA22" s="693" t="s">
        <v>193</v>
      </c>
      <c r="AB22" s="693" t="s">
        <v>193</v>
      </c>
      <c r="AC22" s="693" t="s">
        <v>193</v>
      </c>
      <c r="AD22" s="693" t="s">
        <v>193</v>
      </c>
      <c r="AE22" s="693" t="s">
        <v>193</v>
      </c>
      <c r="AF22" s="694" t="s">
        <v>193</v>
      </c>
      <c r="AI22" s="692" t="s">
        <v>193</v>
      </c>
      <c r="AJ22" s="693" t="s">
        <v>193</v>
      </c>
      <c r="AK22" s="693" t="s">
        <v>193</v>
      </c>
      <c r="AL22" s="693" t="s">
        <v>193</v>
      </c>
      <c r="AM22" s="693" t="s">
        <v>193</v>
      </c>
      <c r="AN22" s="693" t="s">
        <v>193</v>
      </c>
      <c r="AO22" s="694" t="s">
        <v>193</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695">
        <v>33931</v>
      </c>
      <c r="D23" s="695" t="s">
        <v>194</v>
      </c>
      <c r="E23" s="695" t="s">
        <v>189</v>
      </c>
      <c r="F23" s="695" t="s">
        <v>195</v>
      </c>
      <c r="G23" s="695" t="s">
        <v>196</v>
      </c>
      <c r="H23" s="696">
        <v>107</v>
      </c>
      <c r="I23" s="696" t="s">
        <v>197</v>
      </c>
      <c r="J23" s="696"/>
      <c r="K23" s="696"/>
      <c r="L23" s="696"/>
      <c r="M23" s="696"/>
      <c r="N23" s="696"/>
      <c r="O23" s="113"/>
      <c r="Q23" s="697" t="s">
        <v>193</v>
      </c>
      <c r="R23" s="698" t="s">
        <v>193</v>
      </c>
      <c r="S23" s="698" t="s">
        <v>193</v>
      </c>
      <c r="T23" s="698" t="s">
        <v>193</v>
      </c>
      <c r="U23" s="698" t="s">
        <v>193</v>
      </c>
      <c r="V23" s="698" t="s">
        <v>193</v>
      </c>
      <c r="W23" s="699" t="s">
        <v>193</v>
      </c>
      <c r="Z23" s="697" t="s">
        <v>193</v>
      </c>
      <c r="AA23" s="698" t="s">
        <v>193</v>
      </c>
      <c r="AB23" s="698" t="s">
        <v>193</v>
      </c>
      <c r="AC23" s="698" t="s">
        <v>193</v>
      </c>
      <c r="AD23" s="698" t="s">
        <v>193</v>
      </c>
      <c r="AE23" s="698" t="s">
        <v>193</v>
      </c>
      <c r="AF23" s="699" t="s">
        <v>193</v>
      </c>
      <c r="AI23" s="697" t="s">
        <v>193</v>
      </c>
      <c r="AJ23" s="698" t="s">
        <v>193</v>
      </c>
      <c r="AK23" s="698" t="s">
        <v>193</v>
      </c>
      <c r="AL23" s="698" t="s">
        <v>193</v>
      </c>
      <c r="AM23" s="698" t="s">
        <v>193</v>
      </c>
      <c r="AN23" s="698" t="s">
        <v>193</v>
      </c>
      <c r="AO23" s="699" t="s">
        <v>193</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690">
        <v>34401</v>
      </c>
      <c r="D24" s="690" t="s">
        <v>198</v>
      </c>
      <c r="E24" s="690" t="s">
        <v>189</v>
      </c>
      <c r="F24" s="690" t="s">
        <v>195</v>
      </c>
      <c r="G24" s="690" t="s">
        <v>176</v>
      </c>
      <c r="H24" s="691">
        <v>0</v>
      </c>
      <c r="I24" s="691" t="s">
        <v>199</v>
      </c>
      <c r="J24" s="691"/>
      <c r="K24" s="691"/>
      <c r="L24" s="691"/>
      <c r="M24" s="691"/>
      <c r="N24" s="691"/>
      <c r="O24" s="113"/>
      <c r="Q24" s="692" t="s">
        <v>176</v>
      </c>
      <c r="R24" s="693" t="s">
        <v>176</v>
      </c>
      <c r="S24" s="693" t="s">
        <v>176</v>
      </c>
      <c r="T24" s="693" t="s">
        <v>176</v>
      </c>
      <c r="U24" s="693" t="s">
        <v>176</v>
      </c>
      <c r="V24" s="693" t="s">
        <v>176</v>
      </c>
      <c r="W24" s="694" t="s">
        <v>176</v>
      </c>
      <c r="Z24" s="692" t="s">
        <v>176</v>
      </c>
      <c r="AA24" s="693" t="s">
        <v>176</v>
      </c>
      <c r="AB24" s="693" t="s">
        <v>176</v>
      </c>
      <c r="AC24" s="693" t="s">
        <v>176</v>
      </c>
      <c r="AD24" s="693" t="s">
        <v>176</v>
      </c>
      <c r="AE24" s="693" t="s">
        <v>176</v>
      </c>
      <c r="AF24" s="694" t="s">
        <v>176</v>
      </c>
      <c r="AI24" s="692" t="s">
        <v>176</v>
      </c>
      <c r="AJ24" s="693" t="s">
        <v>176</v>
      </c>
      <c r="AK24" s="693" t="s">
        <v>176</v>
      </c>
      <c r="AL24" s="693" t="s">
        <v>176</v>
      </c>
      <c r="AM24" s="693" t="s">
        <v>176</v>
      </c>
      <c r="AN24" s="693" t="s">
        <v>176</v>
      </c>
      <c r="AO24" s="694" t="s">
        <v>176</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695">
        <v>39070</v>
      </c>
      <c r="D25" s="695" t="s">
        <v>200</v>
      </c>
      <c r="E25" s="695" t="s">
        <v>189</v>
      </c>
      <c r="F25" s="695" t="s">
        <v>195</v>
      </c>
      <c r="G25" s="695" t="s">
        <v>201</v>
      </c>
      <c r="H25" s="696">
        <v>73</v>
      </c>
      <c r="I25" s="696" t="s">
        <v>202</v>
      </c>
      <c r="J25" s="696"/>
      <c r="K25" s="696"/>
      <c r="L25" s="696"/>
      <c r="M25" s="696"/>
      <c r="N25" s="696"/>
      <c r="O25" s="113"/>
      <c r="Q25" s="697" t="s">
        <v>193</v>
      </c>
      <c r="R25" s="698" t="s">
        <v>203</v>
      </c>
      <c r="S25" s="698" t="s">
        <v>203</v>
      </c>
      <c r="T25" s="698" t="s">
        <v>203</v>
      </c>
      <c r="U25" s="698" t="s">
        <v>203</v>
      </c>
      <c r="V25" s="698" t="s">
        <v>203</v>
      </c>
      <c r="W25" s="699" t="s">
        <v>203</v>
      </c>
      <c r="Z25" s="697" t="s">
        <v>193</v>
      </c>
      <c r="AA25" s="698" t="s">
        <v>203</v>
      </c>
      <c r="AB25" s="698" t="s">
        <v>203</v>
      </c>
      <c r="AC25" s="698" t="s">
        <v>203</v>
      </c>
      <c r="AD25" s="698" t="s">
        <v>203</v>
      </c>
      <c r="AE25" s="698" t="s">
        <v>203</v>
      </c>
      <c r="AF25" s="699" t="s">
        <v>203</v>
      </c>
      <c r="AI25" s="697" t="s">
        <v>193</v>
      </c>
      <c r="AJ25" s="698" t="s">
        <v>203</v>
      </c>
      <c r="AK25" s="698" t="s">
        <v>203</v>
      </c>
      <c r="AL25" s="698" t="s">
        <v>203</v>
      </c>
      <c r="AM25" s="698" t="s">
        <v>203</v>
      </c>
      <c r="AN25" s="698" t="s">
        <v>203</v>
      </c>
      <c r="AO25" s="699" t="s">
        <v>203</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690">
        <v>44117</v>
      </c>
      <c r="D26" s="690" t="s">
        <v>204</v>
      </c>
      <c r="E26" s="690" t="s">
        <v>189</v>
      </c>
      <c r="F26" s="690" t="s">
        <v>195</v>
      </c>
      <c r="G26" s="690" t="s">
        <v>205</v>
      </c>
      <c r="H26" s="691">
        <v>129</v>
      </c>
      <c r="I26" s="691" t="s">
        <v>206</v>
      </c>
      <c r="J26" s="691"/>
      <c r="K26" s="691"/>
      <c r="L26" s="691"/>
      <c r="M26" s="691"/>
      <c r="N26" s="691"/>
      <c r="O26" s="113"/>
      <c r="Q26" s="692" t="s">
        <v>193</v>
      </c>
      <c r="R26" s="693" t="s">
        <v>193</v>
      </c>
      <c r="S26" s="693" t="s">
        <v>193</v>
      </c>
      <c r="T26" s="693" t="s">
        <v>193</v>
      </c>
      <c r="U26" s="693" t="s">
        <v>193</v>
      </c>
      <c r="V26" s="693" t="s">
        <v>193</v>
      </c>
      <c r="W26" s="694" t="s">
        <v>193</v>
      </c>
      <c r="Z26" s="692" t="s">
        <v>193</v>
      </c>
      <c r="AA26" s="693" t="s">
        <v>193</v>
      </c>
      <c r="AB26" s="693" t="s">
        <v>193</v>
      </c>
      <c r="AC26" s="693" t="s">
        <v>193</v>
      </c>
      <c r="AD26" s="693" t="s">
        <v>193</v>
      </c>
      <c r="AE26" s="693" t="s">
        <v>193</v>
      </c>
      <c r="AF26" s="694" t="s">
        <v>193</v>
      </c>
      <c r="AI26" s="692" t="s">
        <v>193</v>
      </c>
      <c r="AJ26" s="693" t="s">
        <v>193</v>
      </c>
      <c r="AK26" s="693" t="s">
        <v>193</v>
      </c>
      <c r="AL26" s="693" t="s">
        <v>193</v>
      </c>
      <c r="AM26" s="693" t="s">
        <v>193</v>
      </c>
      <c r="AN26" s="693" t="s">
        <v>193</v>
      </c>
      <c r="AO26" s="694" t="s">
        <v>193</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695">
        <v>53909</v>
      </c>
      <c r="D27" s="695" t="s">
        <v>207</v>
      </c>
      <c r="E27" s="695" t="s">
        <v>189</v>
      </c>
      <c r="F27" s="695" t="s">
        <v>208</v>
      </c>
      <c r="G27" s="695" t="s">
        <v>209</v>
      </c>
      <c r="H27" s="696">
        <v>35</v>
      </c>
      <c r="I27" s="696" t="s">
        <v>210</v>
      </c>
      <c r="J27" s="696"/>
      <c r="K27" s="696"/>
      <c r="L27" s="696"/>
      <c r="M27" s="696"/>
      <c r="N27" s="696"/>
      <c r="O27" s="113"/>
      <c r="Q27" s="697" t="s">
        <v>193</v>
      </c>
      <c r="R27" s="698" t="s">
        <v>193</v>
      </c>
      <c r="S27" s="698" t="s">
        <v>193</v>
      </c>
      <c r="T27" s="698" t="s">
        <v>193</v>
      </c>
      <c r="U27" s="698" t="s">
        <v>193</v>
      </c>
      <c r="V27" s="698" t="s">
        <v>193</v>
      </c>
      <c r="W27" s="699" t="s">
        <v>193</v>
      </c>
      <c r="Z27" s="697" t="s">
        <v>193</v>
      </c>
      <c r="AA27" s="698" t="s">
        <v>193</v>
      </c>
      <c r="AB27" s="698" t="s">
        <v>193</v>
      </c>
      <c r="AC27" s="698" t="s">
        <v>193</v>
      </c>
      <c r="AD27" s="698" t="s">
        <v>193</v>
      </c>
      <c r="AE27" s="698" t="s">
        <v>193</v>
      </c>
      <c r="AF27" s="699" t="s">
        <v>193</v>
      </c>
      <c r="AI27" s="697" t="s">
        <v>203</v>
      </c>
      <c r="AJ27" s="698" t="s">
        <v>203</v>
      </c>
      <c r="AK27" s="698" t="s">
        <v>203</v>
      </c>
      <c r="AL27" s="698" t="s">
        <v>203</v>
      </c>
      <c r="AM27" s="698" t="s">
        <v>203</v>
      </c>
      <c r="AN27" s="698" t="s">
        <v>203</v>
      </c>
      <c r="AO27" s="699" t="s">
        <v>203</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114"/>
      <c r="D28" s="118"/>
      <c r="E28" s="118"/>
      <c r="F28" s="118"/>
      <c r="G28" s="118"/>
      <c r="H28" s="691">
        <v>476</v>
      </c>
      <c r="I28" s="700"/>
      <c r="J28" s="700"/>
      <c r="K28" s="700"/>
      <c r="L28" s="700"/>
      <c r="M28" s="700"/>
      <c r="N28" s="700"/>
      <c r="O28" s="113"/>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114"/>
      <c r="D29" s="118"/>
      <c r="E29" s="118"/>
      <c r="F29" s="118"/>
      <c r="G29" s="118"/>
      <c r="H29" s="118"/>
      <c r="I29" s="700"/>
      <c r="J29" s="700"/>
      <c r="K29" s="700"/>
      <c r="L29" s="700"/>
      <c r="M29" s="700"/>
      <c r="N29" s="700"/>
      <c r="O29" s="113"/>
      <c r="P29" t="s">
        <v>211</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118"/>
      <c r="I30" s="700"/>
      <c r="J30" s="700"/>
      <c r="K30" s="700"/>
      <c r="L30" s="700"/>
      <c r="M30" s="700"/>
      <c r="N30" s="700"/>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00"/>
      <c r="J31" s="700"/>
      <c r="K31" s="700"/>
      <c r="L31" s="700"/>
      <c r="M31" s="700"/>
      <c r="N31" s="700"/>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00"/>
      <c r="J32" s="700"/>
      <c r="K32" s="700"/>
      <c r="L32" s="700"/>
      <c r="M32" s="700"/>
      <c r="N32" s="700"/>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00"/>
      <c r="J33" s="700"/>
      <c r="K33" s="700"/>
      <c r="L33" s="700"/>
      <c r="M33" s="700"/>
      <c r="N33" s="700"/>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00"/>
      <c r="J34" s="700"/>
      <c r="K34" s="700"/>
      <c r="L34" s="700"/>
      <c r="M34" s="700"/>
      <c r="N34" s="700"/>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00"/>
      <c r="J35" s="700"/>
      <c r="K35" s="700"/>
      <c r="L35" s="700"/>
      <c r="M35" s="700"/>
      <c r="N35" s="700"/>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00"/>
      <c r="J36" s="700"/>
      <c r="K36" s="700"/>
      <c r="L36" s="700"/>
      <c r="M36" s="700"/>
      <c r="N36" s="700"/>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00"/>
      <c r="J37" s="700"/>
      <c r="K37" s="700"/>
      <c r="L37" s="700"/>
      <c r="M37" s="700"/>
      <c r="N37" s="700"/>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00"/>
      <c r="J38" s="700"/>
      <c r="K38" s="700"/>
      <c r="L38" s="700"/>
      <c r="M38" s="700"/>
      <c r="N38" s="700"/>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00"/>
      <c r="J39" s="700"/>
      <c r="K39" s="700"/>
      <c r="L39" s="700"/>
      <c r="M39" s="700"/>
      <c r="N39" s="700"/>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00"/>
      <c r="J40" s="700"/>
      <c r="K40" s="700"/>
      <c r="L40" s="700"/>
      <c r="M40" s="700"/>
      <c r="N40" s="700"/>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00"/>
      <c r="J41" s="700"/>
      <c r="K41" s="700"/>
      <c r="L41" s="700"/>
      <c r="M41" s="700"/>
      <c r="N41" s="700"/>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00"/>
      <c r="J42" s="700"/>
      <c r="K42" s="700"/>
      <c r="L42" s="700"/>
      <c r="M42" s="700"/>
      <c r="N42" s="700"/>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00"/>
      <c r="J43" s="700"/>
      <c r="K43" s="700"/>
      <c r="L43" s="700"/>
      <c r="M43" s="700"/>
      <c r="N43" s="700"/>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00"/>
      <c r="J44" s="700"/>
      <c r="K44" s="700"/>
      <c r="L44" s="700"/>
      <c r="M44" s="700"/>
      <c r="N44" s="700"/>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00"/>
      <c r="J45" s="700"/>
      <c r="K45" s="700"/>
      <c r="L45" s="700"/>
      <c r="M45" s="700"/>
      <c r="N45" s="700"/>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00"/>
      <c r="J46" s="700"/>
      <c r="K46" s="700"/>
      <c r="L46" s="700"/>
      <c r="M46" s="700"/>
      <c r="N46" s="700"/>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00"/>
      <c r="J47" s="700"/>
      <c r="K47" s="700"/>
      <c r="L47" s="700"/>
      <c r="M47" s="700"/>
      <c r="N47" s="700"/>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00"/>
      <c r="J48" s="700"/>
      <c r="K48" s="700"/>
      <c r="L48" s="700"/>
      <c r="M48" s="700"/>
      <c r="N48" s="700"/>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00"/>
      <c r="J49" s="700"/>
      <c r="K49" s="700"/>
      <c r="L49" s="700"/>
      <c r="M49" s="700"/>
      <c r="N49" s="700"/>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00"/>
      <c r="J50" s="700"/>
      <c r="K50" s="700"/>
      <c r="L50" s="700"/>
      <c r="M50" s="700"/>
      <c r="N50" s="700"/>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00"/>
      <c r="J51" s="700"/>
      <c r="K51" s="700"/>
      <c r="L51" s="700"/>
      <c r="M51" s="700"/>
      <c r="N51" s="700"/>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00"/>
      <c r="J52" s="700"/>
      <c r="K52" s="700"/>
      <c r="L52" s="700"/>
      <c r="M52" s="700"/>
      <c r="N52" s="700"/>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00"/>
      <c r="J53" s="700"/>
      <c r="K53" s="700"/>
      <c r="L53" s="700"/>
      <c r="M53" s="700"/>
      <c r="N53" s="700"/>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00"/>
      <c r="J54" s="700"/>
      <c r="K54" s="700"/>
      <c r="L54" s="700"/>
      <c r="M54" s="700"/>
      <c r="N54" s="700"/>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00"/>
      <c r="J55" s="700"/>
      <c r="K55" s="700"/>
      <c r="L55" s="700"/>
      <c r="M55" s="700"/>
      <c r="N55" s="700"/>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00"/>
      <c r="J56" s="700"/>
      <c r="K56" s="700"/>
      <c r="L56" s="700"/>
      <c r="M56" s="700"/>
      <c r="N56" s="700"/>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00"/>
      <c r="J57" s="700"/>
      <c r="K57" s="700"/>
      <c r="L57" s="700"/>
      <c r="M57" s="700"/>
      <c r="N57" s="700"/>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00"/>
      <c r="J58" s="700"/>
      <c r="K58" s="700"/>
      <c r="L58" s="700"/>
      <c r="M58" s="700"/>
      <c r="N58" s="700"/>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00"/>
      <c r="J59" s="700"/>
      <c r="K59" s="700"/>
      <c r="L59" s="700"/>
      <c r="M59" s="700"/>
      <c r="N59" s="700"/>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00"/>
      <c r="J60" s="700"/>
      <c r="K60" s="700"/>
      <c r="L60" s="700"/>
      <c r="M60" s="700"/>
      <c r="N60" s="700"/>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00"/>
      <c r="J61" s="700"/>
      <c r="K61" s="700"/>
      <c r="L61" s="700"/>
      <c r="M61" s="700"/>
      <c r="N61" s="700"/>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00"/>
      <c r="J62" s="700"/>
      <c r="K62" s="700"/>
      <c r="L62" s="700"/>
      <c r="M62" s="700"/>
      <c r="N62" s="700"/>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00"/>
      <c r="J63" s="700"/>
      <c r="K63" s="700"/>
      <c r="L63" s="700"/>
      <c r="M63" s="700"/>
      <c r="N63" s="700"/>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00"/>
      <c r="J64" s="700"/>
      <c r="K64" s="700"/>
      <c r="L64" s="700"/>
      <c r="M64" s="700"/>
      <c r="N64" s="700"/>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00"/>
      <c r="J65" s="700"/>
      <c r="K65" s="700"/>
      <c r="L65" s="700"/>
      <c r="M65" s="700"/>
      <c r="N65" s="700"/>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00"/>
      <c r="J66" s="700"/>
      <c r="K66" s="700"/>
      <c r="L66" s="700"/>
      <c r="M66" s="700"/>
      <c r="N66" s="700"/>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00"/>
      <c r="J67" s="700"/>
      <c r="K67" s="700"/>
      <c r="L67" s="700"/>
      <c r="M67" s="700"/>
      <c r="N67" s="700"/>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00"/>
      <c r="J68" s="700"/>
      <c r="K68" s="700"/>
      <c r="L68" s="700"/>
      <c r="M68" s="700"/>
      <c r="N68" s="700"/>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00"/>
      <c r="J69" s="700"/>
      <c r="K69" s="700"/>
      <c r="L69" s="700"/>
      <c r="M69" s="700"/>
      <c r="N69" s="700"/>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00"/>
      <c r="J70" s="700"/>
      <c r="K70" s="700"/>
      <c r="L70" s="700"/>
      <c r="M70" s="700"/>
      <c r="N70" s="700"/>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00"/>
      <c r="J71" s="700"/>
      <c r="K71" s="700"/>
      <c r="L71" s="700"/>
      <c r="M71" s="700"/>
      <c r="N71" s="700"/>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00"/>
      <c r="J72" s="700"/>
      <c r="K72" s="700"/>
      <c r="L72" s="700"/>
      <c r="M72" s="700"/>
      <c r="N72" s="700"/>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00"/>
      <c r="J73" s="700"/>
      <c r="K73" s="700"/>
      <c r="L73" s="700"/>
      <c r="M73" s="700"/>
      <c r="N73" s="700"/>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00"/>
      <c r="J74" s="700"/>
      <c r="K74" s="700"/>
      <c r="L74" s="700"/>
      <c r="M74" s="700"/>
      <c r="N74" s="700"/>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00"/>
      <c r="J75" s="700"/>
      <c r="K75" s="700"/>
      <c r="L75" s="700"/>
      <c r="M75" s="700"/>
      <c r="N75" s="700"/>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00"/>
      <c r="J76" s="700"/>
      <c r="K76" s="700"/>
      <c r="L76" s="700"/>
      <c r="M76" s="700"/>
      <c r="N76" s="700"/>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00"/>
      <c r="J77" s="700"/>
      <c r="K77" s="700"/>
      <c r="L77" s="700"/>
      <c r="M77" s="700"/>
      <c r="N77" s="700"/>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00"/>
      <c r="J78" s="700"/>
      <c r="K78" s="700"/>
      <c r="L78" s="700"/>
      <c r="M78" s="700"/>
      <c r="N78" s="700"/>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00"/>
      <c r="J79" s="700"/>
      <c r="K79" s="700"/>
      <c r="L79" s="700"/>
      <c r="M79" s="700"/>
      <c r="N79" s="700"/>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00"/>
      <c r="J80" s="700"/>
      <c r="K80" s="700"/>
      <c r="L80" s="700"/>
      <c r="M80" s="700"/>
      <c r="N80" s="700"/>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00"/>
      <c r="J81" s="700"/>
      <c r="K81" s="700"/>
      <c r="L81" s="700"/>
      <c r="M81" s="700"/>
      <c r="N81" s="700"/>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00"/>
      <c r="J82" s="700"/>
      <c r="K82" s="700"/>
      <c r="L82" s="700"/>
      <c r="M82" s="700"/>
      <c r="N82" s="700"/>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00"/>
      <c r="J83" s="700"/>
      <c r="K83" s="700"/>
      <c r="L83" s="700"/>
      <c r="M83" s="700"/>
      <c r="N83" s="700"/>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00"/>
      <c r="J84" s="700"/>
      <c r="K84" s="700"/>
      <c r="L84" s="700"/>
      <c r="M84" s="700"/>
      <c r="N84" s="700"/>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00"/>
      <c r="J85" s="700"/>
      <c r="K85" s="700"/>
      <c r="L85" s="700"/>
      <c r="M85" s="700"/>
      <c r="N85" s="700"/>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00"/>
      <c r="J86" s="700"/>
      <c r="K86" s="700"/>
      <c r="L86" s="700"/>
      <c r="M86" s="700"/>
      <c r="N86" s="700"/>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00"/>
      <c r="J87" s="700"/>
      <c r="K87" s="700"/>
      <c r="L87" s="700"/>
      <c r="M87" s="700"/>
      <c r="N87" s="700"/>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00"/>
      <c r="J88" s="700"/>
      <c r="K88" s="700"/>
      <c r="L88" s="700"/>
      <c r="M88" s="700"/>
      <c r="N88" s="700"/>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00"/>
      <c r="J89" s="700"/>
      <c r="K89" s="700"/>
      <c r="L89" s="700"/>
      <c r="M89" s="700"/>
      <c r="N89" s="700"/>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00"/>
      <c r="J90" s="700"/>
      <c r="K90" s="700"/>
      <c r="L90" s="700"/>
      <c r="M90" s="700"/>
      <c r="N90" s="700"/>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00"/>
      <c r="J91" s="700"/>
      <c r="K91" s="700"/>
      <c r="L91" s="700"/>
      <c r="M91" s="700"/>
      <c r="N91" s="700"/>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00"/>
      <c r="J92" s="700"/>
      <c r="K92" s="700"/>
      <c r="L92" s="700"/>
      <c r="M92" s="700"/>
      <c r="N92" s="700"/>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00"/>
      <c r="J93" s="700"/>
      <c r="K93" s="700"/>
      <c r="L93" s="700"/>
      <c r="M93" s="700"/>
      <c r="N93" s="700"/>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00"/>
      <c r="J94" s="700"/>
      <c r="K94" s="700"/>
      <c r="L94" s="700"/>
      <c r="M94" s="700"/>
      <c r="N94" s="700"/>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00"/>
      <c r="J95" s="700"/>
      <c r="K95" s="700"/>
      <c r="L95" s="700"/>
      <c r="M95" s="700"/>
      <c r="N95" s="700"/>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00"/>
      <c r="J96" s="700"/>
      <c r="K96" s="700"/>
      <c r="L96" s="700"/>
      <c r="M96" s="700"/>
      <c r="N96" s="700"/>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00"/>
      <c r="J97" s="700"/>
      <c r="K97" s="700"/>
      <c r="L97" s="700"/>
      <c r="M97" s="700"/>
      <c r="N97" s="700"/>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00"/>
      <c r="J98" s="700"/>
      <c r="K98" s="700"/>
      <c r="L98" s="700"/>
      <c r="M98" s="700"/>
      <c r="N98" s="700"/>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00"/>
      <c r="J99" s="700"/>
      <c r="K99" s="700"/>
      <c r="L99" s="700"/>
      <c r="M99" s="700"/>
      <c r="N99" s="700"/>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00"/>
      <c r="J100" s="700"/>
      <c r="K100" s="700"/>
      <c r="L100" s="700"/>
      <c r="M100" s="700"/>
      <c r="N100" s="700"/>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01" t="s">
        <v>114</v>
      </c>
      <c r="D103" s="701"/>
      <c r="E103" s="701"/>
      <c r="F103" s="701"/>
      <c r="G103" s="701"/>
      <c r="H103" s="701"/>
      <c r="I103" s="701"/>
      <c r="J103" s="701"/>
      <c r="K103" s="701"/>
      <c r="L103" s="701"/>
      <c r="M103" s="701"/>
      <c r="N103" s="701"/>
      <c r="O103" s="701"/>
      <c r="P103" s="701"/>
      <c r="Q103" s="701"/>
      <c r="R103" s="701"/>
      <c r="S103" s="701"/>
      <c r="T103" s="701"/>
      <c r="U103" s="701"/>
      <c r="V103" s="701"/>
      <c r="W103" s="701"/>
      <c r="X103" s="701"/>
      <c r="Y103" s="701"/>
      <c r="Z103" s="701"/>
      <c r="AA103" s="701"/>
      <c r="AB103" s="701"/>
      <c r="AC103" s="701"/>
      <c r="AD103" s="701"/>
      <c r="AE103" s="701"/>
      <c r="AF103" s="701"/>
      <c r="AG103" s="701"/>
      <c r="AH103" s="701"/>
      <c r="AI103" s="701"/>
      <c r="AJ103" s="701"/>
      <c r="AK103" s="701"/>
      <c r="AL103" s="701"/>
      <c r="AM103" s="701"/>
      <c r="AN103" s="701"/>
      <c r="AO103" s="701"/>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02"/>
      <c r="B105" s="702"/>
      <c r="C105" s="702"/>
      <c r="D105" s="702"/>
      <c r="E105" s="702"/>
      <c r="F105" s="702"/>
      <c r="G105" s="702"/>
      <c r="H105" s="702"/>
      <c r="I105" s="702"/>
      <c r="J105" s="702"/>
      <c r="K105" s="702"/>
      <c r="L105" s="702"/>
      <c r="M105" s="702"/>
      <c r="N105" s="702"/>
      <c r="O105" s="702"/>
      <c r="P105" s="702"/>
      <c r="Q105" s="702"/>
      <c r="R105" s="702"/>
      <c r="S105" s="702"/>
      <c r="T105" s="702"/>
      <c r="U105" s="702"/>
      <c r="V105" s="702"/>
      <c r="W105" s="702"/>
      <c r="X105" s="702"/>
      <c r="Y105" s="702"/>
      <c r="Z105" s="702"/>
      <c r="AA105" s="702"/>
      <c r="AB105" s="702"/>
      <c r="AC105" s="702"/>
      <c r="AD105" s="702"/>
      <c r="AE105" s="702"/>
      <c r="AF105" s="702"/>
      <c r="AG105" s="702"/>
      <c r="AH105" s="702"/>
      <c r="AI105" s="702"/>
      <c r="AJ105" s="702"/>
      <c r="AK105" s="702"/>
      <c r="AL105" s="702"/>
      <c r="AM105" s="702"/>
      <c r="AN105" s="702"/>
      <c r="AO105" s="702"/>
      <c r="AP105" s="702"/>
      <c r="AQ105" s="702"/>
      <c r="AR105" s="702"/>
      <c r="AS105" s="702"/>
      <c r="AT105" s="702"/>
      <c r="AU105" s="702"/>
      <c r="AV105" s="702"/>
      <c r="AW105" s="702"/>
      <c r="AX105" s="702"/>
      <c r="AY105" s="702"/>
      <c r="AZ105" s="702"/>
      <c r="BA105" s="702"/>
      <c r="BB105" s="702"/>
      <c r="BC105" s="702"/>
      <c r="BD105" s="702"/>
      <c r="BE105" s="702"/>
      <c r="BF105" s="702"/>
      <c r="BG105" s="702"/>
      <c r="BH105" s="702"/>
      <c r="BI105" s="702"/>
      <c r="BJ105" s="702"/>
      <c r="BK105" s="702"/>
      <c r="BL105" s="702"/>
      <c r="BM105" s="702"/>
      <c r="BN105" s="702"/>
      <c r="BO105" s="702"/>
      <c r="BP105" s="702"/>
      <c r="BQ105" s="702"/>
      <c r="BR105" s="244"/>
      <c r="BS105" s="244"/>
      <c r="BT105" s="244"/>
      <c r="BU105" s="244"/>
      <c r="BV105" s="244"/>
      <c r="BW105" s="244"/>
      <c r="BX105" s="244"/>
      <c r="BY105" s="244"/>
      <c r="BZ105" s="244"/>
      <c r="CA105" s="244"/>
      <c r="CB105" s="244"/>
      <c r="CC105" s="244"/>
      <c r="CD105" s="244"/>
      <c r="CE105" s="244"/>
      <c r="CF105" s="244"/>
    </row>
    <row r="106" ht="12.75" customHeight="1">
      <c r="A106" s="702"/>
      <c r="B106" s="702"/>
      <c r="C106" s="702"/>
      <c r="D106" s="702"/>
      <c r="E106" s="702"/>
      <c r="F106" s="702"/>
      <c r="G106" s="702"/>
      <c r="H106" s="702"/>
      <c r="I106" s="702"/>
      <c r="J106" s="702"/>
      <c r="K106" s="702"/>
      <c r="L106" s="702"/>
      <c r="M106" s="702"/>
      <c r="N106" s="702"/>
      <c r="O106" s="702"/>
      <c r="P106" s="702"/>
      <c r="Q106" s="702"/>
      <c r="R106" s="702"/>
      <c r="S106" s="702"/>
      <c r="T106" s="702"/>
      <c r="U106" s="702"/>
      <c r="V106" s="702"/>
      <c r="W106" s="702"/>
      <c r="X106" s="702"/>
      <c r="Y106" s="702"/>
      <c r="Z106" s="702"/>
      <c r="AA106" s="702"/>
      <c r="AB106" s="702"/>
      <c r="AC106" s="702"/>
      <c r="AD106" s="702"/>
      <c r="AE106" s="702"/>
      <c r="AF106" s="702"/>
      <c r="AG106" s="702"/>
      <c r="AH106" s="702"/>
      <c r="AI106" s="702"/>
      <c r="AJ106" s="702"/>
      <c r="AK106" s="702"/>
      <c r="AL106" s="702"/>
      <c r="AM106" s="702"/>
      <c r="AN106" s="702"/>
      <c r="AO106" s="702"/>
      <c r="AP106" s="702"/>
      <c r="AQ106" s="702"/>
      <c r="AR106" s="702"/>
      <c r="AS106" s="702"/>
      <c r="AT106" s="702"/>
      <c r="AU106" s="702"/>
      <c r="AV106" s="702"/>
      <c r="AW106" s="702"/>
      <c r="AX106" s="702"/>
      <c r="AY106" s="702"/>
      <c r="AZ106" s="702"/>
      <c r="BA106" s="702"/>
      <c r="BB106" s="702"/>
      <c r="BC106" s="702"/>
      <c r="BD106" s="702"/>
      <c r="BE106" s="702"/>
      <c r="BF106" s="702"/>
      <c r="BG106" s="702"/>
      <c r="BH106" s="702"/>
      <c r="BI106" s="702"/>
      <c r="BJ106" s="702"/>
      <c r="BK106" s="702"/>
      <c r="BL106" s="702"/>
      <c r="BM106" s="702"/>
      <c r="BN106" s="702"/>
      <c r="BO106" s="702"/>
      <c r="BP106" s="702"/>
      <c r="BQ106" s="702"/>
      <c r="BR106" s="244"/>
      <c r="BS106" s="244"/>
      <c r="BT106" s="244"/>
      <c r="BU106" s="244"/>
      <c r="BV106" s="244"/>
      <c r="BW106" s="244"/>
      <c r="BX106" s="244"/>
      <c r="BY106" s="244"/>
      <c r="BZ106" s="244"/>
      <c r="CA106" s="244"/>
      <c r="CB106" s="244"/>
      <c r="CC106" s="244"/>
      <c r="CD106" s="244"/>
      <c r="CE106" s="244"/>
      <c r="CF106" s="244"/>
    </row>
    <row r="107" ht="12.75" customHeight="1">
      <c r="A107" s="702"/>
      <c r="B107" s="702"/>
      <c r="C107" s="702"/>
      <c r="D107" s="702"/>
      <c r="E107" s="702"/>
      <c r="F107" s="702"/>
      <c r="G107" s="702"/>
      <c r="H107" s="702"/>
      <c r="I107" s="702"/>
      <c r="J107" s="702"/>
      <c r="K107" s="702"/>
      <c r="L107" s="702"/>
      <c r="M107" s="702"/>
      <c r="N107" s="702"/>
      <c r="O107" s="702"/>
      <c r="P107" s="702"/>
      <c r="Q107" s="702"/>
      <c r="R107" s="702"/>
      <c r="S107" s="702"/>
      <c r="T107" s="702"/>
      <c r="U107" s="702"/>
      <c r="V107" s="702"/>
      <c r="W107" s="702"/>
      <c r="X107" s="702"/>
      <c r="Y107" s="702"/>
      <c r="Z107" s="702"/>
      <c r="AA107" s="702"/>
      <c r="AB107" s="702"/>
      <c r="AC107" s="702"/>
      <c r="AD107" s="702"/>
      <c r="AE107" s="702"/>
      <c r="AF107" s="702"/>
      <c r="AG107" s="702"/>
      <c r="AH107" s="702"/>
      <c r="AI107" s="702"/>
      <c r="AJ107" s="702"/>
      <c r="AK107" s="702"/>
      <c r="AL107" s="702"/>
      <c r="AM107" s="702"/>
      <c r="AN107" s="702"/>
      <c r="AO107" s="702"/>
      <c r="AP107" s="702"/>
      <c r="AQ107" s="702"/>
      <c r="AR107" s="702"/>
      <c r="AS107" s="702"/>
      <c r="AT107" s="702"/>
      <c r="AU107" s="702"/>
      <c r="AV107" s="702"/>
      <c r="AW107" s="702"/>
      <c r="AX107" s="702"/>
      <c r="AY107" s="702"/>
      <c r="AZ107" s="702"/>
      <c r="BA107" s="702"/>
      <c r="BB107" s="702"/>
      <c r="BC107" s="702"/>
      <c r="BD107" s="702"/>
      <c r="BE107" s="702"/>
      <c r="BF107" s="702"/>
      <c r="BG107" s="702"/>
      <c r="BH107" s="702"/>
      <c r="BI107" s="702"/>
      <c r="BJ107" s="702"/>
      <c r="BK107" s="702"/>
      <c r="BL107" s="702"/>
      <c r="BM107" s="702"/>
      <c r="BN107" s="702"/>
      <c r="BO107" s="702"/>
      <c r="BP107" s="702"/>
      <c r="BQ107" s="702"/>
      <c r="BR107" s="244"/>
      <c r="BS107" s="244"/>
      <c r="BT107" s="244"/>
      <c r="BU107" s="244"/>
      <c r="BV107" s="244"/>
      <c r="BW107" s="244"/>
      <c r="BX107" s="244"/>
      <c r="BY107" s="244"/>
      <c r="BZ107" s="244"/>
      <c r="CA107" s="244"/>
      <c r="CB107" s="244"/>
      <c r="CC107" s="244"/>
      <c r="CD107" s="244"/>
      <c r="CE107" s="244"/>
      <c r="CF107" s="244"/>
    </row>
    <row r="108" ht="12.75" customHeight="1">
      <c r="A108" s="702"/>
      <c r="B108" s="702"/>
      <c r="C108" s="702"/>
      <c r="D108" s="702"/>
      <c r="E108" s="702"/>
      <c r="F108" s="702"/>
      <c r="G108" s="702"/>
      <c r="H108" s="702"/>
      <c r="I108" s="702"/>
      <c r="J108" s="702"/>
      <c r="K108" s="702"/>
      <c r="L108" s="702"/>
      <c r="M108" s="702"/>
      <c r="N108" s="702"/>
      <c r="O108" s="702"/>
      <c r="P108" s="702"/>
      <c r="Q108" s="702"/>
      <c r="R108" s="702"/>
      <c r="S108" s="702"/>
      <c r="T108" s="702"/>
      <c r="U108" s="702"/>
      <c r="V108" s="702"/>
      <c r="W108" s="702"/>
      <c r="X108" s="702"/>
      <c r="Y108" s="702"/>
      <c r="Z108" s="702"/>
      <c r="AA108" s="702"/>
      <c r="AB108" s="702"/>
      <c r="AC108" s="702"/>
      <c r="AD108" s="702"/>
      <c r="AE108" s="702"/>
      <c r="AF108" s="702"/>
      <c r="AG108" s="702"/>
      <c r="AH108" s="702"/>
      <c r="AI108" s="702"/>
      <c r="AJ108" s="702"/>
      <c r="AK108" s="702"/>
      <c r="AL108" s="702"/>
      <c r="AM108" s="702"/>
      <c r="AN108" s="702"/>
      <c r="AO108" s="702"/>
      <c r="AP108" s="702"/>
      <c r="AQ108" s="702"/>
      <c r="AR108" s="702"/>
      <c r="AS108" s="702"/>
      <c r="AT108" s="702"/>
      <c r="AU108" s="702"/>
      <c r="AV108" s="702"/>
      <c r="AW108" s="702"/>
      <c r="AX108" s="702"/>
      <c r="AY108" s="702"/>
      <c r="AZ108" s="702"/>
      <c r="BA108" s="702"/>
      <c r="BB108" s="702"/>
      <c r="BC108" s="702"/>
      <c r="BD108" s="702"/>
      <c r="BE108" s="702"/>
      <c r="BF108" s="702"/>
      <c r="BG108" s="702"/>
      <c r="BH108" s="702"/>
      <c r="BI108" s="702"/>
      <c r="BJ108" s="702"/>
      <c r="BK108" s="702"/>
      <c r="BL108" s="702"/>
      <c r="BM108" s="702"/>
      <c r="BN108" s="702"/>
      <c r="BO108" s="702"/>
      <c r="BP108" s="702"/>
      <c r="BQ108" s="702"/>
      <c r="BR108" s="244"/>
      <c r="BS108" s="244"/>
      <c r="BT108" s="244"/>
      <c r="BU108" s="244"/>
      <c r="BV108" s="244"/>
      <c r="BW108" s="244"/>
      <c r="BX108" s="244"/>
      <c r="BY108" s="244"/>
      <c r="BZ108" s="244"/>
      <c r="CA108" s="244"/>
      <c r="CB108" s="244"/>
      <c r="CC108" s="244"/>
      <c r="CD108" s="244"/>
      <c r="CE108" s="244"/>
      <c r="CF108" s="244"/>
    </row>
    <row r="109" ht="12.75" customHeight="1">
      <c r="A109" s="702"/>
      <c r="B109" s="702"/>
      <c r="C109" s="702"/>
      <c r="D109" s="702"/>
      <c r="E109" s="702"/>
      <c r="F109" s="702"/>
      <c r="G109" s="702"/>
      <c r="H109" s="702"/>
      <c r="I109" s="702"/>
      <c r="J109" s="702"/>
      <c r="K109" s="702"/>
      <c r="L109" s="702"/>
      <c r="M109" s="702"/>
      <c r="N109" s="702"/>
      <c r="O109" s="702"/>
      <c r="P109" s="702"/>
      <c r="Q109" s="702"/>
      <c r="R109" s="702"/>
      <c r="S109" s="702"/>
      <c r="T109" s="702"/>
      <c r="U109" s="702"/>
      <c r="V109" s="702"/>
      <c r="W109" s="702"/>
      <c r="X109" s="702"/>
      <c r="Y109" s="702"/>
      <c r="Z109" s="702"/>
      <c r="AA109" s="702"/>
      <c r="AB109" s="702"/>
      <c r="AC109" s="702"/>
      <c r="AD109" s="702"/>
      <c r="AE109" s="702"/>
      <c r="AF109" s="702"/>
      <c r="AG109" s="702"/>
      <c r="AH109" s="702"/>
      <c r="AI109" s="702"/>
      <c r="AJ109" s="702"/>
      <c r="AK109" s="702"/>
      <c r="AL109" s="702"/>
      <c r="AM109" s="702"/>
      <c r="AN109" s="702"/>
      <c r="AO109" s="702"/>
      <c r="AP109" s="702"/>
      <c r="AQ109" s="702"/>
      <c r="AR109" s="702"/>
      <c r="AS109" s="702"/>
      <c r="AT109" s="702"/>
      <c r="AU109" s="702"/>
      <c r="AV109" s="702"/>
      <c r="AW109" s="702"/>
      <c r="AX109" s="702"/>
      <c r="AY109" s="702"/>
      <c r="AZ109" s="702"/>
      <c r="BA109" s="702"/>
      <c r="BB109" s="702"/>
      <c r="BC109" s="702"/>
      <c r="BD109" s="702"/>
      <c r="BE109" s="702"/>
      <c r="BF109" s="702"/>
      <c r="BG109" s="702"/>
      <c r="BH109" s="702"/>
      <c r="BI109" s="702"/>
      <c r="BJ109" s="702"/>
      <c r="BK109" s="702"/>
      <c r="BL109" s="702"/>
      <c r="BM109" s="702"/>
      <c r="BN109" s="702"/>
      <c r="BO109" s="702"/>
      <c r="BP109" s="702"/>
      <c r="BQ109" s="702"/>
      <c r="BR109" s="244"/>
      <c r="BS109" s="244"/>
      <c r="BT109" s="244"/>
      <c r="BU109" s="244"/>
      <c r="BV109" s="244"/>
      <c r="BW109" s="244"/>
      <c r="BX109" s="244"/>
      <c r="BY109" s="244"/>
      <c r="BZ109" s="244"/>
      <c r="CA109" s="244"/>
      <c r="CB109" s="244"/>
      <c r="CC109" s="244"/>
      <c r="CD109" s="244"/>
      <c r="CE109" s="244"/>
      <c r="CF109" s="244"/>
    </row>
    <row r="110" ht="12.75" customHeight="1">
      <c r="A110" s="702"/>
      <c r="B110" s="702"/>
      <c r="C110" s="702"/>
      <c r="D110" s="702"/>
      <c r="E110" s="702"/>
      <c r="F110" s="702"/>
      <c r="G110" s="702"/>
      <c r="H110" s="702"/>
      <c r="I110" s="702"/>
      <c r="J110" s="702"/>
      <c r="K110" s="702"/>
      <c r="L110" s="702"/>
      <c r="M110" s="702"/>
      <c r="N110" s="702"/>
      <c r="O110" s="702"/>
      <c r="P110" s="702"/>
      <c r="Q110" s="702"/>
      <c r="R110" s="702"/>
      <c r="S110" s="702"/>
      <c r="T110" s="702"/>
      <c r="U110" s="702"/>
      <c r="V110" s="702"/>
      <c r="W110" s="702"/>
      <c r="X110" s="702"/>
      <c r="Y110" s="702"/>
      <c r="Z110" s="702"/>
      <c r="AA110" s="702"/>
      <c r="AB110" s="702"/>
      <c r="AC110" s="702"/>
      <c r="AD110" s="702"/>
      <c r="AE110" s="702"/>
      <c r="AF110" s="702"/>
      <c r="AG110" s="702"/>
      <c r="AH110" s="702"/>
      <c r="AI110" s="702"/>
      <c r="AJ110" s="702"/>
      <c r="AK110" s="702"/>
      <c r="AL110" s="702"/>
      <c r="AM110" s="702"/>
      <c r="AN110" s="702"/>
      <c r="AO110" s="702"/>
      <c r="AP110" s="702"/>
      <c r="AQ110" s="702"/>
      <c r="AR110" s="702"/>
      <c r="AS110" s="702"/>
      <c r="AT110" s="702"/>
      <c r="AU110" s="702"/>
      <c r="AV110" s="702"/>
      <c r="AW110" s="702"/>
      <c r="AX110" s="702"/>
      <c r="AY110" s="702"/>
      <c r="AZ110" s="702"/>
      <c r="BA110" s="702"/>
      <c r="BB110" s="702"/>
      <c r="BC110" s="702"/>
      <c r="BD110" s="702"/>
      <c r="BE110" s="702"/>
      <c r="BF110" s="702"/>
      <c r="BG110" s="702"/>
      <c r="BH110" s="702"/>
      <c r="BI110" s="702"/>
      <c r="BJ110" s="702"/>
      <c r="BK110" s="702"/>
      <c r="BL110" s="702"/>
      <c r="BM110" s="702"/>
      <c r="BN110" s="702"/>
      <c r="BO110" s="702"/>
      <c r="BP110" s="702"/>
      <c r="BQ110" s="702"/>
      <c r="BR110" s="244"/>
      <c r="BS110" s="244"/>
      <c r="BT110" s="244"/>
      <c r="BU110" s="244"/>
      <c r="BV110" s="244"/>
      <c r="BW110" s="244"/>
      <c r="BX110" s="244"/>
      <c r="BY110" s="244"/>
      <c r="BZ110" s="244"/>
      <c r="CA110" s="244"/>
      <c r="CB110" s="244"/>
      <c r="CC110" s="244"/>
      <c r="CD110" s="244"/>
      <c r="CE110" s="244"/>
      <c r="CF110" s="244"/>
    </row>
    <row r="111" ht="12.75" customHeight="1">
      <c r="A111" s="702"/>
      <c r="B111" s="702"/>
      <c r="C111" s="702"/>
      <c r="D111" s="702"/>
      <c r="E111" s="702"/>
      <c r="F111" s="702"/>
      <c r="G111" s="702"/>
      <c r="H111" s="702"/>
      <c r="I111" s="702"/>
      <c r="J111" s="702"/>
      <c r="K111" s="702"/>
      <c r="L111" s="702"/>
      <c r="M111" s="702"/>
      <c r="N111" s="702"/>
      <c r="O111" s="702"/>
      <c r="P111" s="702"/>
      <c r="Q111" s="702"/>
      <c r="R111" s="702"/>
      <c r="S111" s="702"/>
      <c r="T111" s="702"/>
      <c r="U111" s="702"/>
      <c r="V111" s="702"/>
      <c r="W111" s="702"/>
      <c r="X111" s="702"/>
      <c r="Y111" s="702"/>
      <c r="Z111" s="702"/>
      <c r="AA111" s="702"/>
      <c r="AB111" s="702"/>
      <c r="AC111" s="702"/>
      <c r="AD111" s="702"/>
      <c r="AE111" s="702"/>
      <c r="AF111" s="702"/>
      <c r="AG111" s="702"/>
      <c r="AH111" s="702"/>
      <c r="AI111" s="702"/>
      <c r="AJ111" s="702"/>
      <c r="AK111" s="702"/>
      <c r="AL111" s="702"/>
      <c r="AM111" s="702"/>
      <c r="AN111" s="702"/>
      <c r="AO111" s="702"/>
      <c r="AP111" s="702"/>
      <c r="AQ111" s="702"/>
      <c r="AR111" s="702"/>
      <c r="AS111" s="702"/>
      <c r="AT111" s="702"/>
      <c r="AU111" s="702"/>
      <c r="AV111" s="702"/>
      <c r="AW111" s="702"/>
      <c r="AX111" s="702"/>
      <c r="AY111" s="702"/>
      <c r="AZ111" s="702"/>
      <c r="BA111" s="702"/>
      <c r="BB111" s="702"/>
      <c r="BC111" s="702"/>
      <c r="BD111" s="702"/>
      <c r="BE111" s="702"/>
      <c r="BF111" s="702"/>
      <c r="BG111" s="702"/>
      <c r="BH111" s="702"/>
      <c r="BI111" s="702"/>
      <c r="BJ111" s="702"/>
      <c r="BK111" s="702"/>
      <c r="BL111" s="702"/>
      <c r="BM111" s="702"/>
      <c r="BN111" s="702"/>
      <c r="BO111" s="702"/>
      <c r="BP111" s="702"/>
      <c r="BQ111" s="702"/>
      <c r="BR111" s="244"/>
      <c r="BS111" s="244"/>
      <c r="BT111" s="244"/>
      <c r="BU111" s="244"/>
      <c r="BV111" s="244"/>
      <c r="BW111" s="244"/>
      <c r="BX111" s="244"/>
      <c r="BY111" s="244"/>
      <c r="BZ111" s="244"/>
      <c r="CA111" s="244"/>
      <c r="CB111" s="244"/>
      <c r="CC111" s="244"/>
      <c r="CD111" s="244"/>
      <c r="CE111" s="244"/>
      <c r="CF111" s="244"/>
    </row>
    <row r="112" ht="12.75" customHeight="1">
      <c r="A112" s="702"/>
      <c r="B112" s="702"/>
      <c r="C112" s="702"/>
      <c r="D112" s="702"/>
      <c r="E112" s="702"/>
      <c r="F112" s="702"/>
      <c r="G112" s="702"/>
      <c r="H112" s="702"/>
      <c r="I112" s="702"/>
      <c r="J112" s="702"/>
      <c r="K112" s="702"/>
      <c r="L112" s="702"/>
      <c r="M112" s="702"/>
      <c r="N112" s="702"/>
      <c r="O112" s="702"/>
      <c r="P112" s="702"/>
      <c r="Q112" s="702"/>
      <c r="R112" s="702"/>
      <c r="S112" s="702"/>
      <c r="T112" s="702"/>
      <c r="U112" s="702"/>
      <c r="V112" s="702"/>
      <c r="W112" s="702"/>
      <c r="X112" s="702"/>
      <c r="Y112" s="702"/>
      <c r="Z112" s="702"/>
      <c r="AA112" s="702"/>
      <c r="AB112" s="702"/>
      <c r="AC112" s="702"/>
      <c r="AD112" s="702"/>
      <c r="AE112" s="702"/>
      <c r="AF112" s="702"/>
      <c r="AG112" s="702"/>
      <c r="AH112" s="702"/>
      <c r="AI112" s="702"/>
      <c r="AJ112" s="702"/>
      <c r="AK112" s="702"/>
      <c r="AL112" s="702"/>
      <c r="AM112" s="702"/>
      <c r="AN112" s="702"/>
      <c r="AO112" s="702"/>
      <c r="AP112" s="702"/>
      <c r="AQ112" s="702"/>
      <c r="AR112" s="702"/>
      <c r="AS112" s="702"/>
      <c r="AT112" s="702"/>
      <c r="AU112" s="702"/>
      <c r="AV112" s="702"/>
      <c r="AW112" s="702"/>
      <c r="AX112" s="702"/>
      <c r="AY112" s="702"/>
      <c r="AZ112" s="702"/>
      <c r="BA112" s="702"/>
      <c r="BB112" s="702"/>
      <c r="BC112" s="702"/>
      <c r="BD112" s="702"/>
      <c r="BE112" s="702"/>
      <c r="BF112" s="702"/>
      <c r="BG112" s="702"/>
      <c r="BH112" s="702"/>
      <c r="BI112" s="702"/>
      <c r="BJ112" s="702"/>
      <c r="BK112" s="702"/>
      <c r="BL112" s="702"/>
      <c r="BM112" s="702"/>
      <c r="BN112" s="702"/>
      <c r="BO112" s="702"/>
      <c r="BP112" s="702"/>
      <c r="BQ112" s="702"/>
      <c r="BR112" s="244"/>
      <c r="BS112" s="244"/>
      <c r="BT112" s="244"/>
      <c r="BU112" s="244"/>
      <c r="BV112" s="244"/>
      <c r="BW112" s="244"/>
      <c r="BX112" s="244"/>
      <c r="BY112" s="244"/>
      <c r="BZ112" s="244"/>
      <c r="CA112" s="244"/>
      <c r="CB112" s="244"/>
      <c r="CC112" s="244"/>
      <c r="CD112" s="244"/>
      <c r="CE112" s="244"/>
      <c r="CF112" s="244"/>
    </row>
    <row r="113" ht="12.75" customHeight="1">
      <c r="A113" s="702"/>
      <c r="B113" s="702"/>
      <c r="C113" s="702"/>
      <c r="D113" s="702"/>
      <c r="E113" s="702"/>
      <c r="F113" s="702"/>
      <c r="G113" s="702"/>
      <c r="H113" s="702"/>
      <c r="I113" s="702"/>
      <c r="J113" s="702"/>
      <c r="K113" s="702"/>
      <c r="L113" s="702"/>
      <c r="M113" s="702"/>
      <c r="N113" s="702"/>
      <c r="O113" s="702"/>
      <c r="P113" s="702"/>
      <c r="Q113" s="702"/>
      <c r="R113" s="702"/>
      <c r="S113" s="702"/>
      <c r="T113" s="702"/>
      <c r="U113" s="702"/>
      <c r="V113" s="702"/>
      <c r="W113" s="702"/>
      <c r="X113" s="702"/>
      <c r="Y113" s="702"/>
      <c r="Z113" s="702"/>
      <c r="AA113" s="702"/>
      <c r="AB113" s="702"/>
      <c r="AC113" s="702"/>
      <c r="AD113" s="702"/>
      <c r="AE113" s="702"/>
      <c r="AF113" s="702"/>
      <c r="AG113" s="702"/>
      <c r="AH113" s="702"/>
      <c r="AI113" s="702"/>
      <c r="AJ113" s="702"/>
      <c r="AK113" s="702"/>
      <c r="AL113" s="702"/>
      <c r="AM113" s="702"/>
      <c r="AN113" s="702"/>
      <c r="AO113" s="702"/>
      <c r="AP113" s="702"/>
      <c r="AQ113" s="702"/>
      <c r="AR113" s="702"/>
      <c r="AS113" s="702"/>
      <c r="AT113" s="702"/>
      <c r="AU113" s="702"/>
      <c r="AV113" s="702"/>
      <c r="AW113" s="702"/>
      <c r="AX113" s="702"/>
      <c r="AY113" s="702"/>
      <c r="AZ113" s="702"/>
      <c r="BA113" s="702"/>
      <c r="BB113" s="702"/>
      <c r="BC113" s="702"/>
      <c r="BD113" s="702"/>
      <c r="BE113" s="702"/>
      <c r="BF113" s="702"/>
      <c r="BG113" s="702"/>
      <c r="BH113" s="702"/>
      <c r="BI113" s="702"/>
      <c r="BJ113" s="702"/>
      <c r="BK113" s="702"/>
      <c r="BL113" s="702"/>
      <c r="BM113" s="702"/>
      <c r="BN113" s="702"/>
      <c r="BO113" s="702"/>
      <c r="BP113" s="702"/>
      <c r="BQ113" s="702"/>
      <c r="BR113" s="244"/>
      <c r="BS113" s="244"/>
      <c r="BT113" s="244"/>
      <c r="BU113" s="244"/>
      <c r="BV113" s="244"/>
      <c r="BW113" s="244"/>
      <c r="BX113" s="244"/>
      <c r="BY113" s="244"/>
      <c r="BZ113" s="244"/>
      <c r="CA113" s="244"/>
      <c r="CB113" s="244"/>
      <c r="CC113" s="244"/>
      <c r="CD113" s="244"/>
      <c r="CE113" s="244"/>
      <c r="CF113" s="244"/>
    </row>
    <row r="114">
      <c r="A114" s="702"/>
      <c r="B114" s="702"/>
      <c r="C114" s="702"/>
      <c r="D114" s="702"/>
      <c r="E114" s="702"/>
      <c r="F114" s="702"/>
      <c r="G114" s="702"/>
      <c r="H114" s="702"/>
      <c r="I114" s="702"/>
      <c r="J114" s="702"/>
      <c r="K114" s="702"/>
      <c r="L114" s="702"/>
      <c r="M114" s="702"/>
      <c r="N114" s="702"/>
      <c r="O114" s="702"/>
      <c r="P114" s="702"/>
      <c r="Q114" s="702"/>
      <c r="R114" s="702"/>
      <c r="S114" s="702"/>
      <c r="T114" s="702"/>
      <c r="U114" s="702"/>
      <c r="V114" s="702"/>
      <c r="W114" s="702"/>
      <c r="X114" s="702"/>
      <c r="Y114" s="702"/>
      <c r="Z114" s="702"/>
      <c r="AA114" s="702"/>
      <c r="AB114" s="702"/>
      <c r="AC114" s="702"/>
      <c r="AD114" s="702"/>
      <c r="AE114" s="702"/>
      <c r="AF114" s="702"/>
      <c r="AG114" s="702"/>
      <c r="AH114" s="702"/>
      <c r="AI114" s="702"/>
      <c r="AJ114" s="702"/>
      <c r="AK114" s="702"/>
      <c r="AL114" s="702"/>
      <c r="AM114" s="702"/>
      <c r="AN114" s="702"/>
      <c r="AO114" s="702"/>
      <c r="AP114" s="702"/>
      <c r="AQ114" s="702"/>
      <c r="AR114" s="702"/>
      <c r="AS114" s="702"/>
      <c r="AT114" s="702"/>
      <c r="AU114" s="702"/>
      <c r="AV114" s="702"/>
      <c r="AW114" s="702"/>
      <c r="AX114" s="702"/>
      <c r="AY114" s="702"/>
      <c r="AZ114" s="702"/>
      <c r="BA114" s="702"/>
      <c r="BB114" s="702"/>
      <c r="BC114" s="702"/>
      <c r="BD114" s="702"/>
      <c r="BE114" s="702"/>
      <c r="BF114" s="702"/>
      <c r="BG114" s="702"/>
      <c r="BH114" s="702"/>
      <c r="BI114" s="702"/>
      <c r="BJ114" s="702"/>
      <c r="BK114" s="702"/>
      <c r="BL114" s="702"/>
      <c r="BM114" s="702"/>
      <c r="BN114" s="702"/>
      <c r="BO114" s="702"/>
      <c r="BP114" s="702"/>
      <c r="BQ114" s="702"/>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7"/>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140</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168</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179</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180</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167</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1" t="s">
        <v>40</v>
      </c>
      <c r="F8" s="651"/>
      <c r="G8" s="64"/>
      <c r="H8" s="651" t="s">
        <v>39</v>
      </c>
      <c r="I8" s="651"/>
      <c r="J8" s="1"/>
      <c r="K8" s="651" t="s">
        <v>41</v>
      </c>
      <c r="L8" s="651"/>
      <c r="M8" s="64"/>
      <c r="N8" s="651" t="s">
        <v>42</v>
      </c>
      <c r="O8" s="651"/>
      <c r="P8" s="64"/>
      <c r="Q8" s="651" t="s">
        <v>43</v>
      </c>
      <c r="R8" s="651"/>
      <c r="S8" s="64"/>
      <c r="T8" s="651" t="s">
        <v>44</v>
      </c>
      <c r="U8" s="651"/>
      <c r="V8" s="64"/>
      <c r="W8" s="651" t="s">
        <v>45</v>
      </c>
      <c r="X8" s="651"/>
      <c r="Y8" s="64"/>
      <c r="Z8" s="651" t="s">
        <v>23</v>
      </c>
      <c r="AA8" s="651"/>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2" t="s">
        <v>57</v>
      </c>
      <c r="F9" s="652"/>
      <c r="G9" s="65"/>
      <c r="H9" s="652" t="s">
        <v>57</v>
      </c>
      <c r="I9" s="652"/>
      <c r="J9" s="3"/>
      <c r="K9" s="652" t="s">
        <v>57</v>
      </c>
      <c r="L9" s="652"/>
      <c r="M9" s="79"/>
      <c r="N9" s="652" t="s">
        <v>57</v>
      </c>
      <c r="O9" s="652"/>
      <c r="P9" s="65"/>
      <c r="Q9" s="652" t="s">
        <v>57</v>
      </c>
      <c r="R9" s="652"/>
      <c r="S9" s="65"/>
      <c r="T9" s="652" t="s">
        <v>57</v>
      </c>
      <c r="U9" s="652"/>
      <c r="V9" s="65"/>
      <c r="W9" s="652" t="s">
        <v>57</v>
      </c>
      <c r="X9" s="652"/>
      <c r="Y9" s="1"/>
      <c r="Z9" s="652" t="s">
        <v>57</v>
      </c>
      <c r="AA9" s="652"/>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3" t="s">
        <v>28</v>
      </c>
      <c r="C10" s="1"/>
      <c r="D10" s="17" t="s">
        <v>32</v>
      </c>
      <c r="E10" s="67">
        <v>0.6818181818181818181818181818</v>
      </c>
      <c r="F10" s="73">
        <v>-5.2631578947408310249307477600</v>
      </c>
      <c r="G10" s="66"/>
      <c r="H10" s="67">
        <v>0.6666666666666666666666666667</v>
      </c>
      <c r="I10" s="73">
        <v>8.641975308706355738454542040</v>
      </c>
      <c r="J10" s="66"/>
      <c r="K10" s="67">
        <v>0.6363636363636363636363636364</v>
      </c>
      <c r="L10" s="73">
        <v>-13.402061855612966308853187930</v>
      </c>
      <c r="M10" s="67"/>
      <c r="N10" s="67">
        <v>0.5757575757575757575757575758</v>
      </c>
      <c r="O10" s="73">
        <v>-28.301886792425774296902802170</v>
      </c>
      <c r="P10" s="66"/>
      <c r="Q10" s="67">
        <v>0.8257575757575757575757575758</v>
      </c>
      <c r="R10" s="73">
        <v>-12.800000000027903999999991070</v>
      </c>
      <c r="S10" s="66"/>
      <c r="T10" s="67">
        <v>0.8712121212121212121212121212</v>
      </c>
      <c r="U10" s="73">
        <v>5.5045871559090985607272393600</v>
      </c>
      <c r="V10" s="66"/>
      <c r="W10" s="67">
        <v>0.9015151515151515151515151515</v>
      </c>
      <c r="X10" s="73">
        <v>0.8474576271630853203102752600</v>
      </c>
      <c r="Y10" s="177"/>
      <c r="Z10" s="67">
        <v>0.737012987012987012987012987</v>
      </c>
      <c r="AA10" s="73">
        <v>-6.8399452804917918785240375900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3"/>
      <c r="C11" s="15"/>
      <c r="D11" s="187" t="s">
        <v>26</v>
      </c>
      <c r="E11" s="180">
        <v>0.7841239109390125847047434656</v>
      </c>
      <c r="F11" s="81">
        <v>-8.059023836597276853642453860</v>
      </c>
      <c r="G11" s="181"/>
      <c r="H11" s="180">
        <v>0.6834462729912875121006776379</v>
      </c>
      <c r="I11" s="81">
        <v>0.857142857153663265306123600</v>
      </c>
      <c r="J11" s="181"/>
      <c r="K11" s="180">
        <v>0.6214908034849951597289448209</v>
      </c>
      <c r="L11" s="81">
        <v>-9.193776520466295221156769090</v>
      </c>
      <c r="M11" s="180"/>
      <c r="N11" s="180">
        <v>0.6069699903194578896418199419</v>
      </c>
      <c r="O11" s="81">
        <v>-25.622775800694009700991624550</v>
      </c>
      <c r="P11" s="181"/>
      <c r="Q11" s="180">
        <v>0.7289448209099709583736689255</v>
      </c>
      <c r="R11" s="81">
        <v>-18.152173913047837547258978970</v>
      </c>
      <c r="S11" s="182"/>
      <c r="T11" s="180">
        <v>0.8402710551790900290416263311</v>
      </c>
      <c r="U11" s="81">
        <v>-2.0316027088339089625934305900</v>
      </c>
      <c r="V11" s="181"/>
      <c r="W11" s="180">
        <v>0.8973862536302032913843175218</v>
      </c>
      <c r="X11" s="81">
        <v>5.2213393870053387119425250300</v>
      </c>
      <c r="Y11" s="183"/>
      <c r="Z11" s="180">
        <v>0.7375190153505739178536855207</v>
      </c>
      <c r="AA11" s="81">
        <v>-8.336198006132534381096505670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86.95286195286334840171259926</v>
      </c>
      <c r="F12" s="73">
        <v>3.0409356725881644583032797600</v>
      </c>
      <c r="G12" s="68"/>
      <c r="H12" s="68">
        <v>97.54485363554622873682213017</v>
      </c>
      <c r="I12" s="73">
        <v>7.7186724023753718123508590100</v>
      </c>
      <c r="J12" s="68"/>
      <c r="K12" s="68">
        <v>102.39308977626654890683408459</v>
      </c>
      <c r="L12" s="73">
        <v>-4.6343578380028112263282053500</v>
      </c>
      <c r="M12" s="68"/>
      <c r="N12" s="68">
        <v>94.85766758501187150612993333</v>
      </c>
      <c r="O12" s="73">
        <v>-3.6020583189942676021449469200</v>
      </c>
      <c r="P12" s="68"/>
      <c r="Q12" s="68">
        <v>113.28121856009850905845810707</v>
      </c>
      <c r="R12" s="73">
        <v>6.5391766268105634637523941800</v>
      </c>
      <c r="S12" s="68"/>
      <c r="T12" s="68">
        <v>103.68227202905733140946994753</v>
      </c>
      <c r="U12" s="73">
        <v>7.6924702997678755696949288300</v>
      </c>
      <c r="V12" s="68"/>
      <c r="W12" s="68">
        <v>100.46010264459142193819512335</v>
      </c>
      <c r="X12" s="73">
        <v>-4.1568390834966311221459262400</v>
      </c>
      <c r="Y12" s="174"/>
      <c r="Z12" s="68">
        <v>99.93138775713163706829727514</v>
      </c>
      <c r="AA12" s="73">
        <v>1.6323267125027018646572929900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3" t="s">
        <v>12</v>
      </c>
      <c r="C14" s="1"/>
      <c r="D14" s="17" t="s">
        <v>32</v>
      </c>
      <c r="E14" s="237">
        <v>162.56666666666666666666666667</v>
      </c>
      <c r="F14" s="73">
        <v>9.795487937844278227009511470</v>
      </c>
      <c r="G14" s="70"/>
      <c r="H14" s="237">
        <v>141.94318181818181818181818182</v>
      </c>
      <c r="I14" s="73">
        <v>4.64546943912155473457907400</v>
      </c>
      <c r="J14" s="70"/>
      <c r="K14" s="237">
        <v>143.66666666666666666666666667</v>
      </c>
      <c r="L14" s="73">
        <v>2.5510829837527001178554827300</v>
      </c>
      <c r="M14" s="70"/>
      <c r="N14" s="237">
        <v>139.72368421052631578947368421</v>
      </c>
      <c r="O14" s="73">
        <v>-0.997924289334281620770125700</v>
      </c>
      <c r="P14" s="70"/>
      <c r="Q14" s="237">
        <v>140.22935779816513761467889908</v>
      </c>
      <c r="R14" s="73">
        <v>-9.557454595889571220087392880</v>
      </c>
      <c r="S14" s="70"/>
      <c r="T14" s="237">
        <v>187.02608695652173913043478261</v>
      </c>
      <c r="U14" s="73">
        <v>-10.162861456619011699865989600</v>
      </c>
      <c r="V14" s="70"/>
      <c r="W14" s="237">
        <v>197.89915966386554621848739496</v>
      </c>
      <c r="X14" s="73">
        <v>4.1063743940709389964496954500</v>
      </c>
      <c r="Y14" s="178"/>
      <c r="Z14" s="237">
        <v>161.75036710719530102790014684</v>
      </c>
      <c r="AA14" s="73">
        <v>0.1130495955687649177983963100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3"/>
      <c r="C15" s="15"/>
      <c r="D15" s="187" t="s">
        <v>26</v>
      </c>
      <c r="E15" s="238">
        <v>181.6984320987654320987654321</v>
      </c>
      <c r="F15" s="81">
        <v>2.6003641723708293951793891500</v>
      </c>
      <c r="G15" s="184"/>
      <c r="H15" s="238">
        <v>162.30720963172804532577903684</v>
      </c>
      <c r="I15" s="81">
        <v>4.9822415399456977354534622900</v>
      </c>
      <c r="J15" s="184"/>
      <c r="K15" s="238">
        <v>151.69408099688473520249221184</v>
      </c>
      <c r="L15" s="81">
        <v>1.6959888586306292532329173500</v>
      </c>
      <c r="M15" s="184"/>
      <c r="N15" s="238">
        <v>151.30185007974481658692185008</v>
      </c>
      <c r="O15" s="81">
        <v>-0.7326321901467233615938997600</v>
      </c>
      <c r="P15" s="184"/>
      <c r="Q15" s="238">
        <v>165.87624169986719787516600265</v>
      </c>
      <c r="R15" s="81">
        <v>-1.9452405076215944752835479700</v>
      </c>
      <c r="S15" s="184"/>
      <c r="T15" s="238">
        <v>195.91186635944700460829493088</v>
      </c>
      <c r="U15" s="81">
        <v>-3.225847431040012725704602200</v>
      </c>
      <c r="V15" s="184"/>
      <c r="W15" s="238">
        <v>203.39514563106796116504854369</v>
      </c>
      <c r="X15" s="81">
        <v>3.8053456614102643668370873700</v>
      </c>
      <c r="Y15" s="186"/>
      <c r="Z15" s="238">
        <v>175.7963791486967935495968498</v>
      </c>
      <c r="AA15" s="81">
        <v>1.6875217690819504017426615200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89.47059409861595266668790264</v>
      </c>
      <c r="F16" s="73">
        <v>7.0127663029477893673809446100</v>
      </c>
      <c r="G16" s="68"/>
      <c r="H16" s="68">
        <v>87.45340526786992998239766055</v>
      </c>
      <c r="I16" s="73">
        <v>-0.3207895886699695362126184900</v>
      </c>
      <c r="J16" s="68"/>
      <c r="K16" s="68">
        <v>94.70815586377600290049795862</v>
      </c>
      <c r="L16" s="73">
        <v>0.8408336796059683585767279600</v>
      </c>
      <c r="M16" s="68"/>
      <c r="N16" s="68">
        <v>92.34763761112322725294401363</v>
      </c>
      <c r="O16" s="73">
        <v>-0.2672500590711521342344201400</v>
      </c>
      <c r="P16" s="68"/>
      <c r="Q16" s="68">
        <v>84.53854292880912080467501224</v>
      </c>
      <c r="R16" s="73">
        <v>-7.7632275349839483643986859300</v>
      </c>
      <c r="S16" s="68"/>
      <c r="T16" s="68">
        <v>95.46439959559299332275951300</v>
      </c>
      <c r="U16" s="73">
        <v>-7.1682508618798255823820168200</v>
      </c>
      <c r="V16" s="68"/>
      <c r="W16" s="68">
        <v>97.29787751316219530850688711</v>
      </c>
      <c r="X16" s="73">
        <v>0.2899934784236141768980327800</v>
      </c>
      <c r="Y16" s="174"/>
      <c r="Z16" s="68">
        <v>92.01006749426638114310991473</v>
      </c>
      <c r="AA16" s="73">
        <v>-1.5483435392571326912068934900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3" t="s">
        <v>13</v>
      </c>
      <c r="C18" s="1"/>
      <c r="D18" s="17" t="s">
        <v>32</v>
      </c>
      <c r="E18" s="237">
        <v>110.84090909090909090909090909</v>
      </c>
      <c r="F18" s="73">
        <v>4.016778046358823647265540100</v>
      </c>
      <c r="G18" s="70"/>
      <c r="H18" s="237">
        <v>94.62878787878787878787878788</v>
      </c>
      <c r="I18" s="73">
        <v>13.688905069693966414166382220</v>
      </c>
      <c r="J18" s="70"/>
      <c r="K18" s="237">
        <v>91.42424242424242424242424242</v>
      </c>
      <c r="L18" s="73">
        <v>-11.192876591386800242375042520</v>
      </c>
      <c r="M18" s="70"/>
      <c r="N18" s="237">
        <v>80.4469696969696969696969697</v>
      </c>
      <c r="O18" s="73">
        <v>-29.017379679123507785467121880</v>
      </c>
      <c r="P18" s="70"/>
      <c r="Q18" s="237">
        <v>115.79545454545454545454545455</v>
      </c>
      <c r="R18" s="73">
        <v>-21.134100407638493836113576410</v>
      </c>
      <c r="S18" s="70"/>
      <c r="T18" s="237">
        <v>162.93939393939393939393939394</v>
      </c>
      <c r="U18" s="73">
        <v>-5.217697867094735535103097400</v>
      </c>
      <c r="V18" s="70"/>
      <c r="W18" s="237">
        <v>178.40909090909090909090909091</v>
      </c>
      <c r="X18" s="73">
        <v>4.988631804210778508150778200</v>
      </c>
      <c r="Y18" s="178"/>
      <c r="Z18" s="237">
        <v>119.21212121212121212121212121</v>
      </c>
      <c r="AA18" s="73">
        <v>-6.7346282152981918114881103700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3" t="s"/>
      <c r="C19" s="15"/>
      <c r="D19" s="187" t="s">
        <v>26</v>
      </c>
      <c r="E19" s="238">
        <v>142.47408518877057115198451113</v>
      </c>
      <c r="F19" s="81">
        <v>-5.6682236326919115407909799400</v>
      </c>
      <c r="G19" s="184"/>
      <c r="H19" s="238">
        <v>110.92825750242013552758954501</v>
      </c>
      <c r="I19" s="81">
        <v>5.8820893245369192209704661500</v>
      </c>
      <c r="J19" s="184"/>
      <c r="K19" s="238">
        <v>94.2764762826718296224588577</v>
      </c>
      <c r="L19" s="81">
        <v>-7.6537130873481949586790913500</v>
      </c>
      <c r="M19" s="184"/>
      <c r="N19" s="238">
        <v>91.83568247821878025169409487</v>
      </c>
      <c r="O19" s="81">
        <v>-26.167687287332178810729876180</v>
      </c>
      <c r="P19" s="184"/>
      <c r="Q19" s="238">
        <v>120.91462729912875121006776379</v>
      </c>
      <c r="R19" s="81">
        <v>-19.744310980670549306607019870</v>
      </c>
      <c r="S19" s="184"/>
      <c r="T19" s="238">
        <v>164.61907066795740561471442401</v>
      </c>
      <c r="U19" s="81">
        <v>-5.1919137360558624630332360800</v>
      </c>
      <c r="V19" s="184"/>
      <c r="W19" s="238">
        <v>182.52400774443368828654404647</v>
      </c>
      <c r="X19" s="81">
        <v>9.225375060268811328630079940</v>
      </c>
      <c r="Y19" s="186"/>
      <c r="Z19" s="238">
        <v>129.65317245194302309500760614</v>
      </c>
      <c r="AA19" s="81">
        <v>-6.7893513931482377983245300300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77.797242174973713768886838260</v>
      </c>
      <c r="F20" s="73">
        <v>10.266955687713967809944431390</v>
      </c>
      <c r="G20" s="68"/>
      <c r="H20" s="68">
        <v>85.30629616780965632661394337</v>
      </c>
      <c r="I20" s="73">
        <v>7.3731221161635569232877971300</v>
      </c>
      <c r="J20" s="68"/>
      <c r="K20" s="68">
        <v>96.97460705902415156731459281</v>
      </c>
      <c r="L20" s="73">
        <v>-3.8324913998526060803337896900</v>
      </c>
      <c r="M20" s="68"/>
      <c r="N20" s="68">
        <v>87.59881510769655211434272083</v>
      </c>
      <c r="O20" s="73">
        <v>-3.8596818752122535366729675800</v>
      </c>
      <c r="P20" s="68"/>
      <c r="Q20" s="68">
        <v>95.76629158275248810926139037</v>
      </c>
      <c r="R20" s="73">
        <v>-1.7317020686389601272415374500</v>
      </c>
      <c r="S20" s="68"/>
      <c r="T20" s="68">
        <v>98.97965847954907092510703660</v>
      </c>
      <c r="U20" s="73">
        <v>-0.0271961307455549501685244300</v>
      </c>
      <c r="V20" s="68"/>
      <c r="W20" s="68">
        <v>97.74554762074287170459672954</v>
      </c>
      <c r="X20" s="73">
        <v>-3.8789001673656697849705892100</v>
      </c>
      <c r="Y20" s="174"/>
      <c r="Z20" s="68">
        <v>91.94693732337917837973267180</v>
      </c>
      <c r="AA20" s="73">
        <v>0.0587091482278623974019262500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1" t="s">
        <v>40</v>
      </c>
      <c r="F25" s="651"/>
      <c r="G25" s="64"/>
      <c r="H25" s="651" t="s">
        <v>39</v>
      </c>
      <c r="I25" s="651"/>
      <c r="J25" s="1"/>
      <c r="K25" s="651" t="s">
        <v>41</v>
      </c>
      <c r="L25" s="651"/>
      <c r="M25" s="64"/>
      <c r="N25" s="651" t="s">
        <v>42</v>
      </c>
      <c r="O25" s="651"/>
      <c r="P25" s="64"/>
      <c r="Q25" s="651" t="s">
        <v>43</v>
      </c>
      <c r="R25" s="651"/>
      <c r="S25" s="64"/>
      <c r="T25" s="651" t="s">
        <v>44</v>
      </c>
      <c r="U25" s="651"/>
      <c r="V25" s="64"/>
      <c r="W25" s="651" t="s">
        <v>45</v>
      </c>
      <c r="X25" s="651"/>
      <c r="Y25" s="64"/>
      <c r="Z25" s="651" t="s">
        <v>23</v>
      </c>
      <c r="AA25" s="651"/>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2" t="s">
        <v>57</v>
      </c>
      <c r="F26" s="652"/>
      <c r="G26" s="65"/>
      <c r="H26" s="652" t="s">
        <v>57</v>
      </c>
      <c r="I26" s="652"/>
      <c r="J26" s="3"/>
      <c r="K26" s="652" t="s">
        <v>57</v>
      </c>
      <c r="L26" s="652"/>
      <c r="M26" s="65"/>
      <c r="N26" s="652" t="s">
        <v>57</v>
      </c>
      <c r="O26" s="652"/>
      <c r="P26" s="65"/>
      <c r="Q26" s="652" t="s">
        <v>57</v>
      </c>
      <c r="R26" s="652"/>
      <c r="S26" s="65"/>
      <c r="T26" s="652" t="s">
        <v>57</v>
      </c>
      <c r="U26" s="652"/>
      <c r="V26" s="65"/>
      <c r="W26" s="652" t="s">
        <v>57</v>
      </c>
      <c r="X26" s="652"/>
      <c r="Y26" s="1"/>
      <c r="Z26" s="652" t="s">
        <v>57</v>
      </c>
      <c r="AA26" s="652"/>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3" t="s">
        <v>28</v>
      </c>
      <c r="C27" s="1"/>
      <c r="D27" s="17" t="s">
        <v>32</v>
      </c>
      <c r="E27" s="67">
        <v>0.7803030303030303030303030303</v>
      </c>
      <c r="F27" s="73">
        <v>-1.1990407674202094439556150800</v>
      </c>
      <c r="G27" s="66"/>
      <c r="H27" s="67">
        <v>0.7348484848484848484848484848</v>
      </c>
      <c r="I27" s="73">
        <v>-4.1975308641407590306355402100</v>
      </c>
      <c r="J27" s="66"/>
      <c r="K27" s="67">
        <v>0.7234848484848484848484848485</v>
      </c>
      <c r="L27" s="73">
        <v>-6.3725490195747981545559283600</v>
      </c>
      <c r="M27" s="67"/>
      <c r="N27" s="67">
        <v>0.7424242424242424242424242424</v>
      </c>
      <c r="O27" s="73">
        <v>-8.411214953264180277753515080</v>
      </c>
      <c r="P27" s="66"/>
      <c r="Q27" s="67">
        <v>0.8371212121212121212121212121</v>
      </c>
      <c r="R27" s="73">
        <v>-0.2257336342934944891438904800</v>
      </c>
      <c r="S27" s="66"/>
      <c r="T27" s="67">
        <v>0.8011363636363636363636363636</v>
      </c>
      <c r="U27" s="73">
        <v>-6.4159292035828882449682627500</v>
      </c>
      <c r="V27" s="66"/>
      <c r="W27" s="67">
        <v>0.875</v>
      </c>
      <c r="X27" s="73">
        <v>-1.9108280254277252626881160400</v>
      </c>
      <c r="Y27" s="177"/>
      <c r="Z27" s="67">
        <v>0.7849025974025974025974025974</v>
      </c>
      <c r="AA27" s="73">
        <v>-4.0674603174816358024691310700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3"/>
      <c r="C28" s="15"/>
      <c r="D28" s="187" t="s">
        <v>26</v>
      </c>
      <c r="E28" s="180">
        <v>0.8051790900290416263310745402</v>
      </c>
      <c r="F28" s="81">
        <v>-4.1486603283978321427050556700</v>
      </c>
      <c r="G28" s="181"/>
      <c r="H28" s="180">
        <v>0.7035333978702807357212003872</v>
      </c>
      <c r="I28" s="81">
        <v>-4.8756544502148404734656164900</v>
      </c>
      <c r="J28" s="181"/>
      <c r="K28" s="180">
        <v>0.6928848015488867376573088093</v>
      </c>
      <c r="L28" s="81">
        <v>-6.3460909388132316645602461100</v>
      </c>
      <c r="M28" s="180"/>
      <c r="N28" s="180">
        <v>0.7127299128751210067763794773</v>
      </c>
      <c r="O28" s="81">
        <v>-4.5380875202114181392159764200</v>
      </c>
      <c r="P28" s="181"/>
      <c r="Q28" s="180">
        <v>0.7925943852855759922555663117</v>
      </c>
      <c r="R28" s="81">
        <v>-4.630168899214204523676176200</v>
      </c>
      <c r="S28" s="182"/>
      <c r="T28" s="180">
        <v>0.8874636979670861568247821878</v>
      </c>
      <c r="U28" s="81">
        <v>0.6311745334374960387796123800</v>
      </c>
      <c r="V28" s="181"/>
      <c r="W28" s="180">
        <v>0.9455469506292352371732817038</v>
      </c>
      <c r="X28" s="81">
        <v>2.6806833114124643934514587200</v>
      </c>
      <c r="Y28" s="183"/>
      <c r="Z28" s="180">
        <v>0.7914188908864610703913704882</v>
      </c>
      <c r="AA28" s="81">
        <v>-2.8065557065405571546356222400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96.91049357415954007124014655</v>
      </c>
      <c r="F29" s="73">
        <v>3.0772856916738761193295934800</v>
      </c>
      <c r="G29" s="68"/>
      <c r="H29" s="68">
        <v>104.45111590626594519724480991</v>
      </c>
      <c r="I29" s="73">
        <v>0.7128812105359932985939940700</v>
      </c>
      <c r="J29" s="68"/>
      <c r="K29" s="68">
        <v>104.41632532095372933955422042</v>
      </c>
      <c r="L29" s="73">
        <v>-0.0282509092221383966026270900</v>
      </c>
      <c r="M29" s="68"/>
      <c r="N29" s="68">
        <v>104.16628080466860877330119907</v>
      </c>
      <c r="O29" s="73">
        <v>-4.0572489409003528122399439300</v>
      </c>
      <c r="P29" s="68"/>
      <c r="Q29" s="68">
        <v>105.61785796894650564814866887</v>
      </c>
      <c r="R29" s="73">
        <v>4.6182689158830102783352367900</v>
      </c>
      <c r="S29" s="68"/>
      <c r="T29" s="68">
        <v>90.27257852592789516864188049</v>
      </c>
      <c r="U29" s="73">
        <v>-7.0029031953662381976979032800</v>
      </c>
      <c r="V29" s="68"/>
      <c r="W29" s="68">
        <v>92.53903250578191654455992322</v>
      </c>
      <c r="X29" s="73">
        <v>-4.4716408079461133783459423100</v>
      </c>
      <c r="Y29" s="174"/>
      <c r="Z29" s="68">
        <v>99.17663154639794446861343042</v>
      </c>
      <c r="AA29" s="73">
        <v>-1.2973144639478073857503082500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3" t="s">
        <v>12</v>
      </c>
      <c r="C31" s="1"/>
      <c r="D31" s="17" t="s">
        <v>32</v>
      </c>
      <c r="E31" s="237">
        <v>179.4296116504854368932038835</v>
      </c>
      <c r="F31" s="73">
        <v>-0.0104930398858384611310696800</v>
      </c>
      <c r="G31" s="70"/>
      <c r="H31" s="237">
        <v>157.00515463917525773195876289</v>
      </c>
      <c r="I31" s="73">
        <v>4.5565108340737567495695012900</v>
      </c>
      <c r="J31" s="70"/>
      <c r="K31" s="237">
        <v>159.85078534031413612565445026</v>
      </c>
      <c r="L31" s="73">
        <v>13.418639755919435231259101260</v>
      </c>
      <c r="M31" s="70"/>
      <c r="N31" s="237">
        <v>153.72704081632653061224489796</v>
      </c>
      <c r="O31" s="73">
        <v>6.2652197644772402820464909400</v>
      </c>
      <c r="P31" s="70"/>
      <c r="Q31" s="237">
        <v>164.22850678733031674208144796</v>
      </c>
      <c r="R31" s="73">
        <v>-0.569593403304434266331844900</v>
      </c>
      <c r="S31" s="70"/>
      <c r="T31" s="237">
        <v>227.9810874704491725768321513</v>
      </c>
      <c r="U31" s="73">
        <v>-3.6678618161615969566868741100</v>
      </c>
      <c r="V31" s="70"/>
      <c r="W31" s="237">
        <v>251.0974025974025974025974026</v>
      </c>
      <c r="X31" s="73">
        <v>1.6649846328537663055732302500</v>
      </c>
      <c r="Y31" s="178"/>
      <c r="Z31" s="237">
        <v>186.55601516718372974836263357</v>
      </c>
      <c r="AA31" s="73">
        <v>2.2862315181053998822924266400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3"/>
      <c r="C32" s="15"/>
      <c r="D32" s="187" t="s">
        <v>26</v>
      </c>
      <c r="E32" s="238">
        <v>198.47394048692515779981965734</v>
      </c>
      <c r="F32" s="81">
        <v>4.8522827408441239814729385800</v>
      </c>
      <c r="G32" s="184"/>
      <c r="H32" s="238">
        <v>185.50226350189198486412108703</v>
      </c>
      <c r="I32" s="81">
        <v>12.325224576523166815673472680</v>
      </c>
      <c r="J32" s="184"/>
      <c r="K32" s="238">
        <v>185.19556758644778204680405169</v>
      </c>
      <c r="L32" s="81">
        <v>10.112609991579495548579236620</v>
      </c>
      <c r="M32" s="184"/>
      <c r="N32" s="238">
        <v>179.7871103565365025466893039</v>
      </c>
      <c r="O32" s="81">
        <v>12.474829574185603325957485810</v>
      </c>
      <c r="P32" s="184"/>
      <c r="Q32" s="238">
        <v>185.35394809160305343511450382</v>
      </c>
      <c r="R32" s="81">
        <v>-1.091024590663829532876854900</v>
      </c>
      <c r="S32" s="184"/>
      <c r="T32" s="238">
        <v>236.26096809380965366784837742</v>
      </c>
      <c r="U32" s="81">
        <v>-2.2739041291770829130172532300</v>
      </c>
      <c r="V32" s="184"/>
      <c r="W32" s="238">
        <v>249.53988738162272843614026106</v>
      </c>
      <c r="X32" s="81">
        <v>-1.2353771960062941701229686900</v>
      </c>
      <c r="Y32" s="186"/>
      <c r="Z32" s="238">
        <v>205.65380804683063212616312088</v>
      </c>
      <c r="AA32" s="81">
        <v>4.053832442160044785318586500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90.40461997696289106034352264</v>
      </c>
      <c r="F33" s="73">
        <v>-4.6377395451521129383801494100</v>
      </c>
      <c r="G33" s="68"/>
      <c r="H33" s="68">
        <v>84.63786461428657354592728082</v>
      </c>
      <c r="I33" s="73">
        <v>-6.9162681594834175827784396400</v>
      </c>
      <c r="J33" s="68"/>
      <c r="K33" s="68">
        <v>86.31458485945584783344482461</v>
      </c>
      <c r="L33" s="73">
        <v>3.00240795727836148178140200</v>
      </c>
      <c r="M33" s="68"/>
      <c r="N33" s="68">
        <v>85.50504010632412002907183394</v>
      </c>
      <c r="O33" s="73">
        <v>-5.5208883918392554683397079500</v>
      </c>
      <c r="P33" s="68"/>
      <c r="Q33" s="68">
        <v>88.60264832674095017106770103</v>
      </c>
      <c r="R33" s="73">
        <v>0.5271828822766005470415644700</v>
      </c>
      <c r="S33" s="68"/>
      <c r="T33" s="68">
        <v>96.49545132649098400061732089</v>
      </c>
      <c r="U33" s="73">
        <v>-1.4263924845878164857269693400</v>
      </c>
      <c r="V33" s="68"/>
      <c r="W33" s="68">
        <v>100.62415481234101169513798088</v>
      </c>
      <c r="X33" s="73">
        <v>2.9366404148657021805249942200</v>
      </c>
      <c r="Y33" s="174"/>
      <c r="Z33" s="68">
        <v>90.71362059326893441754930804</v>
      </c>
      <c r="AA33" s="73">
        <v>-1.6987369735077559006635572500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3" t="s">
        <v>13</v>
      </c>
      <c r="C35" s="1"/>
      <c r="D35" s="17" t="s">
        <v>32</v>
      </c>
      <c r="E35" s="237">
        <v>140.0094696969696969696969697</v>
      </c>
      <c r="F35" s="73">
        <v>-1.2094079914578421052528175500</v>
      </c>
      <c r="G35" s="70"/>
      <c r="H35" s="237">
        <v>115.375000000</v>
      </c>
      <c r="I35" s="73">
        <v>0.1677190213259933258123640100</v>
      </c>
      <c r="J35" s="70"/>
      <c r="K35" s="237">
        <v>115.64962121212121212121212121</v>
      </c>
      <c r="L35" s="73">
        <v>6.1909813401010398488749428400</v>
      </c>
      <c r="M35" s="70"/>
      <c r="N35" s="237">
        <v>114.13068181818181818181818182</v>
      </c>
      <c r="O35" s="73">
        <v>-2.6729762904982810873920027800</v>
      </c>
      <c r="P35" s="70"/>
      <c r="Q35" s="237">
        <v>137.47916666666666666666666667</v>
      </c>
      <c r="R35" s="73">
        <v>-0.7940412737135309141802531700</v>
      </c>
      <c r="S35" s="70"/>
      <c r="T35" s="237">
        <v>182.64393939393939393939393939</v>
      </c>
      <c r="U35" s="73">
        <v>-9.848463602288776653249095680</v>
      </c>
      <c r="V35" s="70"/>
      <c r="W35" s="237">
        <v>219.71022727272727272727272727</v>
      </c>
      <c r="X35" s="73">
        <v>-0.2776583856408111189360418400</v>
      </c>
      <c r="Y35" s="178"/>
      <c r="Z35" s="237">
        <v>146.42830086580086580086580087</v>
      </c>
      <c r="AA35" s="73">
        <v>-1.8742203591370590066630605500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3" t="s"/>
      <c r="C36" s="15"/>
      <c r="D36" s="187" t="s">
        <v>26</v>
      </c>
      <c r="E36" s="238">
        <v>159.80706679574056147144240078</v>
      </c>
      <c r="F36" s="81">
        <v>0.5023176833432121465851682100</v>
      </c>
      <c r="G36" s="184"/>
      <c r="H36" s="238">
        <v>130.50703775411423039690222652</v>
      </c>
      <c r="I36" s="81">
        <v>6.8486347656662250036472087700</v>
      </c>
      <c r="J36" s="184"/>
      <c r="K36" s="238">
        <v>128.31919409486931268151016457</v>
      </c>
      <c r="L36" s="81">
        <v>3.1247636263507953577839719100</v>
      </c>
      <c r="M36" s="184"/>
      <c r="N36" s="238">
        <v>128.139651500484027105517909</v>
      </c>
      <c r="O36" s="81">
        <v>7.3706233698425856272982103900</v>
      </c>
      <c r="P36" s="184"/>
      <c r="Q36" s="238">
        <v>146.91049854791868344627299129</v>
      </c>
      <c r="R36" s="81">
        <v>-5.6706772086415206675613821100</v>
      </c>
      <c r="S36" s="184"/>
      <c r="T36" s="238">
        <v>209.67303242981606969990319458</v>
      </c>
      <c r="U36" s="81">
        <v>-1.6570818994578345505038281600</v>
      </c>
      <c r="V36" s="184"/>
      <c r="W36" s="238">
        <v>235.95167957405614714424007744</v>
      </c>
      <c r="X36" s="81">
        <v>1.4121895651042078168204268100</v>
      </c>
      <c r="Y36" s="186"/>
      <c r="Z36" s="238">
        <v>162.7583086709998617065412806</v>
      </c>
      <c r="AA36" s="81">
        <v>1.1335036699364729245890402600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87.61156343352457689770858525</v>
      </c>
      <c r="F37" s="73">
        <v>-1.7031703488818156193341207500</v>
      </c>
      <c r="G37" s="68"/>
      <c r="H37" s="68">
        <v>88.40519406883510160981932243</v>
      </c>
      <c r="I37" s="73">
        <v>-6.2526917250224201025886544500</v>
      </c>
      <c r="J37" s="68"/>
      <c r="K37" s="68">
        <v>90.12651772625001587759416268</v>
      </c>
      <c r="L37" s="73">
        <v>2.9733088405223371776232537500</v>
      </c>
      <c r="M37" s="68"/>
      <c r="N37" s="68">
        <v>89.06742017925378943372724318</v>
      </c>
      <c r="O37" s="73">
        <v>-9.354141146846969165088086440</v>
      </c>
      <c r="P37" s="68"/>
      <c r="Q37" s="68">
        <v>93.58021926652283576452654154</v>
      </c>
      <c r="R37" s="73">
        <v>5.1697985213374051215512771500</v>
      </c>
      <c r="S37" s="68"/>
      <c r="T37" s="68">
        <v>87.10893207264976446334083237</v>
      </c>
      <c r="U37" s="73">
        <v>-8.329406795155451310523716880</v>
      </c>
      <c r="V37" s="68"/>
      <c r="W37" s="68">
        <v>93.11661933041161413027268628</v>
      </c>
      <c r="X37" s="73">
        <v>-1.6663164044157607104711355100</v>
      </c>
      <c r="Y37" s="174"/>
      <c r="Z37" s="68">
        <v>89.96671325811780977650326598</v>
      </c>
      <c r="AA37" s="73">
        <v>-2.974013477175202222036483800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142</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168</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179</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180</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167</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51" t="s">
        <v>21</v>
      </c>
      <c r="E8" s="651"/>
      <c r="F8" s="651"/>
      <c r="G8" s="1"/>
      <c r="H8" s="651" t="s">
        <v>24</v>
      </c>
      <c r="I8" s="651"/>
      <c r="J8" s="651"/>
      <c r="K8" s="1"/>
      <c r="L8" s="651" t="s">
        <v>25</v>
      </c>
      <c r="M8" s="651"/>
      <c r="N8" s="651"/>
      <c r="O8" s="1"/>
      <c r="P8" s="651" t="s">
        <v>23</v>
      </c>
      <c r="Q8" s="651"/>
      <c r="R8" s="651"/>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0.737012987012987012987012987</v>
      </c>
      <c r="F10" s="73">
        <v>4.930662557774087905774203300</v>
      </c>
      <c r="G10" s="66"/>
      <c r="H10" s="17" t="s">
        <v>32</v>
      </c>
      <c r="I10" s="19">
        <v>0</v>
      </c>
      <c r="J10" s="73">
        <v>-100</v>
      </c>
      <c r="K10" s="1"/>
      <c r="L10" s="17" t="s">
        <v>32</v>
      </c>
      <c r="M10" s="19">
        <v>0</v>
      </c>
      <c r="N10" s="73">
        <v>0</v>
      </c>
      <c r="O10" s="1"/>
      <c r="P10" s="17" t="s">
        <v>32</v>
      </c>
      <c r="Q10" s="19">
        <v>0.737012987012987012987012987</v>
      </c>
      <c r="R10" s="73">
        <v>-6.8399452804917918785240375900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0.6550961139538099847877195409</v>
      </c>
      <c r="F11" s="81">
        <v>-11.325346312236779332938149590</v>
      </c>
      <c r="G11" s="181"/>
      <c r="H11" s="187" t="s">
        <v>27</v>
      </c>
      <c r="I11" s="190">
        <v>0.0824229013967639330659659798</v>
      </c>
      <c r="J11" s="81">
        <v>34.841628959222935648328269690</v>
      </c>
      <c r="K11" s="191"/>
      <c r="L11" s="187" t="s">
        <v>27</v>
      </c>
      <c r="M11" s="190">
        <v>0</v>
      </c>
      <c r="N11" s="81">
        <v>-100</v>
      </c>
      <c r="O11" s="191"/>
      <c r="P11" s="187" t="s">
        <v>27</v>
      </c>
      <c r="Q11" s="190">
        <v>0.7375190153505739178536855207</v>
      </c>
      <c r="R11" s="81">
        <v>-8.336198006132534381096505670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112.50455792884448550312747701</v>
      </c>
      <c r="F12" s="73">
        <v>18.332193241233334837988584540</v>
      </c>
      <c r="G12" s="68"/>
      <c r="H12" s="406" t="s">
        <v>91</v>
      </c>
      <c r="I12" s="74">
        <v>0</v>
      </c>
      <c r="J12" s="73">
        <v>-100</v>
      </c>
      <c r="K12" s="1"/>
      <c r="L12" s="406" t="s">
        <v>91</v>
      </c>
      <c r="M12" s="74">
        <v>0</v>
      </c>
      <c r="N12" s="73">
        <v>0</v>
      </c>
      <c r="O12" s="1"/>
      <c r="P12" s="406" t="s">
        <v>91</v>
      </c>
      <c r="Q12" s="74">
        <v>99.93138775713163706829727514</v>
      </c>
      <c r="R12" s="73">
        <v>1.6323267125027018646572929900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161.75036710719530102790014684</v>
      </c>
      <c r="F14" s="73">
        <v>0.7505117881452185021495407200</v>
      </c>
      <c r="G14" s="70"/>
      <c r="H14" s="76" t="s">
        <v>32</v>
      </c>
      <c r="I14" s="239">
        <v>0</v>
      </c>
      <c r="J14" s="73">
        <v>-100</v>
      </c>
      <c r="K14" s="77"/>
      <c r="L14" s="76" t="s">
        <v>32</v>
      </c>
      <c r="M14" s="239">
        <v>0</v>
      </c>
      <c r="N14" s="73">
        <v>0</v>
      </c>
      <c r="O14" s="77"/>
      <c r="P14" s="76" t="s">
        <v>32</v>
      </c>
      <c r="Q14" s="239">
        <v>161.75036710719530102790014684</v>
      </c>
      <c r="R14" s="73">
        <v>0.1130495955687649177983963100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171.93223323466539616018691537</v>
      </c>
      <c r="F15" s="81">
        <v>0.5706971519039633034395162900</v>
      </c>
      <c r="G15" s="184"/>
      <c r="H15" s="189" t="s">
        <v>27</v>
      </c>
      <c r="I15" s="240">
        <v>206.50855900568795031744057369</v>
      </c>
      <c r="J15" s="81">
        <v>5.1757856094520971102835934200</v>
      </c>
      <c r="K15" s="188"/>
      <c r="L15" s="189" t="s">
        <v>27</v>
      </c>
      <c r="M15" s="240">
        <v>0</v>
      </c>
      <c r="N15" s="81">
        <v>-100</v>
      </c>
      <c r="O15" s="188"/>
      <c r="P15" s="189" t="s">
        <v>27</v>
      </c>
      <c r="Q15" s="240">
        <v>175.7963791486967935495968498</v>
      </c>
      <c r="R15" s="81">
        <v>1.6875217690819504017426615200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94.07797715649647186377375054</v>
      </c>
      <c r="F16" s="73">
        <v>0.1787942625386101550478375400</v>
      </c>
      <c r="G16" s="68"/>
      <c r="H16" s="406" t="s">
        <v>92</v>
      </c>
      <c r="I16" s="74">
        <v>0</v>
      </c>
      <c r="J16" s="73">
        <v>-100</v>
      </c>
      <c r="K16" s="1"/>
      <c r="L16" s="406" t="s">
        <v>92</v>
      </c>
      <c r="M16" s="74">
        <v>0</v>
      </c>
      <c r="N16" s="73">
        <v>0</v>
      </c>
      <c r="O16" s="1"/>
      <c r="P16" s="406" t="s">
        <v>92</v>
      </c>
      <c r="Q16" s="74">
        <v>92.01006749426638114310991473</v>
      </c>
      <c r="R16" s="73">
        <v>-1.5483435392571326912068934900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119.21212121212121212121212121</v>
      </c>
      <c r="F18" s="73">
        <v>5.718179549657346907699001200</v>
      </c>
      <c r="G18" s="70"/>
      <c r="H18" s="76" t="s">
        <v>32</v>
      </c>
      <c r="I18" s="239">
        <v>0</v>
      </c>
      <c r="J18" s="73">
        <v>-100</v>
      </c>
      <c r="K18" s="77"/>
      <c r="L18" s="76" t="s">
        <v>32</v>
      </c>
      <c r="M18" s="239">
        <v>0</v>
      </c>
      <c r="N18" s="73">
        <v>0</v>
      </c>
      <c r="O18" s="77"/>
      <c r="P18" s="76" t="s">
        <v>32</v>
      </c>
      <c r="Q18" s="239">
        <v>119.21212121212121212121212121</v>
      </c>
      <c r="R18" s="73">
        <v>-6.7346282152981918114881103700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112.63213785542939864621842319</v>
      </c>
      <c r="F19" s="81">
        <v>-10.819282589168938691770083990</v>
      </c>
      <c r="G19" s="184"/>
      <c r="H19" s="189" t="s">
        <v>27</v>
      </c>
      <c r="I19" s="240">
        <v>17.021034596513624448789182951</v>
      </c>
      <c r="J19" s="81">
        <v>41.820742586019103352903485590</v>
      </c>
      <c r="K19" s="188"/>
      <c r="L19" s="189" t="s">
        <v>27</v>
      </c>
      <c r="M19" s="240">
        <v>0</v>
      </c>
      <c r="N19" s="81">
        <v>-100</v>
      </c>
      <c r="O19" s="188"/>
      <c r="P19" s="189" t="s">
        <v>27</v>
      </c>
      <c r="Q19" s="240">
        <v>129.65317245194302309500760614</v>
      </c>
      <c r="R19" s="81">
        <v>-6.7893513931482377983245300300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105.84201230839528405218739784</v>
      </c>
      <c r="F20" s="73">
        <v>18.543764413391235326942814990</v>
      </c>
      <c r="G20" s="68"/>
      <c r="H20" s="406" t="s">
        <v>93</v>
      </c>
      <c r="I20" s="74">
        <v>0</v>
      </c>
      <c r="J20" s="73">
        <v>-100</v>
      </c>
      <c r="K20" s="1"/>
      <c r="L20" s="406" t="s">
        <v>93</v>
      </c>
      <c r="M20" s="74">
        <v>0</v>
      </c>
      <c r="N20" s="73">
        <v>0</v>
      </c>
      <c r="O20" s="1"/>
      <c r="P20" s="406" t="s">
        <v>93</v>
      </c>
      <c r="Q20" s="74">
        <v>91.94693732337917837973267180</v>
      </c>
      <c r="R20" s="73">
        <v>0.0587091482278623974019262500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51" t="s">
        <v>21</v>
      </c>
      <c r="E25" s="651"/>
      <c r="F25" s="651"/>
      <c r="G25" s="1"/>
      <c r="H25" s="651" t="s">
        <v>24</v>
      </c>
      <c r="I25" s="651"/>
      <c r="J25" s="651"/>
      <c r="K25" s="1"/>
      <c r="L25" s="651" t="s">
        <v>25</v>
      </c>
      <c r="M25" s="651"/>
      <c r="N25" s="651"/>
      <c r="O25" s="1"/>
      <c r="P25" s="651" t="s">
        <v>23</v>
      </c>
      <c r="Q25" s="651"/>
      <c r="R25" s="651"/>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0.7199675324675324675324675325</v>
      </c>
      <c r="F27" s="73">
        <v>-9.551325628861313932031034880</v>
      </c>
      <c r="G27" s="1"/>
      <c r="H27" s="17" t="s">
        <v>32</v>
      </c>
      <c r="I27" s="19">
        <v>0.0649350649350649350649350649</v>
      </c>
      <c r="J27" s="73">
        <v>192.68292683120999405117290517</v>
      </c>
      <c r="K27" s="1"/>
      <c r="L27" s="17" t="s">
        <v>32</v>
      </c>
      <c r="M27" s="19">
        <v>0</v>
      </c>
      <c r="N27" s="73">
        <v>0</v>
      </c>
      <c r="O27" s="1"/>
      <c r="P27" s="17" t="s">
        <v>32</v>
      </c>
      <c r="Q27" s="19">
        <v>0.7849025974025974025974025974</v>
      </c>
      <c r="R27" s="73">
        <v>-4.0674603174816358024691310700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0.6789863089475867791453464251</v>
      </c>
      <c r="F28" s="81">
        <v>-8.412651995797729845719735310</v>
      </c>
      <c r="G28" s="191"/>
      <c r="H28" s="187" t="s">
        <v>27</v>
      </c>
      <c r="I28" s="190">
        <v>0.1124325819388742912460240631</v>
      </c>
      <c r="J28" s="81">
        <v>68.852026227440026595137877880</v>
      </c>
      <c r="K28" s="191"/>
      <c r="L28" s="187" t="s">
        <v>27</v>
      </c>
      <c r="M28" s="190">
        <v>0</v>
      </c>
      <c r="N28" s="81">
        <v>-100</v>
      </c>
      <c r="O28" s="191"/>
      <c r="P28" s="187" t="s">
        <v>27</v>
      </c>
      <c r="Q28" s="190">
        <v>0.7914188908864610703913704882</v>
      </c>
      <c r="R28" s="81">
        <v>-2.8065557065405571546356222400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106.03564799164028570834120914</v>
      </c>
      <c r="F29" s="73">
        <v>-1.2432652084102295500413475300</v>
      </c>
      <c r="G29" s="75"/>
      <c r="H29" s="406" t="s">
        <v>91</v>
      </c>
      <c r="I29" s="74">
        <v>57.754668455710892437673190930</v>
      </c>
      <c r="J29" s="73">
        <v>73.336934929517025750735865770</v>
      </c>
      <c r="K29" s="75"/>
      <c r="L29" s="406" t="s">
        <v>91</v>
      </c>
      <c r="M29" s="74">
        <v>0</v>
      </c>
      <c r="N29" s="73">
        <v>0</v>
      </c>
      <c r="O29" s="75"/>
      <c r="P29" s="406" t="s">
        <v>91</v>
      </c>
      <c r="Q29" s="74">
        <v>99.17663154639794446861343042</v>
      </c>
      <c r="R29" s="73">
        <v>-1.2973144639478073857503082500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188.53213077790304396843291995</v>
      </c>
      <c r="F31" s="73">
        <v>3.1690416998816977273224915600</v>
      </c>
      <c r="G31" s="77"/>
      <c r="H31" s="76" t="s">
        <v>32</v>
      </c>
      <c r="I31" s="239">
        <v>164.64583333333333333333333333</v>
      </c>
      <c r="J31" s="73">
        <v>-2.9545835729541686193690623200</v>
      </c>
      <c r="K31" s="77"/>
      <c r="L31" s="76" t="s">
        <v>32</v>
      </c>
      <c r="M31" s="239">
        <v>0</v>
      </c>
      <c r="N31" s="73">
        <v>0</v>
      </c>
      <c r="O31" s="77"/>
      <c r="P31" s="76" t="s">
        <v>32</v>
      </c>
      <c r="Q31" s="239">
        <v>186.55601516718372974836263357</v>
      </c>
      <c r="R31" s="73">
        <v>2.2862315181053998822924266400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201.77613438879237497389582505</v>
      </c>
      <c r="F32" s="81">
        <v>3.0683066720300197600819077200</v>
      </c>
      <c r="G32" s="188"/>
      <c r="H32" s="189" t="s">
        <v>27</v>
      </c>
      <c r="I32" s="240">
        <v>229.07128435993436281908360759</v>
      </c>
      <c r="J32" s="81">
        <v>3.454665038228899042119675100</v>
      </c>
      <c r="K32" s="188"/>
      <c r="L32" s="189" t="s">
        <v>27</v>
      </c>
      <c r="M32" s="240">
        <v>0</v>
      </c>
      <c r="N32" s="81">
        <v>-100</v>
      </c>
      <c r="O32" s="188"/>
      <c r="P32" s="189" t="s">
        <v>27</v>
      </c>
      <c r="Q32" s="240">
        <v>205.65380804683063212616312088</v>
      </c>
      <c r="R32" s="81">
        <v>4.053832442160044785318586500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93.43628836432298519900532612</v>
      </c>
      <c r="F33" s="73">
        <v>0.0977361820465618911691319100</v>
      </c>
      <c r="G33" s="75"/>
      <c r="H33" s="406" t="s">
        <v>92</v>
      </c>
      <c r="I33" s="74">
        <v>71.875370059327853808953368190</v>
      </c>
      <c r="J33" s="73">
        <v>-6.1952243610953149902183106300</v>
      </c>
      <c r="K33" s="75"/>
      <c r="L33" s="406" t="s">
        <v>92</v>
      </c>
      <c r="M33" s="74">
        <v>0</v>
      </c>
      <c r="N33" s="73">
        <v>0</v>
      </c>
      <c r="O33" s="75"/>
      <c r="P33" s="406" t="s">
        <v>92</v>
      </c>
      <c r="Q33" s="74">
        <v>90.71362059326893441754930804</v>
      </c>
      <c r="R33" s="73">
        <v>-1.6987369735077559006635572500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135.73701298701298701298701299</v>
      </c>
      <c r="F35" s="73">
        <v>-6.6849694209829967330264674800</v>
      </c>
      <c r="G35" s="77"/>
      <c r="H35" s="76" t="s">
        <v>32</v>
      </c>
      <c r="I35" s="239">
        <v>10.691287878787878787878787879</v>
      </c>
      <c r="J35" s="73">
        <v>184.03536515006710627652044112</v>
      </c>
      <c r="K35" s="77"/>
      <c r="L35" s="76" t="s">
        <v>32</v>
      </c>
      <c r="M35" s="239">
        <v>0</v>
      </c>
      <c r="N35" s="73">
        <v>0</v>
      </c>
      <c r="O35" s="77"/>
      <c r="P35" s="76" t="s">
        <v>32</v>
      </c>
      <c r="Q35" s="239">
        <v>146.42830086580086580086580087</v>
      </c>
      <c r="R35" s="73">
        <v>-1.8742203591370590066630605500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137.00323272235836855595146274</v>
      </c>
      <c r="F36" s="81">
        <v>-5.6024712861873787758574176800</v>
      </c>
      <c r="G36" s="188"/>
      <c r="H36" s="189" t="s">
        <v>27</v>
      </c>
      <c r="I36" s="240">
        <v>25.755075948641493150589817863</v>
      </c>
      <c r="J36" s="81">
        <v>74.685298143472953811611395590</v>
      </c>
      <c r="K36" s="188"/>
      <c r="L36" s="189" t="s">
        <v>27</v>
      </c>
      <c r="M36" s="240">
        <v>0</v>
      </c>
      <c r="N36" s="81">
        <v>-100</v>
      </c>
      <c r="O36" s="188"/>
      <c r="P36" s="189" t="s">
        <v>27</v>
      </c>
      <c r="Q36" s="240">
        <v>162.7583086709998617065412806</v>
      </c>
      <c r="R36" s="81">
        <v>1.1335036699364729245890402600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99.07577382648140511786272489</v>
      </c>
      <c r="F37" s="73">
        <v>-1.1467441463363851165207857100</v>
      </c>
      <c r="G37" s="75"/>
      <c r="H37" s="406" t="s">
        <v>93</v>
      </c>
      <c r="I37" s="74">
        <v>41.511381679187158954533807560</v>
      </c>
      <c r="J37" s="73">
        <v>62.598322910861489828567153240</v>
      </c>
      <c r="K37" s="75"/>
      <c r="L37" s="406" t="s">
        <v>93</v>
      </c>
      <c r="M37" s="74">
        <v>0</v>
      </c>
      <c r="N37" s="73">
        <v>0</v>
      </c>
      <c r="O37" s="75"/>
      <c r="P37" s="406" t="s">
        <v>93</v>
      </c>
      <c r="Q37" s="74">
        <v>89.96671325811780977650326598</v>
      </c>
      <c r="R37" s="73">
        <v>-2.974013477175202222036483800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33"/>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2" width="8.28515625" customWidth="1"/>
    <col min="33" max="33" width="0" customWidth="1"/>
    <col min="34" max="34" width="1.7109375" customWidth="1"/>
    <col min="35" max="37" width="8.28515625" customWidth="1"/>
    <col min="38" max="38" width="3.7109375" customWidth="1"/>
    <col min="39" max="40" width="9.28515625" customWidth="1"/>
  </cols>
  <sheetData>
    <row r="1" ht="36" customHeight="1">
      <c r="A1" s="6"/>
      <c r="B1" s="39" t="s">
        <v>144</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168</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179</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180</v>
      </c>
      <c r="T4" s="655"/>
      <c r="U4" s="655"/>
      <c r="V4" s="655"/>
      <c r="W4" s="655"/>
      <c r="X4" s="655"/>
      <c r="Y4" s="655"/>
      <c r="Z4" s="655"/>
      <c r="AA4" s="655"/>
      <c r="AB4" s="655"/>
      <c r="AC4" s="655"/>
      <c r="AD4" s="655"/>
      <c r="AE4" s="655"/>
      <c r="AF4" s="655"/>
      <c r="AG4" s="655"/>
      <c r="AH4" s="655"/>
      <c r="AI4" s="655"/>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167</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6"/>
      <c r="Y22" s="656"/>
      <c r="Z22" s="656"/>
      <c r="AA22" s="656"/>
      <c r="AB22" s="656"/>
      <c r="AC22" s="656"/>
      <c r="AD22" s="656"/>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0" t="s">
        <v>49</v>
      </c>
      <c r="Y23" s="50" t="s">
        <v>47</v>
      </c>
      <c r="Z23" s="50" t="s">
        <v>48</v>
      </c>
      <c r="AA23" s="50" t="s">
        <v>50</v>
      </c>
      <c r="AB23" s="50" t="s">
        <v>51</v>
      </c>
      <c r="AC23" s="50" t="s">
        <v>52</v>
      </c>
      <c r="AD23" s="50" t="s">
        <v>53</v>
      </c>
      <c r="AE23" s="50" t="s">
        <v>49</v>
      </c>
      <c r="AF23" s="50" t="s">
        <v>47</v>
      </c>
      <c r="AG23" s="50"/>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181</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68.181818181818181818181818180</v>
      </c>
      <c r="D26" s="287">
        <v>66.666666666666666666666666670</v>
      </c>
      <c r="E26" s="287">
        <v>63.636363636363636363636363640</v>
      </c>
      <c r="F26" s="287">
        <v>57.575757575757575757575757580</v>
      </c>
      <c r="G26" s="287">
        <v>82.57575757575757575757575758</v>
      </c>
      <c r="H26" s="287">
        <v>87.12121212121212121212121212</v>
      </c>
      <c r="I26" s="287">
        <v>90.15151515151515151515151515</v>
      </c>
      <c r="J26" s="287"/>
      <c r="K26" s="287"/>
      <c r="L26" s="287"/>
      <c r="M26" s="287"/>
      <c r="N26" s="287"/>
      <c r="O26" s="287"/>
      <c r="P26" s="287"/>
      <c r="Q26" s="287"/>
      <c r="R26" s="287"/>
      <c r="S26" s="287"/>
      <c r="T26" s="287"/>
      <c r="U26" s="287"/>
      <c r="V26" s="287"/>
      <c r="W26" s="287"/>
      <c r="X26" s="287"/>
      <c r="Y26" s="287"/>
      <c r="Z26" s="287"/>
      <c r="AA26" s="287"/>
      <c r="AB26" s="287"/>
      <c r="AC26" s="287"/>
      <c r="AD26" s="287"/>
      <c r="AE26" s="287"/>
      <c r="AF26" s="287"/>
      <c r="AG26" s="288"/>
      <c r="AH26" s="218"/>
      <c r="AI26" s="302">
        <v>73.701298701298701298701298700</v>
      </c>
      <c r="AJ26" s="302">
        <v>67.727272727272727272727272730</v>
      </c>
      <c r="AK26" s="302">
        <v>88.63636363636363636363636364</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78.412391093901258470474346560</v>
      </c>
      <c r="D27" s="202">
        <v>68.344627299128751210067763790</v>
      </c>
      <c r="E27" s="202">
        <v>62.149080348499515972894482090</v>
      </c>
      <c r="F27" s="202">
        <v>60.696999031945788964181994190</v>
      </c>
      <c r="G27" s="202">
        <v>72.894482090997095837366892550</v>
      </c>
      <c r="H27" s="202">
        <v>84.02710551790900290416263311</v>
      </c>
      <c r="I27" s="202">
        <v>89.73862536302032913843175218</v>
      </c>
      <c r="J27" s="202"/>
      <c r="K27" s="202"/>
      <c r="L27" s="202"/>
      <c r="M27" s="202"/>
      <c r="N27" s="202"/>
      <c r="O27" s="202"/>
      <c r="P27" s="202"/>
      <c r="Q27" s="202"/>
      <c r="R27" s="202"/>
      <c r="S27" s="202"/>
      <c r="T27" s="202"/>
      <c r="U27" s="202"/>
      <c r="V27" s="202"/>
      <c r="W27" s="202"/>
      <c r="X27" s="202"/>
      <c r="Y27" s="202"/>
      <c r="Z27" s="202"/>
      <c r="AA27" s="202"/>
      <c r="AB27" s="202"/>
      <c r="AC27" s="202"/>
      <c r="AD27" s="202"/>
      <c r="AE27" s="202"/>
      <c r="AF27" s="202"/>
      <c r="AG27" s="290"/>
      <c r="AH27" s="218"/>
      <c r="AI27" s="303">
        <v>73.751901535057391785368552070</v>
      </c>
      <c r="AJ27" s="303">
        <v>68.499515972894482090997095840</v>
      </c>
      <c r="AK27" s="303">
        <v>86.88286544046466602129719264</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86.95286195286334840171259926</v>
      </c>
      <c r="D28" s="292">
        <v>97.54485363554622873682213017</v>
      </c>
      <c r="E28" s="292">
        <v>102.39308977626654890683408459</v>
      </c>
      <c r="F28" s="292">
        <v>94.85766758501187150612993333</v>
      </c>
      <c r="G28" s="292">
        <v>113.28121856009850905845810707</v>
      </c>
      <c r="H28" s="292">
        <v>103.68227202905733140946994753</v>
      </c>
      <c r="I28" s="292">
        <v>100.46010264459142193819512335</v>
      </c>
      <c r="J28" s="292"/>
      <c r="K28" s="292"/>
      <c r="L28" s="292"/>
      <c r="M28" s="292"/>
      <c r="N28" s="292"/>
      <c r="O28" s="292"/>
      <c r="P28" s="292"/>
      <c r="Q28" s="292"/>
      <c r="R28" s="292"/>
      <c r="S28" s="292"/>
      <c r="T28" s="292"/>
      <c r="U28" s="292"/>
      <c r="V28" s="292"/>
      <c r="W28" s="292"/>
      <c r="X28" s="292"/>
      <c r="Y28" s="292"/>
      <c r="Z28" s="292"/>
      <c r="AA28" s="292"/>
      <c r="AB28" s="292"/>
      <c r="AC28" s="292"/>
      <c r="AD28" s="292"/>
      <c r="AE28" s="292"/>
      <c r="AF28" s="292"/>
      <c r="AG28" s="293"/>
      <c r="AH28" s="218"/>
      <c r="AI28" s="304">
        <v>99.93138775713163706829727514</v>
      </c>
      <c r="AJ28" s="304">
        <v>98.87262963152500216624968316</v>
      </c>
      <c r="AK28" s="304">
        <v>102.01823246387342585937275748</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-5.2631578947408310249307477600</v>
      </c>
      <c r="D31" s="287">
        <v>8.641975308706355738454542040</v>
      </c>
      <c r="E31" s="287">
        <v>-13.402061855612966308853187930</v>
      </c>
      <c r="F31" s="287">
        <v>-28.301886792425774296902802170</v>
      </c>
      <c r="G31" s="287">
        <v>-12.800000000027903999999991070</v>
      </c>
      <c r="H31" s="287">
        <v>5.5045871559090985607272393600</v>
      </c>
      <c r="I31" s="287">
        <v>0.8474576271630853203102752600</v>
      </c>
      <c r="J31" s="287"/>
      <c r="K31" s="287"/>
      <c r="L31" s="287"/>
      <c r="M31" s="287"/>
      <c r="N31" s="287"/>
      <c r="O31" s="287"/>
      <c r="P31" s="287"/>
      <c r="Q31" s="287"/>
      <c r="R31" s="287"/>
      <c r="S31" s="287"/>
      <c r="T31" s="287"/>
      <c r="U31" s="287"/>
      <c r="V31" s="287"/>
      <c r="W31" s="287"/>
      <c r="X31" s="287"/>
      <c r="Y31" s="287"/>
      <c r="Z31" s="287"/>
      <c r="AA31" s="287"/>
      <c r="AB31" s="287"/>
      <c r="AC31" s="287"/>
      <c r="AD31" s="287"/>
      <c r="AE31" s="287"/>
      <c r="AF31" s="287"/>
      <c r="AG31" s="288"/>
      <c r="AH31" s="218"/>
      <c r="AI31" s="302">
        <v>-7.2207084468321035867813873800</v>
      </c>
      <c r="AJ31" s="302">
        <v>-11.309523809481575963718800750</v>
      </c>
      <c r="AK31" s="302">
        <v>1.7391304347967637051039717300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-8.059023836597276853642453860</v>
      </c>
      <c r="D32" s="202">
        <v>0.857142857153663265306123600</v>
      </c>
      <c r="E32" s="202">
        <v>-9.193776520466295221156769090</v>
      </c>
      <c r="F32" s="202">
        <v>-25.622775800694009700991624550</v>
      </c>
      <c r="G32" s="202">
        <v>-18.152173913047837547258978970</v>
      </c>
      <c r="H32" s="202">
        <v>-2.0316027088339089625934305900</v>
      </c>
      <c r="I32" s="202">
        <v>5.2213393870053387119425250300</v>
      </c>
      <c r="J32" s="202"/>
      <c r="K32" s="202"/>
      <c r="L32" s="202"/>
      <c r="M32" s="202"/>
      <c r="N32" s="202"/>
      <c r="O32" s="202"/>
      <c r="P32" s="202"/>
      <c r="Q32" s="202"/>
      <c r="R32" s="202"/>
      <c r="S32" s="202"/>
      <c r="T32" s="202"/>
      <c r="U32" s="202"/>
      <c r="V32" s="202"/>
      <c r="W32" s="202"/>
      <c r="X32" s="202"/>
      <c r="Y32" s="202"/>
      <c r="Z32" s="202"/>
      <c r="AA32" s="202"/>
      <c r="AB32" s="202"/>
      <c r="AC32" s="202"/>
      <c r="AD32" s="202"/>
      <c r="AE32" s="202"/>
      <c r="AF32" s="202"/>
      <c r="AG32" s="290"/>
      <c r="AH32" s="218"/>
      <c r="AI32" s="303">
        <v>-10.203738003081993660020132590</v>
      </c>
      <c r="AJ32" s="303">
        <v>-12.663539866675110619044353550</v>
      </c>
      <c r="AK32" s="303">
        <v>-4.9258474576466571881284073600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3.0409356725881644583032797600</v>
      </c>
      <c r="D33" s="292">
        <v>7.7186724023753718123508590100</v>
      </c>
      <c r="E33" s="292">
        <v>-4.6343578380028112263282053500</v>
      </c>
      <c r="F33" s="292">
        <v>-3.6020583189942676021449469200</v>
      </c>
      <c r="G33" s="292">
        <v>6.5391766268105634637523941800</v>
      </c>
      <c r="H33" s="292">
        <v>7.6924702997678755696949288300</v>
      </c>
      <c r="I33" s="292">
        <v>-4.1568390834966311221459262400</v>
      </c>
      <c r="J33" s="292"/>
      <c r="K33" s="292"/>
      <c r="L33" s="292"/>
      <c r="M33" s="292"/>
      <c r="N33" s="292"/>
      <c r="O33" s="292"/>
      <c r="P33" s="292"/>
      <c r="Q33" s="292"/>
      <c r="R33" s="292"/>
      <c r="S33" s="292"/>
      <c r="T33" s="292"/>
      <c r="U33" s="292"/>
      <c r="V33" s="292"/>
      <c r="W33" s="292"/>
      <c r="X33" s="292"/>
      <c r="Y33" s="292"/>
      <c r="Z33" s="292"/>
      <c r="AA33" s="292"/>
      <c r="AB33" s="292"/>
      <c r="AC33" s="292"/>
      <c r="AD33" s="292"/>
      <c r="AE33" s="292"/>
      <c r="AF33" s="292"/>
      <c r="AG33" s="293"/>
      <c r="AH33" s="218"/>
      <c r="AI33" s="304">
        <v>3.3219974749770427032730191500</v>
      </c>
      <c r="AJ33" s="304">
        <v>1.5503445583151071415640981300</v>
      </c>
      <c r="AK33" s="304">
        <v>7.010294295689514898174263700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6"/>
      <c r="Y35" s="656"/>
      <c r="Z35" s="656"/>
      <c r="AA35" s="656"/>
      <c r="AB35" s="656"/>
      <c r="AC35" s="656"/>
      <c r="AD35" s="656"/>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181</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162.56666666666666666666666667</v>
      </c>
      <c r="D38" s="295">
        <v>141.94318181818181818181818182</v>
      </c>
      <c r="E38" s="295">
        <v>143.66666666666666666666666667</v>
      </c>
      <c r="F38" s="295">
        <v>139.72368421052631578947368421</v>
      </c>
      <c r="G38" s="295">
        <v>140.22935779816513761467889908</v>
      </c>
      <c r="H38" s="295">
        <v>187.02608695652173913043478261</v>
      </c>
      <c r="I38" s="295">
        <v>197.89915966386554621848739496</v>
      </c>
      <c r="J38" s="295"/>
      <c r="K38" s="295"/>
      <c r="L38" s="295"/>
      <c r="M38" s="295"/>
      <c r="N38" s="295"/>
      <c r="O38" s="295"/>
      <c r="P38" s="295"/>
      <c r="Q38" s="295"/>
      <c r="R38" s="295"/>
      <c r="S38" s="295"/>
      <c r="T38" s="295"/>
      <c r="U38" s="295"/>
      <c r="V38" s="295"/>
      <c r="W38" s="295"/>
      <c r="X38" s="295"/>
      <c r="Y38" s="295"/>
      <c r="Z38" s="295"/>
      <c r="AA38" s="295"/>
      <c r="AB38" s="295"/>
      <c r="AC38" s="295"/>
      <c r="AD38" s="295"/>
      <c r="AE38" s="295"/>
      <c r="AF38" s="295"/>
      <c r="AG38" s="296"/>
      <c r="AH38" s="218"/>
      <c r="AI38" s="305">
        <v>161.75036710719530102790014684</v>
      </c>
      <c r="AJ38" s="305">
        <v>145.62416107382550335570469799</v>
      </c>
      <c r="AK38" s="305">
        <v>192.55555555555555555555555556</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181.6984320987654320987654321</v>
      </c>
      <c r="D39" s="207">
        <v>162.30720963172804532577903684</v>
      </c>
      <c r="E39" s="207">
        <v>151.69408099688473520249221184</v>
      </c>
      <c r="F39" s="207">
        <v>151.30185007974481658692185008</v>
      </c>
      <c r="G39" s="207">
        <v>165.87624169986719787516600265</v>
      </c>
      <c r="H39" s="207">
        <v>195.91186635944700460829493088</v>
      </c>
      <c r="I39" s="207">
        <v>203.39514563106796116504854369</v>
      </c>
      <c r="J39" s="207"/>
      <c r="K39" s="207"/>
      <c r="L39" s="207"/>
      <c r="M39" s="207"/>
      <c r="N39" s="207"/>
      <c r="O39" s="207"/>
      <c r="P39" s="207"/>
      <c r="Q39" s="207"/>
      <c r="R39" s="207"/>
      <c r="S39" s="207"/>
      <c r="T39" s="207"/>
      <c r="U39" s="207"/>
      <c r="V39" s="207"/>
      <c r="W39" s="207"/>
      <c r="X39" s="207"/>
      <c r="Y39" s="207"/>
      <c r="Z39" s="207"/>
      <c r="AA39" s="207"/>
      <c r="AB39" s="207"/>
      <c r="AC39" s="207"/>
      <c r="AD39" s="207"/>
      <c r="AE39" s="207"/>
      <c r="AF39" s="207"/>
      <c r="AG39" s="298"/>
      <c r="AH39" s="218"/>
      <c r="AI39" s="306">
        <v>175.7963791486967935495968498</v>
      </c>
      <c r="AJ39" s="306">
        <v>163.63009892594686263425664217</v>
      </c>
      <c r="AK39" s="306">
        <v>199.77649025069637883008356546</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89.47059409861595266668790264</v>
      </c>
      <c r="D40" s="292">
        <v>87.45340526786992998239766055</v>
      </c>
      <c r="E40" s="292">
        <v>94.70815586377600290049795862</v>
      </c>
      <c r="F40" s="292">
        <v>92.34763761112322725294401363</v>
      </c>
      <c r="G40" s="292">
        <v>84.53854292880912080467501224</v>
      </c>
      <c r="H40" s="292">
        <v>95.46439959559299332275951300</v>
      </c>
      <c r="I40" s="292">
        <v>97.29787751316219530850688711</v>
      </c>
      <c r="J40" s="292"/>
      <c r="K40" s="292"/>
      <c r="L40" s="292"/>
      <c r="M40" s="292"/>
      <c r="N40" s="292"/>
      <c r="O40" s="292"/>
      <c r="P40" s="292"/>
      <c r="Q40" s="292"/>
      <c r="R40" s="292"/>
      <c r="S40" s="292"/>
      <c r="T40" s="292"/>
      <c r="U40" s="292"/>
      <c r="V40" s="292"/>
      <c r="W40" s="292"/>
      <c r="X40" s="292"/>
      <c r="Y40" s="292"/>
      <c r="Z40" s="292"/>
      <c r="AA40" s="292"/>
      <c r="AB40" s="292"/>
      <c r="AC40" s="292"/>
      <c r="AD40" s="292"/>
      <c r="AE40" s="292"/>
      <c r="AF40" s="292"/>
      <c r="AG40" s="293"/>
      <c r="AH40" s="218"/>
      <c r="AI40" s="304">
        <v>92.01006749426638114310991473</v>
      </c>
      <c r="AJ40" s="304">
        <v>88.99595002981175384352435525</v>
      </c>
      <c r="AK40" s="304">
        <v>96.38549326495681445815211876</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9.795487937844278227009511470</v>
      </c>
      <c r="D43" s="287">
        <v>4.64546943912155473457907400</v>
      </c>
      <c r="E43" s="287">
        <v>2.5510829837527001178554827300</v>
      </c>
      <c r="F43" s="287">
        <v>-0.997924289334281620770125700</v>
      </c>
      <c r="G43" s="287">
        <v>-9.557454595889571220087392880</v>
      </c>
      <c r="H43" s="287">
        <v>-10.162861456619011699865989600</v>
      </c>
      <c r="I43" s="287">
        <v>4.1063743940709389964496954500</v>
      </c>
      <c r="J43" s="287"/>
      <c r="K43" s="287"/>
      <c r="L43" s="287"/>
      <c r="M43" s="287"/>
      <c r="N43" s="287"/>
      <c r="O43" s="287"/>
      <c r="P43" s="287"/>
      <c r="Q43" s="287"/>
      <c r="R43" s="287"/>
      <c r="S43" s="287"/>
      <c r="T43" s="287"/>
      <c r="U43" s="287"/>
      <c r="V43" s="287"/>
      <c r="W43" s="287"/>
      <c r="X43" s="287"/>
      <c r="Y43" s="287"/>
      <c r="Z43" s="287"/>
      <c r="AA43" s="287"/>
      <c r="AB43" s="287"/>
      <c r="AC43" s="287"/>
      <c r="AD43" s="287"/>
      <c r="AE43" s="287"/>
      <c r="AF43" s="287"/>
      <c r="AG43" s="288"/>
      <c r="AH43" s="218"/>
      <c r="AI43" s="302">
        <v>-6.1486530305921049566798047500</v>
      </c>
      <c r="AJ43" s="302">
        <v>0.5639356853351691194007300600</v>
      </c>
      <c r="AK43" s="302">
        <v>-17.250041521337331321875677020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2.6003641723708293951793891500</v>
      </c>
      <c r="D44" s="202">
        <v>4.9822415399456977354534622900</v>
      </c>
      <c r="E44" s="202">
        <v>1.6959888586306292532329173500</v>
      </c>
      <c r="F44" s="202">
        <v>-0.7326321901467233615938997600</v>
      </c>
      <c r="G44" s="202">
        <v>-1.9452405076215944752835479700</v>
      </c>
      <c r="H44" s="202">
        <v>-3.225847431040012725704602200</v>
      </c>
      <c r="I44" s="202">
        <v>3.8053456614102643668370873700</v>
      </c>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90"/>
      <c r="AH44" s="218"/>
      <c r="AI44" s="303">
        <v>-3.2616762192273872431676012300</v>
      </c>
      <c r="AJ44" s="303">
        <v>1.3828847108433124520871651500</v>
      </c>
      <c r="AK44" s="303">
        <v>-11.342485445517787460895190650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7.0127663029477893673809446100</v>
      </c>
      <c r="D45" s="292">
        <v>-0.3207895886699695362126184900</v>
      </c>
      <c r="E45" s="292">
        <v>0.8408336796059683585767279600</v>
      </c>
      <c r="F45" s="292">
        <v>-0.2672500590711521342344201400</v>
      </c>
      <c r="G45" s="292">
        <v>-7.7632275349839483643986859300</v>
      </c>
      <c r="H45" s="292">
        <v>-7.1682508618798255823820168200</v>
      </c>
      <c r="I45" s="292">
        <v>0.2899934784236141768980327800</v>
      </c>
      <c r="J45" s="292"/>
      <c r="K45" s="292"/>
      <c r="L45" s="292"/>
      <c r="M45" s="292"/>
      <c r="N45" s="292"/>
      <c r="O45" s="292"/>
      <c r="P45" s="292"/>
      <c r="Q45" s="292"/>
      <c r="R45" s="292"/>
      <c r="S45" s="292"/>
      <c r="T45" s="292"/>
      <c r="U45" s="292"/>
      <c r="V45" s="292"/>
      <c r="W45" s="292"/>
      <c r="X45" s="292"/>
      <c r="Y45" s="292"/>
      <c r="Z45" s="292"/>
      <c r="AA45" s="292"/>
      <c r="AB45" s="292"/>
      <c r="AC45" s="292"/>
      <c r="AD45" s="292"/>
      <c r="AE45" s="292"/>
      <c r="AF45" s="292"/>
      <c r="AG45" s="293"/>
      <c r="AH45" s="218"/>
      <c r="AI45" s="304">
        <v>-2.9843155210556072615579878800</v>
      </c>
      <c r="AJ45" s="304">
        <v>-0.807778381798165450063774200</v>
      </c>
      <c r="AK45" s="304">
        <v>-6.6633450142140034700246308700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6"/>
      <c r="Y47" s="656"/>
      <c r="Z47" s="656"/>
      <c r="AA47" s="656"/>
      <c r="AB47" s="656"/>
      <c r="AC47" s="656"/>
      <c r="AD47" s="656"/>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181</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110.84090909090909090909090909</v>
      </c>
      <c r="D50" s="295">
        <v>94.62878787878787878787878788</v>
      </c>
      <c r="E50" s="295">
        <v>91.42424242424242424242424242</v>
      </c>
      <c r="F50" s="295">
        <v>80.4469696969696969696969697</v>
      </c>
      <c r="G50" s="295">
        <v>115.79545454545454545454545455</v>
      </c>
      <c r="H50" s="295">
        <v>162.93939393939393939393939394</v>
      </c>
      <c r="I50" s="295">
        <v>178.40909090909090909090909091</v>
      </c>
      <c r="J50" s="295"/>
      <c r="K50" s="295"/>
      <c r="L50" s="295"/>
      <c r="M50" s="295"/>
      <c r="N50" s="295"/>
      <c r="O50" s="295"/>
      <c r="P50" s="295"/>
      <c r="Q50" s="295"/>
      <c r="R50" s="295"/>
      <c r="S50" s="295"/>
      <c r="T50" s="295"/>
      <c r="U50" s="295"/>
      <c r="V50" s="295"/>
      <c r="W50" s="295"/>
      <c r="X50" s="295"/>
      <c r="Y50" s="295"/>
      <c r="Z50" s="295"/>
      <c r="AA50" s="295"/>
      <c r="AB50" s="295"/>
      <c r="AC50" s="295"/>
      <c r="AD50" s="295"/>
      <c r="AE50" s="295"/>
      <c r="AF50" s="295"/>
      <c r="AG50" s="296"/>
      <c r="AH50" s="218"/>
      <c r="AI50" s="305">
        <v>119.21212121212121212121212121</v>
      </c>
      <c r="AJ50" s="305">
        <v>98.62727272727272727272727273</v>
      </c>
      <c r="AK50" s="305">
        <v>170.67424242424242424242424242</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142.47408518877057115198451113</v>
      </c>
      <c r="D51" s="207">
        <v>110.92825750242013552758954501</v>
      </c>
      <c r="E51" s="207">
        <v>94.2764762826718296224588577</v>
      </c>
      <c r="F51" s="207">
        <v>91.83568247821878025169409487</v>
      </c>
      <c r="G51" s="207">
        <v>120.91462729912875121006776379</v>
      </c>
      <c r="H51" s="207">
        <v>164.61907066795740561471442401</v>
      </c>
      <c r="I51" s="207">
        <v>182.52400774443368828654404647</v>
      </c>
      <c r="J51" s="207"/>
      <c r="K51" s="207"/>
      <c r="L51" s="207"/>
      <c r="M51" s="207"/>
      <c r="N51" s="207"/>
      <c r="O51" s="207"/>
      <c r="P51" s="207"/>
      <c r="Q51" s="207"/>
      <c r="R51" s="207"/>
      <c r="S51" s="207"/>
      <c r="T51" s="207"/>
      <c r="U51" s="207"/>
      <c r="V51" s="207"/>
      <c r="W51" s="207"/>
      <c r="X51" s="207"/>
      <c r="Y51" s="207"/>
      <c r="Z51" s="207"/>
      <c r="AA51" s="207"/>
      <c r="AB51" s="207"/>
      <c r="AC51" s="207"/>
      <c r="AD51" s="207"/>
      <c r="AE51" s="207"/>
      <c r="AF51" s="207"/>
      <c r="AG51" s="298"/>
      <c r="AH51" s="218"/>
      <c r="AI51" s="306">
        <v>129.65317245194302309500760614</v>
      </c>
      <c r="AJ51" s="306">
        <v>112.0858257502420135527589545</v>
      </c>
      <c r="AK51" s="306">
        <v>173.57153920619554695062923524</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77.797242174973713768886838260</v>
      </c>
      <c r="D52" s="292">
        <v>85.30629616780965632661394337</v>
      </c>
      <c r="E52" s="292">
        <v>96.97460705902415156731459281</v>
      </c>
      <c r="F52" s="292">
        <v>87.59881510769655211434272083</v>
      </c>
      <c r="G52" s="292">
        <v>95.76629158275248810926139037</v>
      </c>
      <c r="H52" s="292">
        <v>98.97965847954907092510703660</v>
      </c>
      <c r="I52" s="292">
        <v>97.74554762074287170459672954</v>
      </c>
      <c r="J52" s="292"/>
      <c r="K52" s="292"/>
      <c r="L52" s="292"/>
      <c r="M52" s="292"/>
      <c r="N52" s="292"/>
      <c r="O52" s="292"/>
      <c r="P52" s="292"/>
      <c r="Q52" s="292"/>
      <c r="R52" s="292"/>
      <c r="S52" s="292"/>
      <c r="T52" s="292"/>
      <c r="U52" s="292"/>
      <c r="V52" s="292"/>
      <c r="W52" s="292"/>
      <c r="X52" s="292"/>
      <c r="Y52" s="292"/>
      <c r="Z52" s="292"/>
      <c r="AA52" s="292"/>
      <c r="AB52" s="292"/>
      <c r="AC52" s="292"/>
      <c r="AD52" s="292"/>
      <c r="AE52" s="292"/>
      <c r="AF52" s="292"/>
      <c r="AG52" s="293"/>
      <c r="AH52" s="218"/>
      <c r="AI52" s="304">
        <v>91.94693732337917837973267180</v>
      </c>
      <c r="AJ52" s="304">
        <v>87.99263606004771035967246493</v>
      </c>
      <c r="AK52" s="304">
        <v>98.33077658053395662601299160</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4.016778046358823647265540100</v>
      </c>
      <c r="D55" s="287">
        <v>13.688905069693966414166382220</v>
      </c>
      <c r="E55" s="287">
        <v>-11.192876591386800242375042520</v>
      </c>
      <c r="F55" s="287">
        <v>-29.017379679123507785467121880</v>
      </c>
      <c r="G55" s="287">
        <v>-21.134100407638493836113576410</v>
      </c>
      <c r="H55" s="287">
        <v>-5.217697867094735535103097400</v>
      </c>
      <c r="I55" s="287">
        <v>4.988631804210778508150778200</v>
      </c>
      <c r="J55" s="287"/>
      <c r="K55" s="287"/>
      <c r="L55" s="287"/>
      <c r="M55" s="287"/>
      <c r="N55" s="287"/>
      <c r="O55" s="287"/>
      <c r="P55" s="287"/>
      <c r="Q55" s="287"/>
      <c r="R55" s="287"/>
      <c r="S55" s="287"/>
      <c r="T55" s="287"/>
      <c r="U55" s="287"/>
      <c r="V55" s="287"/>
      <c r="W55" s="287"/>
      <c r="X55" s="287"/>
      <c r="Y55" s="287"/>
      <c r="Z55" s="287"/>
      <c r="AA55" s="287"/>
      <c r="AB55" s="287"/>
      <c r="AC55" s="287"/>
      <c r="AD55" s="287"/>
      <c r="AE55" s="287"/>
      <c r="AF55" s="287"/>
      <c r="AG55" s="288"/>
      <c r="AH55" s="218"/>
      <c r="AI55" s="302">
        <v>-12.925385168725669771320441460</v>
      </c>
      <c r="AJ55" s="302">
        <v>-10.809366564814019959896546150</v>
      </c>
      <c r="AK55" s="302">
        <v>-15.810911808680982089592255180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-5.6682236326919115407909799400</v>
      </c>
      <c r="D56" s="202">
        <v>5.8820893245369192209704661500</v>
      </c>
      <c r="E56" s="202">
        <v>-7.6537130873481949586790913500</v>
      </c>
      <c r="F56" s="202">
        <v>-26.167687287332178810729876180</v>
      </c>
      <c r="G56" s="202">
        <v>-19.744310980670549306607019870</v>
      </c>
      <c r="H56" s="202">
        <v>-5.1919137360558624630332360800</v>
      </c>
      <c r="I56" s="202">
        <v>9.225375060268811328630079940</v>
      </c>
      <c r="J56" s="202"/>
      <c r="K56" s="202"/>
      <c r="L56" s="202"/>
      <c r="M56" s="202"/>
      <c r="N56" s="202"/>
      <c r="O56" s="202"/>
      <c r="P56" s="202"/>
      <c r="Q56" s="202"/>
      <c r="R56" s="202"/>
      <c r="S56" s="202"/>
      <c r="T56" s="202"/>
      <c r="U56" s="202"/>
      <c r="V56" s="202"/>
      <c r="W56" s="202"/>
      <c r="X56" s="202"/>
      <c r="Y56" s="202"/>
      <c r="Z56" s="202"/>
      <c r="AA56" s="202"/>
      <c r="AB56" s="202"/>
      <c r="AC56" s="202"/>
      <c r="AD56" s="202"/>
      <c r="AE56" s="202"/>
      <c r="AF56" s="202"/>
      <c r="AG56" s="290"/>
      <c r="AH56" s="218"/>
      <c r="AI56" s="303">
        <v>-13.132601326365770751774190880</v>
      </c>
      <c r="AJ56" s="303">
        <v>-11.455777312534249396273687160</v>
      </c>
      <c r="AK56" s="303">
        <v>-15.709619372179410798081189720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10.266955687713967809944431390</v>
      </c>
      <c r="D57" s="292">
        <v>7.3731221161635569232877971300</v>
      </c>
      <c r="E57" s="292">
        <v>-3.8324913998526060803337896900</v>
      </c>
      <c r="F57" s="292">
        <v>-3.8596818752122535366729675800</v>
      </c>
      <c r="G57" s="292">
        <v>-1.7317020686389601272415374500</v>
      </c>
      <c r="H57" s="292">
        <v>-0.0271961307455549501685244300</v>
      </c>
      <c r="I57" s="292">
        <v>-3.8789001673656697849705892100</v>
      </c>
      <c r="J57" s="292"/>
      <c r="K57" s="292"/>
      <c r="L57" s="292"/>
      <c r="M57" s="292"/>
      <c r="N57" s="292"/>
      <c r="O57" s="292"/>
      <c r="P57" s="292"/>
      <c r="Q57" s="292"/>
      <c r="R57" s="292"/>
      <c r="S57" s="292"/>
      <c r="T57" s="292"/>
      <c r="U57" s="292"/>
      <c r="V57" s="292"/>
      <c r="W57" s="292"/>
      <c r="X57" s="292"/>
      <c r="Y57" s="292"/>
      <c r="Z57" s="292"/>
      <c r="AA57" s="292"/>
      <c r="AB57" s="292"/>
      <c r="AC57" s="292"/>
      <c r="AD57" s="292"/>
      <c r="AE57" s="292"/>
      <c r="AF57" s="292"/>
      <c r="AG57" s="293"/>
      <c r="AH57" s="218"/>
      <c r="AI57" s="304">
        <v>0.2385430677103255834437191500</v>
      </c>
      <c r="AJ57" s="304">
        <v>0.7300428284582789157541673800</v>
      </c>
      <c r="AK57" s="304">
        <v>-0.1201708139730467861879884700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7" t="s">
        <v>82</v>
      </c>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0" t="s">
        <v>114</v>
      </c>
      <c r="C62" s="650"/>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c r="AC62" s="650"/>
      <c r="AD62" s="650"/>
      <c r="AE62" s="650"/>
      <c r="AF62" s="650"/>
      <c r="AG62" s="650"/>
      <c r="AH62" s="650"/>
      <c r="AI62" s="650"/>
      <c r="AJ62" s="650"/>
      <c r="AK62" s="650"/>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7"/>
</worksheet>
</file>

<file path=xl/worksheets/sheet6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146</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179</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180</v>
      </c>
      <c r="R4" s="703" t="s">
        <v>182</v>
      </c>
      <c r="S4" s="703"/>
      <c r="T4" s="703"/>
      <c r="U4" s="703"/>
      <c r="V4" s="703"/>
      <c r="W4" s="703"/>
      <c r="X4" s="703"/>
      <c r="Y4" s="703"/>
      <c r="Z4" s="703"/>
      <c r="AA4" s="703"/>
      <c r="AB4" s="703"/>
      <c r="AC4" s="703"/>
      <c r="AD4" s="703"/>
      <c r="AE4" s="703"/>
      <c r="AF4" s="703"/>
      <c r="AG4" s="703"/>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704" t="s">
        <v>72</v>
      </c>
      <c r="Y22" s="704"/>
      <c r="Z22" s="704"/>
      <c r="AA22" s="704"/>
      <c r="AB22" s="704"/>
      <c r="AC22" s="704"/>
      <c r="AD22" s="70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275" t="s">
        <v>184</v>
      </c>
      <c r="D24" s="276"/>
      <c r="E24" s="276"/>
      <c r="F24" s="276"/>
      <c r="G24" s="276"/>
      <c r="H24" s="276"/>
      <c r="I24" s="276"/>
      <c r="J24" s="276"/>
      <c r="K24" s="276"/>
      <c r="L24" s="276"/>
      <c r="M24" s="276"/>
      <c r="N24" s="276"/>
      <c r="O24" s="276"/>
      <c r="P24" s="276"/>
      <c r="Q24" s="276"/>
      <c r="R24" s="276"/>
      <c r="S24" s="277"/>
      <c r="T24" s="277"/>
      <c r="U24" s="277"/>
      <c r="V24" s="277"/>
      <c r="W24" s="277"/>
      <c r="X24" s="312" t="s">
        <v>181</v>
      </c>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11</v>
      </c>
      <c r="D25">
        <v>12</v>
      </c>
      <c r="E25">
        <v>13</v>
      </c>
      <c r="F25">
        <v>14</v>
      </c>
      <c r="G25">
        <v>15</v>
      </c>
      <c r="H25">
        <v>16</v>
      </c>
      <c r="I25">
        <v>17</v>
      </c>
      <c r="J25">
        <v>18</v>
      </c>
      <c r="K25">
        <v>19</v>
      </c>
      <c r="L25">
        <v>20</v>
      </c>
      <c r="M25">
        <v>21</v>
      </c>
      <c r="N25">
        <v>22</v>
      </c>
      <c r="O25">
        <v>23</v>
      </c>
      <c r="P25">
        <v>24</v>
      </c>
      <c r="Q25">
        <v>25</v>
      </c>
      <c r="R25">
        <v>26</v>
      </c>
      <c r="S25">
        <v>27</v>
      </c>
      <c r="T25">
        <v>28</v>
      </c>
      <c r="U25">
        <v>29</v>
      </c>
      <c r="V25">
        <v>30</v>
      </c>
      <c r="W25">
        <v>31</v>
      </c>
      <c r="X25" s="323">
        <v>1</v>
      </c>
      <c r="Y25">
        <v>2</v>
      </c>
      <c r="Z25">
        <v>3</v>
      </c>
      <c r="AA25">
        <v>4</v>
      </c>
      <c r="AB25">
        <v>5</v>
      </c>
      <c r="AC25">
        <v>6</v>
      </c>
      <c r="AD25" s="337">
        <v>7</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44">
        <v>58.333333333333333333333333330</v>
      </c>
      <c r="D26" s="445">
        <v>63.636363636363636363636363640</v>
      </c>
      <c r="E26" s="445">
        <v>69.696969696969696969696969700</v>
      </c>
      <c r="F26" s="445">
        <v>71.212121212121212121212121210</v>
      </c>
      <c r="G26" s="445">
        <v>81.06060606060606060606060606</v>
      </c>
      <c r="H26" s="445">
        <v>86.36363636363636363636363636</v>
      </c>
      <c r="I26" s="445">
        <v>96.21212121212121212121212121</v>
      </c>
      <c r="J26" s="445">
        <v>89.39393939393939393939393939</v>
      </c>
      <c r="K26" s="445">
        <v>90.15151515151515151515151515</v>
      </c>
      <c r="L26" s="445">
        <v>89.39393939393939393939393939</v>
      </c>
      <c r="M26" s="445">
        <v>95.45454545454545454545454545</v>
      </c>
      <c r="N26" s="445">
        <v>95.45454545454545454545454545</v>
      </c>
      <c r="O26" s="445">
        <v>73.484848484848484848484848480</v>
      </c>
      <c r="P26" s="445">
        <v>90.90909090909090909090909091</v>
      </c>
      <c r="Q26" s="445">
        <v>96.21212121212121212121212121</v>
      </c>
      <c r="R26" s="445">
        <v>73.484848484848484848484848480</v>
      </c>
      <c r="S26" s="445">
        <v>66.666666666666666666666666670</v>
      </c>
      <c r="T26" s="445">
        <v>72.727272727272727272727272730</v>
      </c>
      <c r="U26" s="445">
        <v>75.757575757575757575757575760</v>
      </c>
      <c r="V26" s="445">
        <v>73.484848484848484848484848480</v>
      </c>
      <c r="W26" s="445">
        <v>72.727272727272727272727272730</v>
      </c>
      <c r="X26" s="446">
        <v>68.181818181818181818181818180</v>
      </c>
      <c r="Y26" s="445">
        <v>66.666666666666666666666666670</v>
      </c>
      <c r="Z26" s="445">
        <v>63.636363636363636363636363640</v>
      </c>
      <c r="AA26" s="445">
        <v>57.575757575757575757575757580</v>
      </c>
      <c r="AB26" s="445">
        <v>82.57575757575757575757575758</v>
      </c>
      <c r="AC26" s="445">
        <v>87.12121212121212121212121212</v>
      </c>
      <c r="AD26" s="447">
        <v>90.15151515151515151515151515</v>
      </c>
      <c r="AE26" s="448"/>
      <c r="AF26" s="444">
        <v>73.701298701298701298701298700</v>
      </c>
      <c r="AG26" s="445">
        <v>78.490259740259740259740259740</v>
      </c>
      <c r="AH26" s="449">
        <v>73.701298701298701298701298700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65.44046466602129719264278800</v>
      </c>
      <c r="D27" s="81">
        <v>65.343659244917715392061955470</v>
      </c>
      <c r="E27" s="81">
        <v>75.508228460793804453049370760</v>
      </c>
      <c r="F27" s="81">
        <v>76.766698935140367860600193610</v>
      </c>
      <c r="G27" s="81">
        <v>80.05808325266214908034849952</v>
      </c>
      <c r="H27" s="81">
        <v>90.22265246853823814133591481</v>
      </c>
      <c r="I27" s="81">
        <v>96.12778315585672797676669894</v>
      </c>
      <c r="J27" s="81">
        <v>89.25459825750242013552758955</v>
      </c>
      <c r="K27" s="81">
        <v>87.80251694094869312681510165</v>
      </c>
      <c r="L27" s="81">
        <v>85.09196515004840271055179090</v>
      </c>
      <c r="M27" s="81">
        <v>78.993223620522749273959341720</v>
      </c>
      <c r="N27" s="81">
        <v>81.60696999031945788964181994</v>
      </c>
      <c r="O27" s="81">
        <v>85.67279767666989351403678606</v>
      </c>
      <c r="P27" s="81">
        <v>97.87028073572120038722168441</v>
      </c>
      <c r="Q27" s="81">
        <v>88.96418199419167473378509197</v>
      </c>
      <c r="R27" s="81">
        <v>59.922555663117134559535333980</v>
      </c>
      <c r="S27" s="81">
        <v>54.404646660212971926427879960</v>
      </c>
      <c r="T27" s="81">
        <v>68.635043562439496611810261370</v>
      </c>
      <c r="U27" s="81">
        <v>82.47821878025169409486931268</v>
      </c>
      <c r="V27" s="81">
        <v>95.06292352371732817037754114</v>
      </c>
      <c r="W27" s="81">
        <v>94.48209099709583736689254598</v>
      </c>
      <c r="X27" s="82">
        <v>78.412391093901258470474346560</v>
      </c>
      <c r="Y27" s="81">
        <v>68.344627299128751210067763790</v>
      </c>
      <c r="Z27" s="81">
        <v>62.149080348499515972894482090</v>
      </c>
      <c r="AA27" s="81">
        <v>60.696999031945788964181994190</v>
      </c>
      <c r="AB27" s="81">
        <v>72.894482090997095837366892550</v>
      </c>
      <c r="AC27" s="81">
        <v>84.02710551790900290416263311</v>
      </c>
      <c r="AD27" s="83">
        <v>89.73862536302032913843175218</v>
      </c>
      <c r="AE27" s="88"/>
      <c r="AF27" s="327">
        <v>73.751901535057391785368552070</v>
      </c>
      <c r="AG27" s="81">
        <v>79.141889088646107039137048820</v>
      </c>
      <c r="AH27" s="328">
        <v>73.751901535057391785368552070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183</v>
      </c>
      <c r="C28" s="450">
        <v>54.175789802940256490459806070</v>
      </c>
      <c r="D28" s="451">
        <v>61.714106975289333750390991550</v>
      </c>
      <c r="E28" s="451">
        <v>67.646752163486602022729642370</v>
      </c>
      <c r="F28" s="451">
        <v>74.986966948180585966009800850</v>
      </c>
      <c r="G28" s="451">
        <v>77.489312897508080492128036700</v>
      </c>
      <c r="H28" s="451">
        <v>86.64372849546449796684391617</v>
      </c>
      <c r="I28" s="451">
        <v>86.89396309039724741945573976</v>
      </c>
      <c r="J28" s="451">
        <v>69.419247210926910645396726100</v>
      </c>
      <c r="K28" s="451">
        <v>68.804087165050568241059326450</v>
      </c>
      <c r="L28" s="451">
        <v>70.128245229903034094463559590</v>
      </c>
      <c r="M28" s="451">
        <v>69.565217391304347826086956520</v>
      </c>
      <c r="N28" s="451">
        <v>74.309248253571056198519445310</v>
      </c>
      <c r="O28" s="451">
        <v>79.52246898133666979459910333</v>
      </c>
      <c r="P28" s="451">
        <v>89.08351579605880512980919612</v>
      </c>
      <c r="Q28" s="451">
        <v>75.914920237722865186111979980</v>
      </c>
      <c r="R28" s="451">
        <v>53.101866333020540089667396520</v>
      </c>
      <c r="S28" s="451">
        <v>55.520800750703784798248357840</v>
      </c>
      <c r="T28" s="451">
        <v>62.996559274319674695026587430</v>
      </c>
      <c r="U28" s="451">
        <v>68.512146804295693879678865600</v>
      </c>
      <c r="V28" s="451">
        <v>78.709206547805234073610676680</v>
      </c>
      <c r="W28" s="451">
        <v>81.32624335314357209884266500</v>
      </c>
      <c r="X28" s="452">
        <v>61.170935703084161003659174070</v>
      </c>
      <c r="Y28" s="451">
        <v>63.251437532671197072660742290</v>
      </c>
      <c r="Z28" s="451">
        <v>61.024568740198640878201777310</v>
      </c>
      <c r="AA28" s="451">
        <v>65.101934134866701515943544170</v>
      </c>
      <c r="AB28" s="451">
        <v>72.096184004181913225300575010</v>
      </c>
      <c r="AC28" s="451">
        <v>76.926293779404077365394668060</v>
      </c>
      <c r="AD28" s="453">
        <v>83.30371144798745426032409827</v>
      </c>
      <c r="AE28" s="448"/>
      <c r="AF28" s="450">
        <v>68.982152191770592188783511310</v>
      </c>
      <c r="AG28" s="451">
        <v>71.049238726217181013988359180</v>
      </c>
      <c r="AH28" s="454">
        <v>68.982152191770592188783511310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275" t="s">
        <v>184</v>
      </c>
      <c r="D31" s="276"/>
      <c r="E31" s="276"/>
      <c r="F31" s="276"/>
      <c r="G31" s="276"/>
      <c r="H31" s="276"/>
      <c r="I31" s="276"/>
      <c r="J31" s="276"/>
      <c r="K31" s="276"/>
      <c r="L31" s="276"/>
      <c r="M31" s="276"/>
      <c r="N31" s="276"/>
      <c r="O31" s="276"/>
      <c r="P31" s="276"/>
      <c r="Q31" s="276"/>
      <c r="R31" s="276"/>
      <c r="S31" s="277"/>
      <c r="T31" s="277"/>
      <c r="U31" s="277"/>
      <c r="V31" s="277"/>
      <c r="W31" s="277"/>
      <c r="X31" s="312" t="s">
        <v>181</v>
      </c>
      <c r="Y31" s="277"/>
      <c r="Z31" s="277"/>
      <c r="AA31" s="277"/>
      <c r="AB31" s="277"/>
      <c r="AC31" s="277"/>
      <c r="AD31" s="336"/>
      <c r="AE31" s="25"/>
      <c r="AF31" s="316" t="s">
        <v>58</v>
      </c>
      <c r="AG31" s="317" t="s">
        <v>59</v>
      </c>
      <c r="AH31" s="318" t="s">
        <v>59</v>
      </c>
      <c r="AI31" s="25"/>
      <c r="AJ31" s="248"/>
      <c r="AK31" s="248"/>
      <c r="AL31" s="248"/>
      <c r="AM31" s="248"/>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row>
    <row r="32" s="42" customFormat="1">
      <c r="C32" s="284">
        <v>11</v>
      </c>
      <c r="D32">
        <v>12</v>
      </c>
      <c r="E32">
        <v>13</v>
      </c>
      <c r="F32">
        <v>14</v>
      </c>
      <c r="G32">
        <v>15</v>
      </c>
      <c r="H32">
        <v>16</v>
      </c>
      <c r="I32">
        <v>17</v>
      </c>
      <c r="J32">
        <v>18</v>
      </c>
      <c r="K32">
        <v>19</v>
      </c>
      <c r="L32">
        <v>20</v>
      </c>
      <c r="M32">
        <v>21</v>
      </c>
      <c r="N32">
        <v>22</v>
      </c>
      <c r="O32">
        <v>23</v>
      </c>
      <c r="P32">
        <v>24</v>
      </c>
      <c r="Q32">
        <v>25</v>
      </c>
      <c r="R32">
        <v>26</v>
      </c>
      <c r="S32">
        <v>27</v>
      </c>
      <c r="T32">
        <v>28</v>
      </c>
      <c r="U32">
        <v>29</v>
      </c>
      <c r="V32">
        <v>30</v>
      </c>
      <c r="W32">
        <v>31</v>
      </c>
      <c r="X32" s="323">
        <v>1</v>
      </c>
      <c r="Y32">
        <v>2</v>
      </c>
      <c r="Z32">
        <v>3</v>
      </c>
      <c r="AA32">
        <v>4</v>
      </c>
      <c r="AB32">
        <v>5</v>
      </c>
      <c r="AC32">
        <v>6</v>
      </c>
      <c r="AD32" s="337">
        <v>7</v>
      </c>
      <c r="AE32" s="25"/>
      <c r="AF32" s="324" t="s">
        <v>60</v>
      </c>
      <c r="AG32" s="325">
        <v>28</v>
      </c>
      <c r="AH32" s="326" t="s">
        <v>31</v>
      </c>
      <c r="AI32" s="25"/>
      <c r="AJ32" s="248"/>
      <c r="AK32" s="248"/>
      <c r="AL32" s="248"/>
      <c r="AM32" s="248"/>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row>
    <row r="33" ht="14.25" customHeight="1">
      <c r="B33" s="46" t="s">
        <v>32</v>
      </c>
      <c r="C33" s="444">
        <v>-16.304347826123345935727772460</v>
      </c>
      <c r="D33" s="445">
        <v>-20.000000000045714285714259590</v>
      </c>
      <c r="E33" s="445">
        <v>-15.596330275272721151418208510</v>
      </c>
      <c r="F33" s="445">
        <v>-13.761467889952562915579473920</v>
      </c>
      <c r="G33" s="445">
        <v>3.8834951456351022716561411700</v>
      </c>
      <c r="H33" s="445">
        <v>2.7027027027138056975894825700</v>
      </c>
      <c r="I33" s="445">
        <v>16.513761467830047975759646950</v>
      </c>
      <c r="J33" s="445">
        <v>8.256880733889335914485341250</v>
      </c>
      <c r="K33" s="445">
        <v>1.7094017093599824676747924800</v>
      </c>
      <c r="L33" s="445">
        <v>12.380952380888163265306159140</v>
      </c>
      <c r="M33" s="445">
        <v>4.1322314049208114199849874700</v>
      </c>
      <c r="N33" s="445">
        <v>5.8823529411942659416707889500</v>
      </c>
      <c r="O33" s="445">
        <v>-17.09401709405110672802979100</v>
      </c>
      <c r="P33" s="445">
        <v>-2.4390243902248661511005316800</v>
      </c>
      <c r="Q33" s="445">
        <v>4.9586776859122464312547095900</v>
      </c>
      <c r="R33" s="445">
        <v>-4.9019607842801614763552361400</v>
      </c>
      <c r="S33" s="445">
        <v>-9.278350515404059942608101640</v>
      </c>
      <c r="T33" s="445">
        <v>4.3478260869111531190926473300</v>
      </c>
      <c r="U33" s="445">
        <v>4.1666666666276041666666813200</v>
      </c>
      <c r="V33" s="445">
        <v>-15.652173913031742911153117470</v>
      </c>
      <c r="W33" s="445">
        <v>-20.661157024822238918106676210</v>
      </c>
      <c r="X33" s="446">
        <v>-5.2631578947408310249307477600</v>
      </c>
      <c r="Y33" s="445">
        <v>8.641975308706355738454542040</v>
      </c>
      <c r="Z33" s="445">
        <v>-13.402061855612966308853187930</v>
      </c>
      <c r="AA33" s="445">
        <v>-28.301886792425774296902802170</v>
      </c>
      <c r="AB33" s="445">
        <v>-12.800000000027903999999991070</v>
      </c>
      <c r="AC33" s="445">
        <v>5.5045871559090985607272393600</v>
      </c>
      <c r="AD33" s="447">
        <v>0.8474576271630853203102752600</v>
      </c>
      <c r="AE33" s="448"/>
      <c r="AF33" s="444">
        <v>-6.8399452804917918785240375900</v>
      </c>
      <c r="AG33" s="445">
        <v>-4.0674603174816358024691310700</v>
      </c>
      <c r="AH33" s="449">
        <v>-7.2207084468321035867813873800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-14.646464646423694010815203280</v>
      </c>
      <c r="D34" s="81">
        <v>-15.625000000037652343749983200</v>
      </c>
      <c r="E34" s="81">
        <v>-10.344827586189686880697578950</v>
      </c>
      <c r="F34" s="81">
        <v>-4.687500000023599008413455700</v>
      </c>
      <c r="G34" s="81">
        <v>-6.6591422122184823871713906700</v>
      </c>
      <c r="H34" s="81">
        <v>0.2150537634754505723205114200</v>
      </c>
      <c r="I34" s="81">
        <v>2.5826446280632484333378993400</v>
      </c>
      <c r="J34" s="81">
        <v>5.4919908467199427655797674900</v>
      </c>
      <c r="K34" s="81">
        <v>8.622754491005605794399226910</v>
      </c>
      <c r="L34" s="81">
        <v>12.548015364912882462977141300</v>
      </c>
      <c r="M34" s="81">
        <v>18.089725036135358684429344540</v>
      </c>
      <c r="N34" s="81">
        <v>10.629921259886510323020663530</v>
      </c>
      <c r="O34" s="81">
        <v>1.9585253456330439433838063100</v>
      </c>
      <c r="P34" s="81">
        <v>5.974842767315148398665668200</v>
      </c>
      <c r="Q34" s="81">
        <v>-0.5411255411148848175633878400</v>
      </c>
      <c r="R34" s="81">
        <v>-14.147018030534728695889699320</v>
      </c>
      <c r="S34" s="81">
        <v>-19.599427753929820855872173580</v>
      </c>
      <c r="T34" s="81">
        <v>-1.3908205841796179982629126600</v>
      </c>
      <c r="U34" s="81">
        <v>-1.6166281755174719583548901100</v>
      </c>
      <c r="V34" s="81">
        <v>2.2916666667090750868055731300</v>
      </c>
      <c r="W34" s="81">
        <v>-2.5948103792525989936295061900</v>
      </c>
      <c r="X34" s="82">
        <v>-8.059023836597276853642453860</v>
      </c>
      <c r="Y34" s="81">
        <v>0.857142857153663265306123600</v>
      </c>
      <c r="Z34" s="81">
        <v>-9.193776520466295221156769090</v>
      </c>
      <c r="AA34" s="81">
        <v>-25.622775800694009700991624550</v>
      </c>
      <c r="AB34" s="81">
        <v>-18.152173913047837547258978970</v>
      </c>
      <c r="AC34" s="81">
        <v>-2.0316027088339089625934305900</v>
      </c>
      <c r="AD34" s="83">
        <v>5.2213393870053387119425250300</v>
      </c>
      <c r="AE34" s="88"/>
      <c r="AF34" s="327">
        <v>-8.336198006132534381096505670</v>
      </c>
      <c r="AG34" s="81">
        <v>-2.8065557065405571546356222400</v>
      </c>
      <c r="AH34" s="328">
        <v>-10.203738003081993660020132590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183</v>
      </c>
      <c r="C35" s="450">
        <v>-10.908815017594091856842092070</v>
      </c>
      <c r="D35" s="451">
        <v>-5.6350000818026742360452259200</v>
      </c>
      <c r="E35" s="451">
        <v>-6.4777675478208307322070406200</v>
      </c>
      <c r="F35" s="451">
        <v>-1.9593957611572482970206926400</v>
      </c>
      <c r="G35" s="451">
        <v>-0.9360588009075025433278821200</v>
      </c>
      <c r="H35" s="451">
        <v>2.3376868644712857428082358400</v>
      </c>
      <c r="I35" s="451">
        <v>6.2968099816603067266442621300</v>
      </c>
      <c r="J35" s="451">
        <v>6.4587181628119413722692502100</v>
      </c>
      <c r="K35" s="451">
        <v>2.4207955738357980105441669900</v>
      </c>
      <c r="L35" s="451">
        <v>1.0906083372125379984017472100</v>
      </c>
      <c r="M35" s="451">
        <v>0.7740498771977976940581767100</v>
      </c>
      <c r="N35" s="451">
        <v>6.3664391922006865024365765500</v>
      </c>
      <c r="O35" s="451">
        <v>2.3178930850685275622034917800</v>
      </c>
      <c r="P35" s="451">
        <v>3.2836416008233868457455193100</v>
      </c>
      <c r="Q35" s="451">
        <v>-1.2275043602284145424717943700</v>
      </c>
      <c r="R35" s="451">
        <v>-2.0572530216555856400342333400</v>
      </c>
      <c r="S35" s="451">
        <v>-5.8952492691559385340709575300</v>
      </c>
      <c r="T35" s="451">
        <v>0.499098128736690696821106700</v>
      </c>
      <c r="U35" s="451">
        <v>-1.5714414791869048568657203500</v>
      </c>
      <c r="V35" s="451">
        <v>-2.9824823465824429315066616200</v>
      </c>
      <c r="W35" s="451">
        <v>-2.3309845702538192765782166600</v>
      </c>
      <c r="X35" s="452">
        <v>-6.3859761064253815632274285500</v>
      </c>
      <c r="Y35" s="451">
        <v>3.4186517216437902644060959500</v>
      </c>
      <c r="Z35" s="451">
        <v>-7.59589826780614925939916500</v>
      </c>
      <c r="AA35" s="451">
        <v>-16.594017872836205516657566670</v>
      </c>
      <c r="AB35" s="451">
        <v>-8.798816353950676182774738570</v>
      </c>
      <c r="AC35" s="451">
        <v>-6.1154814890036769558733265100</v>
      </c>
      <c r="AD35" s="453">
        <v>-1.2535916300802452720219205600</v>
      </c>
      <c r="AE35" s="448"/>
      <c r="AF35" s="450">
        <v>-6.4104562348955132752297750600</v>
      </c>
      <c r="AG35" s="451">
        <v>-1.8486337080396406489943658100</v>
      </c>
      <c r="AH35" s="454">
        <v>-6.2115784544142301187397858400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275" t="s">
        <v>184</v>
      </c>
      <c r="D38" s="276"/>
      <c r="E38" s="276"/>
      <c r="F38" s="276"/>
      <c r="G38" s="276"/>
      <c r="H38" s="276"/>
      <c r="I38" s="276"/>
      <c r="J38" s="276"/>
      <c r="K38" s="276"/>
      <c r="L38" s="276"/>
      <c r="M38" s="276"/>
      <c r="N38" s="276"/>
      <c r="O38" s="276"/>
      <c r="P38" s="276"/>
      <c r="Q38" s="276"/>
      <c r="R38" s="276"/>
      <c r="S38" s="277"/>
      <c r="T38" s="277"/>
      <c r="U38" s="277"/>
      <c r="V38" s="277"/>
      <c r="W38" s="277"/>
      <c r="X38" s="312" t="s">
        <v>181</v>
      </c>
      <c r="Y38" s="277"/>
      <c r="Z38" s="277"/>
      <c r="AA38" s="277"/>
      <c r="AB38" s="277"/>
      <c r="AC38" s="277"/>
      <c r="AD38" s="336"/>
      <c r="AE38" s="25"/>
      <c r="AF38" s="316" t="s">
        <v>58</v>
      </c>
      <c r="AG38" s="317" t="s">
        <v>59</v>
      </c>
      <c r="AH38" s="318" t="s">
        <v>59</v>
      </c>
      <c r="AI38" s="25"/>
      <c r="AJ38" s="248"/>
      <c r="AK38" s="248"/>
      <c r="AL38" s="248"/>
      <c r="AM38" s="248"/>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row>
    <row r="39" s="42" customFormat="1">
      <c r="C39" s="279">
        <v>11</v>
      </c>
      <c r="D39">
        <v>12</v>
      </c>
      <c r="E39">
        <v>13</v>
      </c>
      <c r="F39">
        <v>14</v>
      </c>
      <c r="G39">
        <v>15</v>
      </c>
      <c r="H39">
        <v>16</v>
      </c>
      <c r="I39">
        <v>17</v>
      </c>
      <c r="J39">
        <v>18</v>
      </c>
      <c r="K39">
        <v>19</v>
      </c>
      <c r="L39">
        <v>20</v>
      </c>
      <c r="M39">
        <v>21</v>
      </c>
      <c r="N39">
        <v>22</v>
      </c>
      <c r="O39">
        <v>23</v>
      </c>
      <c r="P39">
        <v>24</v>
      </c>
      <c r="Q39">
        <v>25</v>
      </c>
      <c r="R39">
        <v>26</v>
      </c>
      <c r="S39">
        <v>27</v>
      </c>
      <c r="T39">
        <v>28</v>
      </c>
      <c r="U39">
        <v>29</v>
      </c>
      <c r="V39">
        <v>30</v>
      </c>
      <c r="W39">
        <v>31</v>
      </c>
      <c r="X39" s="323">
        <v>1</v>
      </c>
      <c r="Y39">
        <v>2</v>
      </c>
      <c r="Z39">
        <v>3</v>
      </c>
      <c r="AA39">
        <v>4</v>
      </c>
      <c r="AB39">
        <v>5</v>
      </c>
      <c r="AC39">
        <v>6</v>
      </c>
      <c r="AD39" s="337">
        <v>7</v>
      </c>
      <c r="AE39" s="25"/>
      <c r="AF39" s="324" t="s">
        <v>60</v>
      </c>
      <c r="AG39" s="325">
        <v>28</v>
      </c>
      <c r="AH39" s="326" t="s">
        <v>31</v>
      </c>
      <c r="AI39" s="25"/>
      <c r="AJ39" s="248"/>
      <c r="AK39" s="248"/>
      <c r="AL39" s="248"/>
      <c r="AM39" s="248"/>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row>
    <row r="40" ht="14.25" customHeight="1">
      <c r="A40" s="1"/>
      <c r="B40" s="46" t="s">
        <v>26</v>
      </c>
      <c r="C40" s="444">
        <v>89.13954635111382253480854789</v>
      </c>
      <c r="D40" s="445">
        <v>97.38720538723178995884774379</v>
      </c>
      <c r="E40" s="445">
        <v>92.30380730379973016157631605</v>
      </c>
      <c r="F40" s="445">
        <v>92.76433948569974129984572258</v>
      </c>
      <c r="G40" s="445">
        <v>101.25224432958460819652689054</v>
      </c>
      <c r="H40" s="445">
        <v>95.72278579793366323686032206</v>
      </c>
      <c r="I40" s="445">
        <v>100.08773535959362830161770681</v>
      </c>
      <c r="J40" s="445">
        <v>100.15611647932960720423635860</v>
      </c>
      <c r="K40" s="445">
        <v>102.67531990249922513898839279</v>
      </c>
      <c r="L40" s="445">
        <v>105.05567621614553103242549733</v>
      </c>
      <c r="M40" s="445">
        <v>120.83890374335030844097332448</v>
      </c>
      <c r="N40" s="445">
        <v>116.96861857006994690128959610</v>
      </c>
      <c r="O40" s="445">
        <v>85.77384009584385218555371869</v>
      </c>
      <c r="P40" s="445">
        <v>92.88733027607443265701241465</v>
      </c>
      <c r="Q40" s="445">
        <v>108.14703069870719420736891446</v>
      </c>
      <c r="R40" s="445">
        <v>122.63303470899869288469845113</v>
      </c>
      <c r="S40" s="445">
        <v>122.53855278769232532516052926</v>
      </c>
      <c r="T40" s="445">
        <v>105.96230285940191804272765686</v>
      </c>
      <c r="U40" s="445">
        <v>91.85161473888488687793764343</v>
      </c>
      <c r="V40" s="445">
        <v>77.301271369513565963401213250</v>
      </c>
      <c r="W40" s="445">
        <v>76.974664679579321067772593050</v>
      </c>
      <c r="X40" s="446">
        <v>86.95286195286334840171259926</v>
      </c>
      <c r="Y40" s="445">
        <v>97.54485363554622873682213017</v>
      </c>
      <c r="Z40" s="445">
        <v>102.39308977626654890683408459</v>
      </c>
      <c r="AA40" s="445">
        <v>94.85766758501187150612993333</v>
      </c>
      <c r="AB40" s="445">
        <v>113.28121856009850905845810707</v>
      </c>
      <c r="AC40" s="445">
        <v>103.68227202905733140946994753</v>
      </c>
      <c r="AD40" s="447">
        <v>100.46010264459142193819512335</v>
      </c>
      <c r="AE40" s="448"/>
      <c r="AF40" s="444">
        <v>99.93138775713163706829727514</v>
      </c>
      <c r="AG40" s="445">
        <v>99.17663154639794446861343042</v>
      </c>
      <c r="AH40" s="449">
        <v>99.93138775713163706829727514</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183</v>
      </c>
      <c r="C41" s="329">
        <v>107.67417244041873171281610021</v>
      </c>
      <c r="D41" s="330">
        <v>103.11477675895559215188578343</v>
      </c>
      <c r="E41" s="330">
        <v>103.03077009301849092120747652</v>
      </c>
      <c r="F41" s="330">
        <v>94.96599757303639026238382380</v>
      </c>
      <c r="G41" s="330">
        <v>104.60875574910573184316911056</v>
      </c>
      <c r="H41" s="330">
        <v>99.67673121098639763737547866</v>
      </c>
      <c r="I41" s="330">
        <v>110.72359665771842025738274740</v>
      </c>
      <c r="J41" s="330">
        <v>128.77399710537775502542148583</v>
      </c>
      <c r="K41" s="330">
        <v>131.02639518374914714990938432</v>
      </c>
      <c r="L41" s="330">
        <v>127.47208931420009242502493383</v>
      </c>
      <c r="M41" s="330">
        <v>137.21590909091766690340909144</v>
      </c>
      <c r="N41" s="330">
        <v>128.45580825791902079721208955</v>
      </c>
      <c r="O41" s="330">
        <v>92.40765462416504731914663305</v>
      </c>
      <c r="P41" s="330">
        <v>102.04928498463105247728637800</v>
      </c>
      <c r="Q41" s="330">
        <v>126.73677441913644818031130624</v>
      </c>
      <c r="R41" s="330">
        <v>138.38468129166590143411795869</v>
      </c>
      <c r="S41" s="330">
        <v>120.07511737090020418170997874</v>
      </c>
      <c r="T41" s="330">
        <v>115.44642051100472933932994682</v>
      </c>
      <c r="U41" s="330">
        <v>110.57539325686553390224864155</v>
      </c>
      <c r="V41" s="330">
        <v>93.36245619528794358654500150</v>
      </c>
      <c r="W41" s="330">
        <v>89.42657342662133857988168248</v>
      </c>
      <c r="X41" s="331">
        <v>111.46113329497898572448593364</v>
      </c>
      <c r="Y41" s="330">
        <v>105.39944903576467622885506364</v>
      </c>
      <c r="Z41" s="330">
        <v>104.27990717522779260412010255</v>
      </c>
      <c r="AA41" s="330">
        <v>88.43939637254529189718412791</v>
      </c>
      <c r="AB41" s="330">
        <v>114.53554541936239350748790956</v>
      </c>
      <c r="AC41" s="330">
        <v>113.25283962210357542829464723</v>
      </c>
      <c r="AD41" s="338">
        <v>108.22028644880930721620051095</v>
      </c>
      <c r="AE41" s="88"/>
      <c r="AF41" s="329">
        <v>106.84111231609220871572177450</v>
      </c>
      <c r="AG41" s="330">
        <v>110.47304819511852367338484450</v>
      </c>
      <c r="AH41" s="332">
        <v>106.84111231609220871572177450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275" t="s">
        <v>184</v>
      </c>
      <c r="D44" s="276"/>
      <c r="E44" s="276"/>
      <c r="F44" s="276"/>
      <c r="G44" s="276"/>
      <c r="H44" s="276"/>
      <c r="I44" s="276"/>
      <c r="J44" s="276"/>
      <c r="K44" s="276"/>
      <c r="L44" s="276"/>
      <c r="M44" s="276"/>
      <c r="N44" s="276"/>
      <c r="O44" s="276"/>
      <c r="P44" s="276"/>
      <c r="Q44" s="276"/>
      <c r="R44" s="276"/>
      <c r="S44" s="277"/>
      <c r="T44" s="277"/>
      <c r="U44" s="277"/>
      <c r="V44" s="277"/>
      <c r="W44" s="277"/>
      <c r="X44" s="312" t="s">
        <v>181</v>
      </c>
      <c r="Y44" s="277"/>
      <c r="Z44" s="277"/>
      <c r="AA44" s="277"/>
      <c r="AB44" s="277"/>
      <c r="AC44" s="277"/>
      <c r="AD44" s="336"/>
      <c r="AE44" s="25"/>
      <c r="AF44" s="316" t="s">
        <v>58</v>
      </c>
      <c r="AG44" s="317" t="s">
        <v>59</v>
      </c>
      <c r="AH44" s="318" t="s">
        <v>59</v>
      </c>
      <c r="AI44" s="25"/>
      <c r="AJ44" s="248"/>
      <c r="AK44" s="248"/>
      <c r="AL44" s="248"/>
      <c r="AM44" s="248"/>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row>
    <row r="45" s="42" customFormat="1">
      <c r="C45" s="284">
        <v>11</v>
      </c>
      <c r="D45">
        <v>12</v>
      </c>
      <c r="E45">
        <v>13</v>
      </c>
      <c r="F45">
        <v>14</v>
      </c>
      <c r="G45">
        <v>15</v>
      </c>
      <c r="H45">
        <v>16</v>
      </c>
      <c r="I45">
        <v>17</v>
      </c>
      <c r="J45">
        <v>18</v>
      </c>
      <c r="K45">
        <v>19</v>
      </c>
      <c r="L45">
        <v>20</v>
      </c>
      <c r="M45">
        <v>21</v>
      </c>
      <c r="N45">
        <v>22</v>
      </c>
      <c r="O45">
        <v>23</v>
      </c>
      <c r="P45">
        <v>24</v>
      </c>
      <c r="Q45">
        <v>25</v>
      </c>
      <c r="R45">
        <v>26</v>
      </c>
      <c r="S45">
        <v>27</v>
      </c>
      <c r="T45">
        <v>28</v>
      </c>
      <c r="U45">
        <v>29</v>
      </c>
      <c r="V45">
        <v>30</v>
      </c>
      <c r="W45">
        <v>31</v>
      </c>
      <c r="X45" s="323">
        <v>1</v>
      </c>
      <c r="Y45">
        <v>2</v>
      </c>
      <c r="Z45">
        <v>3</v>
      </c>
      <c r="AA45">
        <v>4</v>
      </c>
      <c r="AB45">
        <v>5</v>
      </c>
      <c r="AC45">
        <v>6</v>
      </c>
      <c r="AD45" s="337">
        <v>7</v>
      </c>
      <c r="AE45" s="25"/>
      <c r="AF45" s="324" t="s">
        <v>60</v>
      </c>
      <c r="AG45" s="325">
        <v>28</v>
      </c>
      <c r="AH45" s="326" t="s">
        <v>31</v>
      </c>
      <c r="AI45" s="25"/>
      <c r="AJ45" s="248"/>
      <c r="AK45" s="248"/>
      <c r="AL45" s="248"/>
      <c r="AM45" s="248"/>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row>
    <row r="46" ht="14.25" customHeight="1">
      <c r="A46" s="1"/>
      <c r="B46" s="46" t="s">
        <v>26</v>
      </c>
      <c r="C46" s="444">
        <v>-1.9423720092285074781076023400</v>
      </c>
      <c r="D46" s="445">
        <v>-5.185185185142696131482349100</v>
      </c>
      <c r="E46" s="445">
        <v>-5.8574453069682964194652496800</v>
      </c>
      <c r="F46" s="445">
        <v>-9.520228605736616791509715410</v>
      </c>
      <c r="G46" s="445">
        <v>11.294772308393707604996401690</v>
      </c>
      <c r="H46" s="445">
        <v>2.4823106368146046020308760300</v>
      </c>
      <c r="I46" s="445">
        <v>13.580383787414494217383467040</v>
      </c>
      <c r="J46" s="445">
        <v>2.6209476805129470933177675900</v>
      </c>
      <c r="K46" s="445">
        <v>-6.3645530017497718102995819300</v>
      </c>
      <c r="L46" s="445">
        <v>-0.1484370767486981075018418500</v>
      </c>
      <c r="M46" s="445">
        <v>-11.819397180331310007141061630</v>
      </c>
      <c r="N46" s="445">
        <v>-4.2913962738252159714584673500</v>
      </c>
      <c r="O46" s="445">
        <v>-18.686561398471753752049403800</v>
      </c>
      <c r="P46" s="445">
        <v>-7.939494825234793854298312380</v>
      </c>
      <c r="Q46" s="445">
        <v>5.5297259866921117086325284200</v>
      </c>
      <c r="R46" s="445">
        <v>10.768475403184521119053819920</v>
      </c>
      <c r="S46" s="445">
        <v>12.837069376696898828738469240</v>
      </c>
      <c r="T46" s="445">
        <v>5.8195866807159988000004856100</v>
      </c>
      <c r="U46" s="445">
        <v>5.8783255085247911550126355100</v>
      </c>
      <c r="V46" s="445">
        <v>-17.541840077971540656145561740</v>
      </c>
      <c r="W46" s="445">
        <v>-18.547622273426626909098157970</v>
      </c>
      <c r="X46" s="446">
        <v>3.0409356725881644583032797600</v>
      </c>
      <c r="Y46" s="445">
        <v>7.7186724023753718123508590100</v>
      </c>
      <c r="Z46" s="445">
        <v>-4.6343578380028112263282053500</v>
      </c>
      <c r="AA46" s="445">
        <v>-3.6020583189942676021449469200</v>
      </c>
      <c r="AB46" s="445">
        <v>6.5391766268105634637523941800</v>
      </c>
      <c r="AC46" s="445">
        <v>7.6924702997678755696949288300</v>
      </c>
      <c r="AD46" s="447">
        <v>-4.1568390834966311221459262400</v>
      </c>
      <c r="AE46" s="448"/>
      <c r="AF46" s="444">
        <v>1.6323267125027018646572929900</v>
      </c>
      <c r="AG46" s="445">
        <v>-1.2973144639478073857503082500</v>
      </c>
      <c r="AH46" s="449">
        <v>3.3219974749770427032730191500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183</v>
      </c>
      <c r="C47" s="329">
        <v>-6.0561915406835986518684667500</v>
      </c>
      <c r="D47" s="330">
        <v>-15.222804991948070173200512300</v>
      </c>
      <c r="E47" s="330">
        <v>-9.750155111057432496605529670</v>
      </c>
      <c r="F47" s="330">
        <v>-12.037943075150339179593073290</v>
      </c>
      <c r="G47" s="330">
        <v>4.8650940879281440335990383700</v>
      </c>
      <c r="H47" s="330">
        <v>0.3566778274315867757480054600</v>
      </c>
      <c r="I47" s="330">
        <v>9.611719757163378998416753360</v>
      </c>
      <c r="J47" s="330">
        <v>1.6890702820792748723272564500</v>
      </c>
      <c r="K47" s="330">
        <v>-0.6945795143722185249962481200</v>
      </c>
      <c r="L47" s="330">
        <v>11.168539026005431813475784060</v>
      </c>
      <c r="M47" s="330">
        <v>3.3323871888498383761051357900</v>
      </c>
      <c r="N47" s="330">
        <v>-0.4551118329734693514546277200</v>
      </c>
      <c r="O47" s="330">
        <v>-18.972155889600732234489676790</v>
      </c>
      <c r="P47" s="330">
        <v>-5.5407283306824323255970184100</v>
      </c>
      <c r="Q47" s="330">
        <v>6.2630613979254191381196009200</v>
      </c>
      <c r="R47" s="330">
        <v>-2.9044598506816261004302556900</v>
      </c>
      <c r="S47" s="330">
        <v>-3.595037678757317926316338200</v>
      </c>
      <c r="T47" s="330">
        <v>3.8296144242817621205208694600</v>
      </c>
      <c r="U47" s="330">
        <v>5.829718764636004089444902600</v>
      </c>
      <c r="V47" s="330">
        <v>-13.059179283182511852850739780</v>
      </c>
      <c r="W47" s="330">
        <v>-18.767643324619059015045828670</v>
      </c>
      <c r="X47" s="331">
        <v>1.1994124009751112489013114100</v>
      </c>
      <c r="Y47" s="330">
        <v>5.0506591412183356411466366200</v>
      </c>
      <c r="Z47" s="330">
        <v>-6.2834478979132406893856668900</v>
      </c>
      <c r="AA47" s="330">
        <v>-14.037205271212238793587447730</v>
      </c>
      <c r="AB47" s="330">
        <v>-4.387205830114844159377049700</v>
      </c>
      <c r="AC47" s="330">
        <v>12.376980602578524262051913530</v>
      </c>
      <c r="AD47" s="338">
        <v>2.1277222046104937123758213100</v>
      </c>
      <c r="AE47" s="88"/>
      <c r="AF47" s="329">
        <v>-0.4589070832716722198357577200</v>
      </c>
      <c r="AG47" s="330">
        <v>-2.2606171398400360852122662900</v>
      </c>
      <c r="AH47" s="332">
        <v>-1.0759643630103308391652856700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275" t="s">
        <v>184</v>
      </c>
      <c r="D50" s="276"/>
      <c r="E50" s="276"/>
      <c r="F50" s="276"/>
      <c r="G50" s="276"/>
      <c r="H50" s="276"/>
      <c r="I50" s="276"/>
      <c r="J50" s="276"/>
      <c r="K50" s="276"/>
      <c r="L50" s="276"/>
      <c r="M50" s="276"/>
      <c r="N50" s="276"/>
      <c r="O50" s="276"/>
      <c r="P50" s="276"/>
      <c r="Q50" s="276"/>
      <c r="R50" s="276"/>
      <c r="S50" s="277"/>
      <c r="T50" s="277"/>
      <c r="U50" s="277"/>
      <c r="V50" s="277"/>
      <c r="W50" s="277"/>
      <c r="X50" s="312" t="s">
        <v>181</v>
      </c>
      <c r="Y50" s="277"/>
      <c r="Z50" s="277"/>
      <c r="AA50" s="277"/>
      <c r="AB50" s="277"/>
      <c r="AC50" s="277"/>
      <c r="AD50" s="336"/>
      <c r="AE50" s="25"/>
      <c r="AF50" s="316" t="s">
        <v>58</v>
      </c>
      <c r="AG50" s="317" t="s">
        <v>59</v>
      </c>
      <c r="AH50" s="318" t="s">
        <v>59</v>
      </c>
      <c r="AI50" s="25"/>
      <c r="AJ50" s="248"/>
      <c r="AK50" s="248"/>
      <c r="AL50" s="248"/>
      <c r="AM50" s="248"/>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row>
    <row r="51" s="42" customFormat="1">
      <c r="C51" s="284">
        <v>11</v>
      </c>
      <c r="D51">
        <v>12</v>
      </c>
      <c r="E51">
        <v>13</v>
      </c>
      <c r="F51">
        <v>14</v>
      </c>
      <c r="G51">
        <v>15</v>
      </c>
      <c r="H51">
        <v>16</v>
      </c>
      <c r="I51">
        <v>17</v>
      </c>
      <c r="J51">
        <v>18</v>
      </c>
      <c r="K51">
        <v>19</v>
      </c>
      <c r="L51">
        <v>20</v>
      </c>
      <c r="M51">
        <v>21</v>
      </c>
      <c r="N51">
        <v>22</v>
      </c>
      <c r="O51">
        <v>23</v>
      </c>
      <c r="P51">
        <v>24</v>
      </c>
      <c r="Q51">
        <v>25</v>
      </c>
      <c r="R51">
        <v>26</v>
      </c>
      <c r="S51">
        <v>27</v>
      </c>
      <c r="T51">
        <v>28</v>
      </c>
      <c r="U51">
        <v>29</v>
      </c>
      <c r="V51">
        <v>30</v>
      </c>
      <c r="W51">
        <v>31</v>
      </c>
      <c r="X51" s="323">
        <v>1</v>
      </c>
      <c r="Y51">
        <v>2</v>
      </c>
      <c r="Z51">
        <v>3</v>
      </c>
      <c r="AA51">
        <v>4</v>
      </c>
      <c r="AB51">
        <v>5</v>
      </c>
      <c r="AC51">
        <v>6</v>
      </c>
      <c r="AD51" s="337">
        <v>7</v>
      </c>
      <c r="AE51" s="25"/>
      <c r="AF51" s="324" t="s">
        <v>60</v>
      </c>
      <c r="AG51" s="325">
        <v>28</v>
      </c>
      <c r="AH51" s="326" t="s">
        <v>31</v>
      </c>
      <c r="AI51" s="25"/>
      <c r="AJ51" s="248"/>
      <c r="AK51" s="248"/>
      <c r="AL51" s="248"/>
      <c r="AM51" s="248"/>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row>
    <row r="52" ht="14.25" customHeight="1">
      <c r="A52" s="1"/>
      <c r="B52" s="46" t="s">
        <v>56</v>
      </c>
      <c r="C52" s="455" t="s">
        <v>230</v>
      </c>
      <c r="D52" s="456" t="s">
        <v>230</v>
      </c>
      <c r="E52" s="456" t="s">
        <v>230</v>
      </c>
      <c r="F52" s="456" t="s">
        <v>230</v>
      </c>
      <c r="G52" s="456" t="s">
        <v>230</v>
      </c>
      <c r="H52" s="456" t="s">
        <v>232</v>
      </c>
      <c r="I52" s="456" t="s">
        <v>232</v>
      </c>
      <c r="J52" s="456" t="s">
        <v>232</v>
      </c>
      <c r="K52" s="456" t="s">
        <v>232</v>
      </c>
      <c r="L52" s="456" t="s">
        <v>232</v>
      </c>
      <c r="M52" s="456" t="s">
        <v>235</v>
      </c>
      <c r="N52" s="456" t="s">
        <v>235</v>
      </c>
      <c r="O52" s="456" t="s">
        <v>234</v>
      </c>
      <c r="P52" s="456" t="s">
        <v>237</v>
      </c>
      <c r="Q52" s="456" t="s">
        <v>231</v>
      </c>
      <c r="R52" s="456" t="s">
        <v>235</v>
      </c>
      <c r="S52" s="456" t="s">
        <v>238</v>
      </c>
      <c r="T52" s="456" t="s">
        <v>231</v>
      </c>
      <c r="U52" s="456" t="s">
        <v>232</v>
      </c>
      <c r="V52" s="456" t="s">
        <v>237</v>
      </c>
      <c r="W52" s="456" t="s">
        <v>237</v>
      </c>
      <c r="X52" s="457" t="s">
        <v>234</v>
      </c>
      <c r="Y52" s="456" t="s">
        <v>231</v>
      </c>
      <c r="Z52" s="456" t="s">
        <v>231</v>
      </c>
      <c r="AA52" s="456" t="s">
        <v>232</v>
      </c>
      <c r="AB52" s="456" t="s">
        <v>235</v>
      </c>
      <c r="AC52" s="456" t="s">
        <v>231</v>
      </c>
      <c r="AD52" s="458" t="s">
        <v>232</v>
      </c>
      <c r="AE52" s="459"/>
      <c r="AF52" s="455" t="s">
        <v>231</v>
      </c>
      <c r="AG52" s="456" t="s">
        <v>232</v>
      </c>
      <c r="AH52" s="460" t="s">
        <v>231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231</v>
      </c>
      <c r="D53" s="334" t="s">
        <v>230</v>
      </c>
      <c r="E53" s="334" t="s">
        <v>231</v>
      </c>
      <c r="F53" s="334" t="s">
        <v>232</v>
      </c>
      <c r="G53" s="334" t="s">
        <v>233</v>
      </c>
      <c r="H53" s="334" t="s">
        <v>231</v>
      </c>
      <c r="I53" s="334" t="s">
        <v>233</v>
      </c>
      <c r="J53" s="334" t="s">
        <v>231</v>
      </c>
      <c r="K53" s="334" t="s">
        <v>234</v>
      </c>
      <c r="L53" s="334" t="s">
        <v>232</v>
      </c>
      <c r="M53" s="334" t="s">
        <v>236</v>
      </c>
      <c r="N53" s="334" t="s">
        <v>234</v>
      </c>
      <c r="O53" s="334" t="s">
        <v>237</v>
      </c>
      <c r="P53" s="334" t="s">
        <v>236</v>
      </c>
      <c r="Q53" s="334" t="s">
        <v>231</v>
      </c>
      <c r="R53" s="334" t="s">
        <v>235</v>
      </c>
      <c r="S53" s="334" t="s">
        <v>238</v>
      </c>
      <c r="T53" s="334" t="s">
        <v>230</v>
      </c>
      <c r="U53" s="334" t="s">
        <v>230</v>
      </c>
      <c r="V53" s="334" t="s">
        <v>237</v>
      </c>
      <c r="W53" s="334" t="s">
        <v>237</v>
      </c>
      <c r="X53" s="60" t="s">
        <v>232</v>
      </c>
      <c r="Y53" s="61" t="s">
        <v>230</v>
      </c>
      <c r="Z53" s="61" t="s">
        <v>232</v>
      </c>
      <c r="AA53" s="61" t="s">
        <v>230</v>
      </c>
      <c r="AB53" s="61" t="s">
        <v>238</v>
      </c>
      <c r="AC53" s="61" t="s">
        <v>238</v>
      </c>
      <c r="AD53" s="62" t="s">
        <v>232</v>
      </c>
      <c r="AE53" s="59"/>
      <c r="AF53" s="333" t="s">
        <v>230</v>
      </c>
      <c r="AG53" s="334" t="s">
        <v>230</v>
      </c>
      <c r="AH53" s="335" t="s">
        <v>231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50" t="s">
        <v>114</v>
      </c>
      <c r="C56" s="650"/>
      <c r="D56" s="650"/>
      <c r="E56" s="650"/>
      <c r="F56" s="650"/>
      <c r="G56" s="650"/>
      <c r="H56" s="650"/>
      <c r="I56" s="650"/>
      <c r="J56" s="650"/>
      <c r="K56" s="650"/>
      <c r="L56" s="650"/>
      <c r="M56" s="650"/>
      <c r="N56" s="650"/>
      <c r="O56" s="650"/>
      <c r="P56" s="650"/>
      <c r="Q56" s="650"/>
      <c r="R56" s="650"/>
      <c r="S56" s="650"/>
      <c r="T56" s="650"/>
      <c r="U56" s="650"/>
      <c r="V56" s="650"/>
      <c r="W56" s="650"/>
      <c r="X56" s="650"/>
      <c r="Y56" s="650"/>
      <c r="Z56" s="650"/>
      <c r="AA56" s="650"/>
      <c r="AB56" s="650"/>
      <c r="AC56" s="650"/>
      <c r="AD56" s="650"/>
      <c r="AE56" s="650"/>
      <c r="AF56" s="650"/>
      <c r="AG56" s="650"/>
      <c r="AH56" s="650"/>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53"/>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row>
    <row r="66" s="25" customFormat="1" ht="10.5" customHeight="1">
      <c r="A66" s="248"/>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65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row>
    <row r="67" s="25" customFormat="1">
      <c r="A67" s="248"/>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65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row>
    <row r="68" s="84" customFormat="1">
      <c r="A68" s="249"/>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658"/>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row>
    <row r="69" s="84" customFormat="1">
      <c r="A69" s="249"/>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658"/>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row>
    <row r="70" s="84" customFormat="1">
      <c r="A70" s="249"/>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658"/>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49"/>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658"/>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58" t="n">
        <v>45738</v>
      </c>
      <c r="C72" s="658">
        <v>45745</v>
      </c>
      <c r="D72" s="658">
        <v>45752</v>
      </c>
      <c r="E72" s="658">
        <v>45759</v>
      </c>
      <c r="F72" s="658">
        <v>45766</v>
      </c>
      <c r="G72" s="658">
        <v>45773</v>
      </c>
      <c r="H72" s="658">
        <v>45780</v>
      </c>
      <c r="I72" s="658">
        <v>45787</v>
      </c>
      <c r="J72" s="658">
        <v>45794</v>
      </c>
      <c r="K72" s="658">
        <v>45801</v>
      </c>
      <c r="L72" s="658">
        <v>45808</v>
      </c>
      <c r="M72" s="658">
        <v>45815</v>
      </c>
      <c r="N72" s="658"/>
      <c r="O72" s="658"/>
      <c r="P72" s="658"/>
      <c r="Q72" s="658"/>
      <c r="R72" s="658"/>
      <c r="S72" s="658"/>
      <c r="T72" s="658"/>
      <c r="U72" s="658"/>
      <c r="V72" s="658"/>
      <c r="W72" s="658"/>
      <c r="X72" s="658"/>
      <c r="Y72" s="658"/>
      <c r="Z72" s="658"/>
      <c r="AA72" s="658"/>
      <c r="AB72" s="658"/>
      <c r="AC72" s="658"/>
      <c r="AD72" s="658"/>
      <c r="AE72" s="658"/>
      <c r="AF72" s="658"/>
      <c r="AG72" s="658"/>
      <c r="AH72" s="658"/>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58">
        <v>90.90909090909090909090909091</v>
      </c>
      <c r="C73" s="658">
        <v>90.25974025974025974025974026</v>
      </c>
      <c r="D73" s="658">
        <v>95.12987012987012987012987013</v>
      </c>
      <c r="E73" s="658">
        <v>93.83116883116883116883116883</v>
      </c>
      <c r="F73" s="658">
        <v>96.21212121212121212121212121</v>
      </c>
      <c r="G73" s="658">
        <v>88.09523809523809523809523810</v>
      </c>
      <c r="H73" s="658">
        <v>94.04761904761904761904761905</v>
      </c>
      <c r="I73" s="658">
        <v>78.138528138528138528138528140</v>
      </c>
      <c r="J73" s="658">
        <v>75.216450216450216450216450220</v>
      </c>
      <c r="K73" s="658">
        <v>89.17748917748917748917748918</v>
      </c>
      <c r="L73" s="658">
        <v>75.865800865800865800865800870</v>
      </c>
      <c r="M73" s="658">
        <v>73.701298701298701298701298700</v>
      </c>
      <c r="N73" s="658"/>
      <c r="O73" s="658"/>
      <c r="P73" s="658"/>
      <c r="Q73" s="658"/>
      <c r="R73" s="658"/>
      <c r="S73" s="658"/>
      <c r="T73" s="658"/>
      <c r="U73" s="658"/>
      <c r="V73" s="658"/>
      <c r="W73" s="658"/>
      <c r="X73" s="658"/>
      <c r="Y73" s="658"/>
      <c r="Z73" s="658"/>
      <c r="AA73" s="658"/>
      <c r="AB73" s="658"/>
      <c r="AC73" s="658"/>
      <c r="AD73" s="658"/>
      <c r="AE73" s="658"/>
      <c r="AF73" s="658"/>
      <c r="AG73" s="658"/>
      <c r="AH73" s="658"/>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58">
        <v>89.64181994191674733785091965</v>
      </c>
      <c r="C74" s="658">
        <v>86.69616927119347254874844420</v>
      </c>
      <c r="D74" s="658">
        <v>84.53554261107587542143739360</v>
      </c>
      <c r="E74" s="658">
        <v>93.04383902641405061540589130</v>
      </c>
      <c r="F74" s="658">
        <v>91.06624256672659383211174111</v>
      </c>
      <c r="G74" s="658">
        <v>81.74526344903886046190015212</v>
      </c>
      <c r="H74" s="658">
        <v>94.55123772645553865302171207</v>
      </c>
      <c r="I74" s="658">
        <v>81.39952980224035403125432167</v>
      </c>
      <c r="J74" s="658">
        <v>78.495367169132900013829345870</v>
      </c>
      <c r="K74" s="658">
        <v>86.61319319596183100539344489</v>
      </c>
      <c r="L74" s="658">
        <v>77.707094454432305351956852440</v>
      </c>
      <c r="M74" s="658">
        <v>73.751901535057391785368552070</v>
      </c>
      <c r="N74" s="658"/>
      <c r="O74" s="658"/>
      <c r="P74" s="658"/>
      <c r="Q74" s="658"/>
      <c r="R74" s="658"/>
      <c r="S74" s="658"/>
      <c r="T74" s="658"/>
      <c r="U74" s="658"/>
      <c r="V74" s="658"/>
      <c r="W74" s="658"/>
      <c r="X74" s="658"/>
      <c r="Y74" s="658"/>
      <c r="Z74" s="658"/>
      <c r="AA74" s="658"/>
      <c r="AB74" s="658"/>
      <c r="AC74" s="658"/>
      <c r="AD74" s="658"/>
      <c r="AE74" s="658"/>
      <c r="AF74" s="658"/>
      <c r="AG74" s="658"/>
      <c r="AH74" s="658"/>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ht="14.25">
      <c r="A75" s="260" t="s">
        <v>183</v>
      </c>
      <c r="B75" s="658">
        <v>88.89781467101054729920709302</v>
      </c>
      <c r="C75" s="658">
        <v>84.58071138483509617530236087</v>
      </c>
      <c r="D75" s="658">
        <v>85.23250100504757225175324965</v>
      </c>
      <c r="E75" s="658">
        <v>88.20322623888466866258545958</v>
      </c>
      <c r="F75" s="658">
        <v>81.27262165422941150185441709</v>
      </c>
      <c r="G75" s="658">
        <v>76.013226685732159613923767820</v>
      </c>
      <c r="H75" s="658">
        <v>89.62122227683691556071912656</v>
      </c>
      <c r="I75" s="658">
        <v>74.149872648465078868582152910</v>
      </c>
      <c r="J75" s="658">
        <v>72.792945767609514872573990500</v>
      </c>
      <c r="K75" s="658">
        <v>74.404575718307341704276330490</v>
      </c>
      <c r="L75" s="658">
        <v>68.011677614430194974455218430</v>
      </c>
      <c r="M75" s="658">
        <v>68.982152191770592188783511310</v>
      </c>
      <c r="N75" s="658"/>
      <c r="O75" s="658"/>
      <c r="P75" s="658"/>
      <c r="Q75" s="658"/>
      <c r="R75" s="658"/>
      <c r="S75" s="658"/>
      <c r="T75" s="658"/>
      <c r="U75" s="658"/>
      <c r="V75" s="658"/>
      <c r="W75" s="658"/>
      <c r="X75" s="658"/>
      <c r="Y75" s="658"/>
      <c r="Z75" s="658"/>
      <c r="AA75" s="658"/>
      <c r="AB75" s="658"/>
      <c r="AC75" s="658"/>
      <c r="AD75" s="658"/>
      <c r="AE75" s="658"/>
      <c r="AF75" s="658"/>
      <c r="AG75" s="658"/>
      <c r="AH75" s="658"/>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658"/>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658"/>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658"/>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658"/>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658"/>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658"/>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658"/>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658"/>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658"/>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8"/>
      <c r="C95" s="658"/>
      <c r="D95" s="658"/>
      <c r="E95" s="658"/>
      <c r="F95" s="658"/>
      <c r="G95" s="658"/>
      <c r="H95" s="658"/>
      <c r="I95" s="658"/>
      <c r="J95" s="658"/>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70"/>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148</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180</v>
      </c>
      <c r="B4" s="442"/>
      <c r="C4" s="211"/>
      <c r="D4" s="212"/>
      <c r="E4" s="212"/>
      <c r="F4" s="212"/>
      <c r="G4" s="212"/>
      <c r="H4" s="212"/>
      <c r="I4" s="212"/>
      <c r="J4" s="212"/>
      <c r="K4" s="212"/>
      <c r="L4" s="212"/>
      <c r="M4" s="212"/>
      <c r="N4" s="212"/>
      <c r="O4" s="212"/>
      <c r="P4" s="212"/>
      <c r="Q4" s="212"/>
      <c r="R4" s="659" t="s">
        <v>182</v>
      </c>
      <c r="S4" s="659"/>
      <c r="T4" s="659"/>
      <c r="U4" s="659"/>
      <c r="V4" s="659"/>
      <c r="W4" s="659"/>
      <c r="X4" s="659"/>
      <c r="Y4" s="659"/>
      <c r="Z4" s="659"/>
      <c r="AA4" s="659"/>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183</v>
      </c>
      <c r="G9" s="339" t="s">
        <v>63</v>
      </c>
      <c r="H9" s="340" t="s">
        <v>26</v>
      </c>
      <c r="I9" s="341" t="s">
        <v>183</v>
      </c>
      <c r="J9" s="340" t="s">
        <v>63</v>
      </c>
      <c r="K9" s="340" t="s">
        <v>26</v>
      </c>
      <c r="L9" s="341" t="s">
        <v>183</v>
      </c>
      <c r="M9" s="339" t="s">
        <v>63</v>
      </c>
      <c r="N9" s="340" t="s">
        <v>26</v>
      </c>
      <c r="O9" s="341" t="s">
        <v>183</v>
      </c>
      <c r="P9" s="96"/>
      <c r="Q9" s="339" t="s">
        <v>63</v>
      </c>
      <c r="R9" s="340" t="s">
        <v>26</v>
      </c>
      <c r="S9" s="341" t="s">
        <v>183</v>
      </c>
      <c r="T9" s="339" t="s">
        <v>63</v>
      </c>
      <c r="U9" s="340" t="s">
        <v>26</v>
      </c>
      <c r="V9" s="341" t="s">
        <v>183</v>
      </c>
      <c r="W9" s="340"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184</v>
      </c>
      <c r="B10" s="342">
        <v>11</v>
      </c>
      <c r="C10" s="350" t="s">
        <v>49</v>
      </c>
      <c r="D10" s="354">
        <v>57.575757575757575757575757580</v>
      </c>
      <c r="E10" s="355">
        <v>55.953533397870280735721200390</v>
      </c>
      <c r="F10" s="356">
        <v>41.469699547137146969889562030</v>
      </c>
      <c r="G10" s="354">
        <v>0.7575757575757575757575757600</v>
      </c>
      <c r="H10" s="355">
        <v>9.486931268151016456921587610</v>
      </c>
      <c r="I10" s="356">
        <v>5.1794808413975375399127371400</v>
      </c>
      <c r="J10" s="355">
        <v>0</v>
      </c>
      <c r="K10" s="355">
        <v>0</v>
      </c>
      <c r="L10" s="356">
        <v>7.526609414405571980657506900</v>
      </c>
      <c r="M10" s="354">
        <v>58.333333333333333333333333330</v>
      </c>
      <c r="N10" s="355">
        <v>65.44046466602129719264278800</v>
      </c>
      <c r="O10" s="356">
        <v>54.175789802940256490459806070</v>
      </c>
      <c r="P10" s="4"/>
      <c r="Q10" s="354">
        <v>-17.391304347862003780718320860</v>
      </c>
      <c r="R10" s="355">
        <v>-23.035952063925438430073704060</v>
      </c>
      <c r="S10" s="356">
        <v>-11.561318245049873083055459680</v>
      </c>
      <c r="T10" s="354">
        <v>0</v>
      </c>
      <c r="U10" s="355">
        <v>180.00000000209600000001569009</v>
      </c>
      <c r="V10" s="356">
        <v>-29.645906791525105278062465880</v>
      </c>
      <c r="W10" s="355">
        <v>0</v>
      </c>
      <c r="X10" s="355">
        <v>-100</v>
      </c>
      <c r="Y10" s="356">
        <v>14.797067939234109571176433330</v>
      </c>
      <c r="Z10" s="354">
        <v>-16.304347826123345935727772460</v>
      </c>
      <c r="AA10" s="355">
        <v>-14.646464646423694010815203280</v>
      </c>
      <c r="AB10" s="356">
        <v>-10.908815017594091856842092070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12</v>
      </c>
      <c r="C11" s="351" t="s">
        <v>47</v>
      </c>
      <c r="D11" s="327">
        <v>55.303030303030303030303030300</v>
      </c>
      <c r="E11" s="171">
        <v>54.791868344627299128751210070</v>
      </c>
      <c r="F11" s="328">
        <v>42.471850027277160359615724130</v>
      </c>
      <c r="G11" s="327">
        <v>8.333333333333333333333333330</v>
      </c>
      <c r="H11" s="171">
        <v>10.551790900290416263310745400</v>
      </c>
      <c r="I11" s="328">
        <v>11.984409158540759911600428490</v>
      </c>
      <c r="J11" s="171">
        <v>0</v>
      </c>
      <c r="K11" s="171">
        <v>0</v>
      </c>
      <c r="L11" s="328">
        <v>7.2578477894714134791748389300</v>
      </c>
      <c r="M11" s="327">
        <v>63.636363636363636363636363640</v>
      </c>
      <c r="N11" s="171">
        <v>65.343659244917715392061955470</v>
      </c>
      <c r="O11" s="328">
        <v>61.714106975289333750390991550</v>
      </c>
      <c r="P11" s="4"/>
      <c r="Q11" s="327">
        <v>-30.476190476230204081632630360</v>
      </c>
      <c r="R11" s="171">
        <v>-18.443804034599407436321201560</v>
      </c>
      <c r="S11" s="328">
        <v>-7.8510830760528810747916154300</v>
      </c>
      <c r="T11" s="327">
        <v>0</v>
      </c>
      <c r="U11" s="171">
        <v>7.9207920787858543280087087700</v>
      </c>
      <c r="V11" s="328">
        <v>-9.299129316264998911755533960</v>
      </c>
      <c r="W11" s="171">
        <v>0</v>
      </c>
      <c r="X11" s="171">
        <v>-100</v>
      </c>
      <c r="Y11" s="328">
        <v>19.063131610506633673742390830</v>
      </c>
      <c r="Z11" s="327">
        <v>-20.000000000045714285714259590</v>
      </c>
      <c r="AA11" s="171">
        <v>-15.625000000037652343749983200</v>
      </c>
      <c r="AB11" s="328">
        <v>-5.6350000818026742360452259200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13</v>
      </c>
      <c r="C12" s="352" t="s">
        <v>48</v>
      </c>
      <c r="D12" s="359">
        <v>61.363636363636363636363636360</v>
      </c>
      <c r="E12" s="170">
        <v>63.407550822846079380445304930</v>
      </c>
      <c r="F12" s="360">
        <v>46.33077375199074072389377700</v>
      </c>
      <c r="G12" s="359">
        <v>8.333333333333333333333333330</v>
      </c>
      <c r="H12" s="170">
        <v>12.100677637947725072604065830</v>
      </c>
      <c r="I12" s="360">
        <v>14.446746971926256207280636610</v>
      </c>
      <c r="J12" s="170">
        <v>0</v>
      </c>
      <c r="K12" s="170">
        <v>0</v>
      </c>
      <c r="L12" s="360">
        <v>6.8692314395696050915552287700</v>
      </c>
      <c r="M12" s="359">
        <v>69.696969696969696969696969700</v>
      </c>
      <c r="N12" s="170">
        <v>75.508228460793804453049370760</v>
      </c>
      <c r="O12" s="360">
        <v>67.646752163486602022729642370</v>
      </c>
      <c r="P12" s="4"/>
      <c r="Q12" s="359">
        <v>-25.688073394533591448531248800</v>
      </c>
      <c r="R12" s="170">
        <v>-6.1604584527219285966453477500</v>
      </c>
      <c r="S12" s="360">
        <v>-6.3205923909077693137909612700</v>
      </c>
      <c r="T12" s="359">
        <v>0</v>
      </c>
      <c r="U12" s="170">
        <v>-23.780487804938466686496085350</v>
      </c>
      <c r="V12" s="360">
        <v>-13.565951705547738140432605050</v>
      </c>
      <c r="W12" s="170">
        <v>0</v>
      </c>
      <c r="X12" s="170">
        <v>-100</v>
      </c>
      <c r="Y12" s="360">
        <v>11.489047776847411198084320710</v>
      </c>
      <c r="Z12" s="359">
        <v>-15.596330275272721151418208510</v>
      </c>
      <c r="AA12" s="170">
        <v>-10.344827586189686880697578950</v>
      </c>
      <c r="AB12" s="360">
        <v>-6.4777675478208307322070406200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14</v>
      </c>
      <c r="C13" s="351" t="s">
        <v>50</v>
      </c>
      <c r="D13" s="327">
        <v>62.878787878787878787878787880</v>
      </c>
      <c r="E13" s="171">
        <v>64.956437560503388189738625360</v>
      </c>
      <c r="F13" s="328">
        <v>48.449191398535969657281373030</v>
      </c>
      <c r="G13" s="327">
        <v>8.333333333333333333333333330</v>
      </c>
      <c r="H13" s="171">
        <v>11.810261374636979670861568250</v>
      </c>
      <c r="I13" s="328">
        <v>19.448461763598249326589019220</v>
      </c>
      <c r="J13" s="171">
        <v>0</v>
      </c>
      <c r="K13" s="171">
        <v>0</v>
      </c>
      <c r="L13" s="328">
        <v>7.089313786046366982139408600</v>
      </c>
      <c r="M13" s="327">
        <v>71.212121212121212121212121210</v>
      </c>
      <c r="N13" s="171">
        <v>76.766698935140367860600193610</v>
      </c>
      <c r="O13" s="328">
        <v>74.986966948180585966009800850</v>
      </c>
      <c r="P13" s="4"/>
      <c r="Q13" s="327">
        <v>-23.853211009213433212692514200</v>
      </c>
      <c r="R13" s="171">
        <v>-5.0919377651602555971903303100</v>
      </c>
      <c r="S13" s="328">
        <v>-7.0136461600472165121612550800</v>
      </c>
      <c r="T13" s="327">
        <v>0</v>
      </c>
      <c r="U13" s="171">
        <v>1.6666666669276111111117808900</v>
      </c>
      <c r="V13" s="328">
        <v>8.502616132944782741104043590</v>
      </c>
      <c r="W13" s="171">
        <v>0</v>
      </c>
      <c r="X13" s="171">
        <v>-100</v>
      </c>
      <c r="Y13" s="328">
        <v>9.781540197988557461630650880</v>
      </c>
      <c r="Z13" s="327">
        <v>-13.761467889952562915579473920</v>
      </c>
      <c r="AA13" s="171">
        <v>-4.687500000023599008413455700</v>
      </c>
      <c r="AB13" s="328">
        <v>-1.9593957611572482970206926400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15</v>
      </c>
      <c r="C14" s="352" t="s">
        <v>51</v>
      </c>
      <c r="D14" s="359">
        <v>72.727272727272727272727272730</v>
      </c>
      <c r="E14" s="170">
        <v>74.443368828654404646660212970</v>
      </c>
      <c r="F14" s="360">
        <v>52.300314693014435849691206980</v>
      </c>
      <c r="G14" s="359">
        <v>8.333333333333333333333333330</v>
      </c>
      <c r="H14" s="170">
        <v>5.6147144240077444336882865400</v>
      </c>
      <c r="I14" s="360">
        <v>17.444486037234853022108664090</v>
      </c>
      <c r="J14" s="170">
        <v>0</v>
      </c>
      <c r="K14" s="170">
        <v>0</v>
      </c>
      <c r="L14" s="360">
        <v>7.7445121672587916203281656300</v>
      </c>
      <c r="M14" s="359">
        <v>81.06060606060606060606060606</v>
      </c>
      <c r="N14" s="170">
        <v>80.05808325266214908034849952</v>
      </c>
      <c r="O14" s="360">
        <v>77.489312897508080492128036700</v>
      </c>
      <c r="P14" s="4"/>
      <c r="Q14" s="359">
        <v>-6.7961165048507493637477611900</v>
      </c>
      <c r="R14" s="170">
        <v>-3.1486146095164099131394464100</v>
      </c>
      <c r="S14" s="360">
        <v>-6.2179064237023494209102538200</v>
      </c>
      <c r="T14" s="359">
        <v>0</v>
      </c>
      <c r="U14" s="170">
        <v>-25.641025641228698224851516560</v>
      </c>
      <c r="V14" s="360">
        <v>6.248050443310466128283193200</v>
      </c>
      <c r="W14" s="170">
        <v>0</v>
      </c>
      <c r="X14" s="170">
        <v>-100</v>
      </c>
      <c r="Y14" s="360">
        <v>28.327482227106544536618758440</v>
      </c>
      <c r="Z14" s="359">
        <v>3.8834951456351022716561411700</v>
      </c>
      <c r="AA14" s="170">
        <v>-6.6591422122184823871713906700</v>
      </c>
      <c r="AB14" s="360">
        <v>-0.9360588009075025433278821200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16</v>
      </c>
      <c r="C15" s="351" t="s">
        <v>52</v>
      </c>
      <c r="D15" s="327">
        <v>86.36363636363636363636363636</v>
      </c>
      <c r="E15" s="171">
        <v>78.896418199419167473378509200</v>
      </c>
      <c r="F15" s="328">
        <v>63.359216450065446410854783310</v>
      </c>
      <c r="G15" s="327">
        <v>0</v>
      </c>
      <c r="H15" s="171">
        <v>11.326234269119070667957405610</v>
      </c>
      <c r="I15" s="328">
        <v>15.523008030266034370659421910</v>
      </c>
      <c r="J15" s="171">
        <v>0</v>
      </c>
      <c r="K15" s="171">
        <v>0</v>
      </c>
      <c r="L15" s="328">
        <v>7.7615040151330171853297109600</v>
      </c>
      <c r="M15" s="327">
        <v>86.36363636363636363636363636</v>
      </c>
      <c r="N15" s="171">
        <v>90.22265246853823814133591481</v>
      </c>
      <c r="O15" s="328">
        <v>86.64372849546449796684391617</v>
      </c>
      <c r="P15" s="4"/>
      <c r="Q15" s="327">
        <v>2.7027027027138056975894825700</v>
      </c>
      <c r="R15" s="171">
        <v>-6.6437571591913481838376348100</v>
      </c>
      <c r="S15" s="328">
        <v>-4.6921575641591356142025429500</v>
      </c>
      <c r="T15" s="327">
        <v>0</v>
      </c>
      <c r="U15" s="171">
        <v>154.34782608494385633271913981</v>
      </c>
      <c r="V15" s="328">
        <v>30.954940616962109417750668770</v>
      </c>
      <c r="W15" s="171">
        <v>0</v>
      </c>
      <c r="X15" s="171">
        <v>-100</v>
      </c>
      <c r="Y15" s="328">
        <v>22.569229506613686535176508860</v>
      </c>
      <c r="Z15" s="327">
        <v>2.7027027027138056975894825700</v>
      </c>
      <c r="AA15" s="171">
        <v>0.2150537634754505723205114200</v>
      </c>
      <c r="AB15" s="328">
        <v>2.3376868644712857428082358400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17</v>
      </c>
      <c r="C16" s="352" t="s">
        <v>53</v>
      </c>
      <c r="D16" s="359">
        <v>96.21212121212121212121212121</v>
      </c>
      <c r="E16" s="170">
        <v>83.83349467570183930300096806</v>
      </c>
      <c r="F16" s="360">
        <v>68.448244596397730467249755500</v>
      </c>
      <c r="G16" s="359">
        <v>0</v>
      </c>
      <c r="H16" s="170">
        <v>12.294288480154888673765730880</v>
      </c>
      <c r="I16" s="360">
        <v>10.691257230869129682495060640</v>
      </c>
      <c r="J16" s="170">
        <v>0</v>
      </c>
      <c r="K16" s="170">
        <v>0</v>
      </c>
      <c r="L16" s="360">
        <v>7.7544612631303872697109236100</v>
      </c>
      <c r="M16" s="359">
        <v>96.21212121212121212121212121</v>
      </c>
      <c r="N16" s="170">
        <v>96.12778315585672797676669894</v>
      </c>
      <c r="O16" s="360">
        <v>86.89396309039724741945573976</v>
      </c>
      <c r="P16" s="4"/>
      <c r="Q16" s="359">
        <v>16.513761467830047975759646950</v>
      </c>
      <c r="R16" s="170">
        <v>-7.6759061834098153763621551300</v>
      </c>
      <c r="S16" s="360">
        <v>3.3477912182642174490761613100</v>
      </c>
      <c r="T16" s="359">
        <v>0</v>
      </c>
      <c r="U16" s="170">
        <v>477.27272726698078512402414578</v>
      </c>
      <c r="V16" s="360">
        <v>19.301048851352104627126577940</v>
      </c>
      <c r="W16" s="170">
        <v>0</v>
      </c>
      <c r="X16" s="170">
        <v>-100</v>
      </c>
      <c r="Y16" s="360">
        <v>18.316642362469936544203815690</v>
      </c>
      <c r="Z16" s="359">
        <v>16.513761467830047975759646950</v>
      </c>
      <c r="AA16" s="170">
        <v>2.5826446280632484333378993400</v>
      </c>
      <c r="AB16" s="360">
        <v>6.2968099816603067266442621300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18</v>
      </c>
      <c r="C17" s="351" t="s">
        <v>49</v>
      </c>
      <c r="D17" s="327">
        <v>76.515151515151515151515151520</v>
      </c>
      <c r="E17" s="171">
        <v>70.474346563407550822846079390</v>
      </c>
      <c r="F17" s="328">
        <v>51.360785886514525845653562190</v>
      </c>
      <c r="G17" s="327">
        <v>12.878787878787878787878787880</v>
      </c>
      <c r="H17" s="171">
        <v>18.780251694094869312681510170</v>
      </c>
      <c r="I17" s="328">
        <v>10.627922375464645418302709930</v>
      </c>
      <c r="J17" s="171">
        <v>0</v>
      </c>
      <c r="K17" s="171">
        <v>0</v>
      </c>
      <c r="L17" s="328">
        <v>7.4305389489477393814404539800</v>
      </c>
      <c r="M17" s="327">
        <v>89.39393939393939393939393939</v>
      </c>
      <c r="N17" s="171">
        <v>89.25459825750242013552758955</v>
      </c>
      <c r="O17" s="328">
        <v>69.419247210926910645396726100</v>
      </c>
      <c r="P17" s="4"/>
      <c r="Q17" s="327">
        <v>-7.3394495413320090901439028200</v>
      </c>
      <c r="R17" s="171">
        <v>-11.327649208237219991068769330</v>
      </c>
      <c r="S17" s="328">
        <v>-0.4762172209186849643307450600</v>
      </c>
      <c r="T17" s="327">
        <v>0</v>
      </c>
      <c r="U17" s="171">
        <v>351.16279069269064359118539418</v>
      </c>
      <c r="V17" s="328">
        <v>37.136886371000976146566863740</v>
      </c>
      <c r="W17" s="171">
        <v>0</v>
      </c>
      <c r="X17" s="171">
        <v>-100</v>
      </c>
      <c r="Y17" s="328">
        <v>26.990441605566510795185583640</v>
      </c>
      <c r="Z17" s="327">
        <v>8.256880733889335914485341250</v>
      </c>
      <c r="AA17" s="171">
        <v>5.4919908467199427655797674900</v>
      </c>
      <c r="AB17" s="328">
        <v>6.4587181628119413722692502100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19</v>
      </c>
      <c r="C18" s="352" t="s">
        <v>47</v>
      </c>
      <c r="D18" s="359">
        <v>64.393939393939393939393939390</v>
      </c>
      <c r="E18" s="170">
        <v>64.375605033881897386253630200</v>
      </c>
      <c r="F18" s="360">
        <v>47.989964147014974304733711910</v>
      </c>
      <c r="G18" s="359">
        <v>25.757575757575757575757575760</v>
      </c>
      <c r="H18" s="170">
        <v>23.426911907066795740561471440</v>
      </c>
      <c r="I18" s="360">
        <v>13.432756708125207588299597880</v>
      </c>
      <c r="J18" s="170">
        <v>0</v>
      </c>
      <c r="K18" s="170">
        <v>0</v>
      </c>
      <c r="L18" s="360">
        <v>7.3813663099103863480260166600</v>
      </c>
      <c r="M18" s="359">
        <v>90.15151515151515151515151515</v>
      </c>
      <c r="N18" s="170">
        <v>87.80251694094869312681510165</v>
      </c>
      <c r="O18" s="360">
        <v>68.804087165050568241059326450</v>
      </c>
      <c r="P18" s="4"/>
      <c r="Q18" s="359">
        <v>-27.350427350457155380232291090</v>
      </c>
      <c r="R18" s="170">
        <v>-11.214953271049137167313422240</v>
      </c>
      <c r="S18" s="360">
        <v>-3.9709894923679471853675710900</v>
      </c>
      <c r="T18" s="359">
        <v>0</v>
      </c>
      <c r="U18" s="170">
        <v>210.25641025556301775148160352</v>
      </c>
      <c r="V18" s="360">
        <v>19.165567908518021445727104400</v>
      </c>
      <c r="W18" s="170">
        <v>0</v>
      </c>
      <c r="X18" s="170">
        <v>-100</v>
      </c>
      <c r="Y18" s="360">
        <v>24.452788739584142000357077640</v>
      </c>
      <c r="Z18" s="359">
        <v>1.7094017093599824676747924800</v>
      </c>
      <c r="AA18" s="170">
        <v>8.622754491005605794399226910</v>
      </c>
      <c r="AB18" s="360">
        <v>2.4207955738357980105441669900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20</v>
      </c>
      <c r="C19" s="351" t="s">
        <v>48</v>
      </c>
      <c r="D19" s="327">
        <v>53.030303030303030303030303030</v>
      </c>
      <c r="E19" s="171">
        <v>59.825750242013552758954501450</v>
      </c>
      <c r="F19" s="328">
        <v>47.013040852803590130915919780</v>
      </c>
      <c r="G19" s="327">
        <v>36.363636363636363636363636360</v>
      </c>
      <c r="H19" s="171">
        <v>25.266214908034849951597289450</v>
      </c>
      <c r="I19" s="328">
        <v>15.895147692788458843793846730</v>
      </c>
      <c r="J19" s="171">
        <v>0</v>
      </c>
      <c r="K19" s="171">
        <v>0</v>
      </c>
      <c r="L19" s="328">
        <v>7.2200566843109851197537930700</v>
      </c>
      <c r="M19" s="327">
        <v>89.39393939393939393939393939</v>
      </c>
      <c r="N19" s="171">
        <v>85.09196515004840271055179090</v>
      </c>
      <c r="O19" s="328">
        <v>70.128245229903034094463559590</v>
      </c>
      <c r="P19" s="4"/>
      <c r="Q19" s="327">
        <v>-33.333333333371428571428549660</v>
      </c>
      <c r="R19" s="171">
        <v>-8.849557522084368392199841900</v>
      </c>
      <c r="S19" s="328">
        <v>-5.1313634088844929564946370500</v>
      </c>
      <c r="T19" s="327">
        <v>0</v>
      </c>
      <c r="U19" s="171">
        <v>166.32653061086978342358061114</v>
      </c>
      <c r="V19" s="328">
        <v>17.373087447637324540071232210</v>
      </c>
      <c r="W19" s="171">
        <v>0</v>
      </c>
      <c r="X19" s="171">
        <v>-100</v>
      </c>
      <c r="Y19" s="328">
        <v>15.091414370046763763706912730</v>
      </c>
      <c r="Z19" s="327">
        <v>12.380952380888163265306159140</v>
      </c>
      <c r="AA19" s="171">
        <v>12.548015364912882462977141300</v>
      </c>
      <c r="AB19" s="328">
        <v>1.0906083372125379984017472100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21</v>
      </c>
      <c r="C20" s="352" t="s">
        <v>50</v>
      </c>
      <c r="D20" s="359">
        <v>57.575757575757575757575757580</v>
      </c>
      <c r="E20" s="170">
        <v>53.920619554695062923523717330</v>
      </c>
      <c r="F20" s="360">
        <v>47.782058337919647771051183270</v>
      </c>
      <c r="G20" s="359">
        <v>37.878787878787878787878787880</v>
      </c>
      <c r="H20" s="170">
        <v>25.072604065827686350435624390</v>
      </c>
      <c r="I20" s="360">
        <v>14.870665932856356631810676940</v>
      </c>
      <c r="J20" s="170">
        <v>0</v>
      </c>
      <c r="K20" s="170">
        <v>0</v>
      </c>
      <c r="L20" s="360">
        <v>6.9124931205283434232250963100</v>
      </c>
      <c r="M20" s="359">
        <v>95.45454545454545454545454545</v>
      </c>
      <c r="N20" s="170">
        <v>78.993223620522749273959341720</v>
      </c>
      <c r="O20" s="360">
        <v>69.565217391304347826086956520</v>
      </c>
      <c r="P20" s="4"/>
      <c r="Q20" s="359">
        <v>-37.190082644650939143501118660</v>
      </c>
      <c r="R20" s="170">
        <v>-12.695924764911218688888665490</v>
      </c>
      <c r="S20" s="360">
        <v>-6.5612293653952862173790687600</v>
      </c>
      <c r="T20" s="359">
        <v>0</v>
      </c>
      <c r="U20" s="170">
        <v>439.58333333007335069446414007</v>
      </c>
      <c r="V20" s="360">
        <v>27.684091081947594309952609050</v>
      </c>
      <c r="W20" s="170">
        <v>0</v>
      </c>
      <c r="X20" s="170">
        <v>-100</v>
      </c>
      <c r="Y20" s="360">
        <v>10.650544575749704840136481770</v>
      </c>
      <c r="Z20" s="359">
        <v>4.1322314049208114199849874700</v>
      </c>
      <c r="AA20" s="170">
        <v>18.089725036135358684429344540</v>
      </c>
      <c r="AB20" s="360">
        <v>0.7740498771977976940581767100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22</v>
      </c>
      <c r="C21" s="351" t="s">
        <v>51</v>
      </c>
      <c r="D21" s="327">
        <v>62.878787878787878787878787880</v>
      </c>
      <c r="E21" s="171">
        <v>60.890609874152952565343659240</v>
      </c>
      <c r="F21" s="328">
        <v>52.882156184832193394755589620</v>
      </c>
      <c r="G21" s="327">
        <v>32.575757575757575757575757580</v>
      </c>
      <c r="H21" s="171">
        <v>20.716360116166505324298160700</v>
      </c>
      <c r="I21" s="328">
        <v>15.268546083689189655176630360</v>
      </c>
      <c r="J21" s="171">
        <v>0</v>
      </c>
      <c r="K21" s="171">
        <v>0</v>
      </c>
      <c r="L21" s="328">
        <v>6.1585459850496731485872253300</v>
      </c>
      <c r="M21" s="327">
        <v>95.45454545454545454545454545</v>
      </c>
      <c r="N21" s="171">
        <v>81.60696999031945788964181994</v>
      </c>
      <c r="O21" s="328">
        <v>74.309248253571056198519445310</v>
      </c>
      <c r="P21" s="4"/>
      <c r="Q21" s="327">
        <v>-30.252100840324412117788289820</v>
      </c>
      <c r="R21" s="171">
        <v>-8.972503617978994347419046920</v>
      </c>
      <c r="S21" s="328">
        <v>1.6321795701134574880201637300</v>
      </c>
      <c r="T21" s="327">
        <v>0</v>
      </c>
      <c r="U21" s="171">
        <v>234.37500000157783203125744544</v>
      </c>
      <c r="V21" s="328">
        <v>29.108188235319056636267778160</v>
      </c>
      <c r="W21" s="171">
        <v>0</v>
      </c>
      <c r="X21" s="171">
        <v>-100</v>
      </c>
      <c r="Y21" s="328">
        <v>2.5996013022737182794473006900</v>
      </c>
      <c r="Z21" s="327">
        <v>5.8823529411942659416707889500</v>
      </c>
      <c r="AA21" s="171">
        <v>10.629921259886510323020663530</v>
      </c>
      <c r="AB21" s="328">
        <v>6.3664391922006865024365765500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23</v>
      </c>
      <c r="C22" s="352" t="s">
        <v>52</v>
      </c>
      <c r="D22" s="359">
        <v>71.969696969696969696969696970</v>
      </c>
      <c r="E22" s="170">
        <v>78.799612778315585672797676670</v>
      </c>
      <c r="F22" s="360">
        <v>62.013367502359871875432179090</v>
      </c>
      <c r="G22" s="359">
        <v>1.5151515151515151515151515200</v>
      </c>
      <c r="H22" s="170">
        <v>6.8731848983543078412391093900</v>
      </c>
      <c r="I22" s="360">
        <v>10.264769734979659157463089010</v>
      </c>
      <c r="J22" s="170">
        <v>0</v>
      </c>
      <c r="K22" s="170">
        <v>0</v>
      </c>
      <c r="L22" s="360">
        <v>7.2443317439971387617038352300</v>
      </c>
      <c r="M22" s="359">
        <v>73.484848484848484848484848480</v>
      </c>
      <c r="N22" s="170">
        <v>85.67279767666989351403678606</v>
      </c>
      <c r="O22" s="360">
        <v>79.52246898133666979459910333</v>
      </c>
      <c r="P22" s="4"/>
      <c r="Q22" s="359">
        <v>-18.803418803452114836730207680</v>
      </c>
      <c r="R22" s="170">
        <v>4.3589743589657961867192643500</v>
      </c>
      <c r="S22" s="360">
        <v>-3.3933283517939162420365146600</v>
      </c>
      <c r="T22" s="359">
        <v>0</v>
      </c>
      <c r="U22" s="170">
        <v>-10.126582278681236981252558260</v>
      </c>
      <c r="V22" s="360">
        <v>43.447921875249577836684716370</v>
      </c>
      <c r="W22" s="170">
        <v>0</v>
      </c>
      <c r="X22" s="170">
        <v>-100</v>
      </c>
      <c r="Y22" s="360">
        <v>13.660931605191735066950938850</v>
      </c>
      <c r="Z22" s="359">
        <v>-17.09401709405110672802979100</v>
      </c>
      <c r="AA22" s="170">
        <v>1.9585253456330439433838063100</v>
      </c>
      <c r="AB22" s="360">
        <v>2.3178930850685275622034917800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24</v>
      </c>
      <c r="C23" s="351" t="s">
        <v>53</v>
      </c>
      <c r="D23" s="327">
        <v>90.15151515151515151515151515</v>
      </c>
      <c r="E23" s="171">
        <v>91.38431752178121974830590513</v>
      </c>
      <c r="F23" s="328">
        <v>72.010651138523877069145962510</v>
      </c>
      <c r="G23" s="327">
        <v>0.7575757575757575757575757600</v>
      </c>
      <c r="H23" s="171">
        <v>6.4859632139399806389157792800</v>
      </c>
      <c r="I23" s="328">
        <v>9.292077790788373709365120920</v>
      </c>
      <c r="J23" s="171">
        <v>0</v>
      </c>
      <c r="K23" s="171">
        <v>0</v>
      </c>
      <c r="L23" s="328">
        <v>7.7807868667465543512981126900</v>
      </c>
      <c r="M23" s="327">
        <v>90.90909090909090909090909091</v>
      </c>
      <c r="N23" s="171">
        <v>97.87028073572120038722168441</v>
      </c>
      <c r="O23" s="328">
        <v>89.08351579605880512980919612</v>
      </c>
      <c r="P23" s="4"/>
      <c r="Q23" s="327">
        <v>-3.2520325203063255998413605900</v>
      </c>
      <c r="R23" s="171">
        <v>8.381171067763616255910245440</v>
      </c>
      <c r="S23" s="328">
        <v>-2.5706291310874218507232306900</v>
      </c>
      <c r="T23" s="327">
        <v>0</v>
      </c>
      <c r="U23" s="171">
        <v>-14.102564102798668639052613940</v>
      </c>
      <c r="V23" s="328">
        <v>48.448583865014672131646311690</v>
      </c>
      <c r="W23" s="171">
        <v>0</v>
      </c>
      <c r="X23" s="171">
        <v>-100</v>
      </c>
      <c r="Y23" s="328">
        <v>27.947090363661053214788300620</v>
      </c>
      <c r="Z23" s="327">
        <v>-2.4390243902248661511005316800</v>
      </c>
      <c r="AA23" s="171">
        <v>5.974842767315148398665668200</v>
      </c>
      <c r="AB23" s="328">
        <v>3.2836416008233868457455193100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25</v>
      </c>
      <c r="C24" s="352" t="s">
        <v>49</v>
      </c>
      <c r="D24" s="359">
        <v>96.21212121212121212121212121</v>
      </c>
      <c r="E24" s="170">
        <v>83.15585672797676669893514038</v>
      </c>
      <c r="F24" s="360">
        <v>62.896103181365046434818834200</v>
      </c>
      <c r="G24" s="359">
        <v>0</v>
      </c>
      <c r="H24" s="170">
        <v>5.808325266214908034849951600</v>
      </c>
      <c r="I24" s="360">
        <v>6.1318064750291371434662089300</v>
      </c>
      <c r="J24" s="170">
        <v>0</v>
      </c>
      <c r="K24" s="170">
        <v>0</v>
      </c>
      <c r="L24" s="360">
        <v>6.8870105813286816078269368600</v>
      </c>
      <c r="M24" s="359">
        <v>96.21212121212121212121212121</v>
      </c>
      <c r="N24" s="170">
        <v>88.96418199419167473378509197</v>
      </c>
      <c r="O24" s="360">
        <v>75.914920237722865186111979980</v>
      </c>
      <c r="P24" s="4"/>
      <c r="Q24" s="359">
        <v>4.9586776859122464312547095900</v>
      </c>
      <c r="R24" s="170">
        <v>1.4167650531704775100396180700</v>
      </c>
      <c r="S24" s="360">
        <v>-4.2733122200106604703402382300</v>
      </c>
      <c r="T24" s="359">
        <v>0</v>
      </c>
      <c r="U24" s="170">
        <v>-15.492957747040666534414039470</v>
      </c>
      <c r="V24" s="360">
        <v>20.648525776409840323460314380</v>
      </c>
      <c r="W24" s="170">
        <v>0</v>
      </c>
      <c r="X24" s="170">
        <v>-100</v>
      </c>
      <c r="Y24" s="360">
        <v>13.419541542816760356398011140</v>
      </c>
      <c r="Z24" s="359">
        <v>4.9586776859122464312547095900</v>
      </c>
      <c r="AA24" s="170">
        <v>-0.5411255411148848175633878400</v>
      </c>
      <c r="AB24" s="360">
        <v>-1.2275043602284145424717943700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26</v>
      </c>
      <c r="C25" s="351" t="s">
        <v>47</v>
      </c>
      <c r="D25" s="327">
        <v>73.484848484848484848484848480</v>
      </c>
      <c r="E25" s="171">
        <v>59.535333978702807357212003870</v>
      </c>
      <c r="F25" s="328">
        <v>41.476346581095230233068605920</v>
      </c>
      <c r="G25" s="327">
        <v>0</v>
      </c>
      <c r="H25" s="171">
        <v>0.3872216844143272023233301100</v>
      </c>
      <c r="I25" s="328">
        <v>4.67719169903378036783858500</v>
      </c>
      <c r="J25" s="171">
        <v>0</v>
      </c>
      <c r="K25" s="171">
        <v>0</v>
      </c>
      <c r="L25" s="328">
        <v>6.948328052891529488760205600</v>
      </c>
      <c r="M25" s="327">
        <v>73.484848484848484848484848480</v>
      </c>
      <c r="N25" s="171">
        <v>59.922555663117134559535333980</v>
      </c>
      <c r="O25" s="328">
        <v>53.101866333020540089667396520</v>
      </c>
      <c r="P25" s="4"/>
      <c r="Q25" s="327">
        <v>-4.9019607842801614763552361400</v>
      </c>
      <c r="R25" s="171">
        <v>-13.258110014054456006891021470</v>
      </c>
      <c r="S25" s="328">
        <v>-10.386485752919659574920002960</v>
      </c>
      <c r="T25" s="327">
        <v>0</v>
      </c>
      <c r="U25" s="171">
        <v>-49.999999998149999999931549550</v>
      </c>
      <c r="V25" s="328">
        <v>82.17228008114010629771972923</v>
      </c>
      <c r="W25" s="171">
        <v>0</v>
      </c>
      <c r="X25" s="171">
        <v>-100</v>
      </c>
      <c r="Y25" s="328">
        <v>29.482904395740579394587498680</v>
      </c>
      <c r="Z25" s="327">
        <v>-4.9019607842801614763552361400</v>
      </c>
      <c r="AA25" s="171">
        <v>-14.147018030534728695889699320</v>
      </c>
      <c r="AB25" s="328">
        <v>-2.0572530216555856400342333400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27</v>
      </c>
      <c r="C26" s="352" t="s">
        <v>48</v>
      </c>
      <c r="D26" s="359">
        <v>66.666666666666666666666666670</v>
      </c>
      <c r="E26" s="170">
        <v>53.146176185866408518877057120</v>
      </c>
      <c r="F26" s="360">
        <v>43.097422697917366967614820010</v>
      </c>
      <c r="G26" s="359">
        <v>0</v>
      </c>
      <c r="H26" s="170">
        <v>1.2584704743465634075508228500</v>
      </c>
      <c r="I26" s="360">
        <v>5.5487374621413776499152482800</v>
      </c>
      <c r="J26" s="170">
        <v>0</v>
      </c>
      <c r="K26" s="170">
        <v>0</v>
      </c>
      <c r="L26" s="360">
        <v>6.8746405906450401807182895400</v>
      </c>
      <c r="M26" s="359">
        <v>66.666666666666666666666666670</v>
      </c>
      <c r="N26" s="170">
        <v>54.404646660212971926427879960</v>
      </c>
      <c r="O26" s="360">
        <v>55.520800750703784798248357840</v>
      </c>
      <c r="P26" s="4"/>
      <c r="Q26" s="359">
        <v>-9.278350515404059942608101640</v>
      </c>
      <c r="R26" s="170">
        <v>-20.087336244588711122976269260</v>
      </c>
      <c r="S26" s="360">
        <v>-14.785879705904608599032711210</v>
      </c>
      <c r="T26" s="359">
        <v>0</v>
      </c>
      <c r="U26" s="170">
        <v>44.444444449788888889086633780</v>
      </c>
      <c r="V26" s="360">
        <v>103.45341111849865657001915328</v>
      </c>
      <c r="W26" s="170">
        <v>0</v>
      </c>
      <c r="X26" s="170">
        <v>-100</v>
      </c>
      <c r="Y26" s="360">
        <v>20.687959331644219948603354830</v>
      </c>
      <c r="Z26" s="359">
        <v>-9.278350515404059942608101640</v>
      </c>
      <c r="AA26" s="170">
        <v>-19.599427753929820855872173580</v>
      </c>
      <c r="AB26" s="360">
        <v>-5.8952492691559385340709575300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28</v>
      </c>
      <c r="C27" s="351" t="s">
        <v>50</v>
      </c>
      <c r="D27" s="327">
        <v>72.727272727272727272727272730</v>
      </c>
      <c r="E27" s="171">
        <v>63.213939980638915779283639880</v>
      </c>
      <c r="F27" s="328">
        <v>49.475631089331433404001436530</v>
      </c>
      <c r="G27" s="327">
        <v>0</v>
      </c>
      <c r="H27" s="171">
        <v>5.4211035818005808325266214900</v>
      </c>
      <c r="I27" s="328">
        <v>8.037894322223380715717281250</v>
      </c>
      <c r="J27" s="171">
        <v>0</v>
      </c>
      <c r="K27" s="171">
        <v>0</v>
      </c>
      <c r="L27" s="328">
        <v>5.4830338627648605753078696500</v>
      </c>
      <c r="M27" s="327">
        <v>72.727272727272727272727272730</v>
      </c>
      <c r="N27" s="171">
        <v>68.635043562439496611810261370</v>
      </c>
      <c r="O27" s="328">
        <v>62.996559274319674695026587430</v>
      </c>
      <c r="P27" s="4"/>
      <c r="Q27" s="327">
        <v>4.3478260869111531190926473300</v>
      </c>
      <c r="R27" s="171">
        <v>-5.6358381503191538724982362300</v>
      </c>
      <c r="S27" s="328">
        <v>-4.7886044375950120736674419400</v>
      </c>
      <c r="T27" s="327">
        <v>0</v>
      </c>
      <c r="U27" s="171">
        <v>194.73684210014404432141855077</v>
      </c>
      <c r="V27" s="328">
        <v>89.22229189704875029540335174</v>
      </c>
      <c r="W27" s="171">
        <v>0</v>
      </c>
      <c r="X27" s="171">
        <v>-100</v>
      </c>
      <c r="Y27" s="328">
        <v>-15.278953292795221567628432560</v>
      </c>
      <c r="Z27" s="327">
        <v>4.3478260869111531190926473300</v>
      </c>
      <c r="AA27" s="171">
        <v>-1.3908205841796179982629126600</v>
      </c>
      <c r="AB27" s="328">
        <v>0.499098128736690696821106700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29</v>
      </c>
      <c r="C28" s="352" t="s">
        <v>51</v>
      </c>
      <c r="D28" s="359">
        <v>75.757575757575757575757575760</v>
      </c>
      <c r="E28" s="170">
        <v>72.797676669893514036786060020</v>
      </c>
      <c r="F28" s="360">
        <v>52.705978288690529692330949980</v>
      </c>
      <c r="G28" s="359">
        <v>0</v>
      </c>
      <c r="H28" s="170">
        <v>9.680542110358180058083252660</v>
      </c>
      <c r="I28" s="360">
        <v>8.898704125155647595866335420</v>
      </c>
      <c r="J28" s="170">
        <v>0</v>
      </c>
      <c r="K28" s="170">
        <v>0</v>
      </c>
      <c r="L28" s="360">
        <v>6.9074643904495165914815802100</v>
      </c>
      <c r="M28" s="359">
        <v>75.757575757575757575757575760</v>
      </c>
      <c r="N28" s="170">
        <v>82.47821878025169409486931268</v>
      </c>
      <c r="O28" s="360">
        <v>68.512146804295693879678865600</v>
      </c>
      <c r="P28" s="4"/>
      <c r="Q28" s="359">
        <v>4.1666666666276041666666813200</v>
      </c>
      <c r="R28" s="170">
        <v>-4.1938230820966811186951636100</v>
      </c>
      <c r="S28" s="360">
        <v>-8.083487693246306371431265430</v>
      </c>
      <c r="T28" s="359">
        <v>0</v>
      </c>
      <c r="U28" s="170">
        <v>40.950914623509563757850865140</v>
      </c>
      <c r="V28" s="360">
        <v>49.369237328406286661369011520</v>
      </c>
      <c r="W28" s="170">
        <v>0</v>
      </c>
      <c r="X28" s="170">
        <v>-100</v>
      </c>
      <c r="Y28" s="360">
        <v>9.515392956352779599380295350</v>
      </c>
      <c r="Z28" s="359">
        <v>4.1666666666276041666666813200</v>
      </c>
      <c r="AA28" s="170">
        <v>-1.6166281755174719583548901100</v>
      </c>
      <c r="AB28" s="360">
        <v>-1.5714414791869048568657203500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30</v>
      </c>
      <c r="C29" s="351" t="s">
        <v>52</v>
      </c>
      <c r="D29" s="327">
        <v>73.484848484848484848484848480</v>
      </c>
      <c r="E29" s="171">
        <v>76.766698935140367860600193610</v>
      </c>
      <c r="F29" s="328">
        <v>61.087914069179248599290706390</v>
      </c>
      <c r="G29" s="327">
        <v>0</v>
      </c>
      <c r="H29" s="171">
        <v>18.296224588576960309777347530</v>
      </c>
      <c r="I29" s="328">
        <v>10.547470759073125770203272030</v>
      </c>
      <c r="J29" s="171">
        <v>0</v>
      </c>
      <c r="K29" s="171">
        <v>0</v>
      </c>
      <c r="L29" s="328">
        <v>7.0738217195528597041166982500</v>
      </c>
      <c r="M29" s="327">
        <v>73.484848484848484848484848480</v>
      </c>
      <c r="N29" s="171">
        <v>95.06292352371732817037754114</v>
      </c>
      <c r="O29" s="328">
        <v>78.709206547805234073610676680</v>
      </c>
      <c r="P29" s="4"/>
      <c r="Q29" s="327">
        <v>-15.652173913031742911153117470</v>
      </c>
      <c r="R29" s="171">
        <v>-3.9951573850376393131225228700</v>
      </c>
      <c r="S29" s="328">
        <v>-10.212435492320409889387311570</v>
      </c>
      <c r="T29" s="327">
        <v>0</v>
      </c>
      <c r="U29" s="171">
        <v>45.384615384218372781066172890</v>
      </c>
      <c r="V29" s="328">
        <v>38.365155894650957364942894950</v>
      </c>
      <c r="W29" s="171">
        <v>0</v>
      </c>
      <c r="X29" s="171">
        <v>-100</v>
      </c>
      <c r="Y29" s="328">
        <v>29.323056040324368537427869660</v>
      </c>
      <c r="Z29" s="327">
        <v>-15.652173913031742911153117470</v>
      </c>
      <c r="AA29" s="171">
        <v>2.2916666667090750868055731300</v>
      </c>
      <c r="AB29" s="328">
        <v>-2.9824823465824429315066616200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31</v>
      </c>
      <c r="C30" s="352" t="s">
        <v>53</v>
      </c>
      <c r="D30" s="359">
        <v>72.727272727272727272727272730</v>
      </c>
      <c r="E30" s="170">
        <v>78.025169409486931268151016460</v>
      </c>
      <c r="F30" s="360">
        <v>65.349846152574205718742378250</v>
      </c>
      <c r="G30" s="359">
        <v>0</v>
      </c>
      <c r="H30" s="170">
        <v>16.456921587608906098741529530</v>
      </c>
      <c r="I30" s="360">
        <v>8.452824026930533718973872810</v>
      </c>
      <c r="J30" s="170">
        <v>0</v>
      </c>
      <c r="K30" s="170">
        <v>0</v>
      </c>
      <c r="L30" s="360">
        <v>7.5235731736388326611264139400</v>
      </c>
      <c r="M30" s="359">
        <v>72.727272727272727272727272730</v>
      </c>
      <c r="N30" s="170">
        <v>94.48209099709583736689254598</v>
      </c>
      <c r="O30" s="360">
        <v>81.32624335314357209884266500</v>
      </c>
      <c r="P30" s="4"/>
      <c r="Q30" s="359">
        <v>-20.661157024822238918106676210</v>
      </c>
      <c r="R30" s="170">
        <v>-7.5688073394239955075330288800</v>
      </c>
      <c r="S30" s="360">
        <v>-4.4759157189930579926913874100</v>
      </c>
      <c r="T30" s="359">
        <v>0</v>
      </c>
      <c r="U30" s="170">
        <v>39.344262295518274657351540860</v>
      </c>
      <c r="V30" s="360">
        <v>14.830593238374367541119585850</v>
      </c>
      <c r="W30" s="170">
        <v>0</v>
      </c>
      <c r="X30" s="170">
        <v>-100</v>
      </c>
      <c r="Y30" s="360">
        <v>0.3925101841102944993405862100</v>
      </c>
      <c r="Z30" s="359">
        <v>-20.661157024822238918106676210</v>
      </c>
      <c r="AA30" s="170">
        <v>-2.5948103792525989936295061900</v>
      </c>
      <c r="AB30" s="360">
        <v>-2.3309845702538192765782166600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t="s">
        <v>181</v>
      </c>
      <c r="B31" s="660">
        <v>1</v>
      </c>
      <c r="C31" s="661" t="s">
        <v>49</v>
      </c>
      <c r="D31" s="662">
        <v>68.181818181818181818181818180</v>
      </c>
      <c r="E31" s="663">
        <v>64.956437560503388189738625360</v>
      </c>
      <c r="F31" s="664">
        <v>48.138721007342130722229136250</v>
      </c>
      <c r="G31" s="662">
        <v>0</v>
      </c>
      <c r="H31" s="663">
        <v>13.455953533397870280735721200</v>
      </c>
      <c r="I31" s="664">
        <v>5.7225505353515604666313716700</v>
      </c>
      <c r="J31" s="663">
        <v>0</v>
      </c>
      <c r="K31" s="663">
        <v>0</v>
      </c>
      <c r="L31" s="664">
        <v>7.3096641603904698147986661500</v>
      </c>
      <c r="M31" s="662">
        <v>68.181818181818181818181818180</v>
      </c>
      <c r="N31" s="663">
        <v>78.412391093901258470474346560</v>
      </c>
      <c r="O31" s="664">
        <v>61.170935703084161003659174070</v>
      </c>
      <c r="P31" s="4"/>
      <c r="Q31" s="662">
        <v>-5.2631578947408310249307477600</v>
      </c>
      <c r="R31" s="663">
        <v>-12.516297262004312846237103140</v>
      </c>
      <c r="S31" s="664">
        <v>-10.507007589835320934703769040</v>
      </c>
      <c r="T31" s="662">
        <v>0</v>
      </c>
      <c r="U31" s="663">
        <v>29.906542055864730544152667300</v>
      </c>
      <c r="V31" s="664">
        <v>36.018008407927070798113084790</v>
      </c>
      <c r="W31" s="663">
        <v>0</v>
      </c>
      <c r="X31" s="663">
        <v>-100</v>
      </c>
      <c r="Y31" s="664">
        <v>-0.4957277085221674418488720200</v>
      </c>
      <c r="Z31" s="662">
        <v>-5.2631578947408310249307477600</v>
      </c>
      <c r="AA31" s="663">
        <v>-8.059023836597276853642453860</v>
      </c>
      <c r="AB31" s="664">
        <v>-6.3859761064253815632274285500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2</v>
      </c>
      <c r="C32" s="352" t="s">
        <v>47</v>
      </c>
      <c r="D32" s="359">
        <v>66.666666666666666666666666670</v>
      </c>
      <c r="E32" s="170">
        <v>61.084220716360116166505324290</v>
      </c>
      <c r="F32" s="360">
        <v>46.073538808599576225226525640</v>
      </c>
      <c r="G32" s="359">
        <v>0</v>
      </c>
      <c r="H32" s="170">
        <v>7.260406582768635043562439500</v>
      </c>
      <c r="I32" s="360">
        <v>10.322244752311251211997865840</v>
      </c>
      <c r="J32" s="170">
        <v>0</v>
      </c>
      <c r="K32" s="170">
        <v>0</v>
      </c>
      <c r="L32" s="360">
        <v>6.8556539717603696354363508100</v>
      </c>
      <c r="M32" s="359">
        <v>66.666666666666666666666666670</v>
      </c>
      <c r="N32" s="170">
        <v>68.344627299128751210067763790</v>
      </c>
      <c r="O32" s="360">
        <v>63.251437532671197072660742290</v>
      </c>
      <c r="P32" s="4"/>
      <c r="Q32" s="359">
        <v>12.820512820530177514792902080</v>
      </c>
      <c r="R32" s="170">
        <v>-2.0186335403621728039041692500</v>
      </c>
      <c r="S32" s="360">
        <v>-0.9377625922384644838763779400</v>
      </c>
      <c r="T32" s="359">
        <v>-100</v>
      </c>
      <c r="U32" s="170">
        <v>47.058823528895617070359366430</v>
      </c>
      <c r="V32" s="360">
        <v>35.920690552482149305191068930</v>
      </c>
      <c r="W32" s="170">
        <v>0</v>
      </c>
      <c r="X32" s="170">
        <v>-100</v>
      </c>
      <c r="Y32" s="360">
        <v>-2.8471756637376304999409051800</v>
      </c>
      <c r="Z32" s="359">
        <v>8.641975308706355738454542040</v>
      </c>
      <c r="AA32" s="170">
        <v>0.857142857153663265306123600</v>
      </c>
      <c r="AB32" s="360">
        <v>3.4186517216437902644060959500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3</v>
      </c>
      <c r="C33" s="351" t="s">
        <v>48</v>
      </c>
      <c r="D33" s="327">
        <v>63.636363636363636363636363640</v>
      </c>
      <c r="E33" s="171">
        <v>59.051306873184898354307841240</v>
      </c>
      <c r="F33" s="328">
        <v>43.950967730928196113910690750</v>
      </c>
      <c r="G33" s="327">
        <v>0</v>
      </c>
      <c r="H33" s="171">
        <v>3.0977734753146176185866408500</v>
      </c>
      <c r="I33" s="328">
        <v>10.224243248584504836166535310</v>
      </c>
      <c r="J33" s="171">
        <v>0</v>
      </c>
      <c r="K33" s="171">
        <v>0</v>
      </c>
      <c r="L33" s="328">
        <v>6.8493577606859399281245512500</v>
      </c>
      <c r="M33" s="327">
        <v>63.636363636363636363636363640</v>
      </c>
      <c r="N33" s="171">
        <v>62.149080348499515972894482090</v>
      </c>
      <c r="O33" s="328">
        <v>61.024568740198640878201777310</v>
      </c>
      <c r="P33" s="4"/>
      <c r="Q33" s="327">
        <v>13.513513513525785244704164960</v>
      </c>
      <c r="R33" s="171">
        <v>-9.361069836538068880553020280</v>
      </c>
      <c r="S33" s="328">
        <v>-10.865947901070226392536866800</v>
      </c>
      <c r="T33" s="327">
        <v>-100</v>
      </c>
      <c r="U33" s="171">
        <v>10.344827586359096313912219380</v>
      </c>
      <c r="V33" s="328">
        <v>2.6490684044301233341987296300</v>
      </c>
      <c r="W33" s="171">
        <v>0</v>
      </c>
      <c r="X33" s="171">
        <v>-100</v>
      </c>
      <c r="Y33" s="328">
        <v>1.1460898304072209777584258900</v>
      </c>
      <c r="Z33" s="327">
        <v>-13.402061855612966308853187930</v>
      </c>
      <c r="AA33" s="171">
        <v>-9.193776520466295221156769090</v>
      </c>
      <c r="AB33" s="328">
        <v>-7.59589826780614925939916500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4</v>
      </c>
      <c r="C34" s="352" t="s">
        <v>50</v>
      </c>
      <c r="D34" s="359">
        <v>57.575757575757575757575757580</v>
      </c>
      <c r="E34" s="170">
        <v>56.824782187802516940948693130</v>
      </c>
      <c r="F34" s="360">
        <v>46.055802537815994752359653060</v>
      </c>
      <c r="G34" s="359">
        <v>0</v>
      </c>
      <c r="H34" s="170">
        <v>3.8722168441432720232333010600</v>
      </c>
      <c r="I34" s="360">
        <v>12.166518441786165760709802680</v>
      </c>
      <c r="J34" s="170">
        <v>0</v>
      </c>
      <c r="K34" s="170">
        <v>0</v>
      </c>
      <c r="L34" s="360">
        <v>6.8796131552645410028740884300</v>
      </c>
      <c r="M34" s="359">
        <v>57.575757575757575757575757580</v>
      </c>
      <c r="N34" s="170">
        <v>60.696999031945788964181994190</v>
      </c>
      <c r="O34" s="360">
        <v>65.101934134866701515943544170</v>
      </c>
      <c r="P34" s="4"/>
      <c r="Q34" s="359">
        <v>-8.433734939776687472782693640</v>
      </c>
      <c r="R34" s="170">
        <v>-26.807980049901138829982391490</v>
      </c>
      <c r="S34" s="360">
        <v>-19.565592841602934765938460610</v>
      </c>
      <c r="T34" s="359">
        <v>-100</v>
      </c>
      <c r="U34" s="170">
        <v>8.108108109089846603369031980</v>
      </c>
      <c r="V34" s="360">
        <v>-12.541600105420682549524351970</v>
      </c>
      <c r="W34" s="170">
        <v>0</v>
      </c>
      <c r="X34" s="170">
        <v>-100</v>
      </c>
      <c r="Y34" s="360">
        <v>-0.0671436290689151163864640100</v>
      </c>
      <c r="Z34" s="359">
        <v>-28.301886792425774296902802170</v>
      </c>
      <c r="AA34" s="170">
        <v>-25.622775800694009700991624550</v>
      </c>
      <c r="AB34" s="360">
        <v>-16.594017872836205516657566670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5</v>
      </c>
      <c r="C35" s="351" t="s">
        <v>51</v>
      </c>
      <c r="D35" s="327">
        <v>82.57575757575757575757575758</v>
      </c>
      <c r="E35" s="171">
        <v>65.150048402710551790900290420</v>
      </c>
      <c r="F35" s="328">
        <v>50.035458189088474944253963160</v>
      </c>
      <c r="G35" s="327">
        <v>0</v>
      </c>
      <c r="H35" s="171">
        <v>7.7444336882865440464666021300</v>
      </c>
      <c r="I35" s="328">
        <v>14.916058931796131565025834150</v>
      </c>
      <c r="J35" s="171">
        <v>0</v>
      </c>
      <c r="K35" s="171">
        <v>0</v>
      </c>
      <c r="L35" s="328">
        <v>7.144666883297306716020777700</v>
      </c>
      <c r="M35" s="327">
        <v>82.57575757575757575757575758</v>
      </c>
      <c r="N35" s="171">
        <v>72.894482090997095837366892550</v>
      </c>
      <c r="O35" s="328">
        <v>72.096184004181913225300575010</v>
      </c>
      <c r="P35" s="4"/>
      <c r="Q35" s="327">
        <v>6.8627450980769319492503016700</v>
      </c>
      <c r="R35" s="171">
        <v>-21.378504672929434748667992720</v>
      </c>
      <c r="S35" s="328">
        <v>-13.496669870507597327207096420</v>
      </c>
      <c r="T35" s="327">
        <v>-100</v>
      </c>
      <c r="U35" s="171">
        <v>33.333333333675555555556433930</v>
      </c>
      <c r="V35" s="328">
        <v>-2.1378247206390452416465147700</v>
      </c>
      <c r="W35" s="171">
        <v>0</v>
      </c>
      <c r="X35" s="171">
        <v>-100</v>
      </c>
      <c r="Y35" s="328">
        <v>19.722893367528264640401245910</v>
      </c>
      <c r="Z35" s="327">
        <v>-12.800000000027903999999991070</v>
      </c>
      <c r="AA35" s="171">
        <v>-18.152173913047837547258978970</v>
      </c>
      <c r="AB35" s="328">
        <v>-8.798816353950676182774738570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6</v>
      </c>
      <c r="C36" s="352" t="s">
        <v>52</v>
      </c>
      <c r="D36" s="359">
        <v>87.12121212121212121212121212</v>
      </c>
      <c r="E36" s="170">
        <v>74.636979670861568247821878030</v>
      </c>
      <c r="F36" s="360">
        <v>55.474418058611039133976453620</v>
      </c>
      <c r="G36" s="359">
        <v>0</v>
      </c>
      <c r="H36" s="170">
        <v>9.390125847047434656340755080</v>
      </c>
      <c r="I36" s="360">
        <v>13.951451614501342577899693530</v>
      </c>
      <c r="J36" s="170">
        <v>0</v>
      </c>
      <c r="K36" s="170">
        <v>0</v>
      </c>
      <c r="L36" s="360">
        <v>7.5004241062916956535185209100</v>
      </c>
      <c r="M36" s="359">
        <v>87.12121212121212121212121212</v>
      </c>
      <c r="N36" s="170">
        <v>84.02710551790900290416263311</v>
      </c>
      <c r="O36" s="360">
        <v>76.926293779404077365394668060</v>
      </c>
      <c r="P36" s="4"/>
      <c r="Q36" s="359">
        <v>9.523809523746938775510239840</v>
      </c>
      <c r="R36" s="170">
        <v>-4.9321824907462966820277895300</v>
      </c>
      <c r="S36" s="360">
        <v>-10.050717448013551168567992820</v>
      </c>
      <c r="T36" s="359">
        <v>-100</v>
      </c>
      <c r="U36" s="170">
        <v>36.619718308950922436030636090</v>
      </c>
      <c r="V36" s="360">
        <v>1.1596826789038809243160129900</v>
      </c>
      <c r="W36" s="170">
        <v>0</v>
      </c>
      <c r="X36" s="170">
        <v>-100</v>
      </c>
      <c r="Y36" s="360">
        <v>15.879005333178472161361301070</v>
      </c>
      <c r="Z36" s="359">
        <v>5.5045871559090985607272393600</v>
      </c>
      <c r="AA36" s="170">
        <v>-2.0316027088339089625934305900</v>
      </c>
      <c r="AB36" s="360">
        <v>-6.1154814890036769558733265100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7</v>
      </c>
      <c r="C37" s="353" t="s">
        <v>53</v>
      </c>
      <c r="D37" s="329">
        <v>90.15151515151515151515151515</v>
      </c>
      <c r="E37" s="330">
        <v>76.863504356243949661181026140</v>
      </c>
      <c r="F37" s="332">
        <v>60.210939963478331551161868350</v>
      </c>
      <c r="G37" s="329">
        <v>0</v>
      </c>
      <c r="H37" s="330">
        <v>12.875121006776379477250726040</v>
      </c>
      <c r="I37" s="332">
        <v>15.242569185858294244683967040</v>
      </c>
      <c r="J37" s="330">
        <v>0</v>
      </c>
      <c r="K37" s="330">
        <v>0</v>
      </c>
      <c r="L37" s="332">
        <v>7.8502022986508284644782628800</v>
      </c>
      <c r="M37" s="329">
        <v>90.15151515151515151515151515</v>
      </c>
      <c r="N37" s="330">
        <v>89.73862536302032913843175218</v>
      </c>
      <c r="O37" s="332">
        <v>83.30371144798745426032409827</v>
      </c>
      <c r="P37" s="4"/>
      <c r="Q37" s="329">
        <v>6.249999999981026785714289100</v>
      </c>
      <c r="R37" s="330">
        <v>0.6337135615045253091863684700</v>
      </c>
      <c r="S37" s="332">
        <v>-6.3240420266400571560520592600</v>
      </c>
      <c r="T37" s="329">
        <v>-100</v>
      </c>
      <c r="U37" s="330">
        <v>52.873563218601664684899220680</v>
      </c>
      <c r="V37" s="332">
        <v>15.666658391067231783075739800</v>
      </c>
      <c r="W37" s="330">
        <v>0</v>
      </c>
      <c r="X37" s="330">
        <v>-100</v>
      </c>
      <c r="Y37" s="332">
        <v>13.647912576098222140808966340</v>
      </c>
      <c r="Z37" s="329">
        <v>0.8474576271630853203102752600</v>
      </c>
      <c r="AA37" s="330">
        <v>5.2213393870053387119425250300</v>
      </c>
      <c r="AB37" s="332">
        <v>-1.2535916300802452720219205600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74.621212121212121212121212120</v>
      </c>
      <c r="E39" s="355">
        <v>68.635043562439496611810261380</v>
      </c>
      <c r="F39" s="356">
        <v>50.968245026914623472490563710</v>
      </c>
      <c r="G39" s="354">
        <v>3.4090909090909090909090909100</v>
      </c>
      <c r="H39" s="355">
        <v>11.882865440464666021297192640</v>
      </c>
      <c r="I39" s="356">
        <v>6.9162490486088822306473429100</v>
      </c>
      <c r="J39" s="355">
        <v>0</v>
      </c>
      <c r="K39" s="355">
        <v>0</v>
      </c>
      <c r="L39" s="356">
        <v>7.2884413932020407520762412200</v>
      </c>
      <c r="M39" s="354">
        <v>78.030303030303030303030303030</v>
      </c>
      <c r="N39" s="355">
        <v>80.51790900290416263310745402</v>
      </c>
      <c r="O39" s="356">
        <v>65.172935468725546455214147840</v>
      </c>
      <c r="P39" s="4"/>
      <c r="Q39" s="354">
        <v>-5.5155875300086468954332823900</v>
      </c>
      <c r="R39" s="355">
        <v>-10.985561833016107428568726270</v>
      </c>
      <c r="S39" s="356">
        <v>-6.4789260195437456211729118300</v>
      </c>
      <c r="T39" s="354">
        <v>0</v>
      </c>
      <c r="U39" s="355">
        <v>91.79687500090504150391052062</v>
      </c>
      <c r="V39" s="356">
        <v>13.311535726102707699066395360</v>
      </c>
      <c r="W39" s="355">
        <v>0</v>
      </c>
      <c r="X39" s="355">
        <v>-100</v>
      </c>
      <c r="Y39" s="356">
        <v>12.913386740542967422797644900</v>
      </c>
      <c r="Z39" s="354">
        <v>-1.1990407674202094439556150800</v>
      </c>
      <c r="AA39" s="355">
        <v>-4.1486603283978321427050556700</v>
      </c>
      <c r="AB39" s="356">
        <v>-2.8108794236933464289764746200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64.962121212121212121212121210</v>
      </c>
      <c r="E40" s="171">
        <v>59.946757018393030009680542110</v>
      </c>
      <c r="F40" s="328">
        <v>44.501859734706431303808966510</v>
      </c>
      <c r="G40" s="327">
        <v>8.522727272727272727272727270</v>
      </c>
      <c r="H40" s="171">
        <v>10.406582768635043562439496610</v>
      </c>
      <c r="I40" s="328">
        <v>10.104002672765491148266487780</v>
      </c>
      <c r="J40" s="171">
        <v>0</v>
      </c>
      <c r="K40" s="171">
        <v>0</v>
      </c>
      <c r="L40" s="328">
        <v>7.1109720648531857956161310800</v>
      </c>
      <c r="M40" s="327">
        <v>73.484848484848484848484848480</v>
      </c>
      <c r="N40" s="171">
        <v>70.353339787028073572120038720</v>
      </c>
      <c r="O40" s="328">
        <v>61.716834472325108247691585370</v>
      </c>
      <c r="P40" s="4"/>
      <c r="Q40" s="327">
        <v>-14.676616915463637038687141750</v>
      </c>
      <c r="R40" s="171">
        <v>-11.409155937048116663699009770</v>
      </c>
      <c r="S40" s="328">
        <v>-5.7479521521781910836505602400</v>
      </c>
      <c r="T40" s="327">
        <v>1399.9999999520000000015359995</v>
      </c>
      <c r="U40" s="171">
        <v>80.67226890640611538733881123</v>
      </c>
      <c r="V40" s="328">
        <v>16.624361762924754471178907060</v>
      </c>
      <c r="W40" s="171">
        <v>0</v>
      </c>
      <c r="X40" s="171">
        <v>-100</v>
      </c>
      <c r="Y40" s="328">
        <v>16.368780659789638745511227620</v>
      </c>
      <c r="Z40" s="327">
        <v>-4.1975308641407590306355402100</v>
      </c>
      <c r="AA40" s="171">
        <v>-4.8756544502148404734656164900</v>
      </c>
      <c r="AB40" s="328">
        <v>-0.4410431602000253870178228600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61.174242424242424242424242420</v>
      </c>
      <c r="E41" s="170">
        <v>58.857696030977734753146176180</v>
      </c>
      <c r="F41" s="360">
        <v>45.098829185576610403370788710</v>
      </c>
      <c r="G41" s="359">
        <v>11.174242424242424242424242420</v>
      </c>
      <c r="H41" s="170">
        <v>10.430784123910939012584704740</v>
      </c>
      <c r="I41" s="360">
        <v>11.529603510913129893398858220</v>
      </c>
      <c r="J41" s="170">
        <v>0</v>
      </c>
      <c r="K41" s="170">
        <v>0</v>
      </c>
      <c r="L41" s="360">
        <v>6.9533921248363591346039249900</v>
      </c>
      <c r="M41" s="359">
        <v>72.348484848484848484848484850</v>
      </c>
      <c r="N41" s="170">
        <v>69.288480154888673765730880930</v>
      </c>
      <c r="O41" s="360">
        <v>63.581824821326099431373571910</v>
      </c>
      <c r="P41" s="4"/>
      <c r="Q41" s="359">
        <v>-16.103896103934456400742097500</v>
      </c>
      <c r="R41" s="170">
        <v>-11.111111111044054580896635580</v>
      </c>
      <c r="S41" s="360">
        <v>-9.303477055629392190628737570</v>
      </c>
      <c r="T41" s="359">
        <v>156.52173912811493383745009094</v>
      </c>
      <c r="U41" s="170">
        <v>43.666666666046026666669347780</v>
      </c>
      <c r="V41" s="360">
        <v>7.3774704986948334405211875300</v>
      </c>
      <c r="W41" s="170">
        <v>0</v>
      </c>
      <c r="X41" s="170">
        <v>-100</v>
      </c>
      <c r="Y41" s="360">
        <v>11.706779578809306158826507890</v>
      </c>
      <c r="Z41" s="359">
        <v>-6.3725490195747981545559283600</v>
      </c>
      <c r="AA41" s="170">
        <v>-6.3460909388132316645602461100</v>
      </c>
      <c r="AB41" s="360">
        <v>-4.6565068981045724175706441300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62.689393939393939393939393940</v>
      </c>
      <c r="E42" s="171">
        <v>59.728944820909970958373668920</v>
      </c>
      <c r="F42" s="328">
        <v>47.941949117698721747071714930</v>
      </c>
      <c r="G42" s="327">
        <v>11.553030303030303030303030300</v>
      </c>
      <c r="H42" s="171">
        <v>11.544046466602129719264278800</v>
      </c>
      <c r="I42" s="328">
        <v>13.631878216829914072008064920</v>
      </c>
      <c r="J42" s="171">
        <v>0</v>
      </c>
      <c r="K42" s="171">
        <v>0</v>
      </c>
      <c r="L42" s="328">
        <v>6.5909178269299692203067296200</v>
      </c>
      <c r="M42" s="327">
        <v>74.242424242424242424242424240</v>
      </c>
      <c r="N42" s="171">
        <v>71.272991287512100677637947730</v>
      </c>
      <c r="O42" s="328">
        <v>68.164745161458605039386509470</v>
      </c>
      <c r="P42" s="4"/>
      <c r="Q42" s="327">
        <v>-18.271604938223173296753514970</v>
      </c>
      <c r="R42" s="171">
        <v>-13.067981683732962246155990890</v>
      </c>
      <c r="S42" s="328">
        <v>-9.728312040196849374050940340</v>
      </c>
      <c r="T42" s="327">
        <v>165.21739130194933837431280591</v>
      </c>
      <c r="U42" s="171">
        <v>112.94642857145138711734694123</v>
      </c>
      <c r="V42" s="328">
        <v>14.275617175673591689955684580</v>
      </c>
      <c r="W42" s="171">
        <v>0</v>
      </c>
      <c r="X42" s="171">
        <v>-100</v>
      </c>
      <c r="Y42" s="328">
        <v>1.1720338527498315779694586100</v>
      </c>
      <c r="Z42" s="327">
        <v>-8.411214953264180277753515080</v>
      </c>
      <c r="AA42" s="171">
        <v>-4.5380875202114181392159764200</v>
      </c>
      <c r="AB42" s="328">
        <v>-4.7340071443461910163855575500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73.484848484848484848484848480</v>
      </c>
      <c r="E43" s="170">
        <v>68.320425943852855759922555670</v>
      </c>
      <c r="F43" s="360">
        <v>51.982296247453940064803185480</v>
      </c>
      <c r="G43" s="359">
        <v>10.227272727272727272727272730</v>
      </c>
      <c r="H43" s="170">
        <v>10.939012584704743465634075510</v>
      </c>
      <c r="I43" s="360">
        <v>14.131417027982166723075522610</v>
      </c>
      <c r="J43" s="170">
        <v>0</v>
      </c>
      <c r="K43" s="170">
        <v>0</v>
      </c>
      <c r="L43" s="360">
        <v>6.9886916491817658189343755400</v>
      </c>
      <c r="M43" s="359">
        <v>83.71212121212121212121212121</v>
      </c>
      <c r="N43" s="170">
        <v>79.25943852855759922555663117</v>
      </c>
      <c r="O43" s="360">
        <v>73.102404924617872606813083620</v>
      </c>
      <c r="P43" s="4"/>
      <c r="Q43" s="359">
        <v>-7.6190476191004081632652759600</v>
      </c>
      <c r="R43" s="170">
        <v>-9.690531489055188087799330340</v>
      </c>
      <c r="S43" s="360">
        <v>-6.7453286761916793032687005500</v>
      </c>
      <c r="T43" s="359">
        <v>134.78260869352892249529330372</v>
      </c>
      <c r="U43" s="170">
        <v>65.600106719203693969647767830</v>
      </c>
      <c r="V43" s="360">
        <v>14.369702789223100566942695980</v>
      </c>
      <c r="W43" s="170">
        <v>0</v>
      </c>
      <c r="X43" s="170">
        <v>-100</v>
      </c>
      <c r="Y43" s="360">
        <v>14.977621594936360826959211080</v>
      </c>
      <c r="Z43" s="359">
        <v>-0.2257336342934944891438904800</v>
      </c>
      <c r="AA43" s="170">
        <v>-4.630168899214204523676176200</v>
      </c>
      <c r="AB43" s="360">
        <v>-1.4480432980439258878228404400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79.73484848484848484848484848</v>
      </c>
      <c r="E44" s="171">
        <v>77.274927395934172313649564380</v>
      </c>
      <c r="F44" s="328">
        <v>60.487126226089623619282701240</v>
      </c>
      <c r="G44" s="327">
        <v>0.3787878787878787878787878800</v>
      </c>
      <c r="H44" s="171">
        <v>11.471442400774443368828654400</v>
      </c>
      <c r="I44" s="328">
        <v>12.570739300157732214717855730</v>
      </c>
      <c r="J44" s="171">
        <v>0</v>
      </c>
      <c r="K44" s="171">
        <v>0</v>
      </c>
      <c r="L44" s="328">
        <v>7.3949489137338638436039085700</v>
      </c>
      <c r="M44" s="327">
        <v>80.11363636363636363636363636</v>
      </c>
      <c r="N44" s="171">
        <v>88.74636979670861568247821878</v>
      </c>
      <c r="O44" s="328">
        <v>80.45281443998121967760446554</v>
      </c>
      <c r="P44" s="4"/>
      <c r="Q44" s="327">
        <v>-6.026785714302495216836731700</v>
      </c>
      <c r="R44" s="171">
        <v>-2.9483282674820414815088549900</v>
      </c>
      <c r="S44" s="328">
        <v>-7.0871117330318967410599654300</v>
      </c>
      <c r="T44" s="327">
        <v>-50.000000001599999999948799840</v>
      </c>
      <c r="U44" s="171">
        <v>45.398773006907456057815839550</v>
      </c>
      <c r="V44" s="328">
        <v>24.470338678072348375639654110</v>
      </c>
      <c r="W44" s="171">
        <v>0</v>
      </c>
      <c r="X44" s="171">
        <v>-100</v>
      </c>
      <c r="Y44" s="328">
        <v>20.017302386643181963883297590</v>
      </c>
      <c r="Z44" s="327">
        <v>-6.4159292035828882449682627500</v>
      </c>
      <c r="AA44" s="171">
        <v>0.6311745334374960387796123800</v>
      </c>
      <c r="AB44" s="328">
        <v>-1.1172800590817514515703727300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87.31060606060606060606060606</v>
      </c>
      <c r="E45" s="365">
        <v>82.52662149080348499515972895</v>
      </c>
      <c r="F45" s="366">
        <v>66.509188903793692582213280610</v>
      </c>
      <c r="G45" s="364">
        <v>0.1893939393939393939393939400</v>
      </c>
      <c r="H45" s="365">
        <v>12.028073572120038722168441430</v>
      </c>
      <c r="I45" s="366">
        <v>10.916750370330806207428962390</v>
      </c>
      <c r="J45" s="365">
        <v>0</v>
      </c>
      <c r="K45" s="365">
        <v>0</v>
      </c>
      <c r="L45" s="366">
        <v>7.727172520961316850192907500</v>
      </c>
      <c r="M45" s="364">
        <v>87.500</v>
      </c>
      <c r="N45" s="365">
        <v>94.55469506292352371732817038</v>
      </c>
      <c r="O45" s="366">
        <v>85.15311179508581563983515050</v>
      </c>
      <c r="P45" s="4"/>
      <c r="Q45" s="364">
        <v>-0.8602150537839084287200790200</v>
      </c>
      <c r="R45" s="365">
        <v>-1.7291066282921449393317520100</v>
      </c>
      <c r="S45" s="366">
        <v>-2.4991917074397807835899579100</v>
      </c>
      <c r="T45" s="364">
        <v>-83.33333333386666666664959995</v>
      </c>
      <c r="U45" s="365">
        <v>60.841423947181101999357367340</v>
      </c>
      <c r="V45" s="366">
        <v>22.175749932189665512856237470</v>
      </c>
      <c r="W45" s="365">
        <v>0</v>
      </c>
      <c r="X45" s="365">
        <v>-100</v>
      </c>
      <c r="Y45" s="366">
        <v>14.347234453808681657947108350</v>
      </c>
      <c r="Z45" s="364">
        <v>-1.9108280254277252626881160400</v>
      </c>
      <c r="AA45" s="365">
        <v>2.6806833114124643934514587200</v>
      </c>
      <c r="AB45" s="366">
        <v>1.4852199485201736685736423700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73.701298701298701298701298700</v>
      </c>
      <c r="E47" s="355">
        <v>65.509611395380998478771954090</v>
      </c>
      <c r="F47" s="356">
        <v>49.991406613694820491874041550</v>
      </c>
      <c r="G47" s="354">
        <v>0</v>
      </c>
      <c r="H47" s="355">
        <v>8.242290139676393306596597980</v>
      </c>
      <c r="I47" s="356">
        <v>11.792233815741321523302152890</v>
      </c>
      <c r="J47" s="355">
        <v>0</v>
      </c>
      <c r="K47" s="355">
        <v>0</v>
      </c>
      <c r="L47" s="356">
        <v>7.1985117623344501736073168800</v>
      </c>
      <c r="M47" s="354">
        <v>73.701298701298701298701298700</v>
      </c>
      <c r="N47" s="355">
        <v>73.751901535057391785368552070</v>
      </c>
      <c r="O47" s="356">
        <v>68.982152191770592188783511310</v>
      </c>
      <c r="P47" s="4"/>
      <c r="Q47" s="354">
        <v>4.930662557774087905774203300</v>
      </c>
      <c r="R47" s="355">
        <v>-11.325346312236779332938149590</v>
      </c>
      <c r="S47" s="356">
        <v>-10.423162007900290403573104040</v>
      </c>
      <c r="T47" s="354">
        <v>-100</v>
      </c>
      <c r="U47" s="355">
        <v>34.841628959222935648328269690</v>
      </c>
      <c r="V47" s="356">
        <v>5.9846239340837856469400686100</v>
      </c>
      <c r="W47" s="355">
        <v>0</v>
      </c>
      <c r="X47" s="355">
        <v>-100</v>
      </c>
      <c r="Y47" s="356">
        <v>6.2927606212631159108044245700</v>
      </c>
      <c r="Z47" s="354">
        <v>-6.8399452804917918785240375900</v>
      </c>
      <c r="AA47" s="355">
        <v>-8.336198006132534381096505670</v>
      </c>
      <c r="AB47" s="356">
        <v>-6.4104562348955132752297750600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71.996753246753246753246753250</v>
      </c>
      <c r="E48" s="171">
        <v>67.898630894758677914534642510</v>
      </c>
      <c r="F48" s="328">
        <v>52.498499206033377599005885890</v>
      </c>
      <c r="G48" s="327">
        <v>6.4935064935064935064935064900</v>
      </c>
      <c r="H48" s="171">
        <v>11.243258193887429124602406310</v>
      </c>
      <c r="I48" s="328">
        <v>11.400091449655446069934727790</v>
      </c>
      <c r="J48" s="171">
        <v>0</v>
      </c>
      <c r="K48" s="171">
        <v>0</v>
      </c>
      <c r="L48" s="328">
        <v>7.150648070528357345047745500</v>
      </c>
      <c r="M48" s="327">
        <v>78.490259740259740259740259740</v>
      </c>
      <c r="N48" s="171">
        <v>79.141889088646107039137048820</v>
      </c>
      <c r="O48" s="328">
        <v>71.049238726217181013988359180</v>
      </c>
      <c r="P48" s="4"/>
      <c r="Q48" s="327">
        <v>-9.551325628861313932031034880</v>
      </c>
      <c r="R48" s="171">
        <v>-8.412651995797729845719735310</v>
      </c>
      <c r="S48" s="328">
        <v>-6.6300338557306989090492989300</v>
      </c>
      <c r="T48" s="327">
        <v>192.68292683120999405117290517</v>
      </c>
      <c r="U48" s="171">
        <v>68.852026227440026595137877880</v>
      </c>
      <c r="V48" s="328">
        <v>15.945414182711058822623343570</v>
      </c>
      <c r="W48" s="171">
        <v>0</v>
      </c>
      <c r="X48" s="171">
        <v>-100</v>
      </c>
      <c r="Y48" s="328">
        <v>12.985814553442261703135693310</v>
      </c>
      <c r="Z48" s="327">
        <v>-4.0674603174816358024691310700</v>
      </c>
      <c r="AA48" s="171">
        <v>-2.8065557065405571546356222400</v>
      </c>
      <c r="AB48" s="328">
        <v>-1.8486337080396406489943658100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73.701298701298701298701298700</v>
      </c>
      <c r="E49" s="365">
        <v>65.509611395380998478771954090</v>
      </c>
      <c r="F49" s="366">
        <v>49.991406613694820491874041550</v>
      </c>
      <c r="G49" s="364">
        <v>0</v>
      </c>
      <c r="H49" s="365">
        <v>8.242290139676393306596597980</v>
      </c>
      <c r="I49" s="366">
        <v>11.792233815741321523302152890</v>
      </c>
      <c r="J49" s="365">
        <v>0</v>
      </c>
      <c r="K49" s="365">
        <v>0</v>
      </c>
      <c r="L49" s="366">
        <v>7.1985117623344501736073168800</v>
      </c>
      <c r="M49" s="364">
        <v>73.701298701298701298701298700</v>
      </c>
      <c r="N49" s="365">
        <v>73.751901535057391785368552070</v>
      </c>
      <c r="O49" s="366">
        <v>68.982152191770592188783511310</v>
      </c>
      <c r="P49" s="4"/>
      <c r="Q49" s="364">
        <v>3.4954407295141111039255087600</v>
      </c>
      <c r="R49" s="365">
        <v>-12.682027649797639672959705560</v>
      </c>
      <c r="S49" s="366">
        <v>-11.361629456320461075388179470</v>
      </c>
      <c r="T49" s="364">
        <v>-100</v>
      </c>
      <c r="U49" s="365">
        <v>24.947589098826134690523656370</v>
      </c>
      <c r="V49" s="366">
        <v>14.539097512746213132961974930</v>
      </c>
      <c r="W49" s="365">
        <v>0</v>
      </c>
      <c r="X49" s="365">
        <v>-100</v>
      </c>
      <c r="Y49" s="366">
        <v>4.9934063114477735788418220900</v>
      </c>
      <c r="Z49" s="364">
        <v>-7.2207084468321035867813873800</v>
      </c>
      <c r="AA49" s="365">
        <v>-10.203738003081993660020132590</v>
      </c>
      <c r="AB49" s="366">
        <v>-6.2115784544142301187397858400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1"/>
</worksheet>
</file>

<file path=xl/worksheets/sheet7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150</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179</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180</v>
      </c>
      <c r="R4" s="703" t="s">
        <v>182</v>
      </c>
      <c r="S4" s="703"/>
      <c r="T4" s="703"/>
      <c r="U4" s="703"/>
      <c r="V4" s="703"/>
      <c r="W4" s="703"/>
      <c r="X4" s="703"/>
      <c r="Y4" s="703"/>
      <c r="Z4" s="703"/>
      <c r="AA4" s="703"/>
      <c r="AB4" s="703"/>
      <c r="AC4" s="703"/>
      <c r="AD4" s="703"/>
      <c r="AE4" s="703"/>
      <c r="AF4" s="703"/>
      <c r="AG4" s="703"/>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704" t="s">
        <v>72</v>
      </c>
      <c r="Y22" s="704"/>
      <c r="Z22" s="704"/>
      <c r="AA22" s="704"/>
      <c r="AB22" s="704"/>
      <c r="AC22" s="704"/>
      <c r="AD22" s="704"/>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275" t="s">
        <v>184</v>
      </c>
      <c r="D24" s="276"/>
      <c r="E24" s="276"/>
      <c r="F24" s="276"/>
      <c r="G24" s="276"/>
      <c r="H24" s="276"/>
      <c r="I24" s="276"/>
      <c r="J24" s="276"/>
      <c r="K24" s="276"/>
      <c r="L24" s="276"/>
      <c r="M24" s="276"/>
      <c r="N24" s="276"/>
      <c r="O24" s="276"/>
      <c r="P24" s="276"/>
      <c r="Q24" s="276"/>
      <c r="R24" s="276"/>
      <c r="S24" s="277"/>
      <c r="T24" s="277"/>
      <c r="U24" s="277"/>
      <c r="V24" s="277"/>
      <c r="W24" s="277"/>
      <c r="X24" s="312" t="s">
        <v>181</v>
      </c>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11</v>
      </c>
      <c r="D25">
        <v>12</v>
      </c>
      <c r="E25">
        <v>13</v>
      </c>
      <c r="F25">
        <v>14</v>
      </c>
      <c r="G25">
        <v>15</v>
      </c>
      <c r="H25">
        <v>16</v>
      </c>
      <c r="I25">
        <v>17</v>
      </c>
      <c r="J25">
        <v>18</v>
      </c>
      <c r="K25">
        <v>19</v>
      </c>
      <c r="L25">
        <v>20</v>
      </c>
      <c r="M25">
        <v>21</v>
      </c>
      <c r="N25">
        <v>22</v>
      </c>
      <c r="O25">
        <v>23</v>
      </c>
      <c r="P25">
        <v>24</v>
      </c>
      <c r="Q25">
        <v>25</v>
      </c>
      <c r="R25">
        <v>26</v>
      </c>
      <c r="S25">
        <v>27</v>
      </c>
      <c r="T25">
        <v>28</v>
      </c>
      <c r="U25">
        <v>29</v>
      </c>
      <c r="V25">
        <v>30</v>
      </c>
      <c r="W25">
        <v>31</v>
      </c>
      <c r="X25" s="323">
        <v>1</v>
      </c>
      <c r="Y25">
        <v>2</v>
      </c>
      <c r="Z25">
        <v>3</v>
      </c>
      <c r="AA25">
        <v>4</v>
      </c>
      <c r="AB25">
        <v>5</v>
      </c>
      <c r="AC25">
        <v>6</v>
      </c>
      <c r="AD25" s="337">
        <v>7</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61">
        <v>165.72727272727272727272727273</v>
      </c>
      <c r="D26" s="462">
        <v>148.4047619047619047619047619</v>
      </c>
      <c r="E26" s="462">
        <v>159.23913043478260869565217391</v>
      </c>
      <c r="F26" s="462">
        <v>152.77659574468085106382978723</v>
      </c>
      <c r="G26" s="462">
        <v>168.46728971962616822429906542</v>
      </c>
      <c r="H26" s="462">
        <v>260.22807017543859649122807018</v>
      </c>
      <c r="I26" s="462">
        <v>288.45669291338582677165354331</v>
      </c>
      <c r="J26" s="462">
        <v>193.83898305084745762711864407</v>
      </c>
      <c r="K26" s="462">
        <v>194.1680672268907563025210084</v>
      </c>
      <c r="L26" s="462">
        <v>202.45762711864406779661016949</v>
      </c>
      <c r="M26" s="462">
        <v>183.62698412698412698412698413</v>
      </c>
      <c r="N26" s="462">
        <v>188.01587301587301587301587302</v>
      </c>
      <c r="O26" s="462">
        <v>245.53608247422680412371134021</v>
      </c>
      <c r="P26" s="462">
        <v>275.00833333333333333333333333</v>
      </c>
      <c r="Q26" s="462">
        <v>186.29921259842519685039370079</v>
      </c>
      <c r="R26" s="462">
        <v>132.52577319587628865979381443</v>
      </c>
      <c r="S26" s="462">
        <v>118.80681818181818181818181818</v>
      </c>
      <c r="T26" s="462">
        <v>126.500000000</v>
      </c>
      <c r="U26" s="462">
        <v>155.880000000</v>
      </c>
      <c r="V26" s="462">
        <v>221.08247422680412371134020619</v>
      </c>
      <c r="W26" s="462">
        <v>237.72916666666666666666666667</v>
      </c>
      <c r="X26" s="463">
        <v>162.56666666666666666666666667</v>
      </c>
      <c r="Y26" s="462">
        <v>141.94318181818181818181818182</v>
      </c>
      <c r="Z26" s="462">
        <v>143.66666666666666666666666667</v>
      </c>
      <c r="AA26" s="462">
        <v>139.72368421052631578947368421</v>
      </c>
      <c r="AB26" s="462">
        <v>140.22935779816513761467889908</v>
      </c>
      <c r="AC26" s="462">
        <v>187.02608695652173913043478261</v>
      </c>
      <c r="AD26" s="464">
        <v>197.89915966386554621848739496</v>
      </c>
      <c r="AE26" s="465"/>
      <c r="AF26" s="461">
        <v>161.75036710719530102790014684</v>
      </c>
      <c r="AG26" s="462">
        <v>186.55601516718372974836263357</v>
      </c>
      <c r="AH26" s="466">
        <v>161.75036710719530102790014684</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170.22065088757396449704142011</v>
      </c>
      <c r="D27" s="85">
        <v>170.1608</v>
      </c>
      <c r="E27" s="85">
        <v>179.76164102564102564102564104</v>
      </c>
      <c r="F27" s="85">
        <v>174.02925598991172761664564943</v>
      </c>
      <c r="G27" s="85">
        <v>181.7335792019347037484885127</v>
      </c>
      <c r="H27" s="85">
        <v>244.81427038626609442060085837</v>
      </c>
      <c r="I27" s="85">
        <v>266.43615307150050352467270894</v>
      </c>
      <c r="J27" s="85">
        <v>228.80210412147505422993492405</v>
      </c>
      <c r="K27" s="85">
        <v>239.36508269018743109151047409</v>
      </c>
      <c r="L27" s="85">
        <v>240.36346985210466439135381115</v>
      </c>
      <c r="M27" s="85">
        <v>218.13674019607843137254901961</v>
      </c>
      <c r="N27" s="85">
        <v>217.12516014234875444839857651</v>
      </c>
      <c r="O27" s="85">
        <v>241.01570621468926553672316384</v>
      </c>
      <c r="P27" s="85">
        <v>278.03560830860534124629080119</v>
      </c>
      <c r="Q27" s="85">
        <v>203.61520130576713819368879215</v>
      </c>
      <c r="R27" s="85">
        <v>149.763360258481421647819063</v>
      </c>
      <c r="S27" s="85">
        <v>144.72195729537366548042704627</v>
      </c>
      <c r="T27" s="85">
        <v>167.28067700987306064880112836</v>
      </c>
      <c r="U27" s="85">
        <v>174.64693661971830985915492958</v>
      </c>
      <c r="V27" s="85">
        <v>259.52308553971486761710794297</v>
      </c>
      <c r="W27" s="85">
        <v>246.6597745901639344262295082</v>
      </c>
      <c r="X27" s="86">
        <v>181.6984320987654320987654321</v>
      </c>
      <c r="Y27" s="85">
        <v>162.30720963172804532577903684</v>
      </c>
      <c r="Z27" s="85">
        <v>151.69408099688473520249221184</v>
      </c>
      <c r="AA27" s="85">
        <v>151.30185007974481658692185008</v>
      </c>
      <c r="AB27" s="85">
        <v>165.87624169986719787516600265</v>
      </c>
      <c r="AC27" s="85">
        <v>195.91186635944700460829493088</v>
      </c>
      <c r="AD27" s="87">
        <v>203.39514563106796116504854369</v>
      </c>
      <c r="AE27" s="169"/>
      <c r="AF27" s="370">
        <v>175.7963791486967935495968498</v>
      </c>
      <c r="AG27" s="85">
        <v>205.65380804683063212616312088</v>
      </c>
      <c r="AH27" s="371">
        <v>175.7963791486967935495968498</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183</v>
      </c>
      <c r="C28" s="467">
        <v>186.66224018475750577367205543</v>
      </c>
      <c r="D28" s="468">
        <v>194.70197668525088697415103903</v>
      </c>
      <c r="E28" s="468">
        <v>201.04808877928483353884093711</v>
      </c>
      <c r="F28" s="468">
        <v>203.80325361512791991101223582</v>
      </c>
      <c r="G28" s="468">
        <v>206.82131324004305705059203445</v>
      </c>
      <c r="H28" s="468">
        <v>229.9616125150421179302045728</v>
      </c>
      <c r="I28" s="468">
        <v>226.74874010079193664506839453</v>
      </c>
      <c r="J28" s="468">
        <v>196.95494142385100630820066086</v>
      </c>
      <c r="K28" s="468">
        <v>198.94059706016063039854523413</v>
      </c>
      <c r="L28" s="468">
        <v>197.84448409158489443948855189</v>
      </c>
      <c r="M28" s="468">
        <v>193.3490707434052757793764988</v>
      </c>
      <c r="N28" s="468">
        <v>190.21664094289322295496001122</v>
      </c>
      <c r="O28" s="468">
        <v>213.32581617936279008784581093</v>
      </c>
      <c r="P28" s="468">
        <v>234.47331460674157303370786517</v>
      </c>
      <c r="Q28" s="468">
        <v>193.86554044774069495948358742</v>
      </c>
      <c r="R28" s="468">
        <v>165.86373453760062831337129393</v>
      </c>
      <c r="S28" s="468">
        <v>169.26873239436619718309859155</v>
      </c>
      <c r="T28" s="468">
        <v>175.7841774246938099966898378</v>
      </c>
      <c r="U28" s="468">
        <v>175.72698219449094506163445442</v>
      </c>
      <c r="V28" s="468">
        <v>205.89852960657040667638097761</v>
      </c>
      <c r="W28" s="468">
        <v>205.52435897435897435897435897</v>
      </c>
      <c r="X28" s="469">
        <v>164.23688258417364553067851649</v>
      </c>
      <c r="Y28" s="468">
        <v>165.14677685950413223140495868</v>
      </c>
      <c r="Z28" s="468">
        <v>166.93387013876991605276683228</v>
      </c>
      <c r="AA28" s="468">
        <v>166.89609763931267062791071142</v>
      </c>
      <c r="AB28" s="468">
        <v>172.03059744779582366589327146</v>
      </c>
      <c r="AC28" s="468">
        <v>192.95555857569991845610220169</v>
      </c>
      <c r="AD28" s="470">
        <v>194.49033634538152610441767068</v>
      </c>
      <c r="AE28" s="465"/>
      <c r="AF28" s="467">
        <v>176.01342369064888388507588715</v>
      </c>
      <c r="AG28" s="468">
        <v>194.69339494000167827473357389</v>
      </c>
      <c r="AH28" s="471">
        <v>176.01342369064888388507588715</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275" t="s">
        <v>184</v>
      </c>
      <c r="D33" s="276"/>
      <c r="E33" s="276"/>
      <c r="F33" s="276"/>
      <c r="G33" s="276"/>
      <c r="H33" s="276"/>
      <c r="I33" s="276"/>
      <c r="J33" s="276"/>
      <c r="K33" s="276"/>
      <c r="L33" s="276"/>
      <c r="M33" s="276"/>
      <c r="N33" s="276"/>
      <c r="O33" s="276"/>
      <c r="P33" s="276"/>
      <c r="Q33" s="276"/>
      <c r="R33" s="276"/>
      <c r="S33" s="277"/>
      <c r="T33" s="277"/>
      <c r="U33" s="277"/>
      <c r="V33" s="277"/>
      <c r="W33" s="277"/>
      <c r="X33" s="312" t="s">
        <v>181</v>
      </c>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row>
    <row r="34" s="42" customFormat="1">
      <c r="C34" s="284">
        <v>11</v>
      </c>
      <c r="D34">
        <v>12</v>
      </c>
      <c r="E34">
        <v>13</v>
      </c>
      <c r="F34">
        <v>14</v>
      </c>
      <c r="G34">
        <v>15</v>
      </c>
      <c r="H34">
        <v>16</v>
      </c>
      <c r="I34">
        <v>17</v>
      </c>
      <c r="J34">
        <v>18</v>
      </c>
      <c r="K34">
        <v>19</v>
      </c>
      <c r="L34">
        <v>20</v>
      </c>
      <c r="M34">
        <v>21</v>
      </c>
      <c r="N34">
        <v>22</v>
      </c>
      <c r="O34">
        <v>23</v>
      </c>
      <c r="P34">
        <v>24</v>
      </c>
      <c r="Q34">
        <v>25</v>
      </c>
      <c r="R34">
        <v>26</v>
      </c>
      <c r="S34">
        <v>27</v>
      </c>
      <c r="T34">
        <v>28</v>
      </c>
      <c r="U34">
        <v>29</v>
      </c>
      <c r="V34">
        <v>30</v>
      </c>
      <c r="W34">
        <v>31</v>
      </c>
      <c r="X34" s="323">
        <v>1</v>
      </c>
      <c r="Y34">
        <v>2</v>
      </c>
      <c r="Z34">
        <v>3</v>
      </c>
      <c r="AA34">
        <v>4</v>
      </c>
      <c r="AB34">
        <v>5</v>
      </c>
      <c r="AC34">
        <v>6</v>
      </c>
      <c r="AD34" s="337">
        <v>7</v>
      </c>
      <c r="AE34" s="25"/>
      <c r="AF34" s="324" t="s">
        <v>60</v>
      </c>
      <c r="AG34" s="325">
        <v>28</v>
      </c>
      <c r="AH34" s="326"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row>
    <row r="35" ht="14.25" customHeight="1">
      <c r="B35" s="46" t="s">
        <v>32</v>
      </c>
      <c r="C35" s="444">
        <v>-11.632612200610776502651407250</v>
      </c>
      <c r="D35" s="445">
        <v>-3.5437944908428317595301016900</v>
      </c>
      <c r="E35" s="445">
        <v>4.4851024403320540846857472300</v>
      </c>
      <c r="F35" s="445">
        <v>-1.8758533016759899506322162300</v>
      </c>
      <c r="G35" s="445">
        <v>-13.524714237416830599227164150</v>
      </c>
      <c r="H35" s="445">
        <v>0.8741602565764204145926959900</v>
      </c>
      <c r="I35" s="445">
        <v>3.7990806759759846514002311900</v>
      </c>
      <c r="J35" s="445">
        <v>2.7348495212432164566381889200</v>
      </c>
      <c r="K35" s="445">
        <v>30.149893242918501765251645500</v>
      </c>
      <c r="L35" s="445">
        <v>52.093087554234426002223326040</v>
      </c>
      <c r="M35" s="445">
        <v>28.084770158360033982627156980</v>
      </c>
      <c r="N35" s="445">
        <v>18.839373712704043760919382560</v>
      </c>
      <c r="O35" s="445">
        <v>5.1488658888293241654974514400</v>
      </c>
      <c r="P35" s="445">
        <v>3.1910463697184421786804367700</v>
      </c>
      <c r="Q35" s="445">
        <v>-1.7511997715539748722552936100</v>
      </c>
      <c r="R35" s="445">
        <v>-16.655596115810380280074757980</v>
      </c>
      <c r="S35" s="445">
        <v>-13.513986013974331072304804310</v>
      </c>
      <c r="T35" s="445">
        <v>-7.912644405766234363386246800</v>
      </c>
      <c r="U35" s="445">
        <v>0.459720730375841091142776400</v>
      </c>
      <c r="V35" s="445">
        <v>-10.233786900799655028091700290</v>
      </c>
      <c r="W35" s="445">
        <v>-6.6912249686314204330709418700</v>
      </c>
      <c r="X35" s="446">
        <v>9.795487937844278227009511470</v>
      </c>
      <c r="Y35" s="445">
        <v>4.64546943912155473457907400</v>
      </c>
      <c r="Z35" s="445">
        <v>2.5510829837527001178554827300</v>
      </c>
      <c r="AA35" s="445">
        <v>-0.997924289334281620770125700</v>
      </c>
      <c r="AB35" s="445">
        <v>-9.557454595889571220087392880</v>
      </c>
      <c r="AC35" s="445">
        <v>-10.162861456619011699865989600</v>
      </c>
      <c r="AD35" s="447">
        <v>4.1063743940709389964496954500</v>
      </c>
      <c r="AE35" s="448"/>
      <c r="AF35" s="444">
        <v>0.1130495955687649177983963100</v>
      </c>
      <c r="AG35" s="445">
        <v>2.2862315181053998822924266400</v>
      </c>
      <c r="AH35" s="449">
        <v>-6.1486530305921049566798047500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-4.1445510449607536468854687700</v>
      </c>
      <c r="D36" s="81">
        <v>-6.741359274196227923298471800</v>
      </c>
      <c r="E36" s="81">
        <v>-8.763190762120056311346296820</v>
      </c>
      <c r="F36" s="81">
        <v>-4.8698122586749518512821301900</v>
      </c>
      <c r="G36" s="81">
        <v>-8.481991595548638033047871470</v>
      </c>
      <c r="H36" s="81">
        <v>-3.492978271615887123815432900</v>
      </c>
      <c r="I36" s="81">
        <v>1.2888371952153550600570189300</v>
      </c>
      <c r="J36" s="81">
        <v>31.210644377844816105170549220</v>
      </c>
      <c r="K36" s="81">
        <v>42.084745364259447954136750990</v>
      </c>
      <c r="L36" s="81">
        <v>46.515630851085133606926497380</v>
      </c>
      <c r="M36" s="81">
        <v>43.054481642227023776262516930</v>
      </c>
      <c r="N36" s="81">
        <v>9.039470347892717490905758960</v>
      </c>
      <c r="O36" s="81">
        <v>-9.854062107420548786763759240</v>
      </c>
      <c r="P36" s="81">
        <v>-7.9187565082273224488726997300</v>
      </c>
      <c r="Q36" s="81">
        <v>-9.527545341308907148228773610</v>
      </c>
      <c r="R36" s="81">
        <v>-1.6842314496533702144747061900</v>
      </c>
      <c r="S36" s="81">
        <v>-7.319930402929147537870532200</v>
      </c>
      <c r="T36" s="81">
        <v>12.336933043254678619971642070</v>
      </c>
      <c r="U36" s="81">
        <v>-5.6023429280672223498721904900</v>
      </c>
      <c r="V36" s="81">
        <v>6.6461917735176038875551641700</v>
      </c>
      <c r="W36" s="81">
        <v>0.4406753102450927637291035500</v>
      </c>
      <c r="X36" s="82">
        <v>2.6003641723708293951793891500</v>
      </c>
      <c r="Y36" s="81">
        <v>4.9822415399456977354534622900</v>
      </c>
      <c r="Z36" s="81">
        <v>1.6959888586306292532329173500</v>
      </c>
      <c r="AA36" s="81">
        <v>-0.7326321901467233615938997600</v>
      </c>
      <c r="AB36" s="81">
        <v>-1.9452405076215944752835479700</v>
      </c>
      <c r="AC36" s="81">
        <v>-3.225847431040012725704602200</v>
      </c>
      <c r="AD36" s="83">
        <v>3.8053456614102643668370873700</v>
      </c>
      <c r="AE36" s="88"/>
      <c r="AF36" s="327">
        <v>1.6875217690819504017426615200</v>
      </c>
      <c r="AG36" s="81">
        <v>4.053832442160044785318586500</v>
      </c>
      <c r="AH36" s="328">
        <v>-3.2616762192273872431676012300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183</v>
      </c>
      <c r="C37" s="450">
        <v>0.2969260397504829801347802300</v>
      </c>
      <c r="D37" s="451">
        <v>2.2651615809730942440196023600</v>
      </c>
      <c r="E37" s="451">
        <v>1.4120719186807644707012806700</v>
      </c>
      <c r="F37" s="451">
        <v>3.9596131625500054530012018900</v>
      </c>
      <c r="G37" s="451">
        <v>1.8409608838959258255218996400</v>
      </c>
      <c r="H37" s="451">
        <v>0.7706268111028434499683060700</v>
      </c>
      <c r="I37" s="451">
        <v>-0.9750834339393514986266116700</v>
      </c>
      <c r="J37" s="451">
        <v>3.2060188925835590766708626400</v>
      </c>
      <c r="K37" s="451">
        <v>3.4865546235043198817067099800</v>
      </c>
      <c r="L37" s="451">
        <v>1.8986396772714385010531908500</v>
      </c>
      <c r="M37" s="451">
        <v>2.9719144962297747254309654800</v>
      </c>
      <c r="N37" s="451">
        <v>-1.7387826316120994421011062200</v>
      </c>
      <c r="O37" s="451">
        <v>-4.8851177485765023791463266900</v>
      </c>
      <c r="P37" s="451">
        <v>-3.6805614730311761298009937600</v>
      </c>
      <c r="Q37" s="451">
        <v>-5.4991502851057245234706233700</v>
      </c>
      <c r="R37" s="451">
        <v>-2.1164208178455791699975444400</v>
      </c>
      <c r="S37" s="451">
        <v>0.5468056541161999673531230500</v>
      </c>
      <c r="T37" s="451">
        <v>0.3471745636642451967081477100</v>
      </c>
      <c r="U37" s="451">
        <v>-3.7335172003712346719136003400</v>
      </c>
      <c r="V37" s="451">
        <v>-1.4828433519241820970443697100</v>
      </c>
      <c r="W37" s="451">
        <v>-1.9934064574837634967681749500</v>
      </c>
      <c r="X37" s="452">
        <v>-5.981028707286948996740954500</v>
      </c>
      <c r="Y37" s="451">
        <v>-3.6750510280695392197662188300</v>
      </c>
      <c r="Z37" s="451">
        <v>-3.2436411108445625406953737100</v>
      </c>
      <c r="AA37" s="451">
        <v>-6.3405338598895327375416375100</v>
      </c>
      <c r="AB37" s="451">
        <v>-4.27591519889995072430131900</v>
      </c>
      <c r="AC37" s="451">
        <v>-0.0989183644053146178913036300</v>
      </c>
      <c r="AD37" s="453">
        <v>-2.0748966853000607798359060100</v>
      </c>
      <c r="AE37" s="448"/>
      <c r="AF37" s="450">
        <v>-3.3801029972619244157016339400</v>
      </c>
      <c r="AG37" s="451">
        <v>-0.7923541292922161219178602200</v>
      </c>
      <c r="AH37" s="454">
        <v>-4.304211277314314786770526900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275" t="s">
        <v>184</v>
      </c>
      <c r="D40" s="276"/>
      <c r="E40" s="276"/>
      <c r="F40" s="276"/>
      <c r="G40" s="276"/>
      <c r="H40" s="276"/>
      <c r="I40" s="276"/>
      <c r="J40" s="276"/>
      <c r="K40" s="276"/>
      <c r="L40" s="276"/>
      <c r="M40" s="276"/>
      <c r="N40" s="276"/>
      <c r="O40" s="276"/>
      <c r="P40" s="276"/>
      <c r="Q40" s="276"/>
      <c r="R40" s="276"/>
      <c r="S40" s="277"/>
      <c r="T40" s="277"/>
      <c r="U40" s="277"/>
      <c r="V40" s="277"/>
      <c r="W40" s="277"/>
      <c r="X40" s="312" t="s">
        <v>181</v>
      </c>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row>
    <row r="41" s="42" customFormat="1">
      <c r="C41" s="279">
        <v>11</v>
      </c>
      <c r="D41" s="280">
        <v>12</v>
      </c>
      <c r="E41" s="280">
        <v>13</v>
      </c>
      <c r="F41" s="280">
        <v>14</v>
      </c>
      <c r="G41" s="280">
        <v>15</v>
      </c>
      <c r="H41" s="280">
        <v>16</v>
      </c>
      <c r="I41" s="280">
        <v>17</v>
      </c>
      <c r="J41" s="280">
        <v>18</v>
      </c>
      <c r="K41" s="280">
        <v>19</v>
      </c>
      <c r="L41" s="280">
        <v>20</v>
      </c>
      <c r="M41" s="280">
        <v>21</v>
      </c>
      <c r="N41" s="280">
        <v>22</v>
      </c>
      <c r="O41" s="280">
        <v>23</v>
      </c>
      <c r="P41" s="280">
        <v>24</v>
      </c>
      <c r="Q41" s="280">
        <v>25</v>
      </c>
      <c r="R41" s="280">
        <v>26</v>
      </c>
      <c r="S41" s="280">
        <v>27</v>
      </c>
      <c r="T41" s="280">
        <v>28</v>
      </c>
      <c r="U41" s="280">
        <v>29</v>
      </c>
      <c r="V41" s="280">
        <v>30</v>
      </c>
      <c r="W41" s="280">
        <v>31</v>
      </c>
      <c r="X41" s="315">
        <v>1</v>
      </c>
      <c r="Y41" s="280">
        <v>2</v>
      </c>
      <c r="Z41" s="280">
        <v>3</v>
      </c>
      <c r="AA41" s="280">
        <v>4</v>
      </c>
      <c r="AB41" s="280">
        <v>5</v>
      </c>
      <c r="AC41" s="280">
        <v>6</v>
      </c>
      <c r="AD41" s="373">
        <v>7</v>
      </c>
      <c r="AE41" s="25"/>
      <c r="AF41" s="324" t="s">
        <v>60</v>
      </c>
      <c r="AG41" s="325">
        <v>28</v>
      </c>
      <c r="AH41" s="326"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row>
    <row r="42" ht="14.25" customHeight="1">
      <c r="A42" s="1"/>
      <c r="B42" s="46" t="s">
        <v>26</v>
      </c>
      <c r="C42" s="444">
        <v>97.36026261390908583163689417</v>
      </c>
      <c r="D42" s="445">
        <v>87.21442418275061280970985203</v>
      </c>
      <c r="E42" s="445">
        <v>88.58348729254492950960581849</v>
      </c>
      <c r="F42" s="445">
        <v>87.78788076502920119425077388</v>
      </c>
      <c r="G42" s="445">
        <v>92.70014405673735032409522685</v>
      </c>
      <c r="H42" s="445">
        <v>106.29611981557148839553977409</v>
      </c>
      <c r="I42" s="445">
        <v>108.26484678900781956475439439</v>
      </c>
      <c r="J42" s="445">
        <v>84.71905614465582205107773846</v>
      </c>
      <c r="K42" s="445">
        <v>81.11795799314396668509960460</v>
      </c>
      <c r="L42" s="445">
        <v>84.22978218912379474897922797</v>
      </c>
      <c r="M42" s="445">
        <v>84.17975988909874505395301364</v>
      </c>
      <c r="N42" s="445">
        <v>86.59331460833499405842933010</v>
      </c>
      <c r="O42" s="445">
        <v>101.87555256481915446914675991</v>
      </c>
      <c r="P42" s="445">
        <v>98.91119162984814375417049521</v>
      </c>
      <c r="Q42" s="445">
        <v>91.49572890612978244951801318</v>
      </c>
      <c r="R42" s="445">
        <v>88.49011732050438464140359840</v>
      </c>
      <c r="S42" s="445">
        <v>82.09315324509812089686015582</v>
      </c>
      <c r="T42" s="445">
        <v>75.621406047103384691189864630</v>
      </c>
      <c r="U42" s="445">
        <v>89.25435682816144609366838165</v>
      </c>
      <c r="V42" s="445">
        <v>85.18798000842375760363560197</v>
      </c>
      <c r="W42" s="445">
        <v>96.37938211109994507939295801</v>
      </c>
      <c r="X42" s="446">
        <v>89.47059409861595266668790264</v>
      </c>
      <c r="Y42" s="445">
        <v>87.45340526786992998239766055</v>
      </c>
      <c r="Z42" s="445">
        <v>94.70815586377600290049795862</v>
      </c>
      <c r="AA42" s="445">
        <v>92.34763761112322725294401363</v>
      </c>
      <c r="AB42" s="445">
        <v>84.53854292880912080467501224</v>
      </c>
      <c r="AC42" s="445">
        <v>95.46439959559299332275951300</v>
      </c>
      <c r="AD42" s="447">
        <v>97.29787751316219530850688711</v>
      </c>
      <c r="AE42" s="448"/>
      <c r="AF42" s="444">
        <v>92.01006749426638114310991473</v>
      </c>
      <c r="AG42" s="445">
        <v>90.71362059326893441754930804</v>
      </c>
      <c r="AH42" s="449">
        <v>92.01006749426638114310991473</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183</v>
      </c>
      <c r="C43" s="329">
        <v>88.78457290729974982623016581</v>
      </c>
      <c r="D43" s="330">
        <v>76.22149730129908068118536300</v>
      </c>
      <c r="E43" s="330">
        <v>79.204498486721222630395612590</v>
      </c>
      <c r="F43" s="330">
        <v>74.962785448564335609358776470</v>
      </c>
      <c r="G43" s="330">
        <v>81.45547820022447132600900481</v>
      </c>
      <c r="H43" s="330">
        <v>113.16152610404241602524930450</v>
      </c>
      <c r="I43" s="330">
        <v>127.21424285980767521308714072</v>
      </c>
      <c r="J43" s="330">
        <v>98.41793338591786737871826442</v>
      </c>
      <c r="K43" s="330">
        <v>97.60102769176616959286483608</v>
      </c>
      <c r="L43" s="330">
        <v>102.33170161312570590494047986</v>
      </c>
      <c r="M43" s="330">
        <v>94.97174381079990893912262473</v>
      </c>
      <c r="N43" s="330">
        <v>98.84302029721594151309094751</v>
      </c>
      <c r="O43" s="330">
        <v>115.09909436734043892217086036</v>
      </c>
      <c r="P43" s="330">
        <v>117.28768955845820509116333940</v>
      </c>
      <c r="Q43" s="330">
        <v>96.09712596070367323884551927</v>
      </c>
      <c r="R43" s="330">
        <v>79.90039146612470700672118569</v>
      </c>
      <c r="S43" s="330">
        <v>70.188283743388348141142909440</v>
      </c>
      <c r="T43" s="330">
        <v>71.963245983381140333569555010</v>
      </c>
      <c r="U43" s="330">
        <v>88.70578556198458304026412175</v>
      </c>
      <c r="V43" s="330">
        <v>107.37447938516866808742818438</v>
      </c>
      <c r="W43" s="330">
        <v>115.66958186999044703279391866</v>
      </c>
      <c r="X43" s="331">
        <v>98.98304455658609030771220261</v>
      </c>
      <c r="Y43" s="330">
        <v>85.94971365317118230198564090</v>
      </c>
      <c r="Z43" s="330">
        <v>86.06202357089821133977182062</v>
      </c>
      <c r="AA43" s="330">
        <v>83.71896418602945385127094119</v>
      </c>
      <c r="AB43" s="330">
        <v>81.51419565970847002902883043</v>
      </c>
      <c r="AC43" s="330">
        <v>96.92702730983931694141188458</v>
      </c>
      <c r="AD43" s="338">
        <v>101.75269547192912251354442917</v>
      </c>
      <c r="AE43" s="88"/>
      <c r="AF43" s="329">
        <v>91.89660863112543514442525882</v>
      </c>
      <c r="AG43" s="330">
        <v>95.82041302668535702732691460</v>
      </c>
      <c r="AH43" s="332">
        <v>91.89660863112543514442525882</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275" t="s">
        <v>184</v>
      </c>
      <c r="D46" s="276"/>
      <c r="E46" s="276"/>
      <c r="F46" s="276"/>
      <c r="G46" s="276"/>
      <c r="H46" s="276"/>
      <c r="I46" s="276"/>
      <c r="J46" s="276"/>
      <c r="K46" s="276"/>
      <c r="L46" s="276"/>
      <c r="M46" s="276"/>
      <c r="N46" s="276"/>
      <c r="O46" s="276"/>
      <c r="P46" s="276"/>
      <c r="Q46" s="276"/>
      <c r="R46" s="276"/>
      <c r="S46" s="277"/>
      <c r="T46" s="277"/>
      <c r="U46" s="277"/>
      <c r="V46" s="277"/>
      <c r="W46" s="277"/>
      <c r="X46" s="312" t="s">
        <v>181</v>
      </c>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row>
    <row r="47" s="42" customFormat="1">
      <c r="C47" s="284">
        <v>11</v>
      </c>
      <c r="D47">
        <v>12</v>
      </c>
      <c r="E47">
        <v>13</v>
      </c>
      <c r="F47">
        <v>14</v>
      </c>
      <c r="G47">
        <v>15</v>
      </c>
      <c r="H47">
        <v>16</v>
      </c>
      <c r="I47">
        <v>17</v>
      </c>
      <c r="J47">
        <v>18</v>
      </c>
      <c r="K47">
        <v>19</v>
      </c>
      <c r="L47">
        <v>20</v>
      </c>
      <c r="M47">
        <v>21</v>
      </c>
      <c r="N47">
        <v>22</v>
      </c>
      <c r="O47">
        <v>23</v>
      </c>
      <c r="P47">
        <v>24</v>
      </c>
      <c r="Q47">
        <v>25</v>
      </c>
      <c r="R47">
        <v>26</v>
      </c>
      <c r="S47">
        <v>27</v>
      </c>
      <c r="T47">
        <v>28</v>
      </c>
      <c r="U47">
        <v>29</v>
      </c>
      <c r="V47">
        <v>30</v>
      </c>
      <c r="W47">
        <v>31</v>
      </c>
      <c r="X47" s="323">
        <v>1</v>
      </c>
      <c r="Y47">
        <v>2</v>
      </c>
      <c r="Z47">
        <v>3</v>
      </c>
      <c r="AA47">
        <v>4</v>
      </c>
      <c r="AB47">
        <v>5</v>
      </c>
      <c r="AC47">
        <v>6</v>
      </c>
      <c r="AD47" s="337">
        <v>7</v>
      </c>
      <c r="AE47" s="25"/>
      <c r="AF47" s="324" t="s">
        <v>60</v>
      </c>
      <c r="AG47" s="325">
        <v>28</v>
      </c>
      <c r="AH47" s="326"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row>
    <row r="48" ht="14.25" customHeight="1">
      <c r="A48" s="1"/>
      <c r="B48" s="46" t="s">
        <v>26</v>
      </c>
      <c r="C48" s="444">
        <v>-7.8118262835042360306004098300</v>
      </c>
      <c r="D48" s="445">
        <v>3.4287061857861990298953752500</v>
      </c>
      <c r="E48" s="445">
        <v>14.520776551862534530895119860</v>
      </c>
      <c r="F48" s="445">
        <v>3.1472227985950140629720996800</v>
      </c>
      <c r="G48" s="445">
        <v>-5.5100878283441899037931065300</v>
      </c>
      <c r="H48" s="445">
        <v>4.5252028816174635952593418900</v>
      </c>
      <c r="I48" s="445">
        <v>2.478302200152886234888683900</v>
      </c>
      <c r="J48" s="445">
        <v>-21.702351201471087578746885990</v>
      </c>
      <c r="K48" s="445">
        <v>-8.399812443496790191188627610</v>
      </c>
      <c r="L48" s="445">
        <v>3.806731521261802337646304300</v>
      </c>
      <c r="M48" s="445">
        <v>-10.464342893779755535780553190</v>
      </c>
      <c r="N48" s="445">
        <v>8.987482545151276850859666320</v>
      </c>
      <c r="O48" s="445">
        <v>16.642932945139076562389083810</v>
      </c>
      <c r="P48" s="445">
        <v>12.065218123331988833071692780</v>
      </c>
      <c r="Q48" s="445">
        <v>8.595263165001699177700903120</v>
      </c>
      <c r="R48" s="445">
        <v>-15.227836680603203697761441420</v>
      </c>
      <c r="S48" s="445">
        <v>-6.6832660333807476851519622800</v>
      </c>
      <c r="T48" s="445">
        <v>-18.025752439970128275868595780</v>
      </c>
      <c r="U48" s="445">
        <v>6.4218369888891032128693685300</v>
      </c>
      <c r="V48" s="445">
        <v>-15.828018228845878471536340960</v>
      </c>
      <c r="W48" s="445">
        <v>-7.1006096452769334532197218500</v>
      </c>
      <c r="X48" s="446">
        <v>7.0127663029477893673809446100</v>
      </c>
      <c r="Y48" s="445">
        <v>-0.3207895886699695362126184900</v>
      </c>
      <c r="Z48" s="445">
        <v>0.8408336796059683585767279600</v>
      </c>
      <c r="AA48" s="445">
        <v>-0.2672500590711521342344201400</v>
      </c>
      <c r="AB48" s="445">
        <v>-7.7632275349839483643986859300</v>
      </c>
      <c r="AC48" s="445">
        <v>-7.1682508618798255823820168200</v>
      </c>
      <c r="AD48" s="447">
        <v>0.2899934784236141768980327800</v>
      </c>
      <c r="AE48" s="448"/>
      <c r="AF48" s="444">
        <v>-1.5483435392571326912068934900</v>
      </c>
      <c r="AG48" s="445">
        <v>-1.6987369735077559006635572500</v>
      </c>
      <c r="AH48" s="449">
        <v>-2.9843155210556072615579878800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183</v>
      </c>
      <c r="C49" s="329">
        <v>-11.894221200429574262691176240</v>
      </c>
      <c r="D49" s="330">
        <v>-5.6802883622220506851111429200</v>
      </c>
      <c r="E49" s="330">
        <v>3.0302413347291234118005877300</v>
      </c>
      <c r="F49" s="330">
        <v>-5.6132052502733392781859652300</v>
      </c>
      <c r="G49" s="330">
        <v>-15.087912552991050820215113680</v>
      </c>
      <c r="H49" s="330">
        <v>0.1027416904934144287173949800</v>
      </c>
      <c r="I49" s="330">
        <v>4.8211745846431231990194826500</v>
      </c>
      <c r="J49" s="330">
        <v>-0.4565328422149789657000054200</v>
      </c>
      <c r="K49" s="330">
        <v>25.765026883300630804020063100</v>
      </c>
      <c r="L49" s="330">
        <v>49.259193288444023473435390410</v>
      </c>
      <c r="M49" s="330">
        <v>24.388063274346205732018746240</v>
      </c>
      <c r="N49" s="330">
        <v>20.942297373656663539219063970</v>
      </c>
      <c r="O49" s="330">
        <v>10.549330872188500230230493110</v>
      </c>
      <c r="P49" s="330">
        <v>7.1341859419954490810412290600</v>
      </c>
      <c r="Q49" s="330">
        <v>3.966049538020189645992627600</v>
      </c>
      <c r="R49" s="330">
        <v>-14.853538682843424287316155550</v>
      </c>
      <c r="S49" s="330">
        <v>-13.984324590543235383986775270</v>
      </c>
      <c r="T49" s="330">
        <v>-8.231242190295962676760476940</v>
      </c>
      <c r="U49" s="330">
        <v>4.3558648958239176763793807900</v>
      </c>
      <c r="V49" s="330">
        <v>-8.882659474382747893945820740</v>
      </c>
      <c r="W49" s="330">
        <v>-4.7933698553911712058727983100</v>
      </c>
      <c r="X49" s="331">
        <v>16.780141739708626274194627900</v>
      </c>
      <c r="Y49" s="330">
        <v>8.637970282833954926078582160</v>
      </c>
      <c r="Z49" s="330">
        <v>5.9889852833640997139313055600</v>
      </c>
      <c r="AA49" s="330">
        <v>5.7042921455472533682338459500</v>
      </c>
      <c r="AB49" s="330">
        <v>-5.5174613661451286059033453700</v>
      </c>
      <c r="AC49" s="330">
        <v>-10.073908037318765379513100730</v>
      </c>
      <c r="AD49" s="338">
        <v>6.3122436129031247615822742800</v>
      </c>
      <c r="AE49" s="88"/>
      <c r="AF49" s="329">
        <v>3.6153553266376254245404174800</v>
      </c>
      <c r="AG49" s="330">
        <v>3.1031737728897920488534851300</v>
      </c>
      <c r="AH49" s="332">
        <v>-1.9274011719226527900944049600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275" t="s">
        <v>184</v>
      </c>
      <c r="D52" s="276"/>
      <c r="E52" s="276"/>
      <c r="F52" s="276"/>
      <c r="G52" s="276"/>
      <c r="H52" s="276"/>
      <c r="I52" s="276"/>
      <c r="J52" s="276"/>
      <c r="K52" s="276"/>
      <c r="L52" s="276"/>
      <c r="M52" s="276"/>
      <c r="N52" s="276"/>
      <c r="O52" s="276"/>
      <c r="P52" s="276"/>
      <c r="Q52" s="276"/>
      <c r="R52" s="276"/>
      <c r="S52" s="277"/>
      <c r="T52" s="277"/>
      <c r="U52" s="277"/>
      <c r="V52" s="277"/>
      <c r="W52" s="277"/>
      <c r="X52" s="312" t="s">
        <v>181</v>
      </c>
      <c r="Y52" s="277"/>
      <c r="Z52" s="277"/>
      <c r="AA52" s="277"/>
      <c r="AB52" s="277"/>
      <c r="AC52" s="277"/>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284">
        <v>11</v>
      </c>
      <c r="D53" s="42">
        <v>12</v>
      </c>
      <c r="E53" s="42">
        <v>13</v>
      </c>
      <c r="F53" s="42">
        <v>14</v>
      </c>
      <c r="G53" s="42">
        <v>15</v>
      </c>
      <c r="H53" s="42">
        <v>16</v>
      </c>
      <c r="I53" s="42">
        <v>17</v>
      </c>
      <c r="J53" s="42">
        <v>18</v>
      </c>
      <c r="K53" s="42">
        <v>19</v>
      </c>
      <c r="L53" s="42">
        <v>20</v>
      </c>
      <c r="M53" s="42">
        <v>21</v>
      </c>
      <c r="N53" s="42">
        <v>22</v>
      </c>
      <c r="O53" s="42">
        <v>23</v>
      </c>
      <c r="P53" s="42">
        <v>24</v>
      </c>
      <c r="Q53" s="42">
        <v>25</v>
      </c>
      <c r="R53" s="42">
        <v>26</v>
      </c>
      <c r="S53" s="42">
        <v>27</v>
      </c>
      <c r="T53" s="42">
        <v>28</v>
      </c>
      <c r="U53" s="42">
        <v>29</v>
      </c>
      <c r="V53" s="42">
        <v>30</v>
      </c>
      <c r="W53" s="42">
        <v>31</v>
      </c>
      <c r="X53" s="323">
        <v>1</v>
      </c>
      <c r="Y53" s="42">
        <v>2</v>
      </c>
      <c r="Z53" s="42">
        <v>3</v>
      </c>
      <c r="AA53" s="42">
        <v>4</v>
      </c>
      <c r="AB53" s="42">
        <v>5</v>
      </c>
      <c r="AC53" s="42">
        <v>6</v>
      </c>
      <c r="AD53" s="337">
        <v>7</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230</v>
      </c>
      <c r="D54" s="456" t="s">
        <v>234</v>
      </c>
      <c r="E54" s="456" t="s">
        <v>234</v>
      </c>
      <c r="F54" s="456" t="s">
        <v>234</v>
      </c>
      <c r="G54" s="456" t="s">
        <v>234</v>
      </c>
      <c r="H54" s="456" t="s">
        <v>230</v>
      </c>
      <c r="I54" s="456" t="s">
        <v>238</v>
      </c>
      <c r="J54" s="456" t="s">
        <v>234</v>
      </c>
      <c r="K54" s="456" t="s">
        <v>232</v>
      </c>
      <c r="L54" s="456" t="s">
        <v>232</v>
      </c>
      <c r="M54" s="456" t="s">
        <v>234</v>
      </c>
      <c r="N54" s="456" t="s">
        <v>234</v>
      </c>
      <c r="O54" s="456" t="s">
        <v>230</v>
      </c>
      <c r="P54" s="456" t="s">
        <v>230</v>
      </c>
      <c r="Q54" s="456" t="s">
        <v>230</v>
      </c>
      <c r="R54" s="456" t="s">
        <v>236</v>
      </c>
      <c r="S54" s="456" t="s">
        <v>234</v>
      </c>
      <c r="T54" s="456" t="s">
        <v>236</v>
      </c>
      <c r="U54" s="456" t="s">
        <v>234</v>
      </c>
      <c r="V54" s="456" t="s">
        <v>234</v>
      </c>
      <c r="W54" s="456" t="s">
        <v>232</v>
      </c>
      <c r="X54" s="457" t="s">
        <v>234</v>
      </c>
      <c r="Y54" s="456" t="s">
        <v>232</v>
      </c>
      <c r="Z54" s="456" t="s">
        <v>232</v>
      </c>
      <c r="AA54" s="456" t="s">
        <v>232</v>
      </c>
      <c r="AB54" s="456" t="s">
        <v>234</v>
      </c>
      <c r="AC54" s="456" t="s">
        <v>230</v>
      </c>
      <c r="AD54" s="458" t="s">
        <v>230</v>
      </c>
      <c r="AE54" s="459"/>
      <c r="AF54" s="455" t="s">
        <v>232</v>
      </c>
      <c r="AG54" s="456" t="s">
        <v>234</v>
      </c>
      <c r="AH54" s="460" t="s">
        <v>232</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232</v>
      </c>
      <c r="D55" s="334" t="s">
        <v>231</v>
      </c>
      <c r="E55" s="334" t="s">
        <v>235</v>
      </c>
      <c r="F55" s="334" t="s">
        <v>238</v>
      </c>
      <c r="G55" s="334" t="s">
        <v>234</v>
      </c>
      <c r="H55" s="334" t="s">
        <v>238</v>
      </c>
      <c r="I55" s="334" t="s">
        <v>231</v>
      </c>
      <c r="J55" s="334" t="s">
        <v>237</v>
      </c>
      <c r="K55" s="334" t="s">
        <v>234</v>
      </c>
      <c r="L55" s="334" t="s">
        <v>238</v>
      </c>
      <c r="M55" s="334" t="s">
        <v>230</v>
      </c>
      <c r="N55" s="334" t="s">
        <v>230</v>
      </c>
      <c r="O55" s="334" t="s">
        <v>233</v>
      </c>
      <c r="P55" s="334" t="s">
        <v>233</v>
      </c>
      <c r="Q55" s="334" t="s">
        <v>235</v>
      </c>
      <c r="R55" s="334" t="s">
        <v>234</v>
      </c>
      <c r="S55" s="334" t="s">
        <v>234</v>
      </c>
      <c r="T55" s="334" t="s">
        <v>234</v>
      </c>
      <c r="U55" s="334" t="s">
        <v>238</v>
      </c>
      <c r="V55" s="334" t="s">
        <v>236</v>
      </c>
      <c r="W55" s="334" t="s">
        <v>237</v>
      </c>
      <c r="X55" s="60" t="s">
        <v>235</v>
      </c>
      <c r="Y55" s="61" t="s">
        <v>230</v>
      </c>
      <c r="Z55" s="61" t="s">
        <v>231</v>
      </c>
      <c r="AA55" s="61" t="s">
        <v>230</v>
      </c>
      <c r="AB55" s="61" t="s">
        <v>230</v>
      </c>
      <c r="AC55" s="61" t="s">
        <v>232</v>
      </c>
      <c r="AD55" s="62" t="s">
        <v>238</v>
      </c>
      <c r="AE55" s="59"/>
      <c r="AF55" s="333" t="s">
        <v>231</v>
      </c>
      <c r="AG55" s="334" t="s">
        <v>230</v>
      </c>
      <c r="AH55" s="335" t="s">
        <v>231</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50" t="s">
        <v>114</v>
      </c>
      <c r="C58" s="650"/>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c r="AC58" s="650"/>
      <c r="AD58" s="650"/>
      <c r="AE58" s="650"/>
      <c r="AF58" s="650"/>
      <c r="AG58" s="650"/>
      <c r="AH58" s="650"/>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53"/>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658"/>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658"/>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48"/>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65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row>
    <row r="69" s="25" customFormat="1" ht="10.5" customHeight="1">
      <c r="A69" s="248"/>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65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row>
    <row r="70" s="84" customFormat="1">
      <c r="A70" s="256"/>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658"/>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56"/>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658"/>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58" t="n">
        <v>45738</v>
      </c>
      <c r="C72" s="658">
        <v>45745</v>
      </c>
      <c r="D72" s="658">
        <v>45752</v>
      </c>
      <c r="E72" s="658">
        <v>45759</v>
      </c>
      <c r="F72" s="658">
        <v>45766</v>
      </c>
      <c r="G72" s="658">
        <v>45773</v>
      </c>
      <c r="H72" s="658">
        <v>45780</v>
      </c>
      <c r="I72" s="658">
        <v>45787</v>
      </c>
      <c r="J72" s="658">
        <v>45794</v>
      </c>
      <c r="K72" s="658">
        <v>45801</v>
      </c>
      <c r="L72" s="658">
        <v>45808</v>
      </c>
      <c r="M72" s="658">
        <v>45815</v>
      </c>
      <c r="N72" s="658"/>
      <c r="O72" s="658"/>
      <c r="P72" s="658"/>
      <c r="Q72" s="658"/>
      <c r="R72" s="658"/>
      <c r="S72" s="658"/>
      <c r="T72" s="658"/>
      <c r="U72" s="658"/>
      <c r="V72" s="658"/>
      <c r="W72" s="658"/>
      <c r="X72" s="658"/>
      <c r="Y72" s="658"/>
      <c r="Z72" s="658"/>
      <c r="AA72" s="658"/>
      <c r="AB72" s="658"/>
      <c r="AC72" s="658"/>
      <c r="AD72" s="658"/>
      <c r="AE72" s="658"/>
      <c r="AF72" s="658"/>
      <c r="AG72" s="658"/>
      <c r="AH72" s="658"/>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58">
        <v>292.02738095238095238095238095</v>
      </c>
      <c r="C73" s="658">
        <v>328.03836930455635491606714628</v>
      </c>
      <c r="D73" s="658">
        <v>264.93856655290102389078498294</v>
      </c>
      <c r="E73" s="658">
        <v>297.68166089965397923875432526</v>
      </c>
      <c r="F73" s="658">
        <v>261.60854893138357705286839145</v>
      </c>
      <c r="G73" s="658">
        <v>236.04422604422604422604422604</v>
      </c>
      <c r="H73" s="658">
        <v>322.13578826237054085155350978</v>
      </c>
      <c r="I73" s="658">
        <v>232.81440443213296398891966759</v>
      </c>
      <c r="J73" s="658">
        <v>199.37266187050359712230215827</v>
      </c>
      <c r="K73" s="658">
        <v>210.57524271844660194174757282</v>
      </c>
      <c r="L73" s="658">
        <v>169.71326676176890156918687589</v>
      </c>
      <c r="M73" s="658">
        <v>161.75036710719530102790014684</v>
      </c>
      <c r="N73" s="658"/>
      <c r="O73" s="658"/>
      <c r="P73" s="658"/>
      <c r="Q73" s="658"/>
      <c r="R73" s="658"/>
      <c r="S73" s="658"/>
      <c r="T73" s="658"/>
      <c r="U73" s="658"/>
      <c r="V73" s="658"/>
      <c r="W73" s="658"/>
      <c r="X73" s="658"/>
      <c r="Y73" s="658"/>
      <c r="Z73" s="658"/>
      <c r="AA73" s="658"/>
      <c r="AB73" s="658"/>
      <c r="AC73" s="658"/>
      <c r="AD73" s="658"/>
      <c r="AE73" s="658"/>
      <c r="AF73" s="658"/>
      <c r="AG73" s="658"/>
      <c r="AH73" s="658"/>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58">
        <v>300.09978864547979018821351435</v>
      </c>
      <c r="C74" s="658">
        <v>306.30572340086138140054235125</v>
      </c>
      <c r="D74" s="658">
        <v>252.22283348722976896495920952</v>
      </c>
      <c r="E74" s="658">
        <v>283.71227407847800237812128419</v>
      </c>
      <c r="F74" s="658">
        <v>258.67207137433561123766135156</v>
      </c>
      <c r="G74" s="658">
        <v>234.59271866012519032312637456</v>
      </c>
      <c r="H74" s="658">
        <v>332.01755887084978791867778265</v>
      </c>
      <c r="I74" s="658">
        <v>212.53505946313285762827047231</v>
      </c>
      <c r="J74" s="658">
        <v>202.81512508809020436927413671</v>
      </c>
      <c r="K74" s="658">
        <v>238.66647772632923519080312949</v>
      </c>
      <c r="L74" s="658">
        <v>200.06272112475529453639437622</v>
      </c>
      <c r="M74" s="658">
        <v>175.7963791486967935495968498</v>
      </c>
      <c r="N74" s="658"/>
      <c r="O74" s="658"/>
      <c r="P74" s="658"/>
      <c r="Q74" s="658"/>
      <c r="R74" s="658"/>
      <c r="S74" s="658"/>
      <c r="T74" s="658"/>
      <c r="U74" s="658"/>
      <c r="V74" s="658"/>
      <c r="W74" s="658"/>
      <c r="X74" s="658"/>
      <c r="Y74" s="658"/>
      <c r="Z74" s="658"/>
      <c r="AA74" s="658"/>
      <c r="AB74" s="658"/>
      <c r="AC74" s="658"/>
      <c r="AD74" s="658"/>
      <c r="AE74" s="658"/>
      <c r="AF74" s="658"/>
      <c r="AG74" s="658"/>
      <c r="AH74" s="658"/>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s="84" customFormat="1" ht="14.25">
      <c r="A75" s="260" t="s">
        <v>183</v>
      </c>
      <c r="B75" s="658">
        <v>286.60591050570634894072760133</v>
      </c>
      <c r="C75" s="658">
        <v>303.53818418460672576333192627</v>
      </c>
      <c r="D75" s="658">
        <v>260.3981971594780147790996279</v>
      </c>
      <c r="E75" s="658">
        <v>261.89942077443977236266612628</v>
      </c>
      <c r="F75" s="658">
        <v>255.10237519243457224543655157</v>
      </c>
      <c r="G75" s="658">
        <v>229.51864479846373914917798287</v>
      </c>
      <c r="H75" s="658">
        <v>288.94759760009307118283501471</v>
      </c>
      <c r="I75" s="658">
        <v>226.80824394359407014583584428</v>
      </c>
      <c r="J75" s="658">
        <v>209.33256941744592907859466759</v>
      </c>
      <c r="K75" s="658">
        <v>204.81076211638940604167917843</v>
      </c>
      <c r="L75" s="658">
        <v>186.85186482994240161187884628</v>
      </c>
      <c r="M75" s="658">
        <v>176.01342369064888388507588715</v>
      </c>
      <c r="N75" s="658"/>
      <c r="O75" s="658"/>
      <c r="P75" s="658"/>
      <c r="Q75" s="658"/>
      <c r="R75" s="658"/>
      <c r="S75" s="658"/>
      <c r="T75" s="658"/>
      <c r="U75" s="658"/>
      <c r="V75" s="658"/>
      <c r="W75" s="658"/>
      <c r="X75" s="658"/>
      <c r="Y75" s="658"/>
      <c r="Z75" s="658"/>
      <c r="AA75" s="658"/>
      <c r="AB75" s="658"/>
      <c r="AC75" s="658"/>
      <c r="AD75" s="658"/>
      <c r="AE75" s="658"/>
      <c r="AF75" s="658"/>
      <c r="AG75" s="658"/>
      <c r="AH75" s="658"/>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row>
    <row r="76" s="84" customFormat="1">
      <c r="A76" s="256"/>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658"/>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row>
    <row r="77">
      <c r="A77" s="256"/>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658"/>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658"/>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658"/>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658"/>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658"/>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658"/>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658"/>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658"/>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658"/>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658"/>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658"/>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658"/>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658"/>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658"/>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58"/>
      <c r="C95" s="658"/>
      <c r="D95" s="658"/>
      <c r="E95" s="658"/>
      <c r="F95" s="658"/>
      <c r="G95" s="658"/>
      <c r="H95" s="658"/>
      <c r="I95" s="658"/>
      <c r="J95" s="658"/>
      <c r="K95" s="658"/>
      <c r="L95" s="658"/>
      <c r="M95" s="658"/>
      <c r="N95" s="658"/>
      <c r="O95" s="658"/>
      <c r="P95" s="658"/>
      <c r="Q95" s="658"/>
      <c r="R95" s="658"/>
      <c r="S95" s="658"/>
      <c r="T95" s="658"/>
      <c r="U95" s="658"/>
      <c r="V95" s="658"/>
      <c r="W95" s="658"/>
      <c r="X95" s="658"/>
      <c r="Y95" s="658"/>
      <c r="Z95" s="658"/>
      <c r="AA95" s="658"/>
      <c r="AB95" s="658"/>
      <c r="AC95" s="658"/>
      <c r="AD95" s="658"/>
      <c r="AE95" s="658"/>
      <c r="AF95" s="658"/>
      <c r="AG95" s="658"/>
      <c r="AH95" s="658"/>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77"/>
</worksheet>
</file>

<file path=xl/worksheets/sheet7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152</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180</v>
      </c>
      <c r="B4" s="442"/>
      <c r="C4" s="211"/>
      <c r="D4" s="212"/>
      <c r="E4" s="212"/>
      <c r="F4" s="212"/>
      <c r="G4" s="212"/>
      <c r="H4" s="212"/>
      <c r="I4" s="212"/>
      <c r="J4" s="212"/>
      <c r="K4" s="212"/>
      <c r="L4" s="212"/>
      <c r="M4" s="212"/>
      <c r="N4" s="212"/>
      <c r="O4" s="212"/>
      <c r="P4" s="212"/>
      <c r="Q4" s="212"/>
      <c r="R4" s="665" t="s">
        <v>182</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66" t="s">
        <v>21</v>
      </c>
      <c r="E8" s="666"/>
      <c r="F8" s="666"/>
      <c r="G8" s="666" t="s">
        <v>24</v>
      </c>
      <c r="H8" s="666"/>
      <c r="I8" s="666"/>
      <c r="J8" s="666" t="s">
        <v>25</v>
      </c>
      <c r="K8" s="666"/>
      <c r="L8" s="666"/>
      <c r="M8" s="666" t="s">
        <v>23</v>
      </c>
      <c r="N8" s="666"/>
      <c r="O8" s="666"/>
      <c r="Q8" s="666" t="s">
        <v>21</v>
      </c>
      <c r="R8" s="666"/>
      <c r="S8" s="666"/>
      <c r="T8" s="666" t="s">
        <v>24</v>
      </c>
      <c r="U8" s="666"/>
      <c r="V8" s="666"/>
      <c r="W8" s="666" t="s">
        <v>25</v>
      </c>
      <c r="X8" s="666"/>
      <c r="Y8" s="666"/>
      <c r="Z8" s="666" t="s">
        <v>23</v>
      </c>
      <c r="AA8" s="666"/>
      <c r="AB8" s="66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184</v>
      </c>
      <c r="B10" s="342">
        <v>11</v>
      </c>
      <c r="C10" s="343" t="s">
        <v>49</v>
      </c>
      <c r="D10" s="374">
        <v>164.05263157894736842105263158</v>
      </c>
      <c r="E10" s="382">
        <v>167.36383015423438659122189201</v>
      </c>
      <c r="F10" s="375">
        <v>187.83902579159790947757871081</v>
      </c>
      <c r="G10" s="374">
        <v>293</v>
      </c>
      <c r="H10" s="382">
        <v>187.07006296788290357422190218</v>
      </c>
      <c r="I10" s="375">
        <v>224.9283490730015397252950333</v>
      </c>
      <c r="J10" s="374">
        <v>0</v>
      </c>
      <c r="K10" s="382">
        <v>0</v>
      </c>
      <c r="L10" s="375">
        <v>153.8454019765978428116751958</v>
      </c>
      <c r="M10" s="374">
        <v>165.72727272727272727272727273</v>
      </c>
      <c r="N10" s="382">
        <v>170.22065088757396449704142011</v>
      </c>
      <c r="O10" s="375">
        <v>186.66224018475750577367205543</v>
      </c>
      <c r="P10" s="4"/>
      <c r="Q10" s="354">
        <v>-12.525547089018728352525010840</v>
      </c>
      <c r="R10" s="355">
        <v>-5.1164007574948286197119811100</v>
      </c>
      <c r="S10" s="356">
        <v>-0.1069299635085173413556045500</v>
      </c>
      <c r="T10" s="354">
        <v>0</v>
      </c>
      <c r="U10" s="355">
        <v>-8.885874630813663888119104790</v>
      </c>
      <c r="V10" s="356">
        <v>7.7146113168833528485216647200</v>
      </c>
      <c r="W10" s="354">
        <v>0</v>
      </c>
      <c r="X10" s="355">
        <v>-100</v>
      </c>
      <c r="Y10" s="356">
        <v>4.796591172853362336897730900</v>
      </c>
      <c r="Z10" s="354">
        <v>-11.632612200610776502651407250</v>
      </c>
      <c r="AA10" s="355">
        <v>-4.1445510449607536468854687700</v>
      </c>
      <c r="AB10" s="356">
        <v>0.2969260397504829801347802300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12</v>
      </c>
      <c r="C11" s="345" t="s">
        <v>47</v>
      </c>
      <c r="D11" s="370">
        <v>145.3013698630136986301369863</v>
      </c>
      <c r="E11" s="172">
        <v>166.63152545681387378497228134</v>
      </c>
      <c r="F11" s="371">
        <v>188.29328276730299872465086984</v>
      </c>
      <c r="G11" s="370">
        <v>169</v>
      </c>
      <c r="H11" s="172">
        <v>188.48712469214080218078613545</v>
      </c>
      <c r="I11" s="371">
        <v>243.77858668524414882351464604</v>
      </c>
      <c r="J11" s="370">
        <v>0</v>
      </c>
      <c r="K11" s="172">
        <v>0</v>
      </c>
      <c r="L11" s="371">
        <v>151.16770914954965559033249275</v>
      </c>
      <c r="M11" s="370">
        <v>148.4047619047619047619047619</v>
      </c>
      <c r="N11" s="172">
        <v>170.1608</v>
      </c>
      <c r="O11" s="371">
        <v>194.70197668525088697415103903</v>
      </c>
      <c r="P11" s="4"/>
      <c r="Q11" s="327">
        <v>-5.560855242211772716320123600</v>
      </c>
      <c r="R11" s="171">
        <v>-7.4053902012356767760544268300</v>
      </c>
      <c r="S11" s="328">
        <v>-0.7681071173541580103803109500</v>
      </c>
      <c r="T11" s="327">
        <v>0</v>
      </c>
      <c r="U11" s="171">
        <v>-6.0030182033483986523532914400</v>
      </c>
      <c r="V11" s="328">
        <v>16.533226661984620983499886860</v>
      </c>
      <c r="W11" s="327">
        <v>0</v>
      </c>
      <c r="X11" s="171">
        <v>-100</v>
      </c>
      <c r="Y11" s="328">
        <v>-2.1319358014718964469972458100</v>
      </c>
      <c r="Z11" s="327">
        <v>-3.5437944908428317595301016900</v>
      </c>
      <c r="AA11" s="171">
        <v>-6.741359274196227923298471800</v>
      </c>
      <c r="AB11" s="328">
        <v>2.2651615809730942440196023600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13</v>
      </c>
      <c r="C12" s="347" t="s">
        <v>48</v>
      </c>
      <c r="D12" s="378">
        <v>157.91358024691358024691358025</v>
      </c>
      <c r="E12" s="173">
        <v>177.67033037852608504535651449</v>
      </c>
      <c r="F12" s="379">
        <v>195.53685132333711219178341657</v>
      </c>
      <c r="G12" s="378">
        <v>169</v>
      </c>
      <c r="H12" s="173">
        <v>190.72010881652331436233186416</v>
      </c>
      <c r="I12" s="379">
        <v>253.56210187318327970561182638</v>
      </c>
      <c r="J12" s="378">
        <v>0</v>
      </c>
      <c r="K12" s="173">
        <v>0</v>
      </c>
      <c r="L12" s="379">
        <v>127.77689848517854278094150901</v>
      </c>
      <c r="M12" s="378">
        <v>159.23913043478260869565217391</v>
      </c>
      <c r="N12" s="173">
        <v>179.76164102564102564102564104</v>
      </c>
      <c r="O12" s="379">
        <v>201.04808877928483353884093711</v>
      </c>
      <c r="P12" s="4"/>
      <c r="Q12" s="359">
        <v>3.6153397959924425477974264900</v>
      </c>
      <c r="R12" s="170">
        <v>-8.53958571368253598513033700</v>
      </c>
      <c r="S12" s="360">
        <v>-1.3254656766337089761685823300</v>
      </c>
      <c r="T12" s="359">
        <v>0</v>
      </c>
      <c r="U12" s="170">
        <v>-9.341453451356624849654834740</v>
      </c>
      <c r="V12" s="360">
        <v>17.155028583571062333883762660</v>
      </c>
      <c r="W12" s="359">
        <v>0</v>
      </c>
      <c r="X12" s="170">
        <v>-100</v>
      </c>
      <c r="Y12" s="360">
        <v>-14.589619521767061146538708620</v>
      </c>
      <c r="Z12" s="359">
        <v>4.4851024403320540846857472300</v>
      </c>
      <c r="AA12" s="170">
        <v>-8.763190762120056311346296820</v>
      </c>
      <c r="AB12" s="360">
        <v>1.4120719186807644707012806700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14</v>
      </c>
      <c r="C13" s="345" t="s">
        <v>50</v>
      </c>
      <c r="D13" s="370">
        <v>150.6265060240963855421686747</v>
      </c>
      <c r="E13" s="172">
        <v>171.66194773283825058499413966</v>
      </c>
      <c r="F13" s="371">
        <v>193.90462743343319857772283028</v>
      </c>
      <c r="G13" s="370">
        <v>169</v>
      </c>
      <c r="H13" s="172">
        <v>187.04945140381585129072895316</v>
      </c>
      <c r="I13" s="371">
        <v>246.11542109399812118912019081</v>
      </c>
      <c r="J13" s="370">
        <v>0</v>
      </c>
      <c r="K13" s="172">
        <v>0</v>
      </c>
      <c r="L13" s="371">
        <v>155.37456964799393747275181162</v>
      </c>
      <c r="M13" s="370">
        <v>152.77659574468085106382978723</v>
      </c>
      <c r="N13" s="172">
        <v>174.02925598991172761664564943</v>
      </c>
      <c r="O13" s="371">
        <v>203.80325361512791991101223582</v>
      </c>
      <c r="P13" s="4"/>
      <c r="Q13" s="327">
        <v>-3.256795965889883560230957600</v>
      </c>
      <c r="R13" s="171">
        <v>-3.78650072488124381092706300</v>
      </c>
      <c r="S13" s="328">
        <v>-0.7827492435056138653150898400</v>
      </c>
      <c r="T13" s="327">
        <v>0</v>
      </c>
      <c r="U13" s="171">
        <v>-11.063183672160071180910990270</v>
      </c>
      <c r="V13" s="328">
        <v>15.148988131949916473390715660</v>
      </c>
      <c r="W13" s="327">
        <v>0</v>
      </c>
      <c r="X13" s="171">
        <v>-100</v>
      </c>
      <c r="Y13" s="328">
        <v>2.3440785115854915600812409700</v>
      </c>
      <c r="Z13" s="327">
        <v>-1.8758533016759899506322162300</v>
      </c>
      <c r="AA13" s="171">
        <v>-4.8698122586749518512821301900</v>
      </c>
      <c r="AB13" s="328">
        <v>3.9596131625500054530012018900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15</v>
      </c>
      <c r="C14" s="347" t="s">
        <v>51</v>
      </c>
      <c r="D14" s="378">
        <v>168.40625</v>
      </c>
      <c r="E14" s="173">
        <v>180.94498631395079428455467856</v>
      </c>
      <c r="F14" s="379">
        <v>206.87168098620459952202862562</v>
      </c>
      <c r="G14" s="378">
        <v>169</v>
      </c>
      <c r="H14" s="173">
        <v>192.18923318227308957202503783</v>
      </c>
      <c r="I14" s="379">
        <v>230.54548933076771059731798811</v>
      </c>
      <c r="J14" s="378">
        <v>0</v>
      </c>
      <c r="K14" s="173">
        <v>0</v>
      </c>
      <c r="L14" s="379">
        <v>153.04254725205023249986292809</v>
      </c>
      <c r="M14" s="378">
        <v>168.46728971962616822429906542</v>
      </c>
      <c r="N14" s="173">
        <v>181.7335792019347037484885127</v>
      </c>
      <c r="O14" s="379">
        <v>206.82131324004305705059203445</v>
      </c>
      <c r="P14" s="4"/>
      <c r="Q14" s="359">
        <v>-13.556046297226931083258496540</v>
      </c>
      <c r="R14" s="170">
        <v>-8.209656503896694929842355230</v>
      </c>
      <c r="S14" s="360">
        <v>0.2927879526607325041692578900</v>
      </c>
      <c r="T14" s="359">
        <v>0</v>
      </c>
      <c r="U14" s="170">
        <v>-12.380895903716818322674585800</v>
      </c>
      <c r="V14" s="360">
        <v>8.128373439136671318606905900</v>
      </c>
      <c r="W14" s="359">
        <v>0</v>
      </c>
      <c r="X14" s="170">
        <v>-100</v>
      </c>
      <c r="Y14" s="360">
        <v>4.7628780338059145995654476900</v>
      </c>
      <c r="Z14" s="359">
        <v>-13.524714237416830599227164150</v>
      </c>
      <c r="AA14" s="170">
        <v>-8.481991595548638033047871470</v>
      </c>
      <c r="AB14" s="360">
        <v>1.8409608838959258255218996400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16</v>
      </c>
      <c r="C15" s="345" t="s">
        <v>52</v>
      </c>
      <c r="D15" s="370">
        <v>260.22807017543859649122807018</v>
      </c>
      <c r="E15" s="172">
        <v>237.575355999202069757268792</v>
      </c>
      <c r="F15" s="371">
        <v>238.57596759605351735053216198</v>
      </c>
      <c r="G15" s="370">
        <v>0</v>
      </c>
      <c r="H15" s="172">
        <v>295.23918684316506963953790181</v>
      </c>
      <c r="I15" s="371">
        <v>230.53192296942985181162599712</v>
      </c>
      <c r="J15" s="370">
        <v>0</v>
      </c>
      <c r="K15" s="172">
        <v>0</v>
      </c>
      <c r="L15" s="371">
        <v>158.49972563882665489938140433</v>
      </c>
      <c r="M15" s="370">
        <v>260.22807017543859649122807018</v>
      </c>
      <c r="N15" s="172">
        <v>244.81427038626609442060085837</v>
      </c>
      <c r="O15" s="371">
        <v>229.9616125150421179302045728</v>
      </c>
      <c r="P15" s="4"/>
      <c r="Q15" s="327">
        <v>0.8741602565764204145926959900</v>
      </c>
      <c r="R15" s="171">
        <v>-6.6183302687853155557822183800</v>
      </c>
      <c r="S15" s="328">
        <v>0.9405365859576283211413938600</v>
      </c>
      <c r="T15" s="327">
        <v>0</v>
      </c>
      <c r="U15" s="171">
        <v>13.174623453769581597294732480</v>
      </c>
      <c r="V15" s="328">
        <v>2.3090386888863287275049983700</v>
      </c>
      <c r="W15" s="327">
        <v>0</v>
      </c>
      <c r="X15" s="171">
        <v>-100</v>
      </c>
      <c r="Y15" s="328">
        <v>7.0779911384078975525211728500</v>
      </c>
      <c r="Z15" s="327">
        <v>0.8741602565764204145926959900</v>
      </c>
      <c r="AA15" s="171">
        <v>-3.492978271615887123815432900</v>
      </c>
      <c r="AB15" s="328">
        <v>0.7706268111028434499683060700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17</v>
      </c>
      <c r="C16" s="347" t="s">
        <v>53</v>
      </c>
      <c r="D16" s="378">
        <v>288.45669291338582677165354331</v>
      </c>
      <c r="E16" s="173">
        <v>265.30956910129023809977515297</v>
      </c>
      <c r="F16" s="379">
        <v>235.55368793832105537013924784</v>
      </c>
      <c r="G16" s="378">
        <v>0</v>
      </c>
      <c r="H16" s="173">
        <v>274.11821384474530555586391718</v>
      </c>
      <c r="I16" s="379">
        <v>222.62772689236764704155284208</v>
      </c>
      <c r="J16" s="378">
        <v>0</v>
      </c>
      <c r="K16" s="173">
        <v>0</v>
      </c>
      <c r="L16" s="379">
        <v>154.70964002369222553655945392</v>
      </c>
      <c r="M16" s="378">
        <v>288.45669291338582677165354331</v>
      </c>
      <c r="N16" s="173">
        <v>266.43615307150050352467270894</v>
      </c>
      <c r="O16" s="379">
        <v>226.74874010079193664506839453</v>
      </c>
      <c r="P16" s="4"/>
      <c r="Q16" s="359">
        <v>3.7990806759759846514002311900</v>
      </c>
      <c r="R16" s="170">
        <v>0.7065305934804539674901158900</v>
      </c>
      <c r="S16" s="360">
        <v>-1.3580925141515459009088108600</v>
      </c>
      <c r="T16" s="359">
        <v>0</v>
      </c>
      <c r="U16" s="170">
        <v>-2.638197500487987463079931400</v>
      </c>
      <c r="V16" s="360">
        <v>3.1903993389409261510286299100</v>
      </c>
      <c r="W16" s="359">
        <v>0</v>
      </c>
      <c r="X16" s="170">
        <v>-100</v>
      </c>
      <c r="Y16" s="360">
        <v>4.608961780479567747692120600</v>
      </c>
      <c r="Z16" s="359">
        <v>3.7990806759759846514002311900</v>
      </c>
      <c r="AA16" s="170">
        <v>1.2888371952153550600570189300</v>
      </c>
      <c r="AB16" s="360">
        <v>-0.9750834339393514986266116700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18</v>
      </c>
      <c r="C17" s="345" t="s">
        <v>49</v>
      </c>
      <c r="D17" s="370">
        <v>200.98019801980198019801980198</v>
      </c>
      <c r="E17" s="172">
        <v>227.68739601670165060461569193</v>
      </c>
      <c r="F17" s="371">
        <v>194.86547426817902658923709096</v>
      </c>
      <c r="G17" s="370">
        <v>151.41176470588235294117647059</v>
      </c>
      <c r="H17" s="172">
        <v>232.98513247340823896824626934</v>
      </c>
      <c r="I17" s="371">
        <v>236.68012179753942741019925987</v>
      </c>
      <c r="J17" s="370">
        <v>0</v>
      </c>
      <c r="K17" s="172">
        <v>0</v>
      </c>
      <c r="L17" s="371">
        <v>154.57854580478085775914782524</v>
      </c>
      <c r="M17" s="370">
        <v>193.83898305084745762711864407</v>
      </c>
      <c r="N17" s="172">
        <v>228.80210412147505422993492405</v>
      </c>
      <c r="O17" s="371">
        <v>196.95494142385100630820066086</v>
      </c>
      <c r="P17" s="4"/>
      <c r="Q17" s="327">
        <v>6.5197003994689982095233709500</v>
      </c>
      <c r="R17" s="171">
        <v>30.305610926624806212704346290</v>
      </c>
      <c r="S17" s="328">
        <v>1.3830926614712434124408020700</v>
      </c>
      <c r="T17" s="327">
        <v>0</v>
      </c>
      <c r="U17" s="171">
        <v>37.237718706109421108231378030</v>
      </c>
      <c r="V17" s="328">
        <v>9.832853261010659767079915520</v>
      </c>
      <c r="W17" s="327">
        <v>0</v>
      </c>
      <c r="X17" s="171">
        <v>-100</v>
      </c>
      <c r="Y17" s="328">
        <v>5.8062617059805829778431710300</v>
      </c>
      <c r="Z17" s="327">
        <v>2.7348495212432164566381889200</v>
      </c>
      <c r="AA17" s="171">
        <v>31.210644377844816105170549220</v>
      </c>
      <c r="AB17" s="328">
        <v>3.2060188925835590766708626400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19</v>
      </c>
      <c r="C18" s="347" t="s">
        <v>47</v>
      </c>
      <c r="D18" s="378">
        <v>216.2</v>
      </c>
      <c r="E18" s="173">
        <v>243.55653681690684815066629651</v>
      </c>
      <c r="F18" s="379">
        <v>199.57389059204563425614444002</v>
      </c>
      <c r="G18" s="378">
        <v>139.08823529411764705882352941</v>
      </c>
      <c r="H18" s="173">
        <v>227.84724387089647099093765626</v>
      </c>
      <c r="I18" s="379">
        <v>223.60766665029584047290183679</v>
      </c>
      <c r="J18" s="378">
        <v>0</v>
      </c>
      <c r="K18" s="173">
        <v>0</v>
      </c>
      <c r="L18" s="379">
        <v>149.93361607471627407193147457</v>
      </c>
      <c r="M18" s="378">
        <v>194.1680672268907563025210084</v>
      </c>
      <c r="N18" s="173">
        <v>239.36508269018743109151047409</v>
      </c>
      <c r="O18" s="379">
        <v>198.94059706016063039854523413</v>
      </c>
      <c r="P18" s="4"/>
      <c r="Q18" s="359">
        <v>44.917788599288437190168842950</v>
      </c>
      <c r="R18" s="170">
        <v>46.056613372221804766204192790</v>
      </c>
      <c r="S18" s="360">
        <v>3.906336613757865260372634800</v>
      </c>
      <c r="T18" s="359">
        <v>0</v>
      </c>
      <c r="U18" s="170">
        <v>22.989805576716570873616530070</v>
      </c>
      <c r="V18" s="360">
        <v>2.1425040667090080688021152400</v>
      </c>
      <c r="W18" s="359">
        <v>0</v>
      </c>
      <c r="X18" s="170">
        <v>-100</v>
      </c>
      <c r="Y18" s="360">
        <v>4.8919710611927540701506655100</v>
      </c>
      <c r="Z18" s="359">
        <v>30.149893242918501765251645500</v>
      </c>
      <c r="AA18" s="170">
        <v>42.084745364259447954136750990</v>
      </c>
      <c r="AB18" s="360">
        <v>3.4865546235043198817067099800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20</v>
      </c>
      <c r="C19" s="345" t="s">
        <v>48</v>
      </c>
      <c r="D19" s="370">
        <v>223.81428571428571428571428571</v>
      </c>
      <c r="E19" s="172">
        <v>244.69358410019557169798142068</v>
      </c>
      <c r="F19" s="371">
        <v>200.89537797313421531327979993</v>
      </c>
      <c r="G19" s="370">
        <v>171.3125</v>
      </c>
      <c r="H19" s="172">
        <v>230.1105556554756195043964828</v>
      </c>
      <c r="I19" s="371">
        <v>213.39937060346125739625779986</v>
      </c>
      <c r="J19" s="370">
        <v>0</v>
      </c>
      <c r="K19" s="172">
        <v>0</v>
      </c>
      <c r="L19" s="371">
        <v>143.73424171764051442363980609</v>
      </c>
      <c r="M19" s="370">
        <v>202.45762711864406779661016949</v>
      </c>
      <c r="N19" s="172">
        <v>240.36346985210466439135381115</v>
      </c>
      <c r="O19" s="371">
        <v>197.84448409158489443948855189</v>
      </c>
      <c r="P19" s="4"/>
      <c r="Q19" s="327">
        <v>68.136939257333318637126278890</v>
      </c>
      <c r="R19" s="171">
        <v>50.233551018098286659549317490</v>
      </c>
      <c r="S19" s="328">
        <v>2.5471191929734632395753212100</v>
      </c>
      <c r="T19" s="327">
        <v>0</v>
      </c>
      <c r="U19" s="171">
        <v>33.666790452325782410222668140</v>
      </c>
      <c r="V19" s="328">
        <v>1.6728736998007116354456599300</v>
      </c>
      <c r="W19" s="327">
        <v>0</v>
      </c>
      <c r="X19" s="171">
        <v>-100</v>
      </c>
      <c r="Y19" s="328">
        <v>-1.8197134799911341012088765900</v>
      </c>
      <c r="Z19" s="327">
        <v>52.093087554234426002223326040</v>
      </c>
      <c r="AA19" s="171">
        <v>46.515630851085133606926497380</v>
      </c>
      <c r="AB19" s="328">
        <v>1.8986396772714385010531908500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21</v>
      </c>
      <c r="C20" s="347" t="s">
        <v>50</v>
      </c>
      <c r="D20" s="378">
        <v>194.44736842105263157894736842</v>
      </c>
      <c r="E20" s="173">
        <v>212.22930174651524015088858855</v>
      </c>
      <c r="F20" s="379">
        <v>195.43699974082740194426708068</v>
      </c>
      <c r="G20" s="378">
        <v>167.18</v>
      </c>
      <c r="H20" s="173">
        <v>230.84115415903865342067589258</v>
      </c>
      <c r="I20" s="379">
        <v>207.51535207000033465174578575</v>
      </c>
      <c r="J20" s="378">
        <v>0</v>
      </c>
      <c r="K20" s="173">
        <v>0</v>
      </c>
      <c r="L20" s="379">
        <v>148.44087671468015759727311887</v>
      </c>
      <c r="M20" s="378">
        <v>183.62698412698412698412698413</v>
      </c>
      <c r="N20" s="173">
        <v>218.13674019607843137254901961</v>
      </c>
      <c r="O20" s="379">
        <v>193.3490707434052757793764988</v>
      </c>
      <c r="P20" s="4"/>
      <c r="Q20" s="359">
        <v>35.632279811802249618748780060</v>
      </c>
      <c r="R20" s="170">
        <v>41.071722897651469975304922290</v>
      </c>
      <c r="S20" s="360">
        <v>4.0073004711734923097824954700</v>
      </c>
      <c r="T20" s="359">
        <v>0</v>
      </c>
      <c r="U20" s="170">
        <v>29.428284304414041470194996720</v>
      </c>
      <c r="V20" s="360">
        <v>1.9165891333381870804916839200</v>
      </c>
      <c r="W20" s="359">
        <v>0</v>
      </c>
      <c r="X20" s="170">
        <v>-100</v>
      </c>
      <c r="Y20" s="360">
        <v>-5.5112060050585299077070648600</v>
      </c>
      <c r="Z20" s="359">
        <v>28.084770158360033982627156980</v>
      </c>
      <c r="AA20" s="170">
        <v>43.054481642227023776262516930</v>
      </c>
      <c r="AB20" s="360">
        <v>2.9719144962297747254309654800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22</v>
      </c>
      <c r="C21" s="345" t="s">
        <v>51</v>
      </c>
      <c r="D21" s="370">
        <v>200.31325301204819277108433735</v>
      </c>
      <c r="E21" s="172">
        <v>210.63854580558494810483077722</v>
      </c>
      <c r="F21" s="371">
        <v>188.02430049859101167130628015</v>
      </c>
      <c r="G21" s="370">
        <v>164.27906976744186046511627907</v>
      </c>
      <c r="H21" s="172">
        <v>236.19095648732274599094131369</v>
      </c>
      <c r="I21" s="371">
        <v>199.26986728278809743135750755</v>
      </c>
      <c r="J21" s="370">
        <v>0</v>
      </c>
      <c r="K21" s="172">
        <v>0</v>
      </c>
      <c r="L21" s="371">
        <v>186.59664462477529557745401103</v>
      </c>
      <c r="M21" s="370">
        <v>188.01587301587301587301587302</v>
      </c>
      <c r="N21" s="172">
        <v>217.12516014234875444839857651</v>
      </c>
      <c r="O21" s="371">
        <v>190.21664094289322295496001122</v>
      </c>
      <c r="P21" s="4"/>
      <c r="Q21" s="327">
        <v>26.612190515938602723786536160</v>
      </c>
      <c r="R21" s="171">
        <v>10.075615074987641612320475440</v>
      </c>
      <c r="S21" s="328">
        <v>-4.367782984559985383377277500</v>
      </c>
      <c r="T21" s="327">
        <v>0</v>
      </c>
      <c r="U21" s="171">
        <v>-16.875587615422089919194601820</v>
      </c>
      <c r="V21" s="328">
        <v>-1.7658662322624172187090687600</v>
      </c>
      <c r="W21" s="327">
        <v>0</v>
      </c>
      <c r="X21" s="171">
        <v>-100</v>
      </c>
      <c r="Y21" s="328">
        <v>25.181477061399892605222105710</v>
      </c>
      <c r="Z21" s="327">
        <v>18.839373712704043760919382560</v>
      </c>
      <c r="AA21" s="171">
        <v>9.039470347892717490905758960</v>
      </c>
      <c r="AB21" s="328">
        <v>-1.7387826316120994421011062200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23</v>
      </c>
      <c r="C22" s="347" t="s">
        <v>52</v>
      </c>
      <c r="D22" s="378">
        <v>244.83157894736842105263157895</v>
      </c>
      <c r="E22" s="173">
        <v>237.51217366048073177501819924</v>
      </c>
      <c r="F22" s="379">
        <v>219.64050530200011568341647103</v>
      </c>
      <c r="G22" s="378">
        <v>279</v>
      </c>
      <c r="H22" s="173">
        <v>281.1829667657561173962702228</v>
      </c>
      <c r="I22" s="379">
        <v>202.36089712080990610611928342</v>
      </c>
      <c r="J22" s="378">
        <v>0</v>
      </c>
      <c r="K22" s="173">
        <v>0</v>
      </c>
      <c r="L22" s="379">
        <v>174.80704346333547043602608699</v>
      </c>
      <c r="M22" s="378">
        <v>245.53608247422680412371134021</v>
      </c>
      <c r="N22" s="173">
        <v>241.01570621468926553672316384</v>
      </c>
      <c r="O22" s="379">
        <v>213.32581617936279008784581093</v>
      </c>
      <c r="P22" s="4"/>
      <c r="Q22" s="359">
        <v>4.8471678812804128516051589100</v>
      </c>
      <c r="R22" s="170">
        <v>-10.813714787183170791902029720</v>
      </c>
      <c r="S22" s="360">
        <v>-5.2018584613766104498610742500</v>
      </c>
      <c r="T22" s="359">
        <v>0</v>
      </c>
      <c r="U22" s="170">
        <v>-2.8410131634869809104524532400</v>
      </c>
      <c r="V22" s="360">
        <v>-7.2446346483483285680721846200</v>
      </c>
      <c r="W22" s="359">
        <v>0</v>
      </c>
      <c r="X22" s="170">
        <v>-100</v>
      </c>
      <c r="Y22" s="360">
        <v>11.687963332428976160258131370</v>
      </c>
      <c r="Z22" s="359">
        <v>5.1488658888293241654974514400</v>
      </c>
      <c r="AA22" s="170">
        <v>-9.854062107420548786763759240</v>
      </c>
      <c r="AB22" s="360">
        <v>-4.8851177485765023791463266900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24</v>
      </c>
      <c r="C23" s="345" t="s">
        <v>53</v>
      </c>
      <c r="D23" s="370">
        <v>274.97478991596638655462184874</v>
      </c>
      <c r="E23" s="172">
        <v>276.95338983050847457627118644</v>
      </c>
      <c r="F23" s="371">
        <v>245.73186632036547713823138947</v>
      </c>
      <c r="G23" s="370">
        <v>279</v>
      </c>
      <c r="H23" s="172">
        <v>293.28358208955223880597014925</v>
      </c>
      <c r="I23" s="371">
        <v>208.65978394750711986926760425</v>
      </c>
      <c r="J23" s="370">
        <v>0</v>
      </c>
      <c r="K23" s="172">
        <v>0</v>
      </c>
      <c r="L23" s="371">
        <v>161.10357519464039474376175058</v>
      </c>
      <c r="M23" s="370">
        <v>275.00833333333333333333333333</v>
      </c>
      <c r="N23" s="172">
        <v>278.03560830860534124629080119</v>
      </c>
      <c r="O23" s="371">
        <v>234.47331460674157303370786517</v>
      </c>
      <c r="P23" s="4"/>
      <c r="Q23" s="327">
        <v>3.1784599135374364251487541500</v>
      </c>
      <c r="R23" s="171">
        <v>-8.860571212675840661938259120</v>
      </c>
      <c r="S23" s="328">
        <v>-3.0745825192860338991171147700</v>
      </c>
      <c r="T23" s="327">
        <v>0</v>
      </c>
      <c r="U23" s="171">
        <v>1.4730432571780307463410604800</v>
      </c>
      <c r="V23" s="328">
        <v>-3.4666457224916328976680289200</v>
      </c>
      <c r="W23" s="327">
        <v>0</v>
      </c>
      <c r="X23" s="171">
        <v>-100</v>
      </c>
      <c r="Y23" s="328">
        <v>8.243327114003522916060481660</v>
      </c>
      <c r="Z23" s="327">
        <v>3.1910463697184421786804367700</v>
      </c>
      <c r="AA23" s="171">
        <v>-7.9187565082273224488726997300</v>
      </c>
      <c r="AB23" s="328">
        <v>-3.6805614730311761298009937600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25</v>
      </c>
      <c r="C24" s="347" t="s">
        <v>49</v>
      </c>
      <c r="D24" s="378">
        <v>186.29921259842519685039370079</v>
      </c>
      <c r="E24" s="173">
        <v>197.3216940089598589623580634</v>
      </c>
      <c r="F24" s="379">
        <v>196.49928854110943320160227005</v>
      </c>
      <c r="G24" s="378">
        <v>0</v>
      </c>
      <c r="H24" s="173">
        <v>293.71724743839135252224039219</v>
      </c>
      <c r="I24" s="379">
        <v>207.0454743521056707098415008</v>
      </c>
      <c r="J24" s="378">
        <v>0</v>
      </c>
      <c r="K24" s="173">
        <v>0</v>
      </c>
      <c r="L24" s="379">
        <v>158.07798168346556206387482466</v>
      </c>
      <c r="M24" s="378">
        <v>186.29921259842519685039370079</v>
      </c>
      <c r="N24" s="173">
        <v>203.61520130576713819368879215</v>
      </c>
      <c r="O24" s="379">
        <v>193.86554044774069495948358742</v>
      </c>
      <c r="P24" s="4"/>
      <c r="Q24" s="359">
        <v>-1.7511997715539748722552936100</v>
      </c>
      <c r="R24" s="170">
        <v>-10.360399814748123393781159870</v>
      </c>
      <c r="S24" s="360">
        <v>-6.192227091696247582860743500</v>
      </c>
      <c r="T24" s="359">
        <v>0</v>
      </c>
      <c r="U24" s="170">
        <v>1.6519399776432378715528486900</v>
      </c>
      <c r="V24" s="360">
        <v>-3.6262000656821731887548296500</v>
      </c>
      <c r="W24" s="359">
        <v>0</v>
      </c>
      <c r="X24" s="170">
        <v>-100</v>
      </c>
      <c r="Y24" s="360">
        <v>5.2049848723060288713754136800</v>
      </c>
      <c r="Z24" s="359">
        <v>-1.7511997715539748722552936100</v>
      </c>
      <c r="AA24" s="170">
        <v>-9.527545341308907148228773610</v>
      </c>
      <c r="AB24" s="360">
        <v>-5.4991502851057245234706233700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26</v>
      </c>
      <c r="C25" s="345" t="s">
        <v>47</v>
      </c>
      <c r="D25" s="370">
        <v>132.52577319587628865979381443</v>
      </c>
      <c r="E25" s="172">
        <v>149.21547113769833533421577379</v>
      </c>
      <c r="F25" s="371">
        <v>165.31521542919969969685454309</v>
      </c>
      <c r="G25" s="370">
        <v>0</v>
      </c>
      <c r="H25" s="172">
        <v>234.00131257888094236432477912</v>
      </c>
      <c r="I25" s="371">
        <v>188.82217607725136603580042698</v>
      </c>
      <c r="J25" s="370">
        <v>0</v>
      </c>
      <c r="K25" s="172">
        <v>0</v>
      </c>
      <c r="L25" s="371">
        <v>153.68375931170470399913144695</v>
      </c>
      <c r="M25" s="370">
        <v>132.52577319587628865979381443</v>
      </c>
      <c r="N25" s="172">
        <v>149.763360258481421647819063</v>
      </c>
      <c r="O25" s="371">
        <v>165.86373453760062831337129393</v>
      </c>
      <c r="P25" s="4"/>
      <c r="Q25" s="327">
        <v>-16.655596115810380280074757980</v>
      </c>
      <c r="R25" s="171">
        <v>-1.355175515007312235861024300</v>
      </c>
      <c r="S25" s="328">
        <v>-2.7026041817987947165534685400</v>
      </c>
      <c r="T25" s="327">
        <v>0</v>
      </c>
      <c r="U25" s="171">
        <v>-2.6010523688125625493734334900</v>
      </c>
      <c r="V25" s="328">
        <v>-8.642736526881740816144695790</v>
      </c>
      <c r="W25" s="327">
        <v>0</v>
      </c>
      <c r="X25" s="171">
        <v>-100</v>
      </c>
      <c r="Y25" s="328">
        <v>4.0568652576899793577755121600</v>
      </c>
      <c r="Z25" s="327">
        <v>-16.655596115810380280074757980</v>
      </c>
      <c r="AA25" s="171">
        <v>-1.6842314496533702144747061900</v>
      </c>
      <c r="AB25" s="328">
        <v>-2.1164208178455791699975444400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27</v>
      </c>
      <c r="C26" s="347" t="s">
        <v>48</v>
      </c>
      <c r="D26" s="378">
        <v>118.80681818181818181818181818</v>
      </c>
      <c r="E26" s="173">
        <v>142.87568170206255139985191378</v>
      </c>
      <c r="F26" s="379">
        <v>165.75900203936308006059447569</v>
      </c>
      <c r="G26" s="378">
        <v>0</v>
      </c>
      <c r="H26" s="173">
        <v>222.69159581289686780625379489</v>
      </c>
      <c r="I26" s="379">
        <v>215.52353546437132849000240616</v>
      </c>
      <c r="J26" s="378">
        <v>0</v>
      </c>
      <c r="K26" s="173">
        <v>0</v>
      </c>
      <c r="L26" s="379">
        <v>153.93768715010282868878387597</v>
      </c>
      <c r="M26" s="378">
        <v>118.80681818181818181818181818</v>
      </c>
      <c r="N26" s="173">
        <v>144.72195729537366548042704627</v>
      </c>
      <c r="O26" s="379">
        <v>169.26873239436619718309859155</v>
      </c>
      <c r="P26" s="4"/>
      <c r="Q26" s="359">
        <v>-13.513986013974331072304804310</v>
      </c>
      <c r="R26" s="170">
        <v>-7.7418869774191826106933701800</v>
      </c>
      <c r="S26" s="360">
        <v>-1.8975675995323830777180829200</v>
      </c>
      <c r="T26" s="359">
        <v>0</v>
      </c>
      <c r="U26" s="170">
        <v>-11.435378491458926865754341940</v>
      </c>
      <c r="V26" s="360">
        <v>5.9754977716213607628819374900</v>
      </c>
      <c r="W26" s="359">
        <v>0</v>
      </c>
      <c r="X26" s="170">
        <v>-100</v>
      </c>
      <c r="Y26" s="360">
        <v>5.3637999078724928840555164700</v>
      </c>
      <c r="Z26" s="359">
        <v>-13.513986013974331072304804310</v>
      </c>
      <c r="AA26" s="170">
        <v>-7.319930402929147537870532200</v>
      </c>
      <c r="AB26" s="360">
        <v>0.5468056541161999673531230500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28</v>
      </c>
      <c r="C27" s="345" t="s">
        <v>50</v>
      </c>
      <c r="D27" s="370">
        <v>126.5</v>
      </c>
      <c r="E27" s="172">
        <v>162.19908116385911179173047475</v>
      </c>
      <c r="F27" s="371">
        <v>171.41056530459232880589342845</v>
      </c>
      <c r="G27" s="370">
        <v>0</v>
      </c>
      <c r="H27" s="172">
        <v>226.53571428571428571428571431</v>
      </c>
      <c r="I27" s="371">
        <v>224.95514424575750978381044372</v>
      </c>
      <c r="J27" s="370">
        <v>0</v>
      </c>
      <c r="K27" s="172">
        <v>0</v>
      </c>
      <c r="L27" s="371">
        <v>143.16650266222038994741637938</v>
      </c>
      <c r="M27" s="370">
        <v>126.500000000</v>
      </c>
      <c r="N27" s="172">
        <v>167.28067700987306064880112836</v>
      </c>
      <c r="O27" s="371">
        <v>175.7841774246938099966898378</v>
      </c>
      <c r="P27" s="4"/>
      <c r="Q27" s="327">
        <v>-7.912644405766234363386246800</v>
      </c>
      <c r="R27" s="171">
        <v>10.040811648194398074217381540</v>
      </c>
      <c r="S27" s="328">
        <v>-1.5655310216666770237942271800</v>
      </c>
      <c r="T27" s="327">
        <v>0</v>
      </c>
      <c r="U27" s="171">
        <v>14.900516425064375425314223290</v>
      </c>
      <c r="V27" s="328">
        <v>7.9008776441504008214755158800</v>
      </c>
      <c r="W27" s="327">
        <v>0</v>
      </c>
      <c r="X27" s="171">
        <v>-100</v>
      </c>
      <c r="Y27" s="328">
        <v>-11.439327729050675971523888210</v>
      </c>
      <c r="Z27" s="327">
        <v>-7.912644405766234363386246800</v>
      </c>
      <c r="AA27" s="171">
        <v>12.336933043254678619971642070</v>
      </c>
      <c r="AB27" s="328">
        <v>0.3471745636642451967081477100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29</v>
      </c>
      <c r="C28" s="347" t="s">
        <v>51</v>
      </c>
      <c r="D28" s="378">
        <v>155.88</v>
      </c>
      <c r="E28" s="173">
        <v>167.42595030590468428277282086</v>
      </c>
      <c r="F28" s="379">
        <v>172.49584761328613341478166705</v>
      </c>
      <c r="G28" s="378">
        <v>0</v>
      </c>
      <c r="H28" s="173">
        <v>228.94875369959677419354838709</v>
      </c>
      <c r="I28" s="379">
        <v>215.39230539692259745967578472</v>
      </c>
      <c r="J28" s="378">
        <v>0</v>
      </c>
      <c r="K28" s="173">
        <v>0</v>
      </c>
      <c r="L28" s="379">
        <v>149.28169694989991170439441626</v>
      </c>
      <c r="M28" s="378">
        <v>155.880000000</v>
      </c>
      <c r="N28" s="173">
        <v>174.64693661971830985915492958</v>
      </c>
      <c r="O28" s="379">
        <v>175.72698219449094506163445442</v>
      </c>
      <c r="P28" s="4"/>
      <c r="Q28" s="359">
        <v>0.459720730375841091142776400</v>
      </c>
      <c r="R28" s="170">
        <v>-8.008871837816965968488292990</v>
      </c>
      <c r="S28" s="360">
        <v>-6.3263843659524037358897635200</v>
      </c>
      <c r="T28" s="359">
        <v>0</v>
      </c>
      <c r="U28" s="170">
        <v>3.448747516407464410695212900</v>
      </c>
      <c r="V28" s="360">
        <v>1.5199492389590982554343673100</v>
      </c>
      <c r="W28" s="359">
        <v>0</v>
      </c>
      <c r="X28" s="170">
        <v>-100</v>
      </c>
      <c r="Y28" s="360">
        <v>6.6425824547287728717856862400</v>
      </c>
      <c r="Z28" s="359">
        <v>0.459720730375841091142776400</v>
      </c>
      <c r="AA28" s="170">
        <v>-5.6023429280672223498721904900</v>
      </c>
      <c r="AB28" s="360">
        <v>-3.7335172003712346719136003400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30</v>
      </c>
      <c r="C29" s="345" t="s">
        <v>52</v>
      </c>
      <c r="D29" s="370">
        <v>221.08247422680412371134020619</v>
      </c>
      <c r="E29" s="172">
        <v>264.23398596478817830914855014</v>
      </c>
      <c r="F29" s="371">
        <v>214.28082332635909992555200159</v>
      </c>
      <c r="G29" s="370">
        <v>0</v>
      </c>
      <c r="H29" s="172">
        <v>239.75724407366653227960423146</v>
      </c>
      <c r="I29" s="371">
        <v>205.11940352513005371500709468</v>
      </c>
      <c r="J29" s="370">
        <v>0</v>
      </c>
      <c r="K29" s="172">
        <v>0</v>
      </c>
      <c r="L29" s="371">
        <v>134.67267053483553483773470504</v>
      </c>
      <c r="M29" s="370">
        <v>221.08247422680412371134020619</v>
      </c>
      <c r="N29" s="172">
        <v>259.52308553971486761710794297</v>
      </c>
      <c r="O29" s="371">
        <v>205.89852960657040667638097761</v>
      </c>
      <c r="P29" s="4"/>
      <c r="Q29" s="327">
        <v>-10.233786900799655028091700290</v>
      </c>
      <c r="R29" s="171">
        <v>8.326117184143476397858292210</v>
      </c>
      <c r="S29" s="328">
        <v>-0.0514280219241528550353826100</v>
      </c>
      <c r="T29" s="327">
        <v>0</v>
      </c>
      <c r="U29" s="171">
        <v>-0.9706664921053713622387685800</v>
      </c>
      <c r="V29" s="328">
        <v>-0.6973533209162881811612293400</v>
      </c>
      <c r="W29" s="327">
        <v>0</v>
      </c>
      <c r="X29" s="171">
        <v>-100</v>
      </c>
      <c r="Y29" s="328">
        <v>-7.3202585408257719613982150200</v>
      </c>
      <c r="Z29" s="327">
        <v>-10.233786900799655028091700290</v>
      </c>
      <c r="AA29" s="171">
        <v>6.6461917735176038875551641700</v>
      </c>
      <c r="AB29" s="328">
        <v>-1.4828433519241820970443697100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31</v>
      </c>
      <c r="C30" s="347" t="s">
        <v>53</v>
      </c>
      <c r="D30" s="378">
        <v>237.72916666666666666666666667</v>
      </c>
      <c r="E30" s="173">
        <v>245.17735824889386756425751783</v>
      </c>
      <c r="F30" s="379">
        <v>211.25211409885608287018161235</v>
      </c>
      <c r="G30" s="378">
        <v>0</v>
      </c>
      <c r="H30" s="173">
        <v>253.68817206700907496004965084</v>
      </c>
      <c r="I30" s="379">
        <v>208.30285583304954944756514012</v>
      </c>
      <c r="J30" s="378">
        <v>0</v>
      </c>
      <c r="K30" s="173">
        <v>0</v>
      </c>
      <c r="L30" s="379">
        <v>152.65133547733366696045832069</v>
      </c>
      <c r="M30" s="378">
        <v>237.72916666666666666666666667</v>
      </c>
      <c r="N30" s="173">
        <v>246.6597745901639344262295082</v>
      </c>
      <c r="O30" s="379">
        <v>205.52435897435897435897435897</v>
      </c>
      <c r="P30" s="4"/>
      <c r="Q30" s="359">
        <v>-6.6912249686314204330709418700</v>
      </c>
      <c r="R30" s="170">
        <v>-0.0790362022758780141220515400</v>
      </c>
      <c r="S30" s="360">
        <v>-2.411650713521375384286926800</v>
      </c>
      <c r="T30" s="359">
        <v>0</v>
      </c>
      <c r="U30" s="170">
        <v>0.535945922213958802535742600</v>
      </c>
      <c r="V30" s="360">
        <v>1.8583394743337313642371204600</v>
      </c>
      <c r="W30" s="359">
        <v>0</v>
      </c>
      <c r="X30" s="170">
        <v>-100</v>
      </c>
      <c r="Y30" s="360">
        <v>-0.2480127021454438926327504400</v>
      </c>
      <c r="Z30" s="359">
        <v>-6.6912249686314204330709418700</v>
      </c>
      <c r="AA30" s="170">
        <v>0.4406753102450927637291035500</v>
      </c>
      <c r="AB30" s="360">
        <v>-1.9934064574837634967681749500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t="s">
        <v>181</v>
      </c>
      <c r="B31" s="660">
        <v>1</v>
      </c>
      <c r="C31" s="667" t="s">
        <v>49</v>
      </c>
      <c r="D31" s="668">
        <v>162.56666666666666666666666667</v>
      </c>
      <c r="E31" s="669">
        <v>171.1468995690066546385136666</v>
      </c>
      <c r="F31" s="670">
        <v>163.52499316659383860757574146</v>
      </c>
      <c r="G31" s="668">
        <v>0</v>
      </c>
      <c r="H31" s="669">
        <v>232.63424740429161681695920655</v>
      </c>
      <c r="I31" s="670">
        <v>191.71950301541388335108561294</v>
      </c>
      <c r="J31" s="668">
        <v>0</v>
      </c>
      <c r="K31" s="669">
        <v>0</v>
      </c>
      <c r="L31" s="670">
        <v>147.40967472594922145385163384</v>
      </c>
      <c r="M31" s="668">
        <v>162.56666666666666666666666667</v>
      </c>
      <c r="N31" s="669">
        <v>181.6984320987654320987654321</v>
      </c>
      <c r="O31" s="670">
        <v>164.23688258417364553067851649</v>
      </c>
      <c r="P31" s="4"/>
      <c r="Q31" s="662">
        <v>9.795487937844278227009511470</v>
      </c>
      <c r="R31" s="663">
        <v>-0.0362012326399393931098815300</v>
      </c>
      <c r="S31" s="664">
        <v>-6.746415957367315612520027600</v>
      </c>
      <c r="T31" s="662">
        <v>0</v>
      </c>
      <c r="U31" s="663">
        <v>5.7112353436846085239707141700</v>
      </c>
      <c r="V31" s="664">
        <v>-9.215635508542305491269428690</v>
      </c>
      <c r="W31" s="662">
        <v>0</v>
      </c>
      <c r="X31" s="663">
        <v>-100</v>
      </c>
      <c r="Y31" s="664">
        <v>-0.983823183670521901043621200</v>
      </c>
      <c r="Z31" s="662">
        <v>9.795487937844278227009511470</v>
      </c>
      <c r="AA31" s="663">
        <v>2.6003641723708293951793891500</v>
      </c>
      <c r="AB31" s="664">
        <v>-5.981028707286948996740954500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2</v>
      </c>
      <c r="C32" s="347" t="s">
        <v>47</v>
      </c>
      <c r="D32" s="378">
        <v>141.94318181818181818181818182</v>
      </c>
      <c r="E32" s="173">
        <v>155.91268709811496220510209306</v>
      </c>
      <c r="F32" s="379">
        <v>164.81032270990683201529315933</v>
      </c>
      <c r="G32" s="378">
        <v>0</v>
      </c>
      <c r="H32" s="173">
        <v>216.10645921452611798107439053</v>
      </c>
      <c r="I32" s="379">
        <v>172.62635413584558974762857288</v>
      </c>
      <c r="J32" s="378">
        <v>0</v>
      </c>
      <c r="K32" s="173">
        <v>0</v>
      </c>
      <c r="L32" s="379">
        <v>156.14626513216088585645290199</v>
      </c>
      <c r="M32" s="378">
        <v>141.94318181818181818181818182</v>
      </c>
      <c r="N32" s="173">
        <v>162.30720963172804532577903684</v>
      </c>
      <c r="O32" s="379">
        <v>165.14677685950413223140495868</v>
      </c>
      <c r="P32" s="4"/>
      <c r="Q32" s="359">
        <v>5.7052528338186463488078391600</v>
      </c>
      <c r="R32" s="170">
        <v>3.3170773325475677474222286500</v>
      </c>
      <c r="S32" s="360">
        <v>-2.5856368190137088205833812600</v>
      </c>
      <c r="T32" s="359">
        <v>-100</v>
      </c>
      <c r="U32" s="170">
        <v>7.9050148575784594776171381700</v>
      </c>
      <c r="V32" s="360">
        <v>-16.482571616809468220856942280</v>
      </c>
      <c r="W32" s="359">
        <v>0</v>
      </c>
      <c r="X32" s="170">
        <v>-100</v>
      </c>
      <c r="Y32" s="360">
        <v>5.2002098692333684880320058600</v>
      </c>
      <c r="Z32" s="359">
        <v>4.64546943912155473457907400</v>
      </c>
      <c r="AA32" s="170">
        <v>4.9822415399456977354534622900</v>
      </c>
      <c r="AB32" s="360">
        <v>-3.6750510280695392197662188300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3</v>
      </c>
      <c r="C33" s="345" t="s">
        <v>48</v>
      </c>
      <c r="D33" s="370">
        <v>143.66666666666666666666666667</v>
      </c>
      <c r="E33" s="172">
        <v>150.20102242374089917160831072</v>
      </c>
      <c r="F33" s="371">
        <v>166.66581082893554036255000198</v>
      </c>
      <c r="G33" s="370">
        <v>0</v>
      </c>
      <c r="H33" s="172">
        <v>180.15551004743910954121657699</v>
      </c>
      <c r="I33" s="371">
        <v>182.10560393140201693595196966</v>
      </c>
      <c r="J33" s="370">
        <v>0</v>
      </c>
      <c r="K33" s="172">
        <v>0</v>
      </c>
      <c r="L33" s="371">
        <v>146.00664809397198232979136046</v>
      </c>
      <c r="M33" s="370">
        <v>143.66666666666666666666666667</v>
      </c>
      <c r="N33" s="172">
        <v>151.69408099688473520249221184</v>
      </c>
      <c r="O33" s="371">
        <v>166.93387013876991605276683228</v>
      </c>
      <c r="P33" s="4"/>
      <c r="Q33" s="327">
        <v>8.471924633578424433944240380</v>
      </c>
      <c r="R33" s="171">
        <v>2.0504895494427487661048852400</v>
      </c>
      <c r="S33" s="328">
        <v>-2.3085465106630351072800734100</v>
      </c>
      <c r="T33" s="327">
        <v>-100</v>
      </c>
      <c r="U33" s="171">
        <v>-6.3700287402103857876242090700</v>
      </c>
      <c r="V33" s="328">
        <v>-10.253977979729532610141380190</v>
      </c>
      <c r="W33" s="327">
        <v>0</v>
      </c>
      <c r="X33" s="171">
        <v>-100</v>
      </c>
      <c r="Y33" s="328">
        <v>2.9193802574730845683907220100</v>
      </c>
      <c r="Z33" s="327">
        <v>2.5510829837527001178554827300</v>
      </c>
      <c r="AA33" s="171">
        <v>1.6959888586306292532329173500</v>
      </c>
      <c r="AB33" s="328">
        <v>-3.2436411108445625406953737100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4</v>
      </c>
      <c r="C34" s="347" t="s">
        <v>50</v>
      </c>
      <c r="D34" s="378">
        <v>139.72368421052631578947368421</v>
      </c>
      <c r="E34" s="173">
        <v>150.18780514618827000703332245</v>
      </c>
      <c r="F34" s="379">
        <v>168.03706790718235650101250213</v>
      </c>
      <c r="G34" s="378">
        <v>0</v>
      </c>
      <c r="H34" s="173">
        <v>167.65045947968713764678599287</v>
      </c>
      <c r="I34" s="379">
        <v>172.34381855125494159617610023</v>
      </c>
      <c r="J34" s="378">
        <v>0</v>
      </c>
      <c r="K34" s="173">
        <v>0</v>
      </c>
      <c r="L34" s="379">
        <v>149.62360053554117538564739287</v>
      </c>
      <c r="M34" s="378">
        <v>139.72368421052631578947368421</v>
      </c>
      <c r="N34" s="173">
        <v>151.30185007974481658692185008</v>
      </c>
      <c r="O34" s="379">
        <v>166.89609763931267062791071142</v>
      </c>
      <c r="P34" s="4"/>
      <c r="Q34" s="359">
        <v>3.158386314501540385911566700</v>
      </c>
      <c r="R34" s="170">
        <v>-0.2973281673942420706118857700</v>
      </c>
      <c r="S34" s="360">
        <v>-3.3277892827509367614239921500</v>
      </c>
      <c r="T34" s="359">
        <v>-100</v>
      </c>
      <c r="U34" s="170">
        <v>-11.624502444822386002515838910</v>
      </c>
      <c r="V34" s="360">
        <v>-18.122219308388562608942486350</v>
      </c>
      <c r="W34" s="359">
        <v>0</v>
      </c>
      <c r="X34" s="170">
        <v>-100</v>
      </c>
      <c r="Y34" s="360">
        <v>0.2108830468775604077341462300</v>
      </c>
      <c r="Z34" s="359">
        <v>-0.997924289334281620770125700</v>
      </c>
      <c r="AA34" s="170">
        <v>-0.7326321901467233615938997600</v>
      </c>
      <c r="AB34" s="360">
        <v>-6.3405338598895327375416375100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5</v>
      </c>
      <c r="C35" s="345" t="s">
        <v>51</v>
      </c>
      <c r="D35" s="370">
        <v>140.22935779816513761467889908</v>
      </c>
      <c r="E35" s="172">
        <v>161.13497034138218448695600035</v>
      </c>
      <c r="F35" s="371">
        <v>168.90543785269951361028332713</v>
      </c>
      <c r="G35" s="370">
        <v>0</v>
      </c>
      <c r="H35" s="172">
        <v>205.76218700312237300348264679</v>
      </c>
      <c r="I35" s="371">
        <v>192.85555552388002205879674194</v>
      </c>
      <c r="J35" s="370">
        <v>0</v>
      </c>
      <c r="K35" s="172">
        <v>0</v>
      </c>
      <c r="L35" s="371">
        <v>150.4400163640217913817985708</v>
      </c>
      <c r="M35" s="370">
        <v>140.22935779816513761467889908</v>
      </c>
      <c r="N35" s="172">
        <v>165.87624169986719787516600265</v>
      </c>
      <c r="O35" s="371">
        <v>172.03059744779582366589327146</v>
      </c>
      <c r="P35" s="4"/>
      <c r="Q35" s="327">
        <v>-8.270413035249292160629989660</v>
      </c>
      <c r="R35" s="171">
        <v>-3.6741335274628774656869908300</v>
      </c>
      <c r="S35" s="328">
        <v>-5.0153804992784915813438704300</v>
      </c>
      <c r="T35" s="327">
        <v>-100</v>
      </c>
      <c r="U35" s="171">
        <v>6.282401374764294905202147600</v>
      </c>
      <c r="V35" s="328">
        <v>-3.8792223994906355338223636400</v>
      </c>
      <c r="W35" s="327">
        <v>0</v>
      </c>
      <c r="X35" s="171">
        <v>-100</v>
      </c>
      <c r="Y35" s="328">
        <v>4.0361237632634152403336141100</v>
      </c>
      <c r="Z35" s="327">
        <v>-9.557454595889571220087392880</v>
      </c>
      <c r="AA35" s="171">
        <v>-1.9452405076215944752835479700</v>
      </c>
      <c r="AB35" s="328">
        <v>-4.27591519889995072430131900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6</v>
      </c>
      <c r="C36" s="347" t="s">
        <v>52</v>
      </c>
      <c r="D36" s="378">
        <v>187.02608695652173913043478261</v>
      </c>
      <c r="E36" s="173">
        <v>195.97737448388031029678478145</v>
      </c>
      <c r="F36" s="379">
        <v>198.7026262603289001156828093</v>
      </c>
      <c r="G36" s="378">
        <v>0</v>
      </c>
      <c r="H36" s="173">
        <v>195.39117807142557485751477838</v>
      </c>
      <c r="I36" s="379">
        <v>194.98816408180743197348947696</v>
      </c>
      <c r="J36" s="378">
        <v>0</v>
      </c>
      <c r="K36" s="173">
        <v>0</v>
      </c>
      <c r="L36" s="379">
        <v>146.6684383011483198303673857</v>
      </c>
      <c r="M36" s="378">
        <v>187.02608695652173913043478261</v>
      </c>
      <c r="N36" s="173">
        <v>195.91186635944700460829493088</v>
      </c>
      <c r="O36" s="379">
        <v>192.95555857569991845610220169</v>
      </c>
      <c r="P36" s="4"/>
      <c r="Q36" s="359">
        <v>-9.553522796470798245967779500</v>
      </c>
      <c r="R36" s="170">
        <v>-4.0584557645382059635079738200</v>
      </c>
      <c r="S36" s="360">
        <v>0.3737464957615997293477181600</v>
      </c>
      <c r="T36" s="359">
        <v>-100</v>
      </c>
      <c r="U36" s="170">
        <v>6.3618786369129813757363310600</v>
      </c>
      <c r="V36" s="360">
        <v>0.5263938709666118931564042300</v>
      </c>
      <c r="W36" s="359">
        <v>0</v>
      </c>
      <c r="X36" s="170">
        <v>-100</v>
      </c>
      <c r="Y36" s="360">
        <v>0.7968758226617243088000931500</v>
      </c>
      <c r="Z36" s="359">
        <v>-10.162861456619011699865989600</v>
      </c>
      <c r="AA36" s="170">
        <v>-3.225847431040012725704602200</v>
      </c>
      <c r="AB36" s="360">
        <v>-0.0989183644053146178913036300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7</v>
      </c>
      <c r="C37" s="349" t="s">
        <v>53</v>
      </c>
      <c r="D37" s="380">
        <v>197.89915966386554621848739496</v>
      </c>
      <c r="E37" s="383">
        <v>203.90082820753096071736932306</v>
      </c>
      <c r="F37" s="381">
        <v>199.23102560078519583351226157</v>
      </c>
      <c r="G37" s="380">
        <v>0</v>
      </c>
      <c r="H37" s="383">
        <v>200.37625867083020443916359022</v>
      </c>
      <c r="I37" s="381">
        <v>200.73594928543362313816593555</v>
      </c>
      <c r="J37" s="380">
        <v>0</v>
      </c>
      <c r="K37" s="383">
        <v>0</v>
      </c>
      <c r="L37" s="381">
        <v>146.00234469771765749795335246</v>
      </c>
      <c r="M37" s="380">
        <v>197.89915966386554621848739496</v>
      </c>
      <c r="N37" s="383">
        <v>203.39514563106796116504854369</v>
      </c>
      <c r="O37" s="381">
        <v>194.49033634538152610441767068</v>
      </c>
      <c r="P37" s="4"/>
      <c r="Q37" s="329">
        <v>4.0303477065518381355510312800</v>
      </c>
      <c r="R37" s="330">
        <v>3.1061266445341319965707179300</v>
      </c>
      <c r="S37" s="332">
        <v>-2.5203858941675221039925916800</v>
      </c>
      <c r="T37" s="329">
        <v>-100</v>
      </c>
      <c r="U37" s="330">
        <v>10.571541655619068092799641360</v>
      </c>
      <c r="V37" s="332">
        <v>1.6393670134786189687036704600</v>
      </c>
      <c r="W37" s="329">
        <v>0</v>
      </c>
      <c r="X37" s="330">
        <v>-100</v>
      </c>
      <c r="Y37" s="332">
        <v>-0.7022643801993519495660605400</v>
      </c>
      <c r="Z37" s="329">
        <v>4.1063743940709389964496954500</v>
      </c>
      <c r="AA37" s="330">
        <v>3.8053456614102643668370873700</v>
      </c>
      <c r="AB37" s="332">
        <v>-2.0748966853000607798359060100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180.3502538071065989847715736</v>
      </c>
      <c r="E39" s="382">
        <v>192.81792062546059985930702541</v>
      </c>
      <c r="F39" s="375">
        <v>186.55454818005165506990996625</v>
      </c>
      <c r="G39" s="374">
        <v>159.27777777777777777777777778</v>
      </c>
      <c r="H39" s="382">
        <v>231.14292689652492627088650896</v>
      </c>
      <c r="I39" s="375">
        <v>218.62436412102650158361690637</v>
      </c>
      <c r="J39" s="374">
        <v>0</v>
      </c>
      <c r="K39" s="382">
        <v>0</v>
      </c>
      <c r="L39" s="375">
        <v>153.42259704226160958907918243</v>
      </c>
      <c r="M39" s="374">
        <v>179.4296116504854368932038835</v>
      </c>
      <c r="N39" s="382">
        <v>198.47394048692515779981965734</v>
      </c>
      <c r="O39" s="375">
        <v>186.25262146802209237172816777</v>
      </c>
      <c r="P39" s="4"/>
      <c r="Q39" s="354">
        <v>0.502546889702601633193429400</v>
      </c>
      <c r="R39" s="355">
        <v>3.4746283615532517350261917300</v>
      </c>
      <c r="S39" s="356">
        <v>-3.03093061610021700746104800</v>
      </c>
      <c r="T39" s="354">
        <v>0</v>
      </c>
      <c r="U39" s="355">
        <v>1.0666918154049052142271502400</v>
      </c>
      <c r="V39" s="356">
        <v>2.833546082166424442484881200</v>
      </c>
      <c r="W39" s="354">
        <v>0</v>
      </c>
      <c r="X39" s="355">
        <v>-100</v>
      </c>
      <c r="Y39" s="356">
        <v>3.634078058635461587713378800</v>
      </c>
      <c r="Z39" s="354">
        <v>-0.0104930398858384611310696800</v>
      </c>
      <c r="AA39" s="355">
        <v>4.8522827408441239814729385800</v>
      </c>
      <c r="AB39" s="356">
        <v>-1.9502190800266563853589560700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158.39650145772594752186588921</v>
      </c>
      <c r="E40" s="172">
        <v>180.22889006879076462028644329</v>
      </c>
      <c r="F40" s="371">
        <v>179.91323220015599929289021295</v>
      </c>
      <c r="G40" s="370">
        <v>146.4</v>
      </c>
      <c r="H40" s="172">
        <v>215.87934720838436287337320926</v>
      </c>
      <c r="I40" s="371">
        <v>212.57047698095874905932564328</v>
      </c>
      <c r="J40" s="370">
        <v>0</v>
      </c>
      <c r="K40" s="172">
        <v>0</v>
      </c>
      <c r="L40" s="371">
        <v>152.65978867020316716030471582</v>
      </c>
      <c r="M40" s="370">
        <v>157.00515463917525773195876289</v>
      </c>
      <c r="N40" s="172">
        <v>185.50226350189198486412108703</v>
      </c>
      <c r="O40" s="371">
        <v>182.1196061028697011960610287</v>
      </c>
      <c r="P40" s="4"/>
      <c r="Q40" s="327">
        <v>5.5924142845163469563778440600</v>
      </c>
      <c r="R40" s="171">
        <v>10.941437546371997969572648070</v>
      </c>
      <c r="S40" s="328">
        <v>-0.3011664822121558086983114200</v>
      </c>
      <c r="T40" s="327">
        <v>-14.385964912280701754385964910</v>
      </c>
      <c r="U40" s="171">
        <v>9.693266288588128837115851520</v>
      </c>
      <c r="V40" s="328">
        <v>0.4439693032298014627105367800</v>
      </c>
      <c r="W40" s="327">
        <v>0</v>
      </c>
      <c r="X40" s="171">
        <v>-100</v>
      </c>
      <c r="Y40" s="328">
        <v>2.8431393935332467998229542800</v>
      </c>
      <c r="Z40" s="327">
        <v>4.5565108340737567495695012900</v>
      </c>
      <c r="AA40" s="171">
        <v>12.325224576523166815673472680</v>
      </c>
      <c r="AB40" s="328">
        <v>0.2543977710169589428157294300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157.8359133126934984520123839</v>
      </c>
      <c r="E41" s="173">
        <v>179.95726739505334631055131792</v>
      </c>
      <c r="F41" s="379">
        <v>182.7956339461235676400050864</v>
      </c>
      <c r="G41" s="378">
        <v>170.88135593220338983050847458</v>
      </c>
      <c r="H41" s="173">
        <v>214.75367910726278833582179773</v>
      </c>
      <c r="I41" s="379">
        <v>219.32118337183126571897456942</v>
      </c>
      <c r="J41" s="378">
        <v>0</v>
      </c>
      <c r="K41" s="173">
        <v>0</v>
      </c>
      <c r="L41" s="379">
        <v>142.87266318702653195903388351</v>
      </c>
      <c r="M41" s="378">
        <v>159.85078534031413612565445026</v>
      </c>
      <c r="N41" s="173">
        <v>185.19556758644778204680405169</v>
      </c>
      <c r="O41" s="379">
        <v>185.05296192976698391860846734</v>
      </c>
      <c r="P41" s="4"/>
      <c r="Q41" s="359">
        <v>13.128226054879479264768969260</v>
      </c>
      <c r="R41" s="170">
        <v>9.057982693172362482806240390</v>
      </c>
      <c r="S41" s="360">
        <v>-0.3114254444659537898672549100</v>
      </c>
      <c r="T41" s="359">
        <v>3.7558391351897896942740360300</v>
      </c>
      <c r="U41" s="170">
        <v>8.800517591842533750066487090</v>
      </c>
      <c r="V41" s="360">
        <v>4.2321802369367439557625897900</v>
      </c>
      <c r="W41" s="359">
        <v>0</v>
      </c>
      <c r="X41" s="170">
        <v>-100</v>
      </c>
      <c r="Y41" s="360">
        <v>-2.0738929684730708089653461600</v>
      </c>
      <c r="Z41" s="359">
        <v>13.418639755919435231259101260</v>
      </c>
      <c r="AA41" s="170">
        <v>10.112609991579495548579236620</v>
      </c>
      <c r="AB41" s="360">
        <v>0.4496407237171672727594231500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151.18731117824773413897280967</v>
      </c>
      <c r="E42" s="172">
        <v>173.2062923915542825772708962</v>
      </c>
      <c r="F42" s="371">
        <v>182.27952395145957415435041673</v>
      </c>
      <c r="G42" s="370">
        <v>167.50819672131147540983606557</v>
      </c>
      <c r="H42" s="172">
        <v>213.8362900998826637301790947</v>
      </c>
      <c r="I42" s="371">
        <v>216.03308612202415499144647541</v>
      </c>
      <c r="J42" s="370">
        <v>0</v>
      </c>
      <c r="K42" s="172">
        <v>0</v>
      </c>
      <c r="L42" s="371">
        <v>149.51695615523518272062314161</v>
      </c>
      <c r="M42" s="370">
        <v>153.72704081632653061224489796</v>
      </c>
      <c r="N42" s="172">
        <v>179.7871103565365025466893039</v>
      </c>
      <c r="O42" s="371">
        <v>185.86186048291432288677151494</v>
      </c>
      <c r="P42" s="4"/>
      <c r="Q42" s="327">
        <v>5.2112805030925569089684739200</v>
      </c>
      <c r="R42" s="171">
        <v>10.518496724397370290105993280</v>
      </c>
      <c r="S42" s="328">
        <v>-0.1787461794695070092603559500</v>
      </c>
      <c r="T42" s="327">
        <v>3.622606901323296409231918800</v>
      </c>
      <c r="U42" s="171">
        <v>7.4841701457106785848184875200</v>
      </c>
      <c r="V42" s="328">
        <v>2.945969622013834504205772600</v>
      </c>
      <c r="W42" s="327">
        <v>0</v>
      </c>
      <c r="X42" s="171">
        <v>-100</v>
      </c>
      <c r="Y42" s="328">
        <v>-3.4595691525626986849636849600</v>
      </c>
      <c r="Z42" s="327">
        <v>6.2652197644772402820464909400</v>
      </c>
      <c r="AA42" s="171">
        <v>12.474829574185603325957485810</v>
      </c>
      <c r="AB42" s="328">
        <v>0.6708433091834747526682721300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164.08762886597938144329896907</v>
      </c>
      <c r="E43" s="173">
        <v>179.23715531595169178290033872</v>
      </c>
      <c r="F43" s="379">
        <v>184.23801288892615147569118249</v>
      </c>
      <c r="G43" s="378">
        <v>165.24074074074074074074074074</v>
      </c>
      <c r="H43" s="173">
        <v>223.55683748466454446210695526</v>
      </c>
      <c r="I43" s="379">
        <v>209.77910469291380699899982048</v>
      </c>
      <c r="J43" s="378">
        <v>0</v>
      </c>
      <c r="K43" s="173">
        <v>0</v>
      </c>
      <c r="L43" s="379">
        <v>158.84594575294845507844081115</v>
      </c>
      <c r="M43" s="378">
        <v>164.22850678733031674208144796</v>
      </c>
      <c r="N43" s="173">
        <v>185.35394809160305343511450382</v>
      </c>
      <c r="O43" s="379">
        <v>186.7478412902305002497680725</v>
      </c>
      <c r="P43" s="4"/>
      <c r="Q43" s="359">
        <v>-0.6704849619105345354823133900</v>
      </c>
      <c r="R43" s="170">
        <v>-2.5256399801930910853555679200</v>
      </c>
      <c r="S43" s="360">
        <v>-3.5260609745924256475643798900</v>
      </c>
      <c r="T43" s="359">
        <v>0.3309671868357452465310861700</v>
      </c>
      <c r="U43" s="170">
        <v>-2.5435858249025682065173155800</v>
      </c>
      <c r="V43" s="360">
        <v>1.4667569770508869775088328500</v>
      </c>
      <c r="W43" s="359">
        <v>0</v>
      </c>
      <c r="X43" s="170">
        <v>-100</v>
      </c>
      <c r="Y43" s="360">
        <v>9.644553740766808925837005960</v>
      </c>
      <c r="Z43" s="359">
        <v>-0.569593403304434266331844900</v>
      </c>
      <c r="AA43" s="170">
        <v>-1.091024590663829532876854900</v>
      </c>
      <c r="AB43" s="360">
        <v>-1.6195021514352739959408535900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227.738717339667458432304038</v>
      </c>
      <c r="E44" s="172">
        <v>234.13558756533972663796265156</v>
      </c>
      <c r="F44" s="371">
        <v>218.45745333136929092797930739</v>
      </c>
      <c r="G44" s="370">
        <v>279</v>
      </c>
      <c r="H44" s="172">
        <v>250.57814114740559671937817211</v>
      </c>
      <c r="I44" s="371">
        <v>209.60111507060143859023175209</v>
      </c>
      <c r="J44" s="370">
        <v>0</v>
      </c>
      <c r="K44" s="172">
        <v>0</v>
      </c>
      <c r="L44" s="371">
        <v>153.80036804491120825494949464</v>
      </c>
      <c r="M44" s="370">
        <v>227.9810874704491725768321513</v>
      </c>
      <c r="N44" s="172">
        <v>236.26096809380965366784837742</v>
      </c>
      <c r="O44" s="371">
        <v>211.13059265983659706912203346</v>
      </c>
      <c r="P44" s="4"/>
      <c r="Q44" s="327">
        <v>-3.7399917274265337068891713200</v>
      </c>
      <c r="R44" s="171">
        <v>-3.3453381037812023201174350700</v>
      </c>
      <c r="S44" s="328">
        <v>-0.8860673691607929539103074500</v>
      </c>
      <c r="T44" s="327">
        <v>13.877551020408163265306122450</v>
      </c>
      <c r="U44" s="171">
        <v>2.9081560951046130523474828900</v>
      </c>
      <c r="V44" s="328">
        <v>-0.1236283612431031411073880700</v>
      </c>
      <c r="W44" s="327">
        <v>0</v>
      </c>
      <c r="X44" s="171">
        <v>-100</v>
      </c>
      <c r="Y44" s="328">
        <v>3.2476170471904997617633381600</v>
      </c>
      <c r="Z44" s="327">
        <v>-3.6678618161615969566868741100</v>
      </c>
      <c r="AA44" s="171">
        <v>-2.2739041291770829130172532300</v>
      </c>
      <c r="AB44" s="328">
        <v>-1.1977735601392713557778847300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251.03687635574837310195227766</v>
      </c>
      <c r="E45" s="385">
        <v>249.47574638918046517911674029</v>
      </c>
      <c r="F45" s="386">
        <v>224.13301459198862895430296469</v>
      </c>
      <c r="G45" s="384">
        <v>279</v>
      </c>
      <c r="H45" s="385">
        <v>249.97996944244389082336401535</v>
      </c>
      <c r="I45" s="386">
        <v>209.25252403541032551660843196</v>
      </c>
      <c r="J45" s="384">
        <v>0</v>
      </c>
      <c r="K45" s="385">
        <v>0</v>
      </c>
      <c r="L45" s="386">
        <v>153.61196548739734083017001963</v>
      </c>
      <c r="M45" s="384">
        <v>251.0974025974025974025974026</v>
      </c>
      <c r="N45" s="385">
        <v>249.53988738162272843614026106</v>
      </c>
      <c r="O45" s="386">
        <v>215.8259204803038657109599951</v>
      </c>
      <c r="P45" s="4"/>
      <c r="Q45" s="364">
        <v>1.3255913419063917457368954400</v>
      </c>
      <c r="R45" s="365">
        <v>-1.8266310435211064395776968400</v>
      </c>
      <c r="S45" s="366">
        <v>-2.1876894219645431004445440300</v>
      </c>
      <c r="T45" s="364">
        <v>48.800</v>
      </c>
      <c r="U45" s="365">
        <v>2.5963601873750501325900184600</v>
      </c>
      <c r="V45" s="366">
        <v>1.1830946278772117757063325200</v>
      </c>
      <c r="W45" s="364">
        <v>0</v>
      </c>
      <c r="X45" s="365">
        <v>-100</v>
      </c>
      <c r="Y45" s="366">
        <v>2.8836076919132830927897621900</v>
      </c>
      <c r="Z45" s="364">
        <v>1.6649846328537663055732302500</v>
      </c>
      <c r="AA45" s="365">
        <v>-1.2353771960062941701229686900</v>
      </c>
      <c r="AB45" s="366">
        <v>-2.0473288783919673691545309300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161.75036710719530102790014684</v>
      </c>
      <c r="E47" s="382">
        <v>171.93223323466539616018691537</v>
      </c>
      <c r="F47" s="375">
        <v>177.17200834670132086890116577</v>
      </c>
      <c r="G47" s="374">
        <v>0</v>
      </c>
      <c r="H47" s="382">
        <v>206.50855900568795031744057369</v>
      </c>
      <c r="I47" s="375">
        <v>187.70800301101924655674561874</v>
      </c>
      <c r="J47" s="374">
        <v>0</v>
      </c>
      <c r="K47" s="382">
        <v>0</v>
      </c>
      <c r="L47" s="375">
        <v>148.80995485917745389201749844</v>
      </c>
      <c r="M47" s="374">
        <v>161.75036710719530102790014684</v>
      </c>
      <c r="N47" s="382">
        <v>175.7963791486967935495968498</v>
      </c>
      <c r="O47" s="375">
        <v>176.01342369064888388507588715</v>
      </c>
      <c r="P47" s="4"/>
      <c r="Q47" s="354">
        <v>0.7505117881452185021495407200</v>
      </c>
      <c r="R47" s="355">
        <v>0.5706971519039633034395162900</v>
      </c>
      <c r="S47" s="356">
        <v>-2.9229439509076274941863148300</v>
      </c>
      <c r="T47" s="354">
        <v>-100</v>
      </c>
      <c r="U47" s="355">
        <v>5.1757856094520971102835934200</v>
      </c>
      <c r="V47" s="356">
        <v>-7.1378394497374286685353568800</v>
      </c>
      <c r="W47" s="354">
        <v>0</v>
      </c>
      <c r="X47" s="355">
        <v>-100</v>
      </c>
      <c r="Y47" s="356">
        <v>1.5043039775793701462662292800</v>
      </c>
      <c r="Z47" s="354">
        <v>0.1130495955687649177983963100</v>
      </c>
      <c r="AA47" s="355">
        <v>1.6875217690819504017426615200</v>
      </c>
      <c r="AB47" s="356">
        <v>-3.3801029972619244157016339400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188.53213077790304396843291995</v>
      </c>
      <c r="E48" s="172">
        <v>201.77613438879237497389582505</v>
      </c>
      <c r="F48" s="371">
        <v>196.45573737385501155598828351</v>
      </c>
      <c r="G48" s="370">
        <v>164.64583333333333333333333333</v>
      </c>
      <c r="H48" s="172">
        <v>229.07128435993436281908360759</v>
      </c>
      <c r="I48" s="371">
        <v>213.24604350410085421190205796</v>
      </c>
      <c r="J48" s="370">
        <v>0</v>
      </c>
      <c r="K48" s="172">
        <v>0</v>
      </c>
      <c r="L48" s="371">
        <v>152.17665797716671080566959789</v>
      </c>
      <c r="M48" s="370">
        <v>186.55601516718372974836263357</v>
      </c>
      <c r="N48" s="172">
        <v>205.65380804683063212616312088</v>
      </c>
      <c r="O48" s="371">
        <v>194.69339494000167827473357389</v>
      </c>
      <c r="P48" s="4"/>
      <c r="Q48" s="327">
        <v>3.1690416998816977273224915600</v>
      </c>
      <c r="R48" s="171">
        <v>3.0683066720300197600819077200</v>
      </c>
      <c r="S48" s="328">
        <v>-1.4232828211242029968027969200</v>
      </c>
      <c r="T48" s="327">
        <v>-2.9545835729541686193690623200</v>
      </c>
      <c r="U48" s="171">
        <v>3.454665038228899042119675100</v>
      </c>
      <c r="V48" s="328">
        <v>1.8092945056985010518889556200</v>
      </c>
      <c r="W48" s="327">
        <v>0</v>
      </c>
      <c r="X48" s="171">
        <v>-100</v>
      </c>
      <c r="Y48" s="328">
        <v>2.3472937329313416465152635100</v>
      </c>
      <c r="Z48" s="327">
        <v>2.2862315181053998822924266400</v>
      </c>
      <c r="AA48" s="171">
        <v>4.053832442160044785318586500</v>
      </c>
      <c r="AB48" s="328">
        <v>-0.7923541292922161219178602200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161.75036710719530102790014684</v>
      </c>
      <c r="E49" s="385">
        <v>171.93223323466539616018691537</v>
      </c>
      <c r="F49" s="386">
        <v>177.17200834670132086890116577</v>
      </c>
      <c r="G49" s="384">
        <v>0</v>
      </c>
      <c r="H49" s="385">
        <v>206.50855900568795031744057369</v>
      </c>
      <c r="I49" s="386">
        <v>187.70800301101924655674561874</v>
      </c>
      <c r="J49" s="384">
        <v>0</v>
      </c>
      <c r="K49" s="385">
        <v>0</v>
      </c>
      <c r="L49" s="386">
        <v>148.80995485917745389201749844</v>
      </c>
      <c r="M49" s="384">
        <v>161.75036710719530102790014684</v>
      </c>
      <c r="N49" s="385">
        <v>175.7963791486967935495968498</v>
      </c>
      <c r="O49" s="386">
        <v>176.01342369064888388507588715</v>
      </c>
      <c r="P49" s="4"/>
      <c r="Q49" s="364">
        <v>-6.4056583448766015891716169900</v>
      </c>
      <c r="R49" s="365">
        <v>-3.9591185157978478135105665200</v>
      </c>
      <c r="S49" s="366">
        <v>-4.1436997857046993258514820500</v>
      </c>
      <c r="T49" s="364">
        <v>-100</v>
      </c>
      <c r="U49" s="365">
        <v>-3.2408765016032038501891550100</v>
      </c>
      <c r="V49" s="366">
        <v>-7.6358027567251364012311882400</v>
      </c>
      <c r="W49" s="364">
        <v>0</v>
      </c>
      <c r="X49" s="365">
        <v>-100</v>
      </c>
      <c r="Y49" s="366">
        <v>0.8565764556636591139713252800</v>
      </c>
      <c r="Z49" s="364">
        <v>-6.1486530305921049566798047500</v>
      </c>
      <c r="AA49" s="365">
        <v>-3.2616762192273872431676012300</v>
      </c>
      <c r="AB49" s="366">
        <v>-4.304211277314314786770526900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5"/>
</worksheet>
</file>

<file path=xl/worksheets/sheet8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154</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179</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180</v>
      </c>
      <c r="R4" s="703" t="s">
        <v>186</v>
      </c>
      <c r="S4" s="703"/>
      <c r="T4" s="703"/>
      <c r="U4" s="703"/>
      <c r="V4" s="703"/>
      <c r="W4" s="703"/>
      <c r="X4" s="703"/>
      <c r="Y4" s="703"/>
      <c r="Z4" s="703"/>
      <c r="AA4" s="703"/>
      <c r="AB4" s="703"/>
      <c r="AC4" s="703"/>
      <c r="AD4" s="703"/>
      <c r="AE4" s="703"/>
      <c r="AF4" s="703"/>
      <c r="AG4" s="703"/>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704" t="s">
        <v>72</v>
      </c>
      <c r="Y22" s="704"/>
      <c r="Z22" s="704"/>
      <c r="AA22" s="704"/>
      <c r="AB22" s="704"/>
      <c r="AC22" s="704"/>
      <c r="AD22" s="70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275" t="s">
        <v>184</v>
      </c>
      <c r="D24" s="276"/>
      <c r="E24" s="276"/>
      <c r="F24" s="276"/>
      <c r="G24" s="276"/>
      <c r="H24" s="276"/>
      <c r="I24" s="276"/>
      <c r="J24" s="276"/>
      <c r="K24" s="276"/>
      <c r="L24" s="276"/>
      <c r="M24" s="276"/>
      <c r="N24" s="276"/>
      <c r="O24" s="276"/>
      <c r="P24" s="276"/>
      <c r="Q24" s="276"/>
      <c r="R24" s="276"/>
      <c r="S24" s="277"/>
      <c r="T24" s="277"/>
      <c r="U24" s="277"/>
      <c r="V24" s="277"/>
      <c r="W24" s="277"/>
      <c r="X24" s="312" t="s">
        <v>181</v>
      </c>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row>
    <row r="25" s="42" customFormat="1">
      <c r="C25" s="279">
        <v>11</v>
      </c>
      <c r="D25" s="280">
        <v>12</v>
      </c>
      <c r="E25" s="280">
        <v>13</v>
      </c>
      <c r="F25" s="280">
        <v>14</v>
      </c>
      <c r="G25" s="280">
        <v>15</v>
      </c>
      <c r="H25" s="280">
        <v>16</v>
      </c>
      <c r="I25" s="280">
        <v>17</v>
      </c>
      <c r="J25" s="280">
        <v>18</v>
      </c>
      <c r="K25" s="280">
        <v>19</v>
      </c>
      <c r="L25" s="280">
        <v>20</v>
      </c>
      <c r="M25" s="280">
        <v>21</v>
      </c>
      <c r="N25" s="280">
        <v>22</v>
      </c>
      <c r="O25" s="280">
        <v>23</v>
      </c>
      <c r="P25" s="280">
        <v>24</v>
      </c>
      <c r="Q25" s="280">
        <v>25</v>
      </c>
      <c r="R25" s="280">
        <v>26</v>
      </c>
      <c r="S25" s="280">
        <v>27</v>
      </c>
      <c r="T25" s="280">
        <v>28</v>
      </c>
      <c r="U25" s="280">
        <v>29</v>
      </c>
      <c r="V25" s="280">
        <v>30</v>
      </c>
      <c r="W25" s="280">
        <v>31</v>
      </c>
      <c r="X25" s="315">
        <v>1</v>
      </c>
      <c r="Y25" s="280">
        <v>2</v>
      </c>
      <c r="Z25" s="280">
        <v>3</v>
      </c>
      <c r="AA25" s="280">
        <v>4</v>
      </c>
      <c r="AB25" s="280">
        <v>5</v>
      </c>
      <c r="AC25" s="280">
        <v>6</v>
      </c>
      <c r="AD25" s="373">
        <v>7</v>
      </c>
      <c r="AE25" s="25"/>
      <c r="AF25" s="319" t="s">
        <v>60</v>
      </c>
      <c r="AG25" s="320">
        <v>28</v>
      </c>
      <c r="AH25" s="321"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row>
    <row r="26" ht="14.25" customHeight="1">
      <c r="B26" s="46" t="s">
        <v>32</v>
      </c>
      <c r="C26" s="461">
        <v>96.67424242424242424242424242</v>
      </c>
      <c r="D26" s="462">
        <v>94.43939393939393939393939394</v>
      </c>
      <c r="E26" s="462">
        <v>110.98484848484848484848484848</v>
      </c>
      <c r="F26" s="462">
        <v>108.79545454545454545454545455</v>
      </c>
      <c r="G26" s="462">
        <v>136.56060606060606060606060606</v>
      </c>
      <c r="H26" s="462">
        <v>224.74242424242424242424242424</v>
      </c>
      <c r="I26" s="462">
        <v>277.53030303030303030303030303</v>
      </c>
      <c r="J26" s="462">
        <v>173.28030303030303030303030303</v>
      </c>
      <c r="K26" s="462">
        <v>175.04545454545454545454545455</v>
      </c>
      <c r="L26" s="462">
        <v>180.98484848484848484848484848</v>
      </c>
      <c r="M26" s="462">
        <v>175.28030303030303030303030303</v>
      </c>
      <c r="N26" s="462">
        <v>179.46969696969696969696969697</v>
      </c>
      <c r="O26" s="462">
        <v>180.43181818181818181818181818</v>
      </c>
      <c r="P26" s="462">
        <v>250.00757575757575757575757576</v>
      </c>
      <c r="Q26" s="462">
        <v>179.24242424242424242424242424</v>
      </c>
      <c r="R26" s="462">
        <v>97.38636363636363636363636364</v>
      </c>
      <c r="S26" s="462">
        <v>79.204545454545454545454545455</v>
      </c>
      <c r="T26" s="462">
        <v>92.000000000</v>
      </c>
      <c r="U26" s="462">
        <v>118.09090909090909090909090909</v>
      </c>
      <c r="V26" s="462">
        <v>162.46212121212121212121212121</v>
      </c>
      <c r="W26" s="462">
        <v>172.89393939393939393939393939</v>
      </c>
      <c r="X26" s="463">
        <v>110.84090909090909090909090909</v>
      </c>
      <c r="Y26" s="462">
        <v>94.62878787878787878787878788</v>
      </c>
      <c r="Z26" s="462">
        <v>91.42424242424242424242424242</v>
      </c>
      <c r="AA26" s="462">
        <v>80.4469696969696969696969697</v>
      </c>
      <c r="AB26" s="462">
        <v>115.79545454545454545454545455</v>
      </c>
      <c r="AC26" s="462">
        <v>162.93939393939393939393939394</v>
      </c>
      <c r="AD26" s="464">
        <v>178.40909090909090909090909091</v>
      </c>
      <c r="AE26" s="465"/>
      <c r="AF26" s="461">
        <v>119.21212121212121212121212121</v>
      </c>
      <c r="AG26" s="462">
        <v>146.42830086580086580086580087</v>
      </c>
      <c r="AH26" s="466">
        <v>119.21212121212121212121212121</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111.39318489835430784123910939</v>
      </c>
      <c r="D27" s="85">
        <v>111.18929332042594385285575992</v>
      </c>
      <c r="E27" s="85">
        <v>135.73483059051306873184898354</v>
      </c>
      <c r="F27" s="85">
        <v>133.59651500484027105517909003</v>
      </c>
      <c r="G27" s="85">
        <v>145.49242013552758954501452081</v>
      </c>
      <c r="H27" s="85">
        <v>220.87792836398838334946757018</v>
      </c>
      <c r="I27" s="85">
        <v>256.11916747337850919651500484</v>
      </c>
      <c r="J27" s="85">
        <v>204.21639883833494675701839303</v>
      </c>
      <c r="K27" s="85">
        <v>210.16856727976766698935140368</v>
      </c>
      <c r="L27" s="85">
        <v>204.530000000</v>
      </c>
      <c r="M27" s="85">
        <v>172.31324298160696999031945789</v>
      </c>
      <c r="N27" s="85">
        <v>177.18926427879961277831558567</v>
      </c>
      <c r="O27" s="85">
        <v>206.48489835430784123910939013</v>
      </c>
      <c r="P27" s="85">
        <v>272.11423039690222652468538238</v>
      </c>
      <c r="Q27" s="85">
        <v>181.14459825750242013552758955</v>
      </c>
      <c r="R27" s="85">
        <v>89.74203291384317521781219748</v>
      </c>
      <c r="S27" s="85">
        <v>78.735469506292352371732817038</v>
      </c>
      <c r="T27" s="85">
        <v>114.81316553727008712487899322</v>
      </c>
      <c r="U27" s="85">
        <v>144.04568247821878025169409487</v>
      </c>
      <c r="V27" s="85">
        <v>246.710232333010648596321394</v>
      </c>
      <c r="W27" s="85">
        <v>233.04931268151016456921587609</v>
      </c>
      <c r="X27" s="86">
        <v>142.47408518877057115198451113</v>
      </c>
      <c r="Y27" s="85">
        <v>110.92825750242013552758954501</v>
      </c>
      <c r="Z27" s="85">
        <v>94.2764762826718296224588577</v>
      </c>
      <c r="AA27" s="85">
        <v>91.83568247821878025169409487</v>
      </c>
      <c r="AB27" s="85">
        <v>120.91462729912875121006776379</v>
      </c>
      <c r="AC27" s="85">
        <v>164.61907066795740561471442401</v>
      </c>
      <c r="AD27" s="87">
        <v>182.52400774443368828654404647</v>
      </c>
      <c r="AE27" s="169"/>
      <c r="AF27" s="370">
        <v>129.65317245194302309500760614</v>
      </c>
      <c r="AG27" s="85">
        <v>162.7583086709998617065412806</v>
      </c>
      <c r="AH27" s="371">
        <v>129.65317245194302309500760614</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183</v>
      </c>
      <c r="C28" s="467">
        <v>101.12574288395370659993744135</v>
      </c>
      <c r="D28" s="468">
        <v>120.1585861745386299655927432</v>
      </c>
      <c r="E28" s="468">
        <v>136.00250234594932749452611824</v>
      </c>
      <c r="F28" s="468">
        <v>152.82587842769262850589093942</v>
      </c>
      <c r="G28" s="468">
        <v>160.26441455531227192159316025</v>
      </c>
      <c r="H28" s="468">
        <v>199.24731519132520070899801898</v>
      </c>
      <c r="I28" s="468">
        <v>197.03096653112292774476071317</v>
      </c>
      <c r="J28" s="468">
        <v>136.72463768115942028985507246</v>
      </c>
      <c r="K28" s="468">
        <v>136.87926180794494838911479512</v>
      </c>
      <c r="L28" s="468">
        <v>138.74486497758315087060786154</v>
      </c>
      <c r="M28" s="468">
        <v>134.50370138671671358565321656</v>
      </c>
      <c r="N28" s="468">
        <v>141.34855593785840892503388593</v>
      </c>
      <c r="O28" s="468">
        <v>169.64195600041705765822124909</v>
      </c>
      <c r="P28" s="468">
        <v>208.87707225523928683140444166</v>
      </c>
      <c r="Q28" s="468">
        <v>147.17287039933270774684600146</v>
      </c>
      <c r="R28" s="468">
        <v>88.07673860911270983213429257</v>
      </c>
      <c r="S28" s="468">
        <v>93.97935564591804817015952455</v>
      </c>
      <c r="T28" s="468">
        <v>110.73798352622250026066103639</v>
      </c>
      <c r="U28" s="468">
        <v>120.39432801584819101240746533</v>
      </c>
      <c r="V28" s="468">
        <v>162.06109894692941299134605359</v>
      </c>
      <c r="W28" s="468">
        <v>167.14524032947554999478677927</v>
      </c>
      <c r="X28" s="469">
        <v>100.46523784631468897020386827</v>
      </c>
      <c r="Y28" s="468">
        <v>104.45771040250914793518034501</v>
      </c>
      <c r="Z28" s="468">
        <v>101.87067433350757971772085729</v>
      </c>
      <c r="AA28" s="468">
        <v>108.65258755880815473078933612</v>
      </c>
      <c r="AB28" s="468">
        <v>124.02749607945635128071092525</v>
      </c>
      <c r="AC28" s="468">
        <v>148.43355985363303711447987454</v>
      </c>
      <c r="AD28" s="470">
        <v>162.01766858337689492943021432</v>
      </c>
      <c r="AE28" s="465"/>
      <c r="AF28" s="467">
        <v>121.41784780822940781121648869</v>
      </c>
      <c r="AG28" s="468">
        <v>138.32817495509863395512099148</v>
      </c>
      <c r="AH28" s="471">
        <v>121.41784780822940781121648869</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275" t="s">
        <v>184</v>
      </c>
      <c r="D33" s="276"/>
      <c r="E33" s="276"/>
      <c r="F33" s="276"/>
      <c r="G33" s="276"/>
      <c r="H33" s="276"/>
      <c r="I33" s="276"/>
      <c r="J33" s="276"/>
      <c r="K33" s="276"/>
      <c r="L33" s="276"/>
      <c r="M33" s="276"/>
      <c r="N33" s="276"/>
      <c r="O33" s="276"/>
      <c r="P33" s="276"/>
      <c r="Q33" s="276"/>
      <c r="R33" s="276"/>
      <c r="S33" s="277"/>
      <c r="T33" s="277"/>
      <c r="U33" s="277"/>
      <c r="V33" s="277"/>
      <c r="W33" s="277"/>
      <c r="X33" s="312" t="s">
        <v>181</v>
      </c>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row>
    <row r="34" s="42" customFormat="1">
      <c r="C34" s="279">
        <v>11</v>
      </c>
      <c r="D34" s="280">
        <v>12</v>
      </c>
      <c r="E34" s="280">
        <v>13</v>
      </c>
      <c r="F34" s="280">
        <v>14</v>
      </c>
      <c r="G34" s="280">
        <v>15</v>
      </c>
      <c r="H34" s="280">
        <v>16</v>
      </c>
      <c r="I34" s="280">
        <v>17</v>
      </c>
      <c r="J34" s="280">
        <v>18</v>
      </c>
      <c r="K34" s="280">
        <v>19</v>
      </c>
      <c r="L34" s="280">
        <v>20</v>
      </c>
      <c r="M34" s="280">
        <v>21</v>
      </c>
      <c r="N34" s="280">
        <v>22</v>
      </c>
      <c r="O34" s="280">
        <v>23</v>
      </c>
      <c r="P34" s="280">
        <v>24</v>
      </c>
      <c r="Q34" s="280">
        <v>25</v>
      </c>
      <c r="R34" s="280">
        <v>26</v>
      </c>
      <c r="S34" s="280">
        <v>27</v>
      </c>
      <c r="T34" s="280">
        <v>28</v>
      </c>
      <c r="U34" s="280">
        <v>29</v>
      </c>
      <c r="V34" s="280">
        <v>30</v>
      </c>
      <c r="W34" s="280">
        <v>31</v>
      </c>
      <c r="X34" s="315">
        <v>1</v>
      </c>
      <c r="Y34" s="280">
        <v>2</v>
      </c>
      <c r="Z34" s="280">
        <v>3</v>
      </c>
      <c r="AA34" s="280">
        <v>4</v>
      </c>
      <c r="AB34" s="280">
        <v>5</v>
      </c>
      <c r="AC34" s="280">
        <v>6</v>
      </c>
      <c r="AD34" s="373">
        <v>7</v>
      </c>
      <c r="AE34" s="25"/>
      <c r="AF34" s="319" t="s">
        <v>60</v>
      </c>
      <c r="AG34" s="320">
        <v>28</v>
      </c>
      <c r="AH34" s="321"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row>
    <row r="35" ht="14.25" customHeight="1">
      <c r="B35" s="46" t="s">
        <v>32</v>
      </c>
      <c r="C35" s="444">
        <v>-26.040338472226319285251085760</v>
      </c>
      <c r="D35" s="445">
        <v>-22.835035592718687207004329950</v>
      </c>
      <c r="E35" s="445">
        <v>-11.810739224667492085332931920</v>
      </c>
      <c r="F35" s="445">
        <v>-15.379176241836255375465181360</v>
      </c>
      <c r="G35" s="445">
        <v>-10.166450712676912923125628810</v>
      </c>
      <c r="H35" s="445">
        <v>3.6004889121791039348136626400</v>
      </c>
      <c r="I35" s="445">
        <v>20.940213264651699027177949020</v>
      </c>
      <c r="J35" s="445">
        <v>11.217543518450105522419225930</v>
      </c>
      <c r="K35" s="445">
        <v>32.374677742815651557579720440</v>
      </c>
      <c r="L35" s="445">
        <v>70.923660299004047108146582280</v>
      </c>
      <c r="M35" s="445">
        <v>33.377529255745266551638595770</v>
      </c>
      <c r="N35" s="445">
        <v>25.829925107547600367548091770</v>
      </c>
      <c r="O35" s="445">
        <v>-12.825299220391414257267544780</v>
      </c>
      <c r="P35" s="445">
        <v>0.6741915802453620025306003500</v>
      </c>
      <c r="Q35" s="445">
        <v>3.1206415620533695284279581500</v>
      </c>
      <c r="R35" s="445">
        <v>-20.741106110109944248706836170</v>
      </c>
      <c r="S35" s="445">
        <v>-21.538461538485091643815839370</v>
      </c>
      <c r="T35" s="445">
        <v>-3.9088463364213094087890922800</v>
      </c>
      <c r="U35" s="445">
        <v>4.6455424274832645619726794700</v>
      </c>
      <c r="V35" s="445">
        <v>-24.284150690258154787216868990</v>
      </c>
      <c r="W35" s="445">
        <v>-25.969897495797462716200376780</v>
      </c>
      <c r="X35" s="446">
        <v>4.016778046358823647265540100</v>
      </c>
      <c r="Y35" s="445">
        <v>13.688905069693966414166382220</v>
      </c>
      <c r="Z35" s="445">
        <v>-11.192876591386800242375042520</v>
      </c>
      <c r="AA35" s="445">
        <v>-29.017379679123507785467121880</v>
      </c>
      <c r="AB35" s="445">
        <v>-21.134100407638493836113576410</v>
      </c>
      <c r="AC35" s="445">
        <v>-5.217697867094735535103097400</v>
      </c>
      <c r="AD35" s="447">
        <v>4.988631804210778508150778200</v>
      </c>
      <c r="AE35" s="448"/>
      <c r="AF35" s="444">
        <v>-6.7346282152981918114881103700</v>
      </c>
      <c r="AG35" s="445">
        <v>-1.8742203591370590066630605500</v>
      </c>
      <c r="AH35" s="449">
        <v>-12.925385168725669771320441460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-18.183985487866004799484816470</v>
      </c>
      <c r="D36" s="81">
        <v>-21.313021887607218123277778530</v>
      </c>
      <c r="E36" s="81">
        <v>-18.201481372916564430714004410</v>
      </c>
      <c r="F36" s="81">
        <v>-9.329039809016858545765043770</v>
      </c>
      <c r="G36" s="81">
        <v>-14.576305924960378166613468900</v>
      </c>
      <c r="H36" s="81">
        <v>-3.285436289392706795533159900</v>
      </c>
      <c r="I36" s="81">
        <v>3.9047679079163923529746577500</v>
      </c>
      <c r="J36" s="81">
        <v>38.416720956911094144009252610</v>
      </c>
      <c r="K36" s="81">
        <v>54.336364126268131037108607460</v>
      </c>
      <c r="L36" s="81">
        <v>64.900434722276571682883592350</v>
      </c>
      <c r="M36" s="81">
        <v>68.932644023267040958445105830</v>
      </c>
      <c r="N36" s="81">
        <v>20.630280187997605270159086570</v>
      </c>
      <c r="O36" s="81">
        <v>-8.088531065752734530657157550</v>
      </c>
      <c r="P36" s="81">
        <v>-2.4170469914229896579169232400</v>
      </c>
      <c r="Q36" s="81">
        <v>-10.017114901160737409258267760</v>
      </c>
      <c r="R36" s="81">
        <v>-15.592980953306743008652856270</v>
      </c>
      <c r="S36" s="81">
        <v>-25.484693685932195900212763530</v>
      </c>
      <c r="T36" s="81">
        <v>10.774527854896339869009481410</v>
      </c>
      <c r="U36" s="81">
        <v>-7.1284020493334999892018487300</v>
      </c>
      <c r="V36" s="81">
        <v>9.090167001696625202109243290</v>
      </c>
      <c r="W36" s="81">
        <v>-2.1655697576705090058540068900</v>
      </c>
      <c r="X36" s="82">
        <v>-5.6682236326919115407909799400</v>
      </c>
      <c r="Y36" s="81">
        <v>5.8820893245369192209704661500</v>
      </c>
      <c r="Z36" s="81">
        <v>-7.6537130873481949586790913500</v>
      </c>
      <c r="AA36" s="81">
        <v>-26.167687287332178810729876180</v>
      </c>
      <c r="AB36" s="81">
        <v>-19.744310980670549306607019870</v>
      </c>
      <c r="AC36" s="81">
        <v>-5.1919137360558624630332360800</v>
      </c>
      <c r="AD36" s="83">
        <v>9.225375060268811328630079940</v>
      </c>
      <c r="AE36" s="88"/>
      <c r="AF36" s="327">
        <v>-6.7893513931482377983245300300</v>
      </c>
      <c r="AG36" s="81">
        <v>1.1335036699364729245890402600</v>
      </c>
      <c r="AH36" s="328">
        <v>-13.132601326365770751774190880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183</v>
      </c>
      <c r="C37" s="450">
        <v>-10.644280090254273576497679370</v>
      </c>
      <c r="D37" s="451">
        <v>-3.4974803577480574960295121300</v>
      </c>
      <c r="E37" s="451">
        <v>-5.1571663656474051223065020500</v>
      </c>
      <c r="F37" s="451">
        <v>1.9226329089460669425930896600</v>
      </c>
      <c r="G37" s="451">
        <v>0.887669606700246792140869300</v>
      </c>
      <c r="H37" s="451">
        <v>3.1263285172797563496026946300</v>
      </c>
      <c r="I37" s="451">
        <v>5.2603273966897101148509983500</v>
      </c>
      <c r="J37" s="451">
        <v>9.871804779823069288178691250</v>
      </c>
      <c r="K37" s="451">
        <v>5.9917525573285483037857343900</v>
      </c>
      <c r="L37" s="451">
        <v>3.0099547371032174883433627900</v>
      </c>
      <c r="M37" s="451">
        <v>3.7689684739371464167117203700</v>
      </c>
      <c r="N37" s="451">
        <v>4.5169580216532537273580613200</v>
      </c>
      <c r="O37" s="451">
        <v>-2.6804564700183720065840230800</v>
      </c>
      <c r="P37" s="451">
        <v>-0.5177763198830426125470507100</v>
      </c>
      <c r="Q37" s="451">
        <v>-6.6591523358361077531677160200</v>
      </c>
      <c r="R37" s="451">
        <v>-4.1301337081708305831348195500</v>
      </c>
      <c r="S37" s="451">
        <v>-5.3806791713299037698359786800</v>
      </c>
      <c r="T37" s="451">
        <v>0.8480054342399302669494669700</v>
      </c>
      <c r="U37" s="451">
        <v>-5.2462886415767751139109014900</v>
      </c>
      <c r="V37" s="451">
        <v>-4.4211001572661557466514763600</v>
      </c>
      <c r="W37" s="451">
        <v>-4.277925030787503870692112700</v>
      </c>
      <c r="X37" s="452">
        <v>-11.985057749491963936024385810</v>
      </c>
      <c r="Y37" s="451">
        <v>-0.3820365016170113743690351100</v>
      </c>
      <c r="Z37" s="451">
        <v>-10.593155699783791848732768140</v>
      </c>
      <c r="AA37" s="451">
        <v>-21.882402410770903387842591350</v>
      </c>
      <c r="AB37" s="451">
        <v>-12.698501627110754631609085370</v>
      </c>
      <c r="AC37" s="451">
        <v>-6.2083505191638702117704203800</v>
      </c>
      <c r="AD37" s="453">
        <v>-3.3024775841863383417283340400</v>
      </c>
      <c r="AE37" s="448"/>
      <c r="AF37" s="450">
        <v>-9.573879208877624343590766600</v>
      </c>
      <c r="AG37" s="451">
        <v>-2.6263401117350119686717543200</v>
      </c>
      <c r="AH37" s="454">
        <v>-10.248430271414601953242976980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275" t="s">
        <v>184</v>
      </c>
      <c r="D40" s="276"/>
      <c r="E40" s="276"/>
      <c r="F40" s="276"/>
      <c r="G40" s="276"/>
      <c r="H40" s="276"/>
      <c r="I40" s="276"/>
      <c r="J40" s="276"/>
      <c r="K40" s="276"/>
      <c r="L40" s="276"/>
      <c r="M40" s="276"/>
      <c r="N40" s="276"/>
      <c r="O40" s="276"/>
      <c r="P40" s="276"/>
      <c r="Q40" s="276"/>
      <c r="R40" s="276"/>
      <c r="S40" s="277"/>
      <c r="T40" s="277"/>
      <c r="U40" s="277"/>
      <c r="V40" s="277"/>
      <c r="W40" s="277"/>
      <c r="X40" s="312" t="s">
        <v>181</v>
      </c>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row>
    <row r="41" s="42" customFormat="1">
      <c r="C41" s="279">
        <v>11</v>
      </c>
      <c r="D41" s="280">
        <v>12</v>
      </c>
      <c r="E41" s="280">
        <v>13</v>
      </c>
      <c r="F41" s="280">
        <v>14</v>
      </c>
      <c r="G41" s="280">
        <v>15</v>
      </c>
      <c r="H41" s="280">
        <v>16</v>
      </c>
      <c r="I41" s="280">
        <v>17</v>
      </c>
      <c r="J41" s="280">
        <v>18</v>
      </c>
      <c r="K41" s="280">
        <v>19</v>
      </c>
      <c r="L41" s="280">
        <v>20</v>
      </c>
      <c r="M41" s="280">
        <v>21</v>
      </c>
      <c r="N41" s="280">
        <v>22</v>
      </c>
      <c r="O41" s="280">
        <v>23</v>
      </c>
      <c r="P41" s="280">
        <v>24</v>
      </c>
      <c r="Q41" s="280">
        <v>25</v>
      </c>
      <c r="R41" s="280">
        <v>26</v>
      </c>
      <c r="S41" s="280">
        <v>27</v>
      </c>
      <c r="T41" s="280">
        <v>28</v>
      </c>
      <c r="U41" s="280">
        <v>29</v>
      </c>
      <c r="V41" s="280">
        <v>30</v>
      </c>
      <c r="W41" s="280">
        <v>31</v>
      </c>
      <c r="X41" s="315">
        <v>1</v>
      </c>
      <c r="Y41" s="280">
        <v>2</v>
      </c>
      <c r="Z41" s="280">
        <v>3</v>
      </c>
      <c r="AA41" s="280">
        <v>4</v>
      </c>
      <c r="AB41" s="280">
        <v>5</v>
      </c>
      <c r="AC41" s="280">
        <v>6</v>
      </c>
      <c r="AD41" s="373">
        <v>7</v>
      </c>
      <c r="AE41" s="25"/>
      <c r="AF41" s="319" t="s">
        <v>60</v>
      </c>
      <c r="AG41" s="320">
        <v>28</v>
      </c>
      <c r="AH41" s="321"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row>
    <row r="42" ht="14.25" customHeight="1">
      <c r="A42" s="1"/>
      <c r="B42" s="46" t="s">
        <v>26</v>
      </c>
      <c r="C42" s="444">
        <v>86.78649642024106286698702644</v>
      </c>
      <c r="D42" s="445">
        <v>84.93569040614368087820743712</v>
      </c>
      <c r="E42" s="445">
        <v>81.76593141349251319783695758</v>
      </c>
      <c r="F42" s="445">
        <v>81.43584774014922826618515580</v>
      </c>
      <c r="G42" s="445">
        <v>93.86097635424885890691309021</v>
      </c>
      <c r="H42" s="445">
        <v>101.74960708254003208677179706</v>
      </c>
      <c r="I42" s="445">
        <v>108.35983334169112742095733344</v>
      </c>
      <c r="J42" s="445">
        <v>84.85131655245160265916967057</v>
      </c>
      <c r="K42" s="445">
        <v>83.28812286778087879834787838</v>
      </c>
      <c r="L42" s="445">
        <v>88.48816725411845932063015131</v>
      </c>
      <c r="M42" s="445">
        <v>101.72189902375632250354748786</v>
      </c>
      <c r="N42" s="445">
        <v>101.28700387135690281078578888</v>
      </c>
      <c r="O42" s="445">
        <v>87.38257355374324940571173662</v>
      </c>
      <c r="P42" s="445">
        <v>91.87596524919701975956737152</v>
      </c>
      <c r="Q42" s="445">
        <v>98.94991402814463934594945963</v>
      </c>
      <c r="R42" s="445">
        <v>108.51811628772244618489210318</v>
      </c>
      <c r="S42" s="445">
        <v>100.59576192431026469490094141</v>
      </c>
      <c r="T42" s="445">
        <v>80.13018330211568082609032416</v>
      </c>
      <c r="U42" s="445">
        <v>81.98156797152255689918566389</v>
      </c>
      <c r="V42" s="445">
        <v>65.851391600505680725689644030</v>
      </c>
      <c r="W42" s="445">
        <v>74.187706200286991700897229400</v>
      </c>
      <c r="X42" s="446">
        <v>77.797242174973713768886838260</v>
      </c>
      <c r="Y42" s="445">
        <v>85.30629616780965632661394337</v>
      </c>
      <c r="Z42" s="445">
        <v>96.97460705902415156731459281</v>
      </c>
      <c r="AA42" s="445">
        <v>87.59881510769655211434272083</v>
      </c>
      <c r="AB42" s="445">
        <v>95.76629158275248810926139037</v>
      </c>
      <c r="AC42" s="445">
        <v>98.97965847954907092510703660</v>
      </c>
      <c r="AD42" s="447">
        <v>97.74554762074287170459672954</v>
      </c>
      <c r="AE42" s="448"/>
      <c r="AF42" s="444">
        <v>91.94693732337917837973267180</v>
      </c>
      <c r="AG42" s="445">
        <v>89.96671325811780977650326598</v>
      </c>
      <c r="AH42" s="449">
        <v>91.94693732337917837973267180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183</v>
      </c>
      <c r="C43" s="329">
        <v>95.59805413260218719603650236</v>
      </c>
      <c r="D43" s="330">
        <v>78.595626784626585614752492210</v>
      </c>
      <c r="E43" s="330">
        <v>81.60500473923396898644890353</v>
      </c>
      <c r="F43" s="330">
        <v>71.189157009769327759898123880</v>
      </c>
      <c r="G43" s="330">
        <v>85.20956223471878262174109729</v>
      </c>
      <c r="H43" s="330">
        <v>112.79571020901639191192818157</v>
      </c>
      <c r="I43" s="330">
        <v>140.85618515528966697716280887</v>
      </c>
      <c r="J43" s="330">
        <v>126.73670668949926291203927210</v>
      </c>
      <c r="K43" s="330">
        <v>127.88310824697315828381723129</v>
      </c>
      <c r="L43" s="330">
        <v>130.44435807701281129051926946</v>
      </c>
      <c r="M43" s="330">
        <v>130.31634164949092155051473966</v>
      </c>
      <c r="N43" s="330">
        <v>126.96960062934430804358023457</v>
      </c>
      <c r="O43" s="330">
        <v>106.36037359849396002235899847</v>
      </c>
      <c r="P43" s="330">
        <v>119.69124856945701116803441369</v>
      </c>
      <c r="Q43" s="330">
        <v>121.79039775205524238284259959</v>
      </c>
      <c r="R43" s="330">
        <v>110.56990208116286366926232103</v>
      </c>
      <c r="S43" s="330">
        <v>84.27866408552129690299799223</v>
      </c>
      <c r="T43" s="330">
        <v>83.07899157133677100803426315</v>
      </c>
      <c r="U43" s="330">
        <v>98.08677122680678200658708567</v>
      </c>
      <c r="V43" s="330">
        <v>100.24745128092251722381691232</v>
      </c>
      <c r="W43" s="330">
        <v>103.43934356318298798021768014</v>
      </c>
      <c r="X43" s="331">
        <v>110.32762323270726519133113056</v>
      </c>
      <c r="Y43" s="330">
        <v>90.59052463830675315272956533</v>
      </c>
      <c r="Z43" s="330">
        <v>89.74539829288016778574458323</v>
      </c>
      <c r="AA43" s="330">
        <v>74.040546575509631174956884090</v>
      </c>
      <c r="AB43" s="330">
        <v>93.36272859304615504216400635</v>
      </c>
      <c r="AC43" s="330">
        <v>109.77261078970351555946333209</v>
      </c>
      <c r="AD43" s="338">
        <v>110.11705850911765360597382489</v>
      </c>
      <c r="AE43" s="88"/>
      <c r="AF43" s="329">
        <v>98.1833588422987816261915500</v>
      </c>
      <c r="AG43" s="330">
        <v>105.85573106370418683573970434</v>
      </c>
      <c r="AH43" s="332">
        <v>98.1833588422987816261915500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275" t="s">
        <v>184</v>
      </c>
      <c r="D46" s="276"/>
      <c r="E46" s="276"/>
      <c r="F46" s="276"/>
      <c r="G46" s="276"/>
      <c r="H46" s="276"/>
      <c r="I46" s="276"/>
      <c r="J46" s="276"/>
      <c r="K46" s="276"/>
      <c r="L46" s="276"/>
      <c r="M46" s="276"/>
      <c r="N46" s="276"/>
      <c r="O46" s="276"/>
      <c r="P46" s="276"/>
      <c r="Q46" s="276"/>
      <c r="R46" s="276"/>
      <c r="S46" s="277"/>
      <c r="T46" s="277"/>
      <c r="U46" s="277"/>
      <c r="V46" s="277"/>
      <c r="W46" s="277"/>
      <c r="X46" s="312" t="s">
        <v>181</v>
      </c>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row>
    <row r="47" s="42" customFormat="1">
      <c r="C47" s="279">
        <v>11</v>
      </c>
      <c r="D47" s="280">
        <v>12</v>
      </c>
      <c r="E47" s="280">
        <v>13</v>
      </c>
      <c r="F47" s="280">
        <v>14</v>
      </c>
      <c r="G47" s="280">
        <v>15</v>
      </c>
      <c r="H47" s="280">
        <v>16</v>
      </c>
      <c r="I47" s="280">
        <v>17</v>
      </c>
      <c r="J47" s="280">
        <v>18</v>
      </c>
      <c r="K47" s="280">
        <v>19</v>
      </c>
      <c r="L47" s="280">
        <v>20</v>
      </c>
      <c r="M47" s="280">
        <v>21</v>
      </c>
      <c r="N47" s="280">
        <v>22</v>
      </c>
      <c r="O47" s="280">
        <v>23</v>
      </c>
      <c r="P47" s="280">
        <v>24</v>
      </c>
      <c r="Q47" s="280">
        <v>25</v>
      </c>
      <c r="R47" s="280">
        <v>26</v>
      </c>
      <c r="S47" s="280">
        <v>27</v>
      </c>
      <c r="T47" s="280">
        <v>28</v>
      </c>
      <c r="U47" s="280">
        <v>29</v>
      </c>
      <c r="V47" s="280">
        <v>30</v>
      </c>
      <c r="W47" s="280">
        <v>31</v>
      </c>
      <c r="X47" s="315">
        <v>1</v>
      </c>
      <c r="Y47" s="280">
        <v>2</v>
      </c>
      <c r="Z47" s="280">
        <v>3</v>
      </c>
      <c r="AA47" s="280">
        <v>4</v>
      </c>
      <c r="AB47" s="280">
        <v>5</v>
      </c>
      <c r="AC47" s="280">
        <v>6</v>
      </c>
      <c r="AD47" s="373">
        <v>7</v>
      </c>
      <c r="AE47" s="25"/>
      <c r="AF47" s="319" t="s">
        <v>60</v>
      </c>
      <c r="AG47" s="320">
        <v>28</v>
      </c>
      <c r="AH47" s="321"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row>
    <row r="48" ht="14.25" customHeight="1">
      <c r="A48" s="1"/>
      <c r="B48" s="46" t="s">
        <v>26</v>
      </c>
      <c r="C48" s="444">
        <v>-9.602463565665925221888635100</v>
      </c>
      <c r="D48" s="445">
        <v>-1.9342637645554650481233910500</v>
      </c>
      <c r="E48" s="445">
        <v>7.8127847002138315483244104900</v>
      </c>
      <c r="F48" s="445">
        <v>-6.6726286123289350728078544700</v>
      </c>
      <c r="G48" s="445">
        <v>5.1623326058492896642388661400</v>
      </c>
      <c r="H48" s="445">
        <v>7.1198431109139732582133209600</v>
      </c>
      <c r="I48" s="445">
        <v>16.395248937851318176289540370</v>
      </c>
      <c r="J48" s="445">
        <v>-19.650210791308092761963348550</v>
      </c>
      <c r="K48" s="445">
        <v>-14.229754930289002693705825930</v>
      </c>
      <c r="L48" s="445">
        <v>3.6526438435390369613239406600</v>
      </c>
      <c r="M48" s="445">
        <v>-21.046917825170652152577591940</v>
      </c>
      <c r="N48" s="445">
        <v>4.310397780244617066920226300</v>
      </c>
      <c r="O48" s="445">
        <v>-5.1536203365372882744385434500</v>
      </c>
      <c r="P48" s="445">
        <v>3.1678059295153299227674377100</v>
      </c>
      <c r="Q48" s="445">
        <v>14.600283652585091008443977540</v>
      </c>
      <c r="R48" s="445">
        <v>-6.0991671249004954458419113700</v>
      </c>
      <c r="S48" s="445">
        <v>5.295867845994995102053070600</v>
      </c>
      <c r="T48" s="445">
        <v>-13.255190047480688888039180330</v>
      </c>
      <c r="U48" s="445">
        <v>12.677658979267468254295543570</v>
      </c>
      <c r="V48" s="445">
        <v>-30.593332661594148153753743240</v>
      </c>
      <c r="W48" s="445">
        <v>-24.331237662632457109850458850</v>
      </c>
      <c r="X48" s="446">
        <v>10.266955687713967809944431390</v>
      </c>
      <c r="Y48" s="445">
        <v>7.3731221161635569232877971300</v>
      </c>
      <c r="Z48" s="445">
        <v>-3.8324913998526060803337896900</v>
      </c>
      <c r="AA48" s="445">
        <v>-3.8596818752122535366729675800</v>
      </c>
      <c r="AB48" s="445">
        <v>-1.7317020686389601272415374500</v>
      </c>
      <c r="AC48" s="445">
        <v>-0.0271961307455549501685244300</v>
      </c>
      <c r="AD48" s="447">
        <v>-3.8789001673656697849705892100</v>
      </c>
      <c r="AE48" s="448"/>
      <c r="AF48" s="444">
        <v>0.0587091482278623974019262500</v>
      </c>
      <c r="AG48" s="445">
        <v>-2.974013477175202222036483800</v>
      </c>
      <c r="AH48" s="449">
        <v>0.2385430677103255834437191500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183</v>
      </c>
      <c r="C49" s="329">
        <v>-17.230075923049122593216721800</v>
      </c>
      <c r="D49" s="330">
        <v>-20.038394133784989276912117220</v>
      </c>
      <c r="E49" s="330">
        <v>-7.0153670066735976805433268700</v>
      </c>
      <c r="F49" s="330">
        <v>-16.975433872700496944516701860</v>
      </c>
      <c r="G49" s="330">
        <v>-10.956859606753683851610193550</v>
      </c>
      <c r="H49" s="330">
        <v>0.4597859748662869047306426700</v>
      </c>
      <c r="I49" s="330">
        <v>14.896292131919270367978396510</v>
      </c>
      <c r="J49" s="330">
        <v>1.2248262793450835531577898500</v>
      </c>
      <c r="K49" s="330">
        <v>24.891488770565476458346041510</v>
      </c>
      <c r="L49" s="330">
        <v>65.929264540841941877227548830</v>
      </c>
      <c r="M49" s="330">
        <v>28.533155159342764728674391140</v>
      </c>
      <c r="N49" s="330">
        <v>20.391874667315780020014924560</v>
      </c>
      <c r="O49" s="330">
        <v>-10.424260515783622581031881480</v>
      </c>
      <c r="P49" s="330">
        <v>1.1981717497258770653153819100</v>
      </c>
      <c r="Q49" s="330">
        <v>10.477507053657285913062201820</v>
      </c>
      <c r="R49" s="330">
        <v>-17.326583466155812450901384800</v>
      </c>
      <c r="S49" s="330">
        <v>-17.076620531236930483764633270</v>
      </c>
      <c r="T49" s="330">
        <v>-4.7168526042904796525767483400</v>
      </c>
      <c r="U49" s="330">
        <v>10.439518333713793270169402590</v>
      </c>
      <c r="V49" s="330">
        <v>-20.781836331713463271123565590</v>
      </c>
      <c r="W49" s="330">
        <v>-22.661410622361147374448112360</v>
      </c>
      <c r="X49" s="331">
        <v>18.180817241638468388323051340</v>
      </c>
      <c r="Y49" s="330">
        <v>14.124903859885716021266589510</v>
      </c>
      <c r="Z49" s="330">
        <v>-0.6707773842577411707639169100</v>
      </c>
      <c r="AA49" s="330">
        <v>-9.133636323365368564295313260</v>
      </c>
      <c r="AB49" s="330">
        <v>-9.662604809504977844547800390</v>
      </c>
      <c r="AC49" s="330">
        <v>1.0562269216822582688487790900</v>
      </c>
      <c r="AD49" s="338">
        <v>8.574272826498380369631871180</v>
      </c>
      <c r="AE49" s="88"/>
      <c r="AF49" s="329">
        <v>3.1398571217278650002990868400</v>
      </c>
      <c r="AG49" s="330">
        <v>0.7724057547173971127339643800</v>
      </c>
      <c r="AH49" s="332">
        <v>-2.9826273851173426335082009200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275" t="s">
        <v>184</v>
      </c>
      <c r="D52" s="276"/>
      <c r="E52" s="276"/>
      <c r="F52" s="276"/>
      <c r="G52" s="276"/>
      <c r="H52" s="276"/>
      <c r="I52" s="276"/>
      <c r="J52" s="276"/>
      <c r="K52" s="276"/>
      <c r="L52" s="276"/>
      <c r="M52" s="276"/>
      <c r="N52" s="276"/>
      <c r="O52" s="276"/>
      <c r="P52" s="276"/>
      <c r="Q52" s="276"/>
      <c r="R52" s="276"/>
      <c r="S52" s="277"/>
      <c r="T52" s="277"/>
      <c r="U52" s="277"/>
      <c r="V52" s="277"/>
      <c r="W52" s="277"/>
      <c r="X52" s="312" t="s">
        <v>181</v>
      </c>
      <c r="Y52" s="277"/>
      <c r="Z52" s="277"/>
      <c r="AA52" s="277"/>
      <c r="AB52" s="277"/>
      <c r="AC52" s="277"/>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279">
        <v>11</v>
      </c>
      <c r="D53" s="280">
        <v>12</v>
      </c>
      <c r="E53" s="280">
        <v>13</v>
      </c>
      <c r="F53" s="280">
        <v>14</v>
      </c>
      <c r="G53" s="280">
        <v>15</v>
      </c>
      <c r="H53" s="280">
        <v>16</v>
      </c>
      <c r="I53" s="280">
        <v>17</v>
      </c>
      <c r="J53" s="280">
        <v>18</v>
      </c>
      <c r="K53" s="280">
        <v>19</v>
      </c>
      <c r="L53" s="280">
        <v>20</v>
      </c>
      <c r="M53" s="280">
        <v>21</v>
      </c>
      <c r="N53" s="280">
        <v>22</v>
      </c>
      <c r="O53" s="280">
        <v>23</v>
      </c>
      <c r="P53" s="280">
        <v>24</v>
      </c>
      <c r="Q53" s="280">
        <v>25</v>
      </c>
      <c r="R53" s="280">
        <v>26</v>
      </c>
      <c r="S53" s="280">
        <v>27</v>
      </c>
      <c r="T53" s="280">
        <v>28</v>
      </c>
      <c r="U53" s="280">
        <v>29</v>
      </c>
      <c r="V53" s="280">
        <v>30</v>
      </c>
      <c r="W53" s="280">
        <v>31</v>
      </c>
      <c r="X53" s="315">
        <v>1</v>
      </c>
      <c r="Y53" s="280">
        <v>2</v>
      </c>
      <c r="Z53" s="280">
        <v>3</v>
      </c>
      <c r="AA53" s="280">
        <v>4</v>
      </c>
      <c r="AB53" s="280">
        <v>5</v>
      </c>
      <c r="AC53" s="280">
        <v>6</v>
      </c>
      <c r="AD53" s="373">
        <v>7</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230</v>
      </c>
      <c r="D54" s="445" t="s">
        <v>230</v>
      </c>
      <c r="E54" s="445" t="s">
        <v>232</v>
      </c>
      <c r="F54" s="445" t="s">
        <v>232</v>
      </c>
      <c r="G54" s="445" t="s">
        <v>232</v>
      </c>
      <c r="H54" s="445" t="s">
        <v>230</v>
      </c>
      <c r="I54" s="445" t="s">
        <v>238</v>
      </c>
      <c r="J54" s="445" t="s">
        <v>234</v>
      </c>
      <c r="K54" s="445" t="s">
        <v>234</v>
      </c>
      <c r="L54" s="445" t="s">
        <v>232</v>
      </c>
      <c r="M54" s="445" t="s">
        <v>232</v>
      </c>
      <c r="N54" s="445" t="s">
        <v>231</v>
      </c>
      <c r="O54" s="445" t="s">
        <v>230</v>
      </c>
      <c r="P54" s="445" t="s">
        <v>232</v>
      </c>
      <c r="Q54" s="445" t="s">
        <v>230</v>
      </c>
      <c r="R54" s="445" t="s">
        <v>238</v>
      </c>
      <c r="S54" s="445" t="s">
        <v>231</v>
      </c>
      <c r="T54" s="445" t="s">
        <v>232</v>
      </c>
      <c r="U54" s="445" t="s">
        <v>234</v>
      </c>
      <c r="V54" s="445" t="s">
        <v>236</v>
      </c>
      <c r="W54" s="445" t="s">
        <v>236</v>
      </c>
      <c r="X54" s="446" t="s">
        <v>234</v>
      </c>
      <c r="Y54" s="445" t="s">
        <v>232</v>
      </c>
      <c r="Z54" s="445" t="s">
        <v>230</v>
      </c>
      <c r="AA54" s="445" t="s">
        <v>234</v>
      </c>
      <c r="AB54" s="445" t="s">
        <v>231</v>
      </c>
      <c r="AC54" s="445" t="s">
        <v>231</v>
      </c>
      <c r="AD54" s="447" t="s">
        <v>231</v>
      </c>
      <c r="AE54" s="448"/>
      <c r="AF54" s="444" t="s">
        <v>232</v>
      </c>
      <c r="AG54" s="445" t="s">
        <v>234</v>
      </c>
      <c r="AH54" s="449" t="s">
        <v>232</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231</v>
      </c>
      <c r="D55" s="330" t="s">
        <v>230</v>
      </c>
      <c r="E55" s="330" t="s">
        <v>238</v>
      </c>
      <c r="F55" s="330" t="s">
        <v>230</v>
      </c>
      <c r="G55" s="330" t="s">
        <v>238</v>
      </c>
      <c r="H55" s="330" t="s">
        <v>231</v>
      </c>
      <c r="I55" s="330" t="s">
        <v>235</v>
      </c>
      <c r="J55" s="330" t="s">
        <v>234</v>
      </c>
      <c r="K55" s="330" t="s">
        <v>232</v>
      </c>
      <c r="L55" s="330" t="s">
        <v>231</v>
      </c>
      <c r="M55" s="330" t="s">
        <v>234</v>
      </c>
      <c r="N55" s="330" t="s">
        <v>231</v>
      </c>
      <c r="O55" s="330" t="s">
        <v>234</v>
      </c>
      <c r="P55" s="330" t="s">
        <v>231</v>
      </c>
      <c r="Q55" s="330" t="s">
        <v>235</v>
      </c>
      <c r="R55" s="330" t="s">
        <v>230</v>
      </c>
      <c r="S55" s="330" t="s">
        <v>231</v>
      </c>
      <c r="T55" s="330" t="s">
        <v>232</v>
      </c>
      <c r="U55" s="330" t="s">
        <v>231</v>
      </c>
      <c r="V55" s="330" t="s">
        <v>236</v>
      </c>
      <c r="W55" s="330" t="s">
        <v>237</v>
      </c>
      <c r="X55" s="89" t="s">
        <v>231</v>
      </c>
      <c r="Y55" s="90" t="s">
        <v>232</v>
      </c>
      <c r="Z55" s="90" t="s">
        <v>230</v>
      </c>
      <c r="AA55" s="90" t="s">
        <v>230</v>
      </c>
      <c r="AB55" s="90" t="s">
        <v>231</v>
      </c>
      <c r="AC55" s="90" t="s">
        <v>231</v>
      </c>
      <c r="AD55" s="91" t="s">
        <v>232</v>
      </c>
      <c r="AE55" s="88"/>
      <c r="AF55" s="329" t="s">
        <v>231</v>
      </c>
      <c r="AG55" s="330" t="s">
        <v>232</v>
      </c>
      <c r="AH55" s="332" t="s">
        <v>231</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50" t="s">
        <v>114</v>
      </c>
      <c r="C58" s="650"/>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c r="AC58" s="650"/>
      <c r="AD58" s="650"/>
      <c r="AE58" s="650"/>
      <c r="AF58" s="650"/>
      <c r="AG58" s="650"/>
      <c r="AH58" s="650"/>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53"/>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58"/>
      <c r="B65" s="658"/>
      <c r="C65" s="658"/>
      <c r="D65" s="658"/>
      <c r="E65" s="658"/>
      <c r="F65" s="658"/>
      <c r="G65" s="658"/>
      <c r="H65" s="658"/>
      <c r="I65" s="658"/>
      <c r="J65" s="658"/>
      <c r="K65" s="658"/>
      <c r="L65" s="658"/>
      <c r="M65" s="658"/>
      <c r="N65" s="658"/>
      <c r="O65" s="658"/>
      <c r="P65" s="658"/>
      <c r="Q65" s="658"/>
      <c r="R65" s="658"/>
      <c r="S65" s="658"/>
      <c r="T65" s="658"/>
      <c r="U65" s="658"/>
      <c r="V65" s="658"/>
      <c r="W65" s="658"/>
      <c r="X65" s="658"/>
      <c r="Y65" s="658"/>
      <c r="Z65" s="658"/>
      <c r="AA65" s="658"/>
      <c r="AB65" s="658"/>
      <c r="AC65" s="658"/>
      <c r="AD65" s="658"/>
      <c r="AE65" s="658"/>
      <c r="AF65" s="658"/>
      <c r="AG65" s="658"/>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58"/>
      <c r="B66" s="658"/>
      <c r="C66" s="658"/>
      <c r="D66" s="658"/>
      <c r="E66" s="658"/>
      <c r="F66" s="658"/>
      <c r="G66" s="658"/>
      <c r="H66" s="658"/>
      <c r="I66" s="658"/>
      <c r="J66" s="658"/>
      <c r="K66" s="658"/>
      <c r="L66" s="658"/>
      <c r="M66" s="658"/>
      <c r="N66" s="658"/>
      <c r="O66" s="658"/>
      <c r="P66" s="658"/>
      <c r="Q66" s="658"/>
      <c r="R66" s="658"/>
      <c r="S66" s="658"/>
      <c r="T66" s="658"/>
      <c r="U66" s="658"/>
      <c r="V66" s="658"/>
      <c r="W66" s="658"/>
      <c r="X66" s="658"/>
      <c r="Y66" s="658"/>
      <c r="Z66" s="658"/>
      <c r="AA66" s="658"/>
      <c r="AB66" s="658"/>
      <c r="AC66" s="658"/>
      <c r="AD66" s="658"/>
      <c r="AE66" s="658"/>
      <c r="AF66" s="658"/>
      <c r="AG66" s="658"/>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58"/>
      <c r="B67" s="658"/>
      <c r="C67" s="658"/>
      <c r="D67" s="658"/>
      <c r="E67" s="658"/>
      <c r="F67" s="658"/>
      <c r="G67" s="658"/>
      <c r="H67" s="658"/>
      <c r="I67" s="658"/>
      <c r="J67" s="658"/>
      <c r="K67" s="658"/>
      <c r="L67" s="658"/>
      <c r="M67" s="658"/>
      <c r="N67" s="658"/>
      <c r="O67" s="658"/>
      <c r="P67" s="658"/>
      <c r="Q67" s="658"/>
      <c r="R67" s="658"/>
      <c r="S67" s="658"/>
      <c r="T67" s="658"/>
      <c r="U67" s="658"/>
      <c r="V67" s="658"/>
      <c r="W67" s="658"/>
      <c r="X67" s="658"/>
      <c r="Y67" s="658"/>
      <c r="Z67" s="658"/>
      <c r="AA67" s="658"/>
      <c r="AB67" s="658"/>
      <c r="AC67" s="658"/>
      <c r="AD67" s="658"/>
      <c r="AE67" s="658"/>
      <c r="AF67" s="658"/>
      <c r="AG67" s="658"/>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58"/>
      <c r="B68" s="658"/>
      <c r="C68" s="658"/>
      <c r="D68" s="658"/>
      <c r="E68" s="658"/>
      <c r="F68" s="658"/>
      <c r="G68" s="658"/>
      <c r="H68" s="658"/>
      <c r="I68" s="658"/>
      <c r="J68" s="658"/>
      <c r="K68" s="658"/>
      <c r="L68" s="658"/>
      <c r="M68" s="658"/>
      <c r="N68" s="658"/>
      <c r="O68" s="658"/>
      <c r="P68" s="658"/>
      <c r="Q68" s="658"/>
      <c r="R68" s="658"/>
      <c r="S68" s="658"/>
      <c r="T68" s="658"/>
      <c r="U68" s="658"/>
      <c r="V68" s="658"/>
      <c r="W68" s="658"/>
      <c r="X68" s="658"/>
      <c r="Y68" s="658"/>
      <c r="Z68" s="658"/>
      <c r="AA68" s="658"/>
      <c r="AB68" s="658"/>
      <c r="AC68" s="658"/>
      <c r="AD68" s="658"/>
      <c r="AE68" s="658"/>
      <c r="AF68" s="658"/>
      <c r="AG68" s="65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row>
    <row r="69" s="25" customFormat="1" ht="10.5" customHeight="1">
      <c r="A69" s="658"/>
      <c r="B69" s="658"/>
      <c r="C69" s="658"/>
      <c r="D69" s="658"/>
      <c r="E69" s="658"/>
      <c r="F69" s="658"/>
      <c r="G69" s="658"/>
      <c r="H69" s="658"/>
      <c r="I69" s="658"/>
      <c r="J69" s="658"/>
      <c r="K69" s="658"/>
      <c r="L69" s="658"/>
      <c r="M69" s="658"/>
      <c r="N69" s="658"/>
      <c r="O69" s="658"/>
      <c r="P69" s="658"/>
      <c r="Q69" s="658"/>
      <c r="R69" s="658"/>
      <c r="S69" s="658"/>
      <c r="T69" s="658"/>
      <c r="U69" s="658"/>
      <c r="V69" s="658"/>
      <c r="W69" s="658"/>
      <c r="X69" s="658"/>
      <c r="Y69" s="658"/>
      <c r="Z69" s="658"/>
      <c r="AA69" s="658"/>
      <c r="AB69" s="658"/>
      <c r="AC69" s="658"/>
      <c r="AD69" s="658"/>
      <c r="AE69" s="658"/>
      <c r="AF69" s="658"/>
      <c r="AG69" s="65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row>
    <row r="70" s="25" customFormat="1">
      <c r="A70" s="658"/>
      <c r="B70" s="658"/>
      <c r="C70" s="658"/>
      <c r="D70" s="658"/>
      <c r="E70" s="658"/>
      <c r="F70" s="658"/>
      <c r="G70" s="658"/>
      <c r="H70" s="658"/>
      <c r="I70" s="658"/>
      <c r="J70" s="658"/>
      <c r="K70" s="658"/>
      <c r="L70" s="658"/>
      <c r="M70" s="658"/>
      <c r="N70" s="658"/>
      <c r="O70" s="658"/>
      <c r="P70" s="658"/>
      <c r="Q70" s="658"/>
      <c r="R70" s="658"/>
      <c r="S70" s="658"/>
      <c r="T70" s="658"/>
      <c r="U70" s="658"/>
      <c r="V70" s="658"/>
      <c r="W70" s="658"/>
      <c r="X70" s="658"/>
      <c r="Y70" s="658"/>
      <c r="Z70" s="658"/>
      <c r="AA70" s="658"/>
      <c r="AB70" s="658"/>
      <c r="AC70" s="658"/>
      <c r="AD70" s="658"/>
      <c r="AE70" s="658"/>
      <c r="AF70" s="658"/>
      <c r="AG70" s="65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row>
    <row r="71" s="25" customFormat="1">
      <c r="A71" s="658"/>
      <c r="B71" s="658">
        <v>1</v>
      </c>
      <c r="C71" s="658">
        <v>2</v>
      </c>
      <c r="D71" s="658">
        <v>3</v>
      </c>
      <c r="E71" s="658">
        <v>4</v>
      </c>
      <c r="F71" s="658">
        <v>5</v>
      </c>
      <c r="G71" s="658">
        <v>6</v>
      </c>
      <c r="H71" s="658">
        <v>7</v>
      </c>
      <c r="I71" s="658">
        <v>8</v>
      </c>
      <c r="J71" s="658">
        <v>9</v>
      </c>
      <c r="K71" s="658">
        <v>10</v>
      </c>
      <c r="L71" s="658">
        <v>11</v>
      </c>
      <c r="M71" s="658">
        <v>12</v>
      </c>
      <c r="N71" s="658"/>
      <c r="O71" s="658"/>
      <c r="P71" s="658"/>
      <c r="Q71" s="658"/>
      <c r="R71" s="658"/>
      <c r="S71" s="658"/>
      <c r="T71" s="658"/>
      <c r="U71" s="658"/>
      <c r="V71" s="658"/>
      <c r="W71" s="658"/>
      <c r="X71" s="658"/>
      <c r="Y71" s="658"/>
      <c r="Z71" s="658"/>
      <c r="AA71" s="658"/>
      <c r="AB71" s="658"/>
      <c r="AC71" s="658"/>
      <c r="AD71" s="658"/>
      <c r="AE71" s="658"/>
      <c r="AF71" s="658"/>
      <c r="AG71" s="65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row>
    <row r="72" s="25" customFormat="1">
      <c r="A72" s="658"/>
      <c r="B72" s="658" t="n">
        <v>45738</v>
      </c>
      <c r="C72" s="658">
        <v>45745</v>
      </c>
      <c r="D72" s="658">
        <v>45752</v>
      </c>
      <c r="E72" s="658">
        <v>45759</v>
      </c>
      <c r="F72" s="658">
        <v>45766</v>
      </c>
      <c r="G72" s="658">
        <v>45773</v>
      </c>
      <c r="H72" s="658">
        <v>45780</v>
      </c>
      <c r="I72" s="658">
        <v>45787</v>
      </c>
      <c r="J72" s="658">
        <v>45794</v>
      </c>
      <c r="K72" s="658">
        <v>45801</v>
      </c>
      <c r="L72" s="658">
        <v>45808</v>
      </c>
      <c r="M72" s="658">
        <v>45815</v>
      </c>
      <c r="N72" s="658"/>
      <c r="O72" s="658"/>
      <c r="P72" s="658"/>
      <c r="Q72" s="658"/>
      <c r="R72" s="658"/>
      <c r="S72" s="658"/>
      <c r="T72" s="658"/>
      <c r="U72" s="658"/>
      <c r="V72" s="658"/>
      <c r="W72" s="658"/>
      <c r="X72" s="658"/>
      <c r="Y72" s="658"/>
      <c r="Z72" s="658"/>
      <c r="AA72" s="658"/>
      <c r="AB72" s="658"/>
      <c r="AC72" s="658"/>
      <c r="AD72" s="658"/>
      <c r="AE72" s="658"/>
      <c r="AF72" s="658"/>
      <c r="AG72" s="65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row>
    <row r="73" s="25" customFormat="1" ht="14.25">
      <c r="A73" s="658" t="s">
        <v>32</v>
      </c>
      <c r="B73" s="658">
        <v>265.47943722943722943722943723</v>
      </c>
      <c r="C73" s="658">
        <v>296.08658008658008658008658009</v>
      </c>
      <c r="D73" s="658">
        <v>252.03571428571428571428571429</v>
      </c>
      <c r="E73" s="658">
        <v>279.31818181818181818181818182</v>
      </c>
      <c r="F73" s="658">
        <v>251.6991341991341991341991342</v>
      </c>
      <c r="G73" s="658">
        <v>207.94372294372294372294372294</v>
      </c>
      <c r="H73" s="658">
        <v>302.96103896103896103896103896</v>
      </c>
      <c r="I73" s="658">
        <v>181.91774891774891774891774892</v>
      </c>
      <c r="J73" s="658">
        <v>149.96103896103896103896103896</v>
      </c>
      <c r="K73" s="658">
        <v>187.78571428571428571428571429</v>
      </c>
      <c r="L73" s="658">
        <v>128.754329004329004329004329</v>
      </c>
      <c r="M73" s="658">
        <v>119.21212121212121212121212121</v>
      </c>
      <c r="N73" s="658"/>
      <c r="O73" s="658"/>
      <c r="P73" s="658"/>
      <c r="Q73" s="658"/>
      <c r="R73" s="658"/>
      <c r="S73" s="658"/>
      <c r="T73" s="658"/>
      <c r="U73" s="658"/>
      <c r="V73" s="658"/>
      <c r="W73" s="658"/>
      <c r="X73" s="658"/>
      <c r="Y73" s="658"/>
      <c r="Z73" s="658"/>
      <c r="AA73" s="658"/>
      <c r="AB73" s="658"/>
      <c r="AC73" s="658"/>
      <c r="AD73" s="658"/>
      <c r="AE73" s="658"/>
      <c r="AF73" s="658"/>
      <c r="AG73" s="658"/>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row>
    <row r="74" s="25" customFormat="1" ht="14.25">
      <c r="A74" s="658" t="s">
        <v>26</v>
      </c>
      <c r="B74" s="658">
        <v>269.01491218365371317936661596</v>
      </c>
      <c r="C74" s="658">
        <v>265.55532844696445858110911354</v>
      </c>
      <c r="D74" s="658">
        <v>213.21794087746007372471971731</v>
      </c>
      <c r="E74" s="658">
        <v>263.97679159175770986032360669</v>
      </c>
      <c r="F74" s="658">
        <v>235.56293597012861291660904439</v>
      </c>
      <c r="G74" s="658">
        <v>191.76843590098188355690775826</v>
      </c>
      <c r="H74" s="658">
        <v>313.92671138155165260683169686</v>
      </c>
      <c r="I74" s="658">
        <v>173.00253906790208823122666298</v>
      </c>
      <c r="J74" s="658">
        <v>159.20047711243258193887429125</v>
      </c>
      <c r="K74" s="658">
        <v>206.71665744710275203982851611</v>
      </c>
      <c r="L74" s="658">
        <v>155.46292767252108975245470889</v>
      </c>
      <c r="M74" s="658">
        <v>129.65317245194302309500760614</v>
      </c>
      <c r="N74" s="658"/>
      <c r="O74" s="658"/>
      <c r="P74" s="658"/>
      <c r="Q74" s="658"/>
      <c r="R74" s="658"/>
      <c r="S74" s="658"/>
      <c r="T74" s="658"/>
      <c r="U74" s="658"/>
      <c r="V74" s="658"/>
      <c r="W74" s="658"/>
      <c r="X74" s="658"/>
      <c r="Y74" s="658"/>
      <c r="Z74" s="658"/>
      <c r="AA74" s="658"/>
      <c r="AB74" s="658"/>
      <c r="AC74" s="658"/>
      <c r="AD74" s="658"/>
      <c r="AE74" s="658"/>
      <c r="AF74" s="658"/>
      <c r="AG74" s="658"/>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row>
    <row r="75" s="25" customFormat="1" ht="14.25">
      <c r="A75" s="658" t="s">
        <v>183</v>
      </c>
      <c r="B75" s="658">
        <v>254.78639115752517814373484477</v>
      </c>
      <c r="C75" s="658">
        <v>256.73475550795138424004403386</v>
      </c>
      <c r="D75" s="658">
        <v>221.94389601107785768526376915</v>
      </c>
      <c r="E75" s="658">
        <v>231.00373862400762619717890284</v>
      </c>
      <c r="F75" s="658">
        <v>207.32838822110013852272219491</v>
      </c>
      <c r="G75" s="658">
        <v>174.46452775667664626063124656</v>
      </c>
      <c r="H75" s="658">
        <v>258.9583687087597003142827353</v>
      </c>
      <c r="I75" s="658">
        <v>168.17802404039501318200098306</v>
      </c>
      <c r="J75" s="658">
        <v>152.37934372998495613447130494</v>
      </c>
      <c r="K75" s="658">
        <v>152.38857857813128379284150319</v>
      </c>
      <c r="L75" s="658">
        <v>127.08108792469130285833445045</v>
      </c>
      <c r="M75" s="658">
        <v>121.41784780822940781121648869</v>
      </c>
      <c r="N75" s="658"/>
      <c r="O75" s="658"/>
      <c r="P75" s="658"/>
      <c r="Q75" s="658"/>
      <c r="R75" s="658"/>
      <c r="S75" s="658"/>
      <c r="T75" s="658"/>
      <c r="U75" s="658"/>
      <c r="V75" s="658"/>
      <c r="W75" s="658"/>
      <c r="X75" s="658"/>
      <c r="Y75" s="658"/>
      <c r="Z75" s="658"/>
      <c r="AA75" s="658"/>
      <c r="AB75" s="658"/>
      <c r="AC75" s="658"/>
      <c r="AD75" s="658"/>
      <c r="AE75" s="658"/>
      <c r="AF75" s="658"/>
      <c r="AG75" s="658"/>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row>
    <row r="76" s="25" customFormat="1">
      <c r="A76" s="658"/>
      <c r="B76" s="658"/>
      <c r="C76" s="658"/>
      <c r="D76" s="658"/>
      <c r="E76" s="658"/>
      <c r="F76" s="658"/>
      <c r="G76" s="658"/>
      <c r="H76" s="658"/>
      <c r="I76" s="658"/>
      <c r="J76" s="658"/>
      <c r="K76" s="658"/>
      <c r="L76" s="658"/>
      <c r="M76" s="658"/>
      <c r="N76" s="658"/>
      <c r="O76" s="658"/>
      <c r="P76" s="658"/>
      <c r="Q76" s="658"/>
      <c r="R76" s="658"/>
      <c r="S76" s="658"/>
      <c r="T76" s="658"/>
      <c r="U76" s="658"/>
      <c r="V76" s="658"/>
      <c r="W76" s="658"/>
      <c r="X76" s="658"/>
      <c r="Y76" s="658"/>
      <c r="Z76" s="658"/>
      <c r="AA76" s="658"/>
      <c r="AB76" s="658"/>
      <c r="AC76" s="658"/>
      <c r="AD76" s="658"/>
      <c r="AE76" s="658"/>
      <c r="AF76" s="658"/>
      <c r="AG76" s="658"/>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row>
    <row r="77" s="25" customFormat="1">
      <c r="A77" s="658"/>
      <c r="B77" s="658"/>
      <c r="C77" s="658"/>
      <c r="D77" s="658"/>
      <c r="E77" s="658"/>
      <c r="F77" s="658"/>
      <c r="G77" s="658"/>
      <c r="H77" s="658"/>
      <c r="I77" s="658"/>
      <c r="J77" s="658"/>
      <c r="K77" s="658"/>
      <c r="L77" s="658"/>
      <c r="M77" s="658"/>
      <c r="N77" s="658"/>
      <c r="O77" s="658"/>
      <c r="P77" s="658"/>
      <c r="Q77" s="658"/>
      <c r="R77" s="658"/>
      <c r="S77" s="658"/>
      <c r="T77" s="658"/>
      <c r="U77" s="658"/>
      <c r="V77" s="658"/>
      <c r="W77" s="658"/>
      <c r="X77" s="658"/>
      <c r="Y77" s="658"/>
      <c r="Z77" s="658"/>
      <c r="AA77" s="658"/>
      <c r="AB77" s="658"/>
      <c r="AC77" s="658"/>
      <c r="AD77" s="658"/>
      <c r="AE77" s="658"/>
      <c r="AF77" s="658"/>
      <c r="AG77" s="658"/>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row>
    <row r="78">
      <c r="A78" s="658"/>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c r="AB78" s="658"/>
      <c r="AC78" s="658"/>
      <c r="AD78" s="658"/>
      <c r="AE78" s="658"/>
      <c r="AF78" s="658"/>
      <c r="AG78" s="658"/>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58"/>
      <c r="B79" s="658"/>
      <c r="C79" s="658"/>
      <c r="D79" s="658"/>
      <c r="E79" s="658"/>
      <c r="F79" s="658"/>
      <c r="G79" s="658"/>
      <c r="H79" s="658"/>
      <c r="I79" s="658"/>
      <c r="J79" s="658"/>
      <c r="K79" s="658"/>
      <c r="L79" s="658"/>
      <c r="M79" s="658"/>
      <c r="N79" s="658"/>
      <c r="O79" s="658"/>
      <c r="P79" s="658"/>
      <c r="Q79" s="658"/>
      <c r="R79" s="658"/>
      <c r="S79" s="658"/>
      <c r="T79" s="658"/>
      <c r="U79" s="658"/>
      <c r="V79" s="658"/>
      <c r="W79" s="658"/>
      <c r="X79" s="658"/>
      <c r="Y79" s="658"/>
      <c r="Z79" s="658"/>
      <c r="AA79" s="658"/>
      <c r="AB79" s="658"/>
      <c r="AC79" s="658"/>
      <c r="AD79" s="658"/>
      <c r="AE79" s="658"/>
      <c r="AF79" s="658"/>
      <c r="AG79" s="658"/>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58"/>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c r="AB80" s="658"/>
      <c r="AC80" s="658"/>
      <c r="AD80" s="658"/>
      <c r="AE80" s="658"/>
      <c r="AF80" s="658"/>
      <c r="AG80" s="658"/>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58"/>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c r="AB81" s="658"/>
      <c r="AC81" s="658"/>
      <c r="AD81" s="658"/>
      <c r="AE81" s="658"/>
      <c r="AF81" s="658"/>
      <c r="AG81" s="658"/>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58"/>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58"/>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58"/>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c r="AB84" s="658"/>
      <c r="AC84" s="658"/>
      <c r="AD84" s="658"/>
      <c r="AE84" s="658"/>
      <c r="AF84" s="658"/>
      <c r="AG84" s="658"/>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58"/>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c r="AB85" s="658"/>
      <c r="AC85" s="658"/>
      <c r="AD85" s="658"/>
      <c r="AE85" s="658"/>
      <c r="AF85" s="658"/>
      <c r="AG85" s="658"/>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58"/>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c r="AB86" s="658"/>
      <c r="AC86" s="658"/>
      <c r="AD86" s="658"/>
      <c r="AE86" s="658"/>
      <c r="AF86" s="658"/>
      <c r="AG86" s="658"/>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58"/>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58"/>
      <c r="B88" s="658"/>
      <c r="C88" s="658"/>
      <c r="D88" s="658"/>
      <c r="E88" s="658"/>
      <c r="F88" s="658"/>
      <c r="G88" s="658"/>
      <c r="H88" s="658"/>
      <c r="I88" s="658"/>
      <c r="J88" s="658"/>
      <c r="K88" s="658"/>
      <c r="L88" s="658"/>
      <c r="M88" s="658"/>
      <c r="N88" s="658"/>
      <c r="O88" s="658"/>
      <c r="P88" s="658"/>
      <c r="Q88" s="658"/>
      <c r="R88" s="658"/>
      <c r="S88" s="658"/>
      <c r="T88" s="658"/>
      <c r="U88" s="658"/>
      <c r="V88" s="658"/>
      <c r="W88" s="658"/>
      <c r="X88" s="658"/>
      <c r="Y88" s="658"/>
      <c r="Z88" s="658"/>
      <c r="AA88" s="658"/>
      <c r="AB88" s="658"/>
      <c r="AC88" s="658"/>
      <c r="AD88" s="658"/>
      <c r="AE88" s="658"/>
      <c r="AF88" s="658"/>
      <c r="AG88" s="658"/>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58"/>
      <c r="B89" s="658"/>
      <c r="C89" s="658"/>
      <c r="D89" s="658"/>
      <c r="E89" s="658"/>
      <c r="F89" s="658"/>
      <c r="G89" s="658"/>
      <c r="H89" s="658"/>
      <c r="I89" s="658"/>
      <c r="J89" s="658"/>
      <c r="K89" s="658"/>
      <c r="L89" s="658"/>
      <c r="M89" s="658"/>
      <c r="N89" s="658"/>
      <c r="O89" s="658"/>
      <c r="P89" s="658"/>
      <c r="Q89" s="658"/>
      <c r="R89" s="658"/>
      <c r="S89" s="658"/>
      <c r="T89" s="658"/>
      <c r="U89" s="658"/>
      <c r="V89" s="658"/>
      <c r="W89" s="658"/>
      <c r="X89" s="658"/>
      <c r="Y89" s="658"/>
      <c r="Z89" s="658"/>
      <c r="AA89" s="658"/>
      <c r="AB89" s="658"/>
      <c r="AC89" s="658"/>
      <c r="AD89" s="658"/>
      <c r="AE89" s="658"/>
      <c r="AF89" s="658"/>
      <c r="AG89" s="658"/>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58"/>
      <c r="B90" s="658"/>
      <c r="C90" s="658"/>
      <c r="D90" s="658"/>
      <c r="E90" s="658"/>
      <c r="F90" s="658"/>
      <c r="G90" s="658"/>
      <c r="H90" s="658"/>
      <c r="I90" s="658"/>
      <c r="J90" s="658"/>
      <c r="K90" s="658"/>
      <c r="L90" s="658"/>
      <c r="M90" s="658"/>
      <c r="N90" s="658"/>
      <c r="O90" s="658"/>
      <c r="P90" s="658"/>
      <c r="Q90" s="658"/>
      <c r="R90" s="658"/>
      <c r="S90" s="658"/>
      <c r="T90" s="658"/>
      <c r="U90" s="658"/>
      <c r="V90" s="658"/>
      <c r="W90" s="658"/>
      <c r="X90" s="658"/>
      <c r="Y90" s="658"/>
      <c r="Z90" s="658"/>
      <c r="AA90" s="658"/>
      <c r="AB90" s="658"/>
      <c r="AC90" s="658"/>
      <c r="AD90" s="658"/>
      <c r="AE90" s="658"/>
      <c r="AF90" s="658"/>
      <c r="AG90" s="658"/>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58"/>
      <c r="B91" s="658"/>
      <c r="C91" s="658"/>
      <c r="D91" s="658"/>
      <c r="E91" s="658"/>
      <c r="F91" s="658"/>
      <c r="G91" s="658"/>
      <c r="H91" s="658"/>
      <c r="I91" s="658"/>
      <c r="J91" s="658"/>
      <c r="K91" s="658"/>
      <c r="L91" s="658"/>
      <c r="M91" s="658"/>
      <c r="N91" s="658"/>
      <c r="O91" s="658"/>
      <c r="P91" s="658"/>
      <c r="Q91" s="658"/>
      <c r="R91" s="658"/>
      <c r="S91" s="658"/>
      <c r="T91" s="658"/>
      <c r="U91" s="658"/>
      <c r="V91" s="658"/>
      <c r="W91" s="658"/>
      <c r="X91" s="658"/>
      <c r="Y91" s="658"/>
      <c r="Z91" s="658"/>
      <c r="AA91" s="658"/>
      <c r="AB91" s="658"/>
      <c r="AC91" s="658"/>
      <c r="AD91" s="658"/>
      <c r="AE91" s="658"/>
      <c r="AF91" s="658"/>
      <c r="AG91" s="658"/>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58"/>
      <c r="B92" s="658"/>
      <c r="C92" s="658"/>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58"/>
      <c r="B93" s="658"/>
      <c r="C93" s="658"/>
      <c r="D93" s="658"/>
      <c r="E93" s="658"/>
      <c r="F93" s="658"/>
      <c r="G93" s="658"/>
      <c r="H93" s="658"/>
      <c r="I93" s="658"/>
      <c r="J93" s="658"/>
      <c r="K93" s="658"/>
      <c r="L93" s="658"/>
      <c r="M93" s="658"/>
      <c r="N93" s="658"/>
      <c r="O93" s="658"/>
      <c r="P93" s="658"/>
      <c r="Q93" s="658"/>
      <c r="R93" s="658"/>
      <c r="S93" s="658"/>
      <c r="T93" s="658"/>
      <c r="U93" s="658"/>
      <c r="V93" s="658"/>
      <c r="W93" s="658"/>
      <c r="X93" s="658"/>
      <c r="Y93" s="658"/>
      <c r="Z93" s="658"/>
      <c r="AA93" s="658"/>
      <c r="AB93" s="658"/>
      <c r="AC93" s="658"/>
      <c r="AD93" s="658"/>
      <c r="AE93" s="658"/>
      <c r="AF93" s="658"/>
      <c r="AG93" s="658"/>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58"/>
      <c r="B94" s="658"/>
      <c r="C94" s="658"/>
      <c r="D94" s="658"/>
      <c r="E94" s="658"/>
      <c r="F94" s="658"/>
      <c r="G94" s="658"/>
      <c r="H94" s="658"/>
      <c r="I94" s="658"/>
      <c r="J94" s="658"/>
      <c r="K94" s="658"/>
      <c r="L94" s="658"/>
      <c r="M94" s="658"/>
      <c r="N94" s="658"/>
      <c r="O94" s="658"/>
      <c r="P94" s="658"/>
      <c r="Q94" s="658"/>
      <c r="R94" s="658"/>
      <c r="S94" s="658"/>
      <c r="T94" s="658"/>
      <c r="U94" s="658"/>
      <c r="V94" s="658"/>
      <c r="W94" s="658"/>
      <c r="X94" s="658"/>
      <c r="Y94" s="658"/>
      <c r="Z94" s="658"/>
      <c r="AA94" s="658"/>
      <c r="AB94" s="658"/>
      <c r="AC94" s="658"/>
      <c r="AD94" s="658"/>
      <c r="AE94" s="658"/>
      <c r="AF94" s="658"/>
      <c r="AG94" s="658"/>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84"/>
</worksheet>
</file>

<file path=xl/worksheets/sheet8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156</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180</v>
      </c>
      <c r="B4" s="442"/>
      <c r="C4" s="211"/>
      <c r="D4" s="212"/>
      <c r="E4" s="212"/>
      <c r="F4" s="212"/>
      <c r="G4" s="212"/>
      <c r="H4" s="212"/>
      <c r="I4" s="212"/>
      <c r="J4" s="212"/>
      <c r="K4" s="212"/>
      <c r="L4" s="212"/>
      <c r="M4" s="212"/>
      <c r="N4" s="212"/>
      <c r="O4" s="212"/>
      <c r="P4" s="212"/>
      <c r="Q4" s="212"/>
      <c r="R4" s="665" t="s">
        <v>182</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339" t="s">
        <v>63</v>
      </c>
      <c r="AA9" s="340" t="s">
        <v>26</v>
      </c>
      <c r="AB9" s="341" t="s">
        <v>183</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184</v>
      </c>
      <c r="B10" s="342">
        <v>11</v>
      </c>
      <c r="C10" s="343" t="s">
        <v>49</v>
      </c>
      <c r="D10" s="374">
        <v>94.45454545454545454545454545</v>
      </c>
      <c r="E10" s="382">
        <v>93.64597660130442928337488247</v>
      </c>
      <c r="F10" s="375">
        <v>77.896279628045106962828178144</v>
      </c>
      <c r="G10" s="374">
        <v>2.2196969696969696969696969697</v>
      </c>
      <c r="H10" s="382">
        <v>17.747208297049878557864226927</v>
      </c>
      <c r="I10" s="375">
        <v>11.650120747107890479177804484</v>
      </c>
      <c r="J10" s="374">
        <v>0</v>
      </c>
      <c r="K10" s="382">
        <v>0</v>
      </c>
      <c r="L10" s="375">
        <v>11.579342508800709157931458726</v>
      </c>
      <c r="M10" s="374">
        <v>96.67424242424242424242424242</v>
      </c>
      <c r="N10" s="382">
        <v>111.39318489835430784123910939</v>
      </c>
      <c r="O10" s="375">
        <v>101.12574288395370659993744135</v>
      </c>
      <c r="P10" s="4"/>
      <c r="Q10" s="354">
        <v>-27.738495421339843965873406260</v>
      </c>
      <c r="R10" s="355">
        <v>-26.973741195476021546073805370</v>
      </c>
      <c r="S10" s="356">
        <v>-11.655885695107062040090068400</v>
      </c>
      <c r="T10" s="354">
        <v>0</v>
      </c>
      <c r="U10" s="355">
        <v>155.11955103193952308332299025</v>
      </c>
      <c r="V10" s="356">
        <v>-24.218361954635522175959891980</v>
      </c>
      <c r="W10" s="354">
        <v>0</v>
      </c>
      <c r="X10" s="355">
        <v>-100</v>
      </c>
      <c r="Y10" s="356">
        <v>20.303413967047251890936654640</v>
      </c>
      <c r="Z10" s="354">
        <v>-26.040338472226319285251085760</v>
      </c>
      <c r="AA10" s="355">
        <v>-18.183985487866004799484816470</v>
      </c>
      <c r="AB10" s="356">
        <v>-10.644280090254273576497679370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12</v>
      </c>
      <c r="C11" s="345" t="s">
        <v>47</v>
      </c>
      <c r="D11" s="370">
        <v>80.35606060606060606060606061</v>
      </c>
      <c r="E11" s="172">
        <v>91.30052604894158040880378629</v>
      </c>
      <c r="F11" s="371">
        <v>79.97164066836583935065754943</v>
      </c>
      <c r="G11" s="370">
        <v>14.083333333333333333333333333</v>
      </c>
      <c r="H11" s="172">
        <v>19.888767271484363444051973634</v>
      </c>
      <c r="I11" s="371">
        <v>29.215423269267625276124338687</v>
      </c>
      <c r="J11" s="370">
        <v>0</v>
      </c>
      <c r="K11" s="172">
        <v>0</v>
      </c>
      <c r="L11" s="371">
        <v>10.971522236905165338810855079</v>
      </c>
      <c r="M11" s="370">
        <v>94.43939393939393939393939394</v>
      </c>
      <c r="N11" s="172">
        <v>111.18929332042594385285575992</v>
      </c>
      <c r="O11" s="371">
        <v>120.1585861745386299655927432</v>
      </c>
      <c r="P11" s="4"/>
      <c r="Q11" s="327">
        <v>-34.342308882718363164182169720</v>
      </c>
      <c r="R11" s="171">
        <v>-24.483358579111921220900855530</v>
      </c>
      <c r="S11" s="328">
        <v>-8.558885465510543655969847310</v>
      </c>
      <c r="T11" s="327">
        <v>0</v>
      </c>
      <c r="U11" s="171">
        <v>1.4422872853490368673419675100</v>
      </c>
      <c r="V11" s="328">
        <v>5.696651218201417255205075900</v>
      </c>
      <c r="W11" s="327">
        <v>0</v>
      </c>
      <c r="X11" s="171">
        <v>-100</v>
      </c>
      <c r="Y11" s="328">
        <v>16.524782081086674767354557200</v>
      </c>
      <c r="Z11" s="327">
        <v>-22.835035592718687207004329950</v>
      </c>
      <c r="AA11" s="171">
        <v>-21.313021887607218123277778530</v>
      </c>
      <c r="AB11" s="328">
        <v>-3.4974803577480574960295121300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13</v>
      </c>
      <c r="C12" s="347" t="s">
        <v>48</v>
      </c>
      <c r="D12" s="378">
        <v>96.90151515151515151515151515</v>
      </c>
      <c r="E12" s="173">
        <v>112.65640503188246438016313357</v>
      </c>
      <c r="F12" s="379">
        <v>90.59373618838183012887214053</v>
      </c>
      <c r="G12" s="378">
        <v>14.083333333333333333333333333</v>
      </c>
      <c r="H12" s="173">
        <v>23.078425558630604351685849969</v>
      </c>
      <c r="I12" s="379">
        <v>36.631475274316674430060545716</v>
      </c>
      <c r="J12" s="378">
        <v>0</v>
      </c>
      <c r="K12" s="173">
        <v>0</v>
      </c>
      <c r="L12" s="379">
        <v>8.777290883250822935593431996</v>
      </c>
      <c r="M12" s="378">
        <v>110.98484848484848484848484848</v>
      </c>
      <c r="N12" s="173">
        <v>135.73483059051306873184898354</v>
      </c>
      <c r="O12" s="379">
        <v>136.00250234594932749452611824</v>
      </c>
      <c r="P12" s="4"/>
      <c r="Q12" s="359">
        <v>-23.001444738752347526518329840</v>
      </c>
      <c r="R12" s="170">
        <v>-14.173966536460178148026607510</v>
      </c>
      <c r="S12" s="360">
        <v>-7.5622807847893757553814919100</v>
      </c>
      <c r="T12" s="359">
        <v>0</v>
      </c>
      <c r="U12" s="170">
        <v>-30.900498057374764810030539630</v>
      </c>
      <c r="V12" s="360">
        <v>1.2618339853655068891696089600</v>
      </c>
      <c r="W12" s="359">
        <v>0</v>
      </c>
      <c r="X12" s="170">
        <v>-100</v>
      </c>
      <c r="Y12" s="360">
        <v>-4.7767801033501563730100865800</v>
      </c>
      <c r="Z12" s="359">
        <v>-11.810739224667492085332931920</v>
      </c>
      <c r="AA12" s="170">
        <v>-18.201481372916564430714004410</v>
      </c>
      <c r="AB12" s="360">
        <v>-5.1571663656474051223065020500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14</v>
      </c>
      <c r="C13" s="345" t="s">
        <v>50</v>
      </c>
      <c r="D13" s="370">
        <v>94.71212121212121212121212121</v>
      </c>
      <c r="E13" s="172">
        <v>111.50548589422503982820045277</v>
      </c>
      <c r="F13" s="371">
        <v>93.94522407584213538850204298</v>
      </c>
      <c r="G13" s="370">
        <v>14.083333333333333333333333333</v>
      </c>
      <c r="H13" s="172">
        <v>22.091029110615231226978637256</v>
      </c>
      <c r="I13" s="371">
        <v>47.86566356578504473673101394</v>
      </c>
      <c r="J13" s="370">
        <v>0</v>
      </c>
      <c r="K13" s="172">
        <v>0</v>
      </c>
      <c r="L13" s="371">
        <v>11.014990786065448380657882503</v>
      </c>
      <c r="M13" s="370">
        <v>108.79545454545454545454545455</v>
      </c>
      <c r="N13" s="172">
        <v>133.59651500484027105517909003</v>
      </c>
      <c r="O13" s="371">
        <v>152.82587842769262850589093942</v>
      </c>
      <c r="P13" s="4"/>
      <c r="Q13" s="327">
        <v>-26.333156561203040505818933050</v>
      </c>
      <c r="R13" s="171">
        <v>-8.685632229647262365583576740</v>
      </c>
      <c r="S13" s="328">
        <v>-7.7414961414019822045479793700</v>
      </c>
      <c r="T13" s="327">
        <v>0</v>
      </c>
      <c r="U13" s="171">
        <v>-9.580903399934823811374279390</v>
      </c>
      <c r="V13" s="328">
        <v>24.939664573831791555843364280</v>
      </c>
      <c r="W13" s="327">
        <v>0</v>
      </c>
      <c r="X13" s="171">
        <v>-100</v>
      </c>
      <c r="Y13" s="328">
        <v>12.354905691356263292815651050</v>
      </c>
      <c r="Z13" s="327">
        <v>-15.379176241836255375465181360</v>
      </c>
      <c r="AA13" s="171">
        <v>-9.329039809016858545765043770</v>
      </c>
      <c r="AB13" s="328">
        <v>1.9226329089460669425930896600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15</v>
      </c>
      <c r="C14" s="347" t="s">
        <v>51</v>
      </c>
      <c r="D14" s="378">
        <v>122.47727272727272727272727273</v>
      </c>
      <c r="E14" s="173">
        <v>134.70154353865262420602376361</v>
      </c>
      <c r="F14" s="379">
        <v>108.19454016651391515178218676</v>
      </c>
      <c r="G14" s="378">
        <v>14.083333333333333333333333333</v>
      </c>
      <c r="H14" s="173">
        <v>10.790876596874965338990757206</v>
      </c>
      <c r="I14" s="379">
        <v>40.217475695780541069082221443</v>
      </c>
      <c r="J14" s="378">
        <v>0</v>
      </c>
      <c r="K14" s="173">
        <v>0</v>
      </c>
      <c r="L14" s="379">
        <v>11.852398693017815700728752044</v>
      </c>
      <c r="M14" s="378">
        <v>136.56060606060606060606060606</v>
      </c>
      <c r="N14" s="173">
        <v>145.49242013552758954501452081</v>
      </c>
      <c r="O14" s="379">
        <v>160.26441455531227192159316025</v>
      </c>
      <c r="P14" s="4"/>
      <c r="Q14" s="359">
        <v>-19.430878102288230956849663870</v>
      </c>
      <c r="R14" s="170">
        <v>-11.099780669395959314439644840</v>
      </c>
      <c r="S14" s="360">
        <v>-5.9433237520084545645110586800</v>
      </c>
      <c r="T14" s="359">
        <v>0</v>
      </c>
      <c r="U14" s="170">
        <v>-34.847332851567037946292870220</v>
      </c>
      <c r="V14" s="360">
        <v>14.884288754928079804440545190</v>
      </c>
      <c r="W14" s="359">
        <v>0</v>
      </c>
      <c r="X14" s="170">
        <v>-100</v>
      </c>
      <c r="Y14" s="360">
        <v>34.439563690079265788156029130</v>
      </c>
      <c r="Z14" s="359">
        <v>-10.166450712676912923125628810</v>
      </c>
      <c r="AA14" s="170">
        <v>-14.576305924960378166613468900</v>
      </c>
      <c r="AB14" s="360">
        <v>0.887669606700246792140869300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16</v>
      </c>
      <c r="C15" s="345" t="s">
        <v>52</v>
      </c>
      <c r="D15" s="370">
        <v>224.74242424242424242424242424</v>
      </c>
      <c r="E15" s="172">
        <v>187.43844640788933867587034412</v>
      </c>
      <c r="F15" s="371">
        <v>151.15986370702154912391566561</v>
      </c>
      <c r="G15" s="370">
        <v>0</v>
      </c>
      <c r="H15" s="172">
        <v>33.439481956099044673597226052</v>
      </c>
      <c r="I15" s="371">
        <v>35.785488914871304492376590016</v>
      </c>
      <c r="J15" s="370">
        <v>0</v>
      </c>
      <c r="K15" s="172">
        <v>0</v>
      </c>
      <c r="L15" s="371">
        <v>12.30196256943234709270576335</v>
      </c>
      <c r="M15" s="370">
        <v>224.74242424242424242424242424</v>
      </c>
      <c r="N15" s="172">
        <v>220.87792836398838334946757018</v>
      </c>
      <c r="O15" s="371">
        <v>199.24731519132520070899801898</v>
      </c>
      <c r="P15" s="4"/>
      <c r="Q15" s="327">
        <v>3.6004889121791039348136626400</v>
      </c>
      <c r="R15" s="171">
        <v>-12.822381636943495118687873030</v>
      </c>
      <c r="S15" s="328">
        <v>-3.79575243675381214699133900</v>
      </c>
      <c r="T15" s="327">
        <v>0</v>
      </c>
      <c r="U15" s="171">
        <v>187.85719443611888308296498597</v>
      </c>
      <c r="V15" s="328">
        <v>33.978740860758400815688185540</v>
      </c>
      <c r="W15" s="327">
        <v>0</v>
      </c>
      <c r="X15" s="171">
        <v>-100</v>
      </c>
      <c r="Y15" s="328">
        <v>31.244668709820302785271304960</v>
      </c>
      <c r="Z15" s="327">
        <v>3.6004889121791039348136626400</v>
      </c>
      <c r="AA15" s="171">
        <v>-3.285436289392706795533159900</v>
      </c>
      <c r="AB15" s="328">
        <v>3.1263285172797563496026946300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17</v>
      </c>
      <c r="C16" s="347" t="s">
        <v>53</v>
      </c>
      <c r="D16" s="378">
        <v>277.53030303030303030303030303</v>
      </c>
      <c r="E16" s="173">
        <v>222.41828348665764394424519119</v>
      </c>
      <c r="F16" s="379">
        <v>161.23236447585741437918262081</v>
      </c>
      <c r="G16" s="378">
        <v>0</v>
      </c>
      <c r="H16" s="173">
        <v>33.700883986720865252269813635</v>
      </c>
      <c r="I16" s="379">
        <v>23.801702949299834038396504991</v>
      </c>
      <c r="J16" s="378">
        <v>0</v>
      </c>
      <c r="K16" s="173">
        <v>0</v>
      </c>
      <c r="L16" s="379">
        <v>11.996899105965679327181587362</v>
      </c>
      <c r="M16" s="378">
        <v>277.53030303030303030303030303</v>
      </c>
      <c r="N16" s="173">
        <v>256.11916747337850919651500484</v>
      </c>
      <c r="O16" s="379">
        <v>197.03096653112292774476071317</v>
      </c>
      <c r="P16" s="4"/>
      <c r="Q16" s="359">
        <v>20.940213264651699027177949020</v>
      </c>
      <c r="R16" s="170">
        <v>-7.0236082153655956905135923700</v>
      </c>
      <c r="S16" s="360">
        <v>1.9442326022418415740314528100</v>
      </c>
      <c r="T16" s="359">
        <v>0</v>
      </c>
      <c r="U16" s="170">
        <v>462.04313261230747733793651432</v>
      </c>
      <c r="V16" s="360">
        <v>23.107228724744809782257127930</v>
      </c>
      <c r="W16" s="359">
        <v>0</v>
      </c>
      <c r="X16" s="170">
        <v>-100</v>
      </c>
      <c r="Y16" s="360">
        <v>23.769811189864327731315090880</v>
      </c>
      <c r="Z16" s="359">
        <v>20.940213264651699027177949020</v>
      </c>
      <c r="AA16" s="170">
        <v>3.9047679079163923529746577500</v>
      </c>
      <c r="AB16" s="360">
        <v>5.2603273966897101148509983500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18</v>
      </c>
      <c r="C17" s="345" t="s">
        <v>49</v>
      </c>
      <c r="D17" s="370">
        <v>153.78030303030303030303030303</v>
      </c>
      <c r="E17" s="172">
        <v>160.46120455000852046482112656</v>
      </c>
      <c r="F17" s="371">
        <v>100.08443900562048850702224377</v>
      </c>
      <c r="G17" s="370">
        <v>19.5</v>
      </c>
      <c r="H17" s="172">
        <v>43.755194288326426292197266463</v>
      </c>
      <c r="I17" s="371">
        <v>25.154179622797668347140990592</v>
      </c>
      <c r="J17" s="370">
        <v>0</v>
      </c>
      <c r="K17" s="172">
        <v>0</v>
      </c>
      <c r="L17" s="371">
        <v>11.48601905274126343569183811</v>
      </c>
      <c r="M17" s="370">
        <v>173.28030303030303030303030303</v>
      </c>
      <c r="N17" s="172">
        <v>204.21639883833494675701839303</v>
      </c>
      <c r="O17" s="371">
        <v>136.72463768115942028985507246</v>
      </c>
      <c r="P17" s="4"/>
      <c r="Q17" s="327">
        <v>-1.2982592628418357015001151100</v>
      </c>
      <c r="R17" s="171">
        <v>15.545048422124173869609593230</v>
      </c>
      <c r="S17" s="328">
        <v>0.9002889151585558239699706100</v>
      </c>
      <c r="T17" s="327">
        <v>0</v>
      </c>
      <c r="U17" s="171">
        <v>519.16552160136446628064669407</v>
      </c>
      <c r="V17" s="328">
        <v>50.621355174755426910511484450</v>
      </c>
      <c r="W17" s="327">
        <v>0</v>
      </c>
      <c r="X17" s="171">
        <v>-100</v>
      </c>
      <c r="Y17" s="328">
        <v>34.363838986502500179641360190</v>
      </c>
      <c r="Z17" s="327">
        <v>11.217543518450105522419225930</v>
      </c>
      <c r="AA17" s="171">
        <v>38.416720956911094144009252610</v>
      </c>
      <c r="AB17" s="328">
        <v>9.871804779823069288178691250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19</v>
      </c>
      <c r="C18" s="347" t="s">
        <v>47</v>
      </c>
      <c r="D18" s="378">
        <v>139.21969696969696969696969697</v>
      </c>
      <c r="E18" s="173">
        <v>156.79099417545310166524016184</v>
      </c>
      <c r="F18" s="379">
        <v>95.77543854192559071594864463</v>
      </c>
      <c r="G18" s="378">
        <v>35.825757575757575757575757576</v>
      </c>
      <c r="H18" s="173">
        <v>53.377573104314565324111241835</v>
      </c>
      <c r="I18" s="379">
        <v>30.036673841849867179634540056</v>
      </c>
      <c r="J18" s="378">
        <v>0</v>
      </c>
      <c r="K18" s="173">
        <v>0</v>
      </c>
      <c r="L18" s="379">
        <v>11.067149424169490493531610445</v>
      </c>
      <c r="M18" s="378">
        <v>175.04545454545454545454545455</v>
      </c>
      <c r="N18" s="173">
        <v>210.16856727976766698935140368</v>
      </c>
      <c r="O18" s="379">
        <v>136.87926180794494838911479512</v>
      </c>
      <c r="P18" s="4"/>
      <c r="Q18" s="359">
        <v>5.2821541106086396898486333600</v>
      </c>
      <c r="R18" s="170">
        <v>29.676432433335238106719676160</v>
      </c>
      <c r="S18" s="360">
        <v>-0.2197730950271941118139447700</v>
      </c>
      <c r="T18" s="359">
        <v>0</v>
      </c>
      <c r="U18" s="170">
        <v>281.58375576404200736797749772</v>
      </c>
      <c r="V18" s="360">
        <v>21.718695047249714765777774970</v>
      </c>
      <c r="W18" s="359">
        <v>0</v>
      </c>
      <c r="X18" s="170">
        <v>-100</v>
      </c>
      <c r="Y18" s="360">
        <v>30.540983149274751527690218820</v>
      </c>
      <c r="Z18" s="359">
        <v>32.374677742815651557579720440</v>
      </c>
      <c r="AA18" s="170">
        <v>54.336364126268131037108607460</v>
      </c>
      <c r="AB18" s="360">
        <v>5.9917525573285483037857343900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20</v>
      </c>
      <c r="C19" s="345" t="s">
        <v>48</v>
      </c>
      <c r="D19" s="370">
        <v>118.68939393939393939393939394</v>
      </c>
      <c r="E19" s="172">
        <v>146.38977248201438848920863309</v>
      </c>
      <c r="F19" s="371">
        <v>94.44702611790377366088021323</v>
      </c>
      <c r="G19" s="370">
        <v>62.295454545454545454545454545</v>
      </c>
      <c r="H19" s="172">
        <v>58.140227517985611510791366904</v>
      </c>
      <c r="I19" s="371">
        <v>33.920145132901164737258847651</v>
      </c>
      <c r="J19" s="370">
        <v>0</v>
      </c>
      <c r="K19" s="172">
        <v>0</v>
      </c>
      <c r="L19" s="371">
        <v>10.377693726778212472468800651</v>
      </c>
      <c r="M19" s="370">
        <v>180.98484848484848484848484848</v>
      </c>
      <c r="N19" s="172">
        <v>204.530000000</v>
      </c>
      <c r="O19" s="371">
        <v>138.74486497758315087060786154</v>
      </c>
      <c r="P19" s="4"/>
      <c r="Q19" s="327">
        <v>12.091292838195747427514964610</v>
      </c>
      <c r="R19" s="171">
        <v>36.938546503222580098578043680</v>
      </c>
      <c r="S19" s="328">
        <v>-2.714946158140490524397111100</v>
      </c>
      <c r="T19" s="327">
        <v>0</v>
      </c>
      <c r="U19" s="171">
        <v>255.99012559238490412379430955</v>
      </c>
      <c r="V19" s="328">
        <v>19.336590957999820572633395880</v>
      </c>
      <c r="W19" s="327">
        <v>0</v>
      </c>
      <c r="X19" s="171">
        <v>-100</v>
      </c>
      <c r="Y19" s="328">
        <v>12.997080387945239370654420030</v>
      </c>
      <c r="Z19" s="327">
        <v>70.923660299004047108146582280</v>
      </c>
      <c r="AA19" s="171">
        <v>64.900434722276571682883592350</v>
      </c>
      <c r="AB19" s="328">
        <v>3.0099547371032174883433627900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21</v>
      </c>
      <c r="C20" s="347" t="s">
        <v>50</v>
      </c>
      <c r="D20" s="378">
        <v>111.95454545454545454545454545</v>
      </c>
      <c r="E20" s="173">
        <v>114.43535437832428728368339189</v>
      </c>
      <c r="F20" s="379">
        <v>93.38382123004202001541699475</v>
      </c>
      <c r="G20" s="378">
        <v>63.325757575757575757575757576</v>
      </c>
      <c r="H20" s="173">
        <v>57.877888603282682706636066</v>
      </c>
      <c r="I20" s="379">
        <v>30.85891476572046803681987414</v>
      </c>
      <c r="J20" s="378">
        <v>0</v>
      </c>
      <c r="K20" s="173">
        <v>0</v>
      </c>
      <c r="L20" s="379">
        <v>10.260965390954225533416347678</v>
      </c>
      <c r="M20" s="378">
        <v>175.28030303030303030303030303</v>
      </c>
      <c r="N20" s="173">
        <v>172.31324298160696999031945789</v>
      </c>
      <c r="O20" s="379">
        <v>134.50370138671671358565321656</v>
      </c>
      <c r="P20" s="4"/>
      <c r="Q20" s="359">
        <v>-14.809477143043456407480867520</v>
      </c>
      <c r="R20" s="170">
        <v>23.161363094043974107669074260</v>
      </c>
      <c r="S20" s="360">
        <v>-2.8168570695882606258314100</v>
      </c>
      <c r="T20" s="359">
        <v>0</v>
      </c>
      <c r="U20" s="170">
        <v>598.37345072556630380639237243</v>
      </c>
      <c r="V20" s="360">
        <v>30.131270496292805385996939180</v>
      </c>
      <c r="W20" s="359">
        <v>0</v>
      </c>
      <c r="X20" s="170">
        <v>-100</v>
      </c>
      <c r="Y20" s="360">
        <v>4.5523651182814518166010121900</v>
      </c>
      <c r="Z20" s="359">
        <v>33.377529255745266551638595770</v>
      </c>
      <c r="AA20" s="170">
        <v>68.932644023267040958445105830</v>
      </c>
      <c r="AB20" s="360">
        <v>3.7689684739371464167117203700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22</v>
      </c>
      <c r="C21" s="345" t="s">
        <v>51</v>
      </c>
      <c r="D21" s="370">
        <v>125.95454545454545454545454545</v>
      </c>
      <c r="E21" s="172">
        <v>128.25909517106769831359008603</v>
      </c>
      <c r="F21" s="371">
        <v>99.43130425510311532069053134</v>
      </c>
      <c r="G21" s="370">
        <v>53.515151515151515151515151515</v>
      </c>
      <c r="H21" s="172">
        <v>48.930169107731914464725499642</v>
      </c>
      <c r="I21" s="371">
        <v>30.425611516978787894742936577</v>
      </c>
      <c r="J21" s="370">
        <v>0</v>
      </c>
      <c r="K21" s="172">
        <v>0</v>
      </c>
      <c r="L21" s="371">
        <v>11.49164016577650570960041801</v>
      </c>
      <c r="M21" s="370">
        <v>179.46969696969696969696969697</v>
      </c>
      <c r="N21" s="172">
        <v>177.18926427879961277831558567</v>
      </c>
      <c r="O21" s="371">
        <v>141.34855593785840892503388593</v>
      </c>
      <c r="P21" s="4"/>
      <c r="Q21" s="327">
        <v>-11.690657035116656660580220610</v>
      </c>
      <c r="R21" s="171">
        <v>0.1990765298893778119498432900</v>
      </c>
      <c r="S21" s="328">
        <v>-2.8068934759848437914071737800</v>
      </c>
      <c r="T21" s="327">
        <v>0</v>
      </c>
      <c r="U21" s="171">
        <v>177.94725391091557401816157140</v>
      </c>
      <c r="V21" s="328">
        <v>26.828310336425658984175757530</v>
      </c>
      <c r="W21" s="327">
        <v>0</v>
      </c>
      <c r="X21" s="171">
        <v>-100</v>
      </c>
      <c r="Y21" s="328">
        <v>28.435696368651338296861298590</v>
      </c>
      <c r="Z21" s="327">
        <v>25.829925107547600367548091770</v>
      </c>
      <c r="AA21" s="171">
        <v>20.630280187997605270159086570</v>
      </c>
      <c r="AB21" s="328">
        <v>4.5169580216532537273580613200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23</v>
      </c>
      <c r="C22" s="347" t="s">
        <v>52</v>
      </c>
      <c r="D22" s="378">
        <v>176.20454545454545454545454545</v>
      </c>
      <c r="E22" s="173">
        <v>187.15867314581927944323796145</v>
      </c>
      <c r="F22" s="379">
        <v>136.20647373696955110086121762</v>
      </c>
      <c r="G22" s="378">
        <v>4.2272727272727272727272727273</v>
      </c>
      <c r="H22" s="173">
        <v>19.326225208488561795871428673</v>
      </c>
      <c r="I22" s="379">
        <v>20.77188012309021971742322479</v>
      </c>
      <c r="J22" s="378">
        <v>0</v>
      </c>
      <c r="K22" s="173">
        <v>0</v>
      </c>
      <c r="L22" s="379">
        <v>12.663602140357286839936806681</v>
      </c>
      <c r="M22" s="378">
        <v>180.43181818181818181818181818</v>
      </c>
      <c r="N22" s="173">
        <v>206.48489835430784123910939013</v>
      </c>
      <c r="O22" s="379">
        <v>169.64195600041705765822124909</v>
      </c>
      <c r="P22" s="4"/>
      <c r="Q22" s="359">
        <v>-14.867684198979044556820163080</v>
      </c>
      <c r="R22" s="170">
        <v>-6.9261074830311155396182766300</v>
      </c>
      <c r="S22" s="360">
        <v>-8.418670675112197035267375280</v>
      </c>
      <c r="T22" s="359">
        <v>0</v>
      </c>
      <c r="U22" s="170">
        <v>-12.679897906460909360067318290</v>
      </c>
      <c r="V22" s="360">
        <v>33.055644025338038373709791440</v>
      </c>
      <c r="W22" s="359">
        <v>0</v>
      </c>
      <c r="X22" s="170">
        <v>-100</v>
      </c>
      <c r="Y22" s="360">
        <v>26.945579614907031902876637210</v>
      </c>
      <c r="Z22" s="359">
        <v>-12.825299220391414257267544780</v>
      </c>
      <c r="AA22" s="170">
        <v>-8.088531065752734530657157550</v>
      </c>
      <c r="AB22" s="360">
        <v>-2.6804564700183720065840230800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24</v>
      </c>
      <c r="C23" s="345" t="s">
        <v>53</v>
      </c>
      <c r="D23" s="370">
        <v>247.89393939393939393939393939</v>
      </c>
      <c r="E23" s="172">
        <v>253.0919651500484027105517909</v>
      </c>
      <c r="F23" s="371">
        <v>176.95311699214223408783775712</v>
      </c>
      <c r="G23" s="370">
        <v>2.1136363636363636363636363636</v>
      </c>
      <c r="H23" s="172">
        <v>19.022265246853823814133591481</v>
      </c>
      <c r="I23" s="371">
        <v>19.38882944249331322270110111</v>
      </c>
      <c r="J23" s="370">
        <v>0</v>
      </c>
      <c r="K23" s="172">
        <v>0</v>
      </c>
      <c r="L23" s="371">
        <v>12.535125820603739520865583431</v>
      </c>
      <c r="M23" s="370">
        <v>250.00757575757575757575757576</v>
      </c>
      <c r="N23" s="172">
        <v>272.11423039690222652468538238</v>
      </c>
      <c r="O23" s="371">
        <v>208.87707225523928683140444166</v>
      </c>
      <c r="P23" s="4"/>
      <c r="Q23" s="327">
        <v>-0.176937156789529546171137100</v>
      </c>
      <c r="R23" s="171">
        <v>-1.2220197758507389034095483500</v>
      </c>
      <c r="S23" s="328">
        <v>-5.5661755364380286925783302600</v>
      </c>
      <c r="T23" s="327">
        <v>0</v>
      </c>
      <c r="U23" s="171">
        <v>-12.837257714996221093358991030</v>
      </c>
      <c r="V23" s="328">
        <v>43.302397383109307764501476880</v>
      </c>
      <c r="W23" s="327">
        <v>0</v>
      </c>
      <c r="X23" s="171">
        <v>-100</v>
      </c>
      <c r="Y23" s="328">
        <v>38.494187554830670816146410340</v>
      </c>
      <c r="Z23" s="327">
        <v>0.6741915802453620025306003500</v>
      </c>
      <c r="AA23" s="171">
        <v>-2.4170469914229896579169232400</v>
      </c>
      <c r="AB23" s="328">
        <v>-0.5177763198830426125470507100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25</v>
      </c>
      <c r="C24" s="347" t="s">
        <v>49</v>
      </c>
      <c r="D24" s="378">
        <v>179.24242424242424242424242424</v>
      </c>
      <c r="E24" s="173">
        <v>164.08454516330737545853395593</v>
      </c>
      <c r="F24" s="379">
        <v>123.5903952714644123558677295</v>
      </c>
      <c r="G24" s="378">
        <v>0</v>
      </c>
      <c r="H24" s="173">
        <v>17.060053094195044676993633623</v>
      </c>
      <c r="I24" s="379">
        <v>12.695627802577206952330505442</v>
      </c>
      <c r="J24" s="378">
        <v>0</v>
      </c>
      <c r="K24" s="173">
        <v>0</v>
      </c>
      <c r="L24" s="379">
        <v>10.886847325291088438647766518</v>
      </c>
      <c r="M24" s="378">
        <v>179.24242424242424242424242424</v>
      </c>
      <c r="N24" s="173">
        <v>181.14459825750242013552758955</v>
      </c>
      <c r="O24" s="379">
        <v>147.17287039933270774684600146</v>
      </c>
      <c r="P24" s="4"/>
      <c r="Q24" s="359">
        <v>3.1206415620533695284279581500</v>
      </c>
      <c r="R24" s="170">
        <v>-9.090417285574797555270662360</v>
      </c>
      <c r="S24" s="360">
        <v>-10.200926114802234070902472770</v>
      </c>
      <c r="T24" s="359">
        <v>0</v>
      </c>
      <c r="U24" s="170">
        <v>-14.096952131714813591283375730</v>
      </c>
      <c r="V24" s="360">
        <v>16.273568855810497418469211480</v>
      </c>
      <c r="W24" s="359">
        <v>0</v>
      </c>
      <c r="X24" s="170">
        <v>-100</v>
      </c>
      <c r="Y24" s="360">
        <v>19.323011522978584088826886840</v>
      </c>
      <c r="Z24" s="359">
        <v>3.1206415620533695284279581500</v>
      </c>
      <c r="AA24" s="170">
        <v>-10.017114901160737409258267760</v>
      </c>
      <c r="AB24" s="360">
        <v>-6.6591523358361077531677160200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26</v>
      </c>
      <c r="C25" s="345" t="s">
        <v>47</v>
      </c>
      <c r="D25" s="370">
        <v>97.38636363636363636363636364</v>
      </c>
      <c r="E25" s="172">
        <v>88.83592908972359751262604151</v>
      </c>
      <c r="F25" s="371">
        <v>68.56671170269908418582969149</v>
      </c>
      <c r="G25" s="370">
        <v>0</v>
      </c>
      <c r="H25" s="172">
        <v>0.9061038241195777051861559695</v>
      </c>
      <c r="I25" s="371">
        <v>8.831575145420149545230279097</v>
      </c>
      <c r="J25" s="370">
        <v>0</v>
      </c>
      <c r="K25" s="172">
        <v>0</v>
      </c>
      <c r="L25" s="371">
        <v>10.67845176099347610107432198</v>
      </c>
      <c r="M25" s="370">
        <v>97.38636363636363636363636364</v>
      </c>
      <c r="N25" s="172">
        <v>89.74203291384317521781219748</v>
      </c>
      <c r="O25" s="371">
        <v>88.07673860911270983213429257</v>
      </c>
      <c r="P25" s="4"/>
      <c r="Q25" s="327">
        <v>-20.741106110109944248706836170</v>
      </c>
      <c r="R25" s="171">
        <v>-14.433614868439671628447483620</v>
      </c>
      <c r="S25" s="328">
        <v>-12.808384336410609998309418060</v>
      </c>
      <c r="T25" s="327">
        <v>0</v>
      </c>
      <c r="U25" s="171">
        <v>-51.300526185668107634132114370</v>
      </c>
      <c r="V25" s="328">
        <v>66.427609890010175938588129140</v>
      </c>
      <c r="W25" s="327">
        <v>0</v>
      </c>
      <c r="X25" s="171">
        <v>-100</v>
      </c>
      <c r="Y25" s="328">
        <v>34.735851359009496355578447880</v>
      </c>
      <c r="Z25" s="327">
        <v>-20.741106110109944248706836170</v>
      </c>
      <c r="AA25" s="171">
        <v>-15.592980953306743008652856270</v>
      </c>
      <c r="AB25" s="328">
        <v>-4.1301337081708305831348195500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27</v>
      </c>
      <c r="C26" s="347" t="s">
        <v>48</v>
      </c>
      <c r="D26" s="378">
        <v>79.204545454545454545454545455</v>
      </c>
      <c r="E26" s="173">
        <v>75.932961524135857423541820587</v>
      </c>
      <c r="F26" s="379">
        <v>71.437857768753775270830017661</v>
      </c>
      <c r="G26" s="378">
        <v>0</v>
      </c>
      <c r="H26" s="173">
        <v>2.8025079821564949481909964507</v>
      </c>
      <c r="I26" s="379">
        <v>11.958835152043129676165627313</v>
      </c>
      <c r="J26" s="378">
        <v>0</v>
      </c>
      <c r="K26" s="173">
        <v>0</v>
      </c>
      <c r="L26" s="379">
        <v>10.582662725121143223163879578</v>
      </c>
      <c r="M26" s="378">
        <v>79.204545454545454545454545455</v>
      </c>
      <c r="N26" s="173">
        <v>78.735469506292352371732817038</v>
      </c>
      <c r="O26" s="379">
        <v>93.97935564591804817015952455</v>
      </c>
      <c r="P26" s="4"/>
      <c r="Q26" s="359">
        <v>-21.538461538485091643815839370</v>
      </c>
      <c r="R26" s="170">
        <v>-26.274084353134106627759330760</v>
      </c>
      <c r="S26" s="360">
        <v>-16.402875242853966405301033080</v>
      </c>
      <c r="T26" s="359">
        <v>0</v>
      </c>
      <c r="U26" s="170">
        <v>27.926675512602794229462856930</v>
      </c>
      <c r="V26" s="360">
        <v>115.61076516705833994623845919</v>
      </c>
      <c r="W26" s="359">
        <v>0</v>
      </c>
      <c r="X26" s="170">
        <v>-100</v>
      </c>
      <c r="Y26" s="360">
        <v>27.161419982733369059818766620</v>
      </c>
      <c r="Z26" s="359">
        <v>-21.538461538485091643815839370</v>
      </c>
      <c r="AA26" s="170">
        <v>-25.484693685932195900212763530</v>
      </c>
      <c r="AB26" s="360">
        <v>-5.3806791713299037698359786800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28</v>
      </c>
      <c r="C27" s="345" t="s">
        <v>50</v>
      </c>
      <c r="D27" s="370">
        <v>92</v>
      </c>
      <c r="E27" s="172">
        <v>102.5324298160696999031945789</v>
      </c>
      <c r="F27" s="371">
        <v>84.80645893823764164680482724</v>
      </c>
      <c r="G27" s="370">
        <v>0</v>
      </c>
      <c r="H27" s="172">
        <v>12.280735721200387221684414327</v>
      </c>
      <c r="I27" s="371">
        <v>18.081656766879159016060509679</v>
      </c>
      <c r="J27" s="370">
        <v>0</v>
      </c>
      <c r="K27" s="172">
        <v>0</v>
      </c>
      <c r="L27" s="371">
        <v>7.849867821105699597795699463</v>
      </c>
      <c r="M27" s="370">
        <v>92.000000000</v>
      </c>
      <c r="N27" s="172">
        <v>114.81316553727008712487899322</v>
      </c>
      <c r="O27" s="371">
        <v>110.73798352622250026066103639</v>
      </c>
      <c r="P27" s="4"/>
      <c r="Q27" s="327">
        <v>-3.9088463364213094087890922800</v>
      </c>
      <c r="R27" s="171">
        <v>3.8390896044508081453958712500</v>
      </c>
      <c r="S27" s="328">
        <v>-6.2791683713806058115266355100</v>
      </c>
      <c r="T27" s="327">
        <v>0</v>
      </c>
      <c r="U27" s="171">
        <v>238.65415367824950685374543702</v>
      </c>
      <c r="V27" s="328">
        <v>104.17251365759297450511717695</v>
      </c>
      <c r="W27" s="327">
        <v>0</v>
      </c>
      <c r="X27" s="171">
        <v>-100</v>
      </c>
      <c r="Y27" s="328">
        <v>-24.970471481495631736417519860</v>
      </c>
      <c r="Z27" s="327">
        <v>-3.9088463364213094087890922800</v>
      </c>
      <c r="AA27" s="171">
        <v>10.774527854896339869009481410</v>
      </c>
      <c r="AB27" s="328">
        <v>0.8480054342399302669494669700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29</v>
      </c>
      <c r="C28" s="347" t="s">
        <v>51</v>
      </c>
      <c r="D28" s="378">
        <v>118.09090909090909090909090909</v>
      </c>
      <c r="E28" s="173">
        <v>121.88220196518908284670393155</v>
      </c>
      <c r="F28" s="379">
        <v>90.91562399195129072671722747</v>
      </c>
      <c r="G28" s="378">
        <v>0</v>
      </c>
      <c r="H28" s="173">
        <v>22.163480513029697404990163319</v>
      </c>
      <c r="I28" s="379">
        <v>19.167123965623801748232699322</v>
      </c>
      <c r="J28" s="378">
        <v>0</v>
      </c>
      <c r="K28" s="173">
        <v>0</v>
      </c>
      <c r="L28" s="379">
        <v>10.311580058273098537457538539</v>
      </c>
      <c r="M28" s="378">
        <v>118.09090909090909090909090909</v>
      </c>
      <c r="N28" s="173">
        <v>144.04568247821878025169409487</v>
      </c>
      <c r="O28" s="379">
        <v>120.39432801584819101240746533</v>
      </c>
      <c r="P28" s="4"/>
      <c r="Q28" s="359">
        <v>4.6455424274832645619726794700</v>
      </c>
      <c r="R28" s="170">
        <v>-11.866817004205102937883953370</v>
      </c>
      <c r="S28" s="360">
        <v>-13.898479557493799214325684330</v>
      </c>
      <c r="T28" s="359">
        <v>0</v>
      </c>
      <c r="U28" s="170">
        <v>45.81195578994169462555875200</v>
      </c>
      <c r="V28" s="360">
        <v>51.639573914092568386708287710</v>
      </c>
      <c r="W28" s="359">
        <v>0</v>
      </c>
      <c r="X28" s="170">
        <v>-100</v>
      </c>
      <c r="Y28" s="360">
        <v>16.790043233221800771785824560</v>
      </c>
      <c r="Z28" s="359">
        <v>4.6455424274832645619726794700</v>
      </c>
      <c r="AA28" s="170">
        <v>-7.1284020493334999892018487300</v>
      </c>
      <c r="AB28" s="360">
        <v>-5.2462886415767751139109014900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30</v>
      </c>
      <c r="C29" s="345" t="s">
        <v>52</v>
      </c>
      <c r="D29" s="370">
        <v>162.46212121212121212121212121</v>
      </c>
      <c r="E29" s="172">
        <v>202.84370848990999554613243007</v>
      </c>
      <c r="F29" s="371">
        <v>130.89968522033604976324414163</v>
      </c>
      <c r="G29" s="370">
        <v>0</v>
      </c>
      <c r="H29" s="172">
        <v>43.866523843100653050188963936</v>
      </c>
      <c r="I29" s="371">
        <v>21.634909107998302775975475379</v>
      </c>
      <c r="J29" s="370">
        <v>0</v>
      </c>
      <c r="K29" s="172">
        <v>0</v>
      </c>
      <c r="L29" s="371">
        <v>9.526504618595060452126436583</v>
      </c>
      <c r="M29" s="370">
        <v>162.46212121212121212121212121</v>
      </c>
      <c r="N29" s="172">
        <v>246.710232333010648596321394</v>
      </c>
      <c r="O29" s="371">
        <v>162.06109894692941299134605359</v>
      </c>
      <c r="P29" s="4"/>
      <c r="Q29" s="327">
        <v>-24.284150690258154787216868990</v>
      </c>
      <c r="R29" s="171">
        <v>3.9983183136151499897850821800</v>
      </c>
      <c r="S29" s="328">
        <v>-10.258611460755615117826073650</v>
      </c>
      <c r="T29" s="327">
        <v>0</v>
      </c>
      <c r="U29" s="171">
        <v>43.973415638350334359137535740</v>
      </c>
      <c r="V29" s="328">
        <v>37.400261884579976440969607740</v>
      </c>
      <c r="W29" s="327">
        <v>0</v>
      </c>
      <c r="X29" s="171">
        <v>-100</v>
      </c>
      <c r="Y29" s="328">
        <v>19.856273986812175489490507900</v>
      </c>
      <c r="Z29" s="327">
        <v>-24.284150690258154787216868990</v>
      </c>
      <c r="AA29" s="171">
        <v>9.090167001696625202109243290</v>
      </c>
      <c r="AB29" s="328">
        <v>-4.4211001572661557466514763600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31</v>
      </c>
      <c r="C30" s="347" t="s">
        <v>53</v>
      </c>
      <c r="D30" s="378">
        <v>172.89393939393939393939393939</v>
      </c>
      <c r="E30" s="173">
        <v>191.30004912740412125536452988</v>
      </c>
      <c r="F30" s="379">
        <v>138.0529315576629730676771151</v>
      </c>
      <c r="G30" s="378">
        <v>0</v>
      </c>
      <c r="H30" s="173">
        <v>41.749263554106043313851346218</v>
      </c>
      <c r="I30" s="379">
        <v>17.607473846638483075300597153</v>
      </c>
      <c r="J30" s="378">
        <v>0</v>
      </c>
      <c r="K30" s="173">
        <v>0</v>
      </c>
      <c r="L30" s="379">
        <v>11.484834925174093851809067021</v>
      </c>
      <c r="M30" s="378">
        <v>172.89393939393939393939393939</v>
      </c>
      <c r="N30" s="173">
        <v>233.04931268151016456921587609</v>
      </c>
      <c r="O30" s="379">
        <v>167.14524032947554999478677927</v>
      </c>
      <c r="P30" s="4"/>
      <c r="Q30" s="359">
        <v>-25.969897495797462716200376780</v>
      </c>
      <c r="R30" s="170">
        <v>-7.6418614438539059007092693900</v>
      </c>
      <c r="S30" s="360">
        <v>-6.7796229790988785634641966200</v>
      </c>
      <c r="T30" s="359">
        <v>0</v>
      </c>
      <c r="U30" s="170">
        <v>40.091072186649261054383533060</v>
      </c>
      <c r="V30" s="360">
        <v>16.964535480974530561401355730</v>
      </c>
      <c r="W30" s="359">
        <v>0</v>
      </c>
      <c r="X30" s="170">
        <v>-100</v>
      </c>
      <c r="Y30" s="360">
        <v>0.143524006643294592607710600</v>
      </c>
      <c r="Z30" s="359">
        <v>-25.969897495797462716200376780</v>
      </c>
      <c r="AA30" s="170">
        <v>-2.1655697576705090058540068900</v>
      </c>
      <c r="AB30" s="360">
        <v>-4.277925030787503870692112700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t="s">
        <v>181</v>
      </c>
      <c r="B31" s="660">
        <v>1</v>
      </c>
      <c r="C31" s="667" t="s">
        <v>49</v>
      </c>
      <c r="D31" s="668">
        <v>110.84090909090909090909090909</v>
      </c>
      <c r="E31" s="669">
        <v>111.17092895527925001204517937</v>
      </c>
      <c r="F31" s="670">
        <v>78.718840237741891932298752953</v>
      </c>
      <c r="G31" s="668">
        <v>0</v>
      </c>
      <c r="H31" s="669">
        <v>31.303156233491321139939331762</v>
      </c>
      <c r="I31" s="670">
        <v>10.97124544618191829359616139</v>
      </c>
      <c r="J31" s="668">
        <v>0</v>
      </c>
      <c r="K31" s="669">
        <v>0</v>
      </c>
      <c r="L31" s="670">
        <v>10.775152162390878744308953928</v>
      </c>
      <c r="M31" s="668">
        <v>110.84090909090909090909090909</v>
      </c>
      <c r="N31" s="669">
        <v>142.47408518877057115198451113</v>
      </c>
      <c r="O31" s="670">
        <v>100.46523784631468897020386827</v>
      </c>
      <c r="P31" s="4"/>
      <c r="Q31" s="662">
        <v>4.016778046358823647265540100</v>
      </c>
      <c r="R31" s="663">
        <v>-12.547967440823354633096803190</v>
      </c>
      <c r="S31" s="664">
        <v>-16.544577110580161291665321910</v>
      </c>
      <c r="T31" s="662">
        <v>0</v>
      </c>
      <c r="U31" s="663">
        <v>37.325810399688497141791432440</v>
      </c>
      <c r="V31" s="664">
        <v>23.483084527174227650836064540</v>
      </c>
      <c r="W31" s="662">
        <v>0</v>
      </c>
      <c r="X31" s="663">
        <v>-100</v>
      </c>
      <c r="Y31" s="664">
        <v>-1.4746738085753453990046892900</v>
      </c>
      <c r="Z31" s="662">
        <v>4.016778046358823647265540100</v>
      </c>
      <c r="AA31" s="663">
        <v>-5.6682236326919115407909799400</v>
      </c>
      <c r="AB31" s="664">
        <v>-11.985057749491963936024385810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v>
      </c>
      <c r="C32" s="347" t="s">
        <v>47</v>
      </c>
      <c r="D32" s="378">
        <v>94.62878787878787878787878788</v>
      </c>
      <c r="E32" s="173">
        <v>95.23804991182046578065771608</v>
      </c>
      <c r="F32" s="379">
        <v>75.933947994327125020897176979</v>
      </c>
      <c r="G32" s="378">
        <v>0</v>
      </c>
      <c r="H32" s="173">
        <v>15.690207590599669746931828933</v>
      </c>
      <c r="I32" s="379">
        <v>17.818914780893557958023587811</v>
      </c>
      <c r="J32" s="378">
        <v>0</v>
      </c>
      <c r="K32" s="173">
        <v>0</v>
      </c>
      <c r="L32" s="379">
        <v>10.704847627288464956259580224</v>
      </c>
      <c r="M32" s="378">
        <v>94.62878787878787878787878788</v>
      </c>
      <c r="N32" s="173">
        <v>110.92825750242013552758954501</v>
      </c>
      <c r="O32" s="379">
        <v>104.45771040250914793518034501</v>
      </c>
      <c r="P32" s="4"/>
      <c r="Q32" s="359">
        <v>19.257208325354352261156128630</v>
      </c>
      <c r="R32" s="170">
        <v>1.2314841566143669592370448700</v>
      </c>
      <c r="S32" s="360">
        <v>-3.499152276438533006077007700</v>
      </c>
      <c r="T32" s="359">
        <v>-100</v>
      </c>
      <c r="U32" s="170">
        <v>58.683845378467151859919105350</v>
      </c>
      <c r="V32" s="360">
        <v>13.517465390750215615467804790</v>
      </c>
      <c r="W32" s="359">
        <v>0</v>
      </c>
      <c r="X32" s="170">
        <v>-100</v>
      </c>
      <c r="Y32" s="360">
        <v>2.2049750962775129945525883600</v>
      </c>
      <c r="Z32" s="359">
        <v>13.688905069693966414166382220</v>
      </c>
      <c r="AA32" s="170">
        <v>5.8820893245369192209704661500</v>
      </c>
      <c r="AB32" s="360">
        <v>-0.3820365016170113743690351100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3</v>
      </c>
      <c r="C33" s="345" t="s">
        <v>48</v>
      </c>
      <c r="D33" s="370">
        <v>91.42424242424242424242424242</v>
      </c>
      <c r="E33" s="172">
        <v>88.69566667810449999485098697</v>
      </c>
      <c r="F33" s="371">
        <v>73.251236735915290426577399267</v>
      </c>
      <c r="G33" s="370">
        <v>0</v>
      </c>
      <c r="H33" s="172">
        <v>5.5808096045673296276078707297</v>
      </c>
      <c r="I33" s="371">
        <v>18.618919915250409330219206788</v>
      </c>
      <c r="J33" s="370">
        <v>0</v>
      </c>
      <c r="K33" s="172">
        <v>0</v>
      </c>
      <c r="L33" s="371">
        <v>10.000517682341879960924251237</v>
      </c>
      <c r="M33" s="370">
        <v>91.42424242424242424242424242</v>
      </c>
      <c r="N33" s="172">
        <v>94.2764762826718296224588577</v>
      </c>
      <c r="O33" s="371">
        <v>101.87067433350757971772085729</v>
      </c>
      <c r="P33" s="4"/>
      <c r="Q33" s="327">
        <v>23.130292827262524232221201910</v>
      </c>
      <c r="R33" s="171">
        <v>-7.5025280457696438023602699600</v>
      </c>
      <c r="S33" s="328">
        <v>-12.923648950518510961656119890</v>
      </c>
      <c r="T33" s="327">
        <v>-100</v>
      </c>
      <c r="U33" s="171">
        <v>3.3158303559798627003217399500</v>
      </c>
      <c r="V33" s="328">
        <v>-7.8765444668266138357134545900</v>
      </c>
      <c r="W33" s="327">
        <v>0</v>
      </c>
      <c r="X33" s="171">
        <v>-100</v>
      </c>
      <c r="Y33" s="328">
        <v>4.0989288076486177322444581600</v>
      </c>
      <c r="Z33" s="327">
        <v>-11.192876591386800242375042520</v>
      </c>
      <c r="AA33" s="171">
        <v>-7.6537130873481949586790913500</v>
      </c>
      <c r="AB33" s="328">
        <v>-10.593155699783791848732768140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4</v>
      </c>
      <c r="C34" s="347" t="s">
        <v>50</v>
      </c>
      <c r="D34" s="378">
        <v>80.4469696969696969696969697</v>
      </c>
      <c r="E34" s="173">
        <v>85.34389314696274394397730908</v>
      </c>
      <c r="F34" s="379">
        <v>77.390820185667678206751335106</v>
      </c>
      <c r="G34" s="378">
        <v>0</v>
      </c>
      <c r="H34" s="173">
        <v>6.4917893312560363077167857838</v>
      </c>
      <c r="I34" s="379">
        <v>20.968242467316919598372340432</v>
      </c>
      <c r="J34" s="378">
        <v>0</v>
      </c>
      <c r="K34" s="173">
        <v>0</v>
      </c>
      <c r="L34" s="379">
        <v>10.293524905823556925665660588</v>
      </c>
      <c r="M34" s="378">
        <v>80.4469696969696969696969697</v>
      </c>
      <c r="N34" s="173">
        <v>91.83568247821878025169409487</v>
      </c>
      <c r="O34" s="379">
        <v>108.65258755880815473078933612</v>
      </c>
      <c r="P34" s="4"/>
      <c r="Q34" s="359">
        <v>-5.5417185554541555273399752400</v>
      </c>
      <c r="R34" s="170">
        <v>-27.025600541472147527347816690</v>
      </c>
      <c r="S34" s="360">
        <v>-22.242280422656898429964392020</v>
      </c>
      <c r="T34" s="359">
        <v>-100</v>
      </c>
      <c r="U34" s="170">
        <v>-4.4589215626139851395343137800</v>
      </c>
      <c r="V34" s="360">
        <v>-28.391003137811904967168632770</v>
      </c>
      <c r="W34" s="359">
        <v>0</v>
      </c>
      <c r="X34" s="170">
        <v>-100</v>
      </c>
      <c r="Y34" s="360">
        <v>0.1435978230584538026693718300</v>
      </c>
      <c r="Z34" s="359">
        <v>-29.017379679123507785467121880</v>
      </c>
      <c r="AA34" s="170">
        <v>-26.167687287332178810729876180</v>
      </c>
      <c r="AB34" s="360">
        <v>-21.882402410770903387842591350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5</v>
      </c>
      <c r="C35" s="345" t="s">
        <v>51</v>
      </c>
      <c r="D35" s="370">
        <v>115.79545454545454545454545455</v>
      </c>
      <c r="E35" s="172">
        <v>104.97951117110378524658411254</v>
      </c>
      <c r="F35" s="371">
        <v>84.51260973588428353226176683</v>
      </c>
      <c r="G35" s="370">
        <v>0</v>
      </c>
      <c r="H35" s="172">
        <v>15.935116128024965963483651254</v>
      </c>
      <c r="I35" s="371">
        <v>28.766448315184753820457454066</v>
      </c>
      <c r="J35" s="370">
        <v>0</v>
      </c>
      <c r="K35" s="172">
        <v>0</v>
      </c>
      <c r="L35" s="371">
        <v>10.748438028387313927991704352</v>
      </c>
      <c r="M35" s="370">
        <v>115.79545454545454545454545455</v>
      </c>
      <c r="N35" s="172">
        <v>120.91462729912875121006776379</v>
      </c>
      <c r="O35" s="371">
        <v>124.02749607945635128071092525</v>
      </c>
      <c r="P35" s="4"/>
      <c r="Q35" s="327">
        <v>-1.9752453023893310849429985900</v>
      </c>
      <c r="R35" s="171">
        <v>-24.267163392474379933418188200</v>
      </c>
      <c r="S35" s="328">
        <v>-17.835141021098031901293519700</v>
      </c>
      <c r="T35" s="327">
        <v>-100</v>
      </c>
      <c r="U35" s="171">
        <v>41.709868500189568911752944310</v>
      </c>
      <c r="V35" s="328">
        <v>-5.9341161443932348155355808800</v>
      </c>
      <c r="W35" s="327">
        <v>0</v>
      </c>
      <c r="X35" s="171">
        <v>-100</v>
      </c>
      <c r="Y35" s="328">
        <v>24.555057517978507091366762610</v>
      </c>
      <c r="Z35" s="327">
        <v>-21.134100407638493836113576410</v>
      </c>
      <c r="AA35" s="171">
        <v>-19.744310980670549306607019870</v>
      </c>
      <c r="AB35" s="328">
        <v>-12.698501627110754631609085370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6</v>
      </c>
      <c r="C36" s="347" t="s">
        <v>52</v>
      </c>
      <c r="D36" s="378">
        <v>162.93939393939393939393939394</v>
      </c>
      <c r="E36" s="173">
        <v>146.27159315302199345481226186</v>
      </c>
      <c r="F36" s="379">
        <v>110.22912558509429626265671027</v>
      </c>
      <c r="G36" s="378">
        <v>0</v>
      </c>
      <c r="H36" s="173">
        <v>18.347477514935412159902162152</v>
      </c>
      <c r="I36" s="379">
        <v>27.203679365877849936844367353</v>
      </c>
      <c r="J36" s="378">
        <v>0</v>
      </c>
      <c r="K36" s="173">
        <v>0</v>
      </c>
      <c r="L36" s="379">
        <v>11.000754902660890914978796923</v>
      </c>
      <c r="M36" s="378">
        <v>162.93939393939393939393939394</v>
      </c>
      <c r="N36" s="173">
        <v>164.61907066795740561471442401</v>
      </c>
      <c r="O36" s="379">
        <v>148.43355985363303711447987454</v>
      </c>
      <c r="P36" s="4"/>
      <c r="Q36" s="359">
        <v>-0.9395725865588620700328839700</v>
      </c>
      <c r="R36" s="170">
        <v>-8.790467810665436720249253570</v>
      </c>
      <c r="S36" s="360">
        <v>-9.714535156597555617959451600</v>
      </c>
      <c r="T36" s="359">
        <v>-100</v>
      </c>
      <c r="U36" s="170">
        <v>45.311298983288240742405600240</v>
      </c>
      <c r="V36" s="360">
        <v>1.6921810481445783246458280300</v>
      </c>
      <c r="W36" s="359">
        <v>0</v>
      </c>
      <c r="X36" s="170">
        <v>-100</v>
      </c>
      <c r="Y36" s="360">
        <v>16.80241710985392066692500400</v>
      </c>
      <c r="Z36" s="359">
        <v>-5.217697867094735535103097400</v>
      </c>
      <c r="AA36" s="170">
        <v>-5.1919137360558624630332360800</v>
      </c>
      <c r="AB36" s="360">
        <v>-6.2083505191638702117704203800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7</v>
      </c>
      <c r="C37" s="349" t="s">
        <v>53</v>
      </c>
      <c r="D37" s="380">
        <v>178.40909090909090909090909091</v>
      </c>
      <c r="E37" s="383">
        <v>156.72532197171305209060139643</v>
      </c>
      <c r="F37" s="381">
        <v>119.95887321311091917505998013</v>
      </c>
      <c r="G37" s="380">
        <v>0</v>
      </c>
      <c r="H37" s="383">
        <v>25.798685772720636195942650047</v>
      </c>
      <c r="I37" s="381">
        <v>30.597315950721638233815714524</v>
      </c>
      <c r="J37" s="380">
        <v>0</v>
      </c>
      <c r="K37" s="383">
        <v>0</v>
      </c>
      <c r="L37" s="381">
        <v>11.461479419544337520554519671</v>
      </c>
      <c r="M37" s="380">
        <v>178.40909090909090909090909091</v>
      </c>
      <c r="N37" s="383">
        <v>182.52400774443368828654404647</v>
      </c>
      <c r="O37" s="381">
        <v>162.01766858337689492943021432</v>
      </c>
      <c r="P37" s="4"/>
      <c r="Q37" s="329">
        <v>10.532244438180200943709480140</v>
      </c>
      <c r="R37" s="330">
        <v>3.7595241517915224549854352300</v>
      </c>
      <c r="S37" s="332">
        <v>-8.685037657591635075928601990</v>
      </c>
      <c r="T37" s="329">
        <v>-100</v>
      </c>
      <c r="U37" s="330">
        <v>69.034655634370655544123499650</v>
      </c>
      <c r="V37" s="332">
        <v>17.56285943454956390891844700</v>
      </c>
      <c r="W37" s="329">
        <v>0</v>
      </c>
      <c r="X37" s="330">
        <v>-100</v>
      </c>
      <c r="Y37" s="332">
        <v>12.849803767459708461198225620</v>
      </c>
      <c r="Z37" s="329">
        <v>4.988631804210778508150778200</v>
      </c>
      <c r="AA37" s="330">
        <v>9.225375060268811328630079940</v>
      </c>
      <c r="AB37" s="332">
        <v>-3.3024775841863383417283340400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134.57954545454545454545454545</v>
      </c>
      <c r="E39" s="382">
        <v>132.34066381747489380469378608</v>
      </c>
      <c r="F39" s="375">
        <v>95.08357922526222289605353337</v>
      </c>
      <c r="G39" s="374">
        <v>5.4299242424242424242424242424</v>
      </c>
      <c r="H39" s="382">
        <v>27.466402978265667666748614693</v>
      </c>
      <c r="I39" s="375">
        <v>15.120605503547713888603284599</v>
      </c>
      <c r="J39" s="374">
        <v>0</v>
      </c>
      <c r="K39" s="382">
        <v>0</v>
      </c>
      <c r="L39" s="375">
        <v>11.182116069353765025557590718</v>
      </c>
      <c r="M39" s="374">
        <v>140.0094696969696969696969697</v>
      </c>
      <c r="N39" s="382">
        <v>159.80706679574056147144240078</v>
      </c>
      <c r="O39" s="375">
        <v>121.38630079816370181021440868</v>
      </c>
      <c r="P39" s="4"/>
      <c r="Q39" s="354">
        <v>-5.040759053865557582888802300</v>
      </c>
      <c r="R39" s="355">
        <v>-7.892640918618677351249384200</v>
      </c>
      <c r="S39" s="356">
        <v>-9.313484883424773395714856360</v>
      </c>
      <c r="T39" s="354">
        <v>0</v>
      </c>
      <c r="U39" s="355">
        <v>93.84275656843392109386190868</v>
      </c>
      <c r="V39" s="356">
        <v>16.522270307467652703098757910</v>
      </c>
      <c r="W39" s="354">
        <v>0</v>
      </c>
      <c r="X39" s="355">
        <v>-100</v>
      </c>
      <c r="Y39" s="356">
        <v>17.016747353403990649002704890</v>
      </c>
      <c r="Z39" s="354">
        <v>-1.2094079914578421052528175500</v>
      </c>
      <c r="AA39" s="355">
        <v>0.5023176833432121465851682100</v>
      </c>
      <c r="AB39" s="356">
        <v>-4.7062801968686184879922371700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102.89772727272727272727272727</v>
      </c>
      <c r="E40" s="172">
        <v>108.04137480648468634183192643</v>
      </c>
      <c r="F40" s="371">
        <v>80.06473423789010832646444979</v>
      </c>
      <c r="G40" s="370">
        <v>12.477272727272727272727272727</v>
      </c>
      <c r="H40" s="172">
        <v>22.465662947629544055070300092</v>
      </c>
      <c r="I40" s="371">
        <v>21.47812667566642512128912907</v>
      </c>
      <c r="J40" s="370">
        <v>0</v>
      </c>
      <c r="K40" s="172">
        <v>0</v>
      </c>
      <c r="L40" s="371">
        <v>10.855594926602055941364267666</v>
      </c>
      <c r="M40" s="370">
        <v>115.375000000</v>
      </c>
      <c r="N40" s="172">
        <v>130.50703775411423039690222652</v>
      </c>
      <c r="O40" s="371">
        <v>112.39845584015858938911784652</v>
      </c>
      <c r="P40" s="4"/>
      <c r="Q40" s="327">
        <v>-9.904979851727155062100805450</v>
      </c>
      <c r="R40" s="171">
        <v>-1.7160440620987450268237765500</v>
      </c>
      <c r="S40" s="328">
        <v>-6.0318077290214426812644592500</v>
      </c>
      <c r="T40" s="327">
        <v>1184.2105263037734687597307745</v>
      </c>
      <c r="U40" s="171">
        <v>98.18531304245028175217593053</v>
      </c>
      <c r="V40" s="328">
        <v>17.142138128819940346412995200</v>
      </c>
      <c r="W40" s="327">
        <v>0</v>
      </c>
      <c r="X40" s="171">
        <v>-100</v>
      </c>
      <c r="Y40" s="328">
        <v>19.677307305105848927456284140</v>
      </c>
      <c r="Z40" s="327">
        <v>0.1677190213259933258123640100</v>
      </c>
      <c r="AA40" s="171">
        <v>6.8486347656662250036472087700</v>
      </c>
      <c r="AB40" s="328">
        <v>-0.187767393164174793577635400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96.55492424242424242424242424</v>
      </c>
      <c r="E41" s="173">
        <v>105.91870142903430257194114356</v>
      </c>
      <c r="F41" s="379">
        <v>82.43869071205416134123476311</v>
      </c>
      <c r="G41" s="378">
        <v>19.09469696969696969696969697</v>
      </c>
      <c r="H41" s="173">
        <v>22.400492665835010109569021012</v>
      </c>
      <c r="I41" s="379">
        <v>25.286862858214881251536635878</v>
      </c>
      <c r="J41" s="378">
        <v>0</v>
      </c>
      <c r="K41" s="173">
        <v>0</v>
      </c>
      <c r="L41" s="379">
        <v>9.93449651059067883244640058</v>
      </c>
      <c r="M41" s="378">
        <v>115.64962121212121212121212121</v>
      </c>
      <c r="N41" s="173">
        <v>128.31919409486931268151016457</v>
      </c>
      <c r="O41" s="379">
        <v>117.66005008085972142521779957</v>
      </c>
      <c r="P41" s="4"/>
      <c r="Q41" s="359">
        <v>-5.0898259332081884795234665100</v>
      </c>
      <c r="R41" s="170">
        <v>-3.0595709394296571214596111100</v>
      </c>
      <c r="S41" s="360">
        <v>-9.585929105247004534535060110</v>
      </c>
      <c r="T41" s="359">
        <v>166.15628300051792522154477337</v>
      </c>
      <c r="U41" s="170">
        <v>56.310076940131560560619760420</v>
      </c>
      <c r="V41" s="360">
        <v>11.921878583675970271628440350</v>
      </c>
      <c r="W41" s="359">
        <v>0</v>
      </c>
      <c r="X41" s="170">
        <v>-100</v>
      </c>
      <c r="Y41" s="360">
        <v>9.390100531262470001083442570</v>
      </c>
      <c r="Z41" s="359">
        <v>6.1909813401010398488749428400</v>
      </c>
      <c r="AA41" s="170">
        <v>3.1247636263507953577839719100</v>
      </c>
      <c r="AB41" s="360">
        <v>-4.2278037257817243666649901700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94.77840909090909090909090909</v>
      </c>
      <c r="E42" s="172">
        <v>103.45429080889544273976393316</v>
      </c>
      <c r="F42" s="371">
        <v>87.38835662479220349421120322</v>
      </c>
      <c r="G42" s="370">
        <v>19.352272727272727272727272727</v>
      </c>
      <c r="H42" s="172">
        <v>24.68536069158858436575397584</v>
      </c>
      <c r="I42" s="371">
        <v>29.449367208213618944457049197</v>
      </c>
      <c r="J42" s="370">
        <v>0</v>
      </c>
      <c r="K42" s="172">
        <v>0</v>
      </c>
      <c r="L42" s="371">
        <v>9.854539717518461561540417829</v>
      </c>
      <c r="M42" s="370">
        <v>114.13068181818181818181818182</v>
      </c>
      <c r="N42" s="172">
        <v>128.139651500484027105517909</v>
      </c>
      <c r="O42" s="371">
        <v>126.69226355052428400020867025</v>
      </c>
      <c r="P42" s="4"/>
      <c r="Q42" s="327">
        <v>-14.012509020940374238424558870</v>
      </c>
      <c r="R42" s="171">
        <v>-3.9240401846574153108845628100</v>
      </c>
      <c r="S42" s="328">
        <v>-9.889669233531179691860574810</v>
      </c>
      <c r="T42" s="327">
        <v>174.82517482387387760169441090</v>
      </c>
      <c r="U42" s="171">
        <v>128.88370160403692351161449864</v>
      </c>
      <c r="V42" s="328">
        <v>17.642142143328405012448164880</v>
      </c>
      <c r="W42" s="327">
        <v>0</v>
      </c>
      <c r="X42" s="171">
        <v>-100</v>
      </c>
      <c r="Y42" s="328">
        <v>-2.328082621747155076412796400</v>
      </c>
      <c r="Z42" s="327">
        <v>-2.6729762904982810873920027800</v>
      </c>
      <c r="AA42" s="171">
        <v>7.3706233698425856272982103900</v>
      </c>
      <c r="AB42" s="328">
        <v>-4.0949216054018256585085187600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120.57954545454545454545454545</v>
      </c>
      <c r="E43" s="173">
        <v>122.45558796150329765322547343</v>
      </c>
      <c r="F43" s="379">
        <v>95.77114966034396527224984526</v>
      </c>
      <c r="G43" s="378">
        <v>16.899621212121212121212121212</v>
      </c>
      <c r="H43" s="173">
        <v>24.454910586415385793047517856</v>
      </c>
      <c r="I43" s="379">
        <v>29.644760121722958342950139754</v>
      </c>
      <c r="J43" s="378">
        <v>0</v>
      </c>
      <c r="K43" s="173">
        <v>0</v>
      </c>
      <c r="L43" s="379">
        <v>11.101253345900106485483410043</v>
      </c>
      <c r="M43" s="378">
        <v>137.47916666666666666666666667</v>
      </c>
      <c r="N43" s="173">
        <v>146.91049854791868344627299129</v>
      </c>
      <c r="O43" s="379">
        <v>136.51716312796703010068339506</v>
      </c>
      <c r="P43" s="4"/>
      <c r="Q43" s="359">
        <v>-8.238448012450681466616988860</v>
      </c>
      <c r="R43" s="170">
        <v>-11.971423531711767793517847590</v>
      </c>
      <c r="S43" s="360">
        <v>-10.033545248782902203374038040</v>
      </c>
      <c r="T43" s="359">
        <v>135.55966209220605502398770212</v>
      </c>
      <c r="U43" s="170">
        <v>61.387925879180457621441244460</v>
      </c>
      <c r="V43" s="360">
        <v>16.047228384644016453512874420</v>
      </c>
      <c r="W43" s="359">
        <v>0</v>
      </c>
      <c r="X43" s="170">
        <v>-100</v>
      </c>
      <c r="Y43" s="360">
        <v>26.066700100133018026211072320</v>
      </c>
      <c r="Z43" s="359">
        <v>-0.7940412737135309141802531700</v>
      </c>
      <c r="AA43" s="170">
        <v>-5.6706772086415206675613821100</v>
      </c>
      <c r="AB43" s="360">
        <v>-3.0440943571230236132935854800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181.58712121212121212121212121</v>
      </c>
      <c r="E44" s="172">
        <v>180.92810529916015178001324938</v>
      </c>
      <c r="F44" s="371">
        <v>132.13863554684617453407640157</v>
      </c>
      <c r="G44" s="370">
        <v>1.0568181818181818181818181818</v>
      </c>
      <c r="H44" s="172">
        <v>28.744927130655917919889945203</v>
      </c>
      <c r="I44" s="371">
        <v>26.348409745748926268101809742</v>
      </c>
      <c r="J44" s="370">
        <v>0</v>
      </c>
      <c r="K44" s="172">
        <v>0</v>
      </c>
      <c r="L44" s="371">
        <v>11.373458646055846039075896891</v>
      </c>
      <c r="M44" s="370">
        <v>182.64393939393939393939393939</v>
      </c>
      <c r="N44" s="172">
        <v>209.67303242981606969990319458</v>
      </c>
      <c r="O44" s="371">
        <v>169.8605039386509468412541082</v>
      </c>
      <c r="P44" s="4"/>
      <c r="Q44" s="327">
        <v>-9.541376154565507090398930550</v>
      </c>
      <c r="R44" s="171">
        <v>-6.1950348223030688512530663300</v>
      </c>
      <c r="S44" s="328">
        <v>-7.9103825177319863517863970500</v>
      </c>
      <c r="T44" s="327">
        <v>-43.061224491004414827129702220</v>
      </c>
      <c r="U44" s="171">
        <v>49.627196285690226633189403200</v>
      </c>
      <c r="V44" s="328">
        <v>24.316458038659056886634052630</v>
      </c>
      <c r="W44" s="327">
        <v>0</v>
      </c>
      <c r="X44" s="171">
        <v>-100</v>
      </c>
      <c r="Y44" s="328">
        <v>23.915004758441255431258198090</v>
      </c>
      <c r="Z44" s="327">
        <v>-9.848463602288776653249095680</v>
      </c>
      <c r="AA44" s="171">
        <v>-1.6570818994578345505038281600</v>
      </c>
      <c r="AB44" s="328">
        <v>-2.3016711340233225152166190600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219.18181818181818181818181818</v>
      </c>
      <c r="E45" s="385">
        <v>205.88390493395580500019072711</v>
      </c>
      <c r="F45" s="386">
        <v>149.06905007075319904660473591</v>
      </c>
      <c r="G45" s="384">
        <v>0.5284090909090909090909090909</v>
      </c>
      <c r="H45" s="385">
        <v>30.067774640100342144049350346</v>
      </c>
      <c r="I45" s="386">
        <v>22.843575692562215980563474276</v>
      </c>
      <c r="J45" s="384">
        <v>0</v>
      </c>
      <c r="K45" s="385">
        <v>0</v>
      </c>
      <c r="L45" s="386">
        <v>11.869861586050749091982501892</v>
      </c>
      <c r="M45" s="384">
        <v>219.71022727272727272727272727</v>
      </c>
      <c r="N45" s="385">
        <v>235.95167957405614714424007744</v>
      </c>
      <c r="O45" s="386">
        <v>183.78248734936616411915071209</v>
      </c>
      <c r="P45" s="4"/>
      <c r="Q45" s="364">
        <v>0.4539733518454675975048668800</v>
      </c>
      <c r="R45" s="365">
        <v>-3.5241532733116009881095507500</v>
      </c>
      <c r="S45" s="366">
        <v>-4.6322065767457512104101868100</v>
      </c>
      <c r="T45" s="364">
        <v>-75.200000000211626666664860790</v>
      </c>
      <c r="U45" s="365">
        <v>65.017446644627866328094694270</v>
      </c>
      <c r="V45" s="366">
        <v>23.621204666640359266919586010</v>
      </c>
      <c r="W45" s="364">
        <v>0</v>
      </c>
      <c r="X45" s="365">
        <v>-100</v>
      </c>
      <c r="Y45" s="366">
        <v>17.644560102328130825323327810</v>
      </c>
      <c r="Z45" s="364">
        <v>-0.2776583856408111189360418400</v>
      </c>
      <c r="AA45" s="365">
        <v>1.4121895651042078168204268100</v>
      </c>
      <c r="AB45" s="366">
        <v>-0.5925162667904370661304600600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119.21212121212121212121212121</v>
      </c>
      <c r="E47" s="382">
        <v>112.63213785542939864621842319</v>
      </c>
      <c r="F47" s="375">
        <v>88.5707790982487835080718745</v>
      </c>
      <c r="G47" s="374">
        <v>0</v>
      </c>
      <c r="H47" s="382">
        <v>17.021034596513624448789182951</v>
      </c>
      <c r="I47" s="375">
        <v>22.134966605918149595904118908</v>
      </c>
      <c r="J47" s="374">
        <v>0</v>
      </c>
      <c r="K47" s="382">
        <v>0</v>
      </c>
      <c r="L47" s="375">
        <v>10.712102104062474707240495275</v>
      </c>
      <c r="M47" s="374">
        <v>119.21212121212121212121212121</v>
      </c>
      <c r="N47" s="382">
        <v>129.65317245194302309500760614</v>
      </c>
      <c r="O47" s="375">
        <v>121.41784780822940781121648869</v>
      </c>
      <c r="P47" s="4"/>
      <c r="Q47" s="354">
        <v>5.718179549657346907699001200</v>
      </c>
      <c r="R47" s="355">
        <v>-10.819282589168938691770083990</v>
      </c>
      <c r="S47" s="356">
        <v>-13.041442775369928235503860420</v>
      </c>
      <c r="T47" s="354">
        <v>-100</v>
      </c>
      <c r="U47" s="355">
        <v>41.820742586019103352903485590</v>
      </c>
      <c r="V47" s="356">
        <v>-1.5803883640232759136293963800</v>
      </c>
      <c r="W47" s="354">
        <v>0</v>
      </c>
      <c r="X47" s="355">
        <v>-100</v>
      </c>
      <c r="Y47" s="356">
        <v>7.8917268473289361412740682300</v>
      </c>
      <c r="Z47" s="354">
        <v>-6.7346282152981918114881103700</v>
      </c>
      <c r="AA47" s="355">
        <v>-6.7893513931482377983245300300</v>
      </c>
      <c r="AB47" s="356">
        <v>-9.573879208877624343590766600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135.73701298701298701298701299</v>
      </c>
      <c r="E48" s="172">
        <v>137.00323272235836855595146274</v>
      </c>
      <c r="F48" s="371">
        <v>103.13631372542029070155641889</v>
      </c>
      <c r="G48" s="370">
        <v>10.691287878787878787878787879</v>
      </c>
      <c r="H48" s="172">
        <v>25.755075948641493150589817863</v>
      </c>
      <c r="I48" s="371">
        <v>24.310243972239534256785931788</v>
      </c>
      <c r="J48" s="370">
        <v>0</v>
      </c>
      <c r="K48" s="172">
        <v>0</v>
      </c>
      <c r="L48" s="371">
        <v>10.881617257438808996778640802</v>
      </c>
      <c r="M48" s="370">
        <v>146.42830086580086580086580087</v>
      </c>
      <c r="N48" s="172">
        <v>162.7583086709998617065412806</v>
      </c>
      <c r="O48" s="371">
        <v>138.32817495509863395512099148</v>
      </c>
      <c r="P48" s="4"/>
      <c r="Q48" s="327">
        <v>-6.6849694209829967330264674800</v>
      </c>
      <c r="R48" s="171">
        <v>-5.6024712861873787758574176800</v>
      </c>
      <c r="S48" s="328">
        <v>-7.958952543968412276798920150</v>
      </c>
      <c r="T48" s="327">
        <v>184.03536515006710627652044112</v>
      </c>
      <c r="U48" s="171">
        <v>74.685298143472953811611395590</v>
      </c>
      <c r="V48" s="328">
        <v>18.043208191006256901319928550</v>
      </c>
      <c r="W48" s="327">
        <v>0</v>
      </c>
      <c r="X48" s="171">
        <v>-100</v>
      </c>
      <c r="Y48" s="328">
        <v>15.637923497138422940166295630</v>
      </c>
      <c r="Z48" s="327">
        <v>-1.8742203591370590066630605500</v>
      </c>
      <c r="AA48" s="171">
        <v>1.1335036699364729245890402600</v>
      </c>
      <c r="AB48" s="328">
        <v>-2.6263401117350119686717543200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119.21212121212121212121212121</v>
      </c>
      <c r="E49" s="385">
        <v>112.63213785542939864621842319</v>
      </c>
      <c r="F49" s="386">
        <v>88.5707790982487835080718745</v>
      </c>
      <c r="G49" s="384">
        <v>0</v>
      </c>
      <c r="H49" s="385">
        <v>17.021034596513624448789182951</v>
      </c>
      <c r="I49" s="386">
        <v>22.134966605918149595904118908</v>
      </c>
      <c r="J49" s="384">
        <v>0</v>
      </c>
      <c r="K49" s="385">
        <v>0</v>
      </c>
      <c r="L49" s="386">
        <v>10.712102104062474707240495275</v>
      </c>
      <c r="M49" s="384">
        <v>119.21212121212121212121212121</v>
      </c>
      <c r="N49" s="385">
        <v>129.65317245194302309500760614</v>
      </c>
      <c r="O49" s="386">
        <v>121.41784780822940781121648869</v>
      </c>
      <c r="P49" s="4"/>
      <c r="Q49" s="364">
        <v>-3.1341236062050718201156740600</v>
      </c>
      <c r="R49" s="365">
        <v>-16.139049660699791218094133470</v>
      </c>
      <c r="S49" s="366">
        <v>-15.03453742655358535470927600</v>
      </c>
      <c r="T49" s="364">
        <v>-100</v>
      </c>
      <c r="U49" s="365">
        <v>20.898192043994091275957314310</v>
      </c>
      <c r="V49" s="366">
        <v>5.7931179472899700785849010100</v>
      </c>
      <c r="W49" s="364">
        <v>0</v>
      </c>
      <c r="X49" s="365">
        <v>-100</v>
      </c>
      <c r="Y49" s="366">
        <v>5.8927551092598713552415792300</v>
      </c>
      <c r="Z49" s="364">
        <v>-12.925385168725669771320441460</v>
      </c>
      <c r="AA49" s="365">
        <v>-13.132601326365770751774190880</v>
      </c>
      <c r="AB49" s="366">
        <v>-10.248430271414601953242976980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9"/>
</worksheet>
</file>

<file path=xl/worksheets/sheet8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158</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179</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180</v>
      </c>
      <c r="B4" s="443"/>
      <c r="C4" s="211"/>
      <c r="D4" s="212"/>
      <c r="E4" s="212"/>
      <c r="F4" s="212"/>
      <c r="G4" s="212"/>
      <c r="H4" s="212"/>
      <c r="I4" s="212"/>
      <c r="J4" s="212"/>
      <c r="K4" s="212"/>
      <c r="L4" s="212"/>
      <c r="M4" s="212"/>
      <c r="N4" s="212"/>
      <c r="O4" s="212"/>
      <c r="P4" s="212"/>
      <c r="Q4" s="659" t="s">
        <v>182</v>
      </c>
      <c r="R4" s="659"/>
      <c r="S4" s="659"/>
      <c r="T4" s="659"/>
      <c r="U4" s="659"/>
      <c r="V4" s="659"/>
      <c r="W4" s="659"/>
      <c r="X4" s="659"/>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71" t="s">
        <v>33</v>
      </c>
      <c r="E8" s="671"/>
      <c r="F8" s="671"/>
      <c r="G8" s="671" t="s">
        <v>30</v>
      </c>
      <c r="H8" s="671"/>
      <c r="I8" s="671"/>
      <c r="J8" s="671" t="s">
        <v>29</v>
      </c>
      <c r="K8" s="671"/>
      <c r="L8" s="671"/>
      <c r="M8" s="671" t="s">
        <v>94</v>
      </c>
      <c r="N8" s="671"/>
      <c r="O8" s="671"/>
      <c r="Q8" s="671" t="s">
        <v>33</v>
      </c>
      <c r="R8" s="671"/>
      <c r="S8" s="671"/>
      <c r="T8" s="671" t="s">
        <v>30</v>
      </c>
      <c r="U8" s="671"/>
      <c r="V8" s="671"/>
      <c r="W8" s="671" t="s">
        <v>29</v>
      </c>
      <c r="X8" s="671"/>
      <c r="Y8" s="671"/>
      <c r="Z8" s="672" t="s">
        <v>23</v>
      </c>
      <c r="AA8" s="672"/>
      <c r="AB8" s="672"/>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183</v>
      </c>
      <c r="G9" s="339" t="s">
        <v>63</v>
      </c>
      <c r="H9" s="340" t="s">
        <v>26</v>
      </c>
      <c r="I9" s="341" t="s">
        <v>183</v>
      </c>
      <c r="J9" s="339" t="s">
        <v>63</v>
      </c>
      <c r="K9" s="340" t="s">
        <v>26</v>
      </c>
      <c r="L9" s="341" t="s">
        <v>183</v>
      </c>
      <c r="M9" s="339" t="s">
        <v>63</v>
      </c>
      <c r="N9" s="340" t="s">
        <v>26</v>
      </c>
      <c r="O9" s="341" t="s">
        <v>183</v>
      </c>
      <c r="P9" s="96"/>
      <c r="Q9" s="339" t="s">
        <v>63</v>
      </c>
      <c r="R9" s="340" t="s">
        <v>26</v>
      </c>
      <c r="S9" s="341" t="s">
        <v>183</v>
      </c>
      <c r="T9" s="339" t="s">
        <v>63</v>
      </c>
      <c r="U9" s="340" t="s">
        <v>26</v>
      </c>
      <c r="V9" s="341" t="s">
        <v>183</v>
      </c>
      <c r="W9" s="339" t="s">
        <v>63</v>
      </c>
      <c r="X9" s="340" t="s">
        <v>26</v>
      </c>
      <c r="Y9" s="341" t="s">
        <v>183</v>
      </c>
      <c r="Z9" s="94" t="s">
        <v>63</v>
      </c>
      <c r="AA9" s="94" t="s">
        <v>26</v>
      </c>
      <c r="AB9" s="95" t="s">
        <v>183</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184</v>
      </c>
      <c r="B10" s="342">
        <v>11</v>
      </c>
      <c r="C10" s="343" t="s">
        <v>49</v>
      </c>
      <c r="D10" s="374">
        <v>165.72727272727272727272727273</v>
      </c>
      <c r="E10" s="382">
        <v>170.22065088757396449704142011</v>
      </c>
      <c r="F10" s="375">
        <v>186.66224018475750577367205543</v>
      </c>
      <c r="G10" s="374">
        <v>3.012987012987012987012987013</v>
      </c>
      <c r="H10" s="382">
        <v>108.12070426071440354181227607</v>
      </c>
      <c r="I10" s="375">
        <v>87.98210216473278607364151453</v>
      </c>
      <c r="J10" s="374">
        <v>32.623376623376623376623376623</v>
      </c>
      <c r="K10" s="382">
        <v>26.77704806572079811098909416</v>
      </c>
      <c r="L10" s="375">
        <v>29.334824379998996294812832656</v>
      </c>
      <c r="M10" s="374">
        <v>201.36363636363636363636363636</v>
      </c>
      <c r="N10" s="382">
        <v>305.11840321400916614984279034</v>
      </c>
      <c r="O10" s="375">
        <v>303.97916672948928814212640262</v>
      </c>
      <c r="P10" s="4"/>
      <c r="Q10" s="354">
        <v>82.30248306997742663656884876</v>
      </c>
      <c r="R10" s="355">
        <v>55.788392012585911424851293800</v>
      </c>
      <c r="S10" s="356">
        <v>61.406260893815798647423830440</v>
      </c>
      <c r="T10" s="354">
        <v>1.4962915188648822960335375700</v>
      </c>
      <c r="U10" s="355">
        <v>35.435654854577504480381890270</v>
      </c>
      <c r="V10" s="356">
        <v>28.943464485192157227296319540</v>
      </c>
      <c r="W10" s="354">
        <v>16.201225411157691067397613670</v>
      </c>
      <c r="X10" s="355">
        <v>8.775953132836584094766815930</v>
      </c>
      <c r="Y10" s="356">
        <v>9.650274620992044125279850020</v>
      </c>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12</v>
      </c>
      <c r="C11" s="345" t="s">
        <v>47</v>
      </c>
      <c r="D11" s="370">
        <v>148.4047619047619047619047619</v>
      </c>
      <c r="E11" s="172">
        <v>170.1608</v>
      </c>
      <c r="F11" s="371">
        <v>194.70197668525088697415103903</v>
      </c>
      <c r="G11" s="370">
        <v>1.7261904761904761904761904762</v>
      </c>
      <c r="H11" s="172">
        <v>67.562116530137820855632564435</v>
      </c>
      <c r="I11" s="371">
        <v>66.660106015111041407117114053</v>
      </c>
      <c r="J11" s="370">
        <v>28.261904761904761904761904762</v>
      </c>
      <c r="K11" s="172">
        <v>26.820137157306456521457169028</v>
      </c>
      <c r="L11" s="371">
        <v>28.935950003441579316930918934</v>
      </c>
      <c r="M11" s="370">
        <v>178.39285714285714285714285714</v>
      </c>
      <c r="N11" s="172">
        <v>264.54305368744427737708973345</v>
      </c>
      <c r="O11" s="371">
        <v>290.29803270380350769819907202</v>
      </c>
      <c r="P11" s="4"/>
      <c r="Q11" s="327">
        <v>83.18985652318985652318985652</v>
      </c>
      <c r="R11" s="171">
        <v>64.322535643307333289241553270</v>
      </c>
      <c r="S11" s="328">
        <v>67.069685203106058229340875650</v>
      </c>
      <c r="T11" s="327">
        <v>0.967634300967634300967634300</v>
      </c>
      <c r="U11" s="171">
        <v>25.539176171286650939523690280</v>
      </c>
      <c r="V11" s="328">
        <v>22.962644766912902143720754010</v>
      </c>
      <c r="W11" s="327">
        <v>15.842509175842509175842509180</v>
      </c>
      <c r="X11" s="171">
        <v>10.138288185406015771234756450</v>
      </c>
      <c r="Y11" s="328">
        <v>9.967670029981039626938370340</v>
      </c>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13</v>
      </c>
      <c r="C12" s="347" t="s">
        <v>48</v>
      </c>
      <c r="D12" s="378">
        <v>159.23913043478260869565217391</v>
      </c>
      <c r="E12" s="173">
        <v>179.76164102564102564102564104</v>
      </c>
      <c r="F12" s="379">
        <v>201.04808877928483353884093711</v>
      </c>
      <c r="G12" s="378">
        <v>1.3695652173913043478260869565</v>
      </c>
      <c r="H12" s="173">
        <v>36.432611976410600488393374609</v>
      </c>
      <c r="I12" s="379">
        <v>55.538832039756282917721157269</v>
      </c>
      <c r="J12" s="378">
        <v>29.521739130434782608695652174</v>
      </c>
      <c r="K12" s="173">
        <v>27.856920459069949888521173453</v>
      </c>
      <c r="L12" s="379">
        <v>23.690573231719898188052834525</v>
      </c>
      <c r="M12" s="378">
        <v>190.13043478260869565217391304</v>
      </c>
      <c r="N12" s="173">
        <v>244.05117346112157601794018909</v>
      </c>
      <c r="O12" s="379">
        <v>280.27749405076101464461492891</v>
      </c>
      <c r="P12" s="4"/>
      <c r="Q12" s="359">
        <v>83.75257260461925451635033158</v>
      </c>
      <c r="R12" s="170">
        <v>73.657355740712242344482649390</v>
      </c>
      <c r="S12" s="360">
        <v>71.731799037304452466907340550</v>
      </c>
      <c r="T12" s="359">
        <v>0.7203292933912645780928424400</v>
      </c>
      <c r="U12" s="170">
        <v>14.928267485759283027861715600</v>
      </c>
      <c r="V12" s="360">
        <v>19.815658844765342960288808660</v>
      </c>
      <c r="W12" s="359">
        <v>15.527098101989480905556825980</v>
      </c>
      <c r="X12" s="170">
        <v>11.414376773528474627655635020</v>
      </c>
      <c r="Y12" s="360">
        <v>8.452542117930204572803850780</v>
      </c>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14</v>
      </c>
      <c r="C13" s="345" t="s">
        <v>50</v>
      </c>
      <c r="D13" s="370">
        <v>152.77659574468085106382978723</v>
      </c>
      <c r="E13" s="172">
        <v>174.02925598991172761664564943</v>
      </c>
      <c r="F13" s="371">
        <v>203.80325361512791991101223582</v>
      </c>
      <c r="G13" s="370">
        <v>0.9680851063829787234042553191</v>
      </c>
      <c r="H13" s="172">
        <v>52.084483329448930024168394948</v>
      </c>
      <c r="I13" s="371">
        <v>119.28144552471488947624052925</v>
      </c>
      <c r="J13" s="370">
        <v>30.829787234042553191489361702</v>
      </c>
      <c r="K13" s="172">
        <v>34.683955495869851158966588146</v>
      </c>
      <c r="L13" s="371">
        <v>33.518963151140148083793671809</v>
      </c>
      <c r="M13" s="370">
        <v>184.57446808510638297872340426</v>
      </c>
      <c r="N13" s="172">
        <v>260.79769481523050879978063252</v>
      </c>
      <c r="O13" s="371">
        <v>356.60366229098295747104643687</v>
      </c>
      <c r="P13" s="4"/>
      <c r="Q13" s="327">
        <v>82.77233429394812680115273775</v>
      </c>
      <c r="R13" s="171">
        <v>66.729599014748833649064139680</v>
      </c>
      <c r="S13" s="328">
        <v>57.151194776240879747630949420</v>
      </c>
      <c r="T13" s="327">
        <v>0.5244956772334293948126801200</v>
      </c>
      <c r="U13" s="171">
        <v>19.971220745010669278038392300</v>
      </c>
      <c r="V13" s="328">
        <v>33.449304687000974612679030990</v>
      </c>
      <c r="W13" s="327">
        <v>16.703170028818443804034582130</v>
      </c>
      <c r="X13" s="171">
        <v>13.299180240240497072897468020</v>
      </c>
      <c r="Y13" s="328">
        <v>9.399500536758145639690019600</v>
      </c>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15</v>
      </c>
      <c r="C14" s="347" t="s">
        <v>51</v>
      </c>
      <c r="D14" s="378">
        <v>168.46728971962616822429906542</v>
      </c>
      <c r="E14" s="173">
        <v>181.7335792019347037484885127</v>
      </c>
      <c r="F14" s="379">
        <v>206.82131324004305705059203445</v>
      </c>
      <c r="G14" s="378">
        <v>2.1401869158878504672897196262</v>
      </c>
      <c r="H14" s="173">
        <v>45.373546727272826193463676755</v>
      </c>
      <c r="I14" s="379">
        <v>82.82726123692565530124600597</v>
      </c>
      <c r="J14" s="378">
        <v>30.280373831775700934579439252</v>
      </c>
      <c r="K14" s="173">
        <v>47.424110197445871342689629609</v>
      </c>
      <c r="L14" s="379">
        <v>20.653199564921893264515041172</v>
      </c>
      <c r="M14" s="378">
        <v>200.8878504672897196261682243</v>
      </c>
      <c r="N14" s="173">
        <v>274.53123612665340128464181907</v>
      </c>
      <c r="O14" s="379">
        <v>310.30177404189060561635308159</v>
      </c>
      <c r="P14" s="4"/>
      <c r="Q14" s="359">
        <v>83.86136310769946499185857176</v>
      </c>
      <c r="R14" s="170">
        <v>66.197778353386703831783969790</v>
      </c>
      <c r="S14" s="360">
        <v>66.651669613761946780225746330</v>
      </c>
      <c r="T14" s="359">
        <v>1.0653640381484066061874854600</v>
      </c>
      <c r="U14" s="170">
        <v>16.527644492279196343165228830</v>
      </c>
      <c r="V14" s="360">
        <v>26.692487174032079742469212440</v>
      </c>
      <c r="W14" s="359">
        <v>15.073272854152128401953942780</v>
      </c>
      <c r="X14" s="170">
        <v>17.274577154334099825050801370</v>
      </c>
      <c r="Y14" s="360">
        <v>6.6558432122059734773050412200</v>
      </c>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16</v>
      </c>
      <c r="C15" s="345" t="s">
        <v>52</v>
      </c>
      <c r="D15" s="370">
        <v>260.22807017543859649122807018</v>
      </c>
      <c r="E15" s="172">
        <v>244.81427038626609442060085837</v>
      </c>
      <c r="F15" s="371">
        <v>229.9616125150421179302045728</v>
      </c>
      <c r="G15" s="370">
        <v>0.4912280701754385964912280702</v>
      </c>
      <c r="H15" s="172">
        <v>70.834454082460566144598099505</v>
      </c>
      <c r="I15" s="371">
        <v>109.54253060080521005499304058</v>
      </c>
      <c r="J15" s="370">
        <v>31.745614035087719298245614035</v>
      </c>
      <c r="K15" s="172">
        <v>58.840333581159501717964427915</v>
      </c>
      <c r="L15" s="371">
        <v>31.700416229227885701184787451</v>
      </c>
      <c r="M15" s="370">
        <v>292.46491228070175438596491228</v>
      </c>
      <c r="N15" s="172">
        <v>374.48905804988616228316338579</v>
      </c>
      <c r="O15" s="371">
        <v>371.20455934507521368638240083</v>
      </c>
      <c r="P15" s="4"/>
      <c r="Q15" s="327">
        <v>88.97753516691161032962418644</v>
      </c>
      <c r="R15" s="171">
        <v>65.372876756696606882592225700</v>
      </c>
      <c r="S15" s="328">
        <v>61.950104524785123224298830960</v>
      </c>
      <c r="T15" s="327">
        <v>0.167961368885156414024774300</v>
      </c>
      <c r="U15" s="171">
        <v>18.914959612257781560237834950</v>
      </c>
      <c r="V15" s="328">
        <v>29.510017547756856602394833200</v>
      </c>
      <c r="W15" s="327">
        <v>10.854503464203233256351039260</v>
      </c>
      <c r="X15" s="171">
        <v>15.712163631045611557169939350</v>
      </c>
      <c r="Y15" s="328">
        <v>8.539877927458020173306335850</v>
      </c>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17</v>
      </c>
      <c r="C16" s="347" t="s">
        <v>53</v>
      </c>
      <c r="D16" s="378">
        <v>288.45669291338582677165354331</v>
      </c>
      <c r="E16" s="173">
        <v>266.43615307150050352467270894</v>
      </c>
      <c r="F16" s="379">
        <v>226.74874010079193664506839453</v>
      </c>
      <c r="G16" s="378">
        <v>1.1259842519685039370078740157</v>
      </c>
      <c r="H16" s="173">
        <v>82.6614480245602560968970561</v>
      </c>
      <c r="I16" s="379">
        <v>99.86060770167885596713819803</v>
      </c>
      <c r="J16" s="378">
        <v>33.787401574803149606299212598</v>
      </c>
      <c r="K16" s="173">
        <v>34.953101249165493757073198367</v>
      </c>
      <c r="L16" s="379">
        <v>26.310608437130094567320076994</v>
      </c>
      <c r="M16" s="378">
        <v>323.37007874015748031496062992</v>
      </c>
      <c r="N16" s="173">
        <v>384.05070234522625337864296341</v>
      </c>
      <c r="O16" s="379">
        <v>352.91995623960088717952666956</v>
      </c>
      <c r="P16" s="4"/>
      <c r="Q16" s="359">
        <v>89.20327262101879809097107237</v>
      </c>
      <c r="R16" s="170">
        <v>69.375254737068261061010227970</v>
      </c>
      <c r="S16" s="360">
        <v>64.249339288382419979424436190</v>
      </c>
      <c r="T16" s="359">
        <v>0.3482029804227135482614200800</v>
      </c>
      <c r="U16" s="170">
        <v>21.523576840188985822616544270</v>
      </c>
      <c r="V16" s="360">
        <v>28.295540089516074540261772180</v>
      </c>
      <c r="W16" s="359">
        <v>10.448524398558488360767507550</v>
      </c>
      <c r="X16" s="170">
        <v>9.101168422742753116373227760</v>
      </c>
      <c r="Y16" s="360">
        <v>7.4551206221015054803137916200</v>
      </c>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18</v>
      </c>
      <c r="C17" s="345" t="s">
        <v>49</v>
      </c>
      <c r="D17" s="370">
        <v>193.83898305084745762711864407</v>
      </c>
      <c r="E17" s="172">
        <v>228.80210412147505422993492405</v>
      </c>
      <c r="F17" s="371">
        <v>196.95494142385100630820066086</v>
      </c>
      <c r="G17" s="370">
        <v>1.5</v>
      </c>
      <c r="H17" s="172">
        <v>123.60261198311466875084666236</v>
      </c>
      <c r="I17" s="371">
        <v>85.91550933611636069758165657</v>
      </c>
      <c r="J17" s="370">
        <v>28.720338983050847457627118644</v>
      </c>
      <c r="K17" s="172">
        <v>30.195249445640510210204005747</v>
      </c>
      <c r="L17" s="371">
        <v>26.875450403044354486399051871</v>
      </c>
      <c r="M17" s="370">
        <v>224.05932203389830508474576271</v>
      </c>
      <c r="N17" s="172">
        <v>382.59996555023023319098559216</v>
      </c>
      <c r="O17" s="371">
        <v>309.74590116301172149218136932</v>
      </c>
      <c r="P17" s="4"/>
      <c r="Q17" s="327">
        <v>86.51234918113393093536064148</v>
      </c>
      <c r="R17" s="171">
        <v>59.801914459774412380106841640</v>
      </c>
      <c r="S17" s="328">
        <v>63.585971818945368067551765770</v>
      </c>
      <c r="T17" s="327">
        <v>0.669465562237603540224668100</v>
      </c>
      <c r="U17" s="171">
        <v>32.305965267236101479082636470</v>
      </c>
      <c r="V17" s="328">
        <v>27.737416060560272363318073470</v>
      </c>
      <c r="W17" s="327">
        <v>12.818185256628465524414690420</v>
      </c>
      <c r="X17" s="171">
        <v>7.8921202729894861408105218900</v>
      </c>
      <c r="Y17" s="328">
        <v>8.676612120494359569130160750</v>
      </c>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19</v>
      </c>
      <c r="C18" s="347" t="s">
        <v>47</v>
      </c>
      <c r="D18" s="378">
        <v>194.1680672268907563025210084</v>
      </c>
      <c r="E18" s="173">
        <v>239.36508269018743109151047409</v>
      </c>
      <c r="F18" s="379">
        <v>198.94059706016063039854523413</v>
      </c>
      <c r="G18" s="378">
        <v>2.4705882352941176470588235294</v>
      </c>
      <c r="H18" s="173">
        <v>91.81568259171458859682045571</v>
      </c>
      <c r="I18" s="379">
        <v>100.58840063370694331780652653</v>
      </c>
      <c r="J18" s="378">
        <v>26.420168067226890756302521008</v>
      </c>
      <c r="K18" s="173">
        <v>30.670293121920073841669761582</v>
      </c>
      <c r="L18" s="379">
        <v>33.143989819016800486029103881</v>
      </c>
      <c r="M18" s="378">
        <v>223.05882352941176470588235294</v>
      </c>
      <c r="N18" s="173">
        <v>361.85105840382209353000069138</v>
      </c>
      <c r="O18" s="379">
        <v>332.67298751288437420238086454</v>
      </c>
      <c r="P18" s="4"/>
      <c r="Q18" s="359">
        <v>87.04792043399638336347197107</v>
      </c>
      <c r="R18" s="170">
        <v>66.150167902247349017021442020</v>
      </c>
      <c r="S18" s="360">
        <v>59.800646438856323234215173200</v>
      </c>
      <c r="T18" s="359">
        <v>1.1075949367088607594936708900</v>
      </c>
      <c r="U18" s="170">
        <v>25.373888084430921444013608310</v>
      </c>
      <c r="V18" s="360">
        <v>30.236419670175706665122245460</v>
      </c>
      <c r="W18" s="359">
        <v>11.844484629294755877034358050</v>
      </c>
      <c r="X18" s="170">
        <v>8.475944013321729538964949680</v>
      </c>
      <c r="Y18" s="360">
        <v>9.962933890967970100662581340</v>
      </c>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20</v>
      </c>
      <c r="C19" s="345" t="s">
        <v>48</v>
      </c>
      <c r="D19" s="370">
        <v>202.45762711864406779661016949</v>
      </c>
      <c r="E19" s="172">
        <v>240.36346985210466439135381115</v>
      </c>
      <c r="F19" s="371">
        <v>197.84448409158489443948855189</v>
      </c>
      <c r="G19" s="370">
        <v>0.2203389830508474576271186441</v>
      </c>
      <c r="H19" s="172">
        <v>40.639232422524131695130766026</v>
      </c>
      <c r="I19" s="371">
        <v>86.54012559826382251709178709</v>
      </c>
      <c r="J19" s="370">
        <v>23.161016949152542372881355932</v>
      </c>
      <c r="K19" s="172">
        <v>28.835615016621874963303842805</v>
      </c>
      <c r="L19" s="371">
        <v>27.32814804792092214274839357</v>
      </c>
      <c r="M19" s="370">
        <v>225.83898305084745762711864407</v>
      </c>
      <c r="N19" s="172">
        <v>309.83831729125067104978841999</v>
      </c>
      <c r="O19" s="371">
        <v>311.71275773776963909932873256</v>
      </c>
      <c r="P19" s="4"/>
      <c r="Q19" s="327">
        <v>89.64689106533078164283838043</v>
      </c>
      <c r="R19" s="171">
        <v>77.577064048589233967828939220</v>
      </c>
      <c r="S19" s="328">
        <v>63.470127282381826115758095130</v>
      </c>
      <c r="T19" s="327">
        <v>0.0975646365717287703103305900</v>
      </c>
      <c r="U19" s="171">
        <v>13.116270698153484118638552690</v>
      </c>
      <c r="V19" s="328">
        <v>27.762779498125726182527456930</v>
      </c>
      <c r="W19" s="327">
        <v>10.255544298097489586851288980</v>
      </c>
      <c r="X19" s="171">
        <v>9.306665253257281913532508080</v>
      </c>
      <c r="Y19" s="328">
        <v>8.767093219492447701714447940</v>
      </c>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21</v>
      </c>
      <c r="C20" s="347" t="s">
        <v>50</v>
      </c>
      <c r="D20" s="378">
        <v>183.62698412698412698412698413</v>
      </c>
      <c r="E20" s="173">
        <v>218.13674019607843137254901961</v>
      </c>
      <c r="F20" s="379">
        <v>193.3490707434052757793764988</v>
      </c>
      <c r="G20" s="378">
        <v>1.380952380952380952380952381</v>
      </c>
      <c r="H20" s="173">
        <v>56.431121239906343120907417444</v>
      </c>
      <c r="I20" s="379">
        <v>75.777667382319810509877006437</v>
      </c>
      <c r="J20" s="378">
        <v>23.055555555555555555555555556</v>
      </c>
      <c r="K20" s="173">
        <v>28.182091824524143856891234885</v>
      </c>
      <c r="L20" s="379">
        <v>20.184599284972820153965552984</v>
      </c>
      <c r="M20" s="378">
        <v>208.06349206349206349206349206</v>
      </c>
      <c r="N20" s="173">
        <v>302.74995326050891835034767194</v>
      </c>
      <c r="O20" s="379">
        <v>289.31133741069790644321905823</v>
      </c>
      <c r="P20" s="4"/>
      <c r="Q20" s="359">
        <v>88.25526396093988404028074458</v>
      </c>
      <c r="R20" s="170">
        <v>72.051783277527745843820100100</v>
      </c>
      <c r="S20" s="360">
        <v>66.830796357258752801928289390</v>
      </c>
      <c r="T20" s="359">
        <v>0.6637168141592920353982300900</v>
      </c>
      <c r="U20" s="170">
        <v>18.639514434986137117771282790</v>
      </c>
      <c r="V20" s="360">
        <v>26.192429256496108863796886080</v>
      </c>
      <c r="W20" s="359">
        <v>11.081019224900823924321025330</v>
      </c>
      <c r="X20" s="170">
        <v>9.308702287486117038408617110</v>
      </c>
      <c r="Y20" s="360">
        <v>6.9767743862451383342748245300</v>
      </c>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22</v>
      </c>
      <c r="C21" s="345" t="s">
        <v>51</v>
      </c>
      <c r="D21" s="370">
        <v>188.01587301587301587301587302</v>
      </c>
      <c r="E21" s="172">
        <v>217.12516014234875444839857651</v>
      </c>
      <c r="F21" s="371">
        <v>190.21664094289322295496001122</v>
      </c>
      <c r="G21" s="370">
        <v>1.1666666666666666666666666667</v>
      </c>
      <c r="H21" s="172">
        <v>56.609767316984899819275040375</v>
      </c>
      <c r="I21" s="371">
        <v>66.244476498293227098681504693</v>
      </c>
      <c r="J21" s="370">
        <v>23.611111111111111111111111111</v>
      </c>
      <c r="K21" s="172">
        <v>28.801482761635211306483182153</v>
      </c>
      <c r="L21" s="371">
        <v>19.756634700015721879221064037</v>
      </c>
      <c r="M21" s="370">
        <v>212.79365079365079365079365079</v>
      </c>
      <c r="N21" s="172">
        <v>302.53641022096886557415679905</v>
      </c>
      <c r="O21" s="371">
        <v>276.21775214120217193286257996</v>
      </c>
      <c r="P21" s="4"/>
      <c r="Q21" s="327">
        <v>88.35596001790243174697896464</v>
      </c>
      <c r="R21" s="171">
        <v>71.768274100880357946183029420</v>
      </c>
      <c r="S21" s="328">
        <v>68.864741483253658615198214970</v>
      </c>
      <c r="T21" s="327">
        <v>0.548261972251230792182604800</v>
      </c>
      <c r="U21" s="171">
        <v>18.711720442388347051623279280</v>
      </c>
      <c r="V21" s="328">
        <v>23.982700599355081625686562640</v>
      </c>
      <c r="W21" s="327">
        <v>11.095778009846337460838430550</v>
      </c>
      <c r="X21" s="171">
        <v>9.520005456731295002193691290</v>
      </c>
      <c r="Y21" s="328">
        <v>7.1525579173912597591152223900</v>
      </c>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23</v>
      </c>
      <c r="C22" s="347" t="s">
        <v>52</v>
      </c>
      <c r="D22" s="378">
        <v>245.53608247422680412371134021</v>
      </c>
      <c r="E22" s="173">
        <v>241.01570621468926553672316384</v>
      </c>
      <c r="F22" s="379">
        <v>213.32581617936279008784581093</v>
      </c>
      <c r="G22" s="378">
        <v>1.5876288659793814432989690722</v>
      </c>
      <c r="H22" s="173">
        <v>70.614873059835631088595722407</v>
      </c>
      <c r="I22" s="379">
        <v>89.11152398934395026372983356</v>
      </c>
      <c r="J22" s="378">
        <v>32.783505154639175257731958763</v>
      </c>
      <c r="K22" s="173">
        <v>37.367318398789916546813940823</v>
      </c>
      <c r="L22" s="379">
        <v>28.878154903015754511553205617</v>
      </c>
      <c r="M22" s="378">
        <v>279.90721649484536082474226804</v>
      </c>
      <c r="N22" s="173">
        <v>348.99789767331481317213282707</v>
      </c>
      <c r="O22" s="379">
        <v>331.31549507172249486312885011</v>
      </c>
      <c r="P22" s="4"/>
      <c r="Q22" s="359">
        <v>87.72052594747891422047070089</v>
      </c>
      <c r="R22" s="170">
        <v>69.059357612605436659560667480</v>
      </c>
      <c r="S22" s="360">
        <v>64.387515631643626416097419650</v>
      </c>
      <c r="T22" s="359">
        <v>0.5671982615741593311480240100</v>
      </c>
      <c r="U22" s="170">
        <v>20.233609867167692020074649280</v>
      </c>
      <c r="V22" s="360">
        <v>26.896274190270899158893771990</v>
      </c>
      <c r="W22" s="359">
        <v>11.712275790946926448381275090</v>
      </c>
      <c r="X22" s="170">
        <v>10.707032520226871320364683240</v>
      </c>
      <c r="Y22" s="360">
        <v>8.716210178085474425008808360</v>
      </c>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24</v>
      </c>
      <c r="C23" s="345" t="s">
        <v>53</v>
      </c>
      <c r="D23" s="370">
        <v>275.00833333333333333333333333</v>
      </c>
      <c r="E23" s="172">
        <v>278.03560830860534124629080119</v>
      </c>
      <c r="F23" s="371">
        <v>234.47331460674157303370786517</v>
      </c>
      <c r="G23" s="370">
        <v>0.2166666666666666666666666667</v>
      </c>
      <c r="H23" s="172">
        <v>44.362946585707966603759708559</v>
      </c>
      <c r="I23" s="371">
        <v>63.266023923549222082024738981</v>
      </c>
      <c r="J23" s="370">
        <v>31.366666666666666666666666667</v>
      </c>
      <c r="K23" s="172">
        <v>39.318395476027638015534244214</v>
      </c>
      <c r="L23" s="371">
        <v>27.230948545822530231405482177</v>
      </c>
      <c r="M23" s="370">
        <v>306.59166666666666666666666667</v>
      </c>
      <c r="N23" s="172">
        <v>361.71695037034094586558475396</v>
      </c>
      <c r="O23" s="371">
        <v>324.97028707611332534713808632</v>
      </c>
      <c r="P23" s="4"/>
      <c r="Q23" s="327">
        <v>89.69856758446359163925960153</v>
      </c>
      <c r="R23" s="171">
        <v>76.865518197015886070857061120</v>
      </c>
      <c r="S23" s="328">
        <v>72.152231736750784894587522500</v>
      </c>
      <c r="T23" s="327">
        <v>0.0706694572042075507596966600</v>
      </c>
      <c r="U23" s="171">
        <v>12.264547331908921052396320370</v>
      </c>
      <c r="V23" s="328">
        <v>19.468248772150449113117733110</v>
      </c>
      <c r="W23" s="327">
        <v>10.230762958332200809980701800</v>
      </c>
      <c r="X23" s="171">
        <v>10.869934471075192876746618510</v>
      </c>
      <c r="Y23" s="328">
        <v>8.379519491098765992294744390</v>
      </c>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25</v>
      </c>
      <c r="C24" s="347" t="s">
        <v>49</v>
      </c>
      <c r="D24" s="378">
        <v>186.29921259842519685039370079</v>
      </c>
      <c r="E24" s="173">
        <v>203.61520130576713819368879215</v>
      </c>
      <c r="F24" s="379">
        <v>193.86554044774069495948358742</v>
      </c>
      <c r="G24" s="378">
        <v>2.4488188976377952755905511811</v>
      </c>
      <c r="H24" s="173">
        <v>100.18455386958945391784718601</v>
      </c>
      <c r="I24" s="379">
        <v>96.55038334999883223860898768</v>
      </c>
      <c r="J24" s="378">
        <v>31.716535433070866141732283465</v>
      </c>
      <c r="K24" s="173">
        <v>38.563272218970113306722890043</v>
      </c>
      <c r="L24" s="379">
        <v>29.183373287570680447428635631</v>
      </c>
      <c r="M24" s="378">
        <v>220.46456692913385826771653543</v>
      </c>
      <c r="N24" s="173">
        <v>342.3630273943267054182588682</v>
      </c>
      <c r="O24" s="379">
        <v>319.59929708531020764552121073</v>
      </c>
      <c r="P24" s="4"/>
      <c r="Q24" s="359">
        <v>84.50301796492731883281545769</v>
      </c>
      <c r="R24" s="170">
        <v>59.473478446388233983691171110</v>
      </c>
      <c r="S24" s="360">
        <v>60.658938306736146773951875340</v>
      </c>
      <c r="T24" s="359">
        <v>1.1107539554984106575234829800</v>
      </c>
      <c r="U24" s="170">
        <v>29.262667359872052363925246050</v>
      </c>
      <c r="V24" s="360">
        <v>30.209823435320875920634900310</v>
      </c>
      <c r="W24" s="359">
        <v>14.386228079574270509661059320</v>
      </c>
      <c r="X24" s="170">
        <v>11.263854193739713652383582840</v>
      </c>
      <c r="Y24" s="360">
        <v>9.131238257942977305413224360</v>
      </c>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26</v>
      </c>
      <c r="C25" s="345" t="s">
        <v>47</v>
      </c>
      <c r="D25" s="370">
        <v>132.52577319587628865979381443</v>
      </c>
      <c r="E25" s="172">
        <v>149.763360258481421647819063</v>
      </c>
      <c r="F25" s="371">
        <v>165.86373453760062831337129393</v>
      </c>
      <c r="G25" s="370">
        <v>2.9175257731958762886597938144</v>
      </c>
      <c r="H25" s="172">
        <v>76.57769574233478755056973796</v>
      </c>
      <c r="I25" s="371">
        <v>63.169332355438091867961913218</v>
      </c>
      <c r="J25" s="370">
        <v>21.422680412371134020618556701</v>
      </c>
      <c r="K25" s="172">
        <v>34.468749918330693267064745382</v>
      </c>
      <c r="L25" s="371">
        <v>24.686462260745810247382865115</v>
      </c>
      <c r="M25" s="370">
        <v>156.86597938144329896907216495</v>
      </c>
      <c r="N25" s="172">
        <v>260.80980591914690246545354634</v>
      </c>
      <c r="O25" s="371">
        <v>253.71952915378453042871607226</v>
      </c>
      <c r="P25" s="4"/>
      <c r="Q25" s="327">
        <v>84.48343848580441640378548896</v>
      </c>
      <c r="R25" s="171">
        <v>57.422442277691523956472567990</v>
      </c>
      <c r="S25" s="328">
        <v>65.372868651773064433467695470</v>
      </c>
      <c r="T25" s="327">
        <v>1.8598843322818086225026288100</v>
      </c>
      <c r="U25" s="171">
        <v>29.361509423489421023670669690</v>
      </c>
      <c r="V25" s="328">
        <v>24.897307891955720853055083360</v>
      </c>
      <c r="W25" s="327">
        <v>13.656677181913774973711882230</v>
      </c>
      <c r="X25" s="171">
        <v>13.216048298819055019856762320</v>
      </c>
      <c r="Y25" s="328">
        <v>9.729823456271214713477221170</v>
      </c>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27</v>
      </c>
      <c r="C26" s="347" t="s">
        <v>48</v>
      </c>
      <c r="D26" s="378">
        <v>118.80681818181818181818181818</v>
      </c>
      <c r="E26" s="173">
        <v>144.72195729537366548042704627</v>
      </c>
      <c r="F26" s="379">
        <v>169.26873239436619718309859155</v>
      </c>
      <c r="G26" s="378">
        <v>1.9886363636363636363636363636</v>
      </c>
      <c r="H26" s="173">
        <v>54.925374548316311855032222092</v>
      </c>
      <c r="I26" s="379">
        <v>93.24972412674889678146412578</v>
      </c>
      <c r="J26" s="378">
        <v>30.397727272727272727272727273</v>
      </c>
      <c r="K26" s="173">
        <v>33.415952124882601071202138524</v>
      </c>
      <c r="L26" s="379">
        <v>22.788061399938358097731165731</v>
      </c>
      <c r="M26" s="378">
        <v>151.19318181818181818181818182</v>
      </c>
      <c r="N26" s="173">
        <v>233.06328396857257840666140689</v>
      </c>
      <c r="O26" s="379">
        <v>285.30651792105345206229388306</v>
      </c>
      <c r="P26" s="4"/>
      <c r="Q26" s="359">
        <v>78.579481397970687711386696730</v>
      </c>
      <c r="R26" s="170">
        <v>62.095562557544971225987705940</v>
      </c>
      <c r="S26" s="360">
        <v>59.328729545955967642817305770</v>
      </c>
      <c r="T26" s="359">
        <v>1.3152950018789928598271326600</v>
      </c>
      <c r="U26" s="170">
        <v>23.566721284045205811437964320</v>
      </c>
      <c r="V26" s="360">
        <v>32.684049704238381875735616480</v>
      </c>
      <c r="W26" s="359">
        <v>20.105223600150319428786170610</v>
      </c>
      <c r="X26" s="170">
        <v>14.337716158409822962574329740</v>
      </c>
      <c r="Y26" s="360">
        <v>7.987220749805650481447077750</v>
      </c>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28</v>
      </c>
      <c r="C27" s="345" t="s">
        <v>50</v>
      </c>
      <c r="D27" s="370">
        <v>126.500000000</v>
      </c>
      <c r="E27" s="172">
        <v>167.28067700987306064880112836</v>
      </c>
      <c r="F27" s="371">
        <v>175.7841774246938099966898378</v>
      </c>
      <c r="G27" s="370">
        <v>0.5104166666666666666666666667</v>
      </c>
      <c r="H27" s="172">
        <v>56.699952300061578557464116516</v>
      </c>
      <c r="I27" s="371">
        <v>77.490022822971789774460331837</v>
      </c>
      <c r="J27" s="370">
        <v>29.364583333333333333333333333</v>
      </c>
      <c r="K27" s="172">
        <v>38.364573095275886177263585056</v>
      </c>
      <c r="L27" s="371">
        <v>31.046775216217970644874237355</v>
      </c>
      <c r="M27" s="370">
        <v>156.375000000</v>
      </c>
      <c r="N27" s="172">
        <v>262.34520240521052538352882993</v>
      </c>
      <c r="O27" s="371">
        <v>284.320975463883570416024407</v>
      </c>
      <c r="P27" s="4"/>
      <c r="Q27" s="327">
        <v>80.89528377298161470823341327</v>
      </c>
      <c r="R27" s="171">
        <v>63.763573900427707400405725370</v>
      </c>
      <c r="S27" s="328">
        <v>61.825961710314665096670416430</v>
      </c>
      <c r="T27" s="327">
        <v>0.3264055422328803623767652500</v>
      </c>
      <c r="U27" s="171">
        <v>21.612726964407961261391399380</v>
      </c>
      <c r="V27" s="328">
        <v>27.254416490567756902902039940</v>
      </c>
      <c r="W27" s="327">
        <v>18.778310684785504929389821480</v>
      </c>
      <c r="X27" s="171">
        <v>14.623699135164331338202875250</v>
      </c>
      <c r="Y27" s="328">
        <v>10.919621799117578000427543620</v>
      </c>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29</v>
      </c>
      <c r="C28" s="347" t="s">
        <v>51</v>
      </c>
      <c r="D28" s="378">
        <v>155.880000000</v>
      </c>
      <c r="E28" s="173">
        <v>174.64693661971830985915492958</v>
      </c>
      <c r="F28" s="379">
        <v>175.72698219449094506163445442</v>
      </c>
      <c r="G28" s="378">
        <v>1.36</v>
      </c>
      <c r="H28" s="173">
        <v>92.19248840417956650702151469</v>
      </c>
      <c r="I28" s="379">
        <v>57.483487886548801279751671577</v>
      </c>
      <c r="J28" s="378">
        <v>25.01</v>
      </c>
      <c r="K28" s="173">
        <v>34.926568613455150463889037061</v>
      </c>
      <c r="L28" s="379">
        <v>27.19231913215963813515787711</v>
      </c>
      <c r="M28" s="378">
        <v>182.250000000</v>
      </c>
      <c r="N28" s="173">
        <v>301.76599363735302683006548134</v>
      </c>
      <c r="O28" s="379">
        <v>260.4027892131993844765440031</v>
      </c>
      <c r="P28" s="4"/>
      <c r="Q28" s="359">
        <v>85.53086419753086419753086420</v>
      </c>
      <c r="R28" s="170">
        <v>57.874956191916073456760727290</v>
      </c>
      <c r="S28" s="360">
        <v>67.482757279768659433738815650</v>
      </c>
      <c r="T28" s="359">
        <v>0.746227709190672153635116600</v>
      </c>
      <c r="U28" s="170">
        <v>30.550986641315122748821673670</v>
      </c>
      <c r="V28" s="360">
        <v>22.074835703654997118848387790</v>
      </c>
      <c r="W28" s="359">
        <v>13.722908093278463648834019200</v>
      </c>
      <c r="X28" s="170">
        <v>11.574057166768803794417599040</v>
      </c>
      <c r="Y28" s="360">
        <v>10.442407016576343447412796560</v>
      </c>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30</v>
      </c>
      <c r="C29" s="345" t="s">
        <v>52</v>
      </c>
      <c r="D29" s="370">
        <v>221.08247422680412371134020619</v>
      </c>
      <c r="E29" s="172">
        <v>259.52308553971486761710794297</v>
      </c>
      <c r="F29" s="371">
        <v>205.89852960657040667638097761</v>
      </c>
      <c r="G29" s="370">
        <v>1.1752577319587628865979381443</v>
      </c>
      <c r="H29" s="172">
        <v>78.996671399123322608015282576</v>
      </c>
      <c r="I29" s="371">
        <v>65.064890588217673578140702884</v>
      </c>
      <c r="J29" s="370">
        <v>23.876288659793814432989690722</v>
      </c>
      <c r="K29" s="172">
        <v>32.318343992964301737498966928</v>
      </c>
      <c r="L29" s="371">
        <v>33.220597704304226118122724638</v>
      </c>
      <c r="M29" s="370">
        <v>246.13402061855670103092783505</v>
      </c>
      <c r="N29" s="172">
        <v>370.83810093180249196262219247</v>
      </c>
      <c r="O29" s="371">
        <v>304.18401789909230637264440514</v>
      </c>
      <c r="P29" s="4"/>
      <c r="Q29" s="327">
        <v>89.82198952879581151832460733</v>
      </c>
      <c r="R29" s="171">
        <v>69.982853673237160136277422440</v>
      </c>
      <c r="S29" s="328">
        <v>67.688805949980455450622162660</v>
      </c>
      <c r="T29" s="327">
        <v>0.4774869109947643979057591600</v>
      </c>
      <c r="U29" s="171">
        <v>21.302199315719959341095763560</v>
      </c>
      <c r="V29" s="328">
        <v>21.389976711334586205964614150</v>
      </c>
      <c r="W29" s="327">
        <v>9.700523560209424083769633510</v>
      </c>
      <c r="X29" s="171">
        <v>8.714947011042880522626814010</v>
      </c>
      <c r="Y29" s="328">
        <v>10.921217338684958343413223190</v>
      </c>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31</v>
      </c>
      <c r="C30" s="347" t="s">
        <v>53</v>
      </c>
      <c r="D30" s="378">
        <v>237.72916666666666666666666667</v>
      </c>
      <c r="E30" s="173">
        <v>246.6597745901639344262295082</v>
      </c>
      <c r="F30" s="379">
        <v>205.52435897435897435897435897</v>
      </c>
      <c r="G30" s="378">
        <v>2.1354166666666666666666666667</v>
      </c>
      <c r="H30" s="173">
        <v>138.24390098749397041903238538</v>
      </c>
      <c r="I30" s="379">
        <v>75.298079687679973143650786409</v>
      </c>
      <c r="J30" s="378">
        <v>32.041666666666666666666666667</v>
      </c>
      <c r="K30" s="173">
        <v>30.685658220714315584571879424</v>
      </c>
      <c r="L30" s="379">
        <v>56.400510564759601926860662881</v>
      </c>
      <c r="M30" s="378">
        <v>271.906250000</v>
      </c>
      <c r="N30" s="173">
        <v>415.589333798372220429833773</v>
      </c>
      <c r="O30" s="379">
        <v>337.22294922679854942948580827</v>
      </c>
      <c r="P30" s="4"/>
      <c r="Q30" s="359">
        <v>87.43056353675822702371374938</v>
      </c>
      <c r="R30" s="170">
        <v>59.351805864640804936033430940</v>
      </c>
      <c r="S30" s="360">
        <v>60.946136508679313169749728580</v>
      </c>
      <c r="T30" s="359">
        <v>0.7853503428724667662720760100</v>
      </c>
      <c r="U30" s="170">
        <v>33.264545007443461939679910930</v>
      </c>
      <c r="V30" s="360">
        <v>22.328871703520514559077455420</v>
      </c>
      <c r="W30" s="359">
        <v>11.784086120369306210014174620</v>
      </c>
      <c r="X30" s="170">
        <v>7.3836491279157331242866581300</v>
      </c>
      <c r="Y30" s="360">
        <v>16.72499178780017227117281600</v>
      </c>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t="s">
        <v>181</v>
      </c>
      <c r="B31" s="660">
        <v>1</v>
      </c>
      <c r="C31" s="667" t="s">
        <v>49</v>
      </c>
      <c r="D31" s="668">
        <v>162.56666666666666666666666667</v>
      </c>
      <c r="E31" s="669">
        <v>181.6984320987654320987654321</v>
      </c>
      <c r="F31" s="670">
        <v>164.23688258417364553067851649</v>
      </c>
      <c r="G31" s="668">
        <v>2.5444444444444444444444444444</v>
      </c>
      <c r="H31" s="669">
        <v>75.139205706756099064478812937</v>
      </c>
      <c r="I31" s="670">
        <v>61.152755801291483003806112695</v>
      </c>
      <c r="J31" s="668">
        <v>31.066666666666666666666666667</v>
      </c>
      <c r="K31" s="669">
        <v>37.566763232588708384925832574</v>
      </c>
      <c r="L31" s="670">
        <v>25.665074071452316402071142856</v>
      </c>
      <c r="M31" s="668">
        <v>196.17777777777777777777777778</v>
      </c>
      <c r="N31" s="669">
        <v>294.4044010381102395481700776</v>
      </c>
      <c r="O31" s="670">
        <v>251.05471245691744493655577204</v>
      </c>
      <c r="P31" s="4"/>
      <c r="Q31" s="662">
        <v>82.86701404621658359764386044</v>
      </c>
      <c r="R31" s="663">
        <v>61.717294802004275475172425530</v>
      </c>
      <c r="S31" s="664">
        <v>65.418761104656706774789291270</v>
      </c>
      <c r="T31" s="662">
        <v>1.2970095151789759855006796600</v>
      </c>
      <c r="U31" s="663">
        <v>25.522446485787905585756350960</v>
      </c>
      <c r="V31" s="664">
        <v>24.358338149810941091073266900</v>
      </c>
      <c r="W31" s="662">
        <v>15.835976438604440416855459900</v>
      </c>
      <c r="X31" s="663">
        <v>12.760258712207818939071223500</v>
      </c>
      <c r="Y31" s="664">
        <v>10.222900745532352134137441840</v>
      </c>
      <c r="Z31" s="673"/>
      <c r="AA31" s="673"/>
      <c r="AB31" s="674"/>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2</v>
      </c>
      <c r="C32" s="347" t="s">
        <v>47</v>
      </c>
      <c r="D32" s="378">
        <v>141.94318181818181818181818182</v>
      </c>
      <c r="E32" s="173">
        <v>162.30720963172804532577903684</v>
      </c>
      <c r="F32" s="379">
        <v>165.14677685950413223140495868</v>
      </c>
      <c r="G32" s="378">
        <v>2.5340909090909090909090909091</v>
      </c>
      <c r="H32" s="173">
        <v>58.627690411198299891189396184</v>
      </c>
      <c r="I32" s="379">
        <v>65.743146543799809453816796788</v>
      </c>
      <c r="J32" s="378">
        <v>30.488636363636363636363636364</v>
      </c>
      <c r="K32" s="173">
        <v>38.290318518422426689345762483</v>
      </c>
      <c r="L32" s="379">
        <v>21.190117883821314120282198689</v>
      </c>
      <c r="M32" s="378">
        <v>174.96590909090909090909090909</v>
      </c>
      <c r="N32" s="173">
        <v>259.2252185613487719063141955</v>
      </c>
      <c r="O32" s="379">
        <v>252.08004128712525580550395417</v>
      </c>
      <c r="P32" s="4"/>
      <c r="Q32" s="359">
        <v>81.12619341430148730272130935</v>
      </c>
      <c r="R32" s="170">
        <v>62.612430431152703684796588130</v>
      </c>
      <c r="S32" s="360">
        <v>65.513626551416644845827900620</v>
      </c>
      <c r="T32" s="359">
        <v>1.4483340910566993570176008300</v>
      </c>
      <c r="U32" s="170">
        <v>22.616507273702365663420502700</v>
      </c>
      <c r="V32" s="360">
        <v>26.080266493179750621556469180</v>
      </c>
      <c r="W32" s="359">
        <v>17.425472494641813340261089820</v>
      </c>
      <c r="X32" s="170">
        <v>14.771062295144930651782909170</v>
      </c>
      <c r="Y32" s="360">
        <v>8.406106955403604532615630200</v>
      </c>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3</v>
      </c>
      <c r="C33" s="345" t="s">
        <v>48</v>
      </c>
      <c r="D33" s="370">
        <v>143.66666666666666666666666667</v>
      </c>
      <c r="E33" s="172">
        <v>151.69408099688473520249221184</v>
      </c>
      <c r="F33" s="371">
        <v>166.93387013876991605276683228</v>
      </c>
      <c r="G33" s="370">
        <v>2.0476190476190476190476190476</v>
      </c>
      <c r="H33" s="172">
        <v>37.370567221735832604955829561</v>
      </c>
      <c r="I33" s="371">
        <v>62.174546696752010384732401455</v>
      </c>
      <c r="J33" s="370">
        <v>31.011904761904761904761904762</v>
      </c>
      <c r="K33" s="172">
        <v>35.716375138886563788908524801</v>
      </c>
      <c r="L33" s="371">
        <v>18.901978655383781279687362157</v>
      </c>
      <c r="M33" s="370">
        <v>176.72619047619047619047619048</v>
      </c>
      <c r="N33" s="172">
        <v>224.7810233575071315963565662</v>
      </c>
      <c r="O33" s="371">
        <v>248.01039549090570771718659589</v>
      </c>
      <c r="P33" s="4"/>
      <c r="Q33" s="327">
        <v>81.29336476928258672953856517</v>
      </c>
      <c r="R33" s="171">
        <v>67.485270211453785144252729490</v>
      </c>
      <c r="S33" s="328">
        <v>67.309222989764238944873835780</v>
      </c>
      <c r="T33" s="327">
        <v>1.1586392724823172785449646300</v>
      </c>
      <c r="U33" s="171">
        <v>16.625321240885679000573658170</v>
      </c>
      <c r="V33" s="328">
        <v>25.069330893846297910348851450</v>
      </c>
      <c r="W33" s="327">
        <v>17.547995958235095991916470190</v>
      </c>
      <c r="X33" s="171">
        <v>15.889408547660535855173612340</v>
      </c>
      <c r="Y33" s="328">
        <v>7.6214461163894631447773127700</v>
      </c>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4</v>
      </c>
      <c r="C34" s="347" t="s">
        <v>50</v>
      </c>
      <c r="D34" s="378">
        <v>139.72368421052631578947368421</v>
      </c>
      <c r="E34" s="173">
        <v>151.30185007974481658692185008</v>
      </c>
      <c r="F34" s="379">
        <v>166.89609763931267062791071142</v>
      </c>
      <c r="G34" s="378">
        <v>0</v>
      </c>
      <c r="H34" s="173">
        <v>46.127289458278687542241305094</v>
      </c>
      <c r="I34" s="379">
        <v>57.518586185270969623500814561</v>
      </c>
      <c r="J34" s="378">
        <v>30.776315789473684210526315789</v>
      </c>
      <c r="K34" s="173">
        <v>39.079799417583343968109583132</v>
      </c>
      <c r="L34" s="379">
        <v>18.923132783989755859879000384</v>
      </c>
      <c r="M34" s="378">
        <v>170.500000000</v>
      </c>
      <c r="N34" s="173">
        <v>236.5089389556068480972727383</v>
      </c>
      <c r="O34" s="379">
        <v>243.33781660857339611129052637</v>
      </c>
      <c r="P34" s="4"/>
      <c r="Q34" s="359">
        <v>81.94937490353449606420743942</v>
      </c>
      <c r="R34" s="170">
        <v>63.972994318047507342314769800</v>
      </c>
      <c r="S34" s="360">
        <v>68.586173725630653282040884500</v>
      </c>
      <c r="T34" s="359">
        <v>0</v>
      </c>
      <c r="U34" s="170">
        <v>19.503402138612977533096760280</v>
      </c>
      <c r="V34" s="360">
        <v>23.637339640387176411428081450</v>
      </c>
      <c r="W34" s="359">
        <v>18.050625096465503935792560580</v>
      </c>
      <c r="X34" s="170">
        <v>16.523603543339515124588469920</v>
      </c>
      <c r="Y34" s="360">
        <v>7.7764866339821703065310340400</v>
      </c>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5</v>
      </c>
      <c r="C35" s="345" t="s">
        <v>51</v>
      </c>
      <c r="D35" s="370">
        <v>140.22935779816513761467889908</v>
      </c>
      <c r="E35" s="172">
        <v>165.87624169986719787516600265</v>
      </c>
      <c r="F35" s="371">
        <v>172.03059744779582366589327146</v>
      </c>
      <c r="G35" s="370">
        <v>0.2477064220183486238532110092</v>
      </c>
      <c r="H35" s="172">
        <v>80.1611928121941657350806069</v>
      </c>
      <c r="I35" s="371">
        <v>83.60813935853522012428015713</v>
      </c>
      <c r="J35" s="370">
        <v>31.183486238532110091743119266</v>
      </c>
      <c r="K35" s="172">
        <v>29.965425569777608727814178384</v>
      </c>
      <c r="L35" s="371">
        <v>18.551840204187714477542903184</v>
      </c>
      <c r="M35" s="370">
        <v>171.66055045871559633027522936</v>
      </c>
      <c r="N35" s="172">
        <v>276.00286008183897233806078793</v>
      </c>
      <c r="O35" s="371">
        <v>274.19057701051875826771633179</v>
      </c>
      <c r="P35" s="4"/>
      <c r="Q35" s="327">
        <v>81.68991502324835658168991502</v>
      </c>
      <c r="R35" s="171">
        <v>60.099464784778829289895138080</v>
      </c>
      <c r="S35" s="328">
        <v>62.741250747357456841281957750</v>
      </c>
      <c r="T35" s="327">
        <v>0.1443001443001443001443001400</v>
      </c>
      <c r="U35" s="171">
        <v>29.043609471447206820164299850</v>
      </c>
      <c r="V35" s="328">
        <v>30.492710679597047421005726920</v>
      </c>
      <c r="W35" s="327">
        <v>18.165784832451499118165784830</v>
      </c>
      <c r="X35" s="171">
        <v>10.856925743773963889940562070</v>
      </c>
      <c r="Y35" s="328">
        <v>6.7660385730454957377123153200</v>
      </c>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6</v>
      </c>
      <c r="C36" s="347" t="s">
        <v>52</v>
      </c>
      <c r="D36" s="378">
        <v>187.02608695652173913043478261</v>
      </c>
      <c r="E36" s="173">
        <v>195.91186635944700460829493088</v>
      </c>
      <c r="F36" s="379">
        <v>192.95555857569991845610220169</v>
      </c>
      <c r="G36" s="378">
        <v>2.0869565217391304347826086957</v>
      </c>
      <c r="H36" s="173">
        <v>96.36279007254393316617259917</v>
      </c>
      <c r="I36" s="379">
        <v>70.993455622442589513909403962</v>
      </c>
      <c r="J36" s="378">
        <v>31.982608695652173913043478261</v>
      </c>
      <c r="K36" s="173">
        <v>36.33035800097363203274871745</v>
      </c>
      <c r="L36" s="379">
        <v>21.961484098882548740686655753</v>
      </c>
      <c r="M36" s="378">
        <v>221.09565217391304347826086957</v>
      </c>
      <c r="N36" s="173">
        <v>328.6050144329645698072162475</v>
      </c>
      <c r="O36" s="379">
        <v>285.9104982970250567106982614</v>
      </c>
      <c r="P36" s="4"/>
      <c r="Q36" s="359">
        <v>84.59057657515928577047117124</v>
      </c>
      <c r="R36" s="170">
        <v>59.619256479548649634833697910</v>
      </c>
      <c r="S36" s="360">
        <v>67.488098452139856632918010930</v>
      </c>
      <c r="T36" s="359">
        <v>0.9439156768661999528042161600</v>
      </c>
      <c r="U36" s="170">
        <v>29.324808155720321324119127750</v>
      </c>
      <c r="V36" s="360">
        <v>24.830657162049823017233825970</v>
      </c>
      <c r="W36" s="359">
        <v>14.465507747974514276724612600</v>
      </c>
      <c r="X36" s="170">
        <v>11.055935364731029041047174340</v>
      </c>
      <c r="Y36" s="360">
        <v>7.681244385810320349848163100</v>
      </c>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7</v>
      </c>
      <c r="C37" s="349" t="s">
        <v>53</v>
      </c>
      <c r="D37" s="380">
        <v>197.89915966386554621848739496</v>
      </c>
      <c r="E37" s="383">
        <v>203.39514563106796116504854369</v>
      </c>
      <c r="F37" s="381">
        <v>194.49033634538152610441767068</v>
      </c>
      <c r="G37" s="380">
        <v>0.5798319327731092436974789916</v>
      </c>
      <c r="H37" s="383">
        <v>80.12638376061306794223098418</v>
      </c>
      <c r="I37" s="381">
        <v>72.484371654626894893762341086</v>
      </c>
      <c r="J37" s="380">
        <v>33.411764705882352941176470588</v>
      </c>
      <c r="K37" s="383">
        <v>35.961942818693554101643209227</v>
      </c>
      <c r="L37" s="381">
        <v>23.448694958509102873470141471</v>
      </c>
      <c r="M37" s="380">
        <v>231.89075630252100840336134454</v>
      </c>
      <c r="N37" s="383">
        <v>319.4834722103745832089227371</v>
      </c>
      <c r="O37" s="381">
        <v>290.42340295851752387165015324</v>
      </c>
      <c r="P37" s="4"/>
      <c r="Q37" s="329">
        <v>85.34154738177206015582533068</v>
      </c>
      <c r="R37" s="330">
        <v>63.663745803143024962649198880</v>
      </c>
      <c r="S37" s="332">
        <v>66.967859464535457020473128040</v>
      </c>
      <c r="T37" s="329">
        <v>0.2500452980612429788005073400</v>
      </c>
      <c r="U37" s="330">
        <v>25.079977754796394998389002650</v>
      </c>
      <c r="V37" s="332">
        <v>24.958171730044827869381706390</v>
      </c>
      <c r="W37" s="329">
        <v>14.408407320166696865374161990</v>
      </c>
      <c r="X37" s="330">
        <v>11.256276442060580038961798480</v>
      </c>
      <c r="Y37" s="332">
        <v>8.073968805419715110145165570</v>
      </c>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179.4296116504854368932038835</v>
      </c>
      <c r="E39" s="382">
        <v>198.47394048692515779981965734</v>
      </c>
      <c r="F39" s="375">
        <v>186.25262146802209237172816777</v>
      </c>
      <c r="G39" s="374">
        <v>2.3033980582524271844660194175</v>
      </c>
      <c r="H39" s="382">
        <v>102.18922932290345950564325932</v>
      </c>
      <c r="I39" s="375">
        <v>83.64558470233379694819985527</v>
      </c>
      <c r="J39" s="374">
        <v>30.885922330097087378640776699</v>
      </c>
      <c r="K39" s="382">
        <v>33.606861998478568637663054191</v>
      </c>
      <c r="L39" s="375">
        <v>27.775993979060823041884996347</v>
      </c>
      <c r="M39" s="374">
        <v>212.61893203883495145631067961</v>
      </c>
      <c r="N39" s="382">
        <v>334.27003180830718594312597085</v>
      </c>
      <c r="O39" s="375">
        <v>297.67420014941671236181301939</v>
      </c>
      <c r="P39" s="4"/>
      <c r="Q39" s="354">
        <v>84.39023276521421477414125732</v>
      </c>
      <c r="R39" s="355">
        <v>59.375331797839239797213897660</v>
      </c>
      <c r="S39" s="356">
        <v>62.569285942326584691734032020</v>
      </c>
      <c r="T39" s="354">
        <v>1.0833457002933823445473121800</v>
      </c>
      <c r="U39" s="355">
        <v>30.570861758108667273887872070</v>
      </c>
      <c r="V39" s="356">
        <v>28.099709232559669339727916460</v>
      </c>
      <c r="W39" s="354">
        <v>14.526421534492402881311430500</v>
      </c>
      <c r="X39" s="355">
        <v>10.053806444052092928898230270</v>
      </c>
      <c r="Y39" s="356">
        <v>9.331004825113745968538051520</v>
      </c>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157.00515463917525773195876289</v>
      </c>
      <c r="E40" s="172">
        <v>185.50226350189198486412108703</v>
      </c>
      <c r="F40" s="371">
        <v>182.1196061028697011960610287</v>
      </c>
      <c r="G40" s="370">
        <v>2.4355670103092783505154639175</v>
      </c>
      <c r="H40" s="172">
        <v>74.879255542944408032972313664</v>
      </c>
      <c r="I40" s="371">
        <v>75.136784986328110482314911086</v>
      </c>
      <c r="J40" s="370">
        <v>26.49226804123711340206185567</v>
      </c>
      <c r="K40" s="172">
        <v>32.43573082773178448619513194</v>
      </c>
      <c r="L40" s="371">
        <v>27.214295354260594919988521186</v>
      </c>
      <c r="M40" s="370">
        <v>185.93298969072164948453608247</v>
      </c>
      <c r="N40" s="172">
        <v>292.81724987256817738328853265</v>
      </c>
      <c r="O40" s="371">
        <v>284.47068644345840659836446097</v>
      </c>
      <c r="P40" s="4"/>
      <c r="Q40" s="327">
        <v>84.44179534806354134900612681</v>
      </c>
      <c r="R40" s="171">
        <v>63.35086596934475274674805600</v>
      </c>
      <c r="S40" s="328">
        <v>64.020517677862011274437575300</v>
      </c>
      <c r="T40" s="327">
        <v>1.3099165534640015524936929900</v>
      </c>
      <c r="U40" s="171">
        <v>25.572009700771141752880762290</v>
      </c>
      <c r="V40" s="328">
        <v>26.412839201715903557457374570</v>
      </c>
      <c r="W40" s="327">
        <v>14.248288098472457098500180200</v>
      </c>
      <c r="X40" s="171">
        <v>11.077124329884105500371181710</v>
      </c>
      <c r="Y40" s="328">
        <v>9.566643120422085168105050120</v>
      </c>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159.85078534031413612565445026</v>
      </c>
      <c r="E41" s="173">
        <v>185.19556758644778204680405169</v>
      </c>
      <c r="F41" s="379">
        <v>185.05296192976698391860846734</v>
      </c>
      <c r="G41" s="378">
        <v>1.3062827225130890052356020942</v>
      </c>
      <c r="H41" s="173">
        <v>41.564543239087374060732283241</v>
      </c>
      <c r="I41" s="379">
        <v>73.919939165233860920459210921</v>
      </c>
      <c r="J41" s="378">
        <v>28.086387434554973821989528796</v>
      </c>
      <c r="K41" s="173">
        <v>31.011030908499610464647386619</v>
      </c>
      <c r="L41" s="379">
        <v>23.350461079088517803420006399</v>
      </c>
      <c r="M41" s="378">
        <v>189.24345549738219895287958115</v>
      </c>
      <c r="N41" s="173">
        <v>257.77114173403476657218372155</v>
      </c>
      <c r="O41" s="379">
        <v>282.32336217408936264248768467</v>
      </c>
      <c r="P41" s="4"/>
      <c r="Q41" s="359">
        <v>84.46832939093386451978807874</v>
      </c>
      <c r="R41" s="170">
        <v>71.844957639800653612193557660</v>
      </c>
      <c r="S41" s="360">
        <v>65.546457262597196697956022260</v>
      </c>
      <c r="T41" s="359">
        <v>0.6902657315571786252783887300</v>
      </c>
      <c r="U41" s="170">
        <v>16.124591356302087958629061090</v>
      </c>
      <c r="V41" s="360">
        <v>26.182721329187248852618314160</v>
      </c>
      <c r="W41" s="359">
        <v>14.841404877508956854933532530</v>
      </c>
      <c r="X41" s="170">
        <v>12.030451003897258429177381250</v>
      </c>
      <c r="Y41" s="360">
        <v>8.270821408215554449425663580</v>
      </c>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153.72704081632653061224489796</v>
      </c>
      <c r="E42" s="172">
        <v>179.7871103565365025466893039</v>
      </c>
      <c r="F42" s="371">
        <v>185.86186048291432288677151494</v>
      </c>
      <c r="G42" s="370">
        <v>0.8010204081632653061224489796</v>
      </c>
      <c r="H42" s="172">
        <v>53.131703525670958839406908907</v>
      </c>
      <c r="I42" s="371">
        <v>83.79534332302702110350323999</v>
      </c>
      <c r="J42" s="370">
        <v>27.961734693877551020408163265</v>
      </c>
      <c r="K42" s="172">
        <v>34.704407536981953590481610353</v>
      </c>
      <c r="L42" s="371">
        <v>26.065089852471273465032676488</v>
      </c>
      <c r="M42" s="370">
        <v>182.4897959183673469387755102</v>
      </c>
      <c r="N42" s="172">
        <v>267.62322141918941497657782316</v>
      </c>
      <c r="O42" s="371">
        <v>295.72229365841261745530743142</v>
      </c>
      <c r="P42" s="4"/>
      <c r="Q42" s="327">
        <v>84.23870498769850145381346455</v>
      </c>
      <c r="R42" s="171">
        <v>67.179189235947672942219058220</v>
      </c>
      <c r="S42" s="328">
        <v>62.850134896357341798872622800</v>
      </c>
      <c r="T42" s="327">
        <v>0.4389398344889286513084321200</v>
      </c>
      <c r="U42" s="171">
        <v>19.853173892727550478214896010</v>
      </c>
      <c r="V42" s="328">
        <v>28.335822195339325503501229350</v>
      </c>
      <c r="W42" s="327">
        <v>15.322355177812569894878103330</v>
      </c>
      <c r="X42" s="171">
        <v>12.967636871324776579566045760</v>
      </c>
      <c r="Y42" s="328">
        <v>8.814042908303332697626147860</v>
      </c>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164.22850678733031674208144796</v>
      </c>
      <c r="E43" s="173">
        <v>185.35394809160305343511450382</v>
      </c>
      <c r="F43" s="379">
        <v>186.7478412902305002497680725</v>
      </c>
      <c r="G43" s="378">
        <v>1.2194570135746606334841628959</v>
      </c>
      <c r="H43" s="173">
        <v>68.444377190722471838821785411</v>
      </c>
      <c r="I43" s="379">
        <v>72.860283930462368904497523649</v>
      </c>
      <c r="J43" s="378">
        <v>27.409502262443438914027149321</v>
      </c>
      <c r="K43" s="173">
        <v>35.365127027191617190548757905</v>
      </c>
      <c r="L43" s="379">
        <v>21.441316411154321765444322423</v>
      </c>
      <c r="M43" s="378">
        <v>192.85746606334841628959276018</v>
      </c>
      <c r="N43" s="173">
        <v>289.16345230951714246448504711</v>
      </c>
      <c r="O43" s="379">
        <v>281.04944163184719091970991858</v>
      </c>
      <c r="P43" s="4"/>
      <c r="Q43" s="359">
        <v>85.15537932733479581901153174</v>
      </c>
      <c r="R43" s="170">
        <v>64.100060575152622546814162330</v>
      </c>
      <c r="S43" s="360">
        <v>66.446615302248342846298633950</v>
      </c>
      <c r="T43" s="359">
        <v>0.6323099843975458395410766900</v>
      </c>
      <c r="U43" s="170">
        <v>23.669788365045669486592404690</v>
      </c>
      <c r="V43" s="360">
        <v>25.924365302921913648005250920</v>
      </c>
      <c r="W43" s="359">
        <v>14.212310688267658341447391570</v>
      </c>
      <c r="X43" s="170">
        <v>12.230151059801707966593432990</v>
      </c>
      <c r="Y43" s="360">
        <v>7.6290193948297435056961151300</v>
      </c>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227.9810874704491725768321513</v>
      </c>
      <c r="E44" s="172">
        <v>236.26096809380965366784837742</v>
      </c>
      <c r="F44" s="371">
        <v>211.13059265983659706912203346</v>
      </c>
      <c r="G44" s="370">
        <v>1.3333333333333333333333333333</v>
      </c>
      <c r="H44" s="172">
        <v>79.009955538509685832964675931</v>
      </c>
      <c r="I44" s="371">
        <v>84.40853093891211891139894852</v>
      </c>
      <c r="J44" s="370">
        <v>30.243498817966903073286052009</v>
      </c>
      <c r="K44" s="172">
        <v>41.227333576903678389889025555</v>
      </c>
      <c r="L44" s="371">
        <v>29.051324029942785839584448979</v>
      </c>
      <c r="M44" s="370">
        <v>259.55791962174940898345153664</v>
      </c>
      <c r="N44" s="172">
        <v>356.49825720922301789070207889</v>
      </c>
      <c r="O44" s="371">
        <v>324.59044762869150182010543094</v>
      </c>
      <c r="P44" s="4"/>
      <c r="Q44" s="327">
        <v>87.83437924093521444900858889</v>
      </c>
      <c r="R44" s="171">
        <v>66.272685298192619620511116970</v>
      </c>
      <c r="S44" s="328">
        <v>65.045226747200845430257571850</v>
      </c>
      <c r="T44" s="327">
        <v>0.5136939513448034027670252200</v>
      </c>
      <c r="U44" s="171">
        <v>22.162788720770668570934459750</v>
      </c>
      <c r="V44" s="328">
        <v>26.004625692333837262797927480</v>
      </c>
      <c r="W44" s="327">
        <v>11.651926807719982148224385890</v>
      </c>
      <c r="X44" s="171">
        <v>11.564525981036711808554423280</v>
      </c>
      <c r="Y44" s="328">
        <v>8.950147560465317306944500680</v>
      </c>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251.0974025974025974025974026</v>
      </c>
      <c r="E45" s="385">
        <v>249.53988738162272843614026106</v>
      </c>
      <c r="F45" s="386">
        <v>215.8259204803038657109599951</v>
      </c>
      <c r="G45" s="384">
        <v>0.9588744588744588744588744589</v>
      </c>
      <c r="H45" s="385">
        <v>86.03454363870527710571885655</v>
      </c>
      <c r="I45" s="386">
        <v>77.732760763847547268667634013</v>
      </c>
      <c r="J45" s="384">
        <v>32.699134199134199134199134199</v>
      </c>
      <c r="K45" s="385">
        <v>35.256015045567282824992120846</v>
      </c>
      <c r="L45" s="386">
        <v>33.042241589324123419300901155</v>
      </c>
      <c r="M45" s="384">
        <v>284.75541125541125541125541126</v>
      </c>
      <c r="N45" s="385">
        <v>370.83044606589528836685123843</v>
      </c>
      <c r="O45" s="386">
        <v>326.60092283347553639892853026</v>
      </c>
      <c r="P45" s="4"/>
      <c r="Q45" s="364">
        <v>88.18002842874191415128043358</v>
      </c>
      <c r="R45" s="365">
        <v>67.292178953742205154922542780</v>
      </c>
      <c r="S45" s="366">
        <v>66.082458863824866125177197190</v>
      </c>
      <c r="T45" s="364">
        <v>0.3367361675927544714458371700</v>
      </c>
      <c r="U45" s="365">
        <v>23.200507011071371445105625750</v>
      </c>
      <c r="V45" s="366">
        <v>23.800533106111661955656969600</v>
      </c>
      <c r="W45" s="364">
        <v>11.483235403665331377273729260</v>
      </c>
      <c r="X45" s="365">
        <v>9.507314035186423399971831470</v>
      </c>
      <c r="Y45" s="366">
        <v>10.117008030063471919165833220</v>
      </c>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161.75036710719530102790014684</v>
      </c>
      <c r="E47" s="382">
        <v>175.7963791486967935495968498</v>
      </c>
      <c r="F47" s="375">
        <v>176.01342369064888388507588715</v>
      </c>
      <c r="G47" s="374">
        <v>1.409691629955947136563876652</v>
      </c>
      <c r="H47" s="382">
        <v>70.026075082713713923865765698</v>
      </c>
      <c r="I47" s="375">
        <v>68.268537139420782402969742075</v>
      </c>
      <c r="J47" s="374">
        <v>31.535976505139500734214390602</v>
      </c>
      <c r="K47" s="382">
        <v>36.064209142735719910677898417</v>
      </c>
      <c r="L47" s="375">
        <v>21.280816037491558211880953251</v>
      </c>
      <c r="M47" s="374">
        <v>194.6960352422907488986784141</v>
      </c>
      <c r="N47" s="382">
        <v>281.88666337414622738414051393</v>
      </c>
      <c r="O47" s="375">
        <v>265.56277686756122449992658248</v>
      </c>
      <c r="P47" s="4"/>
      <c r="Q47" s="354">
        <v>83.07840830241047455274987178</v>
      </c>
      <c r="R47" s="355">
        <v>62.364205899079187701801436500</v>
      </c>
      <c r="S47" s="356">
        <v>66.279403223151456170596479680</v>
      </c>
      <c r="T47" s="354">
        <v>0.7240474251063444655624943400</v>
      </c>
      <c r="U47" s="355">
        <v>24.841925561326960199810685070</v>
      </c>
      <c r="V47" s="356">
        <v>25.707118273381730399886623340</v>
      </c>
      <c r="W47" s="354">
        <v>16.197544272483180981687633870</v>
      </c>
      <c r="X47" s="355">
        <v>12.793868539593852098387878430</v>
      </c>
      <c r="Y47" s="356">
        <v>8.013478503466813429516896980</v>
      </c>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186.55601516718372974836263357</v>
      </c>
      <c r="E48" s="172">
        <v>205.65380804683063212616312088</v>
      </c>
      <c r="F48" s="371">
        <v>194.69339494000167827473357389</v>
      </c>
      <c r="G48" s="370">
        <v>1.4660461909686315063771113409</v>
      </c>
      <c r="H48" s="172">
        <v>73.528964232798914880028041571</v>
      </c>
      <c r="I48" s="371">
        <v>78.892647828196789165259182979</v>
      </c>
      <c r="J48" s="370">
        <v>29.199931058255773871078938297</v>
      </c>
      <c r="K48" s="172">
        <v>35.028458131850528259802651487</v>
      </c>
      <c r="L48" s="371">
        <v>27.082889209533171109262159482</v>
      </c>
      <c r="M48" s="370">
        <v>217.22199241640813512581868321</v>
      </c>
      <c r="N48" s="172">
        <v>314.21123041148007526599381394</v>
      </c>
      <c r="O48" s="371">
        <v>300.66893197773163854925491635</v>
      </c>
      <c r="P48" s="4"/>
      <c r="Q48" s="327">
        <v>85.88265538489370176827826540</v>
      </c>
      <c r="R48" s="171">
        <v>65.450814020082469151125548660</v>
      </c>
      <c r="S48" s="328">
        <v>64.753412884847444865911434540</v>
      </c>
      <c r="T48" s="327">
        <v>0.6749068888744305026810608700</v>
      </c>
      <c r="U48" s="171">
        <v>23.401125458344676678469361550</v>
      </c>
      <c r="V48" s="328">
        <v>26.239042161509322125439110690</v>
      </c>
      <c r="W48" s="327">
        <v>13.442437726231867729040673730</v>
      </c>
      <c r="X48" s="171">
        <v>11.148060521572854170405089790</v>
      </c>
      <c r="Y48" s="328">
        <v>9.007544953643233008649454780</v>
      </c>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161.75036710719530102790014684</v>
      </c>
      <c r="E49" s="385">
        <v>175.7963791486967935495968498</v>
      </c>
      <c r="F49" s="386">
        <v>176.01342369064888388507588715</v>
      </c>
      <c r="G49" s="384">
        <v>1.409691629955947136563876652</v>
      </c>
      <c r="H49" s="385">
        <v>70.026075082713713923865765698</v>
      </c>
      <c r="I49" s="386">
        <v>68.268537139420782402969742075</v>
      </c>
      <c r="J49" s="384">
        <v>31.535976505139500734214390602</v>
      </c>
      <c r="K49" s="385">
        <v>36.064209142735719910677898417</v>
      </c>
      <c r="L49" s="386">
        <v>21.280816037491558211880953251</v>
      </c>
      <c r="M49" s="384">
        <v>194.6960352422907488986784141</v>
      </c>
      <c r="N49" s="385">
        <v>281.88666337414622738414051393</v>
      </c>
      <c r="O49" s="386">
        <v>265.56277686756122449992658248</v>
      </c>
      <c r="P49" s="4"/>
      <c r="Q49" s="364">
        <v>83.07840830241047455274987178</v>
      </c>
      <c r="R49" s="365">
        <v>62.364205899079187701801436500</v>
      </c>
      <c r="S49" s="366">
        <v>66.279403223151456170596479680</v>
      </c>
      <c r="T49" s="364">
        <v>0.7240474251063444655624943400</v>
      </c>
      <c r="U49" s="365">
        <v>24.841925561326960199810685070</v>
      </c>
      <c r="V49" s="366">
        <v>25.707118273381730399886623340</v>
      </c>
      <c r="W49" s="364">
        <v>16.197544272483180981687633870</v>
      </c>
      <c r="X49" s="365">
        <v>12.793868539593852098387878430</v>
      </c>
      <c r="Y49" s="366">
        <v>8.013478503466813429516896980</v>
      </c>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0" t="s">
        <v>114</v>
      </c>
      <c r="E53" s="650"/>
      <c r="F53" s="650"/>
      <c r="G53" s="650"/>
      <c r="H53" s="650"/>
      <c r="I53" s="650"/>
      <c r="J53" s="650"/>
      <c r="K53" s="650"/>
      <c r="L53" s="650"/>
      <c r="M53" s="650"/>
      <c r="N53" s="650"/>
      <c r="O53" s="650"/>
      <c r="P53" s="650"/>
      <c r="Q53" s="650"/>
      <c r="R53" s="650"/>
      <c r="S53" s="650"/>
      <c r="T53" s="650"/>
      <c r="U53" s="650"/>
      <c r="V53" s="650"/>
      <c r="W53" s="650"/>
      <c r="X53" s="650"/>
      <c r="Y53" s="650"/>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53"/>
</worksheet>
</file>

<file path=xl/worksheets/sheet8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160</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168</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179</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187</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75" t="s">
        <v>212</v>
      </c>
      <c r="I5" s="675"/>
      <c r="J5" s="675"/>
      <c r="K5" s="675"/>
      <c r="L5" s="675"/>
      <c r="M5" s="675"/>
      <c r="N5" s="675"/>
      <c r="O5" s="675"/>
      <c r="P5" s="675"/>
      <c r="Q5" s="675"/>
      <c r="R5" s="675"/>
      <c r="S5" s="675"/>
      <c r="T5" s="675"/>
      <c r="U5" s="675"/>
      <c r="V5" s="675"/>
      <c r="AB5" s="675" t="s">
        <v>214</v>
      </c>
      <c r="AC5" s="675"/>
      <c r="AD5" s="675"/>
      <c r="AE5" s="675"/>
      <c r="AF5" s="675"/>
      <c r="AG5" s="675"/>
      <c r="AH5" s="675"/>
      <c r="AI5" s="675"/>
      <c r="AJ5" s="675"/>
      <c r="AK5" s="675"/>
      <c r="AL5" s="675"/>
      <c r="AM5" s="675"/>
      <c r="AN5" s="675"/>
      <c r="AO5" s="675"/>
      <c r="AP5" s="675"/>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216</v>
      </c>
      <c r="D6" s="104" t="s">
        <v>217</v>
      </c>
      <c r="I6" s="676" t="s">
        <v>0</v>
      </c>
      <c r="J6" s="676"/>
      <c r="K6" s="676" t="s">
        <v>1</v>
      </c>
      <c r="L6" s="676"/>
      <c r="M6" s="676" t="s">
        <v>2</v>
      </c>
      <c r="N6" s="676"/>
      <c r="O6" s="676" t="s">
        <v>3</v>
      </c>
      <c r="P6" s="676"/>
      <c r="Q6" s="676" t="s">
        <v>4</v>
      </c>
      <c r="R6" s="676"/>
      <c r="S6" s="676" t="s">
        <v>5</v>
      </c>
      <c r="T6" s="676"/>
      <c r="U6" s="676" t="s">
        <v>6</v>
      </c>
      <c r="V6" s="676"/>
      <c r="AC6" s="676" t="s">
        <v>0</v>
      </c>
      <c r="AD6" s="676"/>
      <c r="AE6" s="676" t="s">
        <v>1</v>
      </c>
      <c r="AF6" s="676"/>
      <c r="AG6" s="676" t="s">
        <v>2</v>
      </c>
      <c r="AH6" s="676"/>
      <c r="AI6" s="676" t="s">
        <v>3</v>
      </c>
      <c r="AJ6" s="676"/>
      <c r="AK6" s="676" t="s">
        <v>4</v>
      </c>
      <c r="AL6" s="676"/>
      <c r="AM6" s="676" t="s">
        <v>5</v>
      </c>
      <c r="AN6" s="676"/>
      <c r="AO6" s="676" t="s">
        <v>6</v>
      </c>
      <c r="AP6" s="676"/>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218</v>
      </c>
      <c r="D7" s="104" t="s">
        <v>219</v>
      </c>
      <c r="E7" s="104"/>
      <c r="F7" s="104"/>
      <c r="G7" s="104"/>
      <c r="H7" s="97" t="s">
        <v>213</v>
      </c>
      <c r="I7" s="677">
        <v>27</v>
      </c>
      <c r="J7" s="677"/>
      <c r="K7" s="678">
        <v>28</v>
      </c>
      <c r="L7" s="678"/>
      <c r="M7" s="678">
        <v>29</v>
      </c>
      <c r="N7" s="678"/>
      <c r="O7" s="678">
        <v>30</v>
      </c>
      <c r="P7" s="678"/>
      <c r="Q7" s="678">
        <v>1</v>
      </c>
      <c r="R7" s="678"/>
      <c r="S7" s="678">
        <v>2</v>
      </c>
      <c r="T7" s="678"/>
      <c r="U7" s="679">
        <v>3</v>
      </c>
      <c r="V7" s="679"/>
      <c r="Y7" s="3"/>
      <c r="AB7" s="97" t="s">
        <v>213</v>
      </c>
      <c r="AC7" s="677">
        <v>28</v>
      </c>
      <c r="AD7" s="677"/>
      <c r="AE7" s="678">
        <v>29</v>
      </c>
      <c r="AF7" s="678"/>
      <c r="AG7" s="678">
        <v>30</v>
      </c>
      <c r="AH7" s="678"/>
      <c r="AI7" s="678">
        <v>1</v>
      </c>
      <c r="AJ7" s="678"/>
      <c r="AK7" s="678">
        <v>2</v>
      </c>
      <c r="AL7" s="678"/>
      <c r="AM7" s="678">
        <v>3</v>
      </c>
      <c r="AN7" s="678"/>
      <c r="AO7" s="679">
        <v>4</v>
      </c>
      <c r="AP7" s="679"/>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H8" s="97" t="s">
        <v>184</v>
      </c>
      <c r="I8" s="680">
        <v>4</v>
      </c>
      <c r="J8" s="680"/>
      <c r="K8" s="681">
        <v>5</v>
      </c>
      <c r="L8" s="681"/>
      <c r="M8" s="681">
        <v>6</v>
      </c>
      <c r="N8" s="681"/>
      <c r="O8" s="681">
        <v>7</v>
      </c>
      <c r="P8" s="681"/>
      <c r="Q8" s="681">
        <v>8</v>
      </c>
      <c r="R8" s="681"/>
      <c r="S8" s="681">
        <v>9</v>
      </c>
      <c r="T8" s="681"/>
      <c r="U8" s="682">
        <v>10</v>
      </c>
      <c r="V8" s="682"/>
      <c r="Y8" s="3"/>
      <c r="AB8" s="97" t="s">
        <v>184</v>
      </c>
      <c r="AC8" s="680">
        <v>5</v>
      </c>
      <c r="AD8" s="680"/>
      <c r="AE8" s="681">
        <v>6</v>
      </c>
      <c r="AF8" s="681"/>
      <c r="AG8" s="681">
        <v>7</v>
      </c>
      <c r="AH8" s="681"/>
      <c r="AI8" s="681">
        <v>8</v>
      </c>
      <c r="AJ8" s="681"/>
      <c r="AK8" s="681">
        <v>9</v>
      </c>
      <c r="AL8" s="681"/>
      <c r="AM8" s="681">
        <v>10</v>
      </c>
      <c r="AN8" s="681"/>
      <c r="AO8" s="682">
        <v>11</v>
      </c>
      <c r="AP8" s="682"/>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184</v>
      </c>
      <c r="I9" s="683">
        <v>11</v>
      </c>
      <c r="J9" s="683"/>
      <c r="K9" s="684">
        <v>12</v>
      </c>
      <c r="L9" s="684"/>
      <c r="M9" s="684">
        <v>13</v>
      </c>
      <c r="N9" s="684"/>
      <c r="O9" s="684">
        <v>14</v>
      </c>
      <c r="P9" s="684"/>
      <c r="Q9" s="684">
        <v>15</v>
      </c>
      <c r="R9" s="684"/>
      <c r="S9" s="684">
        <v>16</v>
      </c>
      <c r="T9" s="684"/>
      <c r="U9" s="685">
        <v>17</v>
      </c>
      <c r="V9" s="685"/>
      <c r="Y9" s="3"/>
      <c r="AB9" s="97" t="s">
        <v>184</v>
      </c>
      <c r="AC9" s="683">
        <v>12</v>
      </c>
      <c r="AD9" s="683"/>
      <c r="AE9" s="684">
        <v>13</v>
      </c>
      <c r="AF9" s="684"/>
      <c r="AG9" s="684">
        <v>14</v>
      </c>
      <c r="AH9" s="684"/>
      <c r="AI9" s="684">
        <v>15</v>
      </c>
      <c r="AJ9" s="684"/>
      <c r="AK9" s="684">
        <v>16</v>
      </c>
      <c r="AL9" s="684"/>
      <c r="AM9" s="684">
        <v>17</v>
      </c>
      <c r="AN9" s="684"/>
      <c r="AO9" s="685">
        <v>18</v>
      </c>
      <c r="AP9" s="685"/>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184</v>
      </c>
      <c r="I10" s="680">
        <v>18</v>
      </c>
      <c r="J10" s="680"/>
      <c r="K10" s="681">
        <v>19</v>
      </c>
      <c r="L10" s="681"/>
      <c r="M10" s="681">
        <v>20</v>
      </c>
      <c r="N10" s="681"/>
      <c r="O10" s="681">
        <v>21</v>
      </c>
      <c r="P10" s="681"/>
      <c r="Q10" s="681">
        <v>22</v>
      </c>
      <c r="R10" s="681"/>
      <c r="S10" s="681">
        <v>23</v>
      </c>
      <c r="T10" s="681"/>
      <c r="U10" s="682">
        <v>24</v>
      </c>
      <c r="V10" s="682"/>
      <c r="Y10" s="3"/>
      <c r="AB10" s="97" t="s">
        <v>184</v>
      </c>
      <c r="AC10" s="680">
        <v>19</v>
      </c>
      <c r="AD10" s="680"/>
      <c r="AE10" s="681">
        <v>20</v>
      </c>
      <c r="AF10" s="681"/>
      <c r="AG10" s="681">
        <v>21</v>
      </c>
      <c r="AH10" s="681"/>
      <c r="AI10" s="681">
        <v>22</v>
      </c>
      <c r="AJ10" s="681"/>
      <c r="AK10" s="681">
        <v>23</v>
      </c>
      <c r="AL10" s="681"/>
      <c r="AM10" s="681">
        <v>24</v>
      </c>
      <c r="AN10" s="681"/>
      <c r="AO10" s="682">
        <v>25</v>
      </c>
      <c r="AP10" s="682"/>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184</v>
      </c>
      <c r="I11" s="683">
        <v>25</v>
      </c>
      <c r="J11" s="683"/>
      <c r="K11" s="684">
        <v>26</v>
      </c>
      <c r="L11" s="684"/>
      <c r="M11" s="684">
        <v>27</v>
      </c>
      <c r="N11" s="684"/>
      <c r="O11" s="684">
        <v>28</v>
      </c>
      <c r="P11" s="684"/>
      <c r="Q11" s="684">
        <v>29</v>
      </c>
      <c r="R11" s="684"/>
      <c r="S11" s="684">
        <v>30</v>
      </c>
      <c r="T11" s="684"/>
      <c r="U11" s="685">
        <v>31</v>
      </c>
      <c r="V11" s="685"/>
      <c r="Y11" s="3"/>
      <c r="AB11" s="97" t="s">
        <v>215</v>
      </c>
      <c r="AC11" s="683">
        <v>26</v>
      </c>
      <c r="AD11" s="683"/>
      <c r="AE11" s="684">
        <v>27</v>
      </c>
      <c r="AF11" s="684"/>
      <c r="AG11" s="684">
        <v>28</v>
      </c>
      <c r="AH11" s="684"/>
      <c r="AI11" s="684">
        <v>29</v>
      </c>
      <c r="AJ11" s="684"/>
      <c r="AK11" s="684">
        <v>30</v>
      </c>
      <c r="AL11" s="684"/>
      <c r="AM11" s="684">
        <v>31</v>
      </c>
      <c r="AN11" s="684"/>
      <c r="AO11" s="685">
        <v>1</v>
      </c>
      <c r="AP11" s="685"/>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181</v>
      </c>
      <c r="I12" s="686">
        <v>1</v>
      </c>
      <c r="J12" s="686"/>
      <c r="K12" s="687">
        <v>2</v>
      </c>
      <c r="L12" s="687"/>
      <c r="M12" s="687">
        <v>3</v>
      </c>
      <c r="N12" s="687"/>
      <c r="O12" s="687">
        <v>4</v>
      </c>
      <c r="P12" s="687"/>
      <c r="Q12" s="687">
        <v>5</v>
      </c>
      <c r="R12" s="687"/>
      <c r="S12" s="687">
        <v>6</v>
      </c>
      <c r="T12" s="687"/>
      <c r="U12" s="688">
        <v>7</v>
      </c>
      <c r="V12" s="688"/>
      <c r="Y12" s="3"/>
      <c r="AB12" s="97" t="s">
        <v>181</v>
      </c>
      <c r="AC12" s="686">
        <v>2</v>
      </c>
      <c r="AD12" s="686"/>
      <c r="AE12" s="687">
        <v>3</v>
      </c>
      <c r="AF12" s="687"/>
      <c r="AG12" s="687">
        <v>4</v>
      </c>
      <c r="AH12" s="687"/>
      <c r="AI12" s="687">
        <v>5</v>
      </c>
      <c r="AJ12" s="687"/>
      <c r="AK12" s="687">
        <v>6</v>
      </c>
      <c r="AL12" s="687"/>
      <c r="AM12" s="687">
        <v>7</v>
      </c>
      <c r="AN12" s="687"/>
      <c r="AO12" s="688">
        <v>8</v>
      </c>
      <c r="AP12" s="688"/>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220</v>
      </c>
      <c r="D14" s="106" t="s">
        <v>217</v>
      </c>
      <c r="H14" s="97"/>
      <c r="O14" s="648"/>
      <c r="P14" s="648"/>
      <c r="Q14" s="648"/>
      <c r="R14" s="648"/>
      <c r="S14" s="648"/>
      <c r="T14" s="648"/>
      <c r="U14" s="648"/>
      <c r="W14" s="648"/>
      <c r="X14" s="648"/>
      <c r="Y14" s="648"/>
      <c r="Z14" s="648"/>
      <c r="AA14" s="648"/>
      <c r="AB14" s="648"/>
      <c r="AC14" s="648"/>
      <c r="AE14" s="648"/>
      <c r="AF14" s="648"/>
      <c r="AG14" s="648"/>
      <c r="AH14" s="648"/>
      <c r="AI14" s="648"/>
      <c r="AJ14" s="648"/>
      <c r="AK14" s="648"/>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221</v>
      </c>
      <c r="D15" s="104" t="s">
        <v>219</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222</v>
      </c>
      <c r="D16" s="104" t="s">
        <v>223</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224</v>
      </c>
      <c r="D17" s="104" t="s">
        <v>225</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226</v>
      </c>
      <c r="D18" s="104" t="s">
        <v>227</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228</v>
      </c>
      <c r="D19" s="104" t="s">
        <v>229</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689"/>
      <c r="AW20" s="689"/>
      <c r="AX20" s="689"/>
      <c r="AY20" s="689"/>
      <c r="AZ20" s="689"/>
      <c r="BA20" s="689"/>
      <c r="BB20" s="689"/>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45809</v>
      </c>
      <c r="R21" s="119">
        <v>45810</v>
      </c>
      <c r="S21" s="119">
        <v>45811</v>
      </c>
      <c r="T21" s="119">
        <v>45812</v>
      </c>
      <c r="U21" s="119">
        <v>45813</v>
      </c>
      <c r="V21" s="119">
        <v>45814</v>
      </c>
      <c r="W21" s="119">
        <v>45815</v>
      </c>
      <c r="X21" s="120"/>
      <c r="Y21" s="120"/>
      <c r="Z21" s="119">
        <v>45809</v>
      </c>
      <c r="AA21" s="119">
        <v>45810</v>
      </c>
      <c r="AB21" s="119">
        <v>45811</v>
      </c>
      <c r="AC21" s="119">
        <v>45812</v>
      </c>
      <c r="AD21" s="119">
        <v>45813</v>
      </c>
      <c r="AE21" s="119">
        <v>45814</v>
      </c>
      <c r="AF21" s="119">
        <v>45815</v>
      </c>
      <c r="AG21" s="120"/>
      <c r="AH21" s="120"/>
      <c r="AI21" s="119">
        <v>45809</v>
      </c>
      <c r="AJ21" s="119">
        <v>45810</v>
      </c>
      <c r="AK21" s="119">
        <v>45811</v>
      </c>
      <c r="AL21" s="119">
        <v>45812</v>
      </c>
      <c r="AM21" s="119">
        <v>45813</v>
      </c>
      <c r="AN21" s="119">
        <v>45814</v>
      </c>
      <c r="AO21" s="119">
        <v>45815</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690">
        <v>56387</v>
      </c>
      <c r="D22" s="690" t="s">
        <v>188</v>
      </c>
      <c r="E22" s="690" t="s">
        <v>189</v>
      </c>
      <c r="F22" s="690" t="s">
        <v>190</v>
      </c>
      <c r="G22" s="690" t="s">
        <v>191</v>
      </c>
      <c r="H22" s="691">
        <v>132</v>
      </c>
      <c r="I22" s="691" t="s">
        <v>192</v>
      </c>
      <c r="J22" s="691"/>
      <c r="K22" s="691"/>
      <c r="L22" s="691"/>
      <c r="M22" s="691"/>
      <c r="N22" s="691"/>
      <c r="O22" s="113"/>
      <c r="Q22" s="692" t="s">
        <v>193</v>
      </c>
      <c r="R22" s="693" t="s">
        <v>193</v>
      </c>
      <c r="S22" s="693" t="s">
        <v>193</v>
      </c>
      <c r="T22" s="693" t="s">
        <v>193</v>
      </c>
      <c r="U22" s="693" t="s">
        <v>193</v>
      </c>
      <c r="V22" s="693" t="s">
        <v>193</v>
      </c>
      <c r="W22" s="694" t="s">
        <v>193</v>
      </c>
      <c r="Z22" s="692" t="s">
        <v>193</v>
      </c>
      <c r="AA22" s="693" t="s">
        <v>193</v>
      </c>
      <c r="AB22" s="693" t="s">
        <v>193</v>
      </c>
      <c r="AC22" s="693" t="s">
        <v>193</v>
      </c>
      <c r="AD22" s="693" t="s">
        <v>193</v>
      </c>
      <c r="AE22" s="693" t="s">
        <v>193</v>
      </c>
      <c r="AF22" s="694" t="s">
        <v>193</v>
      </c>
      <c r="AI22" s="692" t="s">
        <v>193</v>
      </c>
      <c r="AJ22" s="693" t="s">
        <v>193</v>
      </c>
      <c r="AK22" s="693" t="s">
        <v>193</v>
      </c>
      <c r="AL22" s="693" t="s">
        <v>193</v>
      </c>
      <c r="AM22" s="693" t="s">
        <v>193</v>
      </c>
      <c r="AN22" s="693" t="s">
        <v>193</v>
      </c>
      <c r="AO22" s="694" t="s">
        <v>193</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695">
        <v>26819</v>
      </c>
      <c r="D23" s="695" t="s">
        <v>239</v>
      </c>
      <c r="E23" s="695" t="s">
        <v>189</v>
      </c>
      <c r="F23" s="695" t="s">
        <v>240</v>
      </c>
      <c r="G23" s="695" t="s">
        <v>241</v>
      </c>
      <c r="H23" s="696">
        <v>132</v>
      </c>
      <c r="I23" s="696" t="s">
        <v>242</v>
      </c>
      <c r="J23" s="696"/>
      <c r="K23" s="696"/>
      <c r="L23" s="696"/>
      <c r="M23" s="696"/>
      <c r="N23" s="696"/>
      <c r="O23" s="113"/>
      <c r="Q23" s="697" t="s">
        <v>193</v>
      </c>
      <c r="R23" s="698" t="s">
        <v>193</v>
      </c>
      <c r="S23" s="698" t="s">
        <v>193</v>
      </c>
      <c r="T23" s="698" t="s">
        <v>193</v>
      </c>
      <c r="U23" s="698" t="s">
        <v>193</v>
      </c>
      <c r="V23" s="698" t="s">
        <v>193</v>
      </c>
      <c r="W23" s="699" t="s">
        <v>193</v>
      </c>
      <c r="Z23" s="697" t="s">
        <v>193</v>
      </c>
      <c r="AA23" s="698" t="s">
        <v>193</v>
      </c>
      <c r="AB23" s="698" t="s">
        <v>193</v>
      </c>
      <c r="AC23" s="698" t="s">
        <v>193</v>
      </c>
      <c r="AD23" s="698" t="s">
        <v>193</v>
      </c>
      <c r="AE23" s="698" t="s">
        <v>193</v>
      </c>
      <c r="AF23" s="699" t="s">
        <v>193</v>
      </c>
      <c r="AI23" s="697" t="s">
        <v>193</v>
      </c>
      <c r="AJ23" s="698" t="s">
        <v>193</v>
      </c>
      <c r="AK23" s="698" t="s">
        <v>193</v>
      </c>
      <c r="AL23" s="698" t="s">
        <v>193</v>
      </c>
      <c r="AM23" s="698" t="s">
        <v>193</v>
      </c>
      <c r="AN23" s="698" t="s">
        <v>193</v>
      </c>
      <c r="AO23" s="699" t="s">
        <v>193</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690">
        <v>31851</v>
      </c>
      <c r="D24" s="690" t="s">
        <v>243</v>
      </c>
      <c r="E24" s="690" t="s">
        <v>189</v>
      </c>
      <c r="F24" s="690" t="s">
        <v>244</v>
      </c>
      <c r="G24" s="690" t="s">
        <v>245</v>
      </c>
      <c r="H24" s="691">
        <v>186</v>
      </c>
      <c r="I24" s="691" t="s">
        <v>246</v>
      </c>
      <c r="J24" s="691"/>
      <c r="K24" s="691"/>
      <c r="L24" s="691"/>
      <c r="M24" s="691"/>
      <c r="N24" s="691"/>
      <c r="O24" s="113"/>
      <c r="Q24" s="692" t="s">
        <v>193</v>
      </c>
      <c r="R24" s="693" t="s">
        <v>193</v>
      </c>
      <c r="S24" s="693" t="s">
        <v>193</v>
      </c>
      <c r="T24" s="693" t="s">
        <v>193</v>
      </c>
      <c r="U24" s="693" t="s">
        <v>193</v>
      </c>
      <c r="V24" s="693" t="s">
        <v>193</v>
      </c>
      <c r="W24" s="694" t="s">
        <v>193</v>
      </c>
      <c r="Z24" s="692" t="s">
        <v>193</v>
      </c>
      <c r="AA24" s="693" t="s">
        <v>193</v>
      </c>
      <c r="AB24" s="693" t="s">
        <v>193</v>
      </c>
      <c r="AC24" s="693" t="s">
        <v>193</v>
      </c>
      <c r="AD24" s="693" t="s">
        <v>193</v>
      </c>
      <c r="AE24" s="693" t="s">
        <v>193</v>
      </c>
      <c r="AF24" s="694" t="s">
        <v>193</v>
      </c>
      <c r="AI24" s="692" t="s">
        <v>193</v>
      </c>
      <c r="AJ24" s="693" t="s">
        <v>193</v>
      </c>
      <c r="AK24" s="693" t="s">
        <v>193</v>
      </c>
      <c r="AL24" s="693" t="s">
        <v>193</v>
      </c>
      <c r="AM24" s="693" t="s">
        <v>193</v>
      </c>
      <c r="AN24" s="693" t="s">
        <v>193</v>
      </c>
      <c r="AO24" s="694" t="s">
        <v>193</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695">
        <v>33931</v>
      </c>
      <c r="D25" s="695" t="s">
        <v>194</v>
      </c>
      <c r="E25" s="695" t="s">
        <v>189</v>
      </c>
      <c r="F25" s="695" t="s">
        <v>195</v>
      </c>
      <c r="G25" s="695" t="s">
        <v>196</v>
      </c>
      <c r="H25" s="696">
        <v>107</v>
      </c>
      <c r="I25" s="696" t="s">
        <v>197</v>
      </c>
      <c r="J25" s="696"/>
      <c r="K25" s="696"/>
      <c r="L25" s="696"/>
      <c r="M25" s="696"/>
      <c r="N25" s="696"/>
      <c r="O25" s="113"/>
      <c r="Q25" s="697" t="s">
        <v>193</v>
      </c>
      <c r="R25" s="698" t="s">
        <v>193</v>
      </c>
      <c r="S25" s="698" t="s">
        <v>193</v>
      </c>
      <c r="T25" s="698" t="s">
        <v>193</v>
      </c>
      <c r="U25" s="698" t="s">
        <v>193</v>
      </c>
      <c r="V25" s="698" t="s">
        <v>193</v>
      </c>
      <c r="W25" s="699" t="s">
        <v>193</v>
      </c>
      <c r="Z25" s="697" t="s">
        <v>193</v>
      </c>
      <c r="AA25" s="698" t="s">
        <v>193</v>
      </c>
      <c r="AB25" s="698" t="s">
        <v>193</v>
      </c>
      <c r="AC25" s="698" t="s">
        <v>193</v>
      </c>
      <c r="AD25" s="698" t="s">
        <v>193</v>
      </c>
      <c r="AE25" s="698" t="s">
        <v>193</v>
      </c>
      <c r="AF25" s="699" t="s">
        <v>193</v>
      </c>
      <c r="AI25" s="697" t="s">
        <v>193</v>
      </c>
      <c r="AJ25" s="698" t="s">
        <v>193</v>
      </c>
      <c r="AK25" s="698" t="s">
        <v>193</v>
      </c>
      <c r="AL25" s="698" t="s">
        <v>193</v>
      </c>
      <c r="AM25" s="698" t="s">
        <v>193</v>
      </c>
      <c r="AN25" s="698" t="s">
        <v>193</v>
      </c>
      <c r="AO25" s="699" t="s">
        <v>193</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690">
        <v>62556</v>
      </c>
      <c r="D26" s="690" t="s">
        <v>247</v>
      </c>
      <c r="E26" s="690" t="s">
        <v>189</v>
      </c>
      <c r="F26" s="690" t="s">
        <v>195</v>
      </c>
      <c r="G26" s="690" t="s">
        <v>248</v>
      </c>
      <c r="H26" s="691">
        <v>87</v>
      </c>
      <c r="I26" s="691" t="s">
        <v>249</v>
      </c>
      <c r="J26" s="691"/>
      <c r="K26" s="691"/>
      <c r="L26" s="691"/>
      <c r="M26" s="691"/>
      <c r="N26" s="691"/>
      <c r="O26" s="113"/>
      <c r="Q26" s="692" t="s">
        <v>193</v>
      </c>
      <c r="R26" s="693" t="s">
        <v>193</v>
      </c>
      <c r="S26" s="693" t="s">
        <v>193</v>
      </c>
      <c r="T26" s="693" t="s">
        <v>193</v>
      </c>
      <c r="U26" s="693" t="s">
        <v>193</v>
      </c>
      <c r="V26" s="693" t="s">
        <v>193</v>
      </c>
      <c r="W26" s="694" t="s">
        <v>193</v>
      </c>
      <c r="Z26" s="692" t="s">
        <v>193</v>
      </c>
      <c r="AA26" s="693" t="s">
        <v>193</v>
      </c>
      <c r="AB26" s="693" t="s">
        <v>193</v>
      </c>
      <c r="AC26" s="693" t="s">
        <v>193</v>
      </c>
      <c r="AD26" s="693" t="s">
        <v>193</v>
      </c>
      <c r="AE26" s="693" t="s">
        <v>193</v>
      </c>
      <c r="AF26" s="694" t="s">
        <v>193</v>
      </c>
      <c r="AI26" s="692" t="s">
        <v>176</v>
      </c>
      <c r="AJ26" s="693" t="s">
        <v>176</v>
      </c>
      <c r="AK26" s="693" t="s">
        <v>176</v>
      </c>
      <c r="AL26" s="693" t="s">
        <v>176</v>
      </c>
      <c r="AM26" s="693" t="s">
        <v>176</v>
      </c>
      <c r="AN26" s="693" t="s">
        <v>176</v>
      </c>
      <c r="AO26" s="694" t="s">
        <v>176</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695">
        <v>64036</v>
      </c>
      <c r="D27" s="695" t="s">
        <v>250</v>
      </c>
      <c r="E27" s="695" t="s">
        <v>189</v>
      </c>
      <c r="F27" s="695" t="s">
        <v>195</v>
      </c>
      <c r="G27" s="695" t="s">
        <v>251</v>
      </c>
      <c r="H27" s="696">
        <v>105</v>
      </c>
      <c r="I27" s="696" t="s">
        <v>252</v>
      </c>
      <c r="J27" s="696"/>
      <c r="K27" s="696"/>
      <c r="L27" s="696"/>
      <c r="M27" s="696"/>
      <c r="N27" s="696"/>
      <c r="O27" s="113"/>
      <c r="Q27" s="697" t="s">
        <v>193</v>
      </c>
      <c r="R27" s="698" t="s">
        <v>193</v>
      </c>
      <c r="S27" s="698" t="s">
        <v>193</v>
      </c>
      <c r="T27" s="698" t="s">
        <v>193</v>
      </c>
      <c r="U27" s="698" t="s">
        <v>193</v>
      </c>
      <c r="V27" s="698" t="s">
        <v>193</v>
      </c>
      <c r="W27" s="699" t="s">
        <v>193</v>
      </c>
      <c r="Z27" s="697" t="s">
        <v>193</v>
      </c>
      <c r="AA27" s="698" t="s">
        <v>193</v>
      </c>
      <c r="AB27" s="698" t="s">
        <v>193</v>
      </c>
      <c r="AC27" s="698" t="s">
        <v>193</v>
      </c>
      <c r="AD27" s="698" t="s">
        <v>193</v>
      </c>
      <c r="AE27" s="698" t="s">
        <v>193</v>
      </c>
      <c r="AF27" s="699" t="s">
        <v>193</v>
      </c>
      <c r="AI27" s="697" t="s">
        <v>193</v>
      </c>
      <c r="AJ27" s="698" t="s">
        <v>193</v>
      </c>
      <c r="AK27" s="698" t="s">
        <v>193</v>
      </c>
      <c r="AL27" s="698" t="s">
        <v>193</v>
      </c>
      <c r="AM27" s="698" t="s">
        <v>193</v>
      </c>
      <c r="AN27" s="698" t="s">
        <v>193</v>
      </c>
      <c r="AO27" s="699" t="s">
        <v>193</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690">
        <v>67528</v>
      </c>
      <c r="D28" s="690" t="s">
        <v>253</v>
      </c>
      <c r="E28" s="690" t="s">
        <v>189</v>
      </c>
      <c r="F28" s="690" t="s">
        <v>195</v>
      </c>
      <c r="G28" s="690" t="s">
        <v>254</v>
      </c>
      <c r="H28" s="691">
        <v>118</v>
      </c>
      <c r="I28" s="691" t="s">
        <v>255</v>
      </c>
      <c r="J28" s="691"/>
      <c r="K28" s="691"/>
      <c r="L28" s="691"/>
      <c r="M28" s="691"/>
      <c r="N28" s="691"/>
      <c r="O28" s="113"/>
      <c r="Q28" s="692" t="s">
        <v>193</v>
      </c>
      <c r="R28" s="693" t="s">
        <v>193</v>
      </c>
      <c r="S28" s="693" t="s">
        <v>193</v>
      </c>
      <c r="T28" s="693" t="s">
        <v>193</v>
      </c>
      <c r="U28" s="693" t="s">
        <v>193</v>
      </c>
      <c r="V28" s="693" t="s">
        <v>193</v>
      </c>
      <c r="W28" s="694" t="s">
        <v>193</v>
      </c>
      <c r="Z28" s="692" t="s">
        <v>193</v>
      </c>
      <c r="AA28" s="693" t="s">
        <v>193</v>
      </c>
      <c r="AB28" s="693" t="s">
        <v>193</v>
      </c>
      <c r="AC28" s="693" t="s">
        <v>193</v>
      </c>
      <c r="AD28" s="693" t="s">
        <v>193</v>
      </c>
      <c r="AE28" s="693" t="s">
        <v>193</v>
      </c>
      <c r="AF28" s="694" t="s">
        <v>193</v>
      </c>
      <c r="AI28" s="692" t="s">
        <v>256</v>
      </c>
      <c r="AJ28" s="693" t="s">
        <v>256</v>
      </c>
      <c r="AK28" s="693" t="s">
        <v>256</v>
      </c>
      <c r="AL28" s="693" t="s">
        <v>256</v>
      </c>
      <c r="AM28" s="693" t="s">
        <v>256</v>
      </c>
      <c r="AN28" s="693" t="s">
        <v>256</v>
      </c>
      <c r="AO28" s="694" t="s">
        <v>256</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695">
        <v>68331</v>
      </c>
      <c r="D29" s="695" t="s">
        <v>257</v>
      </c>
      <c r="E29" s="695" t="s">
        <v>189</v>
      </c>
      <c r="F29" s="695" t="s">
        <v>258</v>
      </c>
      <c r="G29" s="695" t="s">
        <v>259</v>
      </c>
      <c r="H29" s="696">
        <v>96</v>
      </c>
      <c r="I29" s="696" t="s">
        <v>260</v>
      </c>
      <c r="J29" s="696"/>
      <c r="K29" s="696"/>
      <c r="L29" s="696"/>
      <c r="M29" s="696"/>
      <c r="N29" s="696"/>
      <c r="O29" s="113"/>
      <c r="Q29" s="697" t="s">
        <v>193</v>
      </c>
      <c r="R29" s="698" t="s">
        <v>193</v>
      </c>
      <c r="S29" s="698" t="s">
        <v>193</v>
      </c>
      <c r="T29" s="698" t="s">
        <v>193</v>
      </c>
      <c r="U29" s="698" t="s">
        <v>193</v>
      </c>
      <c r="V29" s="698" t="s">
        <v>193</v>
      </c>
      <c r="W29" s="699" t="s">
        <v>193</v>
      </c>
      <c r="Z29" s="697" t="s">
        <v>193</v>
      </c>
      <c r="AA29" s="698" t="s">
        <v>193</v>
      </c>
      <c r="AB29" s="698" t="s">
        <v>193</v>
      </c>
      <c r="AC29" s="698" t="s">
        <v>193</v>
      </c>
      <c r="AD29" s="698" t="s">
        <v>193</v>
      </c>
      <c r="AE29" s="698" t="s">
        <v>193</v>
      </c>
      <c r="AF29" s="699" t="s">
        <v>193</v>
      </c>
      <c r="AI29" s="697" t="s">
        <v>193</v>
      </c>
      <c r="AJ29" s="698" t="s">
        <v>193</v>
      </c>
      <c r="AK29" s="698" t="s">
        <v>193</v>
      </c>
      <c r="AL29" s="698" t="s">
        <v>193</v>
      </c>
      <c r="AM29" s="698" t="s">
        <v>193</v>
      </c>
      <c r="AN29" s="698" t="s">
        <v>193</v>
      </c>
      <c r="AO29" s="699" t="s">
        <v>193</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690">
        <v>70610</v>
      </c>
      <c r="D30" s="690" t="s">
        <v>261</v>
      </c>
      <c r="E30" s="690" t="s">
        <v>189</v>
      </c>
      <c r="F30" s="690" t="s">
        <v>262</v>
      </c>
      <c r="G30" s="690" t="s">
        <v>263</v>
      </c>
      <c r="H30" s="691">
        <v>202</v>
      </c>
      <c r="I30" s="691" t="s">
        <v>264</v>
      </c>
      <c r="J30" s="691"/>
      <c r="K30" s="691"/>
      <c r="L30" s="691"/>
      <c r="M30" s="691"/>
      <c r="N30" s="691"/>
      <c r="O30" s="113"/>
      <c r="Q30" s="692" t="s">
        <v>193</v>
      </c>
      <c r="R30" s="693" t="s">
        <v>193</v>
      </c>
      <c r="S30" s="693" t="s">
        <v>193</v>
      </c>
      <c r="T30" s="693" t="s">
        <v>193</v>
      </c>
      <c r="U30" s="693" t="s">
        <v>193</v>
      </c>
      <c r="V30" s="693" t="s">
        <v>193</v>
      </c>
      <c r="W30" s="694" t="s">
        <v>193</v>
      </c>
      <c r="Z30" s="692" t="s">
        <v>193</v>
      </c>
      <c r="AA30" s="693" t="s">
        <v>193</v>
      </c>
      <c r="AB30" s="693" t="s">
        <v>193</v>
      </c>
      <c r="AC30" s="693" t="s">
        <v>193</v>
      </c>
      <c r="AD30" s="693" t="s">
        <v>193</v>
      </c>
      <c r="AE30" s="693" t="s">
        <v>193</v>
      </c>
      <c r="AF30" s="694" t="s">
        <v>193</v>
      </c>
      <c r="AI30" s="692" t="s">
        <v>256</v>
      </c>
      <c r="AJ30" s="693" t="s">
        <v>256</v>
      </c>
      <c r="AK30" s="693" t="s">
        <v>256</v>
      </c>
      <c r="AL30" s="693" t="s">
        <v>256</v>
      </c>
      <c r="AM30" s="693" t="s">
        <v>256</v>
      </c>
      <c r="AN30" s="693" t="s">
        <v>256</v>
      </c>
      <c r="AO30" s="694" t="s">
        <v>256</v>
      </c>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691">
        <v>1165</v>
      </c>
      <c r="I31" s="700"/>
      <c r="J31" s="700"/>
      <c r="K31" s="700"/>
      <c r="L31" s="700"/>
      <c r="M31" s="700"/>
      <c r="N31" s="700"/>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00"/>
      <c r="J32" s="700"/>
      <c r="K32" s="700"/>
      <c r="L32" s="700"/>
      <c r="M32" s="700"/>
      <c r="N32" s="700"/>
      <c r="O32" s="113"/>
      <c r="P32" t="s">
        <v>211</v>
      </c>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00"/>
      <c r="J33" s="700"/>
      <c r="K33" s="700"/>
      <c r="L33" s="700"/>
      <c r="M33" s="700"/>
      <c r="N33" s="700"/>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00"/>
      <c r="J34" s="700"/>
      <c r="K34" s="700"/>
      <c r="L34" s="700"/>
      <c r="M34" s="700"/>
      <c r="N34" s="700"/>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00"/>
      <c r="J35" s="700"/>
      <c r="K35" s="700"/>
      <c r="L35" s="700"/>
      <c r="M35" s="700"/>
      <c r="N35" s="700"/>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00"/>
      <c r="J36" s="700"/>
      <c r="K36" s="700"/>
      <c r="L36" s="700"/>
      <c r="M36" s="700"/>
      <c r="N36" s="700"/>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00"/>
      <c r="J37" s="700"/>
      <c r="K37" s="700"/>
      <c r="L37" s="700"/>
      <c r="M37" s="700"/>
      <c r="N37" s="700"/>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00"/>
      <c r="J38" s="700"/>
      <c r="K38" s="700"/>
      <c r="L38" s="700"/>
      <c r="M38" s="700"/>
      <c r="N38" s="700"/>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00"/>
      <c r="J39" s="700"/>
      <c r="K39" s="700"/>
      <c r="L39" s="700"/>
      <c r="M39" s="700"/>
      <c r="N39" s="700"/>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00"/>
      <c r="J40" s="700"/>
      <c r="K40" s="700"/>
      <c r="L40" s="700"/>
      <c r="M40" s="700"/>
      <c r="N40" s="700"/>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00"/>
      <c r="J41" s="700"/>
      <c r="K41" s="700"/>
      <c r="L41" s="700"/>
      <c r="M41" s="700"/>
      <c r="N41" s="700"/>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00"/>
      <c r="J42" s="700"/>
      <c r="K42" s="700"/>
      <c r="L42" s="700"/>
      <c r="M42" s="700"/>
      <c r="N42" s="700"/>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00"/>
      <c r="J43" s="700"/>
      <c r="K43" s="700"/>
      <c r="L43" s="700"/>
      <c r="M43" s="700"/>
      <c r="N43" s="700"/>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00"/>
      <c r="J44" s="700"/>
      <c r="K44" s="700"/>
      <c r="L44" s="700"/>
      <c r="M44" s="700"/>
      <c r="N44" s="700"/>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00"/>
      <c r="J45" s="700"/>
      <c r="K45" s="700"/>
      <c r="L45" s="700"/>
      <c r="M45" s="700"/>
      <c r="N45" s="700"/>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00"/>
      <c r="J46" s="700"/>
      <c r="K46" s="700"/>
      <c r="L46" s="700"/>
      <c r="M46" s="700"/>
      <c r="N46" s="700"/>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00"/>
      <c r="J47" s="700"/>
      <c r="K47" s="700"/>
      <c r="L47" s="700"/>
      <c r="M47" s="700"/>
      <c r="N47" s="700"/>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00"/>
      <c r="J48" s="700"/>
      <c r="K48" s="700"/>
      <c r="L48" s="700"/>
      <c r="M48" s="700"/>
      <c r="N48" s="700"/>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00"/>
      <c r="J49" s="700"/>
      <c r="K49" s="700"/>
      <c r="L49" s="700"/>
      <c r="M49" s="700"/>
      <c r="N49" s="700"/>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00"/>
      <c r="J50" s="700"/>
      <c r="K50" s="700"/>
      <c r="L50" s="700"/>
      <c r="M50" s="700"/>
      <c r="N50" s="700"/>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00"/>
      <c r="J51" s="700"/>
      <c r="K51" s="700"/>
      <c r="L51" s="700"/>
      <c r="M51" s="700"/>
      <c r="N51" s="700"/>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00"/>
      <c r="J52" s="700"/>
      <c r="K52" s="700"/>
      <c r="L52" s="700"/>
      <c r="M52" s="700"/>
      <c r="N52" s="700"/>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00"/>
      <c r="J53" s="700"/>
      <c r="K53" s="700"/>
      <c r="L53" s="700"/>
      <c r="M53" s="700"/>
      <c r="N53" s="700"/>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00"/>
      <c r="J54" s="700"/>
      <c r="K54" s="700"/>
      <c r="L54" s="700"/>
      <c r="M54" s="700"/>
      <c r="N54" s="700"/>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00"/>
      <c r="J55" s="700"/>
      <c r="K55" s="700"/>
      <c r="L55" s="700"/>
      <c r="M55" s="700"/>
      <c r="N55" s="700"/>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00"/>
      <c r="J56" s="700"/>
      <c r="K56" s="700"/>
      <c r="L56" s="700"/>
      <c r="M56" s="700"/>
      <c r="N56" s="700"/>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00"/>
      <c r="J57" s="700"/>
      <c r="K57" s="700"/>
      <c r="L57" s="700"/>
      <c r="M57" s="700"/>
      <c r="N57" s="700"/>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00"/>
      <c r="J58" s="700"/>
      <c r="K58" s="700"/>
      <c r="L58" s="700"/>
      <c r="M58" s="700"/>
      <c r="N58" s="700"/>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00"/>
      <c r="J59" s="700"/>
      <c r="K59" s="700"/>
      <c r="L59" s="700"/>
      <c r="M59" s="700"/>
      <c r="N59" s="700"/>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00"/>
      <c r="J60" s="700"/>
      <c r="K60" s="700"/>
      <c r="L60" s="700"/>
      <c r="M60" s="700"/>
      <c r="N60" s="700"/>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00"/>
      <c r="J61" s="700"/>
      <c r="K61" s="700"/>
      <c r="L61" s="700"/>
      <c r="M61" s="700"/>
      <c r="N61" s="700"/>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00"/>
      <c r="J62" s="700"/>
      <c r="K62" s="700"/>
      <c r="L62" s="700"/>
      <c r="M62" s="700"/>
      <c r="N62" s="700"/>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00"/>
      <c r="J63" s="700"/>
      <c r="K63" s="700"/>
      <c r="L63" s="700"/>
      <c r="M63" s="700"/>
      <c r="N63" s="700"/>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00"/>
      <c r="J64" s="700"/>
      <c r="K64" s="700"/>
      <c r="L64" s="700"/>
      <c r="M64" s="700"/>
      <c r="N64" s="700"/>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00"/>
      <c r="J65" s="700"/>
      <c r="K65" s="700"/>
      <c r="L65" s="700"/>
      <c r="M65" s="700"/>
      <c r="N65" s="700"/>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00"/>
      <c r="J66" s="700"/>
      <c r="K66" s="700"/>
      <c r="L66" s="700"/>
      <c r="M66" s="700"/>
      <c r="N66" s="700"/>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00"/>
      <c r="J67" s="700"/>
      <c r="K67" s="700"/>
      <c r="L67" s="700"/>
      <c r="M67" s="700"/>
      <c r="N67" s="700"/>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00"/>
      <c r="J68" s="700"/>
      <c r="K68" s="700"/>
      <c r="L68" s="700"/>
      <c r="M68" s="700"/>
      <c r="N68" s="700"/>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00"/>
      <c r="J69" s="700"/>
      <c r="K69" s="700"/>
      <c r="L69" s="700"/>
      <c r="M69" s="700"/>
      <c r="N69" s="700"/>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00"/>
      <c r="J70" s="700"/>
      <c r="K70" s="700"/>
      <c r="L70" s="700"/>
      <c r="M70" s="700"/>
      <c r="N70" s="700"/>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00"/>
      <c r="J71" s="700"/>
      <c r="K71" s="700"/>
      <c r="L71" s="700"/>
      <c r="M71" s="700"/>
      <c r="N71" s="700"/>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00"/>
      <c r="J72" s="700"/>
      <c r="K72" s="700"/>
      <c r="L72" s="700"/>
      <c r="M72" s="700"/>
      <c r="N72" s="700"/>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00"/>
      <c r="J73" s="700"/>
      <c r="K73" s="700"/>
      <c r="L73" s="700"/>
      <c r="M73" s="700"/>
      <c r="N73" s="700"/>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00"/>
      <c r="J74" s="700"/>
      <c r="K74" s="700"/>
      <c r="L74" s="700"/>
      <c r="M74" s="700"/>
      <c r="N74" s="700"/>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00"/>
      <c r="J75" s="700"/>
      <c r="K75" s="700"/>
      <c r="L75" s="700"/>
      <c r="M75" s="700"/>
      <c r="N75" s="700"/>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00"/>
      <c r="J76" s="700"/>
      <c r="K76" s="700"/>
      <c r="L76" s="700"/>
      <c r="M76" s="700"/>
      <c r="N76" s="700"/>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00"/>
      <c r="J77" s="700"/>
      <c r="K77" s="700"/>
      <c r="L77" s="700"/>
      <c r="M77" s="700"/>
      <c r="N77" s="700"/>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00"/>
      <c r="J78" s="700"/>
      <c r="K78" s="700"/>
      <c r="L78" s="700"/>
      <c r="M78" s="700"/>
      <c r="N78" s="700"/>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00"/>
      <c r="J79" s="700"/>
      <c r="K79" s="700"/>
      <c r="L79" s="700"/>
      <c r="M79" s="700"/>
      <c r="N79" s="700"/>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00"/>
      <c r="J80" s="700"/>
      <c r="K80" s="700"/>
      <c r="L80" s="700"/>
      <c r="M80" s="700"/>
      <c r="N80" s="700"/>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00"/>
      <c r="J81" s="700"/>
      <c r="K81" s="700"/>
      <c r="L81" s="700"/>
      <c r="M81" s="700"/>
      <c r="N81" s="700"/>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00"/>
      <c r="J82" s="700"/>
      <c r="K82" s="700"/>
      <c r="L82" s="700"/>
      <c r="M82" s="700"/>
      <c r="N82" s="700"/>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00"/>
      <c r="J83" s="700"/>
      <c r="K83" s="700"/>
      <c r="L83" s="700"/>
      <c r="M83" s="700"/>
      <c r="N83" s="700"/>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00"/>
      <c r="J84" s="700"/>
      <c r="K84" s="700"/>
      <c r="L84" s="700"/>
      <c r="M84" s="700"/>
      <c r="N84" s="700"/>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00"/>
      <c r="J85" s="700"/>
      <c r="K85" s="700"/>
      <c r="L85" s="700"/>
      <c r="M85" s="700"/>
      <c r="N85" s="700"/>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00"/>
      <c r="J86" s="700"/>
      <c r="K86" s="700"/>
      <c r="L86" s="700"/>
      <c r="M86" s="700"/>
      <c r="N86" s="700"/>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00"/>
      <c r="J87" s="700"/>
      <c r="K87" s="700"/>
      <c r="L87" s="700"/>
      <c r="M87" s="700"/>
      <c r="N87" s="700"/>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00"/>
      <c r="J88" s="700"/>
      <c r="K88" s="700"/>
      <c r="L88" s="700"/>
      <c r="M88" s="700"/>
      <c r="N88" s="700"/>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00"/>
      <c r="J89" s="700"/>
      <c r="K89" s="700"/>
      <c r="L89" s="700"/>
      <c r="M89" s="700"/>
      <c r="N89" s="700"/>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00"/>
      <c r="J90" s="700"/>
      <c r="K90" s="700"/>
      <c r="L90" s="700"/>
      <c r="M90" s="700"/>
      <c r="N90" s="700"/>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00"/>
      <c r="J91" s="700"/>
      <c r="K91" s="700"/>
      <c r="L91" s="700"/>
      <c r="M91" s="700"/>
      <c r="N91" s="700"/>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00"/>
      <c r="J92" s="700"/>
      <c r="K92" s="700"/>
      <c r="L92" s="700"/>
      <c r="M92" s="700"/>
      <c r="N92" s="700"/>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00"/>
      <c r="J93" s="700"/>
      <c r="K93" s="700"/>
      <c r="L93" s="700"/>
      <c r="M93" s="700"/>
      <c r="N93" s="700"/>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00"/>
      <c r="J94" s="700"/>
      <c r="K94" s="700"/>
      <c r="L94" s="700"/>
      <c r="M94" s="700"/>
      <c r="N94" s="700"/>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00"/>
      <c r="J95" s="700"/>
      <c r="K95" s="700"/>
      <c r="L95" s="700"/>
      <c r="M95" s="700"/>
      <c r="N95" s="700"/>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00"/>
      <c r="J96" s="700"/>
      <c r="K96" s="700"/>
      <c r="L96" s="700"/>
      <c r="M96" s="700"/>
      <c r="N96" s="700"/>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00"/>
      <c r="J97" s="700"/>
      <c r="K97" s="700"/>
      <c r="L97" s="700"/>
      <c r="M97" s="700"/>
      <c r="N97" s="700"/>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00"/>
      <c r="J98" s="700"/>
      <c r="K98" s="700"/>
      <c r="L98" s="700"/>
      <c r="M98" s="700"/>
      <c r="N98" s="700"/>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00"/>
      <c r="J99" s="700"/>
      <c r="K99" s="700"/>
      <c r="L99" s="700"/>
      <c r="M99" s="700"/>
      <c r="N99" s="700"/>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00"/>
      <c r="J100" s="700"/>
      <c r="K100" s="700"/>
      <c r="L100" s="700"/>
      <c r="M100" s="700"/>
      <c r="N100" s="700"/>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01" t="s">
        <v>114</v>
      </c>
      <c r="D103" s="701"/>
      <c r="E103" s="701"/>
      <c r="F103" s="701"/>
      <c r="G103" s="701"/>
      <c r="H103" s="701"/>
      <c r="I103" s="701"/>
      <c r="J103" s="701"/>
      <c r="K103" s="701"/>
      <c r="L103" s="701"/>
      <c r="M103" s="701"/>
      <c r="N103" s="701"/>
      <c r="O103" s="701"/>
      <c r="P103" s="701"/>
      <c r="Q103" s="701"/>
      <c r="R103" s="701"/>
      <c r="S103" s="701"/>
      <c r="T103" s="701"/>
      <c r="U103" s="701"/>
      <c r="V103" s="701"/>
      <c r="W103" s="701"/>
      <c r="X103" s="701"/>
      <c r="Y103" s="701"/>
      <c r="Z103" s="701"/>
      <c r="AA103" s="701"/>
      <c r="AB103" s="701"/>
      <c r="AC103" s="701"/>
      <c r="AD103" s="701"/>
      <c r="AE103" s="701"/>
      <c r="AF103" s="701"/>
      <c r="AG103" s="701"/>
      <c r="AH103" s="701"/>
      <c r="AI103" s="701"/>
      <c r="AJ103" s="701"/>
      <c r="AK103" s="701"/>
      <c r="AL103" s="701"/>
      <c r="AM103" s="701"/>
      <c r="AN103" s="701"/>
      <c r="AO103" s="701"/>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02"/>
      <c r="B105" s="702"/>
      <c r="C105" s="702"/>
      <c r="D105" s="702"/>
      <c r="E105" s="702"/>
      <c r="F105" s="702"/>
      <c r="G105" s="702"/>
      <c r="H105" s="702"/>
      <c r="I105" s="702"/>
      <c r="J105" s="702"/>
      <c r="K105" s="702"/>
      <c r="L105" s="702"/>
      <c r="M105" s="702"/>
      <c r="N105" s="702"/>
      <c r="O105" s="702"/>
      <c r="P105" s="702"/>
      <c r="Q105" s="702"/>
      <c r="R105" s="702"/>
      <c r="S105" s="702"/>
      <c r="T105" s="702"/>
      <c r="U105" s="702"/>
      <c r="V105" s="702"/>
      <c r="W105" s="702"/>
      <c r="X105" s="702"/>
      <c r="Y105" s="702"/>
      <c r="Z105" s="702"/>
      <c r="AA105" s="702"/>
      <c r="AB105" s="702"/>
      <c r="AC105" s="702"/>
      <c r="AD105" s="702"/>
      <c r="AE105" s="702"/>
      <c r="AF105" s="702"/>
      <c r="AG105" s="702"/>
      <c r="AH105" s="702"/>
      <c r="AI105" s="702"/>
      <c r="AJ105" s="702"/>
      <c r="AK105" s="702"/>
      <c r="AL105" s="702"/>
      <c r="AM105" s="702"/>
      <c r="AN105" s="702"/>
      <c r="AO105" s="702"/>
      <c r="AP105" s="702"/>
      <c r="AQ105" s="702"/>
      <c r="AR105" s="702"/>
      <c r="AS105" s="702"/>
      <c r="AT105" s="702"/>
      <c r="AU105" s="702"/>
      <c r="AV105" s="702"/>
      <c r="AW105" s="702"/>
      <c r="AX105" s="702"/>
      <c r="AY105" s="702"/>
      <c r="AZ105" s="702"/>
      <c r="BA105" s="702"/>
      <c r="BB105" s="702"/>
      <c r="BC105" s="702"/>
      <c r="BD105" s="702"/>
      <c r="BE105" s="702"/>
      <c r="BF105" s="702"/>
      <c r="BG105" s="702"/>
      <c r="BH105" s="702"/>
      <c r="BI105" s="702"/>
      <c r="BJ105" s="702"/>
      <c r="BK105" s="702"/>
      <c r="BL105" s="702"/>
      <c r="BM105" s="702"/>
      <c r="BN105" s="702"/>
      <c r="BO105" s="702"/>
      <c r="BP105" s="702"/>
      <c r="BQ105" s="702"/>
      <c r="BR105" s="244"/>
      <c r="BS105" s="244"/>
      <c r="BT105" s="244"/>
      <c r="BU105" s="244"/>
      <c r="BV105" s="244"/>
      <c r="BW105" s="244"/>
      <c r="BX105" s="244"/>
      <c r="BY105" s="244"/>
      <c r="BZ105" s="244"/>
      <c r="CA105" s="244"/>
      <c r="CB105" s="244"/>
      <c r="CC105" s="244"/>
      <c r="CD105" s="244"/>
      <c r="CE105" s="244"/>
      <c r="CF105" s="244"/>
    </row>
    <row r="106" ht="12.75" customHeight="1">
      <c r="A106" s="702"/>
      <c r="B106" s="702"/>
      <c r="C106" s="702"/>
      <c r="D106" s="702"/>
      <c r="E106" s="702"/>
      <c r="F106" s="702"/>
      <c r="G106" s="702"/>
      <c r="H106" s="702"/>
      <c r="I106" s="702"/>
      <c r="J106" s="702"/>
      <c r="K106" s="702"/>
      <c r="L106" s="702"/>
      <c r="M106" s="702"/>
      <c r="N106" s="702"/>
      <c r="O106" s="702"/>
      <c r="P106" s="702"/>
      <c r="Q106" s="702"/>
      <c r="R106" s="702"/>
      <c r="S106" s="702"/>
      <c r="T106" s="702"/>
      <c r="U106" s="702"/>
      <c r="V106" s="702"/>
      <c r="W106" s="702"/>
      <c r="X106" s="702"/>
      <c r="Y106" s="702"/>
      <c r="Z106" s="702"/>
      <c r="AA106" s="702"/>
      <c r="AB106" s="702"/>
      <c r="AC106" s="702"/>
      <c r="AD106" s="702"/>
      <c r="AE106" s="702"/>
      <c r="AF106" s="702"/>
      <c r="AG106" s="702"/>
      <c r="AH106" s="702"/>
      <c r="AI106" s="702"/>
      <c r="AJ106" s="702"/>
      <c r="AK106" s="702"/>
      <c r="AL106" s="702"/>
      <c r="AM106" s="702"/>
      <c r="AN106" s="702"/>
      <c r="AO106" s="702"/>
      <c r="AP106" s="702"/>
      <c r="AQ106" s="702"/>
      <c r="AR106" s="702"/>
      <c r="AS106" s="702"/>
      <c r="AT106" s="702"/>
      <c r="AU106" s="702"/>
      <c r="AV106" s="702"/>
      <c r="AW106" s="702"/>
      <c r="AX106" s="702"/>
      <c r="AY106" s="702"/>
      <c r="AZ106" s="702"/>
      <c r="BA106" s="702"/>
      <c r="BB106" s="702"/>
      <c r="BC106" s="702"/>
      <c r="BD106" s="702"/>
      <c r="BE106" s="702"/>
      <c r="BF106" s="702"/>
      <c r="BG106" s="702"/>
      <c r="BH106" s="702"/>
      <c r="BI106" s="702"/>
      <c r="BJ106" s="702"/>
      <c r="BK106" s="702"/>
      <c r="BL106" s="702"/>
      <c r="BM106" s="702"/>
      <c r="BN106" s="702"/>
      <c r="BO106" s="702"/>
      <c r="BP106" s="702"/>
      <c r="BQ106" s="702"/>
      <c r="BR106" s="244"/>
      <c r="BS106" s="244"/>
      <c r="BT106" s="244"/>
      <c r="BU106" s="244"/>
      <c r="BV106" s="244"/>
      <c r="BW106" s="244"/>
      <c r="BX106" s="244"/>
      <c r="BY106" s="244"/>
      <c r="BZ106" s="244"/>
      <c r="CA106" s="244"/>
      <c r="CB106" s="244"/>
      <c r="CC106" s="244"/>
      <c r="CD106" s="244"/>
      <c r="CE106" s="244"/>
      <c r="CF106" s="244"/>
    </row>
    <row r="107" ht="12.75" customHeight="1">
      <c r="A107" s="702"/>
      <c r="B107" s="702"/>
      <c r="C107" s="702"/>
      <c r="D107" s="702"/>
      <c r="E107" s="702"/>
      <c r="F107" s="702"/>
      <c r="G107" s="702"/>
      <c r="H107" s="702"/>
      <c r="I107" s="702"/>
      <c r="J107" s="702"/>
      <c r="K107" s="702"/>
      <c r="L107" s="702"/>
      <c r="M107" s="702"/>
      <c r="N107" s="702"/>
      <c r="O107" s="702"/>
      <c r="P107" s="702"/>
      <c r="Q107" s="702"/>
      <c r="R107" s="702"/>
      <c r="S107" s="702"/>
      <c r="T107" s="702"/>
      <c r="U107" s="702"/>
      <c r="V107" s="702"/>
      <c r="W107" s="702"/>
      <c r="X107" s="702"/>
      <c r="Y107" s="702"/>
      <c r="Z107" s="702"/>
      <c r="AA107" s="702"/>
      <c r="AB107" s="702"/>
      <c r="AC107" s="702"/>
      <c r="AD107" s="702"/>
      <c r="AE107" s="702"/>
      <c r="AF107" s="702"/>
      <c r="AG107" s="702"/>
      <c r="AH107" s="702"/>
      <c r="AI107" s="702"/>
      <c r="AJ107" s="702"/>
      <c r="AK107" s="702"/>
      <c r="AL107" s="702"/>
      <c r="AM107" s="702"/>
      <c r="AN107" s="702"/>
      <c r="AO107" s="702"/>
      <c r="AP107" s="702"/>
      <c r="AQ107" s="702"/>
      <c r="AR107" s="702"/>
      <c r="AS107" s="702"/>
      <c r="AT107" s="702"/>
      <c r="AU107" s="702"/>
      <c r="AV107" s="702"/>
      <c r="AW107" s="702"/>
      <c r="AX107" s="702"/>
      <c r="AY107" s="702"/>
      <c r="AZ107" s="702"/>
      <c r="BA107" s="702"/>
      <c r="BB107" s="702"/>
      <c r="BC107" s="702"/>
      <c r="BD107" s="702"/>
      <c r="BE107" s="702"/>
      <c r="BF107" s="702"/>
      <c r="BG107" s="702"/>
      <c r="BH107" s="702"/>
      <c r="BI107" s="702"/>
      <c r="BJ107" s="702"/>
      <c r="BK107" s="702"/>
      <c r="BL107" s="702"/>
      <c r="BM107" s="702"/>
      <c r="BN107" s="702"/>
      <c r="BO107" s="702"/>
      <c r="BP107" s="702"/>
      <c r="BQ107" s="702"/>
      <c r="BR107" s="244"/>
      <c r="BS107" s="244"/>
      <c r="BT107" s="244"/>
      <c r="BU107" s="244"/>
      <c r="BV107" s="244"/>
      <c r="BW107" s="244"/>
      <c r="BX107" s="244"/>
      <c r="BY107" s="244"/>
      <c r="BZ107" s="244"/>
      <c r="CA107" s="244"/>
      <c r="CB107" s="244"/>
      <c r="CC107" s="244"/>
      <c r="CD107" s="244"/>
      <c r="CE107" s="244"/>
      <c r="CF107" s="244"/>
    </row>
    <row r="108" ht="12.75" customHeight="1">
      <c r="A108" s="702"/>
      <c r="B108" s="702"/>
      <c r="C108" s="702"/>
      <c r="D108" s="702"/>
      <c r="E108" s="702"/>
      <c r="F108" s="702"/>
      <c r="G108" s="702"/>
      <c r="H108" s="702"/>
      <c r="I108" s="702"/>
      <c r="J108" s="702"/>
      <c r="K108" s="702"/>
      <c r="L108" s="702"/>
      <c r="M108" s="702"/>
      <c r="N108" s="702"/>
      <c r="O108" s="702"/>
      <c r="P108" s="702"/>
      <c r="Q108" s="702"/>
      <c r="R108" s="702"/>
      <c r="S108" s="702"/>
      <c r="T108" s="702"/>
      <c r="U108" s="702"/>
      <c r="V108" s="702"/>
      <c r="W108" s="702"/>
      <c r="X108" s="702"/>
      <c r="Y108" s="702"/>
      <c r="Z108" s="702"/>
      <c r="AA108" s="702"/>
      <c r="AB108" s="702"/>
      <c r="AC108" s="702"/>
      <c r="AD108" s="702"/>
      <c r="AE108" s="702"/>
      <c r="AF108" s="702"/>
      <c r="AG108" s="702"/>
      <c r="AH108" s="702"/>
      <c r="AI108" s="702"/>
      <c r="AJ108" s="702"/>
      <c r="AK108" s="702"/>
      <c r="AL108" s="702"/>
      <c r="AM108" s="702"/>
      <c r="AN108" s="702"/>
      <c r="AO108" s="702"/>
      <c r="AP108" s="702"/>
      <c r="AQ108" s="702"/>
      <c r="AR108" s="702"/>
      <c r="AS108" s="702"/>
      <c r="AT108" s="702"/>
      <c r="AU108" s="702"/>
      <c r="AV108" s="702"/>
      <c r="AW108" s="702"/>
      <c r="AX108" s="702"/>
      <c r="AY108" s="702"/>
      <c r="AZ108" s="702"/>
      <c r="BA108" s="702"/>
      <c r="BB108" s="702"/>
      <c r="BC108" s="702"/>
      <c r="BD108" s="702"/>
      <c r="BE108" s="702"/>
      <c r="BF108" s="702"/>
      <c r="BG108" s="702"/>
      <c r="BH108" s="702"/>
      <c r="BI108" s="702"/>
      <c r="BJ108" s="702"/>
      <c r="BK108" s="702"/>
      <c r="BL108" s="702"/>
      <c r="BM108" s="702"/>
      <c r="BN108" s="702"/>
      <c r="BO108" s="702"/>
      <c r="BP108" s="702"/>
      <c r="BQ108" s="702"/>
      <c r="BR108" s="244"/>
      <c r="BS108" s="244"/>
      <c r="BT108" s="244"/>
      <c r="BU108" s="244"/>
      <c r="BV108" s="244"/>
      <c r="BW108" s="244"/>
      <c r="BX108" s="244"/>
      <c r="BY108" s="244"/>
      <c r="BZ108" s="244"/>
      <c r="CA108" s="244"/>
      <c r="CB108" s="244"/>
      <c r="CC108" s="244"/>
      <c r="CD108" s="244"/>
      <c r="CE108" s="244"/>
      <c r="CF108" s="244"/>
    </row>
    <row r="109" ht="12.75" customHeight="1">
      <c r="A109" s="702"/>
      <c r="B109" s="702"/>
      <c r="C109" s="702"/>
      <c r="D109" s="702"/>
      <c r="E109" s="702"/>
      <c r="F109" s="702"/>
      <c r="G109" s="702"/>
      <c r="H109" s="702"/>
      <c r="I109" s="702"/>
      <c r="J109" s="702"/>
      <c r="K109" s="702"/>
      <c r="L109" s="702"/>
      <c r="M109" s="702"/>
      <c r="N109" s="702"/>
      <c r="O109" s="702"/>
      <c r="P109" s="702"/>
      <c r="Q109" s="702"/>
      <c r="R109" s="702"/>
      <c r="S109" s="702"/>
      <c r="T109" s="702"/>
      <c r="U109" s="702"/>
      <c r="V109" s="702"/>
      <c r="W109" s="702"/>
      <c r="X109" s="702"/>
      <c r="Y109" s="702"/>
      <c r="Z109" s="702"/>
      <c r="AA109" s="702"/>
      <c r="AB109" s="702"/>
      <c r="AC109" s="702"/>
      <c r="AD109" s="702"/>
      <c r="AE109" s="702"/>
      <c r="AF109" s="702"/>
      <c r="AG109" s="702"/>
      <c r="AH109" s="702"/>
      <c r="AI109" s="702"/>
      <c r="AJ109" s="702"/>
      <c r="AK109" s="702"/>
      <c r="AL109" s="702"/>
      <c r="AM109" s="702"/>
      <c r="AN109" s="702"/>
      <c r="AO109" s="702"/>
      <c r="AP109" s="702"/>
      <c r="AQ109" s="702"/>
      <c r="AR109" s="702"/>
      <c r="AS109" s="702"/>
      <c r="AT109" s="702"/>
      <c r="AU109" s="702"/>
      <c r="AV109" s="702"/>
      <c r="AW109" s="702"/>
      <c r="AX109" s="702"/>
      <c r="AY109" s="702"/>
      <c r="AZ109" s="702"/>
      <c r="BA109" s="702"/>
      <c r="BB109" s="702"/>
      <c r="BC109" s="702"/>
      <c r="BD109" s="702"/>
      <c r="BE109" s="702"/>
      <c r="BF109" s="702"/>
      <c r="BG109" s="702"/>
      <c r="BH109" s="702"/>
      <c r="BI109" s="702"/>
      <c r="BJ109" s="702"/>
      <c r="BK109" s="702"/>
      <c r="BL109" s="702"/>
      <c r="BM109" s="702"/>
      <c r="BN109" s="702"/>
      <c r="BO109" s="702"/>
      <c r="BP109" s="702"/>
      <c r="BQ109" s="702"/>
      <c r="BR109" s="244"/>
      <c r="BS109" s="244"/>
      <c r="BT109" s="244"/>
      <c r="BU109" s="244"/>
      <c r="BV109" s="244"/>
      <c r="BW109" s="244"/>
      <c r="BX109" s="244"/>
      <c r="BY109" s="244"/>
      <c r="BZ109" s="244"/>
      <c r="CA109" s="244"/>
      <c r="CB109" s="244"/>
      <c r="CC109" s="244"/>
      <c r="CD109" s="244"/>
      <c r="CE109" s="244"/>
      <c r="CF109" s="244"/>
    </row>
    <row r="110" ht="12.75" customHeight="1">
      <c r="A110" s="702"/>
      <c r="B110" s="702"/>
      <c r="C110" s="702"/>
      <c r="D110" s="702"/>
      <c r="E110" s="702"/>
      <c r="F110" s="702"/>
      <c r="G110" s="702"/>
      <c r="H110" s="702"/>
      <c r="I110" s="702"/>
      <c r="J110" s="702"/>
      <c r="K110" s="702"/>
      <c r="L110" s="702"/>
      <c r="M110" s="702"/>
      <c r="N110" s="702"/>
      <c r="O110" s="702"/>
      <c r="P110" s="702"/>
      <c r="Q110" s="702"/>
      <c r="R110" s="702"/>
      <c r="S110" s="702"/>
      <c r="T110" s="702"/>
      <c r="U110" s="702"/>
      <c r="V110" s="702"/>
      <c r="W110" s="702"/>
      <c r="X110" s="702"/>
      <c r="Y110" s="702"/>
      <c r="Z110" s="702"/>
      <c r="AA110" s="702"/>
      <c r="AB110" s="702"/>
      <c r="AC110" s="702"/>
      <c r="AD110" s="702"/>
      <c r="AE110" s="702"/>
      <c r="AF110" s="702"/>
      <c r="AG110" s="702"/>
      <c r="AH110" s="702"/>
      <c r="AI110" s="702"/>
      <c r="AJ110" s="702"/>
      <c r="AK110" s="702"/>
      <c r="AL110" s="702"/>
      <c r="AM110" s="702"/>
      <c r="AN110" s="702"/>
      <c r="AO110" s="702"/>
      <c r="AP110" s="702"/>
      <c r="AQ110" s="702"/>
      <c r="AR110" s="702"/>
      <c r="AS110" s="702"/>
      <c r="AT110" s="702"/>
      <c r="AU110" s="702"/>
      <c r="AV110" s="702"/>
      <c r="AW110" s="702"/>
      <c r="AX110" s="702"/>
      <c r="AY110" s="702"/>
      <c r="AZ110" s="702"/>
      <c r="BA110" s="702"/>
      <c r="BB110" s="702"/>
      <c r="BC110" s="702"/>
      <c r="BD110" s="702"/>
      <c r="BE110" s="702"/>
      <c r="BF110" s="702"/>
      <c r="BG110" s="702"/>
      <c r="BH110" s="702"/>
      <c r="BI110" s="702"/>
      <c r="BJ110" s="702"/>
      <c r="BK110" s="702"/>
      <c r="BL110" s="702"/>
      <c r="BM110" s="702"/>
      <c r="BN110" s="702"/>
      <c r="BO110" s="702"/>
      <c r="BP110" s="702"/>
      <c r="BQ110" s="702"/>
      <c r="BR110" s="244"/>
      <c r="BS110" s="244"/>
      <c r="BT110" s="244"/>
      <c r="BU110" s="244"/>
      <c r="BV110" s="244"/>
      <c r="BW110" s="244"/>
      <c r="BX110" s="244"/>
      <c r="BY110" s="244"/>
      <c r="BZ110" s="244"/>
      <c r="CA110" s="244"/>
      <c r="CB110" s="244"/>
      <c r="CC110" s="244"/>
      <c r="CD110" s="244"/>
      <c r="CE110" s="244"/>
      <c r="CF110" s="244"/>
    </row>
    <row r="111" ht="12.75" customHeight="1">
      <c r="A111" s="702"/>
      <c r="B111" s="702"/>
      <c r="C111" s="702"/>
      <c r="D111" s="702"/>
      <c r="E111" s="702"/>
      <c r="F111" s="702"/>
      <c r="G111" s="702"/>
      <c r="H111" s="702"/>
      <c r="I111" s="702"/>
      <c r="J111" s="702"/>
      <c r="K111" s="702"/>
      <c r="L111" s="702"/>
      <c r="M111" s="702"/>
      <c r="N111" s="702"/>
      <c r="O111" s="702"/>
      <c r="P111" s="702"/>
      <c r="Q111" s="702"/>
      <c r="R111" s="702"/>
      <c r="S111" s="702"/>
      <c r="T111" s="702"/>
      <c r="U111" s="702"/>
      <c r="V111" s="702"/>
      <c r="W111" s="702"/>
      <c r="X111" s="702"/>
      <c r="Y111" s="702"/>
      <c r="Z111" s="702"/>
      <c r="AA111" s="702"/>
      <c r="AB111" s="702"/>
      <c r="AC111" s="702"/>
      <c r="AD111" s="702"/>
      <c r="AE111" s="702"/>
      <c r="AF111" s="702"/>
      <c r="AG111" s="702"/>
      <c r="AH111" s="702"/>
      <c r="AI111" s="702"/>
      <c r="AJ111" s="702"/>
      <c r="AK111" s="702"/>
      <c r="AL111" s="702"/>
      <c r="AM111" s="702"/>
      <c r="AN111" s="702"/>
      <c r="AO111" s="702"/>
      <c r="AP111" s="702"/>
      <c r="AQ111" s="702"/>
      <c r="AR111" s="702"/>
      <c r="AS111" s="702"/>
      <c r="AT111" s="702"/>
      <c r="AU111" s="702"/>
      <c r="AV111" s="702"/>
      <c r="AW111" s="702"/>
      <c r="AX111" s="702"/>
      <c r="AY111" s="702"/>
      <c r="AZ111" s="702"/>
      <c r="BA111" s="702"/>
      <c r="BB111" s="702"/>
      <c r="BC111" s="702"/>
      <c r="BD111" s="702"/>
      <c r="BE111" s="702"/>
      <c r="BF111" s="702"/>
      <c r="BG111" s="702"/>
      <c r="BH111" s="702"/>
      <c r="BI111" s="702"/>
      <c r="BJ111" s="702"/>
      <c r="BK111" s="702"/>
      <c r="BL111" s="702"/>
      <c r="BM111" s="702"/>
      <c r="BN111" s="702"/>
      <c r="BO111" s="702"/>
      <c r="BP111" s="702"/>
      <c r="BQ111" s="702"/>
      <c r="BR111" s="244"/>
      <c r="BS111" s="244"/>
      <c r="BT111" s="244"/>
      <c r="BU111" s="244"/>
      <c r="BV111" s="244"/>
      <c r="BW111" s="244"/>
      <c r="BX111" s="244"/>
      <c r="BY111" s="244"/>
      <c r="BZ111" s="244"/>
      <c r="CA111" s="244"/>
      <c r="CB111" s="244"/>
      <c r="CC111" s="244"/>
      <c r="CD111" s="244"/>
      <c r="CE111" s="244"/>
      <c r="CF111" s="244"/>
    </row>
    <row r="112" ht="12.75" customHeight="1">
      <c r="A112" s="702"/>
      <c r="B112" s="702"/>
      <c r="C112" s="702"/>
      <c r="D112" s="702"/>
      <c r="E112" s="702"/>
      <c r="F112" s="702"/>
      <c r="G112" s="702"/>
      <c r="H112" s="702"/>
      <c r="I112" s="702"/>
      <c r="J112" s="702"/>
      <c r="K112" s="702"/>
      <c r="L112" s="702"/>
      <c r="M112" s="702"/>
      <c r="N112" s="702"/>
      <c r="O112" s="702"/>
      <c r="P112" s="702"/>
      <c r="Q112" s="702"/>
      <c r="R112" s="702"/>
      <c r="S112" s="702"/>
      <c r="T112" s="702"/>
      <c r="U112" s="702"/>
      <c r="V112" s="702"/>
      <c r="W112" s="702"/>
      <c r="X112" s="702"/>
      <c r="Y112" s="702"/>
      <c r="Z112" s="702"/>
      <c r="AA112" s="702"/>
      <c r="AB112" s="702"/>
      <c r="AC112" s="702"/>
      <c r="AD112" s="702"/>
      <c r="AE112" s="702"/>
      <c r="AF112" s="702"/>
      <c r="AG112" s="702"/>
      <c r="AH112" s="702"/>
      <c r="AI112" s="702"/>
      <c r="AJ112" s="702"/>
      <c r="AK112" s="702"/>
      <c r="AL112" s="702"/>
      <c r="AM112" s="702"/>
      <c r="AN112" s="702"/>
      <c r="AO112" s="702"/>
      <c r="AP112" s="702"/>
      <c r="AQ112" s="702"/>
      <c r="AR112" s="702"/>
      <c r="AS112" s="702"/>
      <c r="AT112" s="702"/>
      <c r="AU112" s="702"/>
      <c r="AV112" s="702"/>
      <c r="AW112" s="702"/>
      <c r="AX112" s="702"/>
      <c r="AY112" s="702"/>
      <c r="AZ112" s="702"/>
      <c r="BA112" s="702"/>
      <c r="BB112" s="702"/>
      <c r="BC112" s="702"/>
      <c r="BD112" s="702"/>
      <c r="BE112" s="702"/>
      <c r="BF112" s="702"/>
      <c r="BG112" s="702"/>
      <c r="BH112" s="702"/>
      <c r="BI112" s="702"/>
      <c r="BJ112" s="702"/>
      <c r="BK112" s="702"/>
      <c r="BL112" s="702"/>
      <c r="BM112" s="702"/>
      <c r="BN112" s="702"/>
      <c r="BO112" s="702"/>
      <c r="BP112" s="702"/>
      <c r="BQ112" s="702"/>
      <c r="BR112" s="244"/>
      <c r="BS112" s="244"/>
      <c r="BT112" s="244"/>
      <c r="BU112" s="244"/>
      <c r="BV112" s="244"/>
      <c r="BW112" s="244"/>
      <c r="BX112" s="244"/>
      <c r="BY112" s="244"/>
      <c r="BZ112" s="244"/>
      <c r="CA112" s="244"/>
      <c r="CB112" s="244"/>
      <c r="CC112" s="244"/>
      <c r="CD112" s="244"/>
      <c r="CE112" s="244"/>
      <c r="CF112" s="244"/>
    </row>
    <row r="113" ht="12.75" customHeight="1">
      <c r="A113" s="702"/>
      <c r="B113" s="702"/>
      <c r="C113" s="702"/>
      <c r="D113" s="702"/>
      <c r="E113" s="702"/>
      <c r="F113" s="702"/>
      <c r="G113" s="702"/>
      <c r="H113" s="702"/>
      <c r="I113" s="702"/>
      <c r="J113" s="702"/>
      <c r="K113" s="702"/>
      <c r="L113" s="702"/>
      <c r="M113" s="702"/>
      <c r="N113" s="702"/>
      <c r="O113" s="702"/>
      <c r="P113" s="702"/>
      <c r="Q113" s="702"/>
      <c r="R113" s="702"/>
      <c r="S113" s="702"/>
      <c r="T113" s="702"/>
      <c r="U113" s="702"/>
      <c r="V113" s="702"/>
      <c r="W113" s="702"/>
      <c r="X113" s="702"/>
      <c r="Y113" s="702"/>
      <c r="Z113" s="702"/>
      <c r="AA113" s="702"/>
      <c r="AB113" s="702"/>
      <c r="AC113" s="702"/>
      <c r="AD113" s="702"/>
      <c r="AE113" s="702"/>
      <c r="AF113" s="702"/>
      <c r="AG113" s="702"/>
      <c r="AH113" s="702"/>
      <c r="AI113" s="702"/>
      <c r="AJ113" s="702"/>
      <c r="AK113" s="702"/>
      <c r="AL113" s="702"/>
      <c r="AM113" s="702"/>
      <c r="AN113" s="702"/>
      <c r="AO113" s="702"/>
      <c r="AP113" s="702"/>
      <c r="AQ113" s="702"/>
      <c r="AR113" s="702"/>
      <c r="AS113" s="702"/>
      <c r="AT113" s="702"/>
      <c r="AU113" s="702"/>
      <c r="AV113" s="702"/>
      <c r="AW113" s="702"/>
      <c r="AX113" s="702"/>
      <c r="AY113" s="702"/>
      <c r="AZ113" s="702"/>
      <c r="BA113" s="702"/>
      <c r="BB113" s="702"/>
      <c r="BC113" s="702"/>
      <c r="BD113" s="702"/>
      <c r="BE113" s="702"/>
      <c r="BF113" s="702"/>
      <c r="BG113" s="702"/>
      <c r="BH113" s="702"/>
      <c r="BI113" s="702"/>
      <c r="BJ113" s="702"/>
      <c r="BK113" s="702"/>
      <c r="BL113" s="702"/>
      <c r="BM113" s="702"/>
      <c r="BN113" s="702"/>
      <c r="BO113" s="702"/>
      <c r="BP113" s="702"/>
      <c r="BQ113" s="702"/>
      <c r="BR113" s="244"/>
      <c r="BS113" s="244"/>
      <c r="BT113" s="244"/>
      <c r="BU113" s="244"/>
      <c r="BV113" s="244"/>
      <c r="BW113" s="244"/>
      <c r="BX113" s="244"/>
      <c r="BY113" s="244"/>
      <c r="BZ113" s="244"/>
      <c r="CA113" s="244"/>
      <c r="CB113" s="244"/>
      <c r="CC113" s="244"/>
      <c r="CD113" s="244"/>
      <c r="CE113" s="244"/>
      <c r="CF113" s="244"/>
    </row>
    <row r="114">
      <c r="A114" s="702"/>
      <c r="B114" s="702"/>
      <c r="C114" s="702"/>
      <c r="D114" s="702"/>
      <c r="E114" s="702"/>
      <c r="F114" s="702"/>
      <c r="G114" s="702"/>
      <c r="H114" s="702"/>
      <c r="I114" s="702"/>
      <c r="J114" s="702"/>
      <c r="K114" s="702"/>
      <c r="L114" s="702"/>
      <c r="M114" s="702"/>
      <c r="N114" s="702"/>
      <c r="O114" s="702"/>
      <c r="P114" s="702"/>
      <c r="Q114" s="702"/>
      <c r="R114" s="702"/>
      <c r="S114" s="702"/>
      <c r="T114" s="702"/>
      <c r="U114" s="702"/>
      <c r="V114" s="702"/>
      <c r="W114" s="702"/>
      <c r="X114" s="702"/>
      <c r="Y114" s="702"/>
      <c r="Z114" s="702"/>
      <c r="AA114" s="702"/>
      <c r="AB114" s="702"/>
      <c r="AC114" s="702"/>
      <c r="AD114" s="702"/>
      <c r="AE114" s="702"/>
      <c r="AF114" s="702"/>
      <c r="AG114" s="702"/>
      <c r="AH114" s="702"/>
      <c r="AI114" s="702"/>
      <c r="AJ114" s="702"/>
      <c r="AK114" s="702"/>
      <c r="AL114" s="702"/>
      <c r="AM114" s="702"/>
      <c r="AN114" s="702"/>
      <c r="AO114" s="702"/>
      <c r="AP114" s="702"/>
      <c r="AQ114" s="702"/>
      <c r="AR114" s="702"/>
      <c r="AS114" s="702"/>
      <c r="AT114" s="702"/>
      <c r="AU114" s="702"/>
      <c r="AV114" s="702"/>
      <c r="AW114" s="702"/>
      <c r="AX114" s="702"/>
      <c r="AY114" s="702"/>
      <c r="AZ114" s="702"/>
      <c r="BA114" s="702"/>
      <c r="BB114" s="702"/>
      <c r="BC114" s="702"/>
      <c r="BD114" s="702"/>
      <c r="BE114" s="702"/>
      <c r="BF114" s="702"/>
      <c r="BG114" s="702"/>
      <c r="BH114" s="702"/>
      <c r="BI114" s="702"/>
      <c r="BJ114" s="702"/>
      <c r="BK114" s="702"/>
      <c r="BL114" s="702"/>
      <c r="BM114" s="702"/>
      <c r="BN114" s="702"/>
      <c r="BO114" s="702"/>
      <c r="BP114" s="702"/>
      <c r="BQ114" s="702"/>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28823260</Manager>
  <Company>33</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859,634,677</cp:category>
  <dcterms:created xsi:type="dcterms:W3CDTF">2003-06-11T18:24:11Z</dcterms:created>
  <dc:creator>STR, Inc.</dc:creator>
  <cp:keywords>56387</cp:keywords>
  <cp:lastModifiedBy>Jim Hawkins</cp:lastModifiedBy>
  <cp:lastPrinted>2016-02-16T16:32:42Z</cp:lastPrinted>
  <dcterms:modified xsi:type="dcterms:W3CDTF">2023-04-05T19:50:13Z</dcterms:modified>
  <dc:subject>56387</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