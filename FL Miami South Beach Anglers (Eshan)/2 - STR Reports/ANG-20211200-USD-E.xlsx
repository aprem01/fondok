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worksheets/sheet32.xml" ContentType="application/vnd.openxmlformats-officedocument.spreadsheetml.worksheet+xml"/>
  <Override PartName="/xl/printerSettings/printerSettings33.bin" ContentType="application/vnd.openxmlformats-officedocument.spreadsheetml.printerSettings"/>
  <Override PartName="/xl/drawings/drawing34.xml" ContentType="application/vnd.openxmlformats-officedocument.drawing+xml"/>
  <Override PartName="/xl/worksheets/sheet36.xml" ContentType="application/vnd.openxmlformats-officedocument.spreadsheetml.worksheet+xml"/>
  <Override PartName="/xl/printerSettings/printerSettings37.bin" ContentType="application/vnd.openxmlformats-officedocument.spreadsheetml.printerSettings"/>
  <Override PartName="/xl/drawings/drawing38.xml" ContentType="application/vnd.openxmlformats-officedocument.drawing+xml"/>
  <Override PartName="/xl/worksheets/sheet40.xml" ContentType="application/vnd.openxmlformats-officedocument.spreadsheetml.worksheet+xml"/>
  <Override PartName="/xl/printerSettings/printerSettings41.bin" ContentType="application/vnd.openxmlformats-officedocument.spreadsheetml.printerSettings"/>
  <Override PartName="/xl/drawings/drawing42.xml" ContentType="application/vnd.openxmlformats-officedocument.drawing+xml"/>
  <Override PartName="/xl/worksheets/sheet44.xml" ContentType="application/vnd.openxmlformats-officedocument.spreadsheetml.worksheet+xml"/>
  <Override PartName="/xl/printerSettings/printerSettings45.bin" ContentType="application/vnd.openxmlformats-officedocument.spreadsheetml.printerSettings"/>
  <Override PartName="/xl/drawings/drawing46.xml" ContentType="application/vnd.openxmlformats-officedocument.drawing+xml"/>
  <Override PartName="/xl/worksheets/sheet48.xml" ContentType="application/vnd.openxmlformats-officedocument.spreadsheetml.worksheet+xml"/>
  <Override PartName="/xl/printerSettings/printerSettings49.bin" ContentType="application/vnd.openxmlformats-officedocument.spreadsheetml.printerSettings"/>
  <Override PartName="/xl/drawings/drawing50.xml" ContentType="application/vnd.openxmlformats-officedocument.drawing+xml"/>
  <Override PartName="/xl/worksheets/sheet52.xml" ContentType="application/vnd.openxmlformats-officedocument.spreadsheetml.worksheet+xml"/>
  <Override PartName="/xl/printerSettings/printerSettings53.bin" ContentType="application/vnd.openxmlformats-officedocument.spreadsheetml.printerSettings"/>
  <Override PartName="/xl/drawings/drawing54.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worksheets/sheet65.xml" ContentType="application/vnd.openxmlformats-officedocument.spreadsheetml.worksheet+xml"/>
  <Override PartName="/xl/printerSettings/printerSettings66.bin" ContentType="application/vnd.openxmlformats-officedocument.spreadsheetml.printerSettings"/>
  <Override PartName="/xl/drawings/drawing67.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drawings/drawing76.xml" ContentType="application/vnd.openxmlformats-officedocument.drawing+xml"/>
  <Override PartName="/xl/worksheets/sheet77.xml" ContentType="application/vnd.openxmlformats-officedocument.spreadsheetml.worksheet+xml"/>
  <Override PartName="/xl/printerSettings/printerSettings78.bin" ContentType="application/vnd.openxmlformats-officedocument.spreadsheetml.printerSettings"/>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drawings/drawing83.xml" ContentType="application/vnd.openxmlformats-officedocument.drawing+xml"/>
  <Override PartName="/xl/worksheets/sheet84.xml" ContentType="application/vnd.openxmlformats-officedocument.spreadsheetml.worksheet+xml"/>
  <Override PartName="/xl/printerSettings/printerSettings85.bin" ContentType="application/vnd.openxmlformats-officedocument.spreadsheetml.printerSettings"/>
  <Override PartName="/xl/drawings/drawing86.xml" ContentType="application/vnd.openxmlformats-officedocument.drawing+xml"/>
  <Override PartName="/xl/drawings/drawing87.xml" ContentType="application/vnd.openxmlformats-officedocument.drawing+xml"/>
  <Override PartName="/xl/worksheets/sheet88.xml" ContentType="application/vnd.openxmlformats-officedocument.spreadsheetml.worksheet+xml"/>
  <Override PartName="/xl/printerSettings/printerSettings89.bin" ContentType="application/vnd.openxmlformats-officedocument.spreadsheetml.printerSettings"/>
  <Override PartName="/xl/drawings/drawing90.xml" ContentType="application/vnd.openxmlformats-officedocument.drawing+xml"/>
  <Override PartName="/xl/drawings/drawing91.xml" ContentType="application/vnd.openxmlformats-officedocument.drawing+xml"/>
  <Override PartName="/xl/worksheets/sheet92.xml" ContentType="application/vnd.openxmlformats-officedocument.spreadsheetml.worksheet+xml"/>
  <Override PartName="/xl/printerSettings/printerSettings93.bin" ContentType="application/vnd.openxmlformats-officedocument.spreadsheetml.printerSettings"/>
  <Override PartName="/xl/drawings/drawing94.xml" ContentType="application/vnd.openxmlformats-officedocument.drawing+xml"/>
  <Override PartName="/xl/worksheets/sheet95.xml" ContentType="application/vnd.openxmlformats-officedocument.spreadsheetml.worksheet+xml"/>
  <Override PartName="/xl/printerSettings/printerSettings96.bin" ContentType="application/vnd.openxmlformats-officedocument.spreadsheetml.printerSettings"/>
  <Override PartName="/xl/drawings/drawing97.xml" ContentType="application/vnd.openxmlformats-officedocument.drawing+xml"/>
  <Override PartName="/xl/worksheets/sheet98.xml" ContentType="application/vnd.openxmlformats-officedocument.spreadsheetml.worksheet+xml"/>
  <Override PartName="/xl/printerSettings/printerSettings99.bin" ContentType="application/vnd.openxmlformats-officedocument.spreadsheetml.printerSettings"/>
  <Override PartName="/xl/drawings/drawing100.xml" ContentType="application/vnd.openxmlformats-officedocument.drawing+xml"/>
  <Override PartName="/xl/worksheets/sheet101.xml" ContentType="application/vnd.openxmlformats-officedocument.spreadsheetml.worksheet+xml"/>
  <Override PartName="/xl/printerSettings/printerSettings102.bin" ContentType="application/vnd.openxmlformats-officedocument.spreadsheetml.printerSettings"/>
  <Override PartName="/xl/drawings/drawing103.xml" ContentType="application/vnd.openxmlformats-officedocument.drawing+xml"/>
  <Override PartName="/xl/worksheets/sheet104.xml" ContentType="application/vnd.openxmlformats-officedocument.spreadsheetml.worksheet+xml"/>
  <Override PartName="/xl/printerSettings/printerSettings105.bin" ContentType="application/vnd.openxmlformats-officedocument.spreadsheetml.printerSettings"/>
  <Override PartName="/xl/drawings/drawing106.xml" ContentType="application/vnd.openxmlformats-officedocument.drawing+xml"/>
  <Override PartName="/xl/worksheets/sheet107.xml" ContentType="application/vnd.openxmlformats-officedocument.spreadsheetml.worksheet+xml"/>
  <Override PartName="/xl/printerSettings/printerSettings108.bin" ContentType="application/vnd.openxmlformats-officedocument.spreadsheetml.printerSettings"/>
  <Override PartName="/xl/drawings/drawing109.xml" ContentType="application/vnd.openxmlformats-officedocument.drawing+xml"/>
  <Override PartName="/xl/worksheets/sheet110.xml" ContentType="application/vnd.openxmlformats-officedocument.spreadsheetml.worksheet+xml"/>
  <Override PartName="/xl/printerSettings/printerSettings111.bin" ContentType="application/vnd.openxmlformats-officedocument.spreadsheetml.printerSettings"/>
  <Override PartName="/xl/drawings/drawing112.xml" ContentType="application/vnd.openxmlformats-officedocument.drawing+xml"/>
  <Override PartName="/xl/worksheets/sheet113.xml" ContentType="application/vnd.openxmlformats-officedocument.spreadsheetml.worksheet+xml"/>
  <Override PartName="/xl/printerSettings/printerSettings114.bin" ContentType="application/vnd.openxmlformats-officedocument.spreadsheetml.printerSettings"/>
  <Override PartName="/xl/drawings/drawing115.xml" ContentType="application/vnd.openxmlformats-officedocument.drawing+xml"/>
  <Override PartName="/xl/worksheets/sheet116.xml" ContentType="application/vnd.openxmlformats-officedocument.spreadsheetml.worksheet+xml"/>
  <Override PartName="/xl/printerSettings/printerSettings117.bin" ContentType="application/vnd.openxmlformats-officedocument.spreadsheetml.printerSettings"/>
  <Override PartName="/xl/drawings/drawing118.xml" ContentType="application/vnd.openxmlformats-officedocument.drawing+xml"/>
  <Override PartName="/xl/worksheets/sheet119.xml" ContentType="application/vnd.openxmlformats-officedocument.spreadsheetml.worksheet+xml"/>
  <Override PartName="/xl/printerSettings/printerSettings120.bin" ContentType="application/vnd.openxmlformats-officedocument.spreadsheetml.printerSettings"/>
  <Override PartName="/xl/drawings/drawing121.xml" ContentType="application/vnd.openxmlformats-officedocument.drawing+xml"/>
  <Override PartName="/xl/worksheets/sheet122.xml" ContentType="application/vnd.openxmlformats-officedocument.spreadsheetml.worksheet+xml"/>
  <Override PartName="/xl/printerSettings/printerSettings123.bin" ContentType="application/vnd.openxmlformats-officedocument.spreadsheetml.printerSettings"/>
  <Override PartName="/xl/drawings/drawing124.xml" ContentType="application/vnd.openxmlformats-officedocument.drawing+xml"/>
  <Override PartName="/xl/drawings/drawing125.xml" ContentType="application/vnd.openxmlformats-officedocument.drawing+xml"/>
  <Override PartName="/xl/worksheets/sheet126.xml" ContentType="application/vnd.openxmlformats-officedocument.spreadsheetml.worksheet+xml"/>
  <Override PartName="/xl/printerSettings/printerSettings127.bin" ContentType="application/vnd.openxmlformats-officedocument.spreadsheetml.printerSettings"/>
  <Override PartName="/xl/drawings/drawing128.xml" ContentType="application/vnd.openxmlformats-officedocument.drawing+xml"/>
  <Override PartName="/xl/drawings/drawing129.xml" ContentType="application/vnd.openxmlformats-officedocument.drawing+xml"/>
  <Override PartName="/xl/worksheets/sheet130.xml" ContentType="application/vnd.openxmlformats-officedocument.spreadsheetml.worksheet+xml"/>
  <Override PartName="/xl/printerSettings/printerSettings131.bin" ContentType="application/vnd.openxmlformats-officedocument.spreadsheetml.printerSettings"/>
  <Override PartName="/xl/drawings/drawing132.xml" ContentType="application/vnd.openxmlformats-officedocument.drawing+xml"/>
  <Override PartName="/xl/worksheets/sheet133.xml" ContentType="application/vnd.openxmlformats-officedocument.spreadsheetml.worksheet+xml"/>
  <Override PartName="/xl/printerSettings/printerSettings134.bin" ContentType="application/vnd.openxmlformats-officedocument.spreadsheetml.printerSettings"/>
  <Override PartName="/xl/drawings/drawing135.xml" ContentType="application/vnd.openxmlformats-officedocument.drawing+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32"/>
    <sheet name="Glance" sheetId="57" r:id="rId33"/>
    <sheet name="Summary" sheetId="55" r:id="rId34"/>
    <sheet name="Comp" sheetId="76" r:id="rId31"/>
    <sheet name="Response" sheetId="13" r:id="rId39"/>
    <sheet name="Day of Week" sheetId="60" r:id="rId35"/>
    <sheet name="Daily by Month" sheetId="47" r:id="rId36"/>
    <sheet name="Segmentation Glance" sheetId="77" r:id="rId30"/>
    <sheet name="Segmentation Occ" sheetId="78" r:id="rId29"/>
    <sheet name="Segmentation ADR" sheetId="79" r:id="rId28"/>
    <sheet name="Segmentation RevPAR" sheetId="80" r:id="rId27"/>
    <sheet name="Segmentation Indexes" sheetId="81" r:id="rId26"/>
    <sheet name="Segmentation Ranking" sheetId="82" r:id="rId25"/>
    <sheet name="Segmentation DOW Month" sheetId="83" r:id="rId24"/>
    <sheet name="Segmentation DOW YTD" sheetId="84" r:id="rId23"/>
    <sheet name="Segmentation DOW Run 3" sheetId="85" r:id="rId22"/>
    <sheet name="Segmentation DOW Run 12" sheetId="86" r:id="rId21"/>
    <sheet name="Add Rev ADR" sheetId="65" r:id="rId37"/>
    <sheet name="Add Rev RevPAR" sheetId="66" r:id="rId38"/>
    <sheet name="Segmentation Response" sheetId="87" r:id="rId20"/>
    <sheet name="Glance_2" sheetId="88" r:id="rId19"/>
    <sheet name="Summary_2" sheetId="89" r:id="rId18"/>
    <sheet name="Comp_2" sheetId="90" r:id="rId17"/>
    <sheet name="Response_2" sheetId="91" r:id="rId16"/>
    <sheet name="Day of Week_2" sheetId="92" r:id="rId15"/>
    <sheet name="Daily by Month_2" sheetId="93" r:id="rId14"/>
    <sheet name="Segmentation Glance_2" sheetId="94" r:id="rId13"/>
    <sheet name="Segmentation Occ_2" sheetId="95" r:id="rId12"/>
    <sheet name="Segmentation ADR_2" sheetId="96" r:id="rId11"/>
    <sheet name="Segmentation RevPAR_2" sheetId="97" r:id="rId10"/>
    <sheet name="Segmentation Indexes_2" sheetId="98" r:id="rId9"/>
    <sheet name="Segmentation Ranking_2" sheetId="99" r:id="rId8"/>
    <sheet name="Segmentation DOW Month_2" sheetId="100" r:id="rId7"/>
    <sheet name="Segmentation DOW YTD_2" sheetId="101" r:id="rId6"/>
    <sheet name="Segmentation DOW Run 3_2" sheetId="102" r:id="rId5"/>
    <sheet name="Segmentation DOW Run 12_2" sheetId="103" r:id="rId4"/>
    <sheet name="Add Rev ADR_2" sheetId="104" r:id="rId3"/>
    <sheet name="Add Rev RevPAR_2" sheetId="105" r:id="rId2"/>
    <sheet name="Segmentation Response_2" sheetId="106" r:id="rId1"/>
    <sheet name="Help" sheetId="74" r:id="rId40"/>
  </sheets>
  <definedNames>
    <definedName name="_xlnm.Print_Area" localSheetId="17">'Add Rev ADR'!$A$1:$AH$46</definedName>
    <definedName name="_xlnm.Print_Area" localSheetId="18">'Add Rev RevPAR'!$A$1:$AH$45</definedName>
    <definedName name="_xlnm.Print_Area" localSheetId="6">'Daily by Month'!$A$1:$AH$57</definedName>
    <definedName name="_xlnm.Print_Area" localSheetId="5">'Day of Week'!$A$1:$V$78</definedName>
    <definedName name="_xlnm.Print_Area" localSheetId="1">Glance!$A$1:$T$34</definedName>
    <definedName name="_xlnm.Print_Area" localSheetId="39">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 name="_xlnm.Print_Area" localSheetId="7">'Segmentation Glance'!$A$1:$T$41</definedName>
    <definedName name="_xlnm.Print_Area" localSheetId="8">'Segmentation Occ'!$A$1:$AB$45</definedName>
    <definedName name="_xlnm.Print_Area" localSheetId="9">'Segmentation ADR'!$A$1:$AB$44</definedName>
    <definedName name="_xlnm.Print_Area" localSheetId="10">'Segmentation RevPAR'!$A$1:$AB$44</definedName>
    <definedName name="_xlnm.Print_Area" localSheetId="11">'Segmentation Indexes'!$A$1:$AB$44</definedName>
    <definedName name="_xlnm.Print_Area" localSheetId="12">'Segmentation Ranking'!$A$1:$AB$44</definedName>
    <definedName name="_xlnm.Print_Area" localSheetId="13">'Segmentation DOW Month'!$A$1:$AB$53</definedName>
    <definedName name="_xlnm.Print_Area" localSheetId="14">'Segmentation DOW YTD'!$A$1:$AB$53</definedName>
    <definedName name="_xlnm.Print_Area" localSheetId="15">'Segmentation DOW Run 3'!$A$1:$AB$53</definedName>
    <definedName name="_xlnm.Print_Area" localSheetId="16">'Segmentation DOW Run 12'!$A$1:$AB$53</definedName>
    <definedName name="_xlnm.Print_Area" localSheetId="19">'Segmentation Response'!$A$1:$AR$106</definedName>
    <definedName name="_xlnm.Print_Area" localSheetId="20">Glance_2!$A$1:$T$34</definedName>
    <definedName name="_xlnm.Print_Area" localSheetId="21">Summary_2!$A$1:$U$45</definedName>
    <definedName name="_xlnm.Print_Area" localSheetId="22">'Comp_2'!$A$1:$AG$57</definedName>
    <definedName name="_xlnm.Print_Area" localSheetId="23">'Response_2'!$A$1:$AR$106</definedName>
    <definedName name="_xlnm.Print_Area" localSheetId="24">'Day of Week_2'!$A$1:$V$78</definedName>
    <definedName name="_xlnm.Print_Area" localSheetId="25">'Daily by Month_2'!$A$1:$AH$57</definedName>
    <definedName name="_xlnm.Print_Area" localSheetId="26">'Segmentation Glance_2'!$A$1:$T$41</definedName>
    <definedName name="_xlnm.Print_Area" localSheetId="27">'Segmentation Occ_2'!$A$1:$AB$45</definedName>
    <definedName name="_xlnm.Print_Area" localSheetId="28">'Segmentation ADR_2'!$A$1:$AB$44</definedName>
    <definedName name="_xlnm.Print_Area" localSheetId="29">'Segmentation RevPAR_2'!$A$1:$AB$44</definedName>
    <definedName name="_xlnm.Print_Area" localSheetId="30">'Segmentation Indexes_2'!$A$1:$AB$44</definedName>
    <definedName name="_xlnm.Print_Area" localSheetId="31">'Segmentation Ranking_2'!$A$1:$AB$44</definedName>
    <definedName name="_xlnm.Print_Area" localSheetId="32">'Segmentation DOW Month_2'!$A$1:$AB$53</definedName>
    <definedName name="_xlnm.Print_Area" localSheetId="33">'Segmentation DOW YTD_2'!$A$1:$AB$53</definedName>
    <definedName name="_xlnm.Print_Area" localSheetId="34">'Segmentation DOW Run 3_2'!$A$1:$AB$53</definedName>
    <definedName name="_xlnm.Print_Area" localSheetId="35">'Segmentation DOW Run 12_2'!$A$1:$AB$53</definedName>
    <definedName name="_xlnm.Print_Area" localSheetId="36">'Add Rev ADR_2'!$A$1:$AH$46</definedName>
    <definedName name="_xlnm.Print_Area" localSheetId="37">'Add Rev RevPAR_2'!$A$1:$AH$45</definedName>
    <definedName name="_xlnm.Print_Area" localSheetId="38">'Segmentation Response_2'!$A$1:$AR$106</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<sst xmlns="http://schemas.openxmlformats.org/spreadsheetml/2006/main" xmlns:r="http://schemas.openxmlformats.org/officeDocument/2006/relationships" xmlns:xdr="http://schemas.openxmlformats.org/drawingml/2006/spreadsheetDrawing" xmlns:s="http://schemas.openxmlformats.org/officeDocument/2006/sharedTypes" xmlns:vt="http://schemas.openxmlformats.org/officeDocument/2006/docPropsVTypes" xmlns:a="http://schemas.openxmlformats.org/drawingml/2006/main" xmlns:cdr="http://schemas.openxmlformats.org/drawingml/2006/chartDrawing" count="1023" uniqueCount="126">
  <si>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</si>
  <si>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</si>
  <si>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</si>
  <si>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</si>
  <si>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</si>
  <si>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</si>
  <si>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</si>
  <si>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</si>
  <si>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</si>
  <si>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</si>
  <si>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</si>
  <si>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</si>
  <si>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</si>
  <si>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</si>
  <si>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</si>
  <si>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</si>
  <si>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</si>
  <si>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</si>
  <si>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</si>
  <si>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</si>
  <si>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</si>
  <si>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</si>
  <si>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</si>
  <si>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</si>
  <si>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</si>
  <si>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</si>
  <si>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</si>
  <si>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</si>
  <si>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</si>
  <si>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</si>
  <si>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</si>
  <si>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</si>
  <si>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</si>
  <si>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</si>
  <si>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</si>
  <si>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</si>
  <si>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</si>
  <si>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</si>
  <si>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</si>
  <si>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</si>
  <si>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</si>
  <si>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</si>
  <si>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</si>
  <si>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</si>
  <si>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</si>
  <si>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</si>
  <si>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</si>
  <si>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</si>
  <si>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</si>
  <si>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</si>
  <si>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</si>
  <si>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</si>
  <si>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</si>
  <si>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</si>
  <si>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</si>
  <si>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</si>
  <si>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</si>
  <si>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</si>
  <si>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</si>
  <si>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</si>
  <si>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</si>
  <si>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</si>
  <si>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</si>
  <si>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</si>
  <si>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</si>
  <si>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</si>
  <si>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</si>
  <si>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</si>
  <si>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</si>
  <si>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</si>
  <si>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</si>
  <si>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</si>
  <si>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</si>
  <si>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</si>
  <si>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</si>
  <si>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</si>
  <si>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</si>
  <si>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</si>
  <si>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</si>
  <si>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</si>
  <si>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</si>
  <si>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</si>
  <si>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</si>
  <si>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</si>
  <si>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</si>
  <si>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</si>
  <si>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</si>
  <si>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</si>
  <si>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</si>
  <si>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</si>
  <si>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</si>
  <si>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</si>
  <si>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</si>
  <si>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</si>
  <si>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</si>
  <si>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</si>
  <si>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</si>
  <si>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</si>
  <si>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</si>
  <si>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</si>
  <si>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</si>
  <si>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</si>
  <si>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</si>
  <si>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</si>
  <si>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</si>
  <si>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</si>
  <si>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</si>
  <si>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</si>
  <si>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</si>
  <si>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</si>
  <si>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</si>
  <si>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</si>
  <si>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</si>
  <si>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</si>
  <si>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</si>
  <si>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</si>
  <si>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</si>
  <si>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</si>
  <si>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</si>
  <si>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</si>
  <si>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</si>
  <si>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</si>
  <si>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</si>
  <si>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</si>
  <si>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</si>
  <si>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</si>
  <si>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2022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2022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</si>
  <si>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</si>
  <si>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</si>
  <si>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</si>
  <si>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</si>
  <si>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</si>
  <si>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</si>
  <si>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</si>
  <si>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</si>
  <si>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</si>
  <si>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</si>
  <si>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</si>
  <si>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</si>
  <si>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Tab 8 - Segmentation at a Glance - My Property vs. Competitive Set</t>
  </si>
  <si>
    <t>Segmentation at a Glance</t>
  </si>
  <si>
    <t>Tab 9 - Segmentation Occupancy Analysis</t>
  </si>
  <si>
    <t>Segmentation Occupancy Analysis</t>
  </si>
  <si>
    <t>Tab 10 - Segmentation ADR Analysis</t>
  </si>
  <si>
    <t>Segmentation ADR Analysis</t>
  </si>
  <si>
    <t>Tab 11 - Segmentation RevPAR Analysis</t>
  </si>
  <si>
    <t>Segmentation RevPAR Analysis</t>
  </si>
  <si>
    <t>Tab 12 - Segmentation Index Analysis</t>
  </si>
  <si>
    <t>Segmentation Index Analysis</t>
  </si>
  <si>
    <t>Tab 13 - Segmentation Ranking Analysis</t>
  </si>
  <si>
    <t>Segmentation Ranking Analysis</t>
  </si>
  <si>
    <t>Tab 14 - Segmentation Day Of Week - Current Month</t>
  </si>
  <si>
    <t>Segmentation Day Of Week - Current Month</t>
  </si>
  <si>
    <t>Tab 15 - Segmentation Day Of Week - Year to Date</t>
  </si>
  <si>
    <t>Segmentation Day Of Week - Year to Date</t>
  </si>
  <si>
    <t>Tab 16 - Segmentation Day Of Week - Running 3 Month</t>
  </si>
  <si>
    <t>Segmentation Day Of Week - Running 3 Month</t>
  </si>
  <si>
    <t>Tab 17 - Segmentation Day Of Week - Running 12 Month</t>
  </si>
  <si>
    <t>Segmentation Day Of Week - Running 12 Month</t>
  </si>
  <si>
    <t>Tab 18 - Additional Revenue ADR Analysis (TrevPOR)</t>
  </si>
  <si>
    <t>Additional Revenue ADR Analysis (TrevPOR)</t>
  </si>
  <si>
    <t>Tab 19 - Additional Revenue RevPAR Analysis (TrevPAR)</t>
  </si>
  <si>
    <t>Additional Revenue RevPAR Analysis (TrevPAR)</t>
  </si>
  <si>
    <t>Tab 20 - Segmentation Response Report</t>
  </si>
  <si>
    <t>Segmentation Response Report</t>
  </si>
  <si>
    <t>Tab 21 - Monthly Performance at a Glance - My Property vs. Competitive Set - Comp Set 2</t>
  </si>
  <si>
    <t>Monthly Performance at a Glance - 2nd Comp</t>
  </si>
  <si>
    <t>Tab 22 - STAR Summary - My Property vs. Comp Set and Industry Segments - Comp Set 2</t>
  </si>
  <si>
    <t>STAR Summary - 2nd Comp</t>
  </si>
  <si>
    <t>Tab 23 - Competitive Set Report - Comp Set 2</t>
  </si>
  <si>
    <t>Competitive Set Report - 2nd Comp</t>
  </si>
  <si>
    <t>Tab 24 - Response Report - Comp Set 2</t>
  </si>
  <si>
    <t>Response Report - 2nd Comp</t>
  </si>
  <si>
    <t>Tab 25 - Day of Week and Weekday/Weekend Report - Comp Set 2</t>
  </si>
  <si>
    <t>Day of Week &amp; Weekday/Weekend - 2nd Comp</t>
  </si>
  <si>
    <t>Tab 26 - Daily Data for the Month - Comp Set 2</t>
  </si>
  <si>
    <t>Daily Data for the Month - 2nd Comp</t>
  </si>
  <si>
    <t>Tab 27 - Segmentation at a Glance - My Property vs. Competitive Set - Comp Set 2</t>
  </si>
  <si>
    <t>Segmentation at a Glance - 2nd Comp</t>
  </si>
  <si>
    <t>Tab 28 - Segmentation Occupancy Analysis - Comp Set 2</t>
  </si>
  <si>
    <t>Segmentation Occupancy Analysis - 2nd Comp</t>
  </si>
  <si>
    <t>Tab 29 - Segmentation ADR Analysis - Comp Set 2</t>
  </si>
  <si>
    <t>Segmentation ADR Analysis - 2nd Comp</t>
  </si>
  <si>
    <t>Tab 30 - Segmentation RevPAR Analysis - Comp Set 2</t>
  </si>
  <si>
    <t>Segmentation RevPAR Analysis - 2nd Comp</t>
  </si>
  <si>
    <t>Tab 31 - Segmentation Index Analysis - Comp Set 2</t>
  </si>
  <si>
    <t>Segmentation Index Analysis - 2nd Comp</t>
  </si>
  <si>
    <t>Tab 32 - Segmentation Ranking Analysis - Comp Set 2</t>
  </si>
  <si>
    <t>Segmentation Ranking Analysis - 2nd Comp</t>
  </si>
  <si>
    <t>Tab 33 - Segmentation Day Of Week - Current Month - Comp Set 2</t>
  </si>
  <si>
    <t>Segmentation Day Of Week - Current Month - 2nd Comp</t>
  </si>
  <si>
    <t>Tab 34 - Segmentation Day Of Week - Year to Date - Comp Set 2</t>
  </si>
  <si>
    <t>Segmentation Day Of Week - Year to Date - 2nd Comp</t>
  </si>
  <si>
    <t>Tab 35 - Segmentation Day Of Week - Running 3 Month - Comp Set 2</t>
  </si>
  <si>
    <t>Segmentation Day Of Week - Running 3 Month - 2nd Comp</t>
  </si>
  <si>
    <t>Tab 36 - Segmentation Day Of Week - Running 12 Month - Comp Set 2</t>
  </si>
  <si>
    <t>Segmentation Day Of Week - Running 12 Month - 2nd Comp</t>
  </si>
  <si>
    <t>Tab 37 - Additional Revenue ADR Analysis (TrevPOR) - Comp Set 2</t>
  </si>
  <si>
    <t>Additional Revenue ADR Analysis (TrevPOR) - 2nd Comp</t>
  </si>
  <si>
    <t>Tab 38 - Additional Revenue RevPAR Analysis (TrevPAR) - Comp Set 2</t>
  </si>
  <si>
    <t>Additional Revenue RevPAR Analysis (TrevPAR) - 2nd Comp</t>
  </si>
  <si>
    <t>Tab 39 - Segmentation Response Report - Comp Set 2</t>
  </si>
  <si>
    <t>Segmentation Response Report - 2nd Comp</t>
  </si>
  <si>
    <t>Help</t>
  </si>
  <si>
    <t>Monthly STAR Report : Kimpton Angler's  South Beach</t>
  </si>
  <si>
    <t>STR # 56387 / Created January 19, 2022</t>
  </si>
  <si>
    <t>For the Month of: December 2021</t>
  </si>
  <si>
    <t>Currency: US Dollar  /  Competitive Set Data Excludes Subject Property</t>
  </si>
  <si>
    <t>Kimpton Angler's  South Beach        600 Washington Ave        Miami Beach, FL 33139-6207        Phone: (305) 534-9600</t>
  </si>
  <si>
    <t>STR # 56387        ChainID: 18033        MgtCo: Kimpton Hotel Group        Owner: KHP Capital Partners</t>
  </si>
  <si>
    <t>For the Month of: December 2021        Date Created: January 19, 2022        Monthly Competitive Set Data Excludes Subject Property</t>
  </si>
  <si>
    <t>December 2021</t>
  </si>
  <si>
    <t>December 2021 vs. 2020 Percent Change (%)</t>
  </si>
  <si>
    <t>Kimpton Angler's  South Beach</t>
  </si>
  <si>
    <t>Market: Miami, FL</t>
  </si>
  <si>
    <t>Market Class: Upper Upscale Class</t>
  </si>
  <si>
    <t>Submarket: Miami Beach, FL</t>
  </si>
  <si>
    <t>Submarket Scale: Upscale Chains</t>
  </si>
  <si>
    <t>Jul</t>
  </si>
  <si>
    <t>Aug</t>
  </si>
  <si>
    <t>Sep</t>
  </si>
  <si>
    <t>Oct</t>
  </si>
  <si>
    <t>Nov</t>
  </si>
  <si>
    <t>Dec</t>
  </si>
  <si>
    <t>1 of 4</t>
  </si>
  <si>
    <t>3 of 4</t>
  </si>
  <si>
    <t>2 of 4</t>
  </si>
  <si>
    <t>Jan</t>
  </si>
  <si>
    <t>1 of 5</t>
  </si>
  <si>
    <t>3 of 5</t>
  </si>
  <si>
    <t>Feb</t>
  </si>
  <si>
    <t>Mar</t>
  </si>
  <si>
    <t>Apr</t>
  </si>
  <si>
    <t>May</t>
  </si>
  <si>
    <t>Jun</t>
  </si>
  <si>
    <t>2 of 5</t>
  </si>
  <si>
    <t>2 of 6</t>
  </si>
  <si>
    <t>3 of 6</t>
  </si>
  <si>
    <t>1 of 6</t>
  </si>
  <si>
    <t>4 of 5</t>
  </si>
  <si>
    <t>6 of 6</t>
  </si>
  <si>
    <t>5 of 6</t>
  </si>
  <si>
    <t>4 of 6</t>
  </si>
  <si>
    <t>For the Month of: December 2021        Date Created: January 19, 2022</t>
  </si>
  <si>
    <t>City, State</t>
  </si>
  <si>
    <t>December 2021 (This Year)</t>
  </si>
  <si>
    <t>December 2020 (Last Year)</t>
  </si>
  <si>
    <t>Friday, Dec 24th</t>
  </si>
  <si>
    <t>Dec 24th - Christmas Eve</t>
  </si>
  <si>
    <t>Saturday, Dec 25th</t>
  </si>
  <si>
    <t>Dec 25th - Christmas Day</t>
  </si>
  <si>
    <t>Sunday, Dec 26th</t>
  </si>
  <si>
    <t>Dec 26th - First Day of Kwanzaa</t>
  </si>
  <si>
    <t>Friday, Dec 31st</t>
  </si>
  <si>
    <t>Dec 31st - New Year's Eve</t>
  </si>
  <si>
    <t>Friday, Dec 11th</t>
  </si>
  <si>
    <t>Dec 11th - First Day of Hanukkah</t>
  </si>
  <si>
    <t>Thursday, Dec 24th</t>
  </si>
  <si>
    <t>Friday, Dec 25th</t>
  </si>
  <si>
    <t>Saturday, Dec 26th</t>
  </si>
  <si>
    <t>Thursday, Dec 31st</t>
  </si>
  <si>
    <t>Miami Beach, FL</t>
  </si>
  <si>
    <t>33139-6207</t>
  </si>
  <si>
    <t>(305) 534-9600</t>
  </si>
  <si>
    <t>132</t>
  </si>
  <si>
    <t>200706</t>
  </si>
  <si>
    <t>●</t>
  </si>
  <si>
    <t/>
  </si>
  <si>
    <t>Dream South Beach</t>
  </si>
  <si>
    <t>33139</t>
  </si>
  <si>
    <t>(305) 673-4747</t>
  </si>
  <si>
    <t>107</t>
  </si>
  <si>
    <t>194906</t>
  </si>
  <si>
    <t>○</t>
  </si>
  <si>
    <t>Blue Moon Hotel</t>
  </si>
  <si>
    <t>(305) 673-2262</t>
  </si>
  <si>
    <t>75</t>
  </si>
  <si>
    <t>193406</t>
  </si>
  <si>
    <t>The Hotel Of South Beach</t>
  </si>
  <si>
    <t>(305) 531-2222</t>
  </si>
  <si>
    <t>73</t>
  </si>
  <si>
    <t>193906</t>
  </si>
  <si>
    <t>The Betsy Hotel</t>
  </si>
  <si>
    <t>(305) 531-6100</t>
  </si>
  <si>
    <t>128</t>
  </si>
  <si>
    <t>194506</t>
  </si>
  <si>
    <t>Crowne Plaza South Beach Z Ocean Hotel</t>
  </si>
  <si>
    <t>33139-4103</t>
  </si>
  <si>
    <t>(305) 672-4554</t>
  </si>
  <si>
    <t>48</t>
  </si>
  <si>
    <t>200612</t>
  </si>
  <si>
    <t xml:space="preserve">Data received: </t>
  </si>
  <si>
    <t>= Monthly Only</t>
  </si>
  <si>
    <t>= Monthly &amp; Daily</t>
  </si>
  <si>
    <t>For the Month of: December 2021        Date Created: January 19, 2022        Daily Competitive Set Data Excludes Subject Property</t>
  </si>
  <si>
    <t>We</t>
  </si>
  <si>
    <t>December</t>
  </si>
  <si>
    <t>Th</t>
  </si>
  <si>
    <t>Fr</t>
  </si>
  <si>
    <t>Sa</t>
  </si>
  <si>
    <t>Su</t>
  </si>
  <si>
    <t>Mo</t>
  </si>
  <si>
    <t>Tu</t>
  </si>
  <si>
    <t>Market Scale: Miami, FL Upper Upscale Chains</t>
  </si>
  <si>
    <t>5 of 5</t>
  </si>
  <si>
    <t>B</t>
  </si>
  <si>
    <t>s</t>
  </si>
  <si>
    <t>= Segmentation (Transient, Group, Contract) Only</t>
  </si>
  <si>
    <t>r</t>
  </si>
  <si>
    <t>= Additional Revenue Only</t>
  </si>
  <si>
    <t>= Both Segmentation &amp; Additional Revenue</t>
  </si>
  <si>
    <t>4 of 4</t>
  </si>
  <si>
    <t>4 of 7</t>
  </si>
  <si>
    <t>2 of 7</t>
  </si>
  <si>
    <t>3 of 7</t>
  </si>
  <si>
    <t>7 of 7</t>
  </si>
  <si>
    <t>6 of 7</t>
  </si>
  <si>
    <t>5 of 7</t>
  </si>
  <si>
    <t>1 of 7</t>
  </si>
  <si>
    <t>Kimpton Surfcomber Miami South Beach</t>
  </si>
  <si>
    <t>33139-2006</t>
  </si>
  <si>
    <t>(305) 532-7715</t>
  </si>
  <si>
    <t>186</t>
  </si>
  <si>
    <t>194106</t>
  </si>
  <si>
    <t>The Standard Spa Miami</t>
  </si>
  <si>
    <t>(305) 673-1717</t>
  </si>
  <si>
    <t>100</t>
  </si>
  <si>
    <t>196311</t>
  </si>
  <si>
    <t>Courtyard Miami Beach South Beach</t>
  </si>
  <si>
    <t>33139-7801</t>
  </si>
  <si>
    <t>(305) 604-8887</t>
  </si>
  <si>
    <t>90</t>
  </si>
  <si>
    <t>200209</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</si>
</sst>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2">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font>
    <font>
      <b/>
      <sz val="10"/>
      <name val="Arial"/>
    </font>
    <font>
      <color rgb="FFFFFFFF"/>
    </font>
    <font>
      <color rgb="FFA0A0A0"/>
    </font>
    <font/>
    <font>
      <sz val="18"/>
    </font>
    <font>
      <b val="0"/>
      <sz val="10"/>
      <color rgb="FF000000"/>
      <name val="Arial"/>
    </font>
    <font>
      <sz val="10"/>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84">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color auto="1" indexed="64"/>
      </left>
      <right style="thin">
        <color indexed="55"/>
      </right>
      <top>
        <color auto="1" indexed="64"/>
      </top>
      <bottom>
        <color auto="1" indexed="64"/>
      </bottom>
      <diagonal>
        <color/>
      </diagonal>
    </border>
    <border diagonalUp="0" diagonalDown="0">
      <left style="thin">
        <color indexed="33"/>
      </left>
      <right style="thin">
        <color indexed="33"/>
      </right>
      <top>
        <color auto="1" indexed="64"/>
      </top>
      <bottom>
        <color auto="1" indexed="64"/>
      </bottom>
      <diagonal>
        <color/>
      </diagonal>
    </border>
    <border diagonalUp="0" diagonalDown="0">
      <left style="thin">
        <color indexed="33"/>
      </left>
      <right style="thin">
        <color indexed="33"/>
      </right>
      <top>
        <color auto="1" indexed="64"/>
      </top>
      <bottom style="thin">
        <color indexed="33"/>
      </bottom>
      <diagonal>
        <color/>
      </diagonal>
    </border>
    <border diagonalUp="0" diagonalDown="0">
      <left style="thin">
        <color indexed="33"/>
      </left>
      <right>
        <color auto="1" indexed="64"/>
      </right>
      <top style="thin">
        <color indexed="33"/>
      </top>
      <bottom>
        <color auto="1" indexed="64"/>
      </bottom>
      <diagonal>
        <color/>
      </diagonal>
    </border>
    <border diagonalUp="0" diagonalDown="0">
      <left>
        <color auto="1" indexed="64"/>
      </left>
      <right>
        <color auto="1" indexed="64"/>
      </right>
      <top style="thin">
        <color indexed="33"/>
      </top>
      <bottom>
        <color auto="1" indexed="64"/>
      </bottom>
      <diagonal>
        <color/>
      </diagonal>
    </border>
    <border diagonalUp="0" diagonalDown="0">
      <left>
        <color auto="1" indexed="64"/>
      </left>
      <right style="thin">
        <color indexed="33"/>
      </right>
      <top style="thin">
        <color indexed="33"/>
      </top>
      <bottom>
        <color auto="1" indexed="64"/>
      </bottom>
      <diagonal>
        <color/>
      </diagonal>
    </border>
    <border diagonalUp="0" diagonalDown="0">
      <left style="thin">
        <color indexed="33"/>
      </left>
      <right>
        <color auto="1" indexed="64"/>
      </right>
      <top>
        <color auto="1" indexed="64"/>
      </top>
      <bottom>
        <color auto="1" indexed="64"/>
      </bottom>
      <diagonal>
        <color/>
      </diagonal>
    </border>
    <border diagonalUp="0" diagonalDown="0">
      <left>
        <color auto="1" indexed="64"/>
      </left>
      <right style="thin">
        <color indexed="33"/>
      </right>
      <top>
        <color auto="1" indexed="64"/>
      </top>
      <bottom>
        <color auto="1" indexed="64"/>
      </bottom>
      <diagonal>
        <color/>
      </diagonal>
    </border>
    <border diagonalUp="0" diagonalDown="0">
      <left style="thin">
        <color indexed="33"/>
      </left>
      <right>
        <color auto="1" indexed="64"/>
      </right>
      <top>
        <color auto="1" indexed="64"/>
      </top>
      <bottom style="thin">
        <color indexed="33"/>
      </bottom>
      <diagonal>
        <color/>
      </diagonal>
    </border>
    <border diagonalUp="0" diagonalDown="0">
      <left>
        <color auto="1" indexed="64"/>
      </left>
      <right>
        <color auto="1" indexed="64"/>
      </right>
      <top>
        <color auto="1" indexed="64"/>
      </top>
      <bottom style="thin">
        <color indexed="33"/>
      </bottom>
      <diagonal>
        <color/>
      </diagonal>
    </border>
    <border diagonalUp="0" diagonalDown="0">
      <left>
        <color auto="1" indexed="64"/>
      </left>
      <right style="thin">
        <color indexed="33"/>
      </right>
      <top>
        <color auto="1" indexed="64"/>
      </top>
      <bottom style="thin">
        <color indexed="33"/>
      </bottom>
      <diagonal>
        <color/>
      </diagonal>
    </border>
    <border diagonalUp="0" diagonalDown="0">
      <left>
        <color auto="1" indexed="64"/>
      </left>
      <right style="thin">
        <color auto="1" indexed="64"/>
      </right>
      <top>
        <color auto="1" indexed="64"/>
      </top>
      <bottom>
        <color auto="1" indexed="64"/>
      </bottom>
      <diagonal>
        <color/>
      </diagonal>
    </border>
    <border diagonalUp="0" diagonalDown="0">
      <left>
        <color auto="1" indexed="64"/>
      </left>
      <right style="thin">
        <color indexed="33"/>
      </right>
      <top style="thin">
        <color indexed="33"/>
      </top>
      <bottom style="thin">
        <color indexed="33"/>
      </bottom>
      <diagonal>
        <color/>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115">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0" fillId="0" borderId="59" applyFont="1" applyFill="1" applyBorder="1" applyAlignment="1">
      <alignment horizontal="left" vertical="center"/>
    </xf>
    <xf numFmtId="0" fontId="104" fillId="38" borderId="60" applyFont="1" applyFill="1" applyBorder="1" applyAlignment="1">
      <alignment horizontal="right" vertical="center"/>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5" fillId="0" borderId="61" applyFont="1" applyFill="1" applyBorder="1" applyAlignment="1">
      <alignment horizontal="center" vertical="center"/>
    </xf>
    <xf numFmtId="0" fontId="41" fillId="0" borderId="62" applyFont="1" applyFill="1" applyBorder="1" applyAlignment="1">
      <alignment horizontal="center" vertical="center"/>
    </xf>
    <xf numFmtId="0" fontId="41" fillId="0" borderId="62" applyFont="1" applyFill="1" applyBorder="1" applyAlignment="1">
      <alignment horizontal="center" vertical="center" wrapText="1"/>
    </xf>
    <xf numFmtId="0" fontId="41" fillId="0" borderId="63" applyFont="1" applyFill="1" applyBorder="1" applyAlignment="1">
      <alignment horizontal="center"/>
    </xf>
    <xf numFmtId="166" fontId="88" fillId="30" borderId="64" applyNumberFormat="1" applyFont="1" applyFill="1" applyBorder="1" applyAlignment="1">
      <alignment horizontal="center"/>
    </xf>
    <xf numFmtId="166" fontId="88" fillId="33" borderId="65" applyNumberFormat="1" applyFont="1" applyFill="1" applyBorder="1" applyAlignment="1">
      <alignment horizontal="center"/>
    </xf>
    <xf numFmtId="166" fontId="88" fillId="30" borderId="65" applyNumberFormat="1" applyFont="1" applyFill="1" applyBorder="1" applyAlignment="1">
      <alignment horizontal="center"/>
    </xf>
    <xf numFmtId="166" fontId="88" fillId="33" borderId="63" applyNumberFormat="1" applyFont="1" applyFill="1" applyBorder="1" applyAlignment="1">
      <alignment horizontal="center"/>
    </xf>
    <xf numFmtId="2" fontId="88" fillId="30" borderId="64" applyNumberFormat="1" applyFont="1" applyFill="1" applyBorder="1" applyAlignment="1">
      <alignment horizontal="center"/>
    </xf>
    <xf numFmtId="2" fontId="88" fillId="33" borderId="65" applyNumberFormat="1" applyFont="1" applyFill="1" applyBorder="1" applyAlignment="1">
      <alignment horizontal="center"/>
    </xf>
    <xf numFmtId="0" fontId="106" fillId="38" borderId="66" applyFont="1" applyFill="1" applyBorder="1"/>
    <xf numFmtId="0" fontId="87" fillId="0" borderId="59" applyNumberFormat="1" applyFont="1" applyFill="1" applyBorder="1" applyAlignment="1">
      <alignment horizontal="left" wrapText="1"/>
    </xf>
    <xf numFmtId="0" fontId="107" fillId="39" borderId="0" applyFont="1" applyFill="1"/>
    <xf numFmtId="49" fontId="55" fillId="36" borderId="67" applyNumberFormat="1" applyFont="1" applyFill="1" applyBorder="1" applyAlignment="1">
      <alignment textRotation="90" wrapText="1"/>
    </xf>
    <xf numFmtId="0" fontId="108" fillId="38" borderId="60" applyFont="1" applyFill="1" applyBorder="1" applyAlignment="1">
      <alignment horizontal="left" vertical="center"/>
    </xf>
    <xf numFmtId="0" fontId="108" fillId="38" borderId="60" applyFont="1" applyFill="1" applyBorder="1" applyAlignment="1">
      <alignment horizontal="right" vertical="center"/>
    </xf>
    <xf numFmtId="0" fontId="109" fillId="38" borderId="68" applyFont="1" applyFill="1" applyBorder="1" applyAlignment="1">
      <alignment horizontal="center" vertical="center"/>
    </xf>
    <xf numFmtId="0" fontId="109" fillId="38" borderId="69" applyFont="1" applyFill="1" applyBorder="1" applyAlignment="1">
      <alignment horizontal="center" vertical="center"/>
    </xf>
    <xf numFmtId="0" fontId="109" fillId="38" borderId="70" applyFont="1" applyFill="1" applyBorder="1" applyAlignment="1">
      <alignment horizontal="center" vertical="center"/>
    </xf>
    <xf numFmtId="0" fontId="108" fillId="40" borderId="60" applyFont="1" applyFill="1" applyBorder="1" applyAlignment="1">
      <alignment horizontal="left" vertical="center"/>
    </xf>
    <xf numFmtId="171" fontId="108" fillId="40" borderId="60" applyNumberFormat="1" applyFont="1" applyFill="1" applyBorder="1" applyAlignment="1">
      <alignment horizontal="left" vertical="center"/>
    </xf>
    <xf numFmtId="0" fontId="108" fillId="40" borderId="60" applyFont="1" applyFill="1" applyBorder="1" applyAlignment="1">
      <alignment horizontal="right" vertical="center"/>
    </xf>
    <xf numFmtId="0" fontId="109" fillId="40" borderId="68" applyFont="1" applyFill="1" applyBorder="1" applyAlignment="1">
      <alignment horizontal="center" vertical="center"/>
    </xf>
    <xf numFmtId="0" fontId="109" fillId="40" borderId="69" applyFont="1" applyFill="1" applyBorder="1" applyAlignment="1">
      <alignment horizontal="center" vertical="center"/>
    </xf>
    <xf numFmtId="0" fontId="109" fillId="40" borderId="70" applyFont="1" applyFill="1" applyBorder="1" applyAlignment="1">
      <alignment horizontal="center" vertical="center"/>
    </xf>
    <xf numFmtId="171" fontId="108" fillId="38" borderId="60" applyNumberFormat="1" applyFont="1" applyFill="1" applyBorder="1" applyAlignment="1">
      <alignment horizontal="left" vertical="center"/>
    </xf>
    <xf numFmtId="0" fontId="110" fillId="0" borderId="0" applyFont="1" applyFill="1" applyBorder="1" applyAlignment="1">
      <alignment horizontal="left" vertical="center"/>
    </xf>
    <xf numFmtId="0" fontId="49" fillId="0" borderId="0" applyFont="1" applyFill="1" applyBorder="1" applyAlignment="1">
      <alignment horizontal="center" vertical="bottom"/>
    </xf>
    <xf numFmtId="0" fontId="88" fillId="30" borderId="59" applyFont="1" applyFill="1" applyBorder="1"/>
    <xf numFmtId="49" fontId="51" fillId="36" borderId="7" applyNumberFormat="1" applyFont="1" applyFill="1" applyBorder="1" applyAlignment="1">
      <alignment horizontal="center" vertical="center"/>
    </xf>
    <xf numFmtId="0" fontId="39" fillId="30" borderId="59" applyFont="1" applyFill="1" applyBorder="1" applyAlignment="1">
      <alignment horizontal="center"/>
    </xf>
    <xf numFmtId="0" fontId="51" fillId="36" borderId="7" applyFont="1" applyFill="1" applyBorder="1" applyAlignment="1">
      <alignment horizontal="center" vertical="center"/>
    </xf>
    <xf numFmtId="0" fontId="83" fillId="30" borderId="59" applyNumberFormat="1" applyFont="1" applyFill="1" applyBorder="1" applyAlignment="1">
      <alignment horizontal="left" wrapText="1"/>
    </xf>
    <xf numFmtId="164" fontId="88" fillId="30" borderId="59" applyNumberFormat="1" applyFont="1" applyFill="1" applyBorder="1" applyAlignment="1">
      <alignment horizontal="right"/>
    </xf>
    <xf numFmtId="1" fontId="83" fillId="0" borderId="59" applyNumberFormat="1" applyFont="1" applyFill="1" applyBorder="1" applyAlignment="1">
      <alignment horizontal="left" wrapText="1"/>
    </xf>
    <xf numFmtId="0" fontId="51" fillId="36" borderId="62" applyFont="1" applyFill="1" applyBorder="1" applyAlignment="1">
      <alignment horizontal="left"/>
    </xf>
    <xf numFmtId="166" fontId="52" fillId="36" borderId="62" applyNumberFormat="1" applyFont="1" applyFill="1" applyBorder="1" applyAlignment="1">
      <alignment horizontal="center"/>
    </xf>
    <xf numFmtId="0" fontId="51" fillId="36" borderId="62" applyFont="1" applyFill="1" applyBorder="1"/>
    <xf numFmtId="0" fontId="88" fillId="0" borderId="59" applyFont="1" applyFill="1" applyBorder="1" applyAlignment="1">
      <alignment horizontal="right"/>
    </xf>
    <xf numFmtId="0" fontId="43" fillId="0" borderId="71" applyFont="1" applyFill="1" applyBorder="1" applyAlignment="1">
      <alignment horizontal="center" vertical="center" wrapText="1"/>
    </xf>
    <xf numFmtId="0" fontId="5" fillId="0" borderId="62" applyFont="1" applyFill="1" applyBorder="1"/>
    <xf numFmtId="0" fontId="5" fillId="0" borderId="72" applyFont="1" applyFill="1" applyBorder="1"/>
    <xf numFmtId="0" fontId="5" fillId="0" borderId="73" applyFont="1" applyFill="1" applyBorder="1"/>
    <xf numFmtId="0" fontId="5" fillId="33" borderId="62" applyFont="1" applyFill="1" applyBorder="1"/>
    <xf numFmtId="0" fontId="5" fillId="33" borderId="72" applyFont="1" applyFill="1" applyBorder="1"/>
    <xf numFmtId="0" fontId="5" fillId="33" borderId="73" applyFont="1" applyFill="1" applyBorder="1"/>
    <xf numFmtId="0" fontId="83" fillId="0" borderId="59" applyNumberFormat="1" applyFont="1" applyFill="1" applyBorder="1" applyAlignment="1">
      <alignment horizontal="left" wrapText="1"/>
    </xf>
    <xf numFmtId="0" fontId="0" fillId="0" borderId="59" applyFont="1" applyFill="1" applyBorder="1"/>
    <xf numFmtId="0" fontId="39" fillId="0" borderId="59" applyFont="1" applyFill="1" applyBorder="1" applyAlignment="1">
      <alignment horizontal="center"/>
    </xf>
    <xf numFmtId="0" fontId="29" fillId="0" borderId="59" applyFont="1" applyFill="1" applyBorder="1" applyAlignment="1">
      <alignment horizontal="center"/>
    </xf>
    <xf numFmtId="0" fontId="82" fillId="0" borderId="74" applyFont="1" applyFill="1" applyBorder="1" applyAlignment="1">
      <alignment horizontal="center"/>
    </xf>
    <xf numFmtId="0" fontId="82" fillId="0" borderId="75" applyFont="1" applyFill="1" applyBorder="1" applyAlignment="1">
      <alignment horizontal="center"/>
    </xf>
    <xf numFmtId="0" fontId="82" fillId="0" borderId="76" applyFont="1" applyFill="1" applyBorder="1" applyAlignment="1">
      <alignment horizontal="center"/>
    </xf>
    <xf numFmtId="0" fontId="82" fillId="33" borderId="77" applyFont="1" applyFill="1" applyBorder="1" applyAlignment="1">
      <alignment horizontal="center"/>
    </xf>
    <xf numFmtId="0" fontId="82" fillId="33" borderId="59" applyFont="1" applyFill="1" applyBorder="1" applyAlignment="1">
      <alignment horizontal="center"/>
    </xf>
    <xf numFmtId="0" fontId="82" fillId="33" borderId="78" applyFont="1" applyFill="1" applyBorder="1" applyAlignment="1">
      <alignment horizontal="center"/>
    </xf>
    <xf numFmtId="0" fontId="82" fillId="0" borderId="77" applyFont="1" applyFill="1" applyBorder="1" applyAlignment="1">
      <alignment horizontal="center"/>
    </xf>
    <xf numFmtId="0" fontId="82" fillId="0" borderId="59" applyFont="1" applyFill="1" applyBorder="1" applyAlignment="1">
      <alignment horizontal="center"/>
    </xf>
    <xf numFmtId="0" fontId="82" fillId="0" borderId="78" applyFont="1" applyFill="1" applyBorder="1" applyAlignment="1">
      <alignment horizontal="center"/>
    </xf>
    <xf numFmtId="0" fontId="82" fillId="33" borderId="79" applyFont="1" applyFill="1" applyBorder="1" applyAlignment="1">
      <alignment horizontal="center"/>
    </xf>
    <xf numFmtId="0" fontId="82" fillId="33" borderId="80" applyFont="1" applyFill="1" applyBorder="1" applyAlignment="1">
      <alignment horizontal="center"/>
    </xf>
    <xf numFmtId="0" fontId="82" fillId="33" borderId="81" applyFont="1" applyFill="1" applyBorder="1" applyAlignment="1">
      <alignment horizontal="center"/>
    </xf>
    <xf numFmtId="0" fontId="0" fillId="0" borderId="59" applyFont="1" applyFill="1" applyBorder="1" applyAlignment="1">
      <alignment horizontal="center"/>
    </xf>
    <xf numFmtId="0" fontId="43" fillId="0" borderId="59" applyFont="1" applyFill="1" applyBorder="1"/>
    <xf numFmtId="0" fontId="111" fillId="38" borderId="68" applyFont="1" applyFill="1" applyBorder="1" applyAlignment="1">
      <alignment horizontal="center" vertical="center"/>
    </xf>
    <xf numFmtId="0" fontId="111" fillId="38" borderId="69" applyFont="1" applyFill="1" applyBorder="1" applyAlignment="1">
      <alignment horizontal="center" vertical="center"/>
    </xf>
    <xf numFmtId="0" fontId="111" fillId="38" borderId="70" applyFont="1" applyFill="1" applyBorder="1" applyAlignment="1">
      <alignment horizontal="center" vertical="center"/>
    </xf>
    <xf numFmtId="0" fontId="111" fillId="40" borderId="68" applyFont="1" applyFill="1" applyBorder="1" applyAlignment="1">
      <alignment horizontal="center" vertical="center"/>
    </xf>
    <xf numFmtId="0" fontId="111" fillId="40" borderId="69" applyFont="1" applyFill="1" applyBorder="1" applyAlignment="1">
      <alignment horizontal="center" vertical="center"/>
    </xf>
    <xf numFmtId="0" fontId="111" fillId="40" borderId="70" applyFont="1" applyFill="1" applyBorder="1" applyAlignment="1">
      <alignment horizontal="center" vertical="center"/>
    </xf>
    <xf numFmtId="170" fontId="0" fillId="0" borderId="59" applyNumberFormat="1" applyFont="1" applyFill="1" applyBorder="1" applyAlignment="1">
      <alignment horizontal="left" vertical="center"/>
    </xf>
    <xf numFmtId="0" fontId="88" fillId="0" borderId="0" applyFont="1" applyFill="1" applyBorder="1" applyAlignment="1">
      <alignment horizontal="center" vertical="bottom"/>
    </xf>
    <xf numFmtId="0" fontId="88" fillId="0" borderId="0" applyFont="1" applyFill="1" applyBorder="1" applyAlignment="1">
      <alignment horizontal="right" vertical="bottom"/>
    </xf>
    <xf numFmtId="0" fontId="82" fillId="0" borderId="59" applyNumberFormat="1" applyFont="1" applyFill="1" applyBorder="1" applyAlignment="1">
      <alignment horizontal="left" wrapText="1"/>
    </xf>
    <xf numFmtId="0" fontId="88" fillId="30" borderId="59" applyFont="1" applyFill="1" applyBorder="1" applyAlignment="1">
      <alignment horizontal="left"/>
    </xf>
    <xf numFmtId="49" fontId="64" fillId="36" borderId="7" applyNumberFormat="1" applyFont="1" applyFill="1" applyBorder="1" applyAlignment="1">
      <alignment horizontal="center"/>
    </xf>
    <xf numFmtId="164" fontId="88" fillId="30" borderId="59" applyNumberFormat="1" applyFont="1" applyFill="1" applyBorder="1" applyAlignment="1">
      <alignment vertical="center"/>
    </xf>
    <xf numFmtId="0" fontId="88" fillId="30" borderId="59" applyFont="1" applyFill="1" applyBorder="1" applyAlignment="1">
      <alignment vertical="center"/>
    </xf>
    <xf numFmtId="0" fontId="45" fillId="0" borderId="59" applyFont="1" applyFill="1" applyBorder="1" applyAlignment="1">
      <alignment vertical="center"/>
    </xf>
    <xf numFmtId="0" fontId="48" fillId="36" borderId="82" applyFont="1" applyFill="1" applyBorder="1" applyAlignment="1">
      <alignment horizontal="center" vertical="center"/>
    </xf>
    <xf numFmtId="0" fontId="50" fillId="0" borderId="59" applyFont="1" applyFill="1" applyBorder="1" applyAlignment="1">
      <alignment horizontal="center"/>
    </xf>
    <xf numFmtId="0" fontId="43" fillId="0" borderId="83" applyFont="1" applyFill="1" applyBorder="1" applyAlignment="1">
      <alignment horizontal="center" vertical="center" wrapText="1"/>
    </xf>
    <xf numFmtId="0" fontId="43" fillId="30" borderId="83" applyFont="1" applyFill="1" applyBorder="1" applyAlignment="1">
      <alignment horizontal="center" vertical="center" wrapText="1"/>
    </xf>
    <xf numFmtId="0" fontId="43" fillId="0" borderId="59" applyFont="1" applyFill="1" applyBorder="1" applyAlignment="1">
      <alignment horizontal="center"/>
    </xf>
    <xf numFmtId="0" fontId="88" fillId="0" borderId="62" applyFont="1" applyFill="1" applyBorder="1"/>
    <xf numFmtId="0" fontId="88" fillId="33" borderId="72" applyFont="1" applyFill="1" applyBorder="1"/>
    <xf numFmtId="0" fontId="88" fillId="0" borderId="72" applyFont="1" applyFill="1" applyBorder="1"/>
    <xf numFmtId="0" fontId="88" fillId="33" borderId="73" applyFont="1" applyFill="1" applyBorder="1"/>
    <xf numFmtId="0" fontId="48" fillId="36" borderId="62" applyFont="1" applyFill="1" applyBorder="1" applyAlignment="1">
      <alignment horizontal="center" vertical="center"/>
    </xf>
    <xf numFmtId="0" fontId="0" fillId="0" borderId="62" applyFont="1" applyFill="1" applyBorder="1"/>
    <xf numFmtId="0" fontId="0" fillId="33" borderId="72" applyFont="1" applyFill="1" applyBorder="1"/>
    <xf numFmtId="0" fontId="0" fillId="0" borderId="72" applyFont="1" applyFill="1" applyBorder="1"/>
    <xf numFmtId="0" fontId="0" fillId="33" borderId="73" applyFont="1" applyFill="1" applyBorder="1"/>
    <xf numFmtId="0" fontId="48" fillId="37" borderId="59" applyFont="1" applyFill="1" applyBorder="1" applyAlignment="1">
      <alignment horizontal="center" vertical="center"/>
    </xf>
    <xf numFmtId="166" fontId="43" fillId="37" borderId="59" applyNumberFormat="1" applyFont="1" applyFill="1" applyBorder="1" applyAlignment="1">
      <alignment horizontal="center"/>
    </xf>
    <xf numFmtId="0" fontId="0" fillId="33" borderId="62" applyFont="1" applyFill="1" applyBorder="1"/>
    <xf numFmtId="0" fontId="0" fillId="33" borderId="74" applyFont="1" applyFill="1" applyBorder="1" applyAlignment="1">
      <alignment horizontal="right" indent="2"/>
    </xf>
    <xf numFmtId="0" fontId="0" fillId="33" borderId="75" applyFont="1" applyFill="1" applyBorder="1" applyAlignment="1">
      <alignment horizontal="right" indent="2"/>
    </xf>
    <xf numFmtId="166" fontId="0" fillId="33" borderId="76" applyNumberFormat="1" applyFont="1" applyFill="1" applyBorder="1" applyAlignment="1">
      <alignment horizontal="right" indent="2"/>
    </xf>
    <xf numFmtId="0" fontId="43" fillId="37" borderId="59" applyFont="1" applyFill="1" applyBorder="1" applyAlignment="1">
      <alignment horizontal="center"/>
    </xf>
    <xf numFmtId="0" fontId="0" fillId="0" borderId="77" applyFont="1" applyFill="1" applyBorder="1" applyAlignment="1">
      <alignment horizontal="right" indent="2"/>
    </xf>
    <xf numFmtId="0" fontId="0" fillId="0" borderId="59" applyFont="1" applyFill="1" applyBorder="1" applyAlignment="1">
      <alignment horizontal="right" indent="2"/>
    </xf>
    <xf numFmtId="166" fontId="0" fillId="0" borderId="78" applyNumberFormat="1" applyFont="1" applyFill="1" applyBorder="1" applyAlignment="1">
      <alignment horizontal="right" indent="2"/>
    </xf>
    <xf numFmtId="1" fontId="88" fillId="37" borderId="59" applyNumberFormat="1" applyFont="1" applyFill="1" applyBorder="1"/>
    <xf numFmtId="0" fontId="0" fillId="33" borderId="77" applyFont="1" applyFill="1" applyBorder="1" applyAlignment="1">
      <alignment horizontal="right" indent="2"/>
    </xf>
    <xf numFmtId="0" fontId="0" fillId="33" borderId="59" applyFont="1" applyFill="1" applyBorder="1" applyAlignment="1">
      <alignment horizontal="right" indent="2"/>
    </xf>
    <xf numFmtId="166" fontId="0" fillId="33" borderId="78" applyNumberFormat="1" applyFont="1" applyFill="1" applyBorder="1" applyAlignment="1">
      <alignment horizontal="right" indent="2"/>
    </xf>
    <xf numFmtId="0" fontId="0" fillId="37" borderId="59" applyFont="1" applyFill="1" applyBorder="1" applyAlignment="1">
      <alignment horizontal="center" vertical="center" wrapText="1"/>
    </xf>
    <xf numFmtId="0" fontId="0" fillId="33" borderId="79" applyFont="1" applyFill="1" applyBorder="1" applyAlignment="1">
      <alignment horizontal="right" indent="2"/>
    </xf>
    <xf numFmtId="0" fontId="0" fillId="33" borderId="80" applyFont="1" applyFill="1" applyBorder="1" applyAlignment="1">
      <alignment horizontal="right" indent="2"/>
    </xf>
    <xf numFmtId="166" fontId="0" fillId="33" borderId="81" applyNumberFormat="1" applyFont="1" applyFill="1" applyBorder="1" applyAlignment="1">
      <alignment horizontal="right" indent="2"/>
    </xf>
    <xf numFmtId="0" fontId="43" fillId="30" borderId="59" applyFont="1" applyFill="1" applyBorder="1" applyAlignment="1">
      <alignment horizontal="right"/>
    </xf>
    <xf numFmtId="0" fontId="48" fillId="36" borderId="62" applyFont="1" applyFill="1" applyBorder="1"/>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40" Type="http://schemas.openxmlformats.org/officeDocument/2006/relationships/worksheet" Target="worksheets/sheet26.xml" />
<Relationship Id="rId34" Type="http://schemas.openxmlformats.org/officeDocument/2006/relationships/worksheet" Target="worksheets/sheet3.xml" />
<Relationship Id="rId38" Type="http://schemas.openxmlformats.org/officeDocument/2006/relationships/worksheet" Target="worksheets/sheet21.xml" />
<Relationship Id="rId35" Type="http://schemas.openxmlformats.org/officeDocument/2006/relationships/worksheet" Target="worksheets/sheet7.xml" />
<Relationship Id="rId33" Type="http://schemas.openxmlformats.org/officeDocument/2006/relationships/worksheet" Target="worksheets/sheet2.xml" />
<Relationship Id="rId37" Type="http://schemas.openxmlformats.org/officeDocument/2006/relationships/worksheet" Target="worksheets/sheet20.xml" />
<Relationship Id="rId41" Type="http://schemas.openxmlformats.org/officeDocument/2006/relationships/sharedStrings" Target="/xl/sharedStrings.xml" />
<Relationship Id="rId32" Type="http://schemas.openxmlformats.org/officeDocument/2006/relationships/worksheet" Target="worksheets/sheet1.xml" />
<Relationship Id="rId39" Type="http://schemas.openxmlformats.org/officeDocument/2006/relationships/worksheet" Target="worksheets/sheet23.xml" />
<Relationship Id="rId42" Type="http://schemas.openxmlformats.org/officeDocument/2006/relationships/styles" Target="/xl/styles.xml" />
<Relationship Id="rId36" Type="http://schemas.openxmlformats.org/officeDocument/2006/relationships/worksheet" Target="worksheets/sheet9.xml" />
<Relationship Id="rId43" Type="http://schemas.openxmlformats.org/officeDocument/2006/relationships/theme" Target="/xl/theme/theme1.xml" />
<Relationship Id="rId31" Type="http://schemas.openxmlformats.org/officeDocument/2006/relationships/worksheet" Target="worksheets/sheet28.xml" />
<Relationship Id="rId30" Type="http://schemas.openxmlformats.org/officeDocument/2006/relationships/worksheet" Target="worksheets/sheet32.xml" />
<Relationship Id="rId29" Type="http://schemas.openxmlformats.org/officeDocument/2006/relationships/worksheet" Target="worksheets/sheet36.xml" />
<Relationship Id="rId28" Type="http://schemas.openxmlformats.org/officeDocument/2006/relationships/worksheet" Target="worksheets/sheet40.xml" />
<Relationship Id="rId27" Type="http://schemas.openxmlformats.org/officeDocument/2006/relationships/worksheet" Target="worksheets/sheet44.xml" />
<Relationship Id="rId26" Type="http://schemas.openxmlformats.org/officeDocument/2006/relationships/worksheet" Target="worksheets/sheet48.xml" />
<Relationship Id="rId25" Type="http://schemas.openxmlformats.org/officeDocument/2006/relationships/worksheet" Target="worksheets/sheet52.xml" />
<Relationship Id="rId24" Type="http://schemas.openxmlformats.org/officeDocument/2006/relationships/worksheet" Target="worksheets/sheet56.xml" />
<Relationship Id="rId23" Type="http://schemas.openxmlformats.org/officeDocument/2006/relationships/worksheet" Target="worksheets/sheet59.xml" />
<Relationship Id="rId22" Type="http://schemas.openxmlformats.org/officeDocument/2006/relationships/worksheet" Target="worksheets/sheet62.xml" />
<Relationship Id="rId21" Type="http://schemas.openxmlformats.org/officeDocument/2006/relationships/worksheet" Target="worksheets/sheet65.xml" />
<Relationship Id="rId20" Type="http://schemas.openxmlformats.org/officeDocument/2006/relationships/worksheet" Target="worksheets/sheet69.xml" />
<Relationship Id="rId19" Type="http://schemas.openxmlformats.org/officeDocument/2006/relationships/worksheet" Target="worksheets/sheet73.xml" />
<Relationship Id="rId18" Type="http://schemas.openxmlformats.org/officeDocument/2006/relationships/worksheet" Target="worksheets/sheet77.xml" />
<Relationship Id="rId17" Type="http://schemas.openxmlformats.org/officeDocument/2006/relationships/worksheet" Target="worksheets/sheet80.xml" />
<Relationship Id="rId16" Type="http://schemas.openxmlformats.org/officeDocument/2006/relationships/worksheet" Target="worksheets/sheet84.xml" />
<Relationship Id="rId15" Type="http://schemas.openxmlformats.org/officeDocument/2006/relationships/worksheet" Target="worksheets/sheet88.xml" />
<Relationship Id="rId14" Type="http://schemas.openxmlformats.org/officeDocument/2006/relationships/worksheet" Target="worksheets/sheet92.xml" />
<Relationship Id="rId13" Type="http://schemas.openxmlformats.org/officeDocument/2006/relationships/worksheet" Target="worksheets/sheet95.xml" />
<Relationship Id="rId12" Type="http://schemas.openxmlformats.org/officeDocument/2006/relationships/worksheet" Target="worksheets/sheet98.xml" />
<Relationship Id="rId11" Type="http://schemas.openxmlformats.org/officeDocument/2006/relationships/worksheet" Target="worksheets/sheet101.xml" />
<Relationship Id="rId10" Type="http://schemas.openxmlformats.org/officeDocument/2006/relationships/worksheet" Target="worksheets/sheet104.xml" />
<Relationship Id="rId9" Type="http://schemas.openxmlformats.org/officeDocument/2006/relationships/worksheet" Target="worksheets/sheet107.xml" />
<Relationship Id="rId8" Type="http://schemas.openxmlformats.org/officeDocument/2006/relationships/worksheet" Target="worksheets/sheet110.xml" />
<Relationship Id="rId7" Type="http://schemas.openxmlformats.org/officeDocument/2006/relationships/worksheet" Target="worksheets/sheet113.xml" />
<Relationship Id="rId6" Type="http://schemas.openxmlformats.org/officeDocument/2006/relationships/worksheet" Target="worksheets/sheet116.xml" />
<Relationship Id="rId5" Type="http://schemas.openxmlformats.org/officeDocument/2006/relationships/worksheet" Target="worksheets/sheet119.xml" />
<Relationship Id="rId4" Type="http://schemas.openxmlformats.org/officeDocument/2006/relationships/worksheet" Target="worksheets/sheet122.xml" />
<Relationship Id="rId3" Type="http://schemas.openxmlformats.org/officeDocument/2006/relationships/worksheet" Target="worksheets/sheet126.xml" />
<Relationship Id="rId2" Type="http://schemas.openxmlformats.org/officeDocument/2006/relationships/worksheet" Target="worksheets/sheet130.xml" />
<Relationship Id="rId1" Type="http://schemas.openxmlformats.org/officeDocument/2006/relationships/worksheet" Target="worksheets/sheet133.xml" />
</Relationships>
</file>

<file path=xl/charts/chart13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0</v>
                </pt>
                <pt idx="0">
                  <v>0</v>
                </pt>
                <pt idx="0">
                  <v>0</v>
                </pt>
                <pt idx="0">
                  <v>0</v>
                </pt>
                <pt idx="0">
                  <v>0</v>
                </pt>
                <pt idx="0">
                  <v>145.055922547272</v>
                </pt>
                <pt idx="0">
                  <v>171.155183269004</v>
                </pt>
                <pt idx="0">
                  <v>123.621601975261</v>
                </pt>
                <pt idx="0">
                  <v>114.433379346611</v>
                </pt>
                <pt idx="0">
                  <v>122.959778990357</v>
                </pt>
                <pt idx="0">
                  <v>120.043978588024</v>
                </pt>
                <pt idx="0">
                  <v>115.691214332071</v>
                </pt>
                <pt idx="0">
                  <v>112.206131078224</v>
                </pt>
                <pt idx="0">
                  <v>110.770176215861</v>
                </pt>
                <pt idx="0">
                  <v>128.578701999755</v>
                </pt>
                <pt idx="0">
                  <v>158.351936162922</v>
                </pt>
                <pt idx="0">
                  <v>151.786158510105</v>
                </pt>
                <pt idx="0">
                  <v>149.00292381829</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0</v>
                </pt>
                <pt idx="0">
                  <v>0</v>
                </pt>
                <pt idx="0">
                  <v>0</v>
                </pt>
                <pt idx="0">
                  <v>0</v>
                </pt>
                <pt idx="0">
                  <v>0</v>
                </pt>
                <pt idx="0">
                  <v>73.2168796383938</v>
                </pt>
                <pt idx="0">
                  <v>74.6628329337241</v>
                </pt>
                <pt idx="0">
                  <v>76.1430070118886</v>
                </pt>
                <pt idx="0">
                  <v>78.3375195022548</v>
                </pt>
                <pt idx="0">
                  <v>81.8777605816757</v>
                </pt>
                <pt idx="0">
                  <v>87.387245790566</v>
                </pt>
                <pt idx="0">
                  <v>84.8001479886965</v>
                </pt>
                <pt idx="0">
                  <v>92.8039770809595</v>
                </pt>
                <pt idx="0">
                  <v>88.8946751749181</v>
                </pt>
                <pt idx="0">
                  <v>85.0552273977916</v>
                </pt>
                <pt idx="0">
                  <v>80.1427119651887</v>
                </pt>
                <pt idx="0">
                  <v>78.8064095073732</v>
                </pt>
                <pt idx="0">
                  <v>78.4973395421032</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0</v>
                </pt>
                <pt idx="0">
                  <v>0</v>
                </pt>
                <pt idx="0">
                  <v>0</v>
                </pt>
                <pt idx="0">
                  <v>0</v>
                </pt>
                <pt idx="0">
                  <v>0</v>
                </pt>
                <pt idx="0">
                  <v>106.205420219798</v>
                </pt>
                <pt idx="0">
                  <v>127.789308541546</v>
                </pt>
                <pt idx="0">
                  <v>94.1292050602316</v>
                </pt>
                <pt idx="0">
                  <v>89.644270862741</v>
                </pt>
                <pt idx="0">
                  <v>100.676713453482</v>
                </pt>
                <pt idx="0">
                  <v>104.903126625491</v>
                </pt>
                <pt idx="0">
                  <v>98.1063209635162</v>
                </pt>
                <pt idx="0">
                  <v>104.131752169266</v>
                </pt>
                <pt idx="0">
                  <v>98.4687883377739</v>
                </pt>
                <pt idx="0">
                  <v>109.36290737102</v>
                </pt>
                <pt idx="0">
                  <v>126.90753609035</v>
                </pt>
                <pt idx="0">
                  <v>119.617221650984</v>
                </pt>
                <pt idx="0">
                  <v>116.963331037304</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76"/>
          <min val="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92.0860882661617</v>
                </pt>
                <pt idx="0">
                  <v>161.927413882727</v>
                </pt>
                <pt idx="0">
                  <v>92.0860882661617</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67"/>
          <min val="8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00"/>
          <min val="51"/>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560"/>
          <min val="245"/>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0.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December</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122.679103170433</v>
                </pt>
                <pt idx="0">
                  <v>117.654900964957</v>
                </pt>
                <pt idx="0">
                  <v>115.604013104013</v>
                </pt>
                <pt idx="0">
                  <v>125.582750582751</v>
                </pt>
                <pt idx="0">
                  <v>136.680761099366</v>
                </pt>
                <pt idx="0">
                  <v>165.14859014859</v>
                </pt>
                <pt idx="0">
                  <v>160.153819564466</v>
                </pt>
                <pt idx="0">
                  <v>154.416912810415</v>
                </pt>
                <pt idx="0">
                  <v>140.567539804828</v>
                </pt>
                <pt idx="0">
                  <v>124.78286045165</v>
                </pt>
                <pt idx="0">
                  <v>131.01548399354</v>
                </pt>
                <pt idx="0">
                  <v>147.952178030303</v>
                </pt>
                <pt idx="0">
                  <v>173.037983521855</v>
                </pt>
                <pt idx="0">
                  <v>207.454378034489</v>
                </pt>
                <pt idx="0">
                  <v>170.611520611521</v>
                </pt>
                <pt idx="0">
                  <v>154.302518859481</v>
                </pt>
                <pt idx="0">
                  <v>148.415977961433</v>
                </pt>
                <pt idx="0">
                  <v>146.132655223564</v>
                </pt>
                <pt idx="0">
                  <v>145.499734183945</v>
                </pt>
                <pt idx="0">
                  <v>144.302576325048</v>
                </pt>
                <pt idx="0">
                  <v>157.754511406197</v>
                </pt>
                <pt idx="0">
                  <v>148.646975592501</v>
                </pt>
                <pt idx="0">
                  <v>183.484178063824</v>
                </pt>
                <pt idx="0">
                  <v>183.767321455764</v>
                </pt>
                <pt idx="0">
                  <v>170.221169036335</v>
                </pt>
                <pt idx="0">
                  <v>196.528076978314</v>
                </pt>
                <pt idx="0">
                  <v>176.976699770817</v>
                </pt>
                <pt idx="0">
                  <v>160.005432814198</v>
                </pt>
                <pt idx="0">
                  <v>150.699300699301</v>
                </pt>
                <pt idx="0">
                  <v>149.461160904823</v>
                </pt>
                <pt idx="0">
                  <v>124.153964797677</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Month'!$C$38:$AG$38</f>
              <numCache>
                <formatCode>General</formatCode>
                <ptCount val="31"/>
                <pt idx="0">
                  <v>85.6367972596403</v>
                </pt>
                <pt idx="0">
                  <v>87.8903187319437</v>
                </pt>
                <pt idx="0">
                  <v>88.8734903822944</v>
                </pt>
                <pt idx="0">
                  <v>96.502353505507</v>
                </pt>
                <pt idx="0">
                  <v>86.380101719547</v>
                </pt>
                <pt idx="0">
                  <v>79.6923542818815</v>
                </pt>
                <pt idx="0">
                  <v>58.5134372843769</v>
                </pt>
                <pt idx="0">
                  <v>66.7311213717634</v>
                </pt>
                <pt idx="0">
                  <v>74.9586536123759</v>
                </pt>
                <pt idx="0">
                  <v>88.4099153529472</v>
                </pt>
                <pt idx="0">
                  <v>88.0779233665339</v>
                </pt>
                <pt idx="0">
                  <v>66.1695232252674</v>
                </pt>
                <pt idx="0">
                  <v>72.1570896450786</v>
                </pt>
                <pt idx="0">
                  <v>67.7790852250995</v>
                </pt>
                <pt idx="0">
                  <v>69.8606269040442</v>
                </pt>
                <pt idx="0">
                  <v>72.1339998354903</v>
                </pt>
                <pt idx="0">
                  <v>86.063757767215</v>
                </pt>
                <pt idx="0">
                  <v>88.1210360111234</v>
                </pt>
                <pt idx="0">
                  <v>74.3676437757246</v>
                </pt>
                <pt idx="0">
                  <v>78.4198230603748</v>
                </pt>
                <pt idx="0">
                  <v>74.8724053027719</v>
                </pt>
                <pt idx="0">
                  <v>76.5360944672241</v>
                </pt>
                <pt idx="0">
                  <v>73.2606174595869</v>
                </pt>
                <pt idx="0">
                  <v>85.5317158588257</v>
                </pt>
                <pt idx="0">
                  <v>85.6775347247917</v>
                </pt>
                <pt idx="0">
                  <v>81.9486434658723</v>
                </pt>
                <pt idx="0">
                  <v>66.1823313311895</v>
                </pt>
                <pt idx="0">
                  <v>73.6714563784188</v>
                </pt>
                <pt idx="0">
                  <v>73.9287741635416</v>
                </pt>
                <pt idx="0">
                  <v>79.1035285433186</v>
                </pt>
                <pt idx="0">
                  <v>90.8651756411724</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Month'!$C$48:$AG$48</f>
              <numCache>
                <formatCode>General</formatCode>
                <ptCount val="31"/>
                <pt idx="0">
                  <v>105.058454862008</v>
                </pt>
                <pt idx="0">
                  <v>103.407267461853</v>
                </pt>
                <pt idx="0">
                  <v>102.741321467541</v>
                </pt>
                <pt idx="0">
                  <v>121.190309909305</v>
                </pt>
                <pt idx="0">
                  <v>118.064980468683</v>
                </pt>
                <pt idx="0">
                  <v>131.610799552747</v>
                </pt>
                <pt idx="0">
                  <v>93.711504769388</v>
                </pt>
                <pt idx="0">
                  <v>103.044137506048</v>
                </pt>
                <pt idx="0">
                  <v>105.36753525374</v>
                </pt>
                <pt idx="0">
                  <v>110.32042130029</v>
                </pt>
                <pt idx="0">
                  <v>115.395717590124</v>
                </pt>
                <pt idx="0">
                  <v>97.8992508040504</v>
                </pt>
                <pt idx="0">
                  <v>124.859172889901</v>
                </pt>
                <pt idx="0">
                  <v>140.610679691196</v>
                </pt>
                <pt idx="0">
                  <v>119.190277869731</v>
                </pt>
                <pt idx="0">
                  <v>111.304578700255</v>
                </pt>
                <pt idx="0">
                  <v>127.73236776057</v>
                </pt>
                <pt idx="0">
                  <v>128.773609733568</v>
                </pt>
                <pt idx="0">
                  <v>108.204724012542</v>
                </pt>
                <pt idx="0">
                  <v>113.161825025665</v>
                </pt>
                <pt idx="0">
                  <v>118.114597163455</v>
                </pt>
                <pt idx="0">
                  <v>113.768589662148</v>
                </pt>
                <pt idx="0">
                  <v>134.421641790205</v>
                </pt>
                <pt idx="0">
                  <v>157.179343228919</v>
                </pt>
                <pt idx="0">
                  <v>145.841301210052</v>
                </pt>
                <pt idx="0">
                  <v>161.052093113294</v>
                </pt>
                <pt idx="0">
                  <v>117.127305821327</v>
                </pt>
                <pt idx="0">
                  <v>117.878332638812</v>
                </pt>
                <pt idx="0">
                  <v>111.410145680023</v>
                </pt>
                <pt idx="0">
                  <v>118.229052077522</v>
                </pt>
                <pt idx="0">
                  <v>112.812718178889</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212"/>
          <min val="5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'Comp_2'!$C$23:$T$23</f>
              <numCache>
                <formatCode>General</formatCode>
                <ptCount val="18"/>
                <pt idx="0">
                  <v>69.0285007195793</v>
                </pt>
                <pt idx="0">
                  <v>78.9193996182544</v>
                </pt>
                <pt idx="0">
                  <v>111.954589887141</v>
                </pt>
                <pt idx="0">
                  <v>113.804508234188</v>
                </pt>
                <pt idx="0">
                  <v>87.1272748360431</v>
                </pt>
                <pt idx="0">
                  <v>107.611687921023</v>
                </pt>
                <pt idx="0">
                  <v>146.924016282225</v>
                </pt>
                <pt idx="0">
                  <v>122.549126850803</v>
                </pt>
                <pt idx="0">
                  <v>111.371968553336</v>
                </pt>
                <pt idx="0">
                  <v>114.251478476138</v>
                </pt>
                <pt idx="0">
                  <v>108.25381620419</v>
                </pt>
                <pt idx="0">
                  <v>111.608620803814</v>
                </pt>
                <pt idx="0">
                  <v>109.021719075358</v>
                </pt>
                <pt idx="0">
                  <v>109.660055371488</v>
                </pt>
                <pt idx="0">
                  <v>113.600375528086</v>
                </pt>
                <pt idx="0">
                  <v>122.194053959211</v>
                </pt>
                <pt idx="0">
                  <v>122.018430928584</v>
                </pt>
                <pt idx="0">
                  <v>127.699190496415</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'Comp_2'!$C$35:$T$35</f>
              <numCache>
                <formatCode>General</formatCode>
                <ptCount val="18"/>
                <pt idx="0">
                  <v>109.945036080554</v>
                </pt>
                <pt idx="0">
                  <v>106.801309841773</v>
                </pt>
                <pt idx="0">
                  <v>90.3399072327347</v>
                </pt>
                <pt idx="0">
                  <v>92.5506963891775</v>
                </pt>
                <pt idx="0">
                  <v>100.286057599828</v>
                </pt>
                <pt idx="0">
                  <v>92.8760956659056</v>
                </pt>
                <pt idx="0">
                  <v>90.9642645672718</v>
                </pt>
                <pt idx="0">
                  <v>96.1045515537733</v>
                </pt>
                <pt idx="0">
                  <v>89.2393078576517</v>
                </pt>
                <pt idx="0">
                  <v>93.6270214057326</v>
                </pt>
                <pt idx="0">
                  <v>97.3143594802875</v>
                </pt>
                <pt idx="0">
                  <v>92.873859432964</v>
                </pt>
                <pt idx="0">
                  <v>109.576975101959</v>
                </pt>
                <pt idx="0">
                  <v>102.900315338302</v>
                </pt>
                <pt idx="0">
                  <v>98.2278897567628</v>
                </pt>
                <pt idx="0">
                  <v>93.6021226016035</v>
                </pt>
                <pt idx="0">
                  <v>96.3827901384013</v>
                </pt>
                <pt idx="0">
                  <v>96.5814408731953</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'Comp_2'!$C$47:$T$47</f>
              <numCache>
                <formatCode>General</formatCode>
                <ptCount val="18"/>
                <pt idx="0">
                  <v>75.8934100220072</v>
                </pt>
                <pt idx="0">
                  <v>84.2869525115585</v>
                </pt>
                <pt idx="0">
                  <v>101.139672646832</v>
                </pt>
                <pt idx="0">
                  <v>105.32686489302</v>
                </pt>
                <pt idx="0">
                  <v>87.376509027235</v>
                </pt>
                <pt idx="0">
                  <v>99.9455342212252</v>
                </pt>
                <pt idx="0">
                  <v>133.648350883825</v>
                </pt>
                <pt idx="0">
                  <v>117.775288793029</v>
                </pt>
                <pt idx="0">
                  <v>99.3875738844384</v>
                </pt>
                <pt idx="0">
                  <v>106.97025620922</v>
                </pt>
                <pt idx="0">
                  <v>105.346507852075</v>
                </pt>
                <pt idx="0">
                  <v>103.655233600404</v>
                </pt>
                <pt idx="0">
                  <v>119.462701966932</v>
                </pt>
                <pt idx="0">
                  <v>112.840542777418</v>
                </pt>
                <pt idx="0">
                  <v>111.587251636997</v>
                </pt>
                <pt idx="0">
                  <v>114.37622819877</v>
                </pt>
                <pt idx="0">
                  <v>117.604768212068</v>
                </pt>
                <pt idx="0">
                  <v>123.333718164844</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52"/>
          <min val="6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'Comp_2'!$X$50,'Comp_2'!$AB$50,'Comp_2'!$AF$50</f>
              <numCache>
                <formatCode>General</formatCode>
                <ptCount val="3"/>
                <pt idx="0">
                  <v>92.0860882661617</v>
                </pt>
                <pt idx="0">
                  <v>161.927413882727</v>
                </pt>
                <pt idx="0">
                  <v>92.0860882661617</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'Comp_2'!$X$51,'Comp_2'!$AB$51,'Comp_2'!$AF$51</f>
              <numCache>
                <formatCode>General</formatCode>
                <ptCount val="3"/>
                <pt idx="0">
                  <v>41.4880349676264</v>
                </pt>
                <pt idx="0">
                  <v>113.698515692126</v>
                </pt>
                <pt idx="0">
                  <v>41.4880349676264</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67"/>
          <min val="3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00"/>
          <min val="63"/>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484"/>
          <min val="245"/>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December</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Month_2'!$C$28:$AG$28</f>
              <numCache>
                <formatCode>General</formatCode>
                <ptCount val="31"/>
                <pt idx="0">
                  <v>113.401349259013</v>
                </pt>
                <pt idx="0">
                  <v>111.511589676147</v>
                </pt>
                <pt idx="0">
                  <v>111.229075838312</v>
                </pt>
                <pt idx="0">
                  <v>112.783919045262</v>
                </pt>
                <pt idx="0">
                  <v>121.190781049936</v>
                </pt>
                <pt idx="0">
                  <v>146.999928866126</v>
                </pt>
                <pt idx="0">
                  <v>143.743377834287</v>
                </pt>
                <pt idx="0">
                  <v>130.734801037515</v>
                </pt>
                <pt idx="0">
                  <v>121.177342285127</v>
                </pt>
                <pt idx="0">
                  <v>112.920544022906</v>
                </pt>
                <pt idx="0">
                  <v>118.35179649493</v>
                </pt>
                <pt idx="0">
                  <v>123.225589225589</v>
                </pt>
                <pt idx="0">
                  <v>129.349376114082</v>
                </pt>
                <pt idx="0">
                  <v>139.526611290571</v>
                </pt>
                <pt idx="0">
                  <v>132.342518261373</v>
                </pt>
                <pt idx="0">
                  <v>123.36265884653</v>
                </pt>
                <pt idx="0">
                  <v>128.14332132514</v>
                </pt>
                <pt idx="0">
                  <v>124.618897734987</v>
                </pt>
                <pt idx="0">
                  <v>137.664055521198</v>
                </pt>
                <pt idx="0">
                  <v>124.520034784935</v>
                </pt>
                <pt idx="0">
                  <v>135.827993592311</v>
                </pt>
                <pt idx="0">
                  <v>123.46478025286</v>
                </pt>
                <pt idx="0">
                  <v>150.644785322205</v>
                </pt>
                <pt idx="0">
                  <v>157.4688057041</v>
                </pt>
                <pt idx="0">
                  <v>139.109347442681</v>
                </pt>
                <pt idx="0">
                  <v>156.468681661981</v>
                </pt>
                <pt idx="0">
                  <v>141.760710553814</v>
                </pt>
                <pt idx="0">
                  <v>131.833469221362</v>
                </pt>
                <pt idx="0">
                  <v>125.222075222075</v>
                </pt>
                <pt idx="0">
                  <v>122.090254212062</v>
                </pt>
                <pt idx="0">
                  <v>111.190198690199</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Month_2'!$C$38:$AG$38</f>
              <numCache>
                <formatCode>General</formatCode>
                <ptCount val="31"/>
                <pt idx="0">
                  <v>95.6974215163707</v>
                </pt>
                <pt idx="0">
                  <v>106.298372578643</v>
                </pt>
                <pt idx="0">
                  <v>111.107451907805</v>
                </pt>
                <pt idx="0">
                  <v>106.945265599328</v>
                </pt>
                <pt idx="0">
                  <v>103.736165916812</v>
                </pt>
                <pt idx="0">
                  <v>93.0850621223964</v>
                </pt>
                <pt idx="0">
                  <v>89.6677181435789</v>
                </pt>
                <pt idx="0">
                  <v>88.0933112016974</v>
                </pt>
                <pt idx="0">
                  <v>94.893792471582</v>
                </pt>
                <pt idx="0">
                  <v>109.810559379513</v>
                </pt>
                <pt idx="0">
                  <v>108.729086578164</v>
                </pt>
                <pt idx="0">
                  <v>76.4825219620603</v>
                </pt>
                <pt idx="0">
                  <v>90.0274308213194</v>
                </pt>
                <pt idx="0">
                  <v>85.3487493044318</v>
                </pt>
                <pt idx="0">
                  <v>91.5330123200603</v>
                </pt>
                <pt idx="0">
                  <v>92.6608919305286</v>
                </pt>
                <pt idx="0">
                  <v>102.333764730144</v>
                </pt>
                <pt idx="0">
                  <v>104.78283859296</v>
                </pt>
                <pt idx="0">
                  <v>88.5778388185037</v>
                </pt>
                <pt idx="0">
                  <v>104.075487920519</v>
                </pt>
                <pt idx="0">
                  <v>99.4837000993797</v>
                </pt>
                <pt idx="0">
                  <v>100.628530568896</v>
                </pt>
                <pt idx="0">
                  <v>93.6373036756905</v>
                </pt>
                <pt idx="0">
                  <v>111.314491008747</v>
                </pt>
                <pt idx="0">
                  <v>109.236285252277</v>
                </pt>
                <pt idx="0">
                  <v>92.5364586521607</v>
                </pt>
                <pt idx="0">
                  <v>90.4087222991829</v>
                </pt>
                <pt idx="0">
                  <v>92.9810557856813</v>
                </pt>
                <pt idx="0">
                  <v>91.3607529228498</v>
                </pt>
                <pt idx="0">
                  <v>98.1229747479771</v>
                </pt>
                <pt idx="0">
                  <v>109.812186496148</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Month_2'!$C$48:$AG$48</f>
              <numCache>
                <formatCode>General</formatCode>
                <ptCount val="31"/>
                <pt idx="0">
                  <v>108.52216720565</v>
                </pt>
                <pt idx="0">
                  <v>118.535005062318</v>
                </pt>
                <pt idx="0">
                  <v>123.583791944549</v>
                </pt>
                <pt idx="0">
                  <v>120.617061776287</v>
                </pt>
                <pt idx="0">
                  <v>125.718669705842</v>
                </pt>
                <pt idx="0">
                  <v>136.834975104912</v>
                </pt>
                <pt idx="0">
                  <v>128.891406886508</v>
                </pt>
                <pt idx="0">
                  <v>115.168615126898</v>
                </pt>
                <pt idx="0">
                  <v>114.989775710627</v>
                </pt>
                <pt idx="0">
                  <v>123.998681045942</v>
                </pt>
                <pt idx="0">
                  <v>128.682827277785</v>
                </pt>
                <pt idx="0">
                  <v>94.2460383423394</v>
                </pt>
                <pt idx="0">
                  <v>116.449920098913</v>
                </pt>
                <pt idx="0">
                  <v>119.084217683358</v>
                </pt>
                <pt idx="0">
                  <v>121.13709354486</v>
                </pt>
                <pt idx="0">
                  <v>114.30893999641</v>
                </pt>
                <pt idx="0">
                  <v>131.133884962261</v>
                </pt>
                <pt idx="0">
                  <v>130.579218469978</v>
                </pt>
                <pt idx="0">
                  <v>121.939845210583</v>
                </pt>
                <pt idx="0">
                  <v>129.594833761221</v>
                </pt>
                <pt idx="0">
                  <v>135.126713796379</v>
                </pt>
                <pt idx="0">
                  <v>124.240794138569</v>
                </pt>
                <pt idx="0">
                  <v>141.059715103745</v>
                </pt>
                <pt idx="0">
                  <v>175.285599567071</v>
                </pt>
                <pt idx="0">
                  <v>151.957883585068</v>
                </pt>
                <pt idx="0">
                  <v>144.79057690972</v>
                </pt>
                <pt idx="0">
                  <v>128.164047133946</v>
                </pt>
                <pt idx="0">
                  <v>122.580151560913</v>
                </pt>
                <pt idx="0">
                  <v>114.403830748505</v>
                </pt>
                <pt idx="0">
                  <v>119.798589310242</v>
                </pt>
                <pt idx="0">
                  <v>122.100388351118</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80"/>
          <min val="7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140" Type="http://schemas.openxmlformats.org/officeDocument/2006/relationships/chart" Target="/xl/charts/chart136.xml" />
<Relationship Id="rId141" Type="http://schemas.openxmlformats.org/officeDocument/2006/relationships/chart" Target="/xl/charts/chart137.xml" />
</Relationships>
</file>

<file path=xl/drawings/_rels/drawing82.xml.rels><?xml version="1.0" encoding="utf-8" standalone="yes" ?>
<Relationships xmlns="http://schemas.openxmlformats.org/package/2006/relationships">
<Relationship Id="rId145" Type="http://schemas.openxmlformats.org/officeDocument/2006/relationships/chart" Target="/xl/charts/chart141.xml" />
<Relationship Id="rId146" Type="http://schemas.openxmlformats.org/officeDocument/2006/relationships/chart" Target="/xl/charts/chart142.xml" />
</Relationships>
</file>

<file path=xl/drawings/_rels/drawing87.xml.rels><?xml version="1.0" encoding="utf-8" standalone="yes" ?>
<Relationships xmlns="http://schemas.openxmlformats.org/package/2006/relationships">
<Relationship Id="rId142" Type="http://schemas.openxmlformats.org/officeDocument/2006/relationships/chart" Target="/xl/charts/chart138.xml" />
<Relationship Id="rId143" Type="http://schemas.openxmlformats.org/officeDocument/2006/relationships/chart" Target="/xl/charts/chart139.xml" />
</Relationships>
</file>

<file path=xl/drawings/_rels/drawing90.xml.rels><?xml version="1.0" encoding="utf-8" standalone="yes" ?>
<Relationships xmlns="http://schemas.openxmlformats.org/package/2006/relationships">
<Relationship Id="rId147" Type="http://schemas.openxmlformats.org/officeDocument/2006/relationships/chart" Target="/xl/charts/chart143.xml" />
<Relationship Id="rId148" Type="http://schemas.openxmlformats.org/officeDocument/2006/relationships/chart" Target="/xl/charts/chart144.xml" />
</Relationships>
</file>

<file path=xl/drawings/_rels/drawing91.xml.rels><?xml version="1.0" encoding="utf-8" standalone="yes" ?>
<Relationships xmlns="http://schemas.openxmlformats.org/package/2006/relationships">
<Relationship Id="rId144" Type="http://schemas.openxmlformats.org/officeDocument/2006/relationships/chart" Target="/xl/charts/chart140.xml" />
</Relationships>
</file>

<file path=xl/drawings/_rels/drawing94.xml.rels><?xml version="1.0" encoding="utf-8" standalone="yes" ?>
<Relationships xmlns="http://schemas.openxmlformats.org/package/2006/relationships">
<Relationship Id="rId149" Type="http://schemas.openxmlformats.org/officeDocument/2006/relationships/chart" Target="/xl/charts/chart14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0"/>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1"/>
        </a:graphicData>
      </a:graphic>
    </xdr:graphicFrame>
    <xdr:clientData/>
  </xdr:oneCellAnchor>
</xdr:wsDr>
</file>

<file path=xl/drawings/drawing3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5"/>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6"/>
        </a:graphicData>
      </a:graphic>
    </xdr:graphicFrame>
    <xdr:clientData/>
  </xdr:oneCellAnchor>
</xdr:wsDr>
</file>

<file path=xl/drawings/drawing8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2"/>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3"/>
        </a:graphicData>
      </a:graphic>
    </xdr:graphicFrame>
    <xdr:clientData/>
  </xdr:twoCellAnchor>
</xdr:wsDr>
</file>

<file path=xl/drawings/drawing9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7"/>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8"/>
        </a:graphicData>
      </a:graphic>
    </xdr:graphicFrame>
    <xdr:clientData/>
  </xdr:twoCellAnchor>
</xdr:wsDr>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4"/>
        </a:graphicData>
      </a:graphic>
    </xdr:graphicFrame>
    <xdr:clientData/>
  </xdr:twoCellAnchor>
</xdr:wsDr>
</file>

<file path=xl/drawings/drawing9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9"/>
        </a:graphicData>
      </a:graphic>
    </xdr:graphicFrame>
    <xdr:clientData/>
  </xdr:twoCellAnchor>
</xdr:wsDr>
</file>

<file path=xl/drawings/drawing9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 Id="rId76" Type="http://schemas.openxmlformats.org/officeDocument/2006/relationships/drawing" Target="../drawings/drawing72.xml"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 Id="rId80" Type="http://schemas.openxmlformats.org/officeDocument/2006/relationships/drawing" Target="../drawings/drawing76.xml"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91" Type="http://schemas.openxmlformats.org/officeDocument/2006/relationships/drawing" Target="../drawings/drawing87.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95" Type="http://schemas.openxmlformats.org/officeDocument/2006/relationships/drawing" Target="../drawings/drawing91.xml" />
</Relationships>
</file>

<file path=xl/worksheets/_rels/sheet20.xml.rels><?xml version="1.0" encoding="utf-8" standalone="yes" ?>
<Relationships xmlns="http://schemas.openxmlformats.org/package/2006/relationships">
<Relationship Id="rId1" Type="http://schemas.openxmlformats.org/officeDocument/2006/relationships/printerSettings" Target="../printerSettings/printerSettings20.bin" />
<Relationship Id="rId129" Type="http://schemas.openxmlformats.org/officeDocument/2006/relationships/drawing" Target="../drawings/drawing125.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1.bin" />
<Relationship Id="rId133" Type="http://schemas.openxmlformats.org/officeDocument/2006/relationships/drawing" Target="../drawings/drawing129.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87" Type="http://schemas.openxmlformats.org/officeDocument/2006/relationships/drawing" Target="../drawings/drawing83.xml"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150" Type="http://schemas.openxmlformats.org/officeDocument/2006/relationships/hyperlink" Target="http://www.str.com/data-insights/resources/glossary" TargetMode="External" />
<Relationship Id="rId151" Type="http://schemas.openxmlformats.org/officeDocument/2006/relationships/hyperlink" Target="http://www.hotelnewsnow.com/" TargetMode="External" />
<Relationship Id="rId152" Type="http://schemas.openxmlformats.org/officeDocument/2006/relationships/hyperlink" Target="http://www.hoteldataconference.com/" TargetMode="External" />
<Relationship Id="rId153" Type="http://schemas.openxmlformats.org/officeDocument/2006/relationships/hyperlink" Target="http://www.str.com/data-insights/resources/FAQ" TargetMode="External" />
<Relationship Id="rId154"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_rels/sheet32.xml.rels><?xml version="1.0" encoding="utf-8" standalone="yes" ?>
<Relationships xmlns="http://schemas.openxmlformats.org/package/2006/relationships">
<Relationship Id="rId1" Type="http://schemas.openxmlformats.org/officeDocument/2006/relationships/printerSettings" Target="../printerSettings/printerSettings33.bin" />
<Relationship Id="rId35" Type="http://schemas.openxmlformats.org/officeDocument/2006/relationships/drawing" Target="../drawings/drawing34.xml" />
</Relationships>
</file>

<file path=xl/worksheets/_rels/sheet36.xml.rels><?xml version="1.0" encoding="utf-8" standalone="yes" ?>
<Relationships xmlns="http://schemas.openxmlformats.org/package/2006/relationships">
<Relationship Id="rId1" Type="http://schemas.openxmlformats.org/officeDocument/2006/relationships/printerSettings" Target="../printerSettings/printerSettings37.bin" />
<Relationship Id="rId39" Type="http://schemas.openxmlformats.org/officeDocument/2006/relationships/drawing" Target="../drawings/drawing38.xml" />
</Relationships>
</file>

<file path=xl/worksheets/_rels/sheet40.xml.rels><?xml version="1.0" encoding="utf-8" standalone="yes" ?>
<Relationships xmlns="http://schemas.openxmlformats.org/package/2006/relationships">
<Relationship Id="rId1" Type="http://schemas.openxmlformats.org/officeDocument/2006/relationships/printerSettings" Target="../printerSettings/printerSettings41.bin" />
<Relationship Id="rId43" Type="http://schemas.openxmlformats.org/officeDocument/2006/relationships/drawing" Target="../drawings/drawing42.xml" />
</Relationships>
</file>

<file path=xl/worksheets/_rels/sheet44.xml.rels><?xml version="1.0" encoding="utf-8" standalone="yes" ?>
<Relationships xmlns="http://schemas.openxmlformats.org/package/2006/relationships">
<Relationship Id="rId1" Type="http://schemas.openxmlformats.org/officeDocument/2006/relationships/printerSettings" Target="../printerSettings/printerSettings45.bin" />
<Relationship Id="rId47" Type="http://schemas.openxmlformats.org/officeDocument/2006/relationships/drawing" Target="../drawings/drawing46.xml" />
</Relationships>
</file>

<file path=xl/worksheets/_rels/sheet48.xml.rels><?xml version="1.0" encoding="utf-8" standalone="yes" ?>
<Relationships xmlns="http://schemas.openxmlformats.org/package/2006/relationships">
<Relationship Id="rId1" Type="http://schemas.openxmlformats.org/officeDocument/2006/relationships/printerSettings" Target="../printerSettings/printerSettings49.bin" />
<Relationship Id="rId51" Type="http://schemas.openxmlformats.org/officeDocument/2006/relationships/drawing" Target="../drawings/drawing50.xml" />
</Relationships>
</file>

<file path=xl/worksheets/_rels/sheet52.xml.rels><?xml version="1.0" encoding="utf-8" standalone="yes" ?>
<Relationships xmlns="http://schemas.openxmlformats.org/package/2006/relationships">
<Relationship Id="rId1" Type="http://schemas.openxmlformats.org/officeDocument/2006/relationships/printerSettings" Target="../printerSettings/printerSettings53.bin" />
<Relationship Id="rId55" Type="http://schemas.openxmlformats.org/officeDocument/2006/relationships/drawing" Target="../drawings/drawing54.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5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59"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59" Type="http://schemas.openxmlformats.org/officeDocument/2006/relationships/drawing" Target="../drawings/drawing64.xml" />
</Relationships>
</file>

<file path=xl/worksheets/_rels/sheet65.xml.rels><?xml version="1.0" encoding="utf-8" standalone="yes" ?>
<Relationships xmlns="http://schemas.openxmlformats.org/package/2006/relationships">
<Relationship Id="rId1" Type="http://schemas.openxmlformats.org/officeDocument/2006/relationships/printerSettings" Target="../printerSettings/printerSettings66.bin" />
<Relationship Id="rId59" Type="http://schemas.openxmlformats.org/officeDocument/2006/relationships/drawing" Target="../drawings/drawing67.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72"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6" Type="http://schemas.openxmlformats.org/officeDocument/2006/relationships/drawing" Target="../drawings/drawing75.xml" />
</Relationships>
</file>

<file path=xl/worksheets/_rels/sheet77.xml.rels><?xml version="1.0" encoding="utf-8" standalone="yes" ?>
<Relationships xmlns="http://schemas.openxmlformats.org/package/2006/relationships">
<Relationship Id="rId1" Type="http://schemas.openxmlformats.org/officeDocument/2006/relationships/printerSettings" Target="../printerSettings/printerSettings78.bin" />
<Relationship Id="rId80" Type="http://schemas.openxmlformats.org/officeDocument/2006/relationships/drawing" Target="../drawings/drawing79.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31" Type="http://schemas.openxmlformats.org/officeDocument/2006/relationships/drawing" Target="../drawings/drawing82.xml" />
</Relationships>
</file>

<file path=xl/worksheets/_rels/sheet84.xml.rels><?xml version="1.0" encoding="utf-8" standalone="yes" ?>
<Relationships xmlns="http://schemas.openxmlformats.org/package/2006/relationships">
<Relationship Id="rId1" Type="http://schemas.openxmlformats.org/officeDocument/2006/relationships/printerSettings" Target="../printerSettings/printerSettings85.bin" />
<Relationship Id="rId87" Type="http://schemas.openxmlformats.org/officeDocument/2006/relationships/drawing" Target="../drawings/drawing86.xml" />
</Relationships>
</file>

<file path=xl/worksheets/_rels/sheet88.xml.rels><?xml version="1.0" encoding="utf-8" standalone="yes" ?>
<Relationships xmlns="http://schemas.openxmlformats.org/package/2006/relationships">
<Relationship Id="rId1" Type="http://schemas.openxmlformats.org/officeDocument/2006/relationships/printerSettings" Target="../printerSettings/printerSettings89.bin" />
<Relationship Id="rId91" Type="http://schemas.openxmlformats.org/officeDocument/2006/relationships/drawing" Target="../drawings/drawing90.xml" />
</Relationships>
</file>

<file path=xl/worksheets/_rels/sheet92.xml.rels><?xml version="1.0" encoding="utf-8" standalone="yes" ?>
<Relationships xmlns="http://schemas.openxmlformats.org/package/2006/relationships">
<Relationship Id="rId1" Type="http://schemas.openxmlformats.org/officeDocument/2006/relationships/printerSettings" Target="../printerSettings/printerSettings93.bin" />
<Relationship Id="rId95" Type="http://schemas.openxmlformats.org/officeDocument/2006/relationships/drawing" Target="../drawings/drawing94.xml" />
</Relationships>
</file>

<file path=xl/worksheets/_rels/sheet95.xml.rels><?xml version="1.0" encoding="utf-8" standalone="yes" ?>
<Relationships xmlns="http://schemas.openxmlformats.org/package/2006/relationships">
<Relationship Id="rId1" Type="http://schemas.openxmlformats.org/officeDocument/2006/relationships/printerSettings" Target="../printerSettings/printerSettings96.bin" />
<Relationship Id="rId35" Type="http://schemas.openxmlformats.org/officeDocument/2006/relationships/drawing" Target="../drawings/drawing97.xml" />
</Relationships>
</file>

<file path=xl/worksheets/_rels/sheet98.xml.rels><?xml version="1.0" encoding="utf-8" standalone="yes" ?>
<Relationships xmlns="http://schemas.openxmlformats.org/package/2006/relationships">
<Relationship Id="rId1" Type="http://schemas.openxmlformats.org/officeDocument/2006/relationships/printerSettings" Target="../printerSettings/printerSettings99.bin" />
<Relationship Id="rId39" Type="http://schemas.openxmlformats.org/officeDocument/2006/relationships/drawing" Target="../drawings/drawing100.xml" />
</Relationships>
</file>

<file path=xl/worksheets/_rels/sheet101.xml.rels><?xml version="1.0" encoding="utf-8" standalone="yes" ?>
<Relationships xmlns="http://schemas.openxmlformats.org/package/2006/relationships">
<Relationship Id="rId1" Type="http://schemas.openxmlformats.org/officeDocument/2006/relationships/printerSettings" Target="../printerSettings/printerSettings102.bin" />
<Relationship Id="rId43" Type="http://schemas.openxmlformats.org/officeDocument/2006/relationships/drawing" Target="../drawings/drawing103.xml" />
</Relationships>
</file>

<file path=xl/worksheets/_rels/sheet104.xml.rels><?xml version="1.0" encoding="utf-8" standalone="yes" ?>
<Relationships xmlns="http://schemas.openxmlformats.org/package/2006/relationships">
<Relationship Id="rId1" Type="http://schemas.openxmlformats.org/officeDocument/2006/relationships/printerSettings" Target="../printerSettings/printerSettings105.bin" />
<Relationship Id="rId47" Type="http://schemas.openxmlformats.org/officeDocument/2006/relationships/drawing" Target="../drawings/drawing106.xml" />
</Relationships>
</file>

<file path=xl/worksheets/_rels/sheet107.xml.rels><?xml version="1.0" encoding="utf-8" standalone="yes" ?>
<Relationships xmlns="http://schemas.openxmlformats.org/package/2006/relationships">
<Relationship Id="rId1" Type="http://schemas.openxmlformats.org/officeDocument/2006/relationships/printerSettings" Target="../printerSettings/printerSettings108.bin" />
<Relationship Id="rId51" Type="http://schemas.openxmlformats.org/officeDocument/2006/relationships/drawing" Target="../drawings/drawing109.xml" />
</Relationships>
</file>

<file path=xl/worksheets/_rels/sheet110.xml.rels><?xml version="1.0" encoding="utf-8" standalone="yes" ?>
<Relationships xmlns="http://schemas.openxmlformats.org/package/2006/relationships">
<Relationship Id="rId1" Type="http://schemas.openxmlformats.org/officeDocument/2006/relationships/printerSettings" Target="../printerSettings/printerSettings111.bin" />
<Relationship Id="rId55" Type="http://schemas.openxmlformats.org/officeDocument/2006/relationships/drawing" Target="../drawings/drawing112.xml" />
</Relationships>
</file>

<file path=xl/worksheets/_rels/sheet113.xml.rels><?xml version="1.0" encoding="utf-8" standalone="yes" ?>
<Relationships xmlns="http://schemas.openxmlformats.org/package/2006/relationships">
<Relationship Id="rId1" Type="http://schemas.openxmlformats.org/officeDocument/2006/relationships/printerSettings" Target="../printerSettings/printerSettings114.bin" />
<Relationship Id="rId59" Type="http://schemas.openxmlformats.org/officeDocument/2006/relationships/drawing" Target="../drawings/drawing115.xml" />
</Relationships>
</file>

<file path=xl/worksheets/_rels/sheet116.xml.rels><?xml version="1.0" encoding="utf-8" standalone="yes" ?>
<Relationships xmlns="http://schemas.openxmlformats.org/package/2006/relationships">
<Relationship Id="rId1" Type="http://schemas.openxmlformats.org/officeDocument/2006/relationships/printerSettings" Target="../printerSettings/printerSettings117.bin" />
<Relationship Id="rId59" Type="http://schemas.openxmlformats.org/officeDocument/2006/relationships/drawing" Target="../drawings/drawing118.xml" />
</Relationships>
</file>

<file path=xl/worksheets/_rels/sheet119.xml.rels><?xml version="1.0" encoding="utf-8" standalone="yes" ?>
<Relationships xmlns="http://schemas.openxmlformats.org/package/2006/relationships">
<Relationship Id="rId1" Type="http://schemas.openxmlformats.org/officeDocument/2006/relationships/printerSettings" Target="../printerSettings/printerSettings120.bin" />
<Relationship Id="rId59" Type="http://schemas.openxmlformats.org/officeDocument/2006/relationships/drawing" Target="../drawings/drawing121.xml" />
</Relationships>
</file>

<file path=xl/worksheets/_rels/sheet122.xml.rels><?xml version="1.0" encoding="utf-8" standalone="yes" ?>
<Relationships xmlns="http://schemas.openxmlformats.org/package/2006/relationships">
<Relationship Id="rId1" Type="http://schemas.openxmlformats.org/officeDocument/2006/relationships/printerSettings" Target="../printerSettings/printerSettings123.bin" />
<Relationship Id="rId59" Type="http://schemas.openxmlformats.org/officeDocument/2006/relationships/drawing" Target="../drawings/drawing124.xml" />
</Relationships>
</file>

<file path=xl/worksheets/_rels/sheet126.xml.rels><?xml version="1.0" encoding="utf-8" standalone="yes" ?>
<Relationships xmlns="http://schemas.openxmlformats.org/package/2006/relationships">
<Relationship Id="rId1" Type="http://schemas.openxmlformats.org/officeDocument/2006/relationships/printerSettings" Target="../printerSettings/printerSettings127.bin" />
<Relationship Id="rId129" Type="http://schemas.openxmlformats.org/officeDocument/2006/relationships/drawing" Target="../drawings/drawing128.xml" />
</Relationships>
</file>

<file path=xl/worksheets/_rels/sheet130.xml.rels><?xml version="1.0" encoding="utf-8" standalone="yes" ?>
<Relationships xmlns="http://schemas.openxmlformats.org/package/2006/relationships">
<Relationship Id="rId1" Type="http://schemas.openxmlformats.org/officeDocument/2006/relationships/printerSettings" Target="../printerSettings/printerSettings131.bin" />
<Relationship Id="rId133" Type="http://schemas.openxmlformats.org/officeDocument/2006/relationships/drawing" Target="../drawings/drawing132.xml" />
</Relationships>
</file>

<file path=xl/worksheets/_rels/sheet133.xml.rels><?xml version="1.0" encoding="utf-8" standalone="yes" ?>
<Relationships xmlns="http://schemas.openxmlformats.org/package/2006/relationships">
<Relationship Id="rId1" Type="http://schemas.openxmlformats.org/officeDocument/2006/relationships/printerSettings" Target="../printerSettings/printerSettings134.bin" />
<Relationship Id="rId72" Type="http://schemas.openxmlformats.org/officeDocument/2006/relationships/drawing" Target="../drawings/drawing135.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205</v>
      </c>
      <c r="C2" s="605"/>
      <c r="D2" s="604"/>
      <c r="E2" s="604"/>
      <c r="F2" s="605"/>
      <c r="G2" s="598"/>
      <c r="H2" s="599"/>
    </row>
    <row r="3" ht="25.5" customHeight="1">
      <c r="A3" s="595"/>
      <c r="B3" s="638" t="s">
        <v>204</v>
      </c>
      <c r="C3" s="607"/>
      <c r="D3" s="606"/>
      <c r="E3" s="606"/>
      <c r="F3" s="607"/>
      <c r="G3" s="598"/>
      <c r="H3" s="599"/>
    </row>
    <row r="4" ht="15" customHeight="1">
      <c r="A4" s="595"/>
      <c r="B4" s="695" t="s">
        <v>206</v>
      </c>
      <c r="C4" s="695"/>
      <c r="D4" s="695"/>
      <c r="E4" s="695"/>
      <c r="F4" s="608"/>
      <c r="G4" s="598"/>
      <c r="H4" s="599"/>
    </row>
    <row r="5" ht="15" customHeight="1">
      <c r="A5" s="595"/>
      <c r="B5" s="695" t="s">
        <v>207</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t="str">
        <f>HYPERLINK("#'Glance_2'!A1", "Monthly Performance at a Glance - 2nd Comp")</f>
      </c>
      <c r="F7" s="605" t="str">
        <f>HYPERLINK("#'Glance_2'!A1", "21")</f>
      </c>
      <c r="G7" s="598"/>
      <c r="H7" s="599"/>
    </row>
    <row r="8" ht="15.75" customHeight="1">
      <c r="A8" s="595"/>
      <c r="B8" s="639" t="str">
        <f>HYPERLINK("#'Glance'!A1", "Monthly Performance at a Glance")</f>
      </c>
      <c r="C8" s="605" t="str">
        <f>HYPERLINK("#'Glance'!A1", "2")</f>
      </c>
      <c r="D8" s="639"/>
      <c r="E8" s="639" t="str">
        <f>HYPERLINK("#'Summary_2'!A1", "STAR Summary - 2nd Comp")</f>
      </c>
      <c r="F8" s="605" t="str">
        <f>HYPERLINK("#'Summary_2'!A1", "22")</f>
      </c>
      <c r="G8" s="598"/>
      <c r="H8" s="599"/>
    </row>
    <row r="9" ht="15.75" customHeight="1">
      <c r="A9" s="595"/>
      <c r="B9" s="639" t="str">
        <f>HYPERLINK("#'Summary'!A1", "STAR Summary")</f>
      </c>
      <c r="C9" s="605" t="str">
        <f>HYPERLINK("#'Summary'!A1", "3")</f>
      </c>
      <c r="D9" s="639"/>
      <c r="E9" s="639" t="str">
        <f>HYPERLINK("#'Comp_2'!A1", "Competitive Set Report - 2nd Comp")</f>
      </c>
      <c r="F9" s="605" t="str">
        <f>HYPERLINK("#'Comp_2'!A1", "23")</f>
      </c>
      <c r="G9" s="595"/>
      <c r="H9" s="595"/>
    </row>
    <row r="10" ht="15.75" customHeight="1">
      <c r="A10" s="595"/>
      <c r="B10" s="639" t="str">
        <f>HYPERLINK("#'Comp'!A1", "Competitive Set Report")</f>
      </c>
      <c r="C10" s="605" t="str">
        <f>HYPERLINK("#'Comp'!A1", "4")</f>
      </c>
      <c r="D10" s="639"/>
      <c r="E10" s="639" t="str">
        <f>HYPERLINK("#'Response_2'!A1", "Response Report - 2nd Comp")</f>
      </c>
      <c r="F10" s="605" t="str">
        <f>HYPERLINK("#'Response_2'!A1", "24")</f>
      </c>
      <c r="G10" s="595"/>
      <c r="H10" s="595"/>
    </row>
    <row r="11" ht="15.75" customHeight="1">
      <c r="A11" s="600"/>
      <c r="B11" s="639" t="str">
        <f>HYPERLINK("#'Response'!A1", "Response Report")</f>
      </c>
      <c r="C11" s="605" t="str">
        <f>HYPERLINK("#'Response'!A1", "5")</f>
      </c>
      <c r="D11" s="639"/>
      <c r="E11" s="639" t="str">
        <f>HYPERLINK("#'Day of Week_2'!A1", "Day of Week &amp; Weekday/Weekend - 2nd Comp")</f>
      </c>
      <c r="F11" s="605" t="str">
        <f>HYPERLINK("#'Day of Week_2'!A1", "25")</f>
      </c>
      <c r="G11" s="595"/>
      <c r="H11" s="595"/>
    </row>
    <row r="12" ht="15.75" customHeight="1">
      <c r="A12" s="595"/>
      <c r="B12" s="639" t="str">
        <f>HYPERLINK("#'Day of Week'!A1", "Day of Week &amp; Weekday/Weekend")</f>
      </c>
      <c r="C12" s="605" t="str">
        <f>HYPERLINK("#'Day of Week'!A1", "6")</f>
      </c>
      <c r="D12" s="639"/>
      <c r="E12" s="639" t="str">
        <f>HYPERLINK("#'Daily by Month_2'!A1", "Daily Data for the Month - 2nd Comp")</f>
      </c>
      <c r="F12" s="605" t="str">
        <f>HYPERLINK("#'Daily by Month_2'!A1", "26")</f>
      </c>
      <c r="G12" s="595"/>
      <c r="H12" s="595"/>
    </row>
    <row r="13" ht="15.75" customHeight="1">
      <c r="A13" s="595"/>
      <c r="B13" s="639" t="str">
        <f>HYPERLINK("#'Daily by Month'!A1", "Daily Data for the Month")</f>
      </c>
      <c r="C13" s="605" t="str">
        <f>HYPERLINK("#'Daily by Month'!A1", "7")</f>
      </c>
      <c r="D13" s="639"/>
      <c r="E13" s="639" t="str">
        <f>HYPERLINK("#'Segmentation Glance_2'!A1", "Segmentation at a Glance - 2nd Comp")</f>
      </c>
      <c r="F13" s="605" t="str">
        <f>HYPERLINK("#'Segmentation Glance_2'!A1", "27")</f>
      </c>
      <c r="G13" s="595"/>
      <c r="H13" s="595"/>
    </row>
    <row r="14" ht="15.75" customHeight="1">
      <c r="A14" s="595"/>
      <c r="B14" s="639" t="str">
        <f>HYPERLINK("#'Segmentation Glance'!A1", "Segmentation at a Glance")</f>
      </c>
      <c r="C14" s="605" t="str">
        <f>HYPERLINK("#'Segmentation Glance'!A1", "8")</f>
      </c>
      <c r="D14" s="639"/>
      <c r="E14" s="639" t="str">
        <f>HYPERLINK("#'Segmentation Occ_2'!A1", "Segmentation Occupancy Analysis - 2nd Comp")</f>
      </c>
      <c r="F14" s="605" t="str">
        <f>HYPERLINK("#'Segmentation Occ_2'!A1", "28")</f>
      </c>
      <c r="G14" s="595"/>
      <c r="H14" s="595"/>
    </row>
    <row r="15" ht="15.75" customHeight="1">
      <c r="A15" s="595"/>
      <c r="B15" s="639" t="str">
        <f>HYPERLINK("#'Segmentation Occ'!A1", "Segmentation Occupancy Analysis")</f>
      </c>
      <c r="C15" s="605" t="str">
        <f>HYPERLINK("#'Segmentation Occ'!A1", "9")</f>
      </c>
      <c r="D15" s="639"/>
      <c r="E15" s="639" t="str">
        <f>HYPERLINK("#'Segmentation ADR_2'!A1", "Segmentation ADR Analysis - 2nd Comp")</f>
      </c>
      <c r="F15" s="605" t="str">
        <f>HYPERLINK("#'Segmentation ADR_2'!A1", "29")</f>
      </c>
      <c r="G15" s="595"/>
      <c r="H15" s="595"/>
    </row>
    <row r="16" ht="15.75" customHeight="1">
      <c r="A16" s="595"/>
      <c r="B16" s="639" t="str">
        <f>HYPERLINK("#'Segmentation ADR'!A1", "Segmentation ADR Analysis")</f>
      </c>
      <c r="C16" s="605" t="str">
        <f>HYPERLINK("#'Segmentation ADR'!A1", "10")</f>
      </c>
      <c r="D16" s="639"/>
      <c r="E16" s="639" t="str">
        <f>HYPERLINK("#'Segmentation RevPAR_2'!A1", "Segmentation RevPAR Analysis - 2nd Comp")</f>
      </c>
      <c r="F16" s="605" t="str">
        <f>HYPERLINK("#'Segmentation RevPAR_2'!A1", "30")</f>
      </c>
      <c r="G16" s="595"/>
      <c r="H16" s="595"/>
    </row>
    <row r="17" ht="15.75" customHeight="1">
      <c r="A17" s="595"/>
      <c r="B17" s="639" t="str">
        <f>HYPERLINK("#'Segmentation RevPAR'!A1", "Segmentation RevPAR Analysis")</f>
      </c>
      <c r="C17" s="605" t="str">
        <f>HYPERLINK("#'Segmentation RevPAR'!A1", "11")</f>
      </c>
      <c r="D17" s="639"/>
      <c r="E17" s="639" t="str">
        <f>HYPERLINK("#'Segmentation Indexes_2'!A1", "Segmentation Index Analysis - 2nd Comp")</f>
      </c>
      <c r="F17" s="605" t="str">
        <f>HYPERLINK("#'Segmentation Indexes_2'!A1", "31")</f>
      </c>
      <c r="G17" s="595"/>
      <c r="H17" s="595"/>
    </row>
    <row r="18" ht="15.75" customHeight="1">
      <c r="A18" s="595"/>
      <c r="B18" s="639" t="str">
        <f>HYPERLINK("#'Segmentation Indexes'!A1", "Segmentation Index Analysis")</f>
      </c>
      <c r="C18" s="605" t="str">
        <f>HYPERLINK("#'Segmentation Indexes'!A1", "12")</f>
      </c>
      <c r="D18" s="639"/>
      <c r="E18" s="639" t="str">
        <f>HYPERLINK("#'Segmentation Ranking_2'!A1", "Segmentation Ranking Analysis - 2nd Comp")</f>
      </c>
      <c r="F18" s="605" t="str">
        <f>HYPERLINK("#'Segmentation Ranking_2'!A1", "32")</f>
      </c>
      <c r="G18" s="595"/>
      <c r="H18" s="595"/>
    </row>
    <row r="19" ht="15.75" customHeight="1">
      <c r="A19" s="595"/>
      <c r="B19" s="639" t="str">
        <f>HYPERLINK("#'Segmentation Ranking'!A1", "Segmentation Ranking Analysis")</f>
      </c>
      <c r="C19" s="605" t="str">
        <f>HYPERLINK("#'Segmentation Ranking'!A1", "13")</f>
      </c>
      <c r="D19" s="639"/>
      <c r="E19" s="639" t="str">
        <f>HYPERLINK("#'Segmentation DOW Month_2'!A1", "Segmentation Day Of Week - Current Month - 2nd Comp")</f>
      </c>
      <c r="F19" s="605" t="str">
        <f>HYPERLINK("#'Segmentation DOW Month_2'!A1", "33")</f>
      </c>
      <c r="G19" s="595"/>
      <c r="H19" s="595"/>
    </row>
    <row r="20" ht="15.75" customHeight="1">
      <c r="A20" s="595"/>
      <c r="B20" s="639" t="str">
        <f>HYPERLINK("#'Segmentation DOW Month'!A1", "Segmentation Day Of Week - Current Month")</f>
      </c>
      <c r="C20" s="605" t="str">
        <f>HYPERLINK("#'Segmentation DOW Month'!A1", "14")</f>
      </c>
      <c r="D20" s="639"/>
      <c r="E20" s="639" t="str">
        <f>HYPERLINK("#'Segmentation DOW YTD_2'!A1", "Segmentation Day Of Week - Year to Date - 2nd Comp")</f>
      </c>
      <c r="F20" s="605" t="str">
        <f>HYPERLINK("#'Segmentation DOW YTD_2'!A1", "34")</f>
      </c>
      <c r="G20" s="595"/>
      <c r="H20" s="595"/>
    </row>
    <row r="21" ht="15.75" customHeight="1">
      <c r="A21" s="595"/>
      <c r="B21" s="639" t="str">
        <f>HYPERLINK("#'Segmentation DOW YTD'!A1", "Segmentation Day Of Week - Year to Date")</f>
      </c>
      <c r="C21" s="605" t="str">
        <f>HYPERLINK("#'Segmentation DOW YTD'!A1", "15")</f>
      </c>
      <c r="D21" s="639"/>
      <c r="E21" s="639" t="str">
        <f>HYPERLINK("#'Segmentation DOW Run 3_2'!A1", "Segmentation Day Of Week - Running 3 Month - 2nd Comp")</f>
      </c>
      <c r="F21" s="605" t="str">
        <f>HYPERLINK("#'Segmentation DOW Run 3_2'!A1", "35")</f>
      </c>
      <c r="G21" s="595"/>
      <c r="H21" s="595"/>
    </row>
    <row r="22" ht="15.75" customHeight="1">
      <c r="A22" s="595"/>
      <c r="B22" s="639" t="str">
        <f>HYPERLINK("#'Segmentation DOW Run 3'!A1", "Segmentation Day Of Week - Running 3 Month")</f>
      </c>
      <c r="C22" s="605" t="str">
        <f>HYPERLINK("#'Segmentation DOW Run 3'!A1", "16")</f>
      </c>
      <c r="D22" s="639"/>
      <c r="E22" s="639" t="str">
        <f>HYPERLINK("#'Segmentation DOW Run 12_2'!A1", "Segmentation Day Of Week - Running 12 Month - 2nd Comp")</f>
      </c>
      <c r="F22" s="605" t="str">
        <f>HYPERLINK("#'Segmentation DOW Run 12_2'!A1", "36")</f>
      </c>
      <c r="G22" s="595"/>
      <c r="H22" s="595"/>
    </row>
    <row r="23" ht="15.75" customHeight="1">
      <c r="A23" s="595"/>
      <c r="B23" s="639" t="str">
        <f>HYPERLINK("#'Segmentation DOW Run 12'!A1", "Segmentation Day Of Week - Running 12 Month")</f>
      </c>
      <c r="C23" s="605" t="str">
        <f>HYPERLINK("#'Segmentation DOW Run 12'!A1", "17")</f>
      </c>
      <c r="D23" s="639"/>
      <c r="E23" s="639" t="str">
        <f>HYPERLINK("#'Add Rev ADR_2'!A1", "Additional Revenue ADR Analysis (TrevPOR) - 2nd Comp")</f>
      </c>
      <c r="F23" s="605" t="str">
        <f>HYPERLINK("#'Add Rev ADR_2'!A1", "37")</f>
      </c>
      <c r="G23" s="595"/>
      <c r="H23" s="595"/>
    </row>
    <row r="24" ht="15.75" customHeight="1">
      <c r="A24" s="595"/>
      <c r="B24" s="639" t="str">
        <f>HYPERLINK("#'Add Rev ADR'!A1", "Additional Revenue ADR Analysis (TrevPOR)")</f>
      </c>
      <c r="C24" s="605" t="str">
        <f>HYPERLINK("#'Add Rev ADR'!A1", "18")</f>
      </c>
      <c r="D24" s="639"/>
      <c r="E24" s="639" t="str">
        <f>HYPERLINK("#'Add Rev RevPAR_2'!A1", "Additional Revenue RevPAR Analysis (TrevPAR) - 2nd Comp")</f>
      </c>
      <c r="F24" s="605" t="str">
        <f>HYPERLINK("#'Add Rev RevPAR_2'!A1", "38")</f>
      </c>
      <c r="G24" s="595"/>
      <c r="H24" s="595"/>
    </row>
    <row r="25" ht="15.75" customHeight="1">
      <c r="A25" s="595"/>
      <c r="B25" s="639" t="str">
        <f>HYPERLINK("#'Add Rev RevPAR'!A1", "Additional Revenue RevPAR Analysis (TrevPAR)")</f>
      </c>
      <c r="C25" s="605" t="str">
        <f>HYPERLINK("#'Add Rev RevPAR'!A1", "19")</f>
      </c>
      <c r="D25" s="639"/>
      <c r="E25" s="639" t="str">
        <f>HYPERLINK("#'Segmentation Response_2'!A1", "Segmentation Response Report - 2nd Comp")</f>
      </c>
      <c r="F25" s="605" t="str">
        <f>HYPERLINK("#'Segmentation Response_2'!A1", "39")</f>
      </c>
      <c r="G25" s="595"/>
      <c r="H25" s="595"/>
    </row>
    <row r="26" ht="15.75" customHeight="1">
      <c r="A26" s="595"/>
      <c r="B26" s="639" t="str">
        <f>HYPERLINK("#'Segmentation Response'!A1", "Segmentation Response Report")</f>
      </c>
      <c r="C26" s="605" t="str">
        <f>HYPERLINK("#'Segmentation Response'!A1", "20")</f>
      </c>
      <c r="D26" s="639"/>
      <c r="E26" s="639" t="str">
        <f>HYPERLINK("#'Help'!A1", "Help")</f>
      </c>
      <c r="F26" s="605" t="str">
        <f>HYPERLINK("#'Help'!A1", "40")</f>
      </c>
      <c r="G26" s="595"/>
      <c r="H26" s="595"/>
    </row>
    <row r="27" ht="15.75" customHeight="1">
      <c r="A27" s="595"/>
      <c r="B27" s="639"/>
      <c r="C27" s="605"/>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0" t="s">
        <v>127</v>
      </c>
      <c r="C1" s="12"/>
      <c r="D1" s="12"/>
      <c r="E1" s="12"/>
      <c r="F1" s="12"/>
      <c r="G1" s="12"/>
      <c r="H1" s="12"/>
      <c r="I1" s="104"/>
      <c r="J1" s="12"/>
      <c r="K1" s="12"/>
      <c r="L1" s="12"/>
      <c r="M1" s="13"/>
      <c r="N1" s="51"/>
      <c r="O1" s="2"/>
      <c r="P1" s="2"/>
      <c r="Q1" s="2"/>
      <c r="R1" s="22"/>
      <c r="S1" s="51"/>
      <c r="T1" s="2"/>
      <c r="U1" s="2"/>
      <c r="V1" s="236"/>
    </row>
    <row r="2" ht="21.75" customHeight="1">
      <c r="B2" s="935" t="s">
        <v>208</v>
      </c>
      <c r="C2" s="935"/>
      <c r="D2" s="935"/>
      <c r="E2" s="935"/>
      <c r="F2" s="935"/>
      <c r="G2" s="935"/>
      <c r="H2" s="935"/>
      <c r="I2" s="935"/>
      <c r="J2" s="935"/>
      <c r="K2" s="935"/>
      <c r="L2" s="935"/>
      <c r="M2" s="935"/>
      <c r="N2" s="935"/>
      <c r="O2" s="935"/>
      <c r="P2" s="935"/>
      <c r="Q2" s="935"/>
      <c r="R2" s="935"/>
      <c r="S2" s="935"/>
      <c r="T2" s="2"/>
      <c r="U2" s="2"/>
    </row>
    <row r="3" ht="19.5" customHeight="1">
      <c r="A3"/>
      <c r="B3" s="115" t="s">
        <v>209</v>
      </c>
      <c r="C3" s="115"/>
      <c r="D3" s="115"/>
      <c r="E3" s="115"/>
      <c r="F3" s="115"/>
      <c r="G3" s="115"/>
      <c r="H3" s="115"/>
      <c r="I3" s="115"/>
      <c r="J3" s="115"/>
      <c r="K3" s="115"/>
      <c r="L3" s="115"/>
      <c r="M3" s="115"/>
      <c r="N3" s="115"/>
      <c r="O3" s="115"/>
      <c r="P3" s="115"/>
      <c r="Q3" s="115"/>
      <c r="R3" s="115"/>
      <c r="S3" s="115"/>
      <c r="T3" s="2"/>
      <c r="U3" s="2"/>
    </row>
    <row r="4" ht="18.75" customHeight="1">
      <c r="A4"/>
      <c r="B4" s="936" t="s">
        <v>210</v>
      </c>
      <c r="C4" s="936"/>
      <c r="D4" s="936"/>
      <c r="E4" s="936"/>
      <c r="F4" s="936"/>
      <c r="G4" s="936"/>
      <c r="H4" s="936"/>
      <c r="I4" s="936"/>
      <c r="J4" s="936"/>
      <c r="K4" s="936"/>
      <c r="L4" s="936"/>
      <c r="M4" s="936"/>
      <c r="N4" s="936"/>
      <c r="O4" s="936"/>
      <c r="P4" s="936"/>
      <c r="Q4" s="131"/>
      <c r="R4" s="203"/>
      <c r="S4" s="131"/>
      <c r="T4" s="222"/>
      <c r="U4" s="2"/>
    </row>
    <row r="5" ht="12" customHeight="1">
      <c r="A5"/>
      <c r="B5" s="129"/>
      <c r="D5" s="13"/>
      <c r="E5" s="13"/>
      <c r="F5" s="2"/>
      <c r="G5" s="2"/>
      <c r="H5" s="2"/>
      <c r="I5" s="2"/>
      <c r="J5" s="2"/>
      <c r="K5" s="2"/>
      <c r="L5" s="2"/>
      <c r="M5" s="2"/>
      <c r="N5" s="9"/>
      <c r="O5" s="2"/>
      <c r="P5" s="2"/>
      <c r="Q5" s="2"/>
      <c r="R5" s="2"/>
      <c r="S5" s="2"/>
      <c r="T5" s="2"/>
      <c r="U5" s="2"/>
    </row>
    <row r="6" ht="17.1" customHeight="1">
      <c r="B6" s="699" t="s">
        <v>211</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93.62170087976539589442815249</v>
      </c>
      <c r="H11" s="193">
        <v>62.832123344061073272958610880</v>
      </c>
      <c r="I11" s="193">
        <v>149.00292381829010774811846879</v>
      </c>
      <c r="J11" s="194"/>
      <c r="K11" s="194"/>
      <c r="L11" s="195">
        <v>336.98538240668232837379274341</v>
      </c>
      <c r="M11" s="195">
        <v>429.2952912447885646217986897</v>
      </c>
      <c r="N11" s="193">
        <v>78.497339542103157530879792480</v>
      </c>
      <c r="O11" s="194"/>
      <c r="P11" s="193"/>
      <c r="Q11" s="195">
        <v>315.4914467253176930596285435</v>
      </c>
      <c r="R11" s="195">
        <v>269.73534690517176858019609311</v>
      </c>
      <c r="S11" s="193">
        <v>116.96333103730448471478785083</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58</v>
      </c>
      <c r="E13" s="188"/>
      <c r="F13" s="169"/>
      <c r="G13" s="196">
        <v>83.37069323370693233706932337</v>
      </c>
      <c r="H13" s="196">
        <v>64.216746765786302324568408520</v>
      </c>
      <c r="I13" s="196">
        <v>129.82702711144744394616477138</v>
      </c>
      <c r="J13" s="197"/>
      <c r="K13" s="197"/>
      <c r="L13" s="198">
        <v>233.74962656841266679944234216</v>
      </c>
      <c r="M13" s="198">
        <v>286.53280715836121913719815501</v>
      </c>
      <c r="N13" s="196">
        <v>81.57866070785524575085893353</v>
      </c>
      <c r="O13" s="197"/>
      <c r="P13" s="196"/>
      <c r="Q13" s="198">
        <v>194.87868410128684101286841013</v>
      </c>
      <c r="R13" s="198">
        <v>184.00204717378363074063856664</v>
      </c>
      <c r="S13" s="196">
        <v>105.91114995434295318630290048</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83.77799736495388669301712780</v>
      </c>
      <c r="H15" s="193">
        <v>54.907696963583173610410571970</v>
      </c>
      <c r="I15" s="193">
        <v>152.57969646863639147306242660</v>
      </c>
      <c r="J15" s="194"/>
      <c r="K15" s="194"/>
      <c r="L15" s="195">
        <v>257.99361116571653233733045017</v>
      </c>
      <c r="M15" s="195">
        <v>328.75708846224508543082858719</v>
      </c>
      <c r="N15" s="193">
        <v>78.475452003932950087306315520</v>
      </c>
      <c r="O15" s="194"/>
      <c r="P15" s="193"/>
      <c r="Q15" s="195">
        <v>216.14188076416337285902503294</v>
      </c>
      <c r="R15" s="195">
        <v>180.51294587914859275698577625</v>
      </c>
      <c r="S15" s="193">
        <v>119.73760646999132975045014368</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83.37069323370693233706932337</v>
      </c>
      <c r="H17" s="196">
        <v>64.216746765786302324568408520</v>
      </c>
      <c r="I17" s="196">
        <v>129.82702711144744394616477138</v>
      </c>
      <c r="J17" s="197"/>
      <c r="K17" s="197"/>
      <c r="L17" s="198">
        <v>233.74962656841266679944234216</v>
      </c>
      <c r="M17" s="198">
        <v>286.53280715836121913719815501</v>
      </c>
      <c r="N17" s="196">
        <v>81.57866070785524575085893353</v>
      </c>
      <c r="O17" s="197"/>
      <c r="P17" s="196"/>
      <c r="Q17" s="198">
        <v>194.87868410128684101286841013</v>
      </c>
      <c r="R17" s="198">
        <v>184.00204717378363074063856664</v>
      </c>
      <c r="S17" s="196">
        <v>105.91114995434295318630290048</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699" t="s">
        <v>212</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30.617115581374664890591574850</v>
      </c>
      <c r="H25" s="193">
        <v>27.157143736339413189833767400</v>
      </c>
      <c r="I25" s="193">
        <v>2.7210204186616820765050066600</v>
      </c>
      <c r="J25" s="193"/>
      <c r="K25" s="193"/>
      <c r="L25" s="193">
        <v>103.97519524991013283641442340</v>
      </c>
      <c r="M25" s="193">
        <v>90.25392971206590858291768503</v>
      </c>
      <c r="N25" s="193">
        <v>7.2120799599519109064274554100</v>
      </c>
      <c r="O25" s="193"/>
      <c r="P25" s="193"/>
      <c r="Q25" s="193">
        <v>166.42651653680275745749143577</v>
      </c>
      <c r="R25" s="193">
        <v>141.92146286807247878388365785</v>
      </c>
      <c r="S25" s="193">
        <v>10.129342546962471215277279730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58</v>
      </c>
      <c r="E27" s="188"/>
      <c r="F27" s="169"/>
      <c r="G27" s="196">
        <v>68.982737229314182152003445530</v>
      </c>
      <c r="H27" s="196"/>
      <c r="I27" s="196"/>
      <c r="J27" s="196"/>
      <c r="K27" s="196"/>
      <c r="L27" s="196">
        <v>13.672018464972760852009297750</v>
      </c>
      <c r="M27" s="196"/>
      <c r="N27" s="196"/>
      <c r="O27" s="196"/>
      <c r="P27" s="196"/>
      <c r="Q27" s="196">
        <v>92.08608826616171883247526863</v>
      </c>
      <c r="R27" s="196"/>
      <c r="S27" s="196"/>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42.273807859057565122229685470</v>
      </c>
      <c r="H29" s="193"/>
      <c r="I29" s="193"/>
      <c r="J29" s="193"/>
      <c r="K29" s="193"/>
      <c r="L29" s="193">
        <v>84.10093735740892845007746608</v>
      </c>
      <c r="M29" s="193"/>
      <c r="N29" s="193"/>
      <c r="O29" s="193"/>
      <c r="P29" s="193"/>
      <c r="Q29" s="193">
        <v>161.92741388272703239124683003</v>
      </c>
      <c r="R29" s="193"/>
      <c r="S29" s="193"/>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68.982737229314182152003445530</v>
      </c>
      <c r="H31" s="196"/>
      <c r="I31" s="196"/>
      <c r="J31" s="196"/>
      <c r="K31" s="196"/>
      <c r="L31" s="196">
        <v>13.672018464972760852009297750</v>
      </c>
      <c r="M31" s="196"/>
      <c r="N31" s="196"/>
      <c r="O31" s="196"/>
      <c r="P31" s="196"/>
      <c r="Q31" s="196">
        <v>92.08608826616171883247526863</v>
      </c>
      <c r="R31" s="196"/>
      <c r="S31" s="196"/>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208</v>
      </c>
      <c r="C2" s="948"/>
      <c r="D2" s="948"/>
      <c r="E2" s="948"/>
      <c r="F2" s="948"/>
      <c r="G2" s="948"/>
      <c r="H2" s="948"/>
      <c r="I2" s="948"/>
      <c r="J2" s="948"/>
      <c r="K2" s="948"/>
      <c r="L2" s="948"/>
      <c r="M2" s="948"/>
      <c r="N2" s="948"/>
      <c r="O2" s="948"/>
      <c r="P2" s="948"/>
      <c r="Q2" s="948"/>
      <c r="R2" s="948"/>
      <c r="S2" s="948"/>
      <c r="T2" s="948"/>
      <c r="U2" s="2"/>
    </row>
    <row r="3" ht="18" customHeight="1">
      <c r="B3" s="947" t="s">
        <v>209</v>
      </c>
      <c r="C3" s="947"/>
      <c r="D3" s="947"/>
      <c r="E3" s="947"/>
      <c r="F3" s="947"/>
      <c r="G3" s="947"/>
      <c r="H3" s="947"/>
      <c r="I3" s="947"/>
      <c r="J3" s="947"/>
      <c r="K3" s="947"/>
      <c r="L3" s="947"/>
      <c r="M3" s="947"/>
      <c r="N3" s="947"/>
      <c r="O3" s="947"/>
      <c r="P3" s="947"/>
      <c r="Q3" s="947"/>
      <c r="R3" s="947"/>
      <c r="S3" s="947"/>
      <c r="T3" s="947"/>
      <c r="U3" s="2"/>
    </row>
    <row r="4" ht="18" customHeight="1">
      <c r="B4" s="947" t="s">
        <v>210</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163"/>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163"/>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163"/>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213</v>
      </c>
      <c r="C8" s="347"/>
      <c r="D8" s="345"/>
      <c r="E8" s="238">
        <v>93.62170087976539589442815249</v>
      </c>
      <c r="F8" s="239">
        <v>30.617115581374664890591574850</v>
      </c>
      <c r="G8" s="238">
        <v>83.37069323370693233706932337</v>
      </c>
      <c r="H8" s="239">
        <v>68.982737229314182152003445530</v>
      </c>
      <c r="I8" s="238">
        <v>83.77799736495388669301712780</v>
      </c>
      <c r="J8" s="239">
        <v>42.273807859057565122229685470</v>
      </c>
      <c r="K8" s="238">
        <v>83.37069323370693233706932337</v>
      </c>
      <c r="L8" s="239">
        <v>68.982737229314182152003445530</v>
      </c>
      <c r="M8" s="540"/>
      <c r="N8" s="156">
        <v>0</v>
      </c>
      <c r="O8" s="156"/>
      <c r="P8" s="156">
        <v>19.672131147540983606557377050</v>
      </c>
      <c r="Q8" s="156"/>
      <c r="R8" s="156">
        <v>0</v>
      </c>
      <c r="S8" s="156"/>
      <c r="T8" s="243">
        <v>19.672131147540983606557377050</v>
      </c>
    </row>
    <row r="9" ht="20.1" customHeight="1">
      <c r="B9" s="708" t="s">
        <v>214</v>
      </c>
      <c r="C9" s="950"/>
      <c r="D9" s="345"/>
      <c r="E9" s="240">
        <v>74.708293816485812938534366310</v>
      </c>
      <c r="F9" s="241">
        <v>54.042555494066290218016773710</v>
      </c>
      <c r="G9" s="240">
        <v>66.781767446194064012800888760</v>
      </c>
      <c r="H9" s="241">
        <v>44.212497657387396185826177870</v>
      </c>
      <c r="I9" s="240">
        <v>68.764425893634059842541522650</v>
      </c>
      <c r="J9" s="241">
        <v>53.621227053271481463436398820</v>
      </c>
      <c r="K9" s="240">
        <v>66.781767446194064012800888760</v>
      </c>
      <c r="L9" s="241">
        <v>44.212497657387396185826177870</v>
      </c>
      <c r="M9" s="540"/>
      <c r="N9" s="121">
        <v>7.01625947050310717630033200</v>
      </c>
      <c r="O9" s="121"/>
      <c r="P9" s="121">
        <v>19.800743378016428446470951460</v>
      </c>
      <c r="Q9" s="121"/>
      <c r="R9" s="121">
        <v>9.047922648736036902630261280</v>
      </c>
      <c r="S9" s="121"/>
      <c r="T9" s="241">
        <v>19.800743378016428446470951460</v>
      </c>
    </row>
    <row r="10" ht="20.1" customHeight="1">
      <c r="B10" s="706" t="s">
        <v>215</v>
      </c>
      <c r="C10" s="949"/>
      <c r="D10" s="345"/>
      <c r="E10" s="242">
        <v>73.795343565648429001643626230</v>
      </c>
      <c r="F10" s="243">
        <v>63.125017187468886595624284880</v>
      </c>
      <c r="G10" s="242">
        <v>64.353895382555680267299907380</v>
      </c>
      <c r="H10" s="243">
        <v>49.560179593553839067880656100</v>
      </c>
      <c r="I10" s="242">
        <v>66.491365432460120005853944090</v>
      </c>
      <c r="J10" s="243">
        <v>68.051374156332213950057110890</v>
      </c>
      <c r="K10" s="242">
        <v>64.353895382555680267299907380</v>
      </c>
      <c r="L10" s="243">
        <v>49.560179593553839067880656100</v>
      </c>
      <c r="M10" s="540"/>
      <c r="N10" s="156">
        <v>12.561557693764679142359269640</v>
      </c>
      <c r="O10" s="156"/>
      <c r="P10" s="156">
        <v>29.020397445926467142908197100</v>
      </c>
      <c r="Q10" s="156"/>
      <c r="R10" s="156">
        <v>14.722047099335391155506045450</v>
      </c>
      <c r="S10" s="156"/>
      <c r="T10" s="243">
        <v>29.020397445926467142908197100</v>
      </c>
    </row>
    <row r="11" ht="20.1" customHeight="1">
      <c r="B11" s="708" t="s">
        <v>216</v>
      </c>
      <c r="C11" s="950"/>
      <c r="D11" s="345"/>
      <c r="E11" s="240">
        <v>70.574304018577446395685767420</v>
      </c>
      <c r="F11" s="241">
        <v>44.309003170793913943171637610</v>
      </c>
      <c r="G11" s="240">
        <v>64.443823244040821164140769390</v>
      </c>
      <c r="H11" s="241">
        <v>42.575974905406884972158350280</v>
      </c>
      <c r="I11" s="240">
        <v>63.572959421459968086046394780</v>
      </c>
      <c r="J11" s="241">
        <v>49.768651802933267594016701690</v>
      </c>
      <c r="K11" s="240">
        <v>64.443823244040821164140769390</v>
      </c>
      <c r="L11" s="241">
        <v>42.575974905406884972158350280</v>
      </c>
      <c r="M11" s="540"/>
      <c r="N11" s="121">
        <v>11.756870754340007991830573190</v>
      </c>
      <c r="O11" s="121"/>
      <c r="P11" s="121">
        <v>35.280544057865534896540509530</v>
      </c>
      <c r="Q11" s="121"/>
      <c r="R11" s="121">
        <v>13.959847889526412017201277850</v>
      </c>
      <c r="S11" s="121"/>
      <c r="T11" s="241">
        <v>35.280544057865534896540509530</v>
      </c>
    </row>
    <row r="12" ht="20.1" customHeight="1">
      <c r="B12" s="706" t="s">
        <v>217</v>
      </c>
      <c r="C12" s="949"/>
      <c r="D12" s="345"/>
      <c r="E12" s="242">
        <v>75.352567245154753734026211720</v>
      </c>
      <c r="F12" s="243">
        <v>39.026312997167599649570188220</v>
      </c>
      <c r="G12" s="242">
        <v>66.471631515796028167338900100</v>
      </c>
      <c r="H12" s="243">
        <v>45.556962517698278772455113670</v>
      </c>
      <c r="I12" s="242">
        <v>67.409714532230187756403034660</v>
      </c>
      <c r="J12" s="243">
        <v>45.126622848024519395105841480</v>
      </c>
      <c r="K12" s="242">
        <v>66.471631515796028167338900100</v>
      </c>
      <c r="L12" s="243">
        <v>45.556962517698278772455113670</v>
      </c>
      <c r="M12" s="540"/>
      <c r="N12" s="156">
        <v>4.6798356091740686729418003400</v>
      </c>
      <c r="O12" s="156"/>
      <c r="P12" s="156">
        <v>28.430074947457707835203650240</v>
      </c>
      <c r="Q12" s="156"/>
      <c r="R12" s="156">
        <v>6.5657608273927436227421732800</v>
      </c>
      <c r="S12" s="156"/>
      <c r="T12" s="243">
        <v>28.430074947457707835203650240</v>
      </c>
    </row>
    <row r="13" ht="20.1" customHeight="1">
      <c r="B13" s="734" t="s">
        <v>74</v>
      </c>
      <c r="C13" s="946"/>
      <c r="D13" s="345"/>
      <c r="E13" s="244">
        <v>62.832123344061073272958610880</v>
      </c>
      <c r="F13" s="245">
        <v>27.157143736339413189833767400</v>
      </c>
      <c r="G13" s="244">
        <v>64.216746765786302324568408520</v>
      </c>
      <c r="H13" s="245"/>
      <c r="I13" s="244">
        <v>54.907696963583173610410571970</v>
      </c>
      <c r="J13" s="245"/>
      <c r="K13" s="244">
        <v>64.216746765786302324568408520</v>
      </c>
      <c r="L13" s="245"/>
      <c r="M13" s="540"/>
      <c r="N13" s="250">
        <v>52.296819787985865724381625440</v>
      </c>
      <c r="O13" s="250"/>
      <c r="P13" s="250"/>
      <c r="Q13" s="250"/>
      <c r="R13" s="250"/>
      <c r="S13" s="250"/>
      <c r="T13" s="245"/>
    </row>
    <row r="14" ht="9.95" customHeight="1">
      <c r="B14" s="4"/>
      <c r="C14" s="4"/>
      <c r="D14" s="4"/>
      <c r="E14" s="535"/>
      <c r="F14" s="535"/>
      <c r="G14" s="535"/>
      <c r="H14" s="535"/>
      <c r="I14" s="535"/>
      <c r="J14" s="535"/>
      <c r="K14" s="535"/>
      <c r="L14" s="535"/>
      <c r="M14" s="156"/>
      <c r="N14" s="156"/>
      <c r="O14" s="156"/>
      <c r="P14" s="156"/>
      <c r="Q14" s="156"/>
      <c r="R14" s="156"/>
      <c r="S14" s="156"/>
      <c r="T14" s="156"/>
    </row>
    <row r="15" ht="21" customHeight="1">
      <c r="B15" s="4"/>
      <c r="C15" s="4"/>
      <c r="D15" s="4"/>
      <c r="E15" s="719" t="s">
        <v>90</v>
      </c>
      <c r="F15" s="719"/>
      <c r="G15" s="719"/>
      <c r="H15" s="719"/>
      <c r="I15" s="719"/>
      <c r="J15" s="719"/>
      <c r="K15" s="719"/>
      <c r="L15" s="942"/>
      <c r="M15" s="537"/>
      <c r="N15" s="719" t="s">
        <v>29</v>
      </c>
      <c r="O15" s="719"/>
      <c r="P15" s="719"/>
      <c r="Q15" s="719"/>
      <c r="R15" s="719"/>
      <c r="S15" s="719"/>
      <c r="T15" s="942"/>
    </row>
    <row r="16" ht="22.5" customHeight="1">
      <c r="B16" s="4"/>
      <c r="C16" s="4"/>
      <c r="D16" s="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4"/>
      <c r="E17" s="940"/>
      <c r="F17" s="939"/>
      <c r="G17" s="940"/>
      <c r="H17" s="939"/>
      <c r="I17" s="940"/>
      <c r="J17" s="939"/>
      <c r="K17" s="940"/>
      <c r="L17" s="939"/>
      <c r="M17" s="539"/>
      <c r="N17" s="944"/>
      <c r="O17" s="845"/>
      <c r="P17" s="944"/>
      <c r="Q17" s="845"/>
      <c r="R17" s="944"/>
      <c r="S17" s="845"/>
      <c r="T17" s="944"/>
    </row>
    <row r="18" ht="20.1" customHeight="1">
      <c r="B18" s="736" t="s">
        <v>213</v>
      </c>
      <c r="C18" s="348"/>
      <c r="D18" s="345"/>
      <c r="E18" s="253">
        <v>336.98538240668232837379274341</v>
      </c>
      <c r="F18" s="239">
        <v>103.97519524991013283641442340</v>
      </c>
      <c r="G18" s="253">
        <v>233.74962656841266679944234216</v>
      </c>
      <c r="H18" s="239">
        <v>13.672018464972760852009297750</v>
      </c>
      <c r="I18" s="253">
        <v>257.99361116571653233733045017</v>
      </c>
      <c r="J18" s="239">
        <v>84.10093735740892845007746608</v>
      </c>
      <c r="K18" s="253">
        <v>233.74962656841266679944234216</v>
      </c>
      <c r="L18" s="239">
        <v>13.672018464972760852009297750</v>
      </c>
      <c r="M18" s="540"/>
      <c r="N18" s="238">
        <v>30.617115581316058643027616770</v>
      </c>
      <c r="O18" s="246"/>
      <c r="P18" s="246">
        <v>102.22524291396063031767608116</v>
      </c>
      <c r="Q18" s="246"/>
      <c r="R18" s="246">
        <v>42.273807859040693609285414630</v>
      </c>
      <c r="S18" s="246"/>
      <c r="T18" s="239">
        <v>102.22524291396063031767608116</v>
      </c>
    </row>
    <row r="19" ht="20.1" customHeight="1">
      <c r="B19" s="730" t="s">
        <v>214</v>
      </c>
      <c r="C19" s="941"/>
      <c r="D19" s="345"/>
      <c r="E19" s="254">
        <v>314.56469453561747536267326501</v>
      </c>
      <c r="F19" s="241">
        <v>72.125784786199501475549962340</v>
      </c>
      <c r="G19" s="254">
        <v>223.50156461496014327188275988</v>
      </c>
      <c r="H19" s="241">
        <v>20.477043533806647433855477420</v>
      </c>
      <c r="I19" s="254">
        <v>245.59406858786080366694596276</v>
      </c>
      <c r="J19" s="241">
        <v>66.000834069362554465916365320</v>
      </c>
      <c r="K19" s="254">
        <v>223.50156461496014327188275988</v>
      </c>
      <c r="L19" s="241">
        <v>20.477043533806647433855477420</v>
      </c>
      <c r="M19" s="540"/>
      <c r="N19" s="240">
        <v>64.850580882461188626277244970</v>
      </c>
      <c r="O19" s="121"/>
      <c r="P19" s="121">
        <v>72.767644237586338195600281110</v>
      </c>
      <c r="Q19" s="121"/>
      <c r="R19" s="121">
        <v>67.520756849063439822239788800</v>
      </c>
      <c r="S19" s="121"/>
      <c r="T19" s="241">
        <v>72.767644237586338195600281110</v>
      </c>
    </row>
    <row r="20" ht="20.1" customHeight="1">
      <c r="B20" s="532" t="s">
        <v>215</v>
      </c>
      <c r="C20" s="345"/>
      <c r="D20" s="345"/>
      <c r="E20" s="255">
        <v>322.00105037999040829476545927</v>
      </c>
      <c r="F20" s="243">
        <v>71.505064457441223404399123150</v>
      </c>
      <c r="G20" s="255">
        <v>237.53897117263984825156619102</v>
      </c>
      <c r="H20" s="243">
        <v>10.652063139171817190995276050</v>
      </c>
      <c r="I20" s="255">
        <v>253.83700481252290432950980058</v>
      </c>
      <c r="J20" s="243">
        <v>61.550814797221147045792111640</v>
      </c>
      <c r="K20" s="255">
        <v>237.53897117263984825156619102</v>
      </c>
      <c r="L20" s="243">
        <v>10.652063139171817190995276050</v>
      </c>
      <c r="M20" s="540"/>
      <c r="N20" s="242">
        <v>83.61606033430216853410552020</v>
      </c>
      <c r="O20" s="156"/>
      <c r="P20" s="156">
        <v>92.96313813250892563604168950</v>
      </c>
      <c r="Q20" s="156"/>
      <c r="R20" s="156">
        <v>92.79197661047012445843818027</v>
      </c>
      <c r="S20" s="156"/>
      <c r="T20" s="243">
        <v>92.96313813250892563604168950</v>
      </c>
    </row>
    <row r="21" ht="20.1" customHeight="1">
      <c r="B21" s="730" t="s">
        <v>216</v>
      </c>
      <c r="C21" s="941"/>
      <c r="D21" s="345"/>
      <c r="E21" s="254">
        <v>528.91741118447335352610896835</v>
      </c>
      <c r="F21" s="241">
        <v>72.230252831816189054768545120</v>
      </c>
      <c r="G21" s="254">
        <v>348.72717565300909654025236461</v>
      </c>
      <c r="H21" s="241">
        <v>19.390216447369004382213625910</v>
      </c>
      <c r="I21" s="254">
        <v>395.46974478679088705292720516</v>
      </c>
      <c r="J21" s="241">
        <v>64.228115973584666742849434360</v>
      </c>
      <c r="K21" s="254">
        <v>348.72717565300909654025236461</v>
      </c>
      <c r="L21" s="241">
        <v>19.390216447369004382213625910</v>
      </c>
      <c r="M21" s="540"/>
      <c r="N21" s="240">
        <v>61.275226160527849446935374760</v>
      </c>
      <c r="O21" s="121"/>
      <c r="P21" s="121">
        <v>92.87755454763594749197495750</v>
      </c>
      <c r="Q21" s="121"/>
      <c r="R21" s="121">
        <v>70.676127780859384539171873420</v>
      </c>
      <c r="S21" s="121"/>
      <c r="T21" s="241">
        <v>92.87755454763594749197495750</v>
      </c>
    </row>
    <row r="22" ht="20.1" customHeight="1">
      <c r="B22" s="532" t="s">
        <v>217</v>
      </c>
      <c r="C22" s="345"/>
      <c r="D22" s="345"/>
      <c r="E22" s="255">
        <v>611.70955027243893843693241888</v>
      </c>
      <c r="F22" s="243">
        <v>77.052736851442411716322916910</v>
      </c>
      <c r="G22" s="255">
        <v>389.99801123894708811490291962</v>
      </c>
      <c r="H22" s="243">
        <v>23.679139622043061746638429660</v>
      </c>
      <c r="I22" s="255">
        <v>450.55319812410959406661000679</v>
      </c>
      <c r="J22" s="243">
        <v>71.196206696103057659808685060</v>
      </c>
      <c r="K22" s="255">
        <v>389.99801123894708811490291962</v>
      </c>
      <c r="L22" s="243">
        <v>23.679139622043061746638429660</v>
      </c>
      <c r="M22" s="540"/>
      <c r="N22" s="242">
        <v>45.532515898941122630939418330</v>
      </c>
      <c r="O22" s="156"/>
      <c r="P22" s="156">
        <v>86.93891605261345637352799394</v>
      </c>
      <c r="Q22" s="156"/>
      <c r="R22" s="156">
        <v>54.655289801167526130646930520</v>
      </c>
      <c r="S22" s="156"/>
      <c r="T22" s="243">
        <v>86.93891605261345637352799394</v>
      </c>
    </row>
    <row r="23" ht="20.1" customHeight="1">
      <c r="B23" s="726" t="s">
        <v>74</v>
      </c>
      <c r="C23" s="349"/>
      <c r="D23" s="345"/>
      <c r="E23" s="256">
        <v>429.2952912447885646217986897</v>
      </c>
      <c r="F23" s="245">
        <v>90.25392971206590858291768503</v>
      </c>
      <c r="G23" s="256">
        <v>286.53280715836121913719815501</v>
      </c>
      <c r="H23" s="245"/>
      <c r="I23" s="256">
        <v>328.75708846224508543082858719</v>
      </c>
      <c r="J23" s="245"/>
      <c r="K23" s="256">
        <v>286.53280715836121913719815501</v>
      </c>
      <c r="L23" s="245"/>
      <c r="M23" s="540"/>
      <c r="N23" s="244">
        <v>93.65628604382929642445213379</v>
      </c>
      <c r="O23" s="250"/>
      <c r="P23" s="250"/>
      <c r="Q23" s="250"/>
      <c r="R23" s="250"/>
      <c r="S23" s="250"/>
      <c r="T23" s="245"/>
    </row>
    <row r="24" ht="9.95" customHeight="1">
      <c r="B24" s="4"/>
      <c r="C24" s="4"/>
      <c r="D24" s="4"/>
      <c r="E24" s="535"/>
      <c r="F24" s="535"/>
      <c r="G24" s="535"/>
      <c r="H24" s="535"/>
      <c r="I24" s="535"/>
      <c r="J24" s="535"/>
      <c r="K24" s="535"/>
      <c r="L24" s="535"/>
      <c r="M24" s="156"/>
      <c r="N24" s="156"/>
      <c r="O24" s="156"/>
      <c r="P24" s="156"/>
      <c r="Q24" s="156"/>
      <c r="R24" s="156"/>
      <c r="S24" s="156"/>
      <c r="T24" s="156"/>
    </row>
    <row r="25" s="122" customFormat="1" ht="21" customHeight="1">
      <c r="B25" s="163"/>
      <c r="C25" s="163"/>
      <c r="D25" s="163"/>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163"/>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163"/>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213</v>
      </c>
      <c r="C28" s="348"/>
      <c r="D28" s="345"/>
      <c r="E28" s="253">
        <v>315.4914467253176930596285435</v>
      </c>
      <c r="F28" s="239">
        <v>166.42651653680275745749143577</v>
      </c>
      <c r="G28" s="253">
        <v>194.87868410128684101286841013</v>
      </c>
      <c r="H28" s="239">
        <v>92.08608826616171883247526863</v>
      </c>
      <c r="I28" s="253">
        <v>216.14188076416337285902503294</v>
      </c>
      <c r="J28" s="239">
        <v>161.92741388272703239124683003</v>
      </c>
      <c r="K28" s="253">
        <v>194.87868410128684101286841013</v>
      </c>
      <c r="L28" s="239">
        <v>92.08608826616171883247526863</v>
      </c>
      <c r="M28" s="540"/>
      <c r="N28" s="238">
        <v>166.42651653672006240738982743</v>
      </c>
      <c r="O28" s="246"/>
      <c r="P28" s="246">
        <v>129.87351546603514577316220638</v>
      </c>
      <c r="Q28" s="246"/>
      <c r="R28" s="246">
        <v>161.92741388256895381790603920</v>
      </c>
      <c r="S28" s="246"/>
      <c r="T28" s="239">
        <v>129.87351546603514577316220638</v>
      </c>
    </row>
    <row r="29" ht="20.1" customHeight="1">
      <c r="B29" s="730" t="s">
        <v>214</v>
      </c>
      <c r="C29" s="941"/>
      <c r="D29" s="345"/>
      <c r="E29" s="254">
        <v>235.0059162366001962499024909</v>
      </c>
      <c r="F29" s="241">
        <v>165.14695754887982646791102007</v>
      </c>
      <c r="G29" s="254">
        <v>149.25829511976784431038172314</v>
      </c>
      <c r="H29" s="241">
        <v>73.742953583965100397937451520</v>
      </c>
      <c r="I29" s="254">
        <v>168.88135129326034729613079246</v>
      </c>
      <c r="J29" s="241">
        <v>155.01251821618313600777002688</v>
      </c>
      <c r="K29" s="254">
        <v>149.25829511976784431038172314</v>
      </c>
      <c r="L29" s="241">
        <v>73.742953583965100397937451520</v>
      </c>
      <c r="M29" s="540"/>
      <c r="N29" s="240">
        <v>183.75035606862072044556089553</v>
      </c>
      <c r="O29" s="121"/>
      <c r="P29" s="121">
        <v>108.14534996042049052756645078</v>
      </c>
      <c r="Q29" s="121"/>
      <c r="R29" s="121">
        <v>178.08585360882040118777090443</v>
      </c>
      <c r="S29" s="121"/>
      <c r="T29" s="241">
        <v>108.14534996042049052756645078</v>
      </c>
    </row>
    <row r="30" ht="20.1" customHeight="1">
      <c r="B30" s="532" t="s">
        <v>215</v>
      </c>
      <c r="C30" s="345"/>
      <c r="D30" s="345"/>
      <c r="E30" s="255">
        <v>237.6217814129106080114293903</v>
      </c>
      <c r="F30" s="243">
        <v>179.76766587344567492249825754</v>
      </c>
      <c r="G30" s="255">
        <v>152.86558100123974374141003779</v>
      </c>
      <c r="H30" s="243">
        <v>65.491424354957089131228141020</v>
      </c>
      <c r="I30" s="255">
        <v>168.77969047270598565783696766</v>
      </c>
      <c r="J30" s="243">
        <v>171.48836422735144029710041409</v>
      </c>
      <c r="K30" s="255">
        <v>152.86558100123974374141003779</v>
      </c>
      <c r="L30" s="243">
        <v>65.491424354957089131228141020</v>
      </c>
      <c r="M30" s="540"/>
      <c r="N30" s="242">
        <v>214.91084263048654427200559653</v>
      </c>
      <c r="O30" s="156"/>
      <c r="P30" s="156">
        <v>113.51769344170429446258161178</v>
      </c>
      <c r="Q30" s="156"/>
      <c r="R30" s="156">
        <v>211.45700907791373978748376258</v>
      </c>
      <c r="S30" s="156"/>
      <c r="T30" s="243">
        <v>113.51769344170429446258161178</v>
      </c>
    </row>
    <row r="31" ht="20.1" customHeight="1">
      <c r="B31" s="730" t="s">
        <v>216</v>
      </c>
      <c r="C31" s="941"/>
      <c r="D31" s="345"/>
      <c r="E31" s="254">
        <v>373.27978177651957385675527777</v>
      </c>
      <c r="F31" s="241">
        <v>148.54376102022993392105671060</v>
      </c>
      <c r="G31" s="254">
        <v>224.73312468176093943441833721</v>
      </c>
      <c r="H31" s="241">
        <v>70.221765041394159176574840710</v>
      </c>
      <c r="I31" s="254">
        <v>251.41182037745786821027171907</v>
      </c>
      <c r="J31" s="241">
        <v>145.96223517500104897241798822</v>
      </c>
      <c r="K31" s="254">
        <v>224.73312468176093943441833721</v>
      </c>
      <c r="L31" s="241">
        <v>70.221765041394159176574840710</v>
      </c>
      <c r="M31" s="540"/>
      <c r="N31" s="240">
        <v>177.76472977137635221690701019</v>
      </c>
      <c r="O31" s="121"/>
      <c r="P31" s="121">
        <v>130.27692985282362795558538493</v>
      </c>
      <c r="Q31" s="121"/>
      <c r="R31" s="121">
        <v>180.29818907119890975686563415</v>
      </c>
      <c r="S31" s="121"/>
      <c r="T31" s="241">
        <v>130.27692985282362795558538493</v>
      </c>
    </row>
    <row r="32" ht="20.1" customHeight="1">
      <c r="B32" s="532" t="s">
        <v>217</v>
      </c>
      <c r="C32" s="345"/>
      <c r="D32" s="345"/>
      <c r="E32" s="255">
        <v>460.93885021407327515769519888</v>
      </c>
      <c r="F32" s="243">
        <v>146.14989210517313894995788081</v>
      </c>
      <c r="G32" s="255">
        <v>259.23804094968568859908417669</v>
      </c>
      <c r="H32" s="243">
        <v>80.02359890170948954416647056</v>
      </c>
      <c r="I32" s="255">
        <v>303.71662467129577472528982301</v>
      </c>
      <c r="J32" s="243">
        <v>148.45127322218127111036946463</v>
      </c>
      <c r="K32" s="255">
        <v>259.23804094968568859908417669</v>
      </c>
      <c r="L32" s="243">
        <v>80.02359890170948954416647056</v>
      </c>
      <c r="M32" s="540"/>
      <c r="N32" s="242">
        <v>157.66930240780739112098172647</v>
      </c>
      <c r="O32" s="156"/>
      <c r="P32" s="156">
        <v>131.20444299262717836989672554</v>
      </c>
      <c r="Q32" s="156"/>
      <c r="R32" s="156">
        <v>164.76398959448680267611402948</v>
      </c>
      <c r="S32" s="156"/>
      <c r="T32" s="243">
        <v>131.20444299262717836989672554</v>
      </c>
    </row>
    <row r="33" ht="20.1" customHeight="1">
      <c r="B33" s="726" t="s">
        <v>74</v>
      </c>
      <c r="C33" s="349"/>
      <c r="D33" s="345"/>
      <c r="E33" s="256">
        <v>269.73534690517176858019609311</v>
      </c>
      <c r="F33" s="245">
        <v>141.92146286807247878388365785</v>
      </c>
      <c r="G33" s="256">
        <v>184.00204717378363074063856664</v>
      </c>
      <c r="H33" s="245"/>
      <c r="I33" s="256">
        <v>180.51294587914859275698577625</v>
      </c>
      <c r="J33" s="245"/>
      <c r="K33" s="256">
        <v>184.00204717378363074063856664</v>
      </c>
      <c r="L33" s="245"/>
      <c r="M33" s="540"/>
      <c r="N33" s="244">
        <v>268.43869433280300975355037926</v>
      </c>
      <c r="O33" s="250"/>
      <c r="P33" s="250"/>
      <c r="Q33" s="250"/>
      <c r="R33" s="250"/>
      <c r="S33" s="250"/>
      <c r="T33" s="245"/>
    </row>
    <row r="34" ht="9.95" customHeight="1">
      <c r="B34" s="4"/>
      <c r="C34" s="4"/>
      <c r="D34" s="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13"/>
      <c r="N35" s="756" t="s">
        <v>56</v>
      </c>
      <c r="O35" s="756"/>
      <c r="P35" s="756"/>
      <c r="Q35" s="756"/>
      <c r="R35" s="756"/>
      <c r="S35" s="756"/>
      <c r="T35" s="756"/>
      <c r="U35" s="123"/>
    </row>
    <row r="36" ht="24.95" customHeight="1">
      <c r="B36" s="9"/>
      <c r="C36" s="155"/>
      <c r="D36" s="252"/>
      <c r="E36" s="745" t="s">
        <v>31</v>
      </c>
      <c r="F36" s="747"/>
      <c r="G36" s="746"/>
      <c r="H36" s="745" t="s">
        <v>32</v>
      </c>
      <c r="I36" s="747"/>
      <c r="J36" s="746"/>
      <c r="K36" s="745" t="s">
        <v>36</v>
      </c>
      <c r="L36" s="746"/>
      <c r="M36" s="113"/>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13"/>
      <c r="N37" s="741"/>
      <c r="O37" s="741"/>
      <c r="P37" s="741"/>
      <c r="Q37" s="741"/>
      <c r="R37" s="741"/>
      <c r="S37" s="741"/>
      <c r="T37" s="741"/>
      <c r="U37" s="123"/>
    </row>
    <row r="38" ht="18.95" customHeight="1">
      <c r="B38" s="743" t="s">
        <v>214</v>
      </c>
      <c r="C38" s="945"/>
      <c r="D38" s="4"/>
      <c r="E38" s="769">
        <v>533</v>
      </c>
      <c r="F38" s="769"/>
      <c r="G38" s="258">
        <v>62856</v>
      </c>
      <c r="H38" s="758">
        <v>316</v>
      </c>
      <c r="I38" s="758"/>
      <c r="J38" s="258">
        <v>50739</v>
      </c>
      <c r="K38" s="761">
        <v>80.72260404734631538755250095</v>
      </c>
      <c r="L38" s="762"/>
      <c r="N38" s="692"/>
      <c r="O38" s="741"/>
      <c r="P38" s="741"/>
      <c r="Q38" s="692"/>
      <c r="R38" s="692"/>
      <c r="S38" s="741"/>
      <c r="T38" s="741"/>
      <c r="U38" s="123"/>
    </row>
    <row r="39" ht="18.95" customHeight="1">
      <c r="B39" s="532" t="s">
        <v>215</v>
      </c>
      <c r="C39" s="345"/>
      <c r="D39" s="4"/>
      <c r="E39" s="772">
        <v>95</v>
      </c>
      <c r="F39" s="772"/>
      <c r="G39" s="4">
        <v>14857</v>
      </c>
      <c r="H39" s="765">
        <v>71</v>
      </c>
      <c r="I39" s="765"/>
      <c r="J39" s="4">
        <v>12570</v>
      </c>
      <c r="K39" s="766">
        <v>84.60658275560341926364676583</v>
      </c>
      <c r="L39" s="767"/>
      <c r="N39" s="693"/>
      <c r="O39" s="740"/>
      <c r="P39" s="740"/>
      <c r="Q39" s="740"/>
      <c r="R39" s="740"/>
      <c r="S39" s="740"/>
      <c r="T39" s="740"/>
      <c r="U39" s="123"/>
    </row>
    <row r="40" ht="18.95" customHeight="1">
      <c r="B40" s="730" t="s">
        <v>216</v>
      </c>
      <c r="C40" s="941"/>
      <c r="D40" s="4"/>
      <c r="E40" s="770">
        <v>236</v>
      </c>
      <c r="F40" s="770"/>
      <c r="G40" s="120">
        <v>25171</v>
      </c>
      <c r="H40" s="771">
        <v>126</v>
      </c>
      <c r="I40" s="771"/>
      <c r="J40" s="120">
        <v>18909</v>
      </c>
      <c r="K40" s="759">
        <v>75.122164395534543720948710820</v>
      </c>
      <c r="L40" s="760"/>
      <c r="N40" s="763"/>
      <c r="O40" s="763"/>
      <c r="P40" s="763"/>
      <c r="Q40" s="763"/>
      <c r="R40" s="763"/>
      <c r="S40" s="763"/>
      <c r="T40" s="763"/>
      <c r="U40" s="123"/>
    </row>
    <row r="41" ht="18.95" customHeight="1">
      <c r="B41" s="532" t="s">
        <v>217</v>
      </c>
      <c r="C41" s="345"/>
      <c r="D41" s="4"/>
      <c r="E41" s="772">
        <v>41</v>
      </c>
      <c r="F41" s="772"/>
      <c r="G41" s="4">
        <v>7896</v>
      </c>
      <c r="H41" s="765">
        <v>41</v>
      </c>
      <c r="I41" s="765"/>
      <c r="J41" s="4">
        <v>7896</v>
      </c>
      <c r="K41" s="766">
        <v>100</v>
      </c>
      <c r="L41" s="767"/>
      <c r="N41" s="763"/>
      <c r="O41" s="763"/>
      <c r="P41" s="763"/>
      <c r="Q41" s="763"/>
      <c r="R41" s="763"/>
      <c r="S41" s="763"/>
      <c r="T41" s="763"/>
      <c r="U41" s="123"/>
    </row>
    <row r="42" ht="18.95" customHeight="1">
      <c r="B42" s="726" t="s">
        <v>74</v>
      </c>
      <c r="C42" s="349"/>
      <c r="D42" s="4"/>
      <c r="E42" s="768">
        <v>5</v>
      </c>
      <c r="F42" s="768"/>
      <c r="G42" s="260">
        <v>431</v>
      </c>
      <c r="H42" s="764">
        <v>5</v>
      </c>
      <c r="I42" s="764"/>
      <c r="J42" s="260">
        <v>431</v>
      </c>
      <c r="K42" s="774">
        <v>100</v>
      </c>
      <c r="L42" s="775"/>
      <c r="N42" s="763"/>
      <c r="O42" s="763"/>
      <c r="P42" s="763"/>
      <c r="Q42" s="763"/>
      <c r="R42" s="763"/>
      <c r="S42" s="763"/>
      <c r="T42" s="763"/>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208</v>
      </c>
      <c r="C2" s="130"/>
      <c r="W2" s="281"/>
      <c r="X2" s="281"/>
      <c r="Y2" s="281"/>
      <c r="Z2" s="281"/>
      <c r="AA2" s="281"/>
      <c r="AB2" s="281"/>
      <c r="AC2" s="281"/>
      <c r="AD2" s="281"/>
      <c r="AE2" s="281"/>
      <c r="AF2" s="281"/>
      <c r="AG2" s="281"/>
      <c r="AH2" s="281"/>
      <c r="AI2" s="281"/>
      <c r="AJ2" s="281"/>
      <c r="AK2" s="281"/>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209</v>
      </c>
      <c r="C3" s="130"/>
      <c r="O3" s="961"/>
      <c r="P3" s="961"/>
      <c r="Q3" s="961"/>
      <c r="R3" s="961"/>
      <c r="S3" s="961"/>
      <c r="T3" s="961"/>
      <c r="U3" s="961"/>
      <c r="W3" s="281"/>
      <c r="X3" s="281"/>
      <c r="Y3" s="281"/>
      <c r="Z3" s="281"/>
      <c r="AA3" s="281"/>
      <c r="AB3" s="281"/>
      <c r="AC3" s="281"/>
      <c r="AD3" s="281"/>
      <c r="AE3" s="281"/>
      <c r="AF3" s="281"/>
      <c r="AG3" s="281"/>
      <c r="AH3" s="281"/>
      <c r="AI3" s="281"/>
      <c r="AJ3" s="281"/>
      <c r="AK3" s="281"/>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210</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0" t="s">
        <v>43</v>
      </c>
      <c r="C18" s="303" t="s">
        <v>42</v>
      </c>
      <c r="D18" s="307">
        <v>93.93939393939393939393939394</v>
      </c>
      <c r="E18" s="308">
        <v>21.271393643064993633467049580</v>
      </c>
      <c r="F18" s="308">
        <v>61.078886310904872389791183290</v>
      </c>
      <c r="G18" s="308"/>
      <c r="H18" s="308">
        <v>153.80010935566491122046677604</v>
      </c>
      <c r="I18" s="309"/>
      <c r="J18" s="317">
        <v>265.35809298938615075681515343</v>
      </c>
      <c r="K18" s="308">
        <v>84.43180195096016917695955828</v>
      </c>
      <c r="L18" s="318">
        <v>325.15388666091581652727370058</v>
      </c>
      <c r="M18" s="308"/>
      <c r="N18" s="308">
        <v>81.61000187154851980441866994</v>
      </c>
      <c r="O18" s="309"/>
      <c r="P18" s="317">
        <v>249.27578432336274768064453807</v>
      </c>
      <c r="Q18" s="308">
        <v>123.66301654689670423872955084</v>
      </c>
      <c r="R18" s="318">
        <v>198.60037276910925452622923823</v>
      </c>
      <c r="S18" s="308"/>
      <c r="T18" s="308">
        <v>125.51627212360180415054681851</v>
      </c>
      <c r="U18" s="309"/>
      <c r="W18" s="281"/>
      <c r="X18" s="1014"/>
      <c r="Y18" s="1014"/>
      <c r="Z18" s="1014"/>
      <c r="AA18" s="1014"/>
      <c r="AB18" s="1014"/>
      <c r="AC18" s="1014"/>
      <c r="AD18" s="1014"/>
      <c r="AE18" s="1014"/>
      <c r="AF18" s="1014"/>
      <c r="AG18" s="281"/>
      <c r="AH18" s="281"/>
      <c r="AI18" s="281"/>
      <c r="AJ18" s="281"/>
      <c r="AK18" s="281"/>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1"/>
      <c r="C19" s="304" t="s">
        <v>58</v>
      </c>
      <c r="D19" s="310">
        <v>86.26165501165501165501165501</v>
      </c>
      <c r="E19" s="134">
        <v>71.469196112713583074618603430</v>
      </c>
      <c r="F19" s="134">
        <v>65.835754702553907325279094660</v>
      </c>
      <c r="G19" s="134"/>
      <c r="H19" s="134">
        <v>131.02554288529898285995846972</v>
      </c>
      <c r="I19" s="311"/>
      <c r="J19" s="319">
        <v>206.7928048483602351636060317</v>
      </c>
      <c r="K19" s="134">
        <v>2.7077122639671807399255854400</v>
      </c>
      <c r="L19" s="135">
        <v>250.57133895139839501944704859</v>
      </c>
      <c r="M19" s="134"/>
      <c r="N19" s="134">
        <v>82.52851491864774605394271377</v>
      </c>
      <c r="O19" s="311"/>
      <c r="P19" s="319">
        <v>178.38289590721750472082041284</v>
      </c>
      <c r="Q19" s="134">
        <v>76.112088564816346318501017860</v>
      </c>
      <c r="R19" s="135">
        <v>164.96553206694755934526984924</v>
      </c>
      <c r="S19" s="134"/>
      <c r="T19" s="134">
        <v>108.13343470733317148217963104</v>
      </c>
      <c r="U19" s="311"/>
      <c r="W19" s="281"/>
      <c r="X19" s="281"/>
      <c r="Y19" s="281"/>
      <c r="Z19" s="281"/>
      <c r="AA19" s="281"/>
      <c r="AB19" s="281"/>
      <c r="AC19" s="281"/>
      <c r="AD19" s="281"/>
      <c r="AE19" s="281"/>
      <c r="AF19" s="281"/>
      <c r="AG19" s="281"/>
      <c r="AH19" s="281"/>
      <c r="AI19" s="281"/>
      <c r="AJ19" s="281"/>
      <c r="AK19" s="281"/>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1"/>
      <c r="C20" s="305" t="s">
        <v>44</v>
      </c>
      <c r="D20" s="312">
        <v>84.38228438228438228438228438</v>
      </c>
      <c r="E20" s="159">
        <v>41.960784313628622837370308310</v>
      </c>
      <c r="F20" s="159">
        <v>54.488666785650544351240406920</v>
      </c>
      <c r="G20" s="159"/>
      <c r="H20" s="159">
        <v>154.86208299834241530933309513</v>
      </c>
      <c r="I20" s="313"/>
      <c r="J20" s="320">
        <v>208.15913613430927490062091771</v>
      </c>
      <c r="K20" s="159">
        <v>65.640839247512875858020635800</v>
      </c>
      <c r="L20" s="160">
        <v>259.50289994539987712118225728</v>
      </c>
      <c r="M20" s="159"/>
      <c r="N20" s="159">
        <v>80.21457031043064599926694665</v>
      </c>
      <c r="O20" s="313"/>
      <c r="P20" s="320">
        <v>175.64943422055934152453326856</v>
      </c>
      <c r="Q20" s="159">
        <v>135.14503453941719797908430213</v>
      </c>
      <c r="R20" s="160">
        <v>141.39967045034906743726029475</v>
      </c>
      <c r="S20" s="159"/>
      <c r="T20" s="159">
        <v>124.22195445090284022767101956</v>
      </c>
      <c r="U20" s="313"/>
      <c r="W20" s="281"/>
      <c r="X20" s="281"/>
      <c r="Y20" s="281"/>
      <c r="Z20" s="281"/>
      <c r="AA20" s="281"/>
      <c r="AB20" s="281"/>
      <c r="AC20" s="281"/>
      <c r="AD20" s="281"/>
      <c r="AE20" s="281"/>
      <c r="AF20" s="281"/>
      <c r="AG20" s="281"/>
      <c r="AH20" s="281"/>
      <c r="AI20" s="281"/>
      <c r="AJ20" s="281"/>
      <c r="AK20" s="281"/>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2"/>
      <c r="C21" s="306" t="s">
        <v>45</v>
      </c>
      <c r="D21" s="314">
        <v>86.26165501165501165501165501</v>
      </c>
      <c r="E21" s="315">
        <v>71.469196112713583074618603430</v>
      </c>
      <c r="F21" s="315">
        <v>65.835754702553907325279094660</v>
      </c>
      <c r="G21" s="315"/>
      <c r="H21" s="315">
        <v>131.02554288529898285995846972</v>
      </c>
      <c r="I21" s="316"/>
      <c r="J21" s="321">
        <v>206.7928048483602351636060317</v>
      </c>
      <c r="K21" s="315">
        <v>2.7077122639671807399255854400</v>
      </c>
      <c r="L21" s="322">
        <v>250.57133895139839501944704859</v>
      </c>
      <c r="M21" s="315"/>
      <c r="N21" s="315">
        <v>82.52851491864774605394271377</v>
      </c>
      <c r="O21" s="316"/>
      <c r="P21" s="321">
        <v>178.38289590721750472082041284</v>
      </c>
      <c r="Q21" s="315">
        <v>76.112088564816346318501017860</v>
      </c>
      <c r="R21" s="322">
        <v>164.96553206694755934526984924</v>
      </c>
      <c r="S21" s="315"/>
      <c r="T21" s="315">
        <v>108.13343470733317148217963104</v>
      </c>
      <c r="U21" s="316"/>
      <c r="W21" s="281"/>
      <c r="X21" s="281"/>
      <c r="Y21" s="281"/>
      <c r="Z21" s="281"/>
      <c r="AA21" s="281"/>
      <c r="AB21" s="281"/>
      <c r="AC21" s="281"/>
      <c r="AD21" s="281"/>
      <c r="AE21" s="281"/>
      <c r="AF21" s="281"/>
      <c r="AG21" s="281"/>
      <c r="AH21" s="281"/>
      <c r="AI21" s="281"/>
      <c r="AJ21" s="281"/>
      <c r="AK21" s="281"/>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3" t="s">
        <v>46</v>
      </c>
      <c r="C24" s="303" t="s">
        <v>42</v>
      </c>
      <c r="D24" s="307">
        <v>93.37121212121212121212121212</v>
      </c>
      <c r="E24" s="308">
        <v>37.325905292528071631970594970</v>
      </c>
      <c r="F24" s="308">
        <v>56.902552204176334106728538280</v>
      </c>
      <c r="G24" s="308"/>
      <c r="H24" s="308">
        <v>164.08967349334321811386031570</v>
      </c>
      <c r="I24" s="309"/>
      <c r="J24" s="317">
        <v>250.17041797192476918724475953</v>
      </c>
      <c r="K24" s="308">
        <v>61.776267782659422208034553630</v>
      </c>
      <c r="L24" s="318">
        <v>340.73396465350148904324592393</v>
      </c>
      <c r="M24" s="308"/>
      <c r="N24" s="308">
        <v>73.421039263381793172229376760</v>
      </c>
      <c r="O24" s="309"/>
      <c r="P24" s="317">
        <v>233.58715162908884698733270161</v>
      </c>
      <c r="Q24" s="308">
        <v>122.16072428100390663553880211</v>
      </c>
      <c r="R24" s="318">
        <v>193.88632211431842270964283723</v>
      </c>
      <c r="S24" s="308"/>
      <c r="T24" s="308">
        <v>120.47634360270251103245617229</v>
      </c>
      <c r="U24" s="309"/>
      <c r="W24" s="281"/>
      <c r="X24" s="281"/>
      <c r="Y24" s="281"/>
      <c r="Z24" s="281"/>
      <c r="AA24" s="281"/>
      <c r="AB24" s="281"/>
      <c r="AC24" s="281"/>
      <c r="AD24" s="281"/>
      <c r="AE24" s="281"/>
      <c r="AF24" s="281"/>
      <c r="AG24" s="281"/>
      <c r="AH24" s="281"/>
      <c r="AI24" s="281"/>
      <c r="AJ24" s="281"/>
      <c r="AK24" s="281"/>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4"/>
      <c r="C25" s="304" t="s">
        <v>58</v>
      </c>
      <c r="D25" s="310">
        <v>78.481934731934731934731934730</v>
      </c>
      <c r="E25" s="134">
        <v>82.74848867747492239460314265</v>
      </c>
      <c r="F25" s="134">
        <v>57.935779816513761467889908260</v>
      </c>
      <c r="G25" s="134"/>
      <c r="H25" s="134">
        <v>135.46367198386200761497673611</v>
      </c>
      <c r="I25" s="311"/>
      <c r="J25" s="319">
        <v>179.6849718043456713470423573</v>
      </c>
      <c r="K25" s="134">
        <v>2.8408183725154362549814479700</v>
      </c>
      <c r="L25" s="135">
        <v>224.83418947064652645820497733</v>
      </c>
      <c r="M25" s="134"/>
      <c r="N25" s="134">
        <v>79.91888254513206025982357867</v>
      </c>
      <c r="O25" s="311"/>
      <c r="P25" s="319">
        <v>141.02024229458189562157884307</v>
      </c>
      <c r="Q25" s="134">
        <v>87.94004131955088876171222913</v>
      </c>
      <c r="R25" s="135">
        <v>130.25944096395713895262059008</v>
      </c>
      <c r="S25" s="134"/>
      <c r="T25" s="134">
        <v>108.26105290410564289788066208</v>
      </c>
      <c r="U25" s="311"/>
      <c r="W25" s="281"/>
      <c r="X25" s="281"/>
      <c r="Y25" s="281"/>
      <c r="Z25" s="281"/>
      <c r="AA25" s="281"/>
      <c r="AB25" s="281"/>
      <c r="AC25" s="281"/>
      <c r="AD25" s="281"/>
      <c r="AE25" s="281"/>
      <c r="AF25" s="281"/>
      <c r="AG25" s="281"/>
      <c r="AH25" s="281"/>
      <c r="AI25" s="281"/>
      <c r="AJ25" s="281"/>
      <c r="AK25" s="281"/>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4"/>
      <c r="C26" s="305" t="s">
        <v>44</v>
      </c>
      <c r="D26" s="312">
        <v>76.340326340326340326340326340</v>
      </c>
      <c r="E26" s="159">
        <v>66.032953105272207684560073500</v>
      </c>
      <c r="F26" s="159">
        <v>46.600035695163305372122077460</v>
      </c>
      <c r="G26" s="159"/>
      <c r="H26" s="159">
        <v>163.82031730557199726100530389</v>
      </c>
      <c r="I26" s="313"/>
      <c r="J26" s="320">
        <v>202.85015062032929752308418719</v>
      </c>
      <c r="K26" s="159">
        <v>48.694703824318038251341035710</v>
      </c>
      <c r="L26" s="160">
        <v>274.3072096919027619990940016</v>
      </c>
      <c r="M26" s="159"/>
      <c r="N26" s="159">
        <v>73.949988718184684341980215940</v>
      </c>
      <c r="O26" s="313"/>
      <c r="P26" s="320">
        <v>154.85646696540290195526823148</v>
      </c>
      <c r="Q26" s="159">
        <v>146.88220787036938462567907495</v>
      </c>
      <c r="R26" s="160">
        <v>127.82725763083314502581374945</v>
      </c>
      <c r="S26" s="159"/>
      <c r="T26" s="159">
        <v>121.14510616556484403492638872</v>
      </c>
      <c r="U26" s="313"/>
      <c r="W26" s="281"/>
      <c r="X26" s="281"/>
      <c r="Y26" s="281"/>
      <c r="Z26" s="281"/>
      <c r="AA26" s="281"/>
      <c r="AB26" s="281"/>
      <c r="AC26" s="281"/>
      <c r="AD26" s="281"/>
      <c r="AE26" s="281"/>
      <c r="AF26" s="281"/>
      <c r="AG26" s="281"/>
      <c r="AH26" s="281"/>
      <c r="AI26" s="281"/>
      <c r="AJ26" s="281"/>
      <c r="AK26" s="281"/>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5"/>
      <c r="C27" s="306" t="s">
        <v>45</v>
      </c>
      <c r="D27" s="314">
        <v>78.481934731934731934731934730</v>
      </c>
      <c r="E27" s="315">
        <v>82.74848867747492239460314265</v>
      </c>
      <c r="F27" s="315">
        <v>57.935779816513761467889908260</v>
      </c>
      <c r="G27" s="315"/>
      <c r="H27" s="315">
        <v>135.46367198386200761497673611</v>
      </c>
      <c r="I27" s="316"/>
      <c r="J27" s="321">
        <v>179.6849718043456713470423573</v>
      </c>
      <c r="K27" s="315">
        <v>2.8408183725154362549814479700</v>
      </c>
      <c r="L27" s="322">
        <v>224.83418947064652645820497733</v>
      </c>
      <c r="M27" s="315"/>
      <c r="N27" s="315">
        <v>79.91888254513206025982357867</v>
      </c>
      <c r="O27" s="316"/>
      <c r="P27" s="321">
        <v>141.02024229458189562157884307</v>
      </c>
      <c r="Q27" s="315">
        <v>87.94004131955088876171222913</v>
      </c>
      <c r="R27" s="322">
        <v>130.25944096395713895262059008</v>
      </c>
      <c r="S27" s="315"/>
      <c r="T27" s="315">
        <v>108.26105290410564289788066208</v>
      </c>
      <c r="U27" s="316"/>
      <c r="W27" s="281"/>
      <c r="X27" s="281"/>
      <c r="Y27" s="281"/>
      <c r="Z27" s="281"/>
      <c r="AA27" s="281"/>
      <c r="AB27" s="281"/>
      <c r="AC27" s="281"/>
      <c r="AD27" s="281"/>
      <c r="AE27" s="281"/>
      <c r="AF27" s="281"/>
      <c r="AG27" s="281"/>
      <c r="AH27" s="281"/>
      <c r="AI27" s="281"/>
      <c r="AJ27" s="281"/>
      <c r="AK27" s="281"/>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3" t="s">
        <v>47</v>
      </c>
      <c r="C30" s="303" t="s">
        <v>42</v>
      </c>
      <c r="D30" s="307">
        <v>93.93939393939393939393939394</v>
      </c>
      <c r="E30" s="308">
        <v>50.485436893306155151286712920</v>
      </c>
      <c r="F30" s="308">
        <v>55.800464037122969837587006960</v>
      </c>
      <c r="G30" s="308"/>
      <c r="H30" s="308">
        <v>168.34876834876834876834876835</v>
      </c>
      <c r="I30" s="308"/>
      <c r="J30" s="317">
        <v>250.96412033021636936484516784</v>
      </c>
      <c r="K30" s="308">
        <v>64.936796665533106364406439260</v>
      </c>
      <c r="L30" s="318">
        <v>364.95627503304672952916455397</v>
      </c>
      <c r="M30" s="308"/>
      <c r="N30" s="308">
        <v>68.765530968741833617276799570</v>
      </c>
      <c r="O30" s="309"/>
      <c r="P30" s="317">
        <v>235.75417364353658940333940009</v>
      </c>
      <c r="Q30" s="308">
        <v>148.20585905961812220494048667</v>
      </c>
      <c r="R30" s="318">
        <v>203.64729500103883631499785436</v>
      </c>
      <c r="S30" s="308"/>
      <c r="T30" s="308">
        <v>115.76592443436774887676372696</v>
      </c>
      <c r="U30" s="309"/>
      <c r="W30" s="281"/>
      <c r="X30" s="281"/>
      <c r="Y30" s="281"/>
      <c r="Z30" s="281"/>
      <c r="AA30" s="281"/>
      <c r="AB30" s="281"/>
      <c r="AC30" s="281"/>
      <c r="AD30" s="281"/>
      <c r="AE30" s="281"/>
      <c r="AF30" s="281"/>
      <c r="AG30" s="281"/>
      <c r="AH30" s="281"/>
      <c r="AI30" s="281"/>
      <c r="AJ30" s="281"/>
      <c r="AK30" s="281"/>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4"/>
      <c r="C31" s="304" t="s">
        <v>58</v>
      </c>
      <c r="D31" s="310">
        <v>75.364219114219114219114219110</v>
      </c>
      <c r="E31" s="134">
        <v>96.19610761138876031804067831</v>
      </c>
      <c r="F31" s="134">
        <v>54.962532497323749808839272060</v>
      </c>
      <c r="G31" s="134"/>
      <c r="H31" s="134">
        <v>137.11926232272642957117080656</v>
      </c>
      <c r="I31" s="134"/>
      <c r="J31" s="319">
        <v>176.30560978151168104068818656</v>
      </c>
      <c r="K31" s="134">
        <v>-0.4438029903658252318608670200</v>
      </c>
      <c r="L31" s="135">
        <v>229.26705262214195280675176117</v>
      </c>
      <c r="M31" s="134"/>
      <c r="N31" s="134">
        <v>76.899671263311993273741941560</v>
      </c>
      <c r="O31" s="311"/>
      <c r="P31" s="319">
        <v>132.87134606639859062113636205</v>
      </c>
      <c r="Q31" s="134">
        <v>95.32538341874407036317322751</v>
      </c>
      <c r="R31" s="135">
        <v>126.01097830310111307347695819</v>
      </c>
      <c r="S31" s="134"/>
      <c r="T31" s="134">
        <v>105.44426196485504535449904568</v>
      </c>
      <c r="U31" s="311"/>
      <c r="W31" s="281"/>
      <c r="X31" s="281"/>
      <c r="Y31" s="281"/>
      <c r="Z31" s="281"/>
      <c r="AA31" s="281"/>
      <c r="AB31" s="281"/>
      <c r="AC31" s="281"/>
      <c r="AD31" s="281"/>
      <c r="AE31" s="281"/>
      <c r="AF31" s="281"/>
      <c r="AG31" s="281"/>
      <c r="AH31" s="281"/>
      <c r="AI31" s="281"/>
      <c r="AJ31" s="281"/>
      <c r="AK31" s="281"/>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4"/>
      <c r="C32" s="305" t="s">
        <v>44</v>
      </c>
      <c r="D32" s="312">
        <v>75.233100233100233100233100230</v>
      </c>
      <c r="E32" s="159">
        <v>71.904127829437895322880720750</v>
      </c>
      <c r="F32" s="159">
        <v>46.368017133678386578618597180</v>
      </c>
      <c r="G32" s="159"/>
      <c r="H32" s="159">
        <v>162.25214034105489070847038514</v>
      </c>
      <c r="I32" s="159"/>
      <c r="J32" s="320">
        <v>210.91465692161253575152963149</v>
      </c>
      <c r="K32" s="159">
        <v>61.671926193110530410169998760</v>
      </c>
      <c r="L32" s="160">
        <v>301.31492860002864501747084922</v>
      </c>
      <c r="M32" s="159"/>
      <c r="N32" s="159">
        <v>69.998077394162170559653716130</v>
      </c>
      <c r="O32" s="313"/>
      <c r="P32" s="320">
        <v>158.67763524813623756131978686</v>
      </c>
      <c r="Q32" s="159">
        <v>177.92071466764011373537030890</v>
      </c>
      <c r="R32" s="160">
        <v>139.71375771959207919960543749</v>
      </c>
      <c r="S32" s="159"/>
      <c r="T32" s="159">
        <v>113.57337876961622315817843675</v>
      </c>
      <c r="U32" s="313"/>
      <c r="W32" s="281"/>
      <c r="X32" s="281"/>
      <c r="Y32" s="281"/>
      <c r="Z32" s="281"/>
      <c r="AA32" s="281"/>
      <c r="AB32" s="281"/>
      <c r="AC32" s="281"/>
      <c r="AD32" s="281"/>
      <c r="AE32" s="281"/>
      <c r="AF32" s="281"/>
      <c r="AG32" s="281"/>
      <c r="AH32" s="281"/>
      <c r="AI32" s="281"/>
      <c r="AJ32" s="281"/>
      <c r="AK32" s="281"/>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5"/>
      <c r="C33" s="306" t="s">
        <v>45</v>
      </c>
      <c r="D33" s="314">
        <v>75.364219114219114219114219110</v>
      </c>
      <c r="E33" s="315">
        <v>96.19610761138876031804067831</v>
      </c>
      <c r="F33" s="315">
        <v>54.962532497323749808839272060</v>
      </c>
      <c r="G33" s="315"/>
      <c r="H33" s="315">
        <v>137.11926232272642957117080656</v>
      </c>
      <c r="I33" s="315"/>
      <c r="J33" s="321">
        <v>176.30560978151168104068818656</v>
      </c>
      <c r="K33" s="315">
        <v>-0.4438029903658252318608670200</v>
      </c>
      <c r="L33" s="322">
        <v>229.26705262214195280675176117</v>
      </c>
      <c r="M33" s="315"/>
      <c r="N33" s="315">
        <v>76.899671263311993273741941560</v>
      </c>
      <c r="O33" s="316"/>
      <c r="P33" s="321">
        <v>132.87134606639859062113636205</v>
      </c>
      <c r="Q33" s="315">
        <v>95.32538341874407036317322751</v>
      </c>
      <c r="R33" s="322">
        <v>126.01097830310111307347695819</v>
      </c>
      <c r="S33" s="315"/>
      <c r="T33" s="315">
        <v>105.44426196485504535449904568</v>
      </c>
      <c r="U33" s="316"/>
      <c r="W33" s="281"/>
      <c r="X33" s="281"/>
      <c r="Y33" s="281"/>
      <c r="Z33" s="281"/>
      <c r="AA33" s="281"/>
      <c r="AB33" s="281"/>
      <c r="AC33" s="281"/>
      <c r="AD33" s="281"/>
      <c r="AE33" s="281"/>
      <c r="AF33" s="281"/>
      <c r="AG33" s="281"/>
      <c r="AH33" s="281"/>
      <c r="AI33" s="281"/>
      <c r="AJ33" s="281"/>
      <c r="AK33" s="281"/>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3" t="s">
        <v>48</v>
      </c>
      <c r="C36" s="303" t="s">
        <v>42</v>
      </c>
      <c r="D36" s="307">
        <v>93.93939393939393939393939394</v>
      </c>
      <c r="E36" s="308">
        <v>52.709359605790967992428933230</v>
      </c>
      <c r="F36" s="308">
        <v>63.805104408352668213457076570</v>
      </c>
      <c r="G36" s="308"/>
      <c r="H36" s="308">
        <v>147.22865013774104683195592286</v>
      </c>
      <c r="I36" s="308"/>
      <c r="J36" s="317">
        <v>317.24703239793731642476618024</v>
      </c>
      <c r="K36" s="308">
        <v>87.49370657912444341152017173</v>
      </c>
      <c r="L36" s="318">
        <v>426.8086283983668219610087357</v>
      </c>
      <c r="M36" s="308"/>
      <c r="N36" s="308">
        <v>74.330041917950892659540983960</v>
      </c>
      <c r="O36" s="309"/>
      <c r="P36" s="317">
        <v>298.01993952533505482326519962</v>
      </c>
      <c r="Q36" s="308">
        <v>186.32043861826901461657203690</v>
      </c>
      <c r="R36" s="318">
        <v>272.32569097343590728370626988</v>
      </c>
      <c r="S36" s="308"/>
      <c r="T36" s="308">
        <v>109.43511736261618477400849440</v>
      </c>
      <c r="U36" s="309"/>
      <c r="W36" s="281"/>
      <c r="X36" s="281"/>
      <c r="Y36" s="281"/>
      <c r="Z36" s="281"/>
      <c r="AA36" s="281"/>
      <c r="AB36" s="281"/>
      <c r="AC36" s="281"/>
      <c r="AD36" s="281"/>
      <c r="AE36" s="281"/>
      <c r="AF36" s="281"/>
      <c r="AG36" s="281"/>
      <c r="AH36" s="281"/>
      <c r="AI36" s="281"/>
      <c r="AJ36" s="281"/>
      <c r="AK36" s="281"/>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4"/>
      <c r="C37" s="304" t="s">
        <v>58</v>
      </c>
      <c r="D37" s="310">
        <v>78.307109557109557109557109560</v>
      </c>
      <c r="E37" s="134">
        <v>88.47688496196044025030020746</v>
      </c>
      <c r="F37" s="134">
        <v>56.976092164958964163735535500</v>
      </c>
      <c r="G37" s="134"/>
      <c r="H37" s="134">
        <v>137.43854059066101653558037205</v>
      </c>
      <c r="I37" s="134"/>
      <c r="J37" s="319">
        <v>182.77982756792696722781329239</v>
      </c>
      <c r="K37" s="134">
        <v>-10.428316966580317807447941060</v>
      </c>
      <c r="L37" s="135">
        <v>235.74225661283715235895839737</v>
      </c>
      <c r="M37" s="134"/>
      <c r="N37" s="134">
        <v>77.533756651913647948334391310</v>
      </c>
      <c r="O37" s="311"/>
      <c r="P37" s="319">
        <v>143.12959982191250711676813033</v>
      </c>
      <c r="Q37" s="134">
        <v>68.821917989169372686190388520</v>
      </c>
      <c r="R37" s="135">
        <v>134.31672539948416434297181054</v>
      </c>
      <c r="S37" s="134"/>
      <c r="T37" s="134">
        <v>106.56126360750467499934706048</v>
      </c>
      <c r="U37" s="311"/>
      <c r="W37" s="281"/>
      <c r="X37" s="281"/>
      <c r="Y37" s="281"/>
      <c r="Z37" s="281"/>
      <c r="AA37" s="281"/>
      <c r="AB37" s="281"/>
      <c r="AC37" s="281"/>
      <c r="AD37" s="281"/>
      <c r="AE37" s="281"/>
      <c r="AF37" s="281"/>
      <c r="AG37" s="281"/>
      <c r="AH37" s="281"/>
      <c r="AI37" s="281"/>
      <c r="AJ37" s="281"/>
      <c r="AK37" s="281"/>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4"/>
      <c r="C38" s="305" t="s">
        <v>44</v>
      </c>
      <c r="D38" s="312">
        <v>80.06993006993006993006993007</v>
      </c>
      <c r="E38" s="159">
        <v>76.153846154022307692307868460</v>
      </c>
      <c r="F38" s="159">
        <v>50.990540781724076387649473500</v>
      </c>
      <c r="G38" s="159"/>
      <c r="H38" s="159">
        <v>157.02898781302701498711299200</v>
      </c>
      <c r="I38" s="159"/>
      <c r="J38" s="320">
        <v>227.00241609621642866538464849</v>
      </c>
      <c r="K38" s="159">
        <v>60.488676121320261219450283140</v>
      </c>
      <c r="L38" s="160">
        <v>321.23624628433524259963666986</v>
      </c>
      <c r="M38" s="159"/>
      <c r="N38" s="159">
        <v>70.665256091708343934317797520</v>
      </c>
      <c r="O38" s="313"/>
      <c r="P38" s="320">
        <v>181.76067582529217539990588988</v>
      </c>
      <c r="Q38" s="159">
        <v>182.70697562905494742635806559</v>
      </c>
      <c r="R38" s="160">
        <v>163.80009916729355490043940136</v>
      </c>
      <c r="S38" s="159"/>
      <c r="T38" s="159">
        <v>110.96493637629302570995055680</v>
      </c>
      <c r="U38" s="313"/>
      <c r="W38" s="281"/>
      <c r="X38" s="281"/>
      <c r="Y38" s="281"/>
      <c r="Z38" s="281"/>
      <c r="AA38" s="281"/>
      <c r="AB38" s="281"/>
      <c r="AC38" s="281"/>
      <c r="AD38" s="281"/>
      <c r="AE38" s="281"/>
      <c r="AF38" s="281"/>
      <c r="AG38" s="281"/>
      <c r="AH38" s="281"/>
      <c r="AI38" s="281"/>
      <c r="AJ38" s="281"/>
      <c r="AK38" s="281"/>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5"/>
      <c r="C39" s="306" t="s">
        <v>45</v>
      </c>
      <c r="D39" s="314">
        <v>78.307109557109557109557109560</v>
      </c>
      <c r="E39" s="315">
        <v>88.47688496196044025030020746</v>
      </c>
      <c r="F39" s="315">
        <v>56.976092164958964163735535500</v>
      </c>
      <c r="G39" s="315"/>
      <c r="H39" s="315">
        <v>137.43854059066101653558037205</v>
      </c>
      <c r="I39" s="315"/>
      <c r="J39" s="321">
        <v>182.77982756792696722781329239</v>
      </c>
      <c r="K39" s="315">
        <v>-10.428316966580317807447941060</v>
      </c>
      <c r="L39" s="322">
        <v>235.74225661283715235895839737</v>
      </c>
      <c r="M39" s="315"/>
      <c r="N39" s="315">
        <v>77.533756651913647948334391310</v>
      </c>
      <c r="O39" s="316"/>
      <c r="P39" s="321">
        <v>143.12959982191250711676813033</v>
      </c>
      <c r="Q39" s="315">
        <v>68.821917989169372686190388520</v>
      </c>
      <c r="R39" s="322">
        <v>134.31672539948416434297181054</v>
      </c>
      <c r="S39" s="315"/>
      <c r="T39" s="315">
        <v>106.56126360750467499934706048</v>
      </c>
      <c r="U39" s="316"/>
      <c r="W39" s="281"/>
      <c r="X39" s="281"/>
      <c r="Y39" s="281"/>
      <c r="Z39" s="281"/>
      <c r="AA39" s="281"/>
      <c r="AB39" s="281"/>
      <c r="AC39" s="281"/>
      <c r="AD39" s="281"/>
      <c r="AE39" s="281"/>
      <c r="AF39" s="281"/>
      <c r="AG39" s="281"/>
      <c r="AH39" s="281"/>
      <c r="AI39" s="281"/>
      <c r="AJ39" s="281"/>
      <c r="AK39" s="281"/>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3" t="s">
        <v>49</v>
      </c>
      <c r="C42" s="303" t="s">
        <v>42</v>
      </c>
      <c r="D42" s="307">
        <v>94.69696969696969696969696970</v>
      </c>
      <c r="E42" s="308">
        <v>34.408602150624349635796101740</v>
      </c>
      <c r="F42" s="308">
        <v>64.965197215777262180974477960</v>
      </c>
      <c r="G42" s="308"/>
      <c r="H42" s="308">
        <v>145.76569264069264069264069264</v>
      </c>
      <c r="I42" s="308"/>
      <c r="J42" s="317">
        <v>370.82650393447529602970105878</v>
      </c>
      <c r="K42" s="308">
        <v>79.42477626132134556407987503</v>
      </c>
      <c r="L42" s="318">
        <v>481.27467368027707532644448336</v>
      </c>
      <c r="M42" s="308"/>
      <c r="N42" s="308">
        <v>77.050907561536203164715529030</v>
      </c>
      <c r="O42" s="309"/>
      <c r="P42" s="317">
        <v>351.16146205916221214933812385</v>
      </c>
      <c r="Q42" s="308">
        <v>141.16233368457922919713715059</v>
      </c>
      <c r="R42" s="318">
        <v>312.6610409059804665693838871</v>
      </c>
      <c r="S42" s="308"/>
      <c r="T42" s="308">
        <v>112.31378909301306670722535515</v>
      </c>
      <c r="U42" s="309"/>
      <c r="W42" s="281"/>
      <c r="X42" s="281"/>
      <c r="Y42" s="281"/>
      <c r="Z42" s="281"/>
      <c r="AA42" s="281"/>
      <c r="AB42" s="281"/>
      <c r="AC42" s="281"/>
      <c r="AD42" s="281"/>
      <c r="AE42" s="281"/>
      <c r="AF42" s="281"/>
      <c r="AG42" s="281"/>
      <c r="AH42" s="281"/>
      <c r="AI42" s="281"/>
      <c r="AJ42" s="281"/>
      <c r="AK42" s="281"/>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4"/>
      <c r="C43" s="304" t="s">
        <v>58</v>
      </c>
      <c r="D43" s="310">
        <v>84.74650349650349650349650350</v>
      </c>
      <c r="E43" s="134">
        <v>69.908431029914472983763791720</v>
      </c>
      <c r="F43" s="134">
        <v>64.979354641382474384462456030</v>
      </c>
      <c r="G43" s="134"/>
      <c r="H43" s="134">
        <v>130.42066047626179421896061106</v>
      </c>
      <c r="I43" s="134"/>
      <c r="J43" s="319">
        <v>213.03706736253349644723366471</v>
      </c>
      <c r="K43" s="134">
        <v>-1.0869314655131626857357156200</v>
      </c>
      <c r="L43" s="135">
        <v>275.89461091469928998773336895</v>
      </c>
      <c r="M43" s="134"/>
      <c r="N43" s="134">
        <v>77.216828069323905365921827160</v>
      </c>
      <c r="O43" s="311"/>
      <c r="P43" s="319">
        <v>180.54146574123795874614776043</v>
      </c>
      <c r="Q43" s="134">
        <v>68.061642830379092273227185220</v>
      </c>
      <c r="R43" s="135">
        <v>179.27453766272477185469935536</v>
      </c>
      <c r="S43" s="134"/>
      <c r="T43" s="134">
        <v>100.70669716683174571794269600</v>
      </c>
      <c r="U43" s="311"/>
      <c r="W43" s="281"/>
      <c r="X43" s="281"/>
      <c r="Y43" s="281"/>
      <c r="Z43" s="281"/>
      <c r="AA43" s="281"/>
      <c r="AB43" s="281"/>
      <c r="AC43" s="281"/>
      <c r="AD43" s="281"/>
      <c r="AE43" s="281"/>
      <c r="AF43" s="281"/>
      <c r="AG43" s="281"/>
      <c r="AH43" s="281"/>
      <c r="AI43" s="281"/>
      <c r="AJ43" s="281"/>
      <c r="AK43" s="281"/>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4"/>
      <c r="C44" s="305" t="s">
        <v>44</v>
      </c>
      <c r="D44" s="312">
        <v>87.52913752913752913752913753</v>
      </c>
      <c r="E44" s="159">
        <v>50.608795301488979424599424200</v>
      </c>
      <c r="F44" s="159">
        <v>57.701231483134035338211672320</v>
      </c>
      <c r="G44" s="159"/>
      <c r="H44" s="159">
        <v>151.69370787991264329031109111</v>
      </c>
      <c r="I44" s="159"/>
      <c r="J44" s="320">
        <v>259.58772140633958360669828132</v>
      </c>
      <c r="K44" s="159">
        <v>72.931626985701979712349220720</v>
      </c>
      <c r="L44" s="160">
        <v>347.53349676212406628494184624</v>
      </c>
      <c r="M44" s="159"/>
      <c r="N44" s="159">
        <v>74.694302513239278670745330920</v>
      </c>
      <c r="O44" s="313"/>
      <c r="P44" s="320">
        <v>227.21489367850935581425455626</v>
      </c>
      <c r="Q44" s="159">
        <v>160.45024009851960307844774860</v>
      </c>
      <c r="R44" s="160">
        <v>200.53110744814333505251061733</v>
      </c>
      <c r="S44" s="159"/>
      <c r="T44" s="159">
        <v>113.30655705737143922721892349</v>
      </c>
      <c r="U44" s="313"/>
      <c r="W44" s="281"/>
      <c r="X44" s="281"/>
      <c r="Y44" s="281"/>
      <c r="Z44" s="281"/>
      <c r="AA44" s="281"/>
      <c r="AB44" s="281"/>
      <c r="AC44" s="281"/>
      <c r="AD44" s="281"/>
      <c r="AE44" s="281"/>
      <c r="AF44" s="281"/>
      <c r="AG44" s="281"/>
      <c r="AH44" s="281"/>
      <c r="AI44" s="281"/>
      <c r="AJ44" s="281"/>
      <c r="AK44" s="281"/>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5"/>
      <c r="C45" s="306" t="s">
        <v>45</v>
      </c>
      <c r="D45" s="314">
        <v>84.74650349650349650349650350</v>
      </c>
      <c r="E45" s="315">
        <v>69.908431029914472983763791720</v>
      </c>
      <c r="F45" s="315">
        <v>64.979354641382474384462456030</v>
      </c>
      <c r="G45" s="315"/>
      <c r="H45" s="315">
        <v>130.42066047626179421896061106</v>
      </c>
      <c r="I45" s="315"/>
      <c r="J45" s="321">
        <v>213.03706736253349644723366471</v>
      </c>
      <c r="K45" s="315">
        <v>-1.0869314655131626857357156200</v>
      </c>
      <c r="L45" s="322">
        <v>275.89461091469928998773336895</v>
      </c>
      <c r="M45" s="315"/>
      <c r="N45" s="315">
        <v>77.216828069323905365921827160</v>
      </c>
      <c r="O45" s="316"/>
      <c r="P45" s="321">
        <v>180.54146574123795874614776043</v>
      </c>
      <c r="Q45" s="315">
        <v>68.061642830379092273227185220</v>
      </c>
      <c r="R45" s="322">
        <v>179.27453766272477185469935536</v>
      </c>
      <c r="S45" s="315"/>
      <c r="T45" s="315">
        <v>100.70669716683174571794269600</v>
      </c>
      <c r="U45" s="316"/>
      <c r="W45" s="281"/>
      <c r="X45" s="281"/>
      <c r="Y45" s="281"/>
      <c r="Z45" s="281"/>
      <c r="AA45" s="281"/>
      <c r="AB45" s="281"/>
      <c r="AC45" s="281"/>
      <c r="AD45" s="281"/>
      <c r="AE45" s="281"/>
      <c r="AF45" s="281"/>
      <c r="AG45" s="281"/>
      <c r="AH45" s="281"/>
      <c r="AI45" s="281"/>
      <c r="AJ45" s="281"/>
      <c r="AK45" s="281"/>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3" t="s">
        <v>50</v>
      </c>
      <c r="C48" s="303" t="s">
        <v>42</v>
      </c>
      <c r="D48" s="307">
        <v>91.66666666666666666666666667</v>
      </c>
      <c r="E48" s="308">
        <v>14.691943128022964443745680440</v>
      </c>
      <c r="F48" s="308">
        <v>68.213457076566125290023201860</v>
      </c>
      <c r="G48" s="308"/>
      <c r="H48" s="308">
        <v>134.38208616780045351473922902</v>
      </c>
      <c r="I48" s="308"/>
      <c r="J48" s="317">
        <v>479.045992014842685577354386</v>
      </c>
      <c r="K48" s="308">
        <v>194.96006961622464342950952771</v>
      </c>
      <c r="L48" s="318">
        <v>555.44255381594407252108619075</v>
      </c>
      <c r="M48" s="308"/>
      <c r="N48" s="308">
        <v>86.24582123277202699869821567</v>
      </c>
      <c r="O48" s="309"/>
      <c r="P48" s="317">
        <v>439.1254926802724617792415205</v>
      </c>
      <c r="Q48" s="308">
        <v>238.29543529451178177234666840</v>
      </c>
      <c r="R48" s="318">
        <v>378.8865680322217107220402322</v>
      </c>
      <c r="S48" s="308"/>
      <c r="T48" s="308">
        <v>115.89893380515084467143657611</v>
      </c>
      <c r="U48" s="309"/>
      <c r="W48" s="281"/>
      <c r="X48" s="281"/>
      <c r="Y48" s="281"/>
      <c r="Z48" s="281"/>
      <c r="AA48" s="281"/>
      <c r="AB48" s="281"/>
      <c r="AC48" s="281"/>
      <c r="AD48" s="281"/>
      <c r="AE48" s="281"/>
      <c r="AF48" s="281"/>
      <c r="AG48" s="281"/>
      <c r="AH48" s="281"/>
      <c r="AI48" s="281"/>
      <c r="AJ48" s="281"/>
      <c r="AK48" s="281"/>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4"/>
      <c r="C49" s="304" t="s">
        <v>58</v>
      </c>
      <c r="D49" s="310">
        <v>88.65065751858204688393367639</v>
      </c>
      <c r="E49" s="134">
        <v>53.491827789664231360751149160</v>
      </c>
      <c r="F49" s="134">
        <v>72.286512370311252992817238630</v>
      </c>
      <c r="G49" s="134"/>
      <c r="H49" s="134">
        <v>122.63789552391201186372497545</v>
      </c>
      <c r="I49" s="134"/>
      <c r="J49" s="319">
        <v>323.82209887415963184582207588</v>
      </c>
      <c r="K49" s="134">
        <v>41.910835523902638812322788460</v>
      </c>
      <c r="L49" s="135">
        <v>373.99273156768195663134845673</v>
      </c>
      <c r="M49" s="134"/>
      <c r="N49" s="134">
        <v>86.58513161921092592520391194</v>
      </c>
      <c r="O49" s="311"/>
      <c r="P49" s="319">
        <v>287.07041984241538546423506498</v>
      </c>
      <c r="Q49" s="134">
        <v>117.82153527707458798350403672</v>
      </c>
      <c r="R49" s="135">
        <v>270.34630216873737607250108914</v>
      </c>
      <c r="S49" s="134"/>
      <c r="T49" s="134">
        <v>106.18618325440960020574158323</v>
      </c>
      <c r="U49" s="311"/>
      <c r="W49" s="281"/>
      <c r="X49" s="281"/>
      <c r="Y49" s="281"/>
      <c r="Z49" s="281"/>
      <c r="AA49" s="281"/>
      <c r="AB49" s="281"/>
      <c r="AC49" s="281"/>
      <c r="AD49" s="281"/>
      <c r="AE49" s="281"/>
      <c r="AF49" s="281"/>
      <c r="AG49" s="281"/>
      <c r="AH49" s="281"/>
      <c r="AI49" s="281"/>
      <c r="AJ49" s="281"/>
      <c r="AK49" s="281"/>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4"/>
      <c r="C50" s="305" t="s">
        <v>44</v>
      </c>
      <c r="D50" s="312">
        <v>89.93506493506493506493506494</v>
      </c>
      <c r="E50" s="159">
        <v>19.080687830649239724181866320</v>
      </c>
      <c r="F50" s="159">
        <v>63.158766987073251574411667220</v>
      </c>
      <c r="G50" s="159"/>
      <c r="H50" s="159">
        <v>142.39521957968559910307483124</v>
      </c>
      <c r="I50" s="159"/>
      <c r="J50" s="320">
        <v>351.59664150643871123642390477</v>
      </c>
      <c r="K50" s="159">
        <v>142.55920462620997415762107966</v>
      </c>
      <c r="L50" s="160">
        <v>406.07923263984398899764046476</v>
      </c>
      <c r="M50" s="159"/>
      <c r="N50" s="159">
        <v>86.58326091210715272731866213</v>
      </c>
      <c r="O50" s="313"/>
      <c r="P50" s="320">
        <v>316.20866784832312666392669358</v>
      </c>
      <c r="Q50" s="159">
        <v>188.84116926568217336340893523</v>
      </c>
      <c r="R50" s="160">
        <v>256.47463632589417336261316062</v>
      </c>
      <c r="S50" s="159"/>
      <c r="T50" s="159">
        <v>123.29042449504707238205664363</v>
      </c>
      <c r="U50" s="313"/>
      <c r="W50" s="281"/>
      <c r="X50" s="281"/>
      <c r="Y50" s="281"/>
      <c r="Z50" s="281"/>
      <c r="AA50" s="281"/>
      <c r="AB50" s="281"/>
      <c r="AC50" s="281"/>
      <c r="AD50" s="281"/>
      <c r="AE50" s="281"/>
      <c r="AF50" s="281"/>
      <c r="AG50" s="281"/>
      <c r="AH50" s="281"/>
      <c r="AI50" s="281"/>
      <c r="AJ50" s="281"/>
      <c r="AK50" s="281"/>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5"/>
      <c r="C51" s="306" t="s">
        <v>45</v>
      </c>
      <c r="D51" s="314">
        <v>88.65065751858204688393367639</v>
      </c>
      <c r="E51" s="315">
        <v>53.491827789664231360751149160</v>
      </c>
      <c r="F51" s="315">
        <v>72.286512370311252992817238630</v>
      </c>
      <c r="G51" s="315"/>
      <c r="H51" s="315">
        <v>122.63789552391201186372497545</v>
      </c>
      <c r="I51" s="315"/>
      <c r="J51" s="321">
        <v>323.82209887415963184582207588</v>
      </c>
      <c r="K51" s="315">
        <v>41.910835523902638812322788460</v>
      </c>
      <c r="L51" s="322">
        <v>373.99273156768195663134845673</v>
      </c>
      <c r="M51" s="315"/>
      <c r="N51" s="315">
        <v>86.58513161921092592520391194</v>
      </c>
      <c r="O51" s="316"/>
      <c r="P51" s="321">
        <v>287.07041984241538546423506498</v>
      </c>
      <c r="Q51" s="315">
        <v>117.82153527707458798350403672</v>
      </c>
      <c r="R51" s="322">
        <v>270.34630216873737607250108914</v>
      </c>
      <c r="S51" s="315"/>
      <c r="T51" s="315">
        <v>106.18618325440960020574158323</v>
      </c>
      <c r="U51" s="316"/>
      <c r="W51" s="281"/>
      <c r="X51" s="281"/>
      <c r="Y51" s="281"/>
      <c r="Z51" s="281"/>
      <c r="AA51" s="281"/>
      <c r="AB51" s="281"/>
      <c r="AC51" s="281"/>
      <c r="AD51" s="281"/>
      <c r="AE51" s="281"/>
      <c r="AF51" s="281"/>
      <c r="AG51" s="281"/>
      <c r="AH51" s="281"/>
      <c r="AI51" s="281"/>
      <c r="AJ51" s="281"/>
      <c r="AK51" s="281"/>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3" t="s">
        <v>51</v>
      </c>
      <c r="C54" s="303" t="s">
        <v>42</v>
      </c>
      <c r="D54" s="307">
        <v>93.93939393939393939393939394</v>
      </c>
      <c r="E54" s="308">
        <v>7.8260869565367410207939529400</v>
      </c>
      <c r="F54" s="308">
        <v>66.937354988399071925754060320</v>
      </c>
      <c r="G54" s="308"/>
      <c r="H54" s="308">
        <v>140.33926789559371881728900794</v>
      </c>
      <c r="I54" s="308"/>
      <c r="J54" s="317">
        <v>389.67462886808511660106293782</v>
      </c>
      <c r="K54" s="308">
        <v>141.67854638809794583647353944</v>
      </c>
      <c r="L54" s="318">
        <v>432.45408156811062251204007992</v>
      </c>
      <c r="M54" s="308"/>
      <c r="N54" s="308">
        <v>90.10774680518587481997853025</v>
      </c>
      <c r="O54" s="309"/>
      <c r="P54" s="317">
        <v>366.05798469426177620099851735</v>
      </c>
      <c r="Q54" s="308">
        <v>160.59251958372616566938813647</v>
      </c>
      <c r="R54" s="318">
        <v>289.47332374106708722673680524</v>
      </c>
      <c r="S54" s="308"/>
      <c r="T54" s="308">
        <v>126.45655218361309526492654195</v>
      </c>
      <c r="U54" s="309"/>
      <c r="W54" s="281"/>
      <c r="X54" s="281"/>
      <c r="Y54" s="281"/>
      <c r="Z54" s="281"/>
      <c r="AA54" s="281"/>
      <c r="AB54" s="281"/>
      <c r="AC54" s="281"/>
      <c r="AD54" s="281"/>
      <c r="AE54" s="281"/>
      <c r="AF54" s="281"/>
      <c r="AG54" s="281"/>
      <c r="AH54" s="281"/>
      <c r="AI54" s="281"/>
      <c r="AJ54" s="281"/>
      <c r="AK54" s="281"/>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4"/>
      <c r="C55" s="304" t="s">
        <v>58</v>
      </c>
      <c r="D55" s="310">
        <v>91.81235431235431235431235431</v>
      </c>
      <c r="E55" s="134">
        <v>43.428992924058347381759134810</v>
      </c>
      <c r="F55" s="134">
        <v>76.311362593668756690625477900</v>
      </c>
      <c r="G55" s="134"/>
      <c r="H55" s="134">
        <v>120.31282261492682334365701099</v>
      </c>
      <c r="I55" s="134"/>
      <c r="J55" s="319">
        <v>326.05840824184166227157225162</v>
      </c>
      <c r="K55" s="134">
        <v>48.587481009076105964992416890</v>
      </c>
      <c r="L55" s="135">
        <v>368.07929732716877779073408408</v>
      </c>
      <c r="M55" s="134"/>
      <c r="N55" s="134">
        <v>88.58374013684972951481186920</v>
      </c>
      <c r="O55" s="311"/>
      <c r="P55" s="319">
        <v>299.36190104022234202148140001</v>
      </c>
      <c r="Q55" s="134">
        <v>113.11752762263246411322973897</v>
      </c>
      <c r="R55" s="135">
        <v>280.88632721556387844865622871</v>
      </c>
      <c r="S55" s="134"/>
      <c r="T55" s="134">
        <v>106.57759813651575070116719539</v>
      </c>
      <c r="U55" s="311"/>
      <c r="W55" s="281"/>
      <c r="X55" s="281"/>
      <c r="Y55" s="281"/>
      <c r="Z55" s="281"/>
      <c r="AA55" s="281"/>
      <c r="AB55" s="281"/>
      <c r="AC55" s="281"/>
      <c r="AD55" s="281"/>
      <c r="AE55" s="281"/>
      <c r="AF55" s="281"/>
      <c r="AG55" s="281"/>
      <c r="AH55" s="281"/>
      <c r="AI55" s="281"/>
      <c r="AJ55" s="281"/>
      <c r="AK55" s="281"/>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4"/>
      <c r="C56" s="305" t="s">
        <v>44</v>
      </c>
      <c r="D56" s="312">
        <v>92.48251748251748251748251748</v>
      </c>
      <c r="E56" s="159">
        <v>10.361613351922120817624558290</v>
      </c>
      <c r="F56" s="159">
        <v>64.447617347849366410851329640</v>
      </c>
      <c r="G56" s="159"/>
      <c r="H56" s="159">
        <v>143.50028951939779965257672265</v>
      </c>
      <c r="I56" s="159"/>
      <c r="J56" s="320">
        <v>314.57615376613890415563958198</v>
      </c>
      <c r="K56" s="159">
        <v>116.51950446642493155111443241</v>
      </c>
      <c r="L56" s="160">
        <v>353.77705931917012621038684184</v>
      </c>
      <c r="M56" s="159"/>
      <c r="N56" s="159">
        <v>88.91931952047094150803467843</v>
      </c>
      <c r="O56" s="313"/>
      <c r="P56" s="320">
        <v>290.92794640260049003205129173</v>
      </c>
      <c r="Q56" s="159">
        <v>138.95441835053134025883371371</v>
      </c>
      <c r="R56" s="160">
        <v>228.00088545449282986716167873</v>
      </c>
      <c r="S56" s="159"/>
      <c r="T56" s="159">
        <v>127.59948095055420428042092751</v>
      </c>
      <c r="U56" s="313"/>
      <c r="W56" s="281"/>
      <c r="X56" s="281"/>
      <c r="Y56" s="281"/>
      <c r="Z56" s="281"/>
      <c r="AA56" s="281"/>
      <c r="AB56" s="281"/>
      <c r="AC56" s="281"/>
      <c r="AD56" s="281"/>
      <c r="AE56" s="281"/>
      <c r="AF56" s="281"/>
      <c r="AG56" s="281"/>
      <c r="AH56" s="281"/>
      <c r="AI56" s="281"/>
      <c r="AJ56" s="281"/>
      <c r="AK56" s="281"/>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5"/>
      <c r="C57" s="306" t="s">
        <v>45</v>
      </c>
      <c r="D57" s="314">
        <v>91.81235431235431235431235431</v>
      </c>
      <c r="E57" s="315">
        <v>43.428992924058347381759134810</v>
      </c>
      <c r="F57" s="315">
        <v>76.311362593668756690625477900</v>
      </c>
      <c r="G57" s="315"/>
      <c r="H57" s="315">
        <v>120.31282261492682334365701099</v>
      </c>
      <c r="I57" s="315"/>
      <c r="J57" s="321">
        <v>326.05840824184166227157225162</v>
      </c>
      <c r="K57" s="315">
        <v>48.587481009076105964992416890</v>
      </c>
      <c r="L57" s="322">
        <v>368.07929732716877779073408408</v>
      </c>
      <c r="M57" s="315"/>
      <c r="N57" s="315">
        <v>88.58374013684972951481186920</v>
      </c>
      <c r="O57" s="316"/>
      <c r="P57" s="321">
        <v>299.36190104022234202148140001</v>
      </c>
      <c r="Q57" s="315">
        <v>113.11752762263246411322973897</v>
      </c>
      <c r="R57" s="322">
        <v>280.88632721556387844865622871</v>
      </c>
      <c r="S57" s="315"/>
      <c r="T57" s="315">
        <v>106.57759813651575070116719539</v>
      </c>
      <c r="U57" s="316"/>
      <c r="W57" s="281"/>
      <c r="X57" s="281"/>
      <c r="Y57" s="281"/>
      <c r="Z57" s="281"/>
      <c r="AA57" s="281"/>
      <c r="AB57" s="281"/>
      <c r="AC57" s="281"/>
      <c r="AD57" s="281"/>
      <c r="AE57" s="281"/>
      <c r="AF57" s="281"/>
      <c r="AG57" s="281"/>
      <c r="AH57" s="281"/>
      <c r="AI57" s="281"/>
      <c r="AJ57" s="281"/>
      <c r="AK57" s="281"/>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4" t="s">
        <v>40</v>
      </c>
      <c r="C60" s="348" t="s">
        <v>42</v>
      </c>
      <c r="D60" s="238">
        <v>94.00826446280991735537190083</v>
      </c>
      <c r="E60" s="246">
        <v>39.156065777242198889533164350</v>
      </c>
      <c r="F60" s="246">
        <v>60.862687196793925332208394850</v>
      </c>
      <c r="G60" s="246"/>
      <c r="H60" s="246">
        <v>154.45960208566342685212898349</v>
      </c>
      <c r="I60" s="239"/>
      <c r="J60" s="326">
        <v>295.93024135987177926431259315</v>
      </c>
      <c r="K60" s="246">
        <v>77.548509702811944846300732270</v>
      </c>
      <c r="L60" s="328">
        <v>396.53117410517458932855814372</v>
      </c>
      <c r="M60" s="246"/>
      <c r="N60" s="246">
        <v>74.629754401448457506566087080</v>
      </c>
      <c r="O60" s="239"/>
      <c r="P60" s="326">
        <v>278.19888392301995777946741711</v>
      </c>
      <c r="Q60" s="246">
        <v>147.06952094848803416455681236</v>
      </c>
      <c r="R60" s="328">
        <v>241.33952813340672379404229565</v>
      </c>
      <c r="S60" s="246"/>
      <c r="T60" s="246">
        <v>115.27282168598517477138941185</v>
      </c>
      <c r="U60" s="239"/>
    </row>
    <row r="61" ht="15.95" customHeight="1">
      <c r="B61" s="345" t="s">
        <v>67</v>
      </c>
      <c r="C61" s="304" t="s">
        <v>58</v>
      </c>
      <c r="D61" s="240">
        <v>80.63228438228438228438228438</v>
      </c>
      <c r="E61" s="121">
        <v>80.54976418526406567970272505</v>
      </c>
      <c r="F61" s="121">
        <v>60.137835413098442215153739500</v>
      </c>
      <c r="G61" s="121"/>
      <c r="H61" s="121">
        <v>134.07912644079322047722400336</v>
      </c>
      <c r="I61" s="241"/>
      <c r="J61" s="329">
        <v>192.46522798548678522952925798</v>
      </c>
      <c r="K61" s="121">
        <v>-1.6959259088497099819697993200</v>
      </c>
      <c r="L61" s="136">
        <v>244.38014923600455303584945004</v>
      </c>
      <c r="M61" s="121"/>
      <c r="N61" s="121">
        <v>78.756490077930954545078531930</v>
      </c>
      <c r="O61" s="241"/>
      <c r="P61" s="329">
        <v>155.18910996626969136529030175</v>
      </c>
      <c r="Q61" s="121">
        <v>77.487773955996792975642901660</v>
      </c>
      <c r="R61" s="136">
        <v>146.96493192983276827418937443</v>
      </c>
      <c r="S61" s="121"/>
      <c r="T61" s="121">
        <v>105.59601391191981168683581040</v>
      </c>
      <c r="U61" s="241"/>
    </row>
    <row r="62" ht="15.95" customHeight="1">
      <c r="B62" s="345"/>
      <c r="C62" s="305" t="s">
        <v>44</v>
      </c>
      <c r="D62" s="242">
        <v>80.71095571095571095571095571</v>
      </c>
      <c r="E62" s="156">
        <v>59.300826043076408555974876920</v>
      </c>
      <c r="F62" s="156">
        <v>51.229698375870069605568445480</v>
      </c>
      <c r="G62" s="156"/>
      <c r="H62" s="156">
        <v>157.54720068578764230938143980</v>
      </c>
      <c r="I62" s="243"/>
      <c r="J62" s="330">
        <v>222.56188098042403191769869372</v>
      </c>
      <c r="K62" s="156">
        <v>62.28771494432774474807104300</v>
      </c>
      <c r="L62" s="186">
        <v>301.88422611538679282276840098</v>
      </c>
      <c r="M62" s="156"/>
      <c r="N62" s="156">
        <v>73.724249804080848045410523310</v>
      </c>
      <c r="O62" s="243"/>
      <c r="P62" s="330">
        <v>179.63182118758000245105634662</v>
      </c>
      <c r="Q62" s="156">
        <v>158.52567047278367002204548245</v>
      </c>
      <c r="R62" s="186">
        <v>154.65437848324223632312590008</v>
      </c>
      <c r="S62" s="156"/>
      <c r="T62" s="156">
        <v>116.15049179292665637348382111</v>
      </c>
      <c r="U62" s="243"/>
    </row>
    <row r="63" ht="15.95" customHeight="1">
      <c r="B63" s="346"/>
      <c r="C63" s="349" t="s">
        <v>45</v>
      </c>
      <c r="D63" s="244">
        <v>80.63228438228438228438228438</v>
      </c>
      <c r="E63" s="250">
        <v>80.54976418526406567970272505</v>
      </c>
      <c r="F63" s="250">
        <v>60.137835413098442215153739500</v>
      </c>
      <c r="G63" s="250"/>
      <c r="H63" s="250">
        <v>134.07912644079322047722400336</v>
      </c>
      <c r="I63" s="245"/>
      <c r="J63" s="332">
        <v>192.46522798548678522952925798</v>
      </c>
      <c r="K63" s="250">
        <v>-1.6959259088497099819697993200</v>
      </c>
      <c r="L63" s="334">
        <v>244.38014923600455303584945004</v>
      </c>
      <c r="M63" s="250"/>
      <c r="N63" s="250">
        <v>78.756490077930954545078531930</v>
      </c>
      <c r="O63" s="245"/>
      <c r="P63" s="332">
        <v>155.18910996626969136529030175</v>
      </c>
      <c r="Q63" s="250">
        <v>77.487773955996792975642901660</v>
      </c>
      <c r="R63" s="334">
        <v>146.96493192983276827418937443</v>
      </c>
      <c r="S63" s="250"/>
      <c r="T63" s="250">
        <v>105.59601391191981168683581040</v>
      </c>
      <c r="U63" s="245"/>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92.67676767676767676767676768</v>
      </c>
      <c r="E66" s="246">
        <v>10.959939531404334613664071560</v>
      </c>
      <c r="F66" s="246">
        <v>67.646300592936323794792472290</v>
      </c>
      <c r="G66" s="246"/>
      <c r="H66" s="246">
        <v>137.00197477827050997782705100</v>
      </c>
      <c r="I66" s="239"/>
      <c r="J66" s="326">
        <v>438.78423350367851281419311598</v>
      </c>
      <c r="K66" s="246">
        <v>171.19208635294280639131173613</v>
      </c>
      <c r="L66" s="328">
        <v>501.35387356670634336314441791</v>
      </c>
      <c r="M66" s="246"/>
      <c r="N66" s="246">
        <v>87.51986503706492478742323025</v>
      </c>
      <c r="O66" s="239"/>
      <c r="P66" s="326">
        <v>406.65104468648993485557796354</v>
      </c>
      <c r="Q66" s="246">
        <v>200.91457503096830595674186195</v>
      </c>
      <c r="R66" s="328">
        <v>339.14734834726410027968315354</v>
      </c>
      <c r="S66" s="246"/>
      <c r="T66" s="246">
        <v>119.90394342405607857625627330</v>
      </c>
      <c r="U66" s="239"/>
    </row>
    <row r="67" ht="15.95" customHeight="1">
      <c r="B67" s="345" t="s">
        <v>55</v>
      </c>
      <c r="C67" s="304" t="s">
        <v>58</v>
      </c>
      <c r="D67" s="240">
        <v>90.21645021645021645021645022</v>
      </c>
      <c r="E67" s="121">
        <v>48.177167489269651778389463490</v>
      </c>
      <c r="F67" s="121">
        <v>74.277070465145594352703895120</v>
      </c>
      <c r="G67" s="121"/>
      <c r="H67" s="121">
        <v>121.45935434917852947857699742</v>
      </c>
      <c r="I67" s="241"/>
      <c r="J67" s="329">
        <v>324.94919593391108384062994592</v>
      </c>
      <c r="K67" s="121">
        <v>45.333849093268934283277452180</v>
      </c>
      <c r="L67" s="136">
        <v>370.98804381462777540658445021</v>
      </c>
      <c r="M67" s="121"/>
      <c r="N67" s="121">
        <v>87.59020711090058721355624602</v>
      </c>
      <c r="O67" s="241"/>
      <c r="P67" s="329">
        <v>293.15762957847216394972848801</v>
      </c>
      <c r="Q67" s="121">
        <v>115.35158098944328784932170737</v>
      </c>
      <c r="R67" s="136">
        <v>275.55905072145628435721142246</v>
      </c>
      <c r="S67" s="121"/>
      <c r="T67" s="121">
        <v>106.38650003000811396887466915</v>
      </c>
      <c r="U67" s="241"/>
    </row>
    <row r="68" ht="15.95" customHeight="1">
      <c r="B68" s="345"/>
      <c r="C68" s="305" t="s">
        <v>44</v>
      </c>
      <c r="D68" s="342">
        <v>91.16161616161616161616161616</v>
      </c>
      <c r="E68" s="161">
        <v>14.435503535729691421811405780</v>
      </c>
      <c r="F68" s="161">
        <v>63.779324568187677236401134310</v>
      </c>
      <c r="G68" s="161"/>
      <c r="H68" s="161">
        <v>142.93286543690747409421621225</v>
      </c>
      <c r="I68" s="336"/>
      <c r="J68" s="335">
        <v>333.51368858435320990148862616</v>
      </c>
      <c r="K68" s="161">
        <v>129.80501035079551701058528818</v>
      </c>
      <c r="L68" s="162">
        <v>380.63283707787237507622132811</v>
      </c>
      <c r="M68" s="161"/>
      <c r="N68" s="161">
        <v>87.62083984785600114953587245</v>
      </c>
      <c r="O68" s="336"/>
      <c r="P68" s="335">
        <v>304.03646863371593124857927789</v>
      </c>
      <c r="Q68" s="161">
        <v>162.97852074526525965183180363</v>
      </c>
      <c r="R68" s="162">
        <v>242.7650525729972301981365212</v>
      </c>
      <c r="S68" s="161"/>
      <c r="T68" s="161">
        <v>125.23897711442422167687069092</v>
      </c>
      <c r="U68" s="336"/>
    </row>
    <row r="69" ht="15.95" customHeight="1">
      <c r="B69" s="346"/>
      <c r="C69" s="349" t="s">
        <v>45</v>
      </c>
      <c r="D69" s="343">
        <v>90.21645021645021645021645022</v>
      </c>
      <c r="E69" s="338">
        <v>48.177167489269651778389463490</v>
      </c>
      <c r="F69" s="338">
        <v>74.277070465145594352703895120</v>
      </c>
      <c r="G69" s="338"/>
      <c r="H69" s="338">
        <v>121.45935434917852947857699742</v>
      </c>
      <c r="I69" s="340"/>
      <c r="J69" s="337">
        <v>324.94919593391108384062994592</v>
      </c>
      <c r="K69" s="338">
        <v>45.333849093268934283277452180</v>
      </c>
      <c r="L69" s="339">
        <v>370.98804381462777540658445021</v>
      </c>
      <c r="M69" s="338"/>
      <c r="N69" s="338">
        <v>87.59020711090058721355624602</v>
      </c>
      <c r="O69" s="340"/>
      <c r="P69" s="337">
        <v>293.15762957847216394972848801</v>
      </c>
      <c r="Q69" s="338">
        <v>115.35158098944328784932170737</v>
      </c>
      <c r="R69" s="339">
        <v>275.55905072145628435721142246</v>
      </c>
      <c r="S69" s="338"/>
      <c r="T69" s="338">
        <v>106.38650003000811396887466915</v>
      </c>
      <c r="U69" s="340"/>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93.62170087976539589442815249</v>
      </c>
      <c r="E72" s="246">
        <v>30.617115581374664890591574850</v>
      </c>
      <c r="F72" s="246">
        <v>62.832123344061073272958610880</v>
      </c>
      <c r="G72" s="246">
        <v>27.157143736339413189833767400</v>
      </c>
      <c r="H72" s="246">
        <v>149.00292381829010774811846879</v>
      </c>
      <c r="I72" s="239">
        <v>2.7210204186616820765050066600</v>
      </c>
      <c r="J72" s="326">
        <v>336.98538240668232837379274341</v>
      </c>
      <c r="K72" s="246">
        <v>103.97519524991013283641442340</v>
      </c>
      <c r="L72" s="328">
        <v>429.2952912447885646217986897</v>
      </c>
      <c r="M72" s="246">
        <v>90.25392971206590858291768503</v>
      </c>
      <c r="N72" s="246">
        <v>78.497339542103157530879792480</v>
      </c>
      <c r="O72" s="239">
        <v>7.2120799599519109064274554100</v>
      </c>
      <c r="P72" s="326">
        <v>315.4914467253176930596285435</v>
      </c>
      <c r="Q72" s="246">
        <v>166.42651653680275745749143577</v>
      </c>
      <c r="R72" s="328">
        <v>269.73534690517176858019609311</v>
      </c>
      <c r="S72" s="246">
        <v>141.92146286807247878388365785</v>
      </c>
      <c r="T72" s="246">
        <v>116.96333103730448471478785083</v>
      </c>
      <c r="U72" s="239">
        <v>10.129342546962471215277279730</v>
      </c>
    </row>
    <row r="73" ht="15.95" customHeight="1">
      <c r="B73" s="345"/>
      <c r="C73" s="304" t="s">
        <v>58</v>
      </c>
      <c r="D73" s="240">
        <v>83.37069323370693233706932337</v>
      </c>
      <c r="E73" s="121">
        <v>68.982737229314182152003445530</v>
      </c>
      <c r="F73" s="121">
        <v>64.216746765786302324568408520</v>
      </c>
      <c r="G73" s="121"/>
      <c r="H73" s="121">
        <v>129.82702711144744394616477138</v>
      </c>
      <c r="I73" s="241"/>
      <c r="J73" s="329">
        <v>233.74962656841266679944234216</v>
      </c>
      <c r="K73" s="121">
        <v>13.672018464972760852009297750</v>
      </c>
      <c r="L73" s="136">
        <v>286.53280715836121913719815501</v>
      </c>
      <c r="M73" s="121"/>
      <c r="N73" s="121">
        <v>81.57866070785524575085893353</v>
      </c>
      <c r="O73" s="241"/>
      <c r="P73" s="329">
        <v>194.87868410128684101286841013</v>
      </c>
      <c r="Q73" s="121">
        <v>92.08608826616171883247526863</v>
      </c>
      <c r="R73" s="136">
        <v>184.00204717378363074063856664</v>
      </c>
      <c r="S73" s="121"/>
      <c r="T73" s="121">
        <v>105.91114995434295318630290048</v>
      </c>
      <c r="U73" s="241"/>
    </row>
    <row r="74" ht="15.95" customHeight="1">
      <c r="B74" s="345"/>
      <c r="C74" s="305" t="s">
        <v>44</v>
      </c>
      <c r="D74" s="242">
        <v>83.77799736495388669301712780</v>
      </c>
      <c r="E74" s="156">
        <v>42.273807859057565122229685470</v>
      </c>
      <c r="F74" s="156">
        <v>54.907696963583173610410571970</v>
      </c>
      <c r="G74" s="156"/>
      <c r="H74" s="156">
        <v>152.57969646863639147306242660</v>
      </c>
      <c r="I74" s="243"/>
      <c r="J74" s="330">
        <v>257.99361116571653233733045017</v>
      </c>
      <c r="K74" s="156">
        <v>84.10093735740892845007746608</v>
      </c>
      <c r="L74" s="186">
        <v>328.75708846224508543082858719</v>
      </c>
      <c r="M74" s="156"/>
      <c r="N74" s="156">
        <v>78.475452003932950087306315520</v>
      </c>
      <c r="O74" s="243"/>
      <c r="P74" s="330">
        <v>216.14188076416337285902503294</v>
      </c>
      <c r="Q74" s="156">
        <v>161.92741388272703239124683003</v>
      </c>
      <c r="R74" s="186">
        <v>180.51294587914859275698577625</v>
      </c>
      <c r="S74" s="156"/>
      <c r="T74" s="156">
        <v>119.73760646999132975045014368</v>
      </c>
      <c r="U74" s="243"/>
    </row>
    <row r="75" ht="15.95" customHeight="1">
      <c r="B75" s="346"/>
      <c r="C75" s="349" t="s">
        <v>45</v>
      </c>
      <c r="D75" s="244">
        <v>83.37069323370693233706932337</v>
      </c>
      <c r="E75" s="250">
        <v>68.982737229314182152003445530</v>
      </c>
      <c r="F75" s="250">
        <v>64.216746765786302324568408520</v>
      </c>
      <c r="G75" s="250"/>
      <c r="H75" s="250">
        <v>129.82702711144744394616477138</v>
      </c>
      <c r="I75" s="245"/>
      <c r="J75" s="332">
        <v>233.74962656841266679944234216</v>
      </c>
      <c r="K75" s="250">
        <v>13.672018464972760852009297750</v>
      </c>
      <c r="L75" s="334">
        <v>286.53280715836121913719815501</v>
      </c>
      <c r="M75" s="250"/>
      <c r="N75" s="250">
        <v>81.57866070785524575085893353</v>
      </c>
      <c r="O75" s="245"/>
      <c r="P75" s="332">
        <v>194.87868410128684101286841013</v>
      </c>
      <c r="Q75" s="250">
        <v>92.08608826616171883247526863</v>
      </c>
      <c r="R75" s="334">
        <v>184.00204717378363074063856664</v>
      </c>
      <c r="S75" s="250"/>
      <c r="T75" s="250">
        <v>105.91114995434295318630290048</v>
      </c>
      <c r="U75" s="245"/>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3" width="10.28515625"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208</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209</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294</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295</v>
      </c>
      <c r="D23" s="41" t="s">
        <v>297</v>
      </c>
      <c r="E23" s="41" t="s">
        <v>298</v>
      </c>
      <c r="F23" s="41" t="s">
        <v>299</v>
      </c>
      <c r="G23" s="41" t="s">
        <v>300</v>
      </c>
      <c r="H23" s="41" t="s">
        <v>301</v>
      </c>
      <c r="I23" s="41" t="s">
        <v>302</v>
      </c>
      <c r="J23" s="41" t="s">
        <v>295</v>
      </c>
      <c r="K23" s="41" t="s">
        <v>297</v>
      </c>
      <c r="L23" s="41" t="s">
        <v>298</v>
      </c>
      <c r="M23" s="41" t="s">
        <v>299</v>
      </c>
      <c r="N23" s="41" t="s">
        <v>300</v>
      </c>
      <c r="O23" s="41" t="s">
        <v>301</v>
      </c>
      <c r="P23" s="41" t="s">
        <v>302</v>
      </c>
      <c r="Q23" s="41" t="s">
        <v>295</v>
      </c>
      <c r="R23" s="41" t="s">
        <v>297</v>
      </c>
      <c r="S23" s="41" t="s">
        <v>298</v>
      </c>
      <c r="T23" s="41" t="s">
        <v>299</v>
      </c>
      <c r="U23" s="41" t="s">
        <v>300</v>
      </c>
      <c r="V23" s="41" t="s">
        <v>301</v>
      </c>
      <c r="W23" s="41" t="s">
        <v>302</v>
      </c>
      <c r="X23" s="41" t="s">
        <v>295</v>
      </c>
      <c r="Y23" s="41" t="s">
        <v>297</v>
      </c>
      <c r="Z23" s="41" t="s">
        <v>298</v>
      </c>
      <c r="AA23" s="41" t="s">
        <v>299</v>
      </c>
      <c r="AB23" s="41" t="s">
        <v>300</v>
      </c>
      <c r="AC23" s="41" t="s">
        <v>301</v>
      </c>
      <c r="AD23" s="41" t="s">
        <v>302</v>
      </c>
      <c r="AE23" s="41" t="s">
        <v>295</v>
      </c>
      <c r="AF23" s="41" t="s">
        <v>297</v>
      </c>
      <c r="AG23" s="41" t="s">
        <v>298</v>
      </c>
      <c r="AH23" s="93"/>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296</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v>31</v>
      </c>
      <c r="AH25" s="529"/>
      <c r="AI25" s="236"/>
      <c r="AJ25" s="236"/>
      <c r="AK25" s="236"/>
      <c r="AL25" s="236"/>
      <c r="AM25" s="236"/>
      <c r="AN25" s="236"/>
      <c r="AO25" s="236"/>
      <c r="AP25" s="236"/>
      <c r="AQ25" s="236"/>
      <c r="AR25" s="236"/>
      <c r="AS25" s="236"/>
      <c r="AT25" s="236"/>
      <c r="AU25" s="236"/>
      <c r="AV25" s="236"/>
      <c r="AW25" s="236"/>
    </row>
    <row r="26" ht="24.95" customHeight="1">
      <c r="B26" s="263" t="s">
        <v>19</v>
      </c>
      <c r="C26" s="573">
        <v>98.48484848484848484848484848</v>
      </c>
      <c r="D26" s="574">
        <v>97.72727272727272727272727273</v>
      </c>
      <c r="E26" s="574">
        <v>99.24242424242424242424242424</v>
      </c>
      <c r="F26" s="574">
        <v>98.48484848484848484848484848</v>
      </c>
      <c r="G26" s="574">
        <v>95.45454545454545454545454545</v>
      </c>
      <c r="H26" s="574">
        <v>99.24242424242424242424242424</v>
      </c>
      <c r="I26" s="574">
        <v>97.72727272727272727272727273</v>
      </c>
      <c r="J26" s="574">
        <v>99.24242424242424242424242424</v>
      </c>
      <c r="K26" s="574">
        <v>96.21212121212121212121212121</v>
      </c>
      <c r="L26" s="574">
        <v>90.90909090909090909090909091</v>
      </c>
      <c r="M26" s="574">
        <v>96.96969696969696969696969697</v>
      </c>
      <c r="N26" s="574">
        <v>87.87878787878787878787878788</v>
      </c>
      <c r="O26" s="574">
        <v>87.12121212121212121212121212</v>
      </c>
      <c r="P26" s="574">
        <v>87.12121212121212121212121212</v>
      </c>
      <c r="Q26" s="574">
        <v>87.87878787878787878787878788</v>
      </c>
      <c r="R26" s="574">
        <v>84.84848484848484848484848485</v>
      </c>
      <c r="S26" s="574">
        <v>87.12121212121212121212121212</v>
      </c>
      <c r="T26" s="574">
        <v>96.96969696969696969696969697</v>
      </c>
      <c r="U26" s="574">
        <v>96.21212121212121212121212121</v>
      </c>
      <c r="V26" s="574">
        <v>89.39393939393939393939393939</v>
      </c>
      <c r="W26" s="574">
        <v>97.72727272727272727272727273</v>
      </c>
      <c r="X26" s="574">
        <v>88.63636363636363636363636364</v>
      </c>
      <c r="Y26" s="574">
        <v>96.21212121212121212121212121</v>
      </c>
      <c r="Z26" s="574">
        <v>84.84848484848484848484848485</v>
      </c>
      <c r="AA26" s="574">
        <v>83.33333333333333333333333333</v>
      </c>
      <c r="AB26" s="574">
        <v>96.21212121212121212121212121</v>
      </c>
      <c r="AC26" s="574">
        <v>97.72727272727272727272727273</v>
      </c>
      <c r="AD26" s="574">
        <v>93.18181818181818181818181818</v>
      </c>
      <c r="AE26" s="574">
        <v>95.45454545454545454545454545</v>
      </c>
      <c r="AF26" s="574">
        <v>98.48484848484848484848484848</v>
      </c>
      <c r="AG26" s="575">
        <v>96.21212121212121212121212121</v>
      </c>
      <c r="AH26" s="342"/>
    </row>
    <row r="27" ht="24.95" customHeight="1">
      <c r="B27" s="38" t="s">
        <v>35</v>
      </c>
      <c r="C27" s="271">
        <v>80.27842227378190255220417633</v>
      </c>
      <c r="D27" s="92">
        <v>83.06264501160092807424593968</v>
      </c>
      <c r="E27" s="92">
        <v>85.84686774941995359628770302</v>
      </c>
      <c r="F27" s="92">
        <v>78.422273781902552204176334110</v>
      </c>
      <c r="G27" s="92">
        <v>69.837587006960556844547563810</v>
      </c>
      <c r="H27" s="92">
        <v>60.092807424593967517401392110</v>
      </c>
      <c r="I27" s="92">
        <v>61.020881670533642691415313230</v>
      </c>
      <c r="J27" s="92">
        <v>64.269141531322505800464037120</v>
      </c>
      <c r="K27" s="92">
        <v>68.445475638051044083526682130</v>
      </c>
      <c r="L27" s="92">
        <v>72.853828306264501160092807420</v>
      </c>
      <c r="M27" s="92">
        <v>74.013921113689095127610208820</v>
      </c>
      <c r="N27" s="92">
        <v>59.396751740139211136890951280</v>
      </c>
      <c r="O27" s="92">
        <v>50.348027842227378190255220420</v>
      </c>
      <c r="P27" s="92">
        <v>41.995359628770301624129930390</v>
      </c>
      <c r="Q27" s="92">
        <v>51.508120649651972157772621810</v>
      </c>
      <c r="R27" s="92">
        <v>54.988399071925754060324825990</v>
      </c>
      <c r="S27" s="92">
        <v>58.700696055684454756380510440</v>
      </c>
      <c r="T27" s="92">
        <v>66.357308584686774941995359630</v>
      </c>
      <c r="U27" s="92">
        <v>66.125290023201856148491879350</v>
      </c>
      <c r="V27" s="92">
        <v>61.948955916473317865429234340</v>
      </c>
      <c r="W27" s="92">
        <v>61.948955916473317865429234340</v>
      </c>
      <c r="X27" s="92">
        <v>59.628770301624129930394431550</v>
      </c>
      <c r="Y27" s="92">
        <v>52.436194895591647331786542920</v>
      </c>
      <c r="Z27" s="92">
        <v>46.171693735498839907192575410</v>
      </c>
      <c r="AA27" s="92">
        <v>48.955916473317865429234338750</v>
      </c>
      <c r="AB27" s="92">
        <v>48.955916473317865429234338750</v>
      </c>
      <c r="AC27" s="92">
        <v>55.220417633410672853828306260</v>
      </c>
      <c r="AD27" s="92">
        <v>58.236658932714617169373549880</v>
      </c>
      <c r="AE27" s="92">
        <v>63.341067285382830626450116010</v>
      </c>
      <c r="AF27" s="92">
        <v>65.893271461716937354988399070</v>
      </c>
      <c r="AG27" s="272">
        <v>77.494199535962877030162412990</v>
      </c>
      <c r="AH27" s="342"/>
    </row>
    <row r="28" ht="24.95" customHeight="1">
      <c r="A28" s="23"/>
      <c r="B28" s="40" t="s">
        <v>97</v>
      </c>
      <c r="C28" s="581">
        <v>122.67910317043265020143632860</v>
      </c>
      <c r="D28" s="582">
        <v>117.65490096495683087861858811</v>
      </c>
      <c r="E28" s="582">
        <v>115.60401310401310401310401310</v>
      </c>
      <c r="F28" s="582">
        <v>125.58275058275058275058275057</v>
      </c>
      <c r="G28" s="582">
        <v>136.68076109936575052854122620</v>
      </c>
      <c r="H28" s="582">
        <v>165.14859014859014859014859015</v>
      </c>
      <c r="I28" s="582">
        <v>160.15381956446595229865191842</v>
      </c>
      <c r="J28" s="582">
        <v>154.41691281041461546876709332</v>
      </c>
      <c r="K28" s="582">
        <v>140.56753980482794042116076015</v>
      </c>
      <c r="L28" s="582">
        <v>124.78286045165026056745801970</v>
      </c>
      <c r="M28" s="582">
        <v>131.01548399354041987270827396</v>
      </c>
      <c r="N28" s="582">
        <v>147.95217803030303030303030302</v>
      </c>
      <c r="O28" s="582">
        <v>173.03798352185448959642508029</v>
      </c>
      <c r="P28" s="582">
        <v>207.45437803448853172610078689</v>
      </c>
      <c r="Q28" s="582">
        <v>170.61152061152061152061152061</v>
      </c>
      <c r="R28" s="582">
        <v>154.30251885948088479734049353</v>
      </c>
      <c r="S28" s="582">
        <v>148.41597796143250688705234160</v>
      </c>
      <c r="T28" s="582">
        <v>146.13265522356431447340538249</v>
      </c>
      <c r="U28" s="582">
        <v>145.49973418394471026049973418</v>
      </c>
      <c r="V28" s="582">
        <v>144.30257632504823516059471115</v>
      </c>
      <c r="W28" s="582">
        <v>157.75451140619679945522642152</v>
      </c>
      <c r="X28" s="582">
        <v>148.64697559250088432967810401</v>
      </c>
      <c r="Y28" s="582">
        <v>183.48417806382408152319656745</v>
      </c>
      <c r="Z28" s="582">
        <v>183.76732145576366681894320084</v>
      </c>
      <c r="AA28" s="582">
        <v>170.22116903633491311216429698</v>
      </c>
      <c r="AB28" s="582">
        <v>196.52807697831394513858968834</v>
      </c>
      <c r="AC28" s="582">
        <v>176.97669977081741787624140567</v>
      </c>
      <c r="AD28" s="582">
        <v>160.00543281419775443679826151</v>
      </c>
      <c r="AE28" s="582">
        <v>150.69930069930069930069930069</v>
      </c>
      <c r="AF28" s="582">
        <v>149.46116090482287665386256935</v>
      </c>
      <c r="AG28" s="583">
        <v>124.15396479767737252767192887</v>
      </c>
      <c r="AH28" s="342"/>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91.17647058805536332179947730</v>
      </c>
      <c r="D30" s="574">
        <v>43.333333333371555555555565750</v>
      </c>
      <c r="E30" s="574">
        <v>11.016949152591295604711311420</v>
      </c>
      <c r="F30" s="574">
        <v>5.6910569105897283363077573400</v>
      </c>
      <c r="G30" s="574">
        <v>44.827586206876575505350775640</v>
      </c>
      <c r="H30" s="574">
        <v>111.29032258063152965660770119</v>
      </c>
      <c r="I30" s="574">
        <v>138.88888888883580246913581427</v>
      </c>
      <c r="J30" s="574">
        <v>118.33333333355166666666688499</v>
      </c>
      <c r="K30" s="574">
        <v>53.012048192741588038902604030</v>
      </c>
      <c r="L30" s="574">
        <v>9.090909090952727272727290180</v>
      </c>
      <c r="M30" s="574">
        <v>10.344827586191676575505352870</v>
      </c>
      <c r="N30" s="574">
        <v>19.587628866058284621107502380</v>
      </c>
      <c r="O30" s="574">
        <v>66.666666666753623188405842470</v>
      </c>
      <c r="P30" s="574">
        <v>88.52459016402096210696053421</v>
      </c>
      <c r="Q30" s="574">
        <v>87.09677419353631633714880411</v>
      </c>
      <c r="R30" s="574">
        <v>38.271604938353543667123962600</v>
      </c>
      <c r="S30" s="574">
        <v>10.576923076893306213017759490</v>
      </c>
      <c r="T30" s="574">
        <v>6.6666666666560000000000010700</v>
      </c>
      <c r="U30" s="574">
        <v>20.952380952311836734693917040</v>
      </c>
      <c r="V30" s="574">
        <v>8.256880733889335914485341250</v>
      </c>
      <c r="W30" s="574">
        <v>13.157894736889750692520795690</v>
      </c>
      <c r="X30" s="574">
        <v>34.482758620671105826397148820</v>
      </c>
      <c r="Y30" s="574">
        <v>54.878048780518024985127905950</v>
      </c>
      <c r="Z30" s="574">
        <v>24.444444444477629629629638480</v>
      </c>
      <c r="AA30" s="574">
        <v>8.910891089039898049210905410</v>
      </c>
      <c r="AB30" s="574">
        <v>5.8333333333227500000000010600</v>
      </c>
      <c r="AC30" s="574">
        <v>8.403361344556034178377236310</v>
      </c>
      <c r="AD30" s="574">
        <v>0.0000000000195121951219550200</v>
      </c>
      <c r="AE30" s="574">
        <v>-2.3255813953760951865873369100</v>
      </c>
      <c r="AF30" s="574">
        <v>0.7751937984214890932035412800</v>
      </c>
      <c r="AG30" s="575">
        <v>-1.5503875969266991166396173600</v>
      </c>
      <c r="AH30" s="342"/>
    </row>
    <row r="31" ht="24.95" customHeight="1">
      <c r="B31" s="38" t="s">
        <v>35</v>
      </c>
      <c r="C31" s="271"/>
      <c r="D31" s="92"/>
      <c r="E31" s="92"/>
      <c r="F31" s="92"/>
      <c r="G31" s="92"/>
      <c r="H31" s="92"/>
      <c r="I31" s="92"/>
      <c r="J31" s="92"/>
      <c r="K31" s="92"/>
      <c r="L31" s="92"/>
      <c r="M31" s="92"/>
      <c r="N31" s="92"/>
      <c r="O31" s="92"/>
      <c r="P31" s="92"/>
      <c r="Q31" s="92"/>
      <c r="R31" s="92"/>
      <c r="S31" s="92"/>
      <c r="T31" s="92">
        <v>1.5087477268177398443153831800</v>
      </c>
      <c r="U31" s="92">
        <v>-2.0237849393884570813360810800</v>
      </c>
      <c r="V31" s="92">
        <v>-0.9516693538755425375138873900</v>
      </c>
      <c r="W31" s="92">
        <v>1.9276425835174813092673188500</v>
      </c>
      <c r="X31" s="92">
        <v>2.2723757294436179214631025300</v>
      </c>
      <c r="Y31" s="92">
        <v>-3.639979509974655601727891800</v>
      </c>
      <c r="Z31" s="92">
        <v>-16.773316387573785893621610600</v>
      </c>
      <c r="AA31" s="92">
        <v>-30.727378190281890377030152140</v>
      </c>
      <c r="AB31" s="92">
        <v>-31.072018099725232025740085220</v>
      </c>
      <c r="AC31" s="92">
        <v>-29.606404548418933324746325190</v>
      </c>
      <c r="AD31" s="92">
        <v>-31.614213784400265606345182530</v>
      </c>
      <c r="AE31" s="92">
        <v>-30.521232396254001504544374420</v>
      </c>
      <c r="AF31" s="92">
        <v>-29.630959155954127863785520680</v>
      </c>
      <c r="AG31" s="272">
        <v>-15.650544351208613668501752180</v>
      </c>
      <c r="AH31" s="342"/>
    </row>
    <row r="32" ht="24.95" customHeight="1">
      <c r="A32" s="23"/>
      <c r="B32" s="40" t="s">
        <v>97</v>
      </c>
      <c r="C32" s="581"/>
      <c r="D32" s="582"/>
      <c r="E32" s="582"/>
      <c r="F32" s="582"/>
      <c r="G32" s="582"/>
      <c r="H32" s="582"/>
      <c r="I32" s="582"/>
      <c r="J32" s="582"/>
      <c r="K32" s="582"/>
      <c r="L32" s="582"/>
      <c r="M32" s="582"/>
      <c r="N32" s="582"/>
      <c r="O32" s="582"/>
      <c r="P32" s="582"/>
      <c r="Q32" s="582"/>
      <c r="R32" s="582"/>
      <c r="S32" s="582"/>
      <c r="T32" s="582">
        <v>5.0812556113204662726469799100</v>
      </c>
      <c r="U32" s="582">
        <v>23.450758816908856964911546630</v>
      </c>
      <c r="V32" s="582">
        <v>9.297027045082725443865991820</v>
      </c>
      <c r="W32" s="582">
        <v>11.017867056155538215874653980</v>
      </c>
      <c r="X32" s="582">
        <v>31.494704861877047097429165110</v>
      </c>
      <c r="Y32" s="582">
        <v>60.728534503185088785125134020</v>
      </c>
      <c r="Z32" s="582">
        <v>49.524694536622493449608893950</v>
      </c>
      <c r="AA32" s="582">
        <v>57.220685811876877909721896230</v>
      </c>
      <c r="AB32" s="582">
        <v>53.541900423723336173977427540</v>
      </c>
      <c r="AC32" s="582">
        <v>53.996056955281491092809989290</v>
      </c>
      <c r="AD32" s="582">
        <v>46.229217405932542881046319760</v>
      </c>
      <c r="AE32" s="582">
        <v>40.581679804254904879859628940</v>
      </c>
      <c r="AF32" s="582">
        <v>43.209560041932591392230268580</v>
      </c>
      <c r="AG32" s="583">
        <v>16.716357735650451790678248100</v>
      </c>
      <c r="AH32" s="342"/>
    </row>
    <row r="33" ht="30" customHeight="1">
      <c r="A33" s="8"/>
      <c r="B33" s="25"/>
      <c r="X33" s="792"/>
      <c r="Y33" s="792"/>
      <c r="Z33" s="792"/>
      <c r="AA33" s="792"/>
      <c r="AB33" s="792"/>
      <c r="AC33" s="792"/>
      <c r="AD33" s="792"/>
      <c r="AE33"/>
      <c r="AF33"/>
      <c r="AG33" s="4"/>
      <c r="AH33" s="4"/>
    </row>
    <row r="34" s="35" customFormat="1" ht="20.1" customHeight="1">
      <c r="B34" s="784" t="s">
        <v>9</v>
      </c>
      <c r="C34" s="350" t="s">
        <v>296</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v>31</v>
      </c>
      <c r="AH35" s="529"/>
      <c r="AI35" s="236"/>
      <c r="AJ35" s="236"/>
      <c r="AK35" s="236"/>
      <c r="AL35" s="236"/>
      <c r="AM35" s="236"/>
      <c r="AN35" s="236"/>
      <c r="AO35" s="236"/>
      <c r="AP35" s="236"/>
      <c r="AQ35" s="236"/>
      <c r="AR35" s="236"/>
      <c r="AS35" s="236"/>
      <c r="AT35" s="236"/>
      <c r="AU35" s="236"/>
      <c r="AV35" s="236"/>
      <c r="AW35" s="236"/>
    </row>
    <row r="36" ht="24.95" customHeight="1">
      <c r="B36" s="263" t="s">
        <v>19</v>
      </c>
      <c r="C36" s="578">
        <v>534.700000000</v>
      </c>
      <c r="D36" s="579">
        <v>639.65891472868217054263565891</v>
      </c>
      <c r="E36" s="579">
        <v>654.72519083969465648854961832</v>
      </c>
      <c r="F36" s="579">
        <v>567.53076923076923076923076923</v>
      </c>
      <c r="G36" s="579">
        <v>271.67460317460317460317460317</v>
      </c>
      <c r="H36" s="579">
        <v>189.63358778625954198473282443</v>
      </c>
      <c r="I36" s="579">
        <v>171.45736434108527131782945736</v>
      </c>
      <c r="J36" s="579">
        <v>168.6259541984732824427480916</v>
      </c>
      <c r="K36" s="579">
        <v>208.33858267716535433070866142</v>
      </c>
      <c r="L36" s="579">
        <v>301.51666666666666666666666667</v>
      </c>
      <c r="M36" s="579">
        <v>302.929687500</v>
      </c>
      <c r="N36" s="579">
        <v>158.0172413793103448275862069</v>
      </c>
      <c r="O36" s="579">
        <v>163.22608695652173913043478261</v>
      </c>
      <c r="P36" s="579">
        <v>158.95652173913043478260869565</v>
      </c>
      <c r="Q36" s="579">
        <v>163.72413793103448275862068966</v>
      </c>
      <c r="R36" s="579">
        <v>185.91071428571428571428571429</v>
      </c>
      <c r="S36" s="579">
        <v>293.800000000</v>
      </c>
      <c r="T36" s="579">
        <v>301.062500000</v>
      </c>
      <c r="U36" s="579">
        <v>217.70078740157480314960629921</v>
      </c>
      <c r="V36" s="579">
        <v>211.24576271186440677966101695</v>
      </c>
      <c r="W36" s="579">
        <v>210.8062015503875968992248062</v>
      </c>
      <c r="X36" s="579">
        <v>222.000000000</v>
      </c>
      <c r="Y36" s="579">
        <v>218.33070866141732283464566929</v>
      </c>
      <c r="Z36" s="579">
        <v>380.90178571428571428571428571</v>
      </c>
      <c r="AA36" s="579">
        <v>381.70909090909090909090909091</v>
      </c>
      <c r="AB36" s="579">
        <v>403.71653543307086614173228346</v>
      </c>
      <c r="AC36" s="579">
        <v>423.76744186046511627906976744</v>
      </c>
      <c r="AD36" s="579">
        <v>461.43902439024390243902439024</v>
      </c>
      <c r="AE36" s="579">
        <v>475.57142857142857142857142857</v>
      </c>
      <c r="AF36" s="579">
        <v>569.23846153846153846153846154</v>
      </c>
      <c r="AG36" s="580">
        <v>717.50393700787401574803149606</v>
      </c>
      <c r="AH36" s="342"/>
    </row>
    <row r="37" ht="24.95" customHeight="1">
      <c r="B37" s="38" t="s">
        <v>35</v>
      </c>
      <c r="C37" s="276">
        <v>624.38112716763005780346820813</v>
      </c>
      <c r="D37" s="94">
        <v>727.79223463687150837988826812</v>
      </c>
      <c r="E37" s="94">
        <v>736.69345945945945945945945942</v>
      </c>
      <c r="F37" s="94">
        <v>588.10044378698224852071005915</v>
      </c>
      <c r="G37" s="94">
        <v>314.51063122923588039867109632</v>
      </c>
      <c r="H37" s="94">
        <v>237.95706563706563706563706565</v>
      </c>
      <c r="I37" s="94">
        <v>293.02220532319391634980988591</v>
      </c>
      <c r="J37" s="94">
        <v>252.69462093862815884476534296</v>
      </c>
      <c r="K37" s="94">
        <v>277.93800000000000000000000002</v>
      </c>
      <c r="L37" s="94">
        <v>341.04394904458598726114649684</v>
      </c>
      <c r="M37" s="94">
        <v>343.93373040752351097178683385</v>
      </c>
      <c r="N37" s="94">
        <v>238.80667968749999999999999998</v>
      </c>
      <c r="O37" s="94">
        <v>226.20935483870967741935483869</v>
      </c>
      <c r="P37" s="94">
        <v>234.52149171270718232044198898</v>
      </c>
      <c r="Q37" s="94">
        <v>234.35824324324324324324324324</v>
      </c>
      <c r="R37" s="94">
        <v>257.72966244725738396624472572</v>
      </c>
      <c r="S37" s="94">
        <v>341.37482213438735177865612648</v>
      </c>
      <c r="T37" s="94">
        <v>341.64657342657342657342657341</v>
      </c>
      <c r="U37" s="94">
        <v>292.73589473684210526315789474</v>
      </c>
      <c r="V37" s="94">
        <v>269.37801498127340823970037453</v>
      </c>
      <c r="W37" s="94">
        <v>281.55393258426966292134831459</v>
      </c>
      <c r="X37" s="94">
        <v>290.0592217898832684824902724</v>
      </c>
      <c r="Y37" s="94">
        <v>298.01920353982300884955752215</v>
      </c>
      <c r="Z37" s="94">
        <v>445.33396984924623115577889443</v>
      </c>
      <c r="AA37" s="94">
        <v>445.51829383886255924170616112</v>
      </c>
      <c r="AB37" s="94">
        <v>492.64578199052132701421800946</v>
      </c>
      <c r="AC37" s="94">
        <v>640.30298319327731092436974795</v>
      </c>
      <c r="AD37" s="94">
        <v>626.34709163346613545816733073</v>
      </c>
      <c r="AE37" s="94">
        <v>643.28326007326007326007326007</v>
      </c>
      <c r="AF37" s="94">
        <v>719.6119718309859154929577465</v>
      </c>
      <c r="AG37" s="277">
        <v>789.63577844311377245508982038</v>
      </c>
      <c r="AH37" s="342"/>
    </row>
    <row r="38" ht="24.95" customHeight="1">
      <c r="A38" s="23"/>
      <c r="B38" s="40" t="s">
        <v>98</v>
      </c>
      <c r="C38" s="581">
        <v>85.63679725964026251751618839</v>
      </c>
      <c r="D38" s="582">
        <v>87.89031873194373380942315936</v>
      </c>
      <c r="E38" s="582">
        <v>88.87349038229440801581829180</v>
      </c>
      <c r="F38" s="582">
        <v>96.50235350550702429519974424</v>
      </c>
      <c r="G38" s="582">
        <v>86.38010171954695799681998777</v>
      </c>
      <c r="H38" s="582">
        <v>79.69235428188145516345994333</v>
      </c>
      <c r="I38" s="582">
        <v>58.513437284376930331120063690</v>
      </c>
      <c r="J38" s="582">
        <v>66.731121371763350772762805080</v>
      </c>
      <c r="K38" s="582">
        <v>74.958653612375909134666242620</v>
      </c>
      <c r="L38" s="582">
        <v>88.40991535294714555097157036</v>
      </c>
      <c r="M38" s="582">
        <v>88.07792336653394079890363074</v>
      </c>
      <c r="N38" s="582">
        <v>66.169523225267444322138296310</v>
      </c>
      <c r="O38" s="582">
        <v>72.157089645078622758014318190</v>
      </c>
      <c r="P38" s="582">
        <v>67.779085225099488333131536690</v>
      </c>
      <c r="Q38" s="582">
        <v>69.860626904044176558859882650</v>
      </c>
      <c r="R38" s="582">
        <v>72.133999835490276280212027170</v>
      </c>
      <c r="S38" s="582">
        <v>86.06375776721494565742823456</v>
      </c>
      <c r="T38" s="582">
        <v>88.12103601112342407583512672</v>
      </c>
      <c r="U38" s="582">
        <v>74.367643775724575517190089520</v>
      </c>
      <c r="V38" s="582">
        <v>78.419823060374755119985089140</v>
      </c>
      <c r="W38" s="582">
        <v>74.872405302771920377802994430</v>
      </c>
      <c r="X38" s="582">
        <v>76.536094467224055412271906900</v>
      </c>
      <c r="Y38" s="582">
        <v>73.260617459586875468068253090</v>
      </c>
      <c r="Z38" s="582">
        <v>85.53171585882568075820139147</v>
      </c>
      <c r="AA38" s="582">
        <v>85.67753472479168180942013560</v>
      </c>
      <c r="AB38" s="582">
        <v>81.94864346587230296678896964</v>
      </c>
      <c r="AC38" s="582">
        <v>66.182331331189454411005008490</v>
      </c>
      <c r="AD38" s="582">
        <v>73.671456378418811045919781980</v>
      </c>
      <c r="AE38" s="582">
        <v>73.928774163541625086915322740</v>
      </c>
      <c r="AF38" s="582">
        <v>79.103528543318571003679077370</v>
      </c>
      <c r="AG38" s="583">
        <v>90.86517564117236695377919809</v>
      </c>
      <c r="AH38" s="342"/>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366.74711168169106517193136750</v>
      </c>
      <c r="D40" s="574">
        <v>456.06396528154232848252347698</v>
      </c>
      <c r="E40" s="574">
        <v>343.62660074125857156508316154</v>
      </c>
      <c r="F40" s="574">
        <v>296.26637497386077757004813156</v>
      </c>
      <c r="G40" s="574">
        <v>156.43583027229745463517212547</v>
      </c>
      <c r="H40" s="574">
        <v>90.12423096288275172859157867</v>
      </c>
      <c r="I40" s="574">
        <v>59.275721218351037672707170560</v>
      </c>
      <c r="J40" s="574">
        <v>51.460437902865661007828485170</v>
      </c>
      <c r="K40" s="574">
        <v>90.79887854143924941723053641</v>
      </c>
      <c r="L40" s="574">
        <v>109.55856026623822900447752637</v>
      </c>
      <c r="M40" s="574">
        <v>106.42568143100511073253833049</v>
      </c>
      <c r="N40" s="574">
        <v>40.170758242261373830989599190</v>
      </c>
      <c r="O40" s="574">
        <v>24.558725945558330753761814590</v>
      </c>
      <c r="P40" s="574">
        <v>55.614633703861001127811681570</v>
      </c>
      <c r="Q40" s="574">
        <v>74.234406998324675368426012910</v>
      </c>
      <c r="R40" s="574">
        <v>55.437323050613943973465579200</v>
      </c>
      <c r="S40" s="574">
        <v>79.51471711411091834390127233</v>
      </c>
      <c r="T40" s="574">
        <v>102.40629727151046976362339392</v>
      </c>
      <c r="U40" s="574">
        <v>73.512848619700025664239956860</v>
      </c>
      <c r="V40" s="574">
        <v>68.600630706482276528927343390</v>
      </c>
      <c r="W40" s="574">
        <v>80.20326167317107576378172110</v>
      </c>
      <c r="X40" s="574">
        <v>72.246499598632483354253477150</v>
      </c>
      <c r="Y40" s="574">
        <v>38.215997145383097972149073110</v>
      </c>
      <c r="Z40" s="574">
        <v>86.06795871845188322460632996</v>
      </c>
      <c r="AA40" s="574">
        <v>76.498732691541529791691372800</v>
      </c>
      <c r="AB40" s="574">
        <v>88.88059671706869161814960142</v>
      </c>
      <c r="AC40" s="574">
        <v>88.48891971812600845698266066</v>
      </c>
      <c r="AD40" s="574">
        <v>83.45400478372667809077039192</v>
      </c>
      <c r="AE40" s="574">
        <v>64.306374968444309143928575760</v>
      </c>
      <c r="AF40" s="574">
        <v>35.340622479058225088962334820</v>
      </c>
      <c r="AG40" s="575">
        <v>108.53443252000701312478887605</v>
      </c>
      <c r="AH40" s="342"/>
    </row>
    <row r="41" ht="24.95" customHeight="1">
      <c r="B41" s="38" t="s">
        <v>35</v>
      </c>
      <c r="C41" s="271"/>
      <c r="D41" s="92"/>
      <c r="E41" s="92"/>
      <c r="F41" s="92"/>
      <c r="G41" s="92"/>
      <c r="H41" s="92"/>
      <c r="I41" s="92"/>
      <c r="J41" s="92"/>
      <c r="K41" s="92"/>
      <c r="L41" s="92"/>
      <c r="M41" s="92"/>
      <c r="N41" s="92"/>
      <c r="O41" s="92"/>
      <c r="P41" s="92"/>
      <c r="Q41" s="92"/>
      <c r="R41" s="92"/>
      <c r="S41" s="92"/>
      <c r="T41" s="92">
        <v>92.88471001017042542401966318</v>
      </c>
      <c r="U41" s="92">
        <v>98.58971129522440048874983599</v>
      </c>
      <c r="V41" s="92">
        <v>90.43656968959837354915363164</v>
      </c>
      <c r="W41" s="92">
        <v>89.17961591021095911955302039</v>
      </c>
      <c r="X41" s="92">
        <v>77.877360650566862960480511270</v>
      </c>
      <c r="Y41" s="92">
        <v>61.442963901870871111791242430</v>
      </c>
      <c r="Z41" s="92">
        <v>62.232752835717221358717049030</v>
      </c>
      <c r="AA41" s="92">
        <v>39.191474095550338846778399910</v>
      </c>
      <c r="AB41" s="92">
        <v>41.691727483068665031829781570</v>
      </c>
      <c r="AC41" s="92">
        <v>87.77687353992057448045539270</v>
      </c>
      <c r="AD41" s="92">
        <v>78.77971526366157445892199900</v>
      </c>
      <c r="AE41" s="92">
        <v>54.224948713675420183767703420</v>
      </c>
      <c r="AF41" s="92">
        <v>38.727232272264850162784668720</v>
      </c>
      <c r="AG41" s="272">
        <v>79.45657476786115855050607736</v>
      </c>
      <c r="AH41" s="342"/>
    </row>
    <row r="42" ht="24.95" customHeight="1">
      <c r="A42" s="23"/>
      <c r="B42" s="40" t="s">
        <v>98</v>
      </c>
      <c r="C42" s="581"/>
      <c r="D42" s="582"/>
      <c r="E42" s="582"/>
      <c r="F42" s="582"/>
      <c r="G42" s="582"/>
      <c r="H42" s="582"/>
      <c r="I42" s="582"/>
      <c r="J42" s="582"/>
      <c r="K42" s="582"/>
      <c r="L42" s="582"/>
      <c r="M42" s="582"/>
      <c r="N42" s="582"/>
      <c r="O42" s="582"/>
      <c r="P42" s="582"/>
      <c r="Q42" s="582"/>
      <c r="R42" s="582"/>
      <c r="S42" s="582"/>
      <c r="T42" s="582">
        <v>4.9364137057534006679286629400</v>
      </c>
      <c r="U42" s="582">
        <v>-12.627473252207320092402014230</v>
      </c>
      <c r="V42" s="582">
        <v>-11.466253051392355095698101780</v>
      </c>
      <c r="W42" s="582">
        <v>-4.7448844812201797026540332500</v>
      </c>
      <c r="X42" s="582">
        <v>-3.1655861270893278050435321200</v>
      </c>
      <c r="Y42" s="582">
        <v>-14.387103776567624696844305110</v>
      </c>
      <c r="Z42" s="582">
        <v>14.691981407048127736540322490</v>
      </c>
      <c r="AA42" s="582">
        <v>26.802833175239017133690899250</v>
      </c>
      <c r="AB42" s="582">
        <v>33.303898591830591789488005820</v>
      </c>
      <c r="AC42" s="582">
        <v>0.379198015565992339523039800</v>
      </c>
      <c r="AD42" s="582">
        <v>2.6145525028628169175801520800</v>
      </c>
      <c r="AE42" s="582">
        <v>6.5368322951894701267038040600</v>
      </c>
      <c r="AF42" s="582">
        <v>-2.4412004317952859397504652100</v>
      </c>
      <c r="AG42" s="583">
        <v>16.203283601996963942395592200</v>
      </c>
      <c r="AH42" s="342"/>
    </row>
    <row r="43" ht="30" customHeight="1">
      <c r="A43" s="8"/>
      <c r="B43" s="25"/>
      <c r="X43" s="792"/>
      <c r="Y43" s="792"/>
      <c r="Z43" s="792"/>
      <c r="AA43" s="792"/>
      <c r="AB43" s="792"/>
      <c r="AC43" s="792"/>
      <c r="AD43" s="792"/>
      <c r="AE43"/>
      <c r="AF43"/>
      <c r="AG43" s="4"/>
      <c r="AH43" s="4"/>
    </row>
    <row r="44" s="35" customFormat="1" ht="20.1" customHeight="1">
      <c r="B44" s="784" t="s">
        <v>10</v>
      </c>
      <c r="C44" s="350" t="s">
        <v>296</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v>31</v>
      </c>
      <c r="AH45" s="529"/>
      <c r="AI45" s="236"/>
      <c r="AJ45" s="236"/>
      <c r="AK45" s="236"/>
      <c r="AL45" s="236"/>
      <c r="AM45" s="236"/>
      <c r="AN45" s="236"/>
      <c r="AO45" s="236"/>
      <c r="AP45" s="236"/>
      <c r="AQ45" s="236"/>
      <c r="AR45" s="236"/>
      <c r="AS45" s="236"/>
      <c r="AT45" s="236"/>
      <c r="AU45" s="236"/>
      <c r="AV45" s="236"/>
      <c r="AW45" s="236"/>
    </row>
    <row r="46" ht="24.95" customHeight="1">
      <c r="B46" s="263" t="s">
        <v>19</v>
      </c>
      <c r="C46" s="578">
        <v>526.59848484848484848484848485</v>
      </c>
      <c r="D46" s="579">
        <v>625.12121212121212121212121212</v>
      </c>
      <c r="E46" s="579">
        <v>649.76515151515151515151515152</v>
      </c>
      <c r="F46" s="579">
        <v>558.93181818181818181818181818</v>
      </c>
      <c r="G46" s="579">
        <v>259.32575757575757575757575758</v>
      </c>
      <c r="H46" s="579">
        <v>188.1969696969696969696969697</v>
      </c>
      <c r="I46" s="579">
        <v>167.56060606060606060606060606</v>
      </c>
      <c r="J46" s="579">
        <v>167.34848484848484848484848485</v>
      </c>
      <c r="K46" s="579">
        <v>200.4469696969696969696969697</v>
      </c>
      <c r="L46" s="579">
        <v>274.10606060606060606060606061</v>
      </c>
      <c r="M46" s="579">
        <v>293.750000000</v>
      </c>
      <c r="N46" s="579">
        <v>138.86363636363636363636363636</v>
      </c>
      <c r="O46" s="579">
        <v>142.20454545454545454545454545</v>
      </c>
      <c r="P46" s="579">
        <v>138.48484848484848484848484848</v>
      </c>
      <c r="Q46" s="579">
        <v>143.87878787878787878787878788</v>
      </c>
      <c r="R46" s="579">
        <v>157.74242424242424242424242424</v>
      </c>
      <c r="S46" s="579">
        <v>255.96212121212121212121212121</v>
      </c>
      <c r="T46" s="579">
        <v>291.93939393939393939393939394</v>
      </c>
      <c r="U46" s="579">
        <v>209.45454545454545454545454545</v>
      </c>
      <c r="V46" s="579">
        <v>188.84090909090909090909090909</v>
      </c>
      <c r="W46" s="579">
        <v>206.01515151515151515151515152</v>
      </c>
      <c r="X46" s="579">
        <v>196.77272727272727272727272727</v>
      </c>
      <c r="Y46" s="579">
        <v>210.06060606060606060606060606</v>
      </c>
      <c r="Z46" s="579">
        <v>323.18939393939393939393939394</v>
      </c>
      <c r="AA46" s="579">
        <v>318.09090909090909090909090909</v>
      </c>
      <c r="AB46" s="579">
        <v>388.42424242424242424242424242</v>
      </c>
      <c r="AC46" s="579">
        <v>414.13636363636363636363636364</v>
      </c>
      <c r="AD46" s="579">
        <v>429.97727272727272727272727273</v>
      </c>
      <c r="AE46" s="579">
        <v>453.95454545454545454545454545</v>
      </c>
      <c r="AF46" s="579">
        <v>560.61363636363636363636363636</v>
      </c>
      <c r="AG46" s="580">
        <v>690.32575757575757575757575758</v>
      </c>
      <c r="AH46" s="342"/>
    </row>
    <row r="47" ht="24.95" customHeight="1">
      <c r="B47" s="38" t="s">
        <v>35</v>
      </c>
      <c r="C47" s="276">
        <v>501.24331786542923433874709977</v>
      </c>
      <c r="D47" s="94">
        <v>604.5234802784222737819025522</v>
      </c>
      <c r="E47" s="94">
        <v>632.4282598607888631090487239</v>
      </c>
      <c r="F47" s="94">
        <v>461.2017401392111368909512761</v>
      </c>
      <c r="G47" s="94">
        <v>219.64663573085846867749419954</v>
      </c>
      <c r="H47" s="94">
        <v>142.99508120649651972157772622</v>
      </c>
      <c r="I47" s="94">
        <v>178.804733178654292343387471</v>
      </c>
      <c r="J47" s="94">
        <v>162.40466357308584686774941995</v>
      </c>
      <c r="K47" s="94">
        <v>190.23598607888631090487238979</v>
      </c>
      <c r="L47" s="94">
        <v>248.4635730858468677494199536</v>
      </c>
      <c r="M47" s="94">
        <v>254.5588399071925754060324826</v>
      </c>
      <c r="N47" s="94">
        <v>141.84341067285382830626450116</v>
      </c>
      <c r="O47" s="94">
        <v>113.89194895591647331786542923</v>
      </c>
      <c r="P47" s="94">
        <v>98.48814385150812064965197216</v>
      </c>
      <c r="Q47" s="94">
        <v>120.7135266821345707656612529</v>
      </c>
      <c r="R47" s="94">
        <v>141.72141531322505800464037123</v>
      </c>
      <c r="S47" s="94">
        <v>200.38939675174013921113689095</v>
      </c>
      <c r="T47" s="94">
        <v>226.70747099767981438515081206</v>
      </c>
      <c r="U47" s="94">
        <v>193.57245939675174013921113689</v>
      </c>
      <c r="V47" s="94">
        <v>166.87686774941995359628770302</v>
      </c>
      <c r="W47" s="94">
        <v>174.41972157772621809744779582</v>
      </c>
      <c r="X47" s="94">
        <v>172.95874709976798143851508121</v>
      </c>
      <c r="Y47" s="94">
        <v>156.26993039443155452436194896</v>
      </c>
      <c r="Z47" s="94">
        <v>205.61823665893271461716937355</v>
      </c>
      <c r="AA47" s="94">
        <v>218.10756380510440835266821346</v>
      </c>
      <c r="AB47" s="94">
        <v>241.17925754060324825986078886</v>
      </c>
      <c r="AC47" s="94">
        <v>353.57798143851508120649651972</v>
      </c>
      <c r="AD47" s="94">
        <v>364.76361948955916473317865429</v>
      </c>
      <c r="AE47" s="94">
        <v>407.46248259860788863109048724</v>
      </c>
      <c r="AF47" s="94">
        <v>474.17587006960556844547563805</v>
      </c>
      <c r="AG47" s="277">
        <v>611.92192575406032482598607889</v>
      </c>
      <c r="AH47" s="342"/>
    </row>
    <row r="48" ht="24.95" customHeight="1">
      <c r="A48" s="23"/>
      <c r="B48" s="40" t="s">
        <v>99</v>
      </c>
      <c r="C48" s="581">
        <v>105.05845486200831820056997802</v>
      </c>
      <c r="D48" s="582">
        <v>103.40726746185330235462413740</v>
      </c>
      <c r="E48" s="582">
        <v>102.74132146754145313229149412</v>
      </c>
      <c r="F48" s="582">
        <v>121.19030990930514997444956226</v>
      </c>
      <c r="G48" s="582">
        <v>118.06498046868310432334909532</v>
      </c>
      <c r="H48" s="582">
        <v>131.61079955274683631637158830</v>
      </c>
      <c r="I48" s="582">
        <v>93.71150476938797527019081751</v>
      </c>
      <c r="J48" s="582">
        <v>103.04413750604776687400067657</v>
      </c>
      <c r="K48" s="582">
        <v>105.36753525373960293539358301</v>
      </c>
      <c r="L48" s="582">
        <v>110.32042130029015556591993871</v>
      </c>
      <c r="M48" s="582">
        <v>115.39571759012407252764119646</v>
      </c>
      <c r="N48" s="582">
        <v>97.89925080405040087386441352</v>
      </c>
      <c r="O48" s="582">
        <v>124.85917288990091945960688733</v>
      </c>
      <c r="P48" s="582">
        <v>140.61067969119605471419992535</v>
      </c>
      <c r="Q48" s="582">
        <v>119.19027786973084395429834470</v>
      </c>
      <c r="R48" s="582">
        <v>111.30457870025529397130785626</v>
      </c>
      <c r="S48" s="582">
        <v>127.73236776057039111002606438</v>
      </c>
      <c r="T48" s="582">
        <v>128.77360973356794499405785842</v>
      </c>
      <c r="U48" s="582">
        <v>108.20472401254216082095783972</v>
      </c>
      <c r="V48" s="582">
        <v>113.16182502566505776563958868</v>
      </c>
      <c r="W48" s="582">
        <v>118.11459716345522645231723661</v>
      </c>
      <c r="X48" s="582">
        <v>113.76858966214796139236633208</v>
      </c>
      <c r="Y48" s="582">
        <v>134.42164179020537686027259218</v>
      </c>
      <c r="Z48" s="582">
        <v>157.17934322891858008070266365</v>
      </c>
      <c r="AA48" s="582">
        <v>145.84130121005219138965275846</v>
      </c>
      <c r="AB48" s="582">
        <v>161.05209311329356051605370642</v>
      </c>
      <c r="AC48" s="582">
        <v>117.12730582132679131007981498</v>
      </c>
      <c r="AD48" s="582">
        <v>117.87833263881191687725900647</v>
      </c>
      <c r="AE48" s="582">
        <v>111.41014568002251892468707727</v>
      </c>
      <c r="AF48" s="582">
        <v>118.22905207752186121788675591</v>
      </c>
      <c r="AG48" s="583">
        <v>112.81271817888885524290083392</v>
      </c>
      <c r="AH48" s="342"/>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792.3106546847611311694502604</v>
      </c>
      <c r="D50" s="574">
        <v>697.02501690349781319816173039</v>
      </c>
      <c r="E50" s="574">
        <v>392.50071777210347411557008604</v>
      </c>
      <c r="F50" s="574">
        <v>318.81811989115082361031714946</v>
      </c>
      <c r="G50" s="574">
        <v>271.38982315264405088318815161</v>
      </c>
      <c r="H50" s="574">
        <v>301.71410090543282208896978241</v>
      </c>
      <c r="I50" s="574">
        <v>280.49200068792957550285116071</v>
      </c>
      <c r="J50" s="574">
        <v>230.68862275423359568288592595</v>
      </c>
      <c r="K50" s="574">
        <v>191.94527198495527592117599622</v>
      </c>
      <c r="L50" s="574">
        <v>128.60933847225988618670275604</v>
      </c>
      <c r="M50" s="574">
        <v>127.78006226873276062822959829</v>
      </c>
      <c r="N50" s="574">
        <v>67.626886145423059191895245320</v>
      </c>
      <c r="O50" s="574">
        <v>107.59787657597876575978765759</v>
      </c>
      <c r="P50" s="574">
        <v>193.37185042557538615030548102</v>
      </c>
      <c r="Q50" s="574">
        <v>225.98695502891096165737405208</v>
      </c>
      <c r="R50" s="574">
        <v>114.92568125527638455228400466</v>
      </c>
      <c r="S50" s="574">
        <v>98.50185065502649624566006075</v>
      </c>
      <c r="T50" s="574">
        <v>115.90005042298804638802346377</v>
      </c>
      <c r="U50" s="574">
        <v>109.86792166394712856282494219</v>
      </c>
      <c r="V50" s="574">
        <v>82.52178370070374613709906791</v>
      </c>
      <c r="W50" s="574">
        <v>103.91421715657480246602149295</v>
      </c>
      <c r="X50" s="574">
        <v>131.64184428779750580779887719</v>
      </c>
      <c r="Y50" s="574">
        <v>114.06623948117482390309813327</v>
      </c>
      <c r="Z50" s="574">
        <v>131.55123751621272867292168957</v>
      </c>
      <c r="AA50" s="574">
        <v>92.22634253533433984191149551</v>
      </c>
      <c r="AB50" s="574">
        <v>99.89863152560177468537644670</v>
      </c>
      <c r="AC50" s="574">
        <v>104.32832473650633131417237106</v>
      </c>
      <c r="AD50" s="574">
        <v>83.45400478375158295921992364</v>
      </c>
      <c r="AE50" s="574">
        <v>60.485296480817674471667146730</v>
      </c>
      <c r="AF50" s="574">
        <v>36.389774591289936941429573850</v>
      </c>
      <c r="AG50" s="575">
        <v>105.30134054297623070857271601</v>
      </c>
      <c r="AH50" s="342"/>
    </row>
    <row r="51" ht="24.95" customHeight="1">
      <c r="B51" s="38" t="s">
        <v>35</v>
      </c>
      <c r="C51" s="271"/>
      <c r="D51" s="92"/>
      <c r="E51" s="92"/>
      <c r="F51" s="92"/>
      <c r="G51" s="92"/>
      <c r="H51" s="92"/>
      <c r="I51" s="92"/>
      <c r="J51" s="92"/>
      <c r="K51" s="92"/>
      <c r="L51" s="92"/>
      <c r="M51" s="92"/>
      <c r="N51" s="92"/>
      <c r="O51" s="92"/>
      <c r="P51" s="92"/>
      <c r="Q51" s="92"/>
      <c r="R51" s="92"/>
      <c r="S51" s="92"/>
      <c r="T51" s="92">
        <v>95.79485368799072187256998533</v>
      </c>
      <c r="U51" s="92">
        <v>94.57068262689002827804326029</v>
      </c>
      <c r="V51" s="92">
        <v>88.62424321730139487191984792</v>
      </c>
      <c r="W51" s="92">
        <v>92.82632274567156919443125942</v>
      </c>
      <c r="X51" s="92">
        <v>81.91940262229426183556931882</v>
      </c>
      <c r="Y51" s="92">
        <v>55.566473095452501013287488530</v>
      </c>
      <c r="Z51" s="92">
        <v>35.020939918243657460864104470</v>
      </c>
      <c r="AA51" s="92">
        <v>-3.5784165583909337824961905400</v>
      </c>
      <c r="AB51" s="92">
        <v>-2.3347517263359639029786494600</v>
      </c>
      <c r="AC51" s="92">
        <v>32.182892711375514412618136270</v>
      </c>
      <c r="AD51" s="92">
        <v>22.259913877065015018308037570</v>
      </c>
      <c r="AE51" s="92">
        <v>7.1535937037502182633984610700</v>
      </c>
      <c r="AF51" s="92">
        <v>-2.3789772605476369209863486700</v>
      </c>
      <c r="AG51" s="272">
        <v>51.370643942595118729695277140</v>
      </c>
      <c r="AH51" s="342"/>
    </row>
    <row r="52" ht="24.95" customHeight="1">
      <c r="A52" s="23"/>
      <c r="B52" s="40" t="s">
        <v>99</v>
      </c>
      <c r="C52" s="581"/>
      <c r="D52" s="582"/>
      <c r="E52" s="582"/>
      <c r="F52" s="582"/>
      <c r="G52" s="582"/>
      <c r="H52" s="582"/>
      <c r="I52" s="582"/>
      <c r="J52" s="582"/>
      <c r="K52" s="582"/>
      <c r="L52" s="582"/>
      <c r="M52" s="582"/>
      <c r="N52" s="582"/>
      <c r="O52" s="582"/>
      <c r="P52" s="582"/>
      <c r="Q52" s="582"/>
      <c r="R52" s="582"/>
      <c r="S52" s="582"/>
      <c r="T52" s="582">
        <v>10.268501115558668324751788720</v>
      </c>
      <c r="U52" s="582">
        <v>7.8620472676523564276030887100</v>
      </c>
      <c r="V52" s="582">
        <v>-3.2352466535771754657850656800</v>
      </c>
      <c r="W52" s="582">
        <v>5.7501975108797479402535855900</v>
      </c>
      <c r="X52" s="582">
        <v>27.332126727025055012626206390</v>
      </c>
      <c r="Y52" s="582">
        <v>37.604353445680222903723398620</v>
      </c>
      <c r="Z52" s="582">
        <v>71.492834856998927784096053600</v>
      </c>
      <c r="AA52" s="582">
        <v>99.36028394709373759346218566</v>
      </c>
      <c r="AB52" s="582">
        <v>104.67733923696190329442974364</v>
      </c>
      <c r="AC52" s="582">
        <v>54.580006947351394196391217040</v>
      </c>
      <c r="AD52" s="582">
        <v>50.052457069575846498133620520</v>
      </c>
      <c r="AE52" s="582">
        <v>49.771268450799092998365796280</v>
      </c>
      <c r="AF52" s="582">
        <v>39.713527643820014425139143450</v>
      </c>
      <c r="AG52" s="583">
        <v>35.628240189627519257790679380</v>
      </c>
      <c r="AH52" s="342"/>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159</v>
      </c>
      <c r="AD1" s="5"/>
      <c r="AG1" s="685"/>
      <c r="AI1" s="236"/>
    </row>
    <row r="2" ht="21" customHeight="1">
      <c r="B2" s="11" t="s">
        <v>208</v>
      </c>
    </row>
    <row r="3" ht="21" customHeight="1">
      <c r="B3" s="11" t="s">
        <v>209</v>
      </c>
      <c r="U3" s="99" t="s">
        <v>303</v>
      </c>
      <c r="V3" s="99"/>
      <c r="W3" s="99"/>
      <c r="X3" s="99"/>
      <c r="Y3" s="99"/>
      <c r="Z3" s="99"/>
      <c r="AA3" s="99"/>
      <c r="AB3" s="99"/>
      <c r="AC3" s="99"/>
      <c r="AD3" s="99"/>
      <c r="AE3" s="99"/>
      <c r="AF3" s="99"/>
      <c r="AG3" s="99"/>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02" t="s">
        <v>91</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101</v>
      </c>
      <c r="N7" s="839"/>
      <c r="O7" s="283"/>
      <c r="Q7" s="839" t="s">
        <v>20</v>
      </c>
      <c r="R7" s="839"/>
      <c r="S7" s="283"/>
      <c r="T7" s="839" t="s">
        <v>18</v>
      </c>
      <c r="U7" s="839"/>
      <c r="V7" s="283"/>
      <c r="W7" s="839" t="s">
        <v>17</v>
      </c>
      <c r="X7" s="839"/>
      <c r="Y7" s="283"/>
      <c r="Z7" s="839" t="s">
        <v>101</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2020</v>
      </c>
      <c r="C9" s="285" t="s">
        <v>218</v>
      </c>
      <c r="D9" s="434">
        <v>137.33955223880597014925373134</v>
      </c>
      <c r="E9" s="435"/>
      <c r="F9" s="436">
        <v>112.91588785046728971962616822</v>
      </c>
      <c r="G9" s="434">
        <v>9.031716417910447761194029851</v>
      </c>
      <c r="H9" s="435"/>
      <c r="I9" s="436">
        <v>19.762553188019105902243996946</v>
      </c>
      <c r="J9" s="434">
        <v>15.979477611940298507462686567</v>
      </c>
      <c r="K9" s="435"/>
      <c r="L9" s="436">
        <v>23.708100022113903461427451666</v>
      </c>
      <c r="M9" s="434">
        <v>162.35074626865671641791044776</v>
      </c>
      <c r="N9" s="435"/>
      <c r="O9" s="436">
        <v>156.38654106060029908329761684</v>
      </c>
      <c r="P9" s="5"/>
      <c r="Q9" s="415">
        <v>-12.777911134788879084378639770</v>
      </c>
      <c r="R9" s="416"/>
      <c r="S9" s="417">
        <v>-21.241519568444252921197763550</v>
      </c>
      <c r="T9" s="415">
        <v>-68.823468677819342479033090370</v>
      </c>
      <c r="U9" s="416"/>
      <c r="V9" s="417">
        <v>-47.465746370744394786485309890</v>
      </c>
      <c r="W9" s="415">
        <v>-47.687853194025160059900064930</v>
      </c>
      <c r="X9" s="416"/>
      <c r="Y9" s="417">
        <v>63.202705627275892223610288670</v>
      </c>
      <c r="Z9" s="415">
        <v>-25.175574456917406188571227470</v>
      </c>
      <c r="AA9" s="416"/>
      <c r="AB9" s="417">
        <v>-20.013025876847600183856541430</v>
      </c>
      <c r="AC9" s="5"/>
      <c r="AD9" s="427"/>
      <c r="AE9" s="428"/>
      <c r="AF9" s="428"/>
      <c r="AG9" s="429"/>
    </row>
    <row r="10" ht="20.1" customHeight="1">
      <c r="A10" s="58"/>
      <c r="B10" s="286"/>
      <c r="C10" s="287" t="s">
        <v>219</v>
      </c>
      <c r="D10" s="276">
        <v>110.25358851674641148325358852</v>
      </c>
      <c r="E10" s="94"/>
      <c r="F10" s="277">
        <v>109.77488230223459982759763941</v>
      </c>
      <c r="G10" s="276">
        <v>8.983732057416267942583732057</v>
      </c>
      <c r="H10" s="94"/>
      <c r="I10" s="277">
        <v>19.613572557329374933587221966</v>
      </c>
      <c r="J10" s="276">
        <v>25</v>
      </c>
      <c r="K10" s="94"/>
      <c r="L10" s="277">
        <v>18.240893789896183114991030731</v>
      </c>
      <c r="M10" s="276">
        <v>144.23732057416267942583732057</v>
      </c>
      <c r="N10" s="94"/>
      <c r="O10" s="277">
        <v>147.62934864946015787617589212</v>
      </c>
      <c r="P10" s="5"/>
      <c r="Q10" s="271">
        <v>-18.810593485602468349968749560</v>
      </c>
      <c r="R10" s="92"/>
      <c r="S10" s="272">
        <v>-19.46350305623297467379647100</v>
      </c>
      <c r="T10" s="271">
        <v>-57.949831707915126204558697210</v>
      </c>
      <c r="U10" s="92"/>
      <c r="V10" s="272">
        <v>-46.854126210465520605953384750</v>
      </c>
      <c r="W10" s="271">
        <v>-22.999416370352630863435882640</v>
      </c>
      <c r="X10" s="92"/>
      <c r="Y10" s="272">
        <v>21.493896051667901083293522110</v>
      </c>
      <c r="Z10" s="271">
        <v>-23.937339855655833285267095750</v>
      </c>
      <c r="AA10" s="92"/>
      <c r="AB10" s="272">
        <v>-21.567001202038281343353241810</v>
      </c>
      <c r="AC10" s="5"/>
      <c r="AD10" s="271"/>
      <c r="AE10" s="92"/>
      <c r="AF10" s="92"/>
      <c r="AG10" s="272"/>
    </row>
    <row r="11" ht="20.1" customHeight="1">
      <c r="A11" s="58"/>
      <c r="B11" s="288"/>
      <c r="C11" s="289" t="s">
        <v>220</v>
      </c>
      <c r="D11" s="439">
        <v>112.30937167199148029818956337</v>
      </c>
      <c r="E11" s="95"/>
      <c r="F11" s="442">
        <v>114.90197827144478676828279552</v>
      </c>
      <c r="G11" s="439">
        <v>8.092651757188498402555910543</v>
      </c>
      <c r="H11" s="95"/>
      <c r="I11" s="442">
        <v>22.818099130778341354326985398</v>
      </c>
      <c r="J11" s="439">
        <v>24.009584664536741214057507987</v>
      </c>
      <c r="K11" s="95"/>
      <c r="L11" s="442">
        <v>28.010602715438615333605834193</v>
      </c>
      <c r="M11" s="439">
        <v>144.4116080937167199148029819</v>
      </c>
      <c r="N11" s="95"/>
      <c r="O11" s="442">
        <v>165.73068011766174345621561513</v>
      </c>
      <c r="P11" s="5"/>
      <c r="Q11" s="497">
        <v>-9.261080772852987257930738320</v>
      </c>
      <c r="R11" s="216"/>
      <c r="S11" s="498">
        <v>-14.445012144246645265856050790</v>
      </c>
      <c r="T11" s="497">
        <v>-55.084497322897021874753589980</v>
      </c>
      <c r="U11" s="216"/>
      <c r="V11" s="498">
        <v>-51.816417192805428437076495870</v>
      </c>
      <c r="W11" s="497">
        <v>-24.522637469695323321208704730</v>
      </c>
      <c r="X11" s="216"/>
      <c r="Y11" s="498">
        <v>90.02642358491524645279133559</v>
      </c>
      <c r="Z11" s="497">
        <v>-16.813499138889428995709857990</v>
      </c>
      <c r="AA11" s="216"/>
      <c r="AB11" s="498">
        <v>-15.615254277358783056456968110</v>
      </c>
      <c r="AC11" s="5"/>
      <c r="AD11" s="420"/>
      <c r="AE11" s="91"/>
      <c r="AF11" s="91"/>
      <c r="AG11" s="421"/>
    </row>
    <row r="12" ht="20.1" customHeight="1">
      <c r="A12" s="58"/>
      <c r="B12" s="286"/>
      <c r="C12" s="287" t="s">
        <v>221</v>
      </c>
      <c r="D12" s="276">
        <v>119.25265588914549653579676674</v>
      </c>
      <c r="E12" s="94"/>
      <c r="F12" s="277">
        <v>118.20231662195323526046103574</v>
      </c>
      <c r="G12" s="276">
        <v>11.55889145496535796766743649</v>
      </c>
      <c r="H12" s="94"/>
      <c r="I12" s="277">
        <v>26.178324522152679466262869213</v>
      </c>
      <c r="J12" s="276">
        <v>24.08267898383371824480369515</v>
      </c>
      <c r="K12" s="94"/>
      <c r="L12" s="277">
        <v>24.429353156356042109435888653</v>
      </c>
      <c r="M12" s="276">
        <v>154.89422632794457274826789838</v>
      </c>
      <c r="N12" s="94"/>
      <c r="O12" s="277">
        <v>168.80999430046195683615979361</v>
      </c>
      <c r="P12" s="5"/>
      <c r="Q12" s="271">
        <v>-17.032278935931160348737112620</v>
      </c>
      <c r="R12" s="92"/>
      <c r="S12" s="272">
        <v>-24.384675520797153959161471180</v>
      </c>
      <c r="T12" s="271">
        <v>-58.473871236348409312556017820</v>
      </c>
      <c r="U12" s="92"/>
      <c r="V12" s="272">
        <v>-50.924048687707179087022015790</v>
      </c>
      <c r="W12" s="271">
        <v>-18.330854436884585398745306870</v>
      </c>
      <c r="X12" s="92"/>
      <c r="Y12" s="272">
        <v>65.264862082388156093876153740</v>
      </c>
      <c r="Z12" s="271">
        <v>-22.960089730493032230034836110</v>
      </c>
      <c r="AA12" s="92"/>
      <c r="AB12" s="272">
        <v>-24.787810396737052452186252510</v>
      </c>
      <c r="AC12" s="5"/>
      <c r="AD12" s="271"/>
      <c r="AE12" s="92"/>
      <c r="AF12" s="92"/>
      <c r="AG12" s="272"/>
    </row>
    <row r="13" ht="20.1" customHeight="1">
      <c r="A13" s="58"/>
      <c r="B13" s="288"/>
      <c r="C13" s="289" t="s">
        <v>222</v>
      </c>
      <c r="D13" s="439">
        <v>126.34193862640038967364831953</v>
      </c>
      <c r="E13" s="95"/>
      <c r="F13" s="442">
        <v>117.9781393044216884526449908</v>
      </c>
      <c r="G13" s="439">
        <v>13.439357038480272771553823673</v>
      </c>
      <c r="H13" s="95"/>
      <c r="I13" s="442">
        <v>20.547714321788238021509313188</v>
      </c>
      <c r="J13" s="439">
        <v>23.780808572820263029712615684</v>
      </c>
      <c r="K13" s="95"/>
      <c r="L13" s="442">
        <v>19.415553593756741866178233736</v>
      </c>
      <c r="M13" s="439">
        <v>163.56210423770092547491475889</v>
      </c>
      <c r="N13" s="95"/>
      <c r="O13" s="442">
        <v>157.94140721996666834033253772</v>
      </c>
      <c r="P13" s="5"/>
      <c r="Q13" s="420">
        <v>-25.553202232646594983966306910</v>
      </c>
      <c r="R13" s="91"/>
      <c r="S13" s="498">
        <v>-30.913718916519196658100848170</v>
      </c>
      <c r="T13" s="420">
        <v>-69.897269250833124827125771140</v>
      </c>
      <c r="U13" s="91"/>
      <c r="V13" s="498">
        <v>-63.040337478868083444433485550</v>
      </c>
      <c r="W13" s="420">
        <v>-41.746053661222807575059827250</v>
      </c>
      <c r="X13" s="91"/>
      <c r="Y13" s="498">
        <v>-48.809609656474777498826719620</v>
      </c>
      <c r="Z13" s="420">
        <v>-35.902067626476431920347809340</v>
      </c>
      <c r="AA13" s="91"/>
      <c r="AB13" s="498">
        <v>-40.239890684487117346635215600</v>
      </c>
      <c r="AC13" s="5"/>
      <c r="AD13" s="420"/>
      <c r="AE13" s="91"/>
      <c r="AF13" s="91"/>
      <c r="AG13" s="421"/>
    </row>
    <row r="14" ht="20.1" customHeight="1">
      <c r="A14" s="58"/>
      <c r="B14" s="286"/>
      <c r="C14" s="287" t="s">
        <v>223</v>
      </c>
      <c r="D14" s="276">
        <v>165.20900102284350494374360723</v>
      </c>
      <c r="E14" s="94">
        <v>225.64332410611303344867358707</v>
      </c>
      <c r="F14" s="277">
        <v>150.38418177760960891036275965</v>
      </c>
      <c r="G14" s="276">
        <v>17.378793044664166382543470849</v>
      </c>
      <c r="H14" s="94"/>
      <c r="I14" s="277">
        <v>22.798393991354267507732045449</v>
      </c>
      <c r="J14" s="276">
        <v>22.25946130242072962836685987</v>
      </c>
      <c r="K14" s="94"/>
      <c r="L14" s="277">
        <v>21.167856335430077432456319767</v>
      </c>
      <c r="M14" s="276">
        <v>204.84725536992840095465393795</v>
      </c>
      <c r="N14" s="94"/>
      <c r="O14" s="277">
        <v>194.35043210439395385055112487</v>
      </c>
      <c r="P14" s="5"/>
      <c r="Q14" s="271">
        <v>-34.081338107853217295269365600</v>
      </c>
      <c r="R14" s="92">
        <v>-32.252414283168828768000535530</v>
      </c>
      <c r="S14" s="272">
        <v>-29.796356626057946116237446690</v>
      </c>
      <c r="T14" s="271">
        <v>-66.072256340961639483392598450</v>
      </c>
      <c r="U14" s="92"/>
      <c r="V14" s="272">
        <v>-54.858530591782642927498691030</v>
      </c>
      <c r="W14" s="271">
        <v>-24.077843486772604825020735300</v>
      </c>
      <c r="X14" s="92"/>
      <c r="Y14" s="272">
        <v>31.623232615601495059478753260</v>
      </c>
      <c r="Z14" s="271">
        <v>-38.143873939742081217153023400</v>
      </c>
      <c r="AA14" s="92"/>
      <c r="AB14" s="272">
        <v>-30.786352156261903847093483290</v>
      </c>
      <c r="AC14" s="5"/>
      <c r="AD14" s="271" t="s">
        <v>225</v>
      </c>
      <c r="AE14" s="92"/>
      <c r="AF14" s="92"/>
      <c r="AG14" s="272"/>
    </row>
    <row r="15" ht="20.1" customHeight="1">
      <c r="A15" s="58"/>
      <c r="B15" s="288">
        <v>2021</v>
      </c>
      <c r="C15" s="289" t="s">
        <v>227</v>
      </c>
      <c r="D15" s="439">
        <v>167.68451188090466647580876038</v>
      </c>
      <c r="E15" s="95">
        <v>224.58900271002710027100271001</v>
      </c>
      <c r="F15" s="442">
        <v>160.04238945892079427179449325</v>
      </c>
      <c r="G15" s="439">
        <v>18.720011451474377326080732894</v>
      </c>
      <c r="H15" s="95"/>
      <c r="I15" s="442">
        <v>25.000421728791329329443536786</v>
      </c>
      <c r="J15" s="439">
        <v>23.673346693386773547094188377</v>
      </c>
      <c r="K15" s="95"/>
      <c r="L15" s="442">
        <v>22.790100409266834373282766568</v>
      </c>
      <c r="M15" s="439">
        <v>210.07787002576581734898368165</v>
      </c>
      <c r="N15" s="95"/>
      <c r="O15" s="442">
        <v>207.83291159697895797452079661</v>
      </c>
      <c r="P15" s="5"/>
      <c r="Q15" s="420">
        <v>-46.116208887631862448077234380</v>
      </c>
      <c r="R15" s="91">
        <v>-31.866510616663541622761620420</v>
      </c>
      <c r="S15" s="498">
        <v>-36.824292283529379111811149840</v>
      </c>
      <c r="T15" s="420">
        <v>-65.424832197242237631325373060</v>
      </c>
      <c r="U15" s="91"/>
      <c r="V15" s="498">
        <v>-55.296558774164673232309553740</v>
      </c>
      <c r="W15" s="420">
        <v>-17.184915048918722411561638160</v>
      </c>
      <c r="X15" s="91"/>
      <c r="Y15" s="498">
        <v>62.307367450277810843182334730</v>
      </c>
      <c r="Z15" s="420">
        <v>-46.670632979812726711343461640</v>
      </c>
      <c r="AA15" s="91"/>
      <c r="AB15" s="498">
        <v>-35.714232623255827215698507830</v>
      </c>
      <c r="AC15" s="5"/>
      <c r="AD15" s="420" t="s">
        <v>229</v>
      </c>
      <c r="AE15" s="91"/>
      <c r="AF15" s="91"/>
      <c r="AG15" s="421"/>
    </row>
    <row r="16" ht="20.1" customHeight="1">
      <c r="A16" s="58"/>
      <c r="B16" s="286"/>
      <c r="C16" s="287" t="s">
        <v>230</v>
      </c>
      <c r="D16" s="276">
        <v>203.34657574859175807886154758</v>
      </c>
      <c r="E16" s="94">
        <v>267.05876708657196462074510856</v>
      </c>
      <c r="F16" s="277">
        <v>174.25481867422477214909432607</v>
      </c>
      <c r="G16" s="276">
        <v>33.957604506374147643047731989</v>
      </c>
      <c r="H16" s="94"/>
      <c r="I16" s="277">
        <v>26.221923117554991221713332147</v>
      </c>
      <c r="J16" s="276">
        <v>18.31663207826860361695819745</v>
      </c>
      <c r="K16" s="94"/>
      <c r="L16" s="277">
        <v>20.502687544625138265194755447</v>
      </c>
      <c r="M16" s="276">
        <v>255.62081233323450933886747702</v>
      </c>
      <c r="N16" s="94"/>
      <c r="O16" s="277">
        <v>220.97942933640490163600241367</v>
      </c>
      <c r="P16" s="5"/>
      <c r="Q16" s="271">
        <v>-39.284651729521294181115037140</v>
      </c>
      <c r="R16" s="92">
        <v>-29.186081828614759714724195760</v>
      </c>
      <c r="S16" s="272">
        <v>-37.477797149246269448539033610</v>
      </c>
      <c r="T16" s="271">
        <v>-48.815078989601995494639228810</v>
      </c>
      <c r="U16" s="92"/>
      <c r="V16" s="272">
        <v>-60.470847642149544439656426040</v>
      </c>
      <c r="W16" s="271">
        <v>-30.840902729580792089471841470</v>
      </c>
      <c r="X16" s="92"/>
      <c r="Y16" s="272">
        <v>30.600943570608117217122800110</v>
      </c>
      <c r="Z16" s="271">
        <v>-40.240000243112961650717333640</v>
      </c>
      <c r="AA16" s="92"/>
      <c r="AB16" s="272">
        <v>-38.743266878846575668017382260</v>
      </c>
      <c r="AC16" s="5"/>
      <c r="AD16" s="271" t="s">
        <v>229</v>
      </c>
      <c r="AE16" s="92"/>
      <c r="AF16" s="92"/>
      <c r="AG16" s="272"/>
    </row>
    <row r="17" ht="20.1" customHeight="1">
      <c r="A17" s="58"/>
      <c r="B17" s="288"/>
      <c r="C17" s="289" t="s">
        <v>231</v>
      </c>
      <c r="D17" s="439">
        <v>236.42155525238744884038199181</v>
      </c>
      <c r="E17" s="95">
        <v>301.79862313049434866993949081</v>
      </c>
      <c r="F17" s="442">
        <v>203.10052439894369281986458242</v>
      </c>
      <c r="G17" s="439">
        <v>38.942974079126875852660300136</v>
      </c>
      <c r="H17" s="95"/>
      <c r="I17" s="442">
        <v>27.321269230616830241535990999</v>
      </c>
      <c r="J17" s="439">
        <v>21.99236016371077762619372442</v>
      </c>
      <c r="K17" s="95"/>
      <c r="L17" s="442">
        <v>19.181842255275728234356882448</v>
      </c>
      <c r="M17" s="439">
        <v>297.35688949522510231923601637</v>
      </c>
      <c r="N17" s="95"/>
      <c r="O17" s="442">
        <v>249.60363588483625129575745587</v>
      </c>
      <c r="P17" s="5"/>
      <c r="Q17" s="420">
        <v>5.8718794580687135096387704100</v>
      </c>
      <c r="R17" s="91">
        <v>4.2302829735933454512530758200</v>
      </c>
      <c r="S17" s="498">
        <v>-0.7902443771276508398451603200</v>
      </c>
      <c r="T17" s="420">
        <v>-20.329310660650655222338899620</v>
      </c>
      <c r="U17" s="91"/>
      <c r="V17" s="498">
        <v>-49.507651862448707910034124620</v>
      </c>
      <c r="W17" s="420">
        <v>-56.904781956308525189977343720</v>
      </c>
      <c r="X17" s="91"/>
      <c r="Y17" s="498">
        <v>-28.233637721558036267049667360</v>
      </c>
      <c r="Z17" s="420">
        <v>-8.002006332455158655393270300</v>
      </c>
      <c r="AA17" s="91"/>
      <c r="AB17" s="498">
        <v>-12.590363984078715306465959360</v>
      </c>
      <c r="AC17" s="5"/>
      <c r="AD17" s="420" t="s">
        <v>229</v>
      </c>
      <c r="AE17" s="91"/>
      <c r="AF17" s="91"/>
      <c r="AG17" s="421"/>
    </row>
    <row r="18" ht="20.1" customHeight="1">
      <c r="A18" s="58"/>
      <c r="B18" s="286"/>
      <c r="C18" s="287" t="s">
        <v>232</v>
      </c>
      <c r="D18" s="276">
        <v>240.30954380072767982087881332</v>
      </c>
      <c r="E18" s="94">
        <v>293.4979438781930288159053731</v>
      </c>
      <c r="F18" s="277">
        <v>204.77525432636360223732122077</v>
      </c>
      <c r="G18" s="276">
        <v>44.104394066610691295829834873</v>
      </c>
      <c r="H18" s="94">
        <v>108.06049959208538857755508472</v>
      </c>
      <c r="I18" s="277">
        <v>32.303450764421533241174118425</v>
      </c>
      <c r="J18" s="276">
        <v>23.582143856703050657710607333</v>
      </c>
      <c r="K18" s="94">
        <v>15.945391086608255518336465125</v>
      </c>
      <c r="L18" s="277">
        <v>18.606380713465910421632760065</v>
      </c>
      <c r="M18" s="276">
        <v>307.99608172404142177441925553</v>
      </c>
      <c r="N18" s="94">
        <v>417.50383455688667291179692294</v>
      </c>
      <c r="O18" s="277">
        <v>255.68508580425104590012809925</v>
      </c>
      <c r="P18" s="5"/>
      <c r="Q18" s="271"/>
      <c r="R18" s="92"/>
      <c r="S18" s="272">
        <v>107.77590196374288357528821139</v>
      </c>
      <c r="T18" s="271"/>
      <c r="U18" s="92"/>
      <c r="V18" s="272">
        <v>33.674694994100283498428790410</v>
      </c>
      <c r="W18" s="271"/>
      <c r="X18" s="92"/>
      <c r="Y18" s="272">
        <v>104.98347617033271532108583576</v>
      </c>
      <c r="Z18" s="271"/>
      <c r="AA18" s="92"/>
      <c r="AB18" s="272">
        <v>93.99687560285620570882086927</v>
      </c>
      <c r="AC18" s="5"/>
      <c r="AD18" s="271" t="s">
        <v>229</v>
      </c>
      <c r="AE18" s="92" t="s">
        <v>226</v>
      </c>
      <c r="AF18" s="92" t="s">
        <v>226</v>
      </c>
      <c r="AG18" s="272" t="s">
        <v>226</v>
      </c>
    </row>
    <row r="19" ht="20.1" customHeight="1">
      <c r="A19" s="58"/>
      <c r="B19" s="288"/>
      <c r="C19" s="289" t="s">
        <v>233</v>
      </c>
      <c r="D19" s="439">
        <v>270.11892752853729758428457659</v>
      </c>
      <c r="E19" s="95">
        <v>309.10566534607317641575390352</v>
      </c>
      <c r="F19" s="442">
        <v>216.93938819707634001082837033</v>
      </c>
      <c r="G19" s="439">
        <v>38.057074595168569153172285638</v>
      </c>
      <c r="H19" s="95">
        <v>94.60060320151628183505160016</v>
      </c>
      <c r="I19" s="442">
        <v>33.850188705478739895206065833</v>
      </c>
      <c r="J19" s="439">
        <v>22.606848951420228298380674277</v>
      </c>
      <c r="K19" s="95">
        <v>19.094838347353838048507175239</v>
      </c>
      <c r="L19" s="442">
        <v>19.279238823134638190881929522</v>
      </c>
      <c r="M19" s="439">
        <v>330.7828510751260950358375365</v>
      </c>
      <c r="N19" s="95">
        <v>422.80110689494329629931267892</v>
      </c>
      <c r="O19" s="442">
        <v>270.06881572568971809691636568</v>
      </c>
      <c r="P19" s="5"/>
      <c r="Q19" s="420"/>
      <c r="R19" s="91"/>
      <c r="S19" s="498">
        <v>144.47994255610171961486947321</v>
      </c>
      <c r="T19" s="420"/>
      <c r="U19" s="91"/>
      <c r="V19" s="498">
        <v>153.60557115703017854238700715</v>
      </c>
      <c r="W19" s="420"/>
      <c r="X19" s="91"/>
      <c r="Y19" s="498">
        <v>232.09347644003773692988058916</v>
      </c>
      <c r="Z19" s="420"/>
      <c r="AA19" s="91"/>
      <c r="AB19" s="498">
        <v>150.32335093158210931990784945</v>
      </c>
      <c r="AC19" s="5"/>
      <c r="AD19" s="420" t="s">
        <v>229</v>
      </c>
      <c r="AE19" s="91" t="s">
        <v>226</v>
      </c>
      <c r="AF19" s="91" t="s">
        <v>226</v>
      </c>
      <c r="AG19" s="421" t="s">
        <v>226</v>
      </c>
    </row>
    <row r="20" ht="20.1" customHeight="1">
      <c r="A20" s="58"/>
      <c r="B20" s="286"/>
      <c r="C20" s="287" t="s">
        <v>234</v>
      </c>
      <c r="D20" s="276">
        <v>230.05903448275862068965517241</v>
      </c>
      <c r="E20" s="94">
        <v>271.29555777830077665333019534</v>
      </c>
      <c r="F20" s="277">
        <v>203.70302102587800369685767098</v>
      </c>
      <c r="G20" s="276">
        <v>38.003310344827586206896551724</v>
      </c>
      <c r="H20" s="94">
        <v>90.4236646457554111925315967</v>
      </c>
      <c r="I20" s="277">
        <v>36.15097519920971309162246537</v>
      </c>
      <c r="J20" s="276">
        <v>27.542896551724137931034482759</v>
      </c>
      <c r="K20" s="94">
        <v>22.746116797986888130985270717</v>
      </c>
      <c r="L20" s="277">
        <v>19.507200350713096322579604675</v>
      </c>
      <c r="M20" s="276">
        <v>295.6052413793103448275862069</v>
      </c>
      <c r="N20" s="94">
        <v>384.46533922204307597684706274</v>
      </c>
      <c r="O20" s="277">
        <v>259.36119657580081311105974102</v>
      </c>
      <c r="P20" s="5"/>
      <c r="Q20" s="271">
        <v>83.81170284164697676533084190</v>
      </c>
      <c r="R20" s="92"/>
      <c r="S20" s="272">
        <v>73.369722553811954247748560510</v>
      </c>
      <c r="T20" s="271">
        <v>2895.2115068989885300942738890</v>
      </c>
      <c r="U20" s="92"/>
      <c r="V20" s="272">
        <v>117.92028331920667362611193834</v>
      </c>
      <c r="W20" s="271">
        <v>85.68826032029288192485104644</v>
      </c>
      <c r="X20" s="92"/>
      <c r="Y20" s="272">
        <v>-19.405890166936774728981326950</v>
      </c>
      <c r="Z20" s="271">
        <v>109.26050845972629005176246141</v>
      </c>
      <c r="AA20" s="92"/>
      <c r="AB20" s="272">
        <v>63.852288142042480487266231840</v>
      </c>
      <c r="AC20" s="5"/>
      <c r="AD20" s="271" t="s">
        <v>229</v>
      </c>
      <c r="AE20" s="92" t="s">
        <v>226</v>
      </c>
      <c r="AF20" s="92" t="s">
        <v>226</v>
      </c>
      <c r="AG20" s="272" t="s">
        <v>226</v>
      </c>
    </row>
    <row r="21" ht="20.1" customHeight="1">
      <c r="A21" s="58"/>
      <c r="B21" s="288"/>
      <c r="C21" s="289" t="s">
        <v>218</v>
      </c>
      <c r="D21" s="439">
        <v>267.21810005621135469364811692</v>
      </c>
      <c r="E21" s="95">
        <v>287.93819883720930232558139536</v>
      </c>
      <c r="F21" s="442">
        <v>204.24169984587721551502697149</v>
      </c>
      <c r="G21" s="439">
        <v>42.230747611017425519955030916</v>
      </c>
      <c r="H21" s="95">
        <v>64.838951316338532352007505802</v>
      </c>
      <c r="I21" s="442">
        <v>33.303141585603500708227577267</v>
      </c>
      <c r="J21" s="439">
        <v>25.591905564924114671163575042</v>
      </c>
      <c r="K21" s="95">
        <v>23.810984594394711435305428838</v>
      </c>
      <c r="L21" s="442">
        <v>19.796347232749102225998883268</v>
      </c>
      <c r="M21" s="439">
        <v>335.04075323215289488476672288</v>
      </c>
      <c r="N21" s="95">
        <v>376.58813474794254611289433</v>
      </c>
      <c r="O21" s="442">
        <v>257.34118866422981844925343202</v>
      </c>
      <c r="P21" s="5"/>
      <c r="Q21" s="420">
        <v>94.56747579283222250525818635</v>
      </c>
      <c r="R21" s="91"/>
      <c r="S21" s="498">
        <v>80.87950573996466874198797539</v>
      </c>
      <c r="T21" s="420">
        <v>367.58274570401827540705064231</v>
      </c>
      <c r="U21" s="91"/>
      <c r="V21" s="498">
        <v>68.516391929689872965353292620</v>
      </c>
      <c r="W21" s="420">
        <v>60.154832257255328750860985100</v>
      </c>
      <c r="X21" s="91"/>
      <c r="Y21" s="498">
        <v>-16.499646895805550887789784870</v>
      </c>
      <c r="Z21" s="420">
        <v>106.36847130818900732347904345</v>
      </c>
      <c r="AA21" s="91"/>
      <c r="AB21" s="498">
        <v>64.554562636249978501465765550</v>
      </c>
      <c r="AC21" s="5"/>
      <c r="AD21" s="420" t="s">
        <v>229</v>
      </c>
      <c r="AE21" s="91" t="s">
        <v>226</v>
      </c>
      <c r="AF21" s="91" t="s">
        <v>225</v>
      </c>
      <c r="AG21" s="421" t="s">
        <v>226</v>
      </c>
    </row>
    <row r="22" ht="20.1" customHeight="1">
      <c r="A22" s="58"/>
      <c r="B22" s="286"/>
      <c r="C22" s="287" t="s">
        <v>219</v>
      </c>
      <c r="D22" s="276">
        <v>206.73171670515781370284834488</v>
      </c>
      <c r="E22" s="94">
        <v>232.55804276057223706964313787</v>
      </c>
      <c r="F22" s="277">
        <v>166.62676694150559852942163065</v>
      </c>
      <c r="G22" s="276">
        <v>38.190531177829099307159353349</v>
      </c>
      <c r="H22" s="94"/>
      <c r="I22" s="277">
        <v>34.704125377654554754817173442</v>
      </c>
      <c r="J22" s="276">
        <v>24.960739030023094688221709007</v>
      </c>
      <c r="K22" s="94"/>
      <c r="L22" s="277">
        <v>20.40171350374998559065101607</v>
      </c>
      <c r="M22" s="276">
        <v>269.88298691301000769822940724</v>
      </c>
      <c r="N22" s="94"/>
      <c r="O22" s="277">
        <v>221.73260582291013887488982016</v>
      </c>
      <c r="P22" s="5"/>
      <c r="Q22" s="271">
        <v>87.50565808009448037464337649</v>
      </c>
      <c r="R22" s="92"/>
      <c r="S22" s="272">
        <v>51.789520013146239637673848250</v>
      </c>
      <c r="T22" s="271">
        <v>325.10763827123644092977880746</v>
      </c>
      <c r="U22" s="92"/>
      <c r="V22" s="272">
        <v>76.939337676847572088070720600</v>
      </c>
      <c r="W22" s="271">
        <v>-0.1570438799076212471131639700</v>
      </c>
      <c r="X22" s="92"/>
      <c r="Y22" s="272">
        <v>11.846018834046572284137304010</v>
      </c>
      <c r="Z22" s="271">
        <v>87.11037187783456623826852017</v>
      </c>
      <c r="AA22" s="92"/>
      <c r="AB22" s="272">
        <v>50.195477966474870215260679820</v>
      </c>
      <c r="AC22" s="5"/>
      <c r="AD22" s="271" t="s">
        <v>229</v>
      </c>
      <c r="AE22" s="92"/>
      <c r="AF22" s="92"/>
      <c r="AG22" s="272"/>
    </row>
    <row r="23" ht="20.1" customHeight="1">
      <c r="A23" s="58"/>
      <c r="B23" s="288"/>
      <c r="C23" s="289" t="s">
        <v>220</v>
      </c>
      <c r="D23" s="439">
        <v>182.90093936806148590947907771</v>
      </c>
      <c r="E23" s="95">
        <v>215.0378582995951417004048583</v>
      </c>
      <c r="F23" s="442">
        <v>157.05728151715384328218912159</v>
      </c>
      <c r="G23" s="439">
        <v>38.356105892399658411614005124</v>
      </c>
      <c r="H23" s="95"/>
      <c r="I23" s="442">
        <v>36.474422613808620706938891776</v>
      </c>
      <c r="J23" s="439">
        <v>23.562339880444064901793339026</v>
      </c>
      <c r="K23" s="95"/>
      <c r="L23" s="442">
        <v>23.196199934447733095602047476</v>
      </c>
      <c r="M23" s="439">
        <v>244.81938514090520922288642186</v>
      </c>
      <c r="N23" s="95"/>
      <c r="O23" s="442">
        <v>216.72790406541019708473006084</v>
      </c>
      <c r="P23" s="5"/>
      <c r="Q23" s="420">
        <v>62.854565603148828120779834780</v>
      </c>
      <c r="R23" s="91"/>
      <c r="S23" s="498">
        <v>36.688056968159814159686081260</v>
      </c>
      <c r="T23" s="420">
        <v>373.96214545219227973150038222</v>
      </c>
      <c r="U23" s="91"/>
      <c r="V23" s="498">
        <v>59.848646483331460288349795130</v>
      </c>
      <c r="W23" s="420">
        <v>-1.8627760134360865599498341300</v>
      </c>
      <c r="X23" s="91"/>
      <c r="Y23" s="498">
        <v>-17.187787174266506159686848060</v>
      </c>
      <c r="Z23" s="420">
        <v>69.528882319527005397993780250</v>
      </c>
      <c r="AA23" s="91"/>
      <c r="AB23" s="498">
        <v>30.771142622170235600575399520</v>
      </c>
      <c r="AC23" s="5"/>
      <c r="AD23" s="420" t="s">
        <v>229</v>
      </c>
      <c r="AE23" s="91"/>
      <c r="AF23" s="91"/>
      <c r="AG23" s="421"/>
    </row>
    <row r="24" ht="20.1" customHeight="1">
      <c r="A24" s="59"/>
      <c r="B24" s="286"/>
      <c r="C24" s="287" t="s">
        <v>221</v>
      </c>
      <c r="D24" s="276">
        <v>185.16122584943371085942704863</v>
      </c>
      <c r="E24" s="94">
        <v>231.03938126009693053311793215</v>
      </c>
      <c r="F24" s="277">
        <v>167.94421092381312021394479283</v>
      </c>
      <c r="G24" s="276">
        <v>39.429380413057961359093937375</v>
      </c>
      <c r="H24" s="94">
        <v>81.50068036287276521409476154</v>
      </c>
      <c r="I24" s="277">
        <v>41.797738828095756341710276083</v>
      </c>
      <c r="J24" s="276">
        <v>22.919720186542305129913391073</v>
      </c>
      <c r="K24" s="94">
        <v>26.049337686116994213361325928</v>
      </c>
      <c r="L24" s="277">
        <v>18.908571563240130961974650559</v>
      </c>
      <c r="M24" s="276">
        <v>247.51032644903397734843437708</v>
      </c>
      <c r="N24" s="94">
        <v>338.58939930908668996057401962</v>
      </c>
      <c r="O24" s="277">
        <v>228.65052131514900751762971948</v>
      </c>
      <c r="P24" s="93"/>
      <c r="Q24" s="271">
        <v>55.268010149497998698846866090</v>
      </c>
      <c r="R24" s="92"/>
      <c r="S24" s="272">
        <v>42.081996126085299639724681090</v>
      </c>
      <c r="T24" s="271">
        <v>241.11731705899959382475174714</v>
      </c>
      <c r="U24" s="92"/>
      <c r="V24" s="272">
        <v>59.665446857189149517243874370</v>
      </c>
      <c r="W24" s="271">
        <v>-4.8290258656023985550536030200</v>
      </c>
      <c r="X24" s="92"/>
      <c r="Y24" s="272">
        <v>-22.598967552743143813653486920</v>
      </c>
      <c r="Z24" s="271">
        <v>59.793126133102157570413504250</v>
      </c>
      <c r="AA24" s="92"/>
      <c r="AB24" s="272">
        <v>35.448450349525167459757501840</v>
      </c>
      <c r="AC24" s="93"/>
      <c r="AD24" s="271" t="s">
        <v>237</v>
      </c>
      <c r="AE24" s="92" t="s">
        <v>235</v>
      </c>
      <c r="AF24" s="92" t="s">
        <v>229</v>
      </c>
      <c r="AG24" s="272" t="s">
        <v>229</v>
      </c>
    </row>
    <row r="25" ht="20.1" customHeight="1">
      <c r="A25" s="60"/>
      <c r="B25" s="288"/>
      <c r="C25" s="289" t="s">
        <v>222</v>
      </c>
      <c r="D25" s="439">
        <v>232.85902424423825202035318767</v>
      </c>
      <c r="E25" s="95">
        <v>295.48234172812021705857798805</v>
      </c>
      <c r="F25" s="442">
        <v>192.20582696905941277493387229</v>
      </c>
      <c r="G25" s="439">
        <v>45.228674049685722837473810236</v>
      </c>
      <c r="H25" s="95">
        <v>117.95572011727745714142663614</v>
      </c>
      <c r="I25" s="442">
        <v>44.672680035631378608420396435</v>
      </c>
      <c r="J25" s="439">
        <v>20.830888955402574079616881173</v>
      </c>
      <c r="K25" s="95">
        <v>43.753265367288639439549780487</v>
      </c>
      <c r="L25" s="442">
        <v>18.980393170993228679122660973</v>
      </c>
      <c r="M25" s="439">
        <v>298.91858724932654893744387908</v>
      </c>
      <c r="N25" s="95">
        <v>457.19132721268631363955440468</v>
      </c>
      <c r="O25" s="442">
        <v>255.8589001756840200624769297</v>
      </c>
      <c r="P25" s="93"/>
      <c r="Q25" s="420">
        <v>84.30857304858609216838980761</v>
      </c>
      <c r="R25" s="91"/>
      <c r="S25" s="498">
        <v>62.916475969451984595147776640</v>
      </c>
      <c r="T25" s="420">
        <v>236.53897221510090501100582272</v>
      </c>
      <c r="U25" s="91"/>
      <c r="V25" s="498">
        <v>117.40948572677064484970182721</v>
      </c>
      <c r="W25" s="420">
        <v>-12.404622863713235298959173440</v>
      </c>
      <c r="X25" s="91"/>
      <c r="Y25" s="498">
        <v>-2.2412980433673124806810164900</v>
      </c>
      <c r="Z25" s="420">
        <v>82.75540574784789358958688622</v>
      </c>
      <c r="AA25" s="91"/>
      <c r="AB25" s="498">
        <v>61.996087460011438071114413930</v>
      </c>
      <c r="AC25" s="93"/>
      <c r="AD25" s="420" t="s">
        <v>237</v>
      </c>
      <c r="AE25" s="91" t="s">
        <v>235</v>
      </c>
      <c r="AF25" s="91" t="s">
        <v>304</v>
      </c>
      <c r="AG25" s="421" t="s">
        <v>229</v>
      </c>
    </row>
    <row r="26" ht="20.1" customHeight="1">
      <c r="A26" s="60"/>
      <c r="B26" s="290"/>
      <c r="C26" s="291" t="s">
        <v>223</v>
      </c>
      <c r="D26" s="443">
        <v>336.98538240668232837379274341</v>
      </c>
      <c r="E26" s="444">
        <v>429.2952912447885646217986897</v>
      </c>
      <c r="F26" s="445">
        <v>252.70153966261821703511181824</v>
      </c>
      <c r="G26" s="443">
        <v>55.808144087705559906029757244</v>
      </c>
      <c r="H26" s="444">
        <v>92.58761167361524717093508041</v>
      </c>
      <c r="I26" s="445">
        <v>46.911396179782930414312620228</v>
      </c>
      <c r="J26" s="443">
        <v>23.361785434612372748629600626</v>
      </c>
      <c r="K26" s="444">
        <v>26.829779630732578916021441334</v>
      </c>
      <c r="L26" s="445">
        <v>19.569627718842415118159432039</v>
      </c>
      <c r="M26" s="443">
        <v>416.15531192900026102845210128</v>
      </c>
      <c r="N26" s="444">
        <v>548.71268254913639070875521144</v>
      </c>
      <c r="O26" s="445">
        <v>319.18256356124356256758387051</v>
      </c>
      <c r="P26" s="184"/>
      <c r="Q26" s="273">
        <v>103.97519524991013283641442340</v>
      </c>
      <c r="R26" s="274">
        <v>90.25392971206590858291768503</v>
      </c>
      <c r="S26" s="275">
        <v>68.037313948572864702444482720</v>
      </c>
      <c r="T26" s="273">
        <v>221.12784785549498123732471312</v>
      </c>
      <c r="U26" s="274"/>
      <c r="V26" s="275">
        <v>105.76623159279915213016034073</v>
      </c>
      <c r="W26" s="273">
        <v>4.9521599702573256314312728300</v>
      </c>
      <c r="X26" s="274"/>
      <c r="Y26" s="275">
        <v>-7.5502620163043724369426115100</v>
      </c>
      <c r="Z26" s="273">
        <v>103.15396033866002340902672808</v>
      </c>
      <c r="AA26" s="274"/>
      <c r="AB26" s="275">
        <v>64.230436796655531258029565830</v>
      </c>
      <c r="AC26" s="184"/>
      <c r="AD26" s="273" t="s">
        <v>237</v>
      </c>
      <c r="AE26" s="274" t="s">
        <v>236</v>
      </c>
      <c r="AF26" s="274" t="s">
        <v>236</v>
      </c>
      <c r="AG26" s="275" t="s">
        <v>237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47" t="s">
        <v>58</v>
      </c>
      <c r="C28" s="847"/>
      <c r="D28" s="847"/>
      <c r="E28" s="847"/>
      <c r="F28" s="847"/>
      <c r="G28" s="847"/>
      <c r="H28" s="847"/>
      <c r="I28" s="847"/>
      <c r="J28" s="847"/>
      <c r="K28" s="847"/>
      <c r="L28" s="847"/>
      <c r="M28" s="847"/>
      <c r="N28" s="847"/>
      <c r="O28" s="973"/>
      <c r="P28" s="411"/>
      <c r="Q28" s="836"/>
      <c r="R28" s="836"/>
      <c r="S28" s="836"/>
      <c r="T28" s="836"/>
      <c r="U28" s="836"/>
      <c r="V28" s="836"/>
      <c r="W28" s="836"/>
      <c r="X28" s="836"/>
      <c r="Y28" s="836"/>
      <c r="Z28" s="836"/>
      <c r="AA28" s="836"/>
      <c r="AB28" s="971"/>
      <c r="AC28" s="411"/>
      <c r="AD28" s="836"/>
      <c r="AE28" s="836"/>
      <c r="AF28" s="836"/>
      <c r="AG28" s="971"/>
      <c r="AH28" s="9"/>
    </row>
    <row r="29" ht="20.1" customHeight="1">
      <c r="A29" s="58"/>
      <c r="B29" s="284">
        <v>2019</v>
      </c>
      <c r="C29" s="285"/>
      <c r="D29" s="454">
        <v>194.69180690332882938213978627</v>
      </c>
      <c r="E29" s="455">
        <v>240.44190417949133322533614126</v>
      </c>
      <c r="F29" s="436">
        <v>182.83862565583084342920941955</v>
      </c>
      <c r="G29" s="454">
        <v>31.572165581623879130327969537</v>
      </c>
      <c r="H29" s="455"/>
      <c r="I29" s="436">
        <v>50.36503441927793516388656034</v>
      </c>
      <c r="J29" s="454">
        <v>31.259335462473897555582852229</v>
      </c>
      <c r="K29" s="455"/>
      <c r="L29" s="436">
        <v>16.958555322949367628307613911</v>
      </c>
      <c r="M29" s="454">
        <v>257.52330794742660606805060803</v>
      </c>
      <c r="N29" s="455"/>
      <c r="O29" s="436">
        <v>250.1622153980581462214035938</v>
      </c>
      <c r="P29" s="217"/>
      <c r="Q29" s="427">
        <v>8.093746079949460543994557350</v>
      </c>
      <c r="R29" s="428">
        <v>-0.9100404279131375885010422400</v>
      </c>
      <c r="S29" s="417">
        <v>-1.2681608440530169250014441400</v>
      </c>
      <c r="T29" s="427">
        <v>67.314133229534021993445620830</v>
      </c>
      <c r="U29" s="428"/>
      <c r="V29" s="417">
        <v>-16.785106467286613888810703060</v>
      </c>
      <c r="W29" s="427">
        <v>40.537491831350323386808640090</v>
      </c>
      <c r="X29" s="428"/>
      <c r="Y29" s="417">
        <v>-17.206444623088311503817786530</v>
      </c>
      <c r="Z29" s="427">
        <v>16.407056200131773769984443070</v>
      </c>
      <c r="AA29" s="428"/>
      <c r="AB29" s="417">
        <v>-6.0226295648244674671978285400</v>
      </c>
      <c r="AC29" s="5"/>
      <c r="AD29" s="427" t="s">
        <v>237</v>
      </c>
      <c r="AE29" s="428"/>
      <c r="AF29" s="428"/>
      <c r="AG29" s="429"/>
    </row>
    <row r="30" ht="20.1" customHeight="1">
      <c r="A30" s="58"/>
      <c r="B30" s="286">
        <v>2020</v>
      </c>
      <c r="C30" s="287"/>
      <c r="D30" s="276">
        <v>205.63515078286260887076473846</v>
      </c>
      <c r="E30" s="94"/>
      <c r="F30" s="277">
        <v>186.47632352659744304361007674</v>
      </c>
      <c r="G30" s="276">
        <v>31.634647334239540854855761969</v>
      </c>
      <c r="H30" s="94"/>
      <c r="I30" s="277">
        <v>40.20418984634480678546002059</v>
      </c>
      <c r="J30" s="276">
        <v>26.686401852690932890298545033</v>
      </c>
      <c r="K30" s="94"/>
      <c r="L30" s="277">
        <v>19.419708584773696469664982463</v>
      </c>
      <c r="M30" s="276">
        <v>263.95619996979308261591904546</v>
      </c>
      <c r="N30" s="94"/>
      <c r="O30" s="277">
        <v>246.10022195771594629873507979</v>
      </c>
      <c r="P30" s="217"/>
      <c r="Q30" s="271">
        <v>5.6208548544613259021366218100</v>
      </c>
      <c r="R30" s="92"/>
      <c r="S30" s="272">
        <v>1.9895674985249202067033976100</v>
      </c>
      <c r="T30" s="271">
        <v>0.1979013839834753353400674900</v>
      </c>
      <c r="U30" s="92"/>
      <c r="V30" s="272">
        <v>-20.174402122639141103953311660</v>
      </c>
      <c r="W30" s="271">
        <v>-14.629017354815327465157417590</v>
      </c>
      <c r="X30" s="92"/>
      <c r="Y30" s="272">
        <v>14.512753091357233783612309990</v>
      </c>
      <c r="Z30" s="271">
        <v>2.4979843858277179333469982800</v>
      </c>
      <c r="AA30" s="92"/>
      <c r="AB30" s="272">
        <v>-1.62374379117163224214762100</v>
      </c>
      <c r="AC30" s="5"/>
      <c r="AD30" s="271"/>
      <c r="AE30" s="92"/>
      <c r="AF30" s="92"/>
      <c r="AG30" s="272"/>
    </row>
    <row r="31" ht="20.1" customHeight="1">
      <c r="A31" s="58"/>
      <c r="B31" s="425">
        <v>2021</v>
      </c>
      <c r="C31" s="426"/>
      <c r="D31" s="457">
        <v>233.74962656841266679944234216</v>
      </c>
      <c r="E31" s="458">
        <v>286.53280715836121913719815501</v>
      </c>
      <c r="F31" s="499">
        <v>195.58440054400694142088939026</v>
      </c>
      <c r="G31" s="457">
        <v>39.433006373232423819956184027</v>
      </c>
      <c r="H31" s="458">
        <v>105.49446181374223083111807851</v>
      </c>
      <c r="I31" s="499">
        <v>35.617479460327245288042447584</v>
      </c>
      <c r="J31" s="457">
        <v>23.235510854411471818362875921</v>
      </c>
      <c r="K31" s="458">
        <v>36.001926832736270693076363168</v>
      </c>
      <c r="L31" s="499">
        <v>19.895480972266221081264315292</v>
      </c>
      <c r="M31" s="457">
        <v>296.41814379605656243776140211</v>
      </c>
      <c r="N31" s="458">
        <v>428.02919580483972066139259669</v>
      </c>
      <c r="O31" s="499">
        <v>251.09736097660040779019615314</v>
      </c>
      <c r="P31" s="496"/>
      <c r="Q31" s="430">
        <v>13.672018464972760852009297750</v>
      </c>
      <c r="R31" s="431"/>
      <c r="S31" s="500">
        <v>4.8843074794466953502311886200</v>
      </c>
      <c r="T31" s="430">
        <v>24.651322825406279821767560300</v>
      </c>
      <c r="U31" s="431"/>
      <c r="V31" s="500">
        <v>-11.408538273019996268024021080</v>
      </c>
      <c r="W31" s="430">
        <v>-12.931271204474438576725225460</v>
      </c>
      <c r="X31" s="431"/>
      <c r="Y31" s="500">
        <v>2.4499460709653124457853233900</v>
      </c>
      <c r="Z31" s="430">
        <v>12.298231233049509073907850560</v>
      </c>
      <c r="AA31" s="431"/>
      <c r="AB31" s="500">
        <v>2.0305300739465899431312015200</v>
      </c>
      <c r="AC31" s="184"/>
      <c r="AD31" s="430" t="s">
        <v>237</v>
      </c>
      <c r="AE31" s="431" t="s">
        <v>226</v>
      </c>
      <c r="AF31" s="431" t="s">
        <v>225</v>
      </c>
      <c r="AG31" s="432" t="s">
        <v>226</v>
      </c>
    </row>
    <row r="32" ht="21" customHeight="1"/>
    <row r="33" ht="24.95" customHeight="1">
      <c r="A33" s="112"/>
      <c r="B33" s="842" t="s">
        <v>44</v>
      </c>
      <c r="C33" s="842"/>
      <c r="D33" s="842"/>
      <c r="E33" s="842"/>
      <c r="F33" s="842"/>
      <c r="G33" s="842"/>
      <c r="H33" s="842"/>
      <c r="I33" s="842"/>
      <c r="J33" s="842"/>
      <c r="K33" s="842"/>
      <c r="L33" s="842"/>
      <c r="M33" s="842"/>
      <c r="N33" s="842"/>
      <c r="O33" s="972"/>
      <c r="P33" s="411"/>
      <c r="Q33" s="836"/>
      <c r="R33" s="836"/>
      <c r="S33" s="836"/>
      <c r="T33" s="836"/>
      <c r="U33" s="836"/>
      <c r="V33" s="836"/>
      <c r="W33" s="836"/>
      <c r="X33" s="836"/>
      <c r="Y33" s="836"/>
      <c r="Z33" s="836"/>
      <c r="AA33" s="836"/>
      <c r="AB33" s="971"/>
      <c r="AC33" s="411"/>
      <c r="AD33" s="836"/>
      <c r="AE33" s="836"/>
      <c r="AF33" s="836"/>
      <c r="AG33" s="971"/>
      <c r="AH33" s="9"/>
    </row>
    <row r="34" ht="20.1" customHeight="1">
      <c r="A34" s="58"/>
      <c r="B34" s="284">
        <v>2019</v>
      </c>
      <c r="C34" s="285"/>
      <c r="D34" s="454">
        <v>192.69440209104770202570246134</v>
      </c>
      <c r="E34" s="455">
        <v>238.40727030625832223701731026</v>
      </c>
      <c r="F34" s="436">
        <v>181.70545426579530048898093797</v>
      </c>
      <c r="G34" s="454">
        <v>42.141908081028098453495970377</v>
      </c>
      <c r="H34" s="455">
        <v>5.415370373962769043926148039</v>
      </c>
      <c r="I34" s="436">
        <v>53.104057384798271534151804855</v>
      </c>
      <c r="J34" s="454">
        <v>33.085166630363755173164887824</v>
      </c>
      <c r="K34" s="455">
        <v>4.8286647396545645178409784765</v>
      </c>
      <c r="L34" s="436">
        <v>23.106896709672648582682554357</v>
      </c>
      <c r="M34" s="454">
        <v>267.92147680243955565236331954</v>
      </c>
      <c r="N34" s="455">
        <v>248.65130541987565579878443677</v>
      </c>
      <c r="O34" s="436">
        <v>257.91640836026622060581529718</v>
      </c>
      <c r="P34" s="5"/>
      <c r="Q34" s="427">
        <v>-5.6143334766350631587511650900</v>
      </c>
      <c r="R34" s="428">
        <v>-4.8486716802784395211310066800</v>
      </c>
      <c r="S34" s="417">
        <v>-2.3519058492445034351534754400</v>
      </c>
      <c r="T34" s="427">
        <v>50.920853228937101728964117040</v>
      </c>
      <c r="U34" s="428"/>
      <c r="V34" s="417">
        <v>-2.7017897860795243963431936100</v>
      </c>
      <c r="W34" s="427">
        <v>22.834701688335822150681858960</v>
      </c>
      <c r="X34" s="428"/>
      <c r="Y34" s="417">
        <v>37.777056445252340312980921420</v>
      </c>
      <c r="Z34" s="427">
        <v>3.4388682872005846113561574400</v>
      </c>
      <c r="AA34" s="428"/>
      <c r="AB34" s="417">
        <v>0.1882447604691859164896610200</v>
      </c>
      <c r="AC34" s="5"/>
      <c r="AD34" s="427" t="s">
        <v>237</v>
      </c>
      <c r="AE34" s="428" t="s">
        <v>224</v>
      </c>
      <c r="AF34" s="428" t="s">
        <v>224</v>
      </c>
      <c r="AG34" s="429" t="s">
        <v>226</v>
      </c>
    </row>
    <row r="35" ht="20.1" customHeight="1">
      <c r="A35" s="58"/>
      <c r="B35" s="286">
        <v>2020</v>
      </c>
      <c r="C35" s="287"/>
      <c r="D35" s="276">
        <v>140.13704377010208362466787862</v>
      </c>
      <c r="E35" s="94"/>
      <c r="F35" s="277">
        <v>130.5783499196949910688821843</v>
      </c>
      <c r="G35" s="276">
        <v>14.485806180953712767445112572</v>
      </c>
      <c r="H35" s="94"/>
      <c r="I35" s="277">
        <v>23.080030205181999674602503266</v>
      </c>
      <c r="J35" s="276">
        <v>23.248217032582855544679065865</v>
      </c>
      <c r="K35" s="94"/>
      <c r="L35" s="277">
        <v>21.573063679487535215812057556</v>
      </c>
      <c r="M35" s="276">
        <v>177.87106698363865193679205705</v>
      </c>
      <c r="N35" s="94"/>
      <c r="O35" s="277">
        <v>175.23144380436452595929674512</v>
      </c>
      <c r="P35" s="5"/>
      <c r="Q35" s="271">
        <v>-27.274979319885839337582836260</v>
      </c>
      <c r="R35" s="92"/>
      <c r="S35" s="272">
        <v>-28.137352592243007598955120800</v>
      </c>
      <c r="T35" s="271">
        <v>-65.626126484090669982102957330</v>
      </c>
      <c r="U35" s="92"/>
      <c r="V35" s="272">
        <v>-56.538103975858899492919065460</v>
      </c>
      <c r="W35" s="271">
        <v>-29.732205092715338199734110820</v>
      </c>
      <c r="X35" s="92"/>
      <c r="Y35" s="272">
        <v>-6.6379879976205543361378712200</v>
      </c>
      <c r="Z35" s="271">
        <v>-33.610747034354466552560983700</v>
      </c>
      <c r="AA35" s="92"/>
      <c r="AB35" s="272">
        <v>-32.058822888238865041257330220</v>
      </c>
      <c r="AC35" s="5"/>
      <c r="AD35" s="271"/>
      <c r="AE35" s="92"/>
      <c r="AF35" s="92"/>
      <c r="AG35" s="272"/>
    </row>
    <row r="36" ht="20.1" customHeight="1">
      <c r="A36" s="58"/>
      <c r="B36" s="425">
        <v>2021</v>
      </c>
      <c r="C36" s="426"/>
      <c r="D36" s="457">
        <v>257.99361116571653233733045017</v>
      </c>
      <c r="E36" s="458">
        <v>328.75708846224508543082858719</v>
      </c>
      <c r="F36" s="499">
        <v>207.47917094794938789889322726</v>
      </c>
      <c r="G36" s="457">
        <v>47.5011794770984863377236092</v>
      </c>
      <c r="H36" s="458">
        <v>97.80957063793199986912914789</v>
      </c>
      <c r="I36" s="499">
        <v>44.651884878209831665040716366</v>
      </c>
      <c r="J36" s="457">
        <v>22.40023589541969726754472184</v>
      </c>
      <c r="K36" s="458">
        <v>32.194383541786131078116428434</v>
      </c>
      <c r="L36" s="499">
        <v>19.177910673876125634709004005</v>
      </c>
      <c r="M36" s="457">
        <v>327.89502653823471594259878121</v>
      </c>
      <c r="N36" s="458">
        <v>458.76104264196321637807416353</v>
      </c>
      <c r="O36" s="499">
        <v>271.30896650003534519864294763</v>
      </c>
      <c r="P36" s="184"/>
      <c r="Q36" s="430">
        <v>84.10093735740892845007746608</v>
      </c>
      <c r="R36" s="431"/>
      <c r="S36" s="500">
        <v>58.892474193110913620796472690</v>
      </c>
      <c r="T36" s="430">
        <v>227.91533231614267680725093363</v>
      </c>
      <c r="U36" s="431"/>
      <c r="V36" s="500">
        <v>93.46545251985687667777903852</v>
      </c>
      <c r="W36" s="430">
        <v>-3.6475104133414374861778412500</v>
      </c>
      <c r="X36" s="431"/>
      <c r="Y36" s="500">
        <v>-11.102516736646405472318283270</v>
      </c>
      <c r="Z36" s="430">
        <v>84.34421747099946705095252721</v>
      </c>
      <c r="AA36" s="431"/>
      <c r="AB36" s="500">
        <v>54.828928307456468239814196540</v>
      </c>
      <c r="AC36" s="184"/>
      <c r="AD36" s="430" t="s">
        <v>237</v>
      </c>
      <c r="AE36" s="431" t="s">
        <v>235</v>
      </c>
      <c r="AF36" s="431" t="s">
        <v>239</v>
      </c>
      <c r="AG36" s="432" t="s">
        <v>229</v>
      </c>
    </row>
    <row r="37" ht="21" customHeight="1"/>
    <row r="38" ht="24.95" customHeight="1">
      <c r="A38" s="112"/>
      <c r="B38" s="842" t="s">
        <v>45</v>
      </c>
      <c r="C38" s="842"/>
      <c r="D38" s="842"/>
      <c r="E38" s="842"/>
      <c r="F38" s="842"/>
      <c r="G38" s="842"/>
      <c r="H38" s="842"/>
      <c r="I38" s="842"/>
      <c r="J38" s="842"/>
      <c r="K38" s="842"/>
      <c r="L38" s="842"/>
      <c r="M38" s="842"/>
      <c r="N38" s="842"/>
      <c r="O38" s="972"/>
      <c r="P38" s="411"/>
      <c r="Q38" s="836"/>
      <c r="R38" s="836"/>
      <c r="S38" s="836"/>
      <c r="T38" s="836"/>
      <c r="U38" s="836"/>
      <c r="V38" s="836"/>
      <c r="W38" s="836"/>
      <c r="X38" s="836"/>
      <c r="Y38" s="836"/>
      <c r="Z38" s="836"/>
      <c r="AA38" s="836"/>
      <c r="AB38" s="971"/>
      <c r="AC38" s="411"/>
      <c r="AD38" s="836"/>
      <c r="AE38" s="836"/>
      <c r="AF38" s="836"/>
      <c r="AG38" s="971"/>
      <c r="AH38" s="9"/>
    </row>
    <row r="39" ht="20.1" customHeight="1">
      <c r="A39" s="58"/>
      <c r="B39" s="284">
        <v>2019</v>
      </c>
      <c r="C39" s="285"/>
      <c r="D39" s="454">
        <v>194.69180690332882938213978627</v>
      </c>
      <c r="E39" s="455">
        <v>240.44190417949133322533614126</v>
      </c>
      <c r="F39" s="436">
        <v>182.83862565583084342920941955</v>
      </c>
      <c r="G39" s="454">
        <v>31.572165581623879130327969537</v>
      </c>
      <c r="H39" s="455"/>
      <c r="I39" s="436">
        <v>50.36503441927793516388656034</v>
      </c>
      <c r="J39" s="454">
        <v>31.259335462473897555582852229</v>
      </c>
      <c r="K39" s="455"/>
      <c r="L39" s="436">
        <v>16.958555322949367628307613911</v>
      </c>
      <c r="M39" s="454">
        <v>257.52330794742660606805060803</v>
      </c>
      <c r="N39" s="455"/>
      <c r="O39" s="436">
        <v>250.1622153980581462214035938</v>
      </c>
      <c r="P39" s="5"/>
      <c r="Q39" s="427">
        <v>8.093746079949460543994557350</v>
      </c>
      <c r="R39" s="428">
        <v>-0.9100404279131375885010422400</v>
      </c>
      <c r="S39" s="417">
        <v>-1.2681608440530169250014441400</v>
      </c>
      <c r="T39" s="427">
        <v>67.314133229534021993445620830</v>
      </c>
      <c r="U39" s="428"/>
      <c r="V39" s="417">
        <v>-16.785106467286613888810703060</v>
      </c>
      <c r="W39" s="427">
        <v>40.537491831350323386808640090</v>
      </c>
      <c r="X39" s="428"/>
      <c r="Y39" s="417">
        <v>-17.206444623088311503817786530</v>
      </c>
      <c r="Z39" s="427">
        <v>16.407056200131773769984443070</v>
      </c>
      <c r="AA39" s="428"/>
      <c r="AB39" s="417">
        <v>-6.0226295648244674671978285400</v>
      </c>
      <c r="AC39" s="5"/>
      <c r="AD39" s="427" t="s">
        <v>237</v>
      </c>
      <c r="AE39" s="428"/>
      <c r="AF39" s="428"/>
      <c r="AG39" s="429"/>
    </row>
    <row r="40" ht="20.1" customHeight="1">
      <c r="A40" s="58"/>
      <c r="B40" s="286">
        <v>2020</v>
      </c>
      <c r="C40" s="287"/>
      <c r="D40" s="276">
        <v>205.63515078286260887076473846</v>
      </c>
      <c r="E40" s="94"/>
      <c r="F40" s="277">
        <v>186.47632352659744304361007674</v>
      </c>
      <c r="G40" s="276">
        <v>31.634647334239540854855761969</v>
      </c>
      <c r="H40" s="94"/>
      <c r="I40" s="277">
        <v>40.20418984634480678546002059</v>
      </c>
      <c r="J40" s="276">
        <v>26.686401852690932890298545033</v>
      </c>
      <c r="K40" s="94"/>
      <c r="L40" s="277">
        <v>19.419708584773696469664982463</v>
      </c>
      <c r="M40" s="276">
        <v>263.95619996979308261591904546</v>
      </c>
      <c r="N40" s="94"/>
      <c r="O40" s="277">
        <v>246.10022195771594629873507979</v>
      </c>
      <c r="P40" s="5"/>
      <c r="Q40" s="271">
        <v>5.6208548544613259021366218100</v>
      </c>
      <c r="R40" s="92"/>
      <c r="S40" s="272">
        <v>1.9895674985249202067033976100</v>
      </c>
      <c r="T40" s="271">
        <v>0.1979013839834753353400674900</v>
      </c>
      <c r="U40" s="92"/>
      <c r="V40" s="272">
        <v>-20.174402122639141103953311660</v>
      </c>
      <c r="W40" s="271">
        <v>-14.629017354815327465157417590</v>
      </c>
      <c r="X40" s="92"/>
      <c r="Y40" s="272">
        <v>14.512753091357233783612309990</v>
      </c>
      <c r="Z40" s="271">
        <v>2.4979843858277179333469982800</v>
      </c>
      <c r="AA40" s="92"/>
      <c r="AB40" s="272">
        <v>-1.62374379117163224214762100</v>
      </c>
      <c r="AC40" s="5"/>
      <c r="AD40" s="271"/>
      <c r="AE40" s="92"/>
      <c r="AF40" s="92"/>
      <c r="AG40" s="272"/>
    </row>
    <row r="41" ht="20.1" customHeight="1">
      <c r="A41" s="58"/>
      <c r="B41" s="425">
        <v>2021</v>
      </c>
      <c r="C41" s="426"/>
      <c r="D41" s="457">
        <v>233.74962656841266679944234216</v>
      </c>
      <c r="E41" s="458">
        <v>286.53280715836121913719815501</v>
      </c>
      <c r="F41" s="499">
        <v>195.58440054400694142088939026</v>
      </c>
      <c r="G41" s="457">
        <v>39.433006373232423819956184027</v>
      </c>
      <c r="H41" s="458">
        <v>105.49446181374223083111807851</v>
      </c>
      <c r="I41" s="499">
        <v>35.617479460327245288042447584</v>
      </c>
      <c r="J41" s="457">
        <v>23.235510854411471818362875921</v>
      </c>
      <c r="K41" s="458">
        <v>36.001926832736270693076363168</v>
      </c>
      <c r="L41" s="499">
        <v>19.895480972266221081264315292</v>
      </c>
      <c r="M41" s="457">
        <v>296.41814379605656243776140211</v>
      </c>
      <c r="N41" s="458">
        <v>428.02919580483972066139259669</v>
      </c>
      <c r="O41" s="499">
        <v>251.09736097660040779019615314</v>
      </c>
      <c r="P41" s="184"/>
      <c r="Q41" s="430">
        <v>13.672018464972760852009297750</v>
      </c>
      <c r="R41" s="431"/>
      <c r="S41" s="500">
        <v>4.8843074794466953502311886200</v>
      </c>
      <c r="T41" s="430">
        <v>24.651322825406279821767560300</v>
      </c>
      <c r="U41" s="431"/>
      <c r="V41" s="500">
        <v>-11.408538273019996268024021080</v>
      </c>
      <c r="W41" s="430">
        <v>-12.931271204474438576725225460</v>
      </c>
      <c r="X41" s="431"/>
      <c r="Y41" s="500">
        <v>2.4499460709653124457853233900</v>
      </c>
      <c r="Z41" s="430">
        <v>12.298231233049509073907850560</v>
      </c>
      <c r="AA41" s="431"/>
      <c r="AB41" s="500">
        <v>2.0305300739465899431312015200</v>
      </c>
      <c r="AC41" s="184"/>
      <c r="AD41" s="430" t="s">
        <v>237</v>
      </c>
      <c r="AE41" s="431" t="s">
        <v>226</v>
      </c>
      <c r="AF41" s="431" t="s">
        <v>225</v>
      </c>
      <c r="AG41" s="432" t="s">
        <v>226</v>
      </c>
    </row>
    <row r="42" ht="14.1" customHeight="1"/>
    <row r="43" ht="20.1" customHeight="1">
      <c r="B43" s="7" t="s">
        <v>102</v>
      </c>
    </row>
    <row r="44" ht="14.1" customHeight="1">
      <c r="B44" s="7"/>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161</v>
      </c>
      <c r="AD1" s="5"/>
      <c r="AG1" s="685"/>
      <c r="AI1" s="236"/>
    </row>
    <row r="2" ht="21" customHeight="1">
      <c r="B2" s="11" t="s">
        <v>208</v>
      </c>
    </row>
    <row r="3" ht="21" customHeight="1">
      <c r="B3" s="11" t="s">
        <v>209</v>
      </c>
      <c r="U3" s="99" t="s">
        <v>303</v>
      </c>
      <c r="V3" s="99"/>
      <c r="W3" s="99"/>
      <c r="X3" s="99"/>
      <c r="Y3" s="99"/>
      <c r="Z3" s="99"/>
      <c r="AA3" s="99"/>
      <c r="AB3" s="99"/>
      <c r="AC3" s="99"/>
      <c r="AD3" s="99"/>
      <c r="AE3" s="99"/>
      <c r="AF3" s="99"/>
      <c r="AG3" s="99"/>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02" t="s">
        <v>92</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103</v>
      </c>
      <c r="N7" s="839"/>
      <c r="O7" s="283"/>
      <c r="Q7" s="839" t="s">
        <v>20</v>
      </c>
      <c r="R7" s="839"/>
      <c r="S7" s="283"/>
      <c r="T7" s="839" t="s">
        <v>18</v>
      </c>
      <c r="U7" s="839"/>
      <c r="V7" s="283"/>
      <c r="W7" s="839" t="s">
        <v>17</v>
      </c>
      <c r="X7" s="839"/>
      <c r="Y7" s="283"/>
      <c r="Z7" s="839" t="s">
        <v>103</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2020</v>
      </c>
      <c r="C9" s="285" t="s">
        <v>218</v>
      </c>
      <c r="D9" s="434">
        <v>17.989736070381231671554252199</v>
      </c>
      <c r="E9" s="435"/>
      <c r="F9" s="436">
        <v>27.121067481890588874308429588</v>
      </c>
      <c r="G9" s="434">
        <v>1.1830400782013685239491691105</v>
      </c>
      <c r="H9" s="435"/>
      <c r="I9" s="436">
        <v>4.7467327125524617879611724775</v>
      </c>
      <c r="J9" s="434">
        <v>2.0931085043988269794721407625</v>
      </c>
      <c r="K9" s="435"/>
      <c r="L9" s="436">
        <v>5.6944066314092397270925843093</v>
      </c>
      <c r="M9" s="434">
        <v>21.265884652981427174975562072</v>
      </c>
      <c r="N9" s="435"/>
      <c r="O9" s="436">
        <v>37.562206825852290389362186375</v>
      </c>
      <c r="P9" s="5"/>
      <c r="Q9" s="415">
        <v>-81.29958414729626539982486785</v>
      </c>
      <c r="R9" s="416"/>
      <c r="S9" s="417">
        <v>-75.794834558158101102445059740</v>
      </c>
      <c r="T9" s="415">
        <v>-93.31575168453096447422690020</v>
      </c>
      <c r="U9" s="416"/>
      <c r="V9" s="417">
        <v>-83.85443328145431024785000201</v>
      </c>
      <c r="W9" s="415">
        <v>-88.78427572480669020181782638</v>
      </c>
      <c r="X9" s="416"/>
      <c r="Y9" s="417">
        <v>-49.842245957220301262695024870</v>
      </c>
      <c r="Z9" s="415">
        <v>-83.95764316356518576072889225</v>
      </c>
      <c r="AA9" s="416"/>
      <c r="AB9" s="417">
        <v>-75.417276574750234346588105770</v>
      </c>
      <c r="AC9" s="5"/>
      <c r="AD9" s="427"/>
      <c r="AE9" s="428"/>
      <c r="AF9" s="428"/>
      <c r="AG9" s="429"/>
    </row>
    <row r="10" ht="20.1" customHeight="1">
      <c r="A10" s="58"/>
      <c r="B10" s="286"/>
      <c r="C10" s="287" t="s">
        <v>219</v>
      </c>
      <c r="D10" s="276">
        <v>28.15615835777126099706744868</v>
      </c>
      <c r="E10" s="94"/>
      <c r="F10" s="277">
        <v>32.578136146054204568375584822</v>
      </c>
      <c r="G10" s="276">
        <v>2.2942326490713587487781036168</v>
      </c>
      <c r="H10" s="94"/>
      <c r="I10" s="277">
        <v>5.8207635816356674398388109132</v>
      </c>
      <c r="J10" s="276">
        <v>6.3844086021505376344086021505</v>
      </c>
      <c r="K10" s="94"/>
      <c r="L10" s="277">
        <v>5.4133906486625834504800038265</v>
      </c>
      <c r="M10" s="276">
        <v>36.834799608993157380254154448</v>
      </c>
      <c r="N10" s="94"/>
      <c r="O10" s="277">
        <v>43.812290376352455458694399563</v>
      </c>
      <c r="P10" s="5"/>
      <c r="Q10" s="271">
        <v>-69.666453411674539126018052980</v>
      </c>
      <c r="R10" s="92"/>
      <c r="S10" s="272">
        <v>-68.447092219458316569363082730</v>
      </c>
      <c r="T10" s="271">
        <v>-84.28944373782326311618011880</v>
      </c>
      <c r="U10" s="92"/>
      <c r="V10" s="272">
        <v>-79.178299054043123155915192640</v>
      </c>
      <c r="W10" s="271">
        <v>-71.231458743967145710389320390</v>
      </c>
      <c r="X10" s="92"/>
      <c r="Y10" s="272">
        <v>-52.400640163394610125349066450</v>
      </c>
      <c r="Z10" s="271">
        <v>-71.581880639678497274997746050</v>
      </c>
      <c r="AA10" s="92"/>
      <c r="AB10" s="272">
        <v>-69.271209055040998575424989480</v>
      </c>
      <c r="AC10" s="5"/>
      <c r="AD10" s="271"/>
      <c r="AE10" s="92"/>
      <c r="AF10" s="92"/>
      <c r="AG10" s="272"/>
    </row>
    <row r="11" ht="20.1" customHeight="1">
      <c r="A11" s="58"/>
      <c r="B11" s="288"/>
      <c r="C11" s="289" t="s">
        <v>220</v>
      </c>
      <c r="D11" s="439">
        <v>53.261868686868686868686868687</v>
      </c>
      <c r="E11" s="95"/>
      <c r="F11" s="442">
        <v>35.481473136047268539382104051</v>
      </c>
      <c r="G11" s="439">
        <v>3.8378787878787878787878787879</v>
      </c>
      <c r="H11" s="95"/>
      <c r="I11" s="442">
        <v>7.0461778248214927210522517125</v>
      </c>
      <c r="J11" s="439">
        <v>11.386363636363636363636363636</v>
      </c>
      <c r="K11" s="95"/>
      <c r="L11" s="442">
        <v>8.649611283666813918298892367</v>
      </c>
      <c r="M11" s="439">
        <v>68.486111111111111111111111111</v>
      </c>
      <c r="N11" s="95"/>
      <c r="O11" s="442">
        <v>51.177262244535575178733248135</v>
      </c>
      <c r="P11" s="5"/>
      <c r="Q11" s="497">
        <v>-19.390874972239895690474199910</v>
      </c>
      <c r="R11" s="216"/>
      <c r="S11" s="498">
        <v>-60.546652868071230111428273330</v>
      </c>
      <c r="T11" s="497">
        <v>-60.098716164629510499051947110</v>
      </c>
      <c r="U11" s="216"/>
      <c r="V11" s="498">
        <v>-77.780329748145415259907090340</v>
      </c>
      <c r="W11" s="497">
        <v>-32.948681725714440484858846290</v>
      </c>
      <c r="X11" s="216"/>
      <c r="Y11" s="498">
        <v>-12.370059983215007582386284930</v>
      </c>
      <c r="Z11" s="497">
        <v>-26.100166217029305506756208410</v>
      </c>
      <c r="AA11" s="216"/>
      <c r="AB11" s="498">
        <v>-61.086305438470915760874129140</v>
      </c>
      <c r="AC11" s="5"/>
      <c r="AD11" s="420"/>
      <c r="AE11" s="91"/>
      <c r="AF11" s="91"/>
      <c r="AG11" s="421"/>
    </row>
    <row r="12" ht="20.1" customHeight="1">
      <c r="A12" s="58"/>
      <c r="B12" s="286"/>
      <c r="C12" s="287" t="s">
        <v>221</v>
      </c>
      <c r="D12" s="276">
        <v>63.094330400782013685239491691</v>
      </c>
      <c r="E12" s="94"/>
      <c r="F12" s="277">
        <v>44.467215780813530784831439177</v>
      </c>
      <c r="G12" s="276">
        <v>6.1155913978494623655913978495</v>
      </c>
      <c r="H12" s="94"/>
      <c r="I12" s="277">
        <v>9.848175895145917457535053384</v>
      </c>
      <c r="J12" s="276">
        <v>12.741691104594330400782013685</v>
      </c>
      <c r="K12" s="94"/>
      <c r="L12" s="277">
        <v>9.190220202398530382394975733</v>
      </c>
      <c r="M12" s="276">
        <v>81.95161290322580645161290323</v>
      </c>
      <c r="N12" s="94"/>
      <c r="O12" s="277">
        <v>63.505611878357978624761468297</v>
      </c>
      <c r="P12" s="5"/>
      <c r="Q12" s="271">
        <v>-34.227346721461052953040187490</v>
      </c>
      <c r="R12" s="92"/>
      <c r="S12" s="272">
        <v>-61.176951235420300815567069510</v>
      </c>
      <c r="T12" s="271">
        <v>-67.080165223995055220657586990</v>
      </c>
      <c r="U12" s="92"/>
      <c r="V12" s="272">
        <v>-74.803016926964975258729428560</v>
      </c>
      <c r="W12" s="271">
        <v>-35.256792331135849632280018520</v>
      </c>
      <c r="X12" s="92"/>
      <c r="Y12" s="272">
        <v>-15.148340050009741479067170580</v>
      </c>
      <c r="Z12" s="271">
        <v>-38.926618186203755846340235890</v>
      </c>
      <c r="AA12" s="92"/>
      <c r="AB12" s="272">
        <v>-61.383932096215698754300245710</v>
      </c>
      <c r="AC12" s="5"/>
      <c r="AD12" s="271"/>
      <c r="AE12" s="92"/>
      <c r="AF12" s="92"/>
      <c r="AG12" s="272"/>
    </row>
    <row r="13" ht="20.1" customHeight="1">
      <c r="A13" s="58"/>
      <c r="B13" s="288"/>
      <c r="C13" s="289" t="s">
        <v>222</v>
      </c>
      <c r="D13" s="439">
        <v>65.500000000</v>
      </c>
      <c r="E13" s="95"/>
      <c r="F13" s="442">
        <v>47.015980253878702397743300423</v>
      </c>
      <c r="G13" s="439">
        <v>6.9674242424242424242424242424</v>
      </c>
      <c r="H13" s="95"/>
      <c r="I13" s="442">
        <v>8.188558800056691150236085675</v>
      </c>
      <c r="J13" s="439">
        <v>12.328787878787878787878787879</v>
      </c>
      <c r="K13" s="95"/>
      <c r="L13" s="442">
        <v>7.7373765153793910086729280884</v>
      </c>
      <c r="M13" s="439">
        <v>84.79621212121212121212121212</v>
      </c>
      <c r="N13" s="95"/>
      <c r="O13" s="442">
        <v>62.941915569314784556652314184</v>
      </c>
      <c r="P13" s="5"/>
      <c r="Q13" s="420">
        <v>-48.469563109768168193802123210</v>
      </c>
      <c r="R13" s="91"/>
      <c r="S13" s="498">
        <v>-66.851328479509571077211508760</v>
      </c>
      <c r="T13" s="420">
        <v>-79.163551507714262907459849220</v>
      </c>
      <c r="U13" s="91"/>
      <c r="V13" s="498">
        <v>-82.26617943233793236763480202</v>
      </c>
      <c r="W13" s="420">
        <v>-59.677898909867642162067577110</v>
      </c>
      <c r="X13" s="91"/>
      <c r="Y13" s="498">
        <v>-75.438055024983132313718915230</v>
      </c>
      <c r="Z13" s="420">
        <v>-55.632820241782960503925195060</v>
      </c>
      <c r="AA13" s="91"/>
      <c r="AB13" s="498">
        <v>-71.326170657039459207673622570</v>
      </c>
      <c r="AC13" s="5"/>
      <c r="AD13" s="420"/>
      <c r="AE13" s="91"/>
      <c r="AF13" s="91"/>
      <c r="AG13" s="421"/>
    </row>
    <row r="14" ht="20.1" customHeight="1">
      <c r="A14" s="58"/>
      <c r="B14" s="286"/>
      <c r="C14" s="287" t="s">
        <v>223</v>
      </c>
      <c r="D14" s="276">
        <v>118.41593352883675464320625611</v>
      </c>
      <c r="E14" s="94">
        <v>111.49707169725293514191268665</v>
      </c>
      <c r="F14" s="277">
        <v>70.522990126939351198871650212</v>
      </c>
      <c r="G14" s="276">
        <v>12.45650048875855327468230694</v>
      </c>
      <c r="H14" s="94"/>
      <c r="I14" s="277">
        <v>10.691356599858390765227943294</v>
      </c>
      <c r="J14" s="276">
        <v>15.95478983382209188660801564</v>
      </c>
      <c r="K14" s="94"/>
      <c r="L14" s="277">
        <v>9.926712408886271036174099525</v>
      </c>
      <c r="M14" s="276">
        <v>146.82722385141739980449657869</v>
      </c>
      <c r="N14" s="94"/>
      <c r="O14" s="277">
        <v>91.14105913568401300027369303</v>
      </c>
      <c r="P14" s="5"/>
      <c r="Q14" s="271">
        <v>-44.522400192357368170595140420</v>
      </c>
      <c r="R14" s="92">
        <v>-57.083658671371166496259217280</v>
      </c>
      <c r="S14" s="272">
        <v>-60.648211351237041315102212720</v>
      </c>
      <c r="T14" s="271">
        <v>-71.446177287811169523337288010</v>
      </c>
      <c r="U14" s="92"/>
      <c r="V14" s="272">
        <v>-74.696504653153904286559741850</v>
      </c>
      <c r="W14" s="271">
        <v>-36.103390228632871887343064440</v>
      </c>
      <c r="X14" s="92"/>
      <c r="Y14" s="272">
        <v>-26.220216185088100846656957940</v>
      </c>
      <c r="Z14" s="271">
        <v>-47.941458325745344964941987250</v>
      </c>
      <c r="AA14" s="92"/>
      <c r="AB14" s="272">
        <v>-61.203141166791378952985428830</v>
      </c>
      <c r="AC14" s="5"/>
      <c r="AD14" s="271" t="s">
        <v>226</v>
      </c>
      <c r="AE14" s="92"/>
      <c r="AF14" s="92"/>
      <c r="AG14" s="272"/>
    </row>
    <row r="15" ht="20.1" customHeight="1">
      <c r="A15" s="58"/>
      <c r="B15" s="288">
        <v>2021</v>
      </c>
      <c r="C15" s="289" t="s">
        <v>227</v>
      </c>
      <c r="D15" s="439">
        <v>143.13831867057673509286412512</v>
      </c>
      <c r="E15" s="95">
        <v>112.01118489817985222562623896</v>
      </c>
      <c r="F15" s="442">
        <v>78.671005842011684023368046736</v>
      </c>
      <c r="G15" s="439">
        <v>15.979716520039100684261974585</v>
      </c>
      <c r="H15" s="95"/>
      <c r="I15" s="442">
        <v>12.289296170395737814360883662</v>
      </c>
      <c r="J15" s="439">
        <v>20.207966764418377321603128055</v>
      </c>
      <c r="K15" s="95"/>
      <c r="L15" s="442">
        <v>11.2027827658600749393977154</v>
      </c>
      <c r="M15" s="439">
        <v>179.32600195503421309872922776</v>
      </c>
      <c r="N15" s="95"/>
      <c r="O15" s="442">
        <v>102.1630847782674967771266458</v>
      </c>
      <c r="P15" s="5"/>
      <c r="Q15" s="420">
        <v>-47.145160810023494132376986930</v>
      </c>
      <c r="R15" s="91">
        <v>-61.201725945105743265228164760</v>
      </c>
      <c r="S15" s="498">
        <v>-63.754617041305029766602952290</v>
      </c>
      <c r="T15" s="420">
        <v>-66.085071290377801344942943610</v>
      </c>
      <c r="U15" s="91"/>
      <c r="V15" s="498">
        <v>-74.352588908490342108264119680</v>
      </c>
      <c r="W15" s="420">
        <v>-18.766332003780688814825360050</v>
      </c>
      <c r="X15" s="91"/>
      <c r="Y15" s="498">
        <v>-6.8804623983649536184256808700</v>
      </c>
      <c r="Z15" s="420">
        <v>-47.688997753012549159882546870</v>
      </c>
      <c r="AA15" s="91"/>
      <c r="AB15" s="498">
        <v>-63.117749818950839553347893250</v>
      </c>
      <c r="AC15" s="5"/>
      <c r="AD15" s="420" t="s">
        <v>229</v>
      </c>
      <c r="AE15" s="91"/>
      <c r="AF15" s="91"/>
      <c r="AG15" s="421"/>
    </row>
    <row r="16" ht="20.1" customHeight="1">
      <c r="A16" s="58"/>
      <c r="B16" s="286"/>
      <c r="C16" s="287" t="s">
        <v>230</v>
      </c>
      <c r="D16" s="276">
        <v>185.57575757575757575757575758</v>
      </c>
      <c r="E16" s="94">
        <v>197.1500316580925999208547685</v>
      </c>
      <c r="F16" s="277">
        <v>114.54198638116663988430017676</v>
      </c>
      <c r="G16" s="276">
        <v>30.989989177489177489177489177</v>
      </c>
      <c r="H16" s="94"/>
      <c r="I16" s="277">
        <v>17.236316237740015295820996897</v>
      </c>
      <c r="J16" s="276">
        <v>16.715909090909090909090909091</v>
      </c>
      <c r="K16" s="94"/>
      <c r="L16" s="277">
        <v>13.476921759645652837755091514</v>
      </c>
      <c r="M16" s="276">
        <v>233.28165584415584415584415584</v>
      </c>
      <c r="N16" s="94"/>
      <c r="O16" s="277">
        <v>145.25522437855230801787626518</v>
      </c>
      <c r="P16" s="5"/>
      <c r="Q16" s="271">
        <v>-36.684507230560669348828049140</v>
      </c>
      <c r="R16" s="92">
        <v>-42.166119417304956116227302700</v>
      </c>
      <c r="S16" s="272">
        <v>-53.784174416292579354811799990</v>
      </c>
      <c r="T16" s="271">
        <v>-46.623076562161667091847543850</v>
      </c>
      <c r="U16" s="92"/>
      <c r="V16" s="272">
        <v>-70.780421553564522070836678490</v>
      </c>
      <c r="W16" s="271">
        <v>-27.879153329424459653607353690</v>
      </c>
      <c r="X16" s="92"/>
      <c r="Y16" s="272">
        <v>-3.4610081874378179329118909700</v>
      </c>
      <c r="Z16" s="271">
        <v>-37.680768697014260757004857230</v>
      </c>
      <c r="AA16" s="92"/>
      <c r="AB16" s="272">
        <v>-54.719597764122777106233124010</v>
      </c>
      <c r="AC16" s="5"/>
      <c r="AD16" s="271" t="s">
        <v>229</v>
      </c>
      <c r="AE16" s="92"/>
      <c r="AF16" s="92"/>
      <c r="AG16" s="272"/>
    </row>
    <row r="17" ht="20.1" customHeight="1">
      <c r="A17" s="58"/>
      <c r="B17" s="288"/>
      <c r="C17" s="289" t="s">
        <v>231</v>
      </c>
      <c r="D17" s="439">
        <v>211.75097751710654936461388074</v>
      </c>
      <c r="E17" s="95">
        <v>236.21250469126977035117505138</v>
      </c>
      <c r="F17" s="442">
        <v>140.34363919398080083023436824</v>
      </c>
      <c r="G17" s="439">
        <v>34.87927663734115347018572825</v>
      </c>
      <c r="H17" s="95"/>
      <c r="I17" s="442">
        <v>18.879155347189443510585204677</v>
      </c>
      <c r="J17" s="439">
        <v>19.697458455522971652003910068</v>
      </c>
      <c r="K17" s="95"/>
      <c r="L17" s="442">
        <v>13.254764144588653132001636811</v>
      </c>
      <c r="M17" s="439">
        <v>266.32771260997067448680351906</v>
      </c>
      <c r="N17" s="95"/>
      <c r="O17" s="442">
        <v>172.47755868575889747282120973</v>
      </c>
      <c r="P17" s="5"/>
      <c r="Q17" s="420">
        <v>138.92884126477982882392119617</v>
      </c>
      <c r="R17" s="91">
        <v>96.03956033985149404621729324</v>
      </c>
      <c r="S17" s="498">
        <v>79.166351363541034108789032650</v>
      </c>
      <c r="T17" s="420">
        <v>79.79869238276020482230759170</v>
      </c>
      <c r="U17" s="91"/>
      <c r="V17" s="498">
        <v>-8.814110761594667845009614810</v>
      </c>
      <c r="W17" s="420">
        <v>-2.7438582943370613127313827500</v>
      </c>
      <c r="X17" s="91"/>
      <c r="Y17" s="498">
        <v>29.605371965776331752645526400</v>
      </c>
      <c r="Z17" s="420">
        <v>107.61862487161801130764782977</v>
      </c>
      <c r="AA17" s="91"/>
      <c r="AB17" s="498">
        <v>57.856104580261806135713850080</v>
      </c>
      <c r="AC17" s="5"/>
      <c r="AD17" s="420" t="s">
        <v>229</v>
      </c>
      <c r="AE17" s="91"/>
      <c r="AF17" s="91"/>
      <c r="AG17" s="421"/>
    </row>
    <row r="18" ht="20.1" customHeight="1">
      <c r="A18" s="58"/>
      <c r="B18" s="286"/>
      <c r="C18" s="287" t="s">
        <v>232</v>
      </c>
      <c r="D18" s="276">
        <v>216.82474747474747474747474747</v>
      </c>
      <c r="E18" s="94">
        <v>215.36732779316712834718374885</v>
      </c>
      <c r="F18" s="277">
        <v>144.69517241379310344827586207</v>
      </c>
      <c r="G18" s="276">
        <v>39.794191919191919191919191919</v>
      </c>
      <c r="H18" s="94">
        <v>79.29425579485711754624471452</v>
      </c>
      <c r="I18" s="277">
        <v>22.825772544122684987046083309</v>
      </c>
      <c r="J18" s="276">
        <v>21.277525252525252525252525253</v>
      </c>
      <c r="K18" s="94">
        <v>11.700648473247996916363793938</v>
      </c>
      <c r="L18" s="277">
        <v>13.147357448966004979360082106</v>
      </c>
      <c r="M18" s="276">
        <v>277.89646464646464646464646465</v>
      </c>
      <c r="N18" s="94">
        <v>306.3622320612722428097922573</v>
      </c>
      <c r="O18" s="277">
        <v>180.66830240688179341468202748</v>
      </c>
      <c r="P18" s="5"/>
      <c r="Q18" s="271"/>
      <c r="R18" s="92"/>
      <c r="S18" s="272">
        <v>1336.5573034139931481483148056</v>
      </c>
      <c r="T18" s="271"/>
      <c r="U18" s="92"/>
      <c r="V18" s="272">
        <v>824.2234424796374841221441510</v>
      </c>
      <c r="W18" s="271"/>
      <c r="X18" s="92"/>
      <c r="Y18" s="272">
        <v>1317.2505424525310080770570151</v>
      </c>
      <c r="Z18" s="271"/>
      <c r="AA18" s="92"/>
      <c r="AB18" s="272">
        <v>1241.2894654913883916782813670</v>
      </c>
      <c r="AC18" s="5"/>
      <c r="AD18" s="271" t="s">
        <v>229</v>
      </c>
      <c r="AE18" s="92" t="s">
        <v>226</v>
      </c>
      <c r="AF18" s="92" t="s">
        <v>224</v>
      </c>
      <c r="AG18" s="272" t="s">
        <v>226</v>
      </c>
    </row>
    <row r="19" ht="20.1" customHeight="1">
      <c r="A19" s="58"/>
      <c r="B19" s="288"/>
      <c r="C19" s="289" t="s">
        <v>233</v>
      </c>
      <c r="D19" s="439">
        <v>248.66520039100684261974584555</v>
      </c>
      <c r="E19" s="95">
        <v>237.04269680993655616120096506</v>
      </c>
      <c r="F19" s="442">
        <v>162.68582391035140786455267058</v>
      </c>
      <c r="G19" s="439">
        <v>35.034457478005865102639296188</v>
      </c>
      <c r="H19" s="95">
        <v>72.546008102529955384542295827</v>
      </c>
      <c r="I19" s="442">
        <v>25.384720980539285241862645849</v>
      </c>
      <c r="J19" s="439">
        <v>20.811339198435972629521016618</v>
      </c>
      <c r="K19" s="95">
        <v>14.643186730139454752237385211</v>
      </c>
      <c r="L19" s="442">
        <v>14.457765730660255684670384631</v>
      </c>
      <c r="M19" s="439">
        <v>304.51099706744868035190615836</v>
      </c>
      <c r="N19" s="95">
        <v>324.2318916426059662979806461</v>
      </c>
      <c r="O19" s="442">
        <v>202.52831062155094879108570106</v>
      </c>
      <c r="P19" s="5"/>
      <c r="Q19" s="420"/>
      <c r="R19" s="91"/>
      <c r="S19" s="498">
        <v>602.52108391474758799573633926</v>
      </c>
      <c r="T19" s="420"/>
      <c r="U19" s="91"/>
      <c r="V19" s="498">
        <v>628.74387516471229417268749945</v>
      </c>
      <c r="W19" s="420"/>
      <c r="X19" s="91"/>
      <c r="Y19" s="498">
        <v>854.2814293516233730052822415</v>
      </c>
      <c r="Z19" s="420"/>
      <c r="AA19" s="91"/>
      <c r="AB19" s="498">
        <v>619.31230835257171704725981121</v>
      </c>
      <c r="AC19" s="5"/>
      <c r="AD19" s="420" t="s">
        <v>229</v>
      </c>
      <c r="AE19" s="91" t="s">
        <v>226</v>
      </c>
      <c r="AF19" s="91" t="s">
        <v>226</v>
      </c>
      <c r="AG19" s="421" t="s">
        <v>226</v>
      </c>
    </row>
    <row r="20" ht="20.1" customHeight="1">
      <c r="A20" s="58"/>
      <c r="B20" s="286"/>
      <c r="C20" s="287" t="s">
        <v>234</v>
      </c>
      <c r="D20" s="276">
        <v>210.5969696969696969696969697</v>
      </c>
      <c r="E20" s="94">
        <v>214.66197858472998137802607076</v>
      </c>
      <c r="F20" s="277">
        <v>145.1058182117434061638480846</v>
      </c>
      <c r="G20" s="276">
        <v>34.788383838383838383838383838</v>
      </c>
      <c r="H20" s="94">
        <v>71.547514167563266695915596715</v>
      </c>
      <c r="I20" s="277">
        <v>25.75178713116564016961560797</v>
      </c>
      <c r="J20" s="276">
        <v>25.212878787878787878787878788</v>
      </c>
      <c r="K20" s="94">
        <v>17.997811969207874798613857593</v>
      </c>
      <c r="L20" s="277">
        <v>13.895759884439991916080241787</v>
      </c>
      <c r="M20" s="276">
        <v>270.59823232323232323232323232</v>
      </c>
      <c r="N20" s="94">
        <v>304.20730472150112287255552507</v>
      </c>
      <c r="O20" s="277">
        <v>184.75336522734903824954393435</v>
      </c>
      <c r="P20" s="5"/>
      <c r="Q20" s="271">
        <v>828.0186947079862310574865075</v>
      </c>
      <c r="R20" s="92"/>
      <c r="S20" s="272">
        <v>392.85976965564123417472754785</v>
      </c>
      <c r="T20" s="271">
        <v>15022.063663047283778312549264</v>
      </c>
      <c r="U20" s="92"/>
      <c r="V20" s="272">
        <v>519.50921451570081092175286127</v>
      </c>
      <c r="W20" s="271">
        <v>837.4929577443662130529704423</v>
      </c>
      <c r="X20" s="92"/>
      <c r="Y20" s="272">
        <v>129.11494477210178988917091987</v>
      </c>
      <c r="Z20" s="271">
        <v>956.5032634641006875889837563</v>
      </c>
      <c r="AA20" s="92"/>
      <c r="AB20" s="272">
        <v>365.80336982528759395991559168</v>
      </c>
      <c r="AC20" s="5"/>
      <c r="AD20" s="271" t="s">
        <v>229</v>
      </c>
      <c r="AE20" s="92" t="s">
        <v>226</v>
      </c>
      <c r="AF20" s="92" t="s">
        <v>226</v>
      </c>
      <c r="AG20" s="272" t="s">
        <v>226</v>
      </c>
    </row>
    <row r="21" ht="20.1" customHeight="1">
      <c r="A21" s="58"/>
      <c r="B21" s="288"/>
      <c r="C21" s="289" t="s">
        <v>218</v>
      </c>
      <c r="D21" s="439">
        <v>232.34652981427174975562072336</v>
      </c>
      <c r="E21" s="95">
        <v>223.12745629843214993692557218</v>
      </c>
      <c r="F21" s="442">
        <v>149.57388080466842503360623293</v>
      </c>
      <c r="G21" s="439">
        <v>36.71969696969696969696969697</v>
      </c>
      <c r="H21" s="95">
        <v>50.24463699049480791379208415</v>
      </c>
      <c r="I21" s="442">
        <v>24.389143518218742505093795676</v>
      </c>
      <c r="J21" s="439">
        <v>22.252199413489736070381231672</v>
      </c>
      <c r="K21" s="95">
        <v>18.451474816344793507264974591</v>
      </c>
      <c r="L21" s="442">
        <v>14.49760985926700490419403954</v>
      </c>
      <c r="M21" s="439">
        <v>291.318426197458455522971652</v>
      </c>
      <c r="N21" s="95">
        <v>291.82356810527175135798263092</v>
      </c>
      <c r="O21" s="442">
        <v>188.46063418215417244289406814</v>
      </c>
      <c r="P21" s="5"/>
      <c r="Q21" s="420">
        <v>1191.5505202801207504013161454</v>
      </c>
      <c r="R21" s="91"/>
      <c r="S21" s="498">
        <v>451.50440116153511156536920283</v>
      </c>
      <c r="T21" s="420">
        <v>3003.8421813710765371236682563</v>
      </c>
      <c r="U21" s="91"/>
      <c r="V21" s="498">
        <v>413.80907657763831648475524647</v>
      </c>
      <c r="W21" s="420">
        <v>963.1173380029068344165307703</v>
      </c>
      <c r="X21" s="91"/>
      <c r="Y21" s="498">
        <v>154.59386372804027892194055757</v>
      </c>
      <c r="Z21" s="420">
        <v>1269.8862330486771850872017988</v>
      </c>
      <c r="AA21" s="91"/>
      <c r="AB21" s="498">
        <v>401.72939799747404181148454598</v>
      </c>
      <c r="AC21" s="5"/>
      <c r="AD21" s="420" t="s">
        <v>229</v>
      </c>
      <c r="AE21" s="91" t="s">
        <v>226</v>
      </c>
      <c r="AF21" s="91" t="s">
        <v>226</v>
      </c>
      <c r="AG21" s="421" t="s">
        <v>226</v>
      </c>
    </row>
    <row r="22" ht="20.1" customHeight="1">
      <c r="A22" s="58"/>
      <c r="B22" s="286"/>
      <c r="C22" s="287" t="s">
        <v>219</v>
      </c>
      <c r="D22" s="276">
        <v>131.2534213098729227761485826</v>
      </c>
      <c r="E22" s="94">
        <v>133.29444134078212290502793296</v>
      </c>
      <c r="F22" s="277">
        <v>97.33809633917409008429971665</v>
      </c>
      <c r="G22" s="276">
        <v>24.247067448680351906158357771</v>
      </c>
      <c r="H22" s="94"/>
      <c r="I22" s="277">
        <v>20.273054332037634936721455951</v>
      </c>
      <c r="J22" s="276">
        <v>15.847507331378299120234604106</v>
      </c>
      <c r="K22" s="94"/>
      <c r="L22" s="277">
        <v>11.918036885450604136939691028</v>
      </c>
      <c r="M22" s="276">
        <v>171.34799608993157380254154448</v>
      </c>
      <c r="N22" s="94"/>
      <c r="O22" s="277">
        <v>129.52918755666232915796086363</v>
      </c>
      <c r="P22" s="5"/>
      <c r="Q22" s="271">
        <v>366.16239204917050126020932647</v>
      </c>
      <c r="R22" s="92"/>
      <c r="S22" s="272">
        <v>198.78350284574719814130268277</v>
      </c>
      <c r="T22" s="271">
        <v>956.8704729309900703634946702</v>
      </c>
      <c r="U22" s="92"/>
      <c r="V22" s="272">
        <v>248.28857155653481792532963286</v>
      </c>
      <c r="W22" s="271">
        <v>148.22200956745492307228888512</v>
      </c>
      <c r="X22" s="92"/>
      <c r="Y22" s="272">
        <v>120.15844890692793383994473349</v>
      </c>
      <c r="Z22" s="271">
        <v>365.17966137669825758639040158</v>
      </c>
      <c r="AA22" s="92"/>
      <c r="AB22" s="272">
        <v>195.64577985732225769298953712</v>
      </c>
      <c r="AC22" s="5"/>
      <c r="AD22" s="271" t="s">
        <v>229</v>
      </c>
      <c r="AE22" s="92"/>
      <c r="AF22" s="92"/>
      <c r="AG22" s="272"/>
    </row>
    <row r="23" ht="20.1" customHeight="1">
      <c r="A23" s="58"/>
      <c r="B23" s="288"/>
      <c r="C23" s="289" t="s">
        <v>220</v>
      </c>
      <c r="D23" s="439">
        <v>108.17020202020202020202020202</v>
      </c>
      <c r="E23" s="95">
        <v>98.90940595903165735567970205</v>
      </c>
      <c r="F23" s="442">
        <v>85.18797634957275341189810878</v>
      </c>
      <c r="G23" s="439">
        <v>22.684343434343434343434343434</v>
      </c>
      <c r="H23" s="95"/>
      <c r="I23" s="442">
        <v>19.783751641276708437143564856</v>
      </c>
      <c r="J23" s="439">
        <v>13.93510101010101010101010101</v>
      </c>
      <c r="K23" s="95"/>
      <c r="L23" s="442">
        <v>12.581634626089406439717572708</v>
      </c>
      <c r="M23" s="439">
        <v>144.78964646464646464646464646</v>
      </c>
      <c r="N23" s="95"/>
      <c r="O23" s="442">
        <v>117.55336261693886828875924634</v>
      </c>
      <c r="P23" s="5"/>
      <c r="Q23" s="420">
        <v>103.09126338784837961539329120</v>
      </c>
      <c r="R23" s="91"/>
      <c r="S23" s="498">
        <v>140.09143031645954546902020370</v>
      </c>
      <c r="T23" s="420">
        <v>491.06461376170223532333313673</v>
      </c>
      <c r="U23" s="91"/>
      <c r="V23" s="498">
        <v>180.77281234153715190727022504</v>
      </c>
      <c r="W23" s="420">
        <v>22.384120647202853994828183390</v>
      </c>
      <c r="X23" s="91"/>
      <c r="Y23" s="498">
        <v>45.458960101469726579009835280</v>
      </c>
      <c r="Z23" s="420">
        <v>111.41461256248705681293762810</v>
      </c>
      <c r="AA23" s="91"/>
      <c r="AB23" s="498">
        <v>129.69841969139777767574138672</v>
      </c>
      <c r="AC23" s="5"/>
      <c r="AD23" s="420" t="s">
        <v>229</v>
      </c>
      <c r="AE23" s="91"/>
      <c r="AF23" s="91"/>
      <c r="AG23" s="421"/>
    </row>
    <row r="24" ht="20.1" customHeight="1">
      <c r="A24" s="59"/>
      <c r="B24" s="286"/>
      <c r="C24" s="287" t="s">
        <v>221</v>
      </c>
      <c r="D24" s="276">
        <v>135.83919843597262952101661779</v>
      </c>
      <c r="E24" s="94">
        <v>107.03792904722700396676895442</v>
      </c>
      <c r="F24" s="277">
        <v>104.64374182748126347621821155</v>
      </c>
      <c r="G24" s="276">
        <v>28.926441837732160312805474096</v>
      </c>
      <c r="H24" s="94">
        <v>37.758342298194926777580014513</v>
      </c>
      <c r="I24" s="277">
        <v>26.043599638477102259842134393</v>
      </c>
      <c r="J24" s="276">
        <v>16.814516129032258064516129032</v>
      </c>
      <c r="K24" s="94">
        <v>12.068363167207858257668333769</v>
      </c>
      <c r="L24" s="277">
        <v>11.781672438163188218475771264</v>
      </c>
      <c r="M24" s="276">
        <v>181.58015640273704789833822092</v>
      </c>
      <c r="N24" s="94">
        <v>156.8646345126297890020173027</v>
      </c>
      <c r="O24" s="277">
        <v>142.46901390412155395453611721</v>
      </c>
      <c r="P24" s="93"/>
      <c r="Q24" s="271">
        <v>115.29541176373315822828155812</v>
      </c>
      <c r="R24" s="92"/>
      <c r="S24" s="272">
        <v>135.32784769642404783510558521</v>
      </c>
      <c r="T24" s="271">
        <v>372.99500499883053702344708495</v>
      </c>
      <c r="U24" s="92"/>
      <c r="V24" s="272">
        <v>164.45100002158979777057022797</v>
      </c>
      <c r="W24" s="271">
        <v>31.964556282186816438640044220</v>
      </c>
      <c r="X24" s="92"/>
      <c r="Y24" s="272">
        <v>28.197934093966951958567482600</v>
      </c>
      <c r="Z24" s="271">
        <v>121.56996057809962781078959439</v>
      </c>
      <c r="AA24" s="92"/>
      <c r="AB24" s="272">
        <v>124.34082546424400684313825608</v>
      </c>
      <c r="AC24" s="93"/>
      <c r="AD24" s="271" t="s">
        <v>236</v>
      </c>
      <c r="AE24" s="92" t="s">
        <v>235</v>
      </c>
      <c r="AF24" s="92" t="s">
        <v>235</v>
      </c>
      <c r="AG24" s="272" t="s">
        <v>235</v>
      </c>
    </row>
    <row r="25" ht="20.1" customHeight="1">
      <c r="A25" s="60"/>
      <c r="B25" s="288"/>
      <c r="C25" s="289" t="s">
        <v>222</v>
      </c>
      <c r="D25" s="439">
        <v>196.46010101010101010101010101</v>
      </c>
      <c r="E25" s="95">
        <v>164.24064887857695282289249807</v>
      </c>
      <c r="F25" s="442">
        <v>138.73155964765435051217665112</v>
      </c>
      <c r="G25" s="439">
        <v>38.158838383838383838383838384</v>
      </c>
      <c r="H25" s="95">
        <v>65.564405296432566471417883519</v>
      </c>
      <c r="I25" s="442">
        <v>32.244134700356533623581016262</v>
      </c>
      <c r="J25" s="439">
        <v>17.574747474747474747474747475</v>
      </c>
      <c r="K25" s="95">
        <v>24.319777122560205077497623538</v>
      </c>
      <c r="L25" s="442">
        <v>13.69979042186612773834606223</v>
      </c>
      <c r="M25" s="439">
        <v>252.19368686868686868686868687</v>
      </c>
      <c r="N25" s="95">
        <v>254.12483129756972437180800512</v>
      </c>
      <c r="O25" s="442">
        <v>184.67548476987701187410372961</v>
      </c>
      <c r="P25" s="93"/>
      <c r="Q25" s="420">
        <v>199.93908551160459557406122292</v>
      </c>
      <c r="R25" s="91"/>
      <c r="S25" s="498">
        <v>195.07320468160715532373478922</v>
      </c>
      <c r="T25" s="420">
        <v>447.67496647648062037554790111</v>
      </c>
      <c r="U25" s="91"/>
      <c r="V25" s="498">
        <v>293.77057046916196111471843251</v>
      </c>
      <c r="W25" s="420">
        <v>42.550489533266920169235246160</v>
      </c>
      <c r="X25" s="91"/>
      <c r="Y25" s="498">
        <v>77.059890966904667614956353970</v>
      </c>
      <c r="Z25" s="420">
        <v>197.41150053757605355688118469</v>
      </c>
      <c r="AA25" s="91"/>
      <c r="AB25" s="498">
        <v>193.40620332176975607314856608</v>
      </c>
      <c r="AC25" s="93"/>
      <c r="AD25" s="420" t="s">
        <v>236</v>
      </c>
      <c r="AE25" s="91" t="s">
        <v>235</v>
      </c>
      <c r="AF25" s="91" t="s">
        <v>229</v>
      </c>
      <c r="AG25" s="421" t="s">
        <v>235</v>
      </c>
    </row>
    <row r="26" ht="20.1" customHeight="1">
      <c r="A26" s="60"/>
      <c r="B26" s="290"/>
      <c r="C26" s="291" t="s">
        <v>223</v>
      </c>
      <c r="D26" s="443">
        <v>315.4914467253176930596285435</v>
      </c>
      <c r="E26" s="444">
        <v>269.73534690517176858019609311</v>
      </c>
      <c r="F26" s="445">
        <v>197.26769989161166891029226277</v>
      </c>
      <c r="G26" s="443">
        <v>52.248533724340175953079178886</v>
      </c>
      <c r="H26" s="444">
        <v>58.174762368086221091235685952</v>
      </c>
      <c r="I26" s="445">
        <v>36.620683971475080416077795462</v>
      </c>
      <c r="J26" s="443">
        <v>21.871700879765395894428152493</v>
      </c>
      <c r="K26" s="444">
        <v>16.857720230521667539854801287</v>
      </c>
      <c r="L26" s="445">
        <v>15.276738926819615034130143817</v>
      </c>
      <c r="M26" s="443">
        <v>389.61168132942326490713587488</v>
      </c>
      <c r="N26" s="444">
        <v>344.76782950377965721128658035</v>
      </c>
      <c r="O26" s="445">
        <v>249.16512278990636436050020205</v>
      </c>
      <c r="P26" s="453"/>
      <c r="Q26" s="273">
        <v>166.42651653680275745749143577</v>
      </c>
      <c r="R26" s="274">
        <v>141.92146286807247878388365785</v>
      </c>
      <c r="S26" s="275">
        <v>179.72112290849489498305763984</v>
      </c>
      <c r="T26" s="273">
        <v>319.44793219667389215058157632</v>
      </c>
      <c r="U26" s="274"/>
      <c r="V26" s="275">
        <v>242.52607355569457377965944973</v>
      </c>
      <c r="W26" s="273">
        <v>37.085484093500888810361212500</v>
      </c>
      <c r="X26" s="274"/>
      <c r="Y26" s="275">
        <v>53.895250487189875076568602260</v>
      </c>
      <c r="Z26" s="273">
        <v>165.35384318356320342739081900</v>
      </c>
      <c r="AA26" s="274"/>
      <c r="AB26" s="275">
        <v>173.38405451150639185395687393</v>
      </c>
      <c r="AC26" s="453"/>
      <c r="AD26" s="273" t="s">
        <v>236</v>
      </c>
      <c r="AE26" s="274" t="s">
        <v>236</v>
      </c>
      <c r="AF26" s="274" t="s">
        <v>236</v>
      </c>
      <c r="AG26" s="275" t="s">
        <v>236</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47" t="s">
        <v>58</v>
      </c>
      <c r="C28" s="847"/>
      <c r="D28" s="847"/>
      <c r="E28" s="847"/>
      <c r="F28" s="847"/>
      <c r="G28" s="847"/>
      <c r="H28" s="847"/>
      <c r="I28" s="847"/>
      <c r="J28" s="847"/>
      <c r="K28" s="847"/>
      <c r="L28" s="847"/>
      <c r="M28" s="847"/>
      <c r="N28" s="847"/>
      <c r="O28" s="973"/>
      <c r="P28" s="501"/>
      <c r="Q28" s="836"/>
      <c r="R28" s="836"/>
      <c r="S28" s="836"/>
      <c r="T28" s="836"/>
      <c r="U28" s="836"/>
      <c r="V28" s="836"/>
      <c r="W28" s="836"/>
      <c r="X28" s="836"/>
      <c r="Y28" s="836"/>
      <c r="Z28" s="836"/>
      <c r="AA28" s="836"/>
      <c r="AB28" s="971"/>
      <c r="AC28" s="501"/>
      <c r="AD28" s="836"/>
      <c r="AE28" s="836"/>
      <c r="AF28" s="836"/>
      <c r="AG28" s="971"/>
      <c r="AH28" s="9"/>
    </row>
    <row r="29" ht="20.1" customHeight="1">
      <c r="A29" s="58"/>
      <c r="B29" s="284">
        <v>2019</v>
      </c>
      <c r="C29" s="285"/>
      <c r="D29" s="454">
        <v>131.58870900788709007887090079</v>
      </c>
      <c r="E29" s="455">
        <v>188.69756533070590852747671869</v>
      </c>
      <c r="F29" s="436">
        <v>145.31768495408316792828437319</v>
      </c>
      <c r="G29" s="454">
        <v>21.339061851390618513906185139</v>
      </c>
      <c r="H29" s="455"/>
      <c r="I29" s="436">
        <v>40.029453175933892761976072963</v>
      </c>
      <c r="J29" s="454">
        <v>21.127625570776255707762557078</v>
      </c>
      <c r="K29" s="455"/>
      <c r="L29" s="436">
        <v>13.478432092000116780669716148</v>
      </c>
      <c r="M29" s="454">
        <v>174.05539643005396430053964301</v>
      </c>
      <c r="N29" s="455"/>
      <c r="O29" s="436">
        <v>198.82557022201717747093016231</v>
      </c>
      <c r="P29" s="5"/>
      <c r="Q29" s="427">
        <v>84.75946982501326306113629962</v>
      </c>
      <c r="R29" s="428">
        <v>-3.3172868268999467929578433300</v>
      </c>
      <c r="S29" s="417">
        <v>1.9910323596219912219878415600</v>
      </c>
      <c r="T29" s="427">
        <v>185.98204494488800648457304112</v>
      </c>
      <c r="U29" s="428"/>
      <c r="V29" s="417">
        <v>-14.038136312899931465689937460</v>
      </c>
      <c r="W29" s="427">
        <v>140.21401258735524113182211066</v>
      </c>
      <c r="X29" s="428"/>
      <c r="Y29" s="417">
        <v>-14.473383076652094734827117780</v>
      </c>
      <c r="Z29" s="427">
        <v>98.96901317058494402455394623</v>
      </c>
      <c r="AA29" s="428"/>
      <c r="AB29" s="417">
        <v>-2.9203840314966611927753157700</v>
      </c>
      <c r="AC29" s="5"/>
      <c r="AD29" s="427" t="s">
        <v>240</v>
      </c>
      <c r="AE29" s="428"/>
      <c r="AF29" s="428"/>
      <c r="AG29" s="429"/>
    </row>
    <row r="30" ht="20.1" customHeight="1">
      <c r="A30" s="58"/>
      <c r="B30" s="286">
        <v>2020</v>
      </c>
      <c r="C30" s="287"/>
      <c r="D30" s="276">
        <v>101.45382513661202185792349727</v>
      </c>
      <c r="E30" s="94"/>
      <c r="F30" s="277">
        <v>81.52947015288844577652164033</v>
      </c>
      <c r="G30" s="276">
        <v>15.607526080476900149031296572</v>
      </c>
      <c r="H30" s="94"/>
      <c r="I30" s="277">
        <v>17.57770763660035133672678472</v>
      </c>
      <c r="J30" s="276">
        <v>13.166219572776949826130153999</v>
      </c>
      <c r="K30" s="94"/>
      <c r="L30" s="277">
        <v>8.490507113704828198758175535</v>
      </c>
      <c r="M30" s="276">
        <v>130.22757078986587183308494784</v>
      </c>
      <c r="N30" s="94"/>
      <c r="O30" s="277">
        <v>107.59768490319362531200660059</v>
      </c>
      <c r="P30" s="5"/>
      <c r="Q30" s="271">
        <v>-22.900812766146078637758322040</v>
      </c>
      <c r="R30" s="92"/>
      <c r="S30" s="272">
        <v>-43.895699839534107944139431630</v>
      </c>
      <c r="T30" s="271">
        <v>-26.859361535366976732735632210</v>
      </c>
      <c r="U30" s="92"/>
      <c r="V30" s="272">
        <v>-56.088064557466581186331721730</v>
      </c>
      <c r="W30" s="271">
        <v>-37.682445532480111107961125760</v>
      </c>
      <c r="X30" s="92"/>
      <c r="Y30" s="272">
        <v>-37.006715204327875922512192930</v>
      </c>
      <c r="Z30" s="271">
        <v>-25.180388852715187130071527520</v>
      </c>
      <c r="AA30" s="92"/>
      <c r="AB30" s="272">
        <v>-45.883376678837273526224344370</v>
      </c>
      <c r="AC30" s="5"/>
      <c r="AD30" s="271"/>
      <c r="AE30" s="92"/>
      <c r="AF30" s="92"/>
      <c r="AG30" s="272"/>
    </row>
    <row r="31" ht="20.1" customHeight="1">
      <c r="A31" s="58"/>
      <c r="B31" s="425">
        <v>2021</v>
      </c>
      <c r="C31" s="426"/>
      <c r="D31" s="457">
        <v>194.87868410128684101286841013</v>
      </c>
      <c r="E31" s="458">
        <v>184.00204717378363074063856664</v>
      </c>
      <c r="F31" s="499">
        <v>130.58558762215952003445509414</v>
      </c>
      <c r="G31" s="457">
        <v>32.875570776255707762557077626</v>
      </c>
      <c r="H31" s="458">
        <v>67.745111394859979748213238519</v>
      </c>
      <c r="I31" s="499">
        <v>23.780677150172391164752167514</v>
      </c>
      <c r="J31" s="457">
        <v>19.371606475716064757160647572</v>
      </c>
      <c r="K31" s="458">
        <v>23.119266184981920058852981432</v>
      </c>
      <c r="L31" s="499">
        <v>13.283590442604382992506010999</v>
      </c>
      <c r="M31" s="457">
        <v>247.12586135325861353258613533</v>
      </c>
      <c r="N31" s="458">
        <v>274.86642475362553054770478659</v>
      </c>
      <c r="O31" s="499">
        <v>167.64985521493629419171327265</v>
      </c>
      <c r="P31" s="453"/>
      <c r="Q31" s="430">
        <v>92.08608826616171883247526863</v>
      </c>
      <c r="R31" s="431"/>
      <c r="S31" s="500">
        <v>60.169797960491953342592436180</v>
      </c>
      <c r="T31" s="430">
        <v>110.63921730254454058899996356</v>
      </c>
      <c r="U31" s="431"/>
      <c r="V31" s="500">
        <v>35.288842218860637507982976040</v>
      </c>
      <c r="W31" s="430">
        <v>47.131121189378686351788103700</v>
      </c>
      <c r="X31" s="431"/>
      <c r="Y31" s="500">
        <v>56.452262093631876071082302930</v>
      </c>
      <c r="Z31" s="430">
        <v>89.7646249978463398146781800</v>
      </c>
      <c r="AA31" s="431"/>
      <c r="AB31" s="500">
        <v>55.811768037353299610369188400</v>
      </c>
      <c r="AC31" s="453"/>
      <c r="AD31" s="430" t="s">
        <v>237</v>
      </c>
      <c r="AE31" s="431" t="s">
        <v>226</v>
      </c>
      <c r="AF31" s="431" t="s">
        <v>226</v>
      </c>
      <c r="AG31" s="432" t="s">
        <v>226</v>
      </c>
    </row>
    <row r="32" ht="21" customHeight="1"/>
    <row r="33" ht="24.95" customHeight="1">
      <c r="A33" s="112"/>
      <c r="B33" s="842" t="s">
        <v>44</v>
      </c>
      <c r="C33" s="842"/>
      <c r="D33" s="842"/>
      <c r="E33" s="842"/>
      <c r="F33" s="842"/>
      <c r="G33" s="842"/>
      <c r="H33" s="842"/>
      <c r="I33" s="842"/>
      <c r="J33" s="842"/>
      <c r="K33" s="842"/>
      <c r="L33" s="842"/>
      <c r="M33" s="842"/>
      <c r="N33" s="842"/>
      <c r="O33" s="972"/>
      <c r="P33" s="501"/>
      <c r="Q33" s="836"/>
      <c r="R33" s="836"/>
      <c r="S33" s="836"/>
      <c r="T33" s="836"/>
      <c r="U33" s="836"/>
      <c r="V33" s="836"/>
      <c r="W33" s="836"/>
      <c r="X33" s="836"/>
      <c r="Y33" s="836"/>
      <c r="Z33" s="836"/>
      <c r="AA33" s="836"/>
      <c r="AB33" s="971"/>
      <c r="AC33" s="501"/>
      <c r="AD33" s="836"/>
      <c r="AE33" s="836"/>
      <c r="AF33" s="836"/>
      <c r="AG33" s="971"/>
      <c r="AH33" s="9"/>
    </row>
    <row r="34" ht="20.1" customHeight="1">
      <c r="A34" s="58"/>
      <c r="B34" s="284">
        <v>2019</v>
      </c>
      <c r="C34" s="285"/>
      <c r="D34" s="454">
        <v>145.6949934123847167325428195</v>
      </c>
      <c r="E34" s="455">
        <v>189.64597296479370523554927872</v>
      </c>
      <c r="F34" s="436">
        <v>145.33992875740322165317158307</v>
      </c>
      <c r="G34" s="454">
        <v>31.863224637681159420289855072</v>
      </c>
      <c r="H34" s="455">
        <v>4.3077678890228402396731201816</v>
      </c>
      <c r="I34" s="436">
        <v>42.476104794001858568736267108</v>
      </c>
      <c r="J34" s="454">
        <v>25.015480895915678524374176548</v>
      </c>
      <c r="K34" s="455">
        <v>3.8410608094972327756920241879</v>
      </c>
      <c r="L34" s="436">
        <v>18.482410091421691254680316954</v>
      </c>
      <c r="M34" s="454">
        <v>202.57369894598155467720685112</v>
      </c>
      <c r="N34" s="455">
        <v>197.79480166331377825091442309</v>
      </c>
      <c r="O34" s="436">
        <v>206.29844364282677147658816713</v>
      </c>
      <c r="P34" s="5"/>
      <c r="Q34" s="427">
        <v>51.300487084047935453758297530</v>
      </c>
      <c r="R34" s="428">
        <v>-1.0235399577613991819437010500</v>
      </c>
      <c r="S34" s="417">
        <v>5.3702834742507229353546098400</v>
      </c>
      <c r="T34" s="427">
        <v>141.92654929292507958488904288</v>
      </c>
      <c r="U34" s="428"/>
      <c r="V34" s="417">
        <v>4.992730077972236831117950300</v>
      </c>
      <c r="W34" s="427">
        <v>96.90436991944891131991955720</v>
      </c>
      <c r="X34" s="428"/>
      <c r="Y34" s="417">
        <v>48.672717272113664460804872020</v>
      </c>
      <c r="Z34" s="427">
        <v>65.812794799782583214975786070</v>
      </c>
      <c r="AA34" s="428"/>
      <c r="AB34" s="417">
        <v>8.111313825563349153801453280</v>
      </c>
      <c r="AC34" s="5"/>
      <c r="AD34" s="427" t="s">
        <v>242</v>
      </c>
      <c r="AE34" s="428" t="s">
        <v>224</v>
      </c>
      <c r="AF34" s="428" t="s">
        <v>224</v>
      </c>
      <c r="AG34" s="429" t="s">
        <v>226</v>
      </c>
    </row>
    <row r="35" ht="20.1" customHeight="1">
      <c r="A35" s="58"/>
      <c r="B35" s="286">
        <v>2020</v>
      </c>
      <c r="C35" s="287"/>
      <c r="D35" s="276">
        <v>82.51976284584980237154150198</v>
      </c>
      <c r="E35" s="94"/>
      <c r="F35" s="277">
        <v>54.23867827182123406603341262</v>
      </c>
      <c r="G35" s="276">
        <v>8.529973649538866930171277997</v>
      </c>
      <c r="H35" s="94"/>
      <c r="I35" s="277">
        <v>9.586813844505248196234102633</v>
      </c>
      <c r="J35" s="276">
        <v>13.689723320158102766798418972</v>
      </c>
      <c r="K35" s="94"/>
      <c r="L35" s="277">
        <v>8.960861130262700153767976423</v>
      </c>
      <c r="M35" s="276">
        <v>104.73945981554677206851119895</v>
      </c>
      <c r="N35" s="94"/>
      <c r="O35" s="277">
        <v>72.786353246589182416035491675</v>
      </c>
      <c r="P35" s="5"/>
      <c r="Q35" s="271">
        <v>-43.361291343572961445259553310</v>
      </c>
      <c r="R35" s="92"/>
      <c r="S35" s="272">
        <v>-62.681502092686511502853468630</v>
      </c>
      <c r="T35" s="271">
        <v>-73.229408678723766074667352380</v>
      </c>
      <c r="U35" s="92"/>
      <c r="V35" s="272">
        <v>-77.430101251046348013598173080</v>
      </c>
      <c r="W35" s="271">
        <v>-45.274994403957958704539065390</v>
      </c>
      <c r="X35" s="92"/>
      <c r="Y35" s="272">
        <v>-51.516814712209777833476730780</v>
      </c>
      <c r="Z35" s="271">
        <v>-48.29562753678742214276988100</v>
      </c>
      <c r="AA35" s="92"/>
      <c r="AB35" s="272">
        <v>-64.717933901325633594938637310</v>
      </c>
      <c r="AC35" s="5"/>
      <c r="AD35" s="271"/>
      <c r="AE35" s="92"/>
      <c r="AF35" s="92"/>
      <c r="AG35" s="272"/>
    </row>
    <row r="36" ht="20.1" customHeight="1">
      <c r="A36" s="58"/>
      <c r="B36" s="425">
        <v>2021</v>
      </c>
      <c r="C36" s="426"/>
      <c r="D36" s="457">
        <v>216.14188076416337285902503294</v>
      </c>
      <c r="E36" s="458">
        <v>180.51294587914859275698577625</v>
      </c>
      <c r="F36" s="499">
        <v>146.96958133392947194942526345</v>
      </c>
      <c r="G36" s="457">
        <v>39.795536890645586297760210804</v>
      </c>
      <c r="H36" s="458">
        <v>53.704982647257528022563295869</v>
      </c>
      <c r="I36" s="499">
        <v>31.629530792600148605010307754</v>
      </c>
      <c r="J36" s="457">
        <v>18.766469038208168642951251647</v>
      </c>
      <c r="K36" s="458">
        <v>17.677194554417624478784194488</v>
      </c>
      <c r="L36" s="499">
        <v>13.584831140983160141099622113</v>
      </c>
      <c r="M36" s="457">
        <v>274.70388669301712779973649539</v>
      </c>
      <c r="N36" s="458">
        <v>251.89512308082374525833326662</v>
      </c>
      <c r="O36" s="499">
        <v>192.18394326751278069553519332</v>
      </c>
      <c r="P36" s="453"/>
      <c r="Q36" s="430">
        <v>161.92741388272703239124683003</v>
      </c>
      <c r="R36" s="431"/>
      <c r="S36" s="500">
        <v>170.96822049652067227723005380</v>
      </c>
      <c r="T36" s="430">
        <v>366.53762984342014288610740923</v>
      </c>
      <c r="U36" s="431"/>
      <c r="V36" s="500">
        <v>229.92745353813413775221770193</v>
      </c>
      <c r="W36" s="430">
        <v>37.084355901606344014467919570</v>
      </c>
      <c r="X36" s="431"/>
      <c r="Y36" s="500">
        <v>51.601848789373601136607518320</v>
      </c>
      <c r="Z36" s="430">
        <v>162.27353776400203416584375022</v>
      </c>
      <c r="AA36" s="431"/>
      <c r="AB36" s="500">
        <v>164.03842849001380250383084360</v>
      </c>
      <c r="AC36" s="453"/>
      <c r="AD36" s="430" t="s">
        <v>236</v>
      </c>
      <c r="AE36" s="431" t="s">
        <v>235</v>
      </c>
      <c r="AF36" s="431" t="s">
        <v>235</v>
      </c>
      <c r="AG36" s="432" t="s">
        <v>235</v>
      </c>
    </row>
    <row r="37" ht="21" customHeight="1"/>
    <row r="38" ht="24.95" customHeight="1">
      <c r="A38" s="112"/>
      <c r="B38" s="842" t="s">
        <v>45</v>
      </c>
      <c r="C38" s="842"/>
      <c r="D38" s="842"/>
      <c r="E38" s="842"/>
      <c r="F38" s="842"/>
      <c r="G38" s="842"/>
      <c r="H38" s="842"/>
      <c r="I38" s="842"/>
      <c r="J38" s="842"/>
      <c r="K38" s="842"/>
      <c r="L38" s="842"/>
      <c r="M38" s="842"/>
      <c r="N38" s="842"/>
      <c r="O38" s="972"/>
      <c r="P38" s="501"/>
      <c r="Q38" s="836"/>
      <c r="R38" s="836"/>
      <c r="S38" s="836"/>
      <c r="T38" s="836"/>
      <c r="U38" s="836"/>
      <c r="V38" s="836"/>
      <c r="W38" s="836"/>
      <c r="X38" s="836"/>
      <c r="Y38" s="836"/>
      <c r="Z38" s="836"/>
      <c r="AA38" s="836"/>
      <c r="AB38" s="971"/>
      <c r="AC38" s="501"/>
      <c r="AD38" s="836"/>
      <c r="AE38" s="836"/>
      <c r="AF38" s="836"/>
      <c r="AG38" s="971"/>
      <c r="AH38" s="9"/>
    </row>
    <row r="39" ht="20.1" customHeight="1">
      <c r="A39" s="58"/>
      <c r="B39" s="284">
        <v>2019</v>
      </c>
      <c r="C39" s="285"/>
      <c r="D39" s="454">
        <v>131.58870900788709007887090079</v>
      </c>
      <c r="E39" s="455">
        <v>188.69756533070590852747671869</v>
      </c>
      <c r="F39" s="436">
        <v>145.31768495408316792828437319</v>
      </c>
      <c r="G39" s="454">
        <v>21.339061851390618513906185139</v>
      </c>
      <c r="H39" s="455"/>
      <c r="I39" s="436">
        <v>40.029453175933892761976072963</v>
      </c>
      <c r="J39" s="454">
        <v>21.127625570776255707762557078</v>
      </c>
      <c r="K39" s="455"/>
      <c r="L39" s="436">
        <v>13.478432092000116780669716148</v>
      </c>
      <c r="M39" s="454">
        <v>174.05539643005396430053964301</v>
      </c>
      <c r="N39" s="455"/>
      <c r="O39" s="436">
        <v>198.82557022201717747093016231</v>
      </c>
      <c r="P39" s="5"/>
      <c r="Q39" s="427">
        <v>84.75946982501326306113629962</v>
      </c>
      <c r="R39" s="428">
        <v>-3.3172868268999467929578433300</v>
      </c>
      <c r="S39" s="417">
        <v>1.9910323596219912219878415600</v>
      </c>
      <c r="T39" s="427">
        <v>185.98204494488800648457304112</v>
      </c>
      <c r="U39" s="428"/>
      <c r="V39" s="417">
        <v>-14.038136312899931465689937460</v>
      </c>
      <c r="W39" s="427">
        <v>140.21401258735524113182211066</v>
      </c>
      <c r="X39" s="428"/>
      <c r="Y39" s="417">
        <v>-14.473383076652094734827117780</v>
      </c>
      <c r="Z39" s="427">
        <v>98.96901317058494402455394623</v>
      </c>
      <c r="AA39" s="428"/>
      <c r="AB39" s="417">
        <v>-2.9203840314966611927753157700</v>
      </c>
      <c r="AC39" s="5"/>
      <c r="AD39" s="427" t="s">
        <v>240</v>
      </c>
      <c r="AE39" s="428"/>
      <c r="AF39" s="428"/>
      <c r="AG39" s="429"/>
    </row>
    <row r="40" ht="20.1" customHeight="1">
      <c r="A40" s="58"/>
      <c r="B40" s="286">
        <v>2020</v>
      </c>
      <c r="C40" s="287"/>
      <c r="D40" s="276">
        <v>101.45382513661202185792349727</v>
      </c>
      <c r="E40" s="94"/>
      <c r="F40" s="277">
        <v>81.52947015288844577652164033</v>
      </c>
      <c r="G40" s="276">
        <v>15.607526080476900149031296572</v>
      </c>
      <c r="H40" s="94"/>
      <c r="I40" s="277">
        <v>17.57770763660035133672678472</v>
      </c>
      <c r="J40" s="276">
        <v>13.166219572776949826130153999</v>
      </c>
      <c r="K40" s="94"/>
      <c r="L40" s="277">
        <v>8.490507113704828198758175535</v>
      </c>
      <c r="M40" s="276">
        <v>130.22757078986587183308494784</v>
      </c>
      <c r="N40" s="94"/>
      <c r="O40" s="277">
        <v>107.59768490319362531200660059</v>
      </c>
      <c r="P40" s="5"/>
      <c r="Q40" s="271">
        <v>-22.900812766146078637758322040</v>
      </c>
      <c r="R40" s="92"/>
      <c r="S40" s="272">
        <v>-43.895699839534107944139431630</v>
      </c>
      <c r="T40" s="271">
        <v>-26.859361535366976732735632210</v>
      </c>
      <c r="U40" s="92"/>
      <c r="V40" s="272">
        <v>-56.088064557466581186331721730</v>
      </c>
      <c r="W40" s="271">
        <v>-37.682445532480111107961125760</v>
      </c>
      <c r="X40" s="92"/>
      <c r="Y40" s="272">
        <v>-37.006715204327875922512192930</v>
      </c>
      <c r="Z40" s="271">
        <v>-25.180388852715187130071527520</v>
      </c>
      <c r="AA40" s="92"/>
      <c r="AB40" s="272">
        <v>-45.883376678837273526224344370</v>
      </c>
      <c r="AC40" s="5"/>
      <c r="AD40" s="271"/>
      <c r="AE40" s="92"/>
      <c r="AF40" s="92"/>
      <c r="AG40" s="272"/>
    </row>
    <row r="41" ht="20.1" customHeight="1">
      <c r="A41" s="58"/>
      <c r="B41" s="425">
        <v>2021</v>
      </c>
      <c r="C41" s="426"/>
      <c r="D41" s="457">
        <v>194.87868410128684101286841013</v>
      </c>
      <c r="E41" s="458">
        <v>184.00204717378363074063856664</v>
      </c>
      <c r="F41" s="499">
        <v>130.58558762215952003445509414</v>
      </c>
      <c r="G41" s="457">
        <v>32.875570776255707762557077626</v>
      </c>
      <c r="H41" s="458">
        <v>67.745111394859979748213238519</v>
      </c>
      <c r="I41" s="499">
        <v>23.780677150172391164752167514</v>
      </c>
      <c r="J41" s="457">
        <v>19.371606475716064757160647572</v>
      </c>
      <c r="K41" s="458">
        <v>23.119266184981920058852981432</v>
      </c>
      <c r="L41" s="499">
        <v>13.283590442604382992506010999</v>
      </c>
      <c r="M41" s="457">
        <v>247.12586135325861353258613533</v>
      </c>
      <c r="N41" s="458">
        <v>274.86642475362553054770478659</v>
      </c>
      <c r="O41" s="499">
        <v>167.64985521493629419171327265</v>
      </c>
      <c r="P41" s="453"/>
      <c r="Q41" s="430">
        <v>92.08608826616171883247526863</v>
      </c>
      <c r="R41" s="431"/>
      <c r="S41" s="500">
        <v>60.169797960491953342592436180</v>
      </c>
      <c r="T41" s="430">
        <v>110.63921730254454058899996356</v>
      </c>
      <c r="U41" s="431"/>
      <c r="V41" s="500">
        <v>35.288842218860637507982976040</v>
      </c>
      <c r="W41" s="430">
        <v>47.131121189378686351788103700</v>
      </c>
      <c r="X41" s="431"/>
      <c r="Y41" s="500">
        <v>56.452262093631876071082302930</v>
      </c>
      <c r="Z41" s="430">
        <v>89.7646249978463398146781800</v>
      </c>
      <c r="AA41" s="431"/>
      <c r="AB41" s="500">
        <v>55.811768037353299610369188400</v>
      </c>
      <c r="AC41" s="453"/>
      <c r="AD41" s="430" t="s">
        <v>237</v>
      </c>
      <c r="AE41" s="431" t="s">
        <v>226</v>
      </c>
      <c r="AF41" s="431" t="s">
        <v>226</v>
      </c>
      <c r="AG41" s="432" t="s">
        <v>226</v>
      </c>
    </row>
    <row r="42" ht="12.75" customHeight="1"/>
    <row r="43" ht="20.1" customHeight="1">
      <c r="B43" s="7" t="s">
        <v>104</v>
      </c>
    </row>
    <row r="44" ht="14.1" customHeight="1">
      <c r="B44" s="7"/>
      <c r="AW44" s="236"/>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
      <c r="E1" s="6"/>
      <c r="AS1" s="236"/>
    </row>
    <row r="2" ht="15" customHeight="1">
      <c r="B2" s="0"/>
      <c r="C2" s="4" t="s">
        <v>208</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0"/>
    </row>
    <row r="3" ht="15" customHeight="1">
      <c r="B3" s="0"/>
      <c r="C3" s="4" t="s">
        <v>209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0"/>
    </row>
    <row r="4" ht="15" customHeight="1">
      <c r="B4" s="0"/>
      <c r="C4" s="4" t="s">
        <v>243</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0"/>
    </row>
    <row r="5" ht="12.75" customHeight="1">
      <c r="C5" s="67"/>
      <c r="D5" s="67"/>
      <c r="E5" s="67"/>
    </row>
    <row r="6" ht="18" customHeight="1">
      <c r="B6" s="68"/>
      <c r="C6" s="68" t="s">
        <v>7</v>
      </c>
      <c r="D6" s="69"/>
      <c r="E6" s="69"/>
      <c r="F6" s="69"/>
      <c r="H6" s="987" t="s">
        <v>245</v>
      </c>
      <c r="I6" s="987"/>
      <c r="J6" s="987"/>
      <c r="K6" s="987"/>
      <c r="L6" s="987"/>
      <c r="M6" s="987"/>
      <c r="N6" s="987"/>
      <c r="O6" s="987"/>
      <c r="P6" s="987"/>
      <c r="Q6" s="987"/>
      <c r="R6" s="987"/>
      <c r="S6" s="987"/>
      <c r="T6" s="987"/>
      <c r="U6" s="987"/>
      <c r="Z6" s="987" t="s">
        <v>246</v>
      </c>
      <c r="AA6" s="987"/>
      <c r="AB6" s="987"/>
      <c r="AC6" s="987"/>
      <c r="AD6" s="987"/>
      <c r="AE6" s="987"/>
      <c r="AF6" s="987"/>
      <c r="AG6" s="987"/>
      <c r="AH6" s="987"/>
      <c r="AI6" s="987"/>
      <c r="AJ6" s="987"/>
      <c r="AK6" s="987"/>
      <c r="AL6" s="987"/>
      <c r="AM6" s="987"/>
    </row>
    <row r="7" ht="15" customHeight="1">
      <c r="D7" s="93" t="s">
        <v>248</v>
      </c>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t="s">
        <v>250</v>
      </c>
      <c r="E8" s="71"/>
      <c r="F8" s="71"/>
      <c r="G8" s="71"/>
      <c r="H8" s="910"/>
      <c r="I8" s="910"/>
      <c r="J8" s="906"/>
      <c r="K8" s="906"/>
      <c r="L8" s="906"/>
      <c r="M8" s="906"/>
      <c r="N8" s="906">
        <v>1</v>
      </c>
      <c r="O8" s="906"/>
      <c r="P8" s="906">
        <v>2</v>
      </c>
      <c r="Q8" s="906"/>
      <c r="R8" s="906">
        <v>3</v>
      </c>
      <c r="S8" s="906"/>
      <c r="T8" s="906">
        <v>4</v>
      </c>
      <c r="U8" s="907"/>
      <c r="Z8" s="910"/>
      <c r="AA8" s="910"/>
      <c r="AB8" s="906"/>
      <c r="AC8" s="906"/>
      <c r="AD8" s="906">
        <v>1</v>
      </c>
      <c r="AE8" s="906"/>
      <c r="AF8" s="906">
        <v>2</v>
      </c>
      <c r="AG8" s="906"/>
      <c r="AH8" s="906">
        <v>3</v>
      </c>
      <c r="AI8" s="906"/>
      <c r="AJ8" s="906">
        <v>4</v>
      </c>
      <c r="AK8" s="906"/>
      <c r="AL8" s="906">
        <v>5</v>
      </c>
      <c r="AM8" s="907"/>
    </row>
    <row r="9" ht="15" customHeight="1">
      <c r="D9" s="175" t="s">
        <v>252</v>
      </c>
      <c r="H9" s="905">
        <v>5</v>
      </c>
      <c r="I9" s="905"/>
      <c r="J9" s="898">
        <v>6</v>
      </c>
      <c r="K9" s="898"/>
      <c r="L9" s="898">
        <v>7</v>
      </c>
      <c r="M9" s="898"/>
      <c r="N9" s="898">
        <v>8</v>
      </c>
      <c r="O9" s="898"/>
      <c r="P9" s="898">
        <v>9</v>
      </c>
      <c r="Q9" s="898"/>
      <c r="R9" s="898">
        <v>10</v>
      </c>
      <c r="S9" s="898"/>
      <c r="T9" s="898">
        <v>11</v>
      </c>
      <c r="U9" s="902"/>
      <c r="Z9" s="905">
        <v>6</v>
      </c>
      <c r="AA9" s="905"/>
      <c r="AB9" s="898">
        <v>7</v>
      </c>
      <c r="AC9" s="898"/>
      <c r="AD9" s="898">
        <v>8</v>
      </c>
      <c r="AE9" s="898"/>
      <c r="AF9" s="898">
        <v>9</v>
      </c>
      <c r="AG9" s="898"/>
      <c r="AH9" s="898">
        <v>10</v>
      </c>
      <c r="AI9" s="898"/>
      <c r="AJ9" s="898">
        <v>11</v>
      </c>
      <c r="AK9" s="898"/>
      <c r="AL9" s="898">
        <v>12</v>
      </c>
      <c r="AM9" s="902"/>
    </row>
    <row r="10" ht="15" customHeight="1">
      <c r="D10" t="s">
        <v>254</v>
      </c>
      <c r="H10" s="899">
        <v>12</v>
      </c>
      <c r="I10" s="899"/>
      <c r="J10" s="900">
        <v>13</v>
      </c>
      <c r="K10" s="900"/>
      <c r="L10" s="900">
        <v>14</v>
      </c>
      <c r="M10" s="900"/>
      <c r="N10" s="900">
        <v>15</v>
      </c>
      <c r="O10" s="900"/>
      <c r="P10" s="900">
        <v>16</v>
      </c>
      <c r="Q10" s="900"/>
      <c r="R10" s="900">
        <v>17</v>
      </c>
      <c r="S10" s="900"/>
      <c r="T10" s="900">
        <v>18</v>
      </c>
      <c r="U10" s="903"/>
      <c r="Z10" s="899">
        <v>13</v>
      </c>
      <c r="AA10" s="899"/>
      <c r="AB10" s="900">
        <v>14</v>
      </c>
      <c r="AC10" s="900"/>
      <c r="AD10" s="900">
        <v>15</v>
      </c>
      <c r="AE10" s="900"/>
      <c r="AF10" s="900">
        <v>16</v>
      </c>
      <c r="AG10" s="900"/>
      <c r="AH10" s="900">
        <v>17</v>
      </c>
      <c r="AI10" s="900"/>
      <c r="AJ10" s="900">
        <v>18</v>
      </c>
      <c r="AK10" s="900"/>
      <c r="AL10" s="900">
        <v>19</v>
      </c>
      <c r="AM10" s="903"/>
    </row>
    <row r="11" ht="15" customHeight="1">
      <c r="H11" s="905">
        <v>19</v>
      </c>
      <c r="I11" s="905"/>
      <c r="J11" s="898">
        <v>20</v>
      </c>
      <c r="K11" s="898"/>
      <c r="L11" s="898">
        <v>21</v>
      </c>
      <c r="M11" s="898"/>
      <c r="N11" s="898">
        <v>22</v>
      </c>
      <c r="O11" s="898"/>
      <c r="P11" s="898">
        <v>23</v>
      </c>
      <c r="Q11" s="898"/>
      <c r="R11" s="898">
        <v>24</v>
      </c>
      <c r="S11" s="898"/>
      <c r="T11" s="898">
        <v>25</v>
      </c>
      <c r="U11" s="902"/>
      <c r="Z11" s="905">
        <v>20</v>
      </c>
      <c r="AA11" s="905"/>
      <c r="AB11" s="898">
        <v>21</v>
      </c>
      <c r="AC11" s="898"/>
      <c r="AD11" s="898">
        <v>22</v>
      </c>
      <c r="AE11" s="898"/>
      <c r="AF11" s="898">
        <v>23</v>
      </c>
      <c r="AG11" s="898"/>
      <c r="AH11" s="898">
        <v>24</v>
      </c>
      <c r="AI11" s="898"/>
      <c r="AJ11" s="898">
        <v>25</v>
      </c>
      <c r="AK11" s="898"/>
      <c r="AL11" s="898">
        <v>26</v>
      </c>
      <c r="AM11" s="902"/>
      <c r="AN11" t="s">
        <v>27</v>
      </c>
    </row>
    <row r="12" ht="15" customHeight="1">
      <c r="A12" s="68"/>
      <c r="H12" s="899">
        <v>26</v>
      </c>
      <c r="I12" s="899"/>
      <c r="J12" s="900">
        <v>27</v>
      </c>
      <c r="K12" s="900"/>
      <c r="L12" s="900">
        <v>28</v>
      </c>
      <c r="M12" s="900"/>
      <c r="N12" s="900">
        <v>29</v>
      </c>
      <c r="O12" s="900"/>
      <c r="P12" s="900">
        <v>30</v>
      </c>
      <c r="Q12" s="900"/>
      <c r="R12" s="900">
        <v>31</v>
      </c>
      <c r="S12" s="900"/>
      <c r="T12" s="900"/>
      <c r="U12" s="903"/>
      <c r="Z12" s="899">
        <v>27</v>
      </c>
      <c r="AA12" s="899"/>
      <c r="AB12" s="900">
        <v>28</v>
      </c>
      <c r="AC12" s="900"/>
      <c r="AD12" s="900">
        <v>29</v>
      </c>
      <c r="AE12" s="900"/>
      <c r="AF12" s="900">
        <v>30</v>
      </c>
      <c r="AG12" s="900"/>
      <c r="AH12" s="900">
        <v>31</v>
      </c>
      <c r="AI12" s="900"/>
      <c r="AJ12" s="900"/>
      <c r="AK12" s="900"/>
      <c r="AL12" s="900"/>
      <c r="AM12" s="903"/>
    </row>
    <row r="13" ht="15" customHeight="1">
      <c r="C13" s="72"/>
      <c r="D13" s="73"/>
      <c r="E13" s="73"/>
      <c r="F13" s="73"/>
      <c r="G13" s="73"/>
      <c r="H13" s="904" t="s">
        <v>27</v>
      </c>
      <c r="I13" s="904"/>
      <c r="J13" s="901" t="s">
        <v>27</v>
      </c>
      <c r="K13" s="901"/>
      <c r="L13" s="901" t="s">
        <v>27</v>
      </c>
      <c r="M13" s="901"/>
      <c r="N13" s="901" t="s">
        <v>27</v>
      </c>
      <c r="O13" s="901"/>
      <c r="P13" s="901" t="s">
        <v>27</v>
      </c>
      <c r="Q13" s="901"/>
      <c r="R13" s="901" t="s">
        <v>27</v>
      </c>
      <c r="S13" s="901"/>
      <c r="T13" s="901" t="s">
        <v>27</v>
      </c>
      <c r="U13" s="911"/>
      <c r="Z13" s="904" t="s">
        <v>27</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t="s">
        <v>256</v>
      </c>
      <c r="F15" s="64"/>
      <c r="P15" s="234"/>
      <c r="Q15" s="234"/>
      <c r="R15" s="234"/>
      <c r="S15" s="234"/>
      <c r="T15" s="234"/>
      <c r="U15" s="234"/>
      <c r="V15" s="234"/>
      <c r="W15" s="0"/>
      <c r="X15" s="234"/>
      <c r="Y15" s="234"/>
      <c r="Z15" s="234"/>
      <c r="AA15" s="234"/>
      <c r="AB15" s="234"/>
      <c r="AC15" s="234"/>
      <c r="AD15" s="234"/>
      <c r="AE15" s="0"/>
      <c r="AF15" s="234"/>
      <c r="AG15" s="234"/>
      <c r="AH15" s="234"/>
      <c r="AI15" s="234"/>
      <c r="AJ15" s="234"/>
      <c r="AK15" s="234"/>
      <c r="AL15" s="234"/>
      <c r="AM15" s="0"/>
      <c r="AN15" s="0"/>
    </row>
    <row r="16" ht="15" customHeight="1">
      <c r="C16" s="70"/>
      <c r="D16" s="73" t="s">
        <v>248</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250</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252</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254</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2020</v>
      </c>
      <c r="S21" s="993"/>
      <c r="T21" s="993"/>
      <c r="U21" s="993"/>
      <c r="V21" s="993"/>
      <c r="W21" s="993"/>
      <c r="X21" s="993"/>
      <c r="Y21" s="993"/>
      <c r="Z21" s="993"/>
      <c r="AA21" s="993"/>
      <c r="AB21" s="993"/>
      <c r="AC21" s="993"/>
      <c r="AD21" s="995">
        <v>2021</v>
      </c>
      <c r="AE21" s="995"/>
      <c r="AF21" s="995"/>
      <c r="AG21" s="995"/>
      <c r="AH21" s="995"/>
      <c r="AI21" s="995"/>
      <c r="AJ21" s="995"/>
      <c r="AK21" s="995"/>
      <c r="AL21" s="995"/>
      <c r="AM21" s="995"/>
      <c r="AN21" s="995"/>
      <c r="AO21" s="995"/>
    </row>
    <row r="22" s="5" customFormat="1" ht="30" customHeight="1">
      <c r="B22" s="76"/>
      <c r="C22" s="77" t="s">
        <v>71</v>
      </c>
      <c r="D22" s="77" t="s">
        <v>21</v>
      </c>
      <c r="E22" s="177" t="s">
        <v>244</v>
      </c>
      <c r="F22" s="10" t="s">
        <v>60</v>
      </c>
      <c r="G22" s="10" t="s">
        <v>61</v>
      </c>
      <c r="H22" s="914" t="s">
        <v>34</v>
      </c>
      <c r="I22" s="914"/>
      <c r="J22" s="914"/>
      <c r="K22" s="914"/>
      <c r="L22" s="914" t="s">
        <v>62</v>
      </c>
      <c r="M22" s="914"/>
      <c r="N22" s="914"/>
      <c r="O22" s="914"/>
      <c r="R22" s="617" t="s">
        <v>227</v>
      </c>
      <c r="S22" s="618" t="s">
        <v>230</v>
      </c>
      <c r="T22" s="618" t="s">
        <v>231</v>
      </c>
      <c r="U22" s="618" t="s">
        <v>232</v>
      </c>
      <c r="V22" s="618" t="s">
        <v>233</v>
      </c>
      <c r="W22" s="618" t="s">
        <v>234</v>
      </c>
      <c r="X22" s="618" t="s">
        <v>218</v>
      </c>
      <c r="Y22" s="618" t="s">
        <v>219</v>
      </c>
      <c r="Z22" s="618" t="s">
        <v>220</v>
      </c>
      <c r="AA22" s="618" t="s">
        <v>221</v>
      </c>
      <c r="AB22" s="618" t="s">
        <v>222</v>
      </c>
      <c r="AC22" s="1015" t="s">
        <v>223</v>
      </c>
      <c r="AD22" s="618" t="s">
        <v>227</v>
      </c>
      <c r="AE22" s="618" t="s">
        <v>230</v>
      </c>
      <c r="AF22" s="618" t="s">
        <v>231</v>
      </c>
      <c r="AG22" s="618" t="s">
        <v>232</v>
      </c>
      <c r="AH22" s="618" t="s">
        <v>233</v>
      </c>
      <c r="AI22" s="618" t="s">
        <v>234</v>
      </c>
      <c r="AJ22" s="618" t="s">
        <v>218</v>
      </c>
      <c r="AK22" s="618" t="s">
        <v>219</v>
      </c>
      <c r="AL22" s="618" t="s">
        <v>220</v>
      </c>
      <c r="AM22" s="618" t="s">
        <v>221</v>
      </c>
      <c r="AN22" s="618" t="s">
        <v>222</v>
      </c>
      <c r="AO22" s="1015" t="s">
        <v>223</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261</v>
      </c>
      <c r="F23" s="1016" t="s">
        <v>262</v>
      </c>
      <c r="G23" s="1016" t="s">
        <v>263</v>
      </c>
      <c r="H23" s="1017" t="s">
        <v>264</v>
      </c>
      <c r="I23" s="1017"/>
      <c r="J23" s="1017"/>
      <c r="K23" s="1017"/>
      <c r="L23" s="1017" t="s">
        <v>265</v>
      </c>
      <c r="M23" s="1017"/>
      <c r="N23" s="1017"/>
      <c r="O23" s="1017"/>
      <c r="P23" s="80"/>
      <c r="Q23" s="4"/>
      <c r="R23" s="1018" t="s">
        <v>266</v>
      </c>
      <c r="S23" s="1019" t="s">
        <v>266</v>
      </c>
      <c r="T23" s="1019" t="s">
        <v>266</v>
      </c>
      <c r="U23" s="1019" t="s">
        <v>267</v>
      </c>
      <c r="V23" s="1019" t="s">
        <v>267</v>
      </c>
      <c r="W23" s="1019" t="s">
        <v>266</v>
      </c>
      <c r="X23" s="1019" t="s">
        <v>266</v>
      </c>
      <c r="Y23" s="1019" t="s">
        <v>266</v>
      </c>
      <c r="Z23" s="1019" t="s">
        <v>266</v>
      </c>
      <c r="AA23" s="1019" t="s">
        <v>266</v>
      </c>
      <c r="AB23" s="1019" t="s">
        <v>266</v>
      </c>
      <c r="AC23" s="1019" t="s">
        <v>266</v>
      </c>
      <c r="AD23" s="1019" t="s">
        <v>266</v>
      </c>
      <c r="AE23" s="1019" t="s">
        <v>266</v>
      </c>
      <c r="AF23" s="1019" t="s">
        <v>266</v>
      </c>
      <c r="AG23" s="1019" t="s">
        <v>266</v>
      </c>
      <c r="AH23" s="1019" t="s">
        <v>266</v>
      </c>
      <c r="AI23" s="1019" t="s">
        <v>266</v>
      </c>
      <c r="AJ23" s="1019" t="s">
        <v>266</v>
      </c>
      <c r="AK23" s="1019" t="s">
        <v>266</v>
      </c>
      <c r="AL23" s="1019" t="s">
        <v>266</v>
      </c>
      <c r="AM23" s="1019" t="s">
        <v>266</v>
      </c>
      <c r="AN23" s="1019" t="s">
        <v>266</v>
      </c>
      <c r="AO23" s="1020" t="s">
        <v>266</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33931</v>
      </c>
      <c r="D24" s="1021" t="s">
        <v>268</v>
      </c>
      <c r="E24" s="1021" t="s">
        <v>261</v>
      </c>
      <c r="F24" s="1022" t="s">
        <v>269</v>
      </c>
      <c r="G24" s="1021" t="s">
        <v>270</v>
      </c>
      <c r="H24" s="1023" t="s">
        <v>271</v>
      </c>
      <c r="I24" s="1023"/>
      <c r="J24" s="1023"/>
      <c r="K24" s="1023"/>
      <c r="L24" s="1023" t="s">
        <v>272</v>
      </c>
      <c r="M24" s="1023"/>
      <c r="N24" s="1023"/>
      <c r="O24" s="1023"/>
      <c r="P24" s="80"/>
      <c r="Q24" s="4"/>
      <c r="R24" s="1024" t="s">
        <v>266</v>
      </c>
      <c r="S24" s="1025" t="s">
        <v>266</v>
      </c>
      <c r="T24" s="1025" t="s">
        <v>266</v>
      </c>
      <c r="U24" s="1025" t="s">
        <v>267</v>
      </c>
      <c r="V24" s="1025" t="s">
        <v>267</v>
      </c>
      <c r="W24" s="1025" t="s">
        <v>273</v>
      </c>
      <c r="X24" s="1025" t="s">
        <v>266</v>
      </c>
      <c r="Y24" s="1025" t="s">
        <v>266</v>
      </c>
      <c r="Z24" s="1025" t="s">
        <v>266</v>
      </c>
      <c r="AA24" s="1025" t="s">
        <v>266</v>
      </c>
      <c r="AB24" s="1025" t="s">
        <v>266</v>
      </c>
      <c r="AC24" s="1025" t="s">
        <v>266</v>
      </c>
      <c r="AD24" s="1025" t="s">
        <v>266</v>
      </c>
      <c r="AE24" s="1025" t="s">
        <v>266</v>
      </c>
      <c r="AF24" s="1025" t="s">
        <v>266</v>
      </c>
      <c r="AG24" s="1025" t="s">
        <v>266</v>
      </c>
      <c r="AH24" s="1025" t="s">
        <v>266</v>
      </c>
      <c r="AI24" s="1025" t="s">
        <v>266</v>
      </c>
      <c r="AJ24" s="1025" t="s">
        <v>266</v>
      </c>
      <c r="AK24" s="1025" t="s">
        <v>266</v>
      </c>
      <c r="AL24" s="1025" t="s">
        <v>266</v>
      </c>
      <c r="AM24" s="1025" t="s">
        <v>266</v>
      </c>
      <c r="AN24" s="1025" t="s">
        <v>266</v>
      </c>
      <c r="AO24" s="1026" t="s">
        <v>266</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34401</v>
      </c>
      <c r="D25" s="1016" t="s">
        <v>274</v>
      </c>
      <c r="E25" s="1016" t="s">
        <v>261</v>
      </c>
      <c r="F25" s="1027" t="s">
        <v>269</v>
      </c>
      <c r="G25" s="1016" t="s">
        <v>275</v>
      </c>
      <c r="H25" s="1017" t="s">
        <v>276</v>
      </c>
      <c r="I25" s="1017"/>
      <c r="J25" s="1017"/>
      <c r="K25" s="1017"/>
      <c r="L25" s="1017" t="s">
        <v>277</v>
      </c>
      <c r="M25" s="1017"/>
      <c r="N25" s="1017"/>
      <c r="O25" s="1017"/>
      <c r="P25" s="80"/>
      <c r="Q25" s="4"/>
      <c r="R25" s="1018" t="s">
        <v>266</v>
      </c>
      <c r="S25" s="1019" t="s">
        <v>266</v>
      </c>
      <c r="T25" s="1019" t="s">
        <v>266</v>
      </c>
      <c r="U25" s="1019" t="s">
        <v>267</v>
      </c>
      <c r="V25" s="1019" t="s">
        <v>267</v>
      </c>
      <c r="W25" s="1019" t="s">
        <v>267</v>
      </c>
      <c r="X25" s="1019" t="s">
        <v>267</v>
      </c>
      <c r="Y25" s="1019" t="s">
        <v>267</v>
      </c>
      <c r="Z25" s="1019" t="s">
        <v>267</v>
      </c>
      <c r="AA25" s="1019" t="s">
        <v>267</v>
      </c>
      <c r="AB25" s="1019" t="s">
        <v>267</v>
      </c>
      <c r="AC25" s="1019" t="s">
        <v>267</v>
      </c>
      <c r="AD25" s="1019" t="s">
        <v>266</v>
      </c>
      <c r="AE25" s="1019" t="s">
        <v>266</v>
      </c>
      <c r="AF25" s="1019" t="s">
        <v>266</v>
      </c>
      <c r="AG25" s="1019" t="s">
        <v>266</v>
      </c>
      <c r="AH25" s="1019" t="s">
        <v>266</v>
      </c>
      <c r="AI25" s="1019" t="s">
        <v>266</v>
      </c>
      <c r="AJ25" s="1019" t="s">
        <v>266</v>
      </c>
      <c r="AK25" s="1019" t="s">
        <v>266</v>
      </c>
      <c r="AL25" s="1019" t="s">
        <v>266</v>
      </c>
      <c r="AM25" s="1019" t="s">
        <v>266</v>
      </c>
      <c r="AN25" s="1019" t="s">
        <v>266</v>
      </c>
      <c r="AO25" s="1020" t="s">
        <v>266</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39070</v>
      </c>
      <c r="D26" s="1021" t="s">
        <v>278</v>
      </c>
      <c r="E26" s="1021" t="s">
        <v>261</v>
      </c>
      <c r="F26" s="1022" t="s">
        <v>269</v>
      </c>
      <c r="G26" s="1021" t="s">
        <v>279</v>
      </c>
      <c r="H26" s="1023" t="s">
        <v>280</v>
      </c>
      <c r="I26" s="1023"/>
      <c r="J26" s="1023"/>
      <c r="K26" s="1023"/>
      <c r="L26" s="1023" t="s">
        <v>281</v>
      </c>
      <c r="M26" s="1023"/>
      <c r="N26" s="1023"/>
      <c r="O26" s="1023"/>
      <c r="P26" s="80"/>
      <c r="Q26" s="4"/>
      <c r="R26" s="1024" t="s">
        <v>266</v>
      </c>
      <c r="S26" s="1025" t="s">
        <v>266</v>
      </c>
      <c r="T26" s="1025" t="s">
        <v>266</v>
      </c>
      <c r="U26" s="1025" t="s">
        <v>267</v>
      </c>
      <c r="V26" s="1025" t="s">
        <v>267</v>
      </c>
      <c r="W26" s="1025" t="s">
        <v>267</v>
      </c>
      <c r="X26" s="1025" t="s">
        <v>267</v>
      </c>
      <c r="Y26" s="1025" t="s">
        <v>267</v>
      </c>
      <c r="Z26" s="1025" t="s">
        <v>267</v>
      </c>
      <c r="AA26" s="1025" t="s">
        <v>267</v>
      </c>
      <c r="AB26" s="1025" t="s">
        <v>267</v>
      </c>
      <c r="AC26" s="1025" t="s">
        <v>267</v>
      </c>
      <c r="AD26" s="1025" t="s">
        <v>267</v>
      </c>
      <c r="AE26" s="1025" t="s">
        <v>267</v>
      </c>
      <c r="AF26" s="1025" t="s">
        <v>267</v>
      </c>
      <c r="AG26" s="1025" t="s">
        <v>267</v>
      </c>
      <c r="AH26" s="1025" t="s">
        <v>267</v>
      </c>
      <c r="AI26" s="1025" t="s">
        <v>267</v>
      </c>
      <c r="AJ26" s="1025" t="s">
        <v>267</v>
      </c>
      <c r="AK26" s="1025" t="s">
        <v>267</v>
      </c>
      <c r="AL26" s="1025" t="s">
        <v>267</v>
      </c>
      <c r="AM26" s="1025" t="s">
        <v>266</v>
      </c>
      <c r="AN26" s="1025" t="s">
        <v>266</v>
      </c>
      <c r="AO26" s="1026" t="s">
        <v>266</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44117</v>
      </c>
      <c r="D27" s="1016" t="s">
        <v>282</v>
      </c>
      <c r="E27" s="1016" t="s">
        <v>261</v>
      </c>
      <c r="F27" s="1027" t="s">
        <v>269</v>
      </c>
      <c r="G27" s="1016" t="s">
        <v>283</v>
      </c>
      <c r="H27" s="1017" t="s">
        <v>284</v>
      </c>
      <c r="I27" s="1017"/>
      <c r="J27" s="1017"/>
      <c r="K27" s="1017"/>
      <c r="L27" s="1017" t="s">
        <v>285</v>
      </c>
      <c r="M27" s="1017"/>
      <c r="N27" s="1017"/>
      <c r="O27" s="1017"/>
      <c r="P27" s="80"/>
      <c r="Q27" s="4"/>
      <c r="R27" s="1018" t="s">
        <v>266</v>
      </c>
      <c r="S27" s="1019" t="s">
        <v>266</v>
      </c>
      <c r="T27" s="1019" t="s">
        <v>266</v>
      </c>
      <c r="U27" s="1019" t="s">
        <v>267</v>
      </c>
      <c r="V27" s="1019" t="s">
        <v>267</v>
      </c>
      <c r="W27" s="1019" t="s">
        <v>267</v>
      </c>
      <c r="X27" s="1019" t="s">
        <v>267</v>
      </c>
      <c r="Y27" s="1019" t="s">
        <v>267</v>
      </c>
      <c r="Z27" s="1019" t="s">
        <v>267</v>
      </c>
      <c r="AA27" s="1019" t="s">
        <v>267</v>
      </c>
      <c r="AB27" s="1019" t="s">
        <v>267</v>
      </c>
      <c r="AC27" s="1019" t="s">
        <v>273</v>
      </c>
      <c r="AD27" s="1019" t="s">
        <v>266</v>
      </c>
      <c r="AE27" s="1019" t="s">
        <v>266</v>
      </c>
      <c r="AF27" s="1019" t="s">
        <v>266</v>
      </c>
      <c r="AG27" s="1019" t="s">
        <v>266</v>
      </c>
      <c r="AH27" s="1019" t="s">
        <v>266</v>
      </c>
      <c r="AI27" s="1019" t="s">
        <v>266</v>
      </c>
      <c r="AJ27" s="1019" t="s">
        <v>266</v>
      </c>
      <c r="AK27" s="1019" t="s">
        <v>266</v>
      </c>
      <c r="AL27" s="1019" t="s">
        <v>266</v>
      </c>
      <c r="AM27" s="1019" t="s">
        <v>266</v>
      </c>
      <c r="AN27" s="1019" t="s">
        <v>266</v>
      </c>
      <c r="AO27" s="1020" t="s">
        <v>266</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53909</v>
      </c>
      <c r="D28" s="1021" t="s">
        <v>286</v>
      </c>
      <c r="E28" s="1021" t="s">
        <v>261</v>
      </c>
      <c r="F28" s="1021" t="s">
        <v>287</v>
      </c>
      <c r="G28" s="1021" t="s">
        <v>288</v>
      </c>
      <c r="H28" s="1023" t="s">
        <v>289</v>
      </c>
      <c r="I28" s="1023"/>
      <c r="J28" s="1023"/>
      <c r="K28" s="1023"/>
      <c r="L28" s="1023" t="s">
        <v>290</v>
      </c>
      <c r="M28" s="1023"/>
      <c r="N28" s="1023"/>
      <c r="O28" s="1023"/>
      <c r="P28" s="80"/>
      <c r="Q28" s="4"/>
      <c r="R28" s="1024" t="s">
        <v>266</v>
      </c>
      <c r="S28" s="1025" t="s">
        <v>266</v>
      </c>
      <c r="T28" s="1025" t="s">
        <v>266</v>
      </c>
      <c r="U28" s="1025" t="s">
        <v>267</v>
      </c>
      <c r="V28" s="1025" t="s">
        <v>267</v>
      </c>
      <c r="W28" s="1025" t="s">
        <v>266</v>
      </c>
      <c r="X28" s="1025" t="s">
        <v>266</v>
      </c>
      <c r="Y28" s="1025" t="s">
        <v>266</v>
      </c>
      <c r="Z28" s="1025" t="s">
        <v>266</v>
      </c>
      <c r="AA28" s="1025" t="s">
        <v>266</v>
      </c>
      <c r="AB28" s="1025" t="s">
        <v>266</v>
      </c>
      <c r="AC28" s="1025" t="s">
        <v>266</v>
      </c>
      <c r="AD28" s="1025" t="s">
        <v>266</v>
      </c>
      <c r="AE28" s="1025" t="s">
        <v>266</v>
      </c>
      <c r="AF28" s="1025" t="s">
        <v>266</v>
      </c>
      <c r="AG28" s="1025" t="s">
        <v>266</v>
      </c>
      <c r="AH28" s="1025" t="s">
        <v>266</v>
      </c>
      <c r="AI28" s="1025" t="s">
        <v>266</v>
      </c>
      <c r="AJ28" s="1025" t="s">
        <v>266</v>
      </c>
      <c r="AK28" s="1025" t="s">
        <v>266</v>
      </c>
      <c r="AL28" s="1025" t="s">
        <v>266</v>
      </c>
      <c r="AM28" s="1025" t="s">
        <v>266</v>
      </c>
      <c r="AN28" s="1025" t="s">
        <v>266</v>
      </c>
      <c r="AO28" s="1026" t="s">
        <v>266</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1017">
        <v>563</v>
      </c>
      <c r="I29" s="1017"/>
      <c r="J29" s="1017"/>
      <c r="K29" s="1017"/>
      <c r="L29" s="895"/>
      <c r="M29" s="895"/>
      <c r="N29" s="895"/>
      <c r="O29" s="895"/>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181"/>
      <c r="I30" s="181"/>
      <c r="J30" s="181"/>
      <c r="K30" s="181"/>
      <c r="L30" s="895"/>
      <c r="M30" s="895"/>
      <c r="N30" s="895"/>
      <c r="O30" s="895"/>
      <c r="P30" s="80"/>
      <c r="Q30" s="4"/>
      <c r="R30" s="182"/>
      <c r="S30" s="182"/>
      <c r="T30" s="182"/>
      <c r="U30" s="182"/>
      <c r="V30" s="182"/>
      <c r="W30" s="182"/>
      <c r="X30" s="1028" t="s">
        <v>291</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181"/>
      <c r="I31" s="181"/>
      <c r="J31" s="181"/>
      <c r="K31" s="181"/>
      <c r="L31" s="895"/>
      <c r="M31" s="895"/>
      <c r="N31" s="895"/>
      <c r="O31" s="895"/>
      <c r="P31" s="80"/>
      <c r="Q31" s="4"/>
      <c r="R31" s="182"/>
      <c r="S31" s="182"/>
      <c r="T31" s="182"/>
      <c r="U31" s="182"/>
      <c r="V31" s="182"/>
      <c r="W31" s="182"/>
      <c r="X31" s="182"/>
      <c r="Y31" s="182"/>
      <c r="Z31" s="182"/>
      <c r="AA31" s="1029" t="s">
        <v>273</v>
      </c>
      <c r="AB31" s="1028" t="s">
        <v>292</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181"/>
      <c r="I32" s="181"/>
      <c r="J32" s="181"/>
      <c r="K32" s="181"/>
      <c r="L32" s="895"/>
      <c r="M32" s="895"/>
      <c r="N32" s="895"/>
      <c r="O32" s="895"/>
      <c r="P32" s="80"/>
      <c r="Q32" s="4"/>
      <c r="R32" s="182"/>
      <c r="S32" s="182"/>
      <c r="T32" s="182"/>
      <c r="U32" s="182"/>
      <c r="V32" s="182"/>
      <c r="W32" s="182"/>
      <c r="X32" s="182"/>
      <c r="Y32" s="182"/>
      <c r="Z32" s="182"/>
      <c r="AA32" s="1029" t="s">
        <v>266</v>
      </c>
      <c r="AB32" s="1028" t="s">
        <v>293</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181"/>
      <c r="I33" s="181"/>
      <c r="J33" s="181"/>
      <c r="K33" s="181"/>
      <c r="L33" s="895"/>
      <c r="M33" s="895"/>
      <c r="N33" s="895"/>
      <c r="O33" s="895"/>
      <c r="P33" s="80"/>
      <c r="Q33" s="4"/>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181"/>
      <c r="I34" s="181"/>
      <c r="J34" s="181"/>
      <c r="K34" s="181"/>
      <c r="L34" s="895"/>
      <c r="M34" s="895"/>
      <c r="N34" s="895"/>
      <c r="O34" s="895"/>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181"/>
      <c r="I35" s="181"/>
      <c r="J35" s="181"/>
      <c r="K35" s="181"/>
      <c r="L35" s="895"/>
      <c r="M35" s="895"/>
      <c r="N35" s="895"/>
      <c r="O35" s="895"/>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181"/>
      <c r="I36" s="181"/>
      <c r="J36" s="181"/>
      <c r="K36" s="181"/>
      <c r="L36" s="895"/>
      <c r="M36" s="895"/>
      <c r="N36" s="895"/>
      <c r="O36" s="895"/>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181"/>
      <c r="I37" s="181"/>
      <c r="J37" s="181"/>
      <c r="K37" s="181"/>
      <c r="L37" s="895"/>
      <c r="M37" s="895"/>
      <c r="N37" s="895"/>
      <c r="O37" s="895"/>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181"/>
      <c r="I38" s="181"/>
      <c r="J38" s="181"/>
      <c r="K38" s="181"/>
      <c r="L38" s="895"/>
      <c r="M38" s="895"/>
      <c r="N38" s="895"/>
      <c r="O38" s="895"/>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181"/>
      <c r="I39" s="181"/>
      <c r="J39" s="181"/>
      <c r="K39" s="181"/>
      <c r="L39" s="895"/>
      <c r="M39" s="895"/>
      <c r="N39" s="895"/>
      <c r="O39" s="895"/>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81"/>
      <c r="I40" s="181"/>
      <c r="J40" s="181"/>
      <c r="K40" s="181"/>
      <c r="L40" s="895"/>
      <c r="M40" s="895"/>
      <c r="N40" s="895"/>
      <c r="O40" s="895"/>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81"/>
      <c r="I41" s="181"/>
      <c r="J41" s="181"/>
      <c r="K41" s="181"/>
      <c r="L41" s="895"/>
      <c r="M41" s="895"/>
      <c r="N41" s="895"/>
      <c r="O41" s="895"/>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81"/>
      <c r="I42" s="181"/>
      <c r="J42" s="181"/>
      <c r="K42" s="181"/>
      <c r="L42" s="895"/>
      <c r="M42" s="895"/>
      <c r="N42" s="895"/>
      <c r="O42" s="895"/>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81"/>
      <c r="I43" s="181"/>
      <c r="J43" s="181"/>
      <c r="K43" s="181"/>
      <c r="L43" s="895"/>
      <c r="M43" s="895"/>
      <c r="N43" s="895"/>
      <c r="O43" s="895"/>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81"/>
      <c r="I44" s="181"/>
      <c r="J44" s="181"/>
      <c r="K44" s="181"/>
      <c r="L44" s="895"/>
      <c r="M44" s="895"/>
      <c r="N44" s="895"/>
      <c r="O44" s="895"/>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81"/>
      <c r="I45" s="181"/>
      <c r="J45" s="181"/>
      <c r="K45" s="181"/>
      <c r="L45" s="895"/>
      <c r="M45" s="895"/>
      <c r="N45" s="895"/>
      <c r="O45" s="895"/>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81"/>
      <c r="I46" s="181"/>
      <c r="J46" s="181"/>
      <c r="K46" s="181"/>
      <c r="L46" s="895"/>
      <c r="M46" s="895"/>
      <c r="N46" s="895"/>
      <c r="O46" s="895"/>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81"/>
      <c r="I47" s="181"/>
      <c r="J47" s="181"/>
      <c r="K47" s="181"/>
      <c r="L47" s="895"/>
      <c r="M47" s="895"/>
      <c r="N47" s="895"/>
      <c r="O47" s="895"/>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81"/>
      <c r="I48" s="181"/>
      <c r="J48" s="181"/>
      <c r="K48" s="181"/>
      <c r="L48" s="895"/>
      <c r="M48" s="895"/>
      <c r="N48" s="895"/>
      <c r="O48" s="895"/>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81"/>
      <c r="I49" s="181"/>
      <c r="J49" s="181"/>
      <c r="K49" s="181"/>
      <c r="L49" s="895"/>
      <c r="M49" s="895"/>
      <c r="N49" s="895"/>
      <c r="O49" s="895"/>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81"/>
      <c r="I50" s="181"/>
      <c r="J50" s="181"/>
      <c r="K50" s="181"/>
      <c r="L50" s="895"/>
      <c r="M50" s="895"/>
      <c r="N50" s="895"/>
      <c r="O50" s="895"/>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81"/>
      <c r="I51" s="181"/>
      <c r="J51" s="181"/>
      <c r="K51" s="181"/>
      <c r="L51" s="895"/>
      <c r="M51" s="895"/>
      <c r="N51" s="895"/>
      <c r="O51" s="895"/>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81"/>
      <c r="I52" s="181"/>
      <c r="J52" s="181"/>
      <c r="K52" s="181"/>
      <c r="L52" s="895"/>
      <c r="M52" s="895"/>
      <c r="N52" s="895"/>
      <c r="O52" s="895"/>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181"/>
      <c r="I53" s="181"/>
      <c r="J53" s="181"/>
      <c r="K53" s="181"/>
      <c r="L53" s="895"/>
      <c r="M53" s="895"/>
      <c r="N53" s="895"/>
      <c r="O53" s="895"/>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181"/>
      <c r="I54" s="181"/>
      <c r="J54" s="181"/>
      <c r="K54" s="181"/>
      <c r="L54" s="895"/>
      <c r="M54" s="895"/>
      <c r="N54" s="895"/>
      <c r="O54" s="895"/>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181"/>
      <c r="I55" s="181"/>
      <c r="J55" s="181"/>
      <c r="K55" s="181"/>
      <c r="L55" s="895"/>
      <c r="M55" s="895"/>
      <c r="N55" s="895"/>
      <c r="O55" s="895"/>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181"/>
      <c r="I56" s="181"/>
      <c r="J56" s="181"/>
      <c r="K56" s="181"/>
      <c r="L56" s="895"/>
      <c r="M56" s="895"/>
      <c r="N56" s="895"/>
      <c r="O56" s="895"/>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181"/>
      <c r="I57" s="181"/>
      <c r="J57" s="181"/>
      <c r="K57" s="181"/>
      <c r="L57" s="895"/>
      <c r="M57" s="895"/>
      <c r="N57" s="895"/>
      <c r="O57" s="895"/>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181"/>
      <c r="I58" s="181"/>
      <c r="J58" s="181"/>
      <c r="K58" s="181"/>
      <c r="L58" s="895"/>
      <c r="M58" s="895"/>
      <c r="N58" s="895"/>
      <c r="O58" s="895"/>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181"/>
      <c r="I59" s="181"/>
      <c r="J59" s="181"/>
      <c r="K59" s="181"/>
      <c r="L59" s="895"/>
      <c r="M59" s="895"/>
      <c r="N59" s="895"/>
      <c r="O59" s="895"/>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81"/>
      <c r="I60" s="181"/>
      <c r="J60" s="181"/>
      <c r="K60" s="181"/>
      <c r="L60" s="895"/>
      <c r="M60" s="895"/>
      <c r="N60" s="895"/>
      <c r="O60" s="895"/>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81"/>
      <c r="I61" s="181"/>
      <c r="J61" s="181"/>
      <c r="K61" s="181"/>
      <c r="L61" s="895"/>
      <c r="M61" s="895"/>
      <c r="N61" s="895"/>
      <c r="O61" s="895"/>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81"/>
      <c r="I62" s="181"/>
      <c r="J62" s="181"/>
      <c r="K62" s="181"/>
      <c r="L62" s="895"/>
      <c r="M62" s="895"/>
      <c r="N62" s="895"/>
      <c r="O62" s="895"/>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81"/>
      <c r="I63" s="181"/>
      <c r="J63" s="181"/>
      <c r="K63" s="181"/>
      <c r="L63" s="895"/>
      <c r="M63" s="895"/>
      <c r="N63" s="895"/>
      <c r="O63" s="895"/>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81"/>
      <c r="I64" s="181"/>
      <c r="J64" s="181"/>
      <c r="K64" s="181"/>
      <c r="L64" s="895"/>
      <c r="M64" s="895"/>
      <c r="N64" s="895"/>
      <c r="O64" s="895"/>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81"/>
      <c r="I65" s="181"/>
      <c r="J65" s="181"/>
      <c r="K65" s="181"/>
      <c r="L65" s="895"/>
      <c r="M65" s="895"/>
      <c r="N65" s="895"/>
      <c r="O65" s="895"/>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81"/>
      <c r="I66" s="181"/>
      <c r="J66" s="181"/>
      <c r="K66" s="181"/>
      <c r="L66" s="895"/>
      <c r="M66" s="895"/>
      <c r="N66" s="895"/>
      <c r="O66" s="895"/>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81"/>
      <c r="I67" s="181"/>
      <c r="J67" s="181"/>
      <c r="K67" s="181"/>
      <c r="L67" s="895"/>
      <c r="M67" s="895"/>
      <c r="N67" s="895"/>
      <c r="O67" s="895"/>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81"/>
      <c r="I68" s="181"/>
      <c r="J68" s="181"/>
      <c r="K68" s="181"/>
      <c r="L68" s="895"/>
      <c r="M68" s="895"/>
      <c r="N68" s="895"/>
      <c r="O68" s="895"/>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81"/>
      <c r="I69" s="181"/>
      <c r="J69" s="181"/>
      <c r="K69" s="181"/>
      <c r="L69" s="895"/>
      <c r="M69" s="895"/>
      <c r="N69" s="895"/>
      <c r="O69" s="895"/>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81"/>
      <c r="I70" s="181"/>
      <c r="J70" s="181"/>
      <c r="K70" s="181"/>
      <c r="L70" s="895"/>
      <c r="M70" s="895"/>
      <c r="N70" s="895"/>
      <c r="O70" s="895"/>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81"/>
      <c r="I71" s="181"/>
      <c r="J71" s="181"/>
      <c r="K71" s="181"/>
      <c r="L71" s="895"/>
      <c r="M71" s="895"/>
      <c r="N71" s="895"/>
      <c r="O71" s="895"/>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81"/>
      <c r="I72" s="181"/>
      <c r="J72" s="181"/>
      <c r="K72" s="181"/>
      <c r="L72" s="895"/>
      <c r="M72" s="895"/>
      <c r="N72" s="895"/>
      <c r="O72" s="895"/>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81"/>
      <c r="I73" s="181"/>
      <c r="J73" s="181"/>
      <c r="K73" s="181"/>
      <c r="L73" s="895"/>
      <c r="M73" s="895"/>
      <c r="N73" s="895"/>
      <c r="O73" s="895"/>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81"/>
      <c r="I74" s="181"/>
      <c r="J74" s="181"/>
      <c r="K74" s="181"/>
      <c r="L74" s="895"/>
      <c r="M74" s="895"/>
      <c r="N74" s="895"/>
      <c r="O74" s="895"/>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81"/>
      <c r="I75" s="181"/>
      <c r="J75" s="181"/>
      <c r="K75" s="181"/>
      <c r="L75" s="895"/>
      <c r="M75" s="895"/>
      <c r="N75" s="895"/>
      <c r="O75" s="895"/>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81"/>
      <c r="I76" s="181"/>
      <c r="J76" s="181"/>
      <c r="K76" s="181"/>
      <c r="L76" s="895"/>
      <c r="M76" s="895"/>
      <c r="N76" s="895"/>
      <c r="O76" s="895"/>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81"/>
      <c r="I77" s="181"/>
      <c r="J77" s="181"/>
      <c r="K77" s="181"/>
      <c r="L77" s="895"/>
      <c r="M77" s="895"/>
      <c r="N77" s="895"/>
      <c r="O77" s="895"/>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81"/>
      <c r="I78" s="181"/>
      <c r="J78" s="181"/>
      <c r="K78" s="181"/>
      <c r="L78" s="895"/>
      <c r="M78" s="895"/>
      <c r="N78" s="895"/>
      <c r="O78" s="895"/>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81"/>
      <c r="I79" s="181"/>
      <c r="J79" s="181"/>
      <c r="K79" s="181"/>
      <c r="L79" s="895"/>
      <c r="M79" s="895"/>
      <c r="N79" s="895"/>
      <c r="O79" s="895"/>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81"/>
      <c r="I80" s="181"/>
      <c r="J80" s="181"/>
      <c r="K80" s="181"/>
      <c r="L80" s="895"/>
      <c r="M80" s="895"/>
      <c r="N80" s="895"/>
      <c r="O80" s="895"/>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81"/>
      <c r="I81" s="181"/>
      <c r="J81" s="181"/>
      <c r="K81" s="181"/>
      <c r="L81" s="895"/>
      <c r="M81" s="895"/>
      <c r="N81" s="895"/>
      <c r="O81" s="895"/>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81"/>
      <c r="I82" s="181"/>
      <c r="J82" s="181"/>
      <c r="K82" s="181"/>
      <c r="L82" s="895"/>
      <c r="M82" s="895"/>
      <c r="N82" s="895"/>
      <c r="O82" s="895"/>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81"/>
      <c r="I83" s="181"/>
      <c r="J83" s="181"/>
      <c r="K83" s="181"/>
      <c r="L83" s="895"/>
      <c r="M83" s="895"/>
      <c r="N83" s="895"/>
      <c r="O83" s="895"/>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81"/>
      <c r="I84" s="181"/>
      <c r="J84" s="181"/>
      <c r="K84" s="181"/>
      <c r="L84" s="895"/>
      <c r="M84" s="895"/>
      <c r="N84" s="895"/>
      <c r="O84" s="895"/>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81"/>
      <c r="I85" s="181"/>
      <c r="J85" s="181"/>
      <c r="K85" s="181"/>
      <c r="L85" s="895"/>
      <c r="M85" s="895"/>
      <c r="N85" s="895"/>
      <c r="O85" s="895"/>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81"/>
      <c r="I86" s="181"/>
      <c r="J86" s="181"/>
      <c r="K86" s="181"/>
      <c r="L86" s="895"/>
      <c r="M86" s="895"/>
      <c r="N86" s="895"/>
      <c r="O86" s="895"/>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81"/>
      <c r="I87" s="181"/>
      <c r="J87" s="181"/>
      <c r="K87" s="181"/>
      <c r="L87" s="895"/>
      <c r="M87" s="895"/>
      <c r="N87" s="895"/>
      <c r="O87" s="895"/>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81"/>
      <c r="I88" s="181"/>
      <c r="J88" s="181"/>
      <c r="K88" s="181"/>
      <c r="L88" s="895"/>
      <c r="M88" s="895"/>
      <c r="N88" s="895"/>
      <c r="O88" s="895"/>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81"/>
      <c r="I89" s="181"/>
      <c r="J89" s="181"/>
      <c r="K89" s="181"/>
      <c r="L89" s="895"/>
      <c r="M89" s="895"/>
      <c r="N89" s="895"/>
      <c r="O89" s="895"/>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81"/>
      <c r="I90" s="181"/>
      <c r="J90" s="181"/>
      <c r="K90" s="181"/>
      <c r="L90" s="895"/>
      <c r="M90" s="895"/>
      <c r="N90" s="895"/>
      <c r="O90" s="895"/>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81"/>
      <c r="I91" s="181"/>
      <c r="J91" s="181"/>
      <c r="K91" s="181"/>
      <c r="L91" s="895"/>
      <c r="M91" s="895"/>
      <c r="N91" s="895"/>
      <c r="O91" s="895"/>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81"/>
      <c r="I92" s="181"/>
      <c r="J92" s="181"/>
      <c r="K92" s="181"/>
      <c r="L92" s="895"/>
      <c r="M92" s="895"/>
      <c r="N92" s="895"/>
      <c r="O92" s="895"/>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81"/>
      <c r="I93" s="181"/>
      <c r="J93" s="181"/>
      <c r="K93" s="181"/>
      <c r="L93" s="895"/>
      <c r="M93" s="895"/>
      <c r="N93" s="895"/>
      <c r="O93" s="895"/>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81"/>
      <c r="I94" s="181"/>
      <c r="J94" s="181"/>
      <c r="K94" s="181"/>
      <c r="L94" s="895"/>
      <c r="M94" s="895"/>
      <c r="N94" s="895"/>
      <c r="O94" s="895"/>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81"/>
      <c r="I95" s="181"/>
      <c r="J95" s="181"/>
      <c r="K95" s="181"/>
      <c r="L95" s="895"/>
      <c r="M95" s="895"/>
      <c r="N95" s="895"/>
      <c r="O95" s="895"/>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81"/>
      <c r="I96" s="181"/>
      <c r="J96" s="181"/>
      <c r="K96" s="181"/>
      <c r="L96" s="895"/>
      <c r="M96" s="895"/>
      <c r="N96" s="895"/>
      <c r="O96" s="895"/>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81"/>
      <c r="I97" s="181"/>
      <c r="J97" s="181"/>
      <c r="K97" s="181"/>
      <c r="L97" s="895"/>
      <c r="M97" s="895"/>
      <c r="N97" s="895"/>
      <c r="O97" s="895"/>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81"/>
      <c r="I98" s="181"/>
      <c r="J98" s="181"/>
      <c r="K98" s="181"/>
      <c r="L98" s="895"/>
      <c r="M98" s="895"/>
      <c r="N98" s="895"/>
      <c r="O98" s="895"/>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81"/>
      <c r="I99" s="181"/>
      <c r="J99" s="181"/>
      <c r="K99" s="181"/>
      <c r="L99" s="895"/>
      <c r="M99" s="895"/>
      <c r="N99" s="895"/>
      <c r="O99" s="895"/>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81"/>
      <c r="I100" s="181"/>
      <c r="J100" s="181"/>
      <c r="K100" s="181"/>
      <c r="L100" s="895"/>
      <c r="M100" s="895"/>
      <c r="N100" s="895"/>
      <c r="O100" s="895"/>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81"/>
      <c r="I101" s="181"/>
      <c r="J101" s="181"/>
      <c r="K101" s="181"/>
      <c r="L101" s="895"/>
      <c r="M101" s="895"/>
      <c r="N101" s="895"/>
      <c r="O101" s="895"/>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81"/>
      <c r="I102" s="181"/>
      <c r="J102" s="181"/>
      <c r="K102" s="181"/>
      <c r="L102" s="895"/>
      <c r="M102" s="895"/>
      <c r="N102" s="895"/>
      <c r="O102" s="895"/>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81"/>
      <c r="I103" s="181"/>
      <c r="J103" s="181"/>
      <c r="K103" s="181"/>
      <c r="L103" s="895"/>
      <c r="M103" s="895"/>
      <c r="N103" s="895"/>
      <c r="O103" s="895"/>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AC21"/>
    <mergeCell ref="AD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150" display="For all STR definitions, please click here or visit www.str.com/data-insights/resources/glossary"/>
    <hyperlink ref="A14:I14" r:id="rId151" display="For the latest in industry news, visit HotelNewsNow.com."/>
    <hyperlink ref="A15:I15" r:id="rId152" display="To learn more about the Hotel Data Conference, visit HotelDataConference.com."/>
    <hyperlink ref="A9:F9" r:id="rId153" display="For all STR FAQs, please click here or visit www.str.com/data-insights/resources/FAQ"/>
    <hyperlink ref="A12:E12" r:id="rId154"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8"/>
      <c r="AB1" s="998"/>
      <c r="AC1" s="998"/>
      <c r="AD1" s="998"/>
      <c r="AE1" s="998"/>
      <c r="AF1" s="998"/>
      <c r="AH1" s="236"/>
    </row>
    <row r="2" ht="20.1"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2020</v>
      </c>
      <c r="D19" s="1002"/>
      <c r="E19" s="1002"/>
      <c r="F19" s="1002"/>
      <c r="G19" s="1002"/>
      <c r="H19" s="1002"/>
      <c r="I19" s="1002">
        <v>2021</v>
      </c>
      <c r="J19" s="1002"/>
      <c r="K19" s="1002"/>
      <c r="L19" s="1002"/>
      <c r="M19" s="1002"/>
      <c r="N19" s="1002"/>
      <c r="O19" s="1002"/>
      <c r="P19" s="1002"/>
      <c r="Q19" s="1002"/>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218</v>
      </c>
      <c r="D20" s="269" t="s">
        <v>219</v>
      </c>
      <c r="E20" s="269" t="s">
        <v>220</v>
      </c>
      <c r="F20" s="269" t="s">
        <v>221</v>
      </c>
      <c r="G20" s="269" t="s">
        <v>222</v>
      </c>
      <c r="H20" s="1005" t="s">
        <v>223</v>
      </c>
      <c r="I20" s="269" t="s">
        <v>227</v>
      </c>
      <c r="J20" s="269" t="s">
        <v>230</v>
      </c>
      <c r="K20" s="269" t="s">
        <v>231</v>
      </c>
      <c r="L20" s="269" t="s">
        <v>232</v>
      </c>
      <c r="M20" s="269" t="s">
        <v>233</v>
      </c>
      <c r="N20" s="269" t="s">
        <v>234</v>
      </c>
      <c r="O20" s="269" t="s">
        <v>218</v>
      </c>
      <c r="P20" s="269" t="s">
        <v>219</v>
      </c>
      <c r="Q20" s="269" t="s">
        <v>220</v>
      </c>
      <c r="R20" s="269" t="s">
        <v>221</v>
      </c>
      <c r="S20" s="269" t="s">
        <v>222</v>
      </c>
      <c r="T20" s="1005" t="s">
        <v>223</v>
      </c>
      <c r="U20" s="144"/>
      <c r="V20" s="268">
        <v>2019</v>
      </c>
      <c r="W20" s="269">
        <v>2020</v>
      </c>
      <c r="X20" s="270">
        <v>2021</v>
      </c>
      <c r="Y20" s="144"/>
      <c r="Z20" s="268">
        <v>2019</v>
      </c>
      <c r="AA20" s="269">
        <v>2020</v>
      </c>
      <c r="AB20" s="270">
        <v>2021</v>
      </c>
      <c r="AC20" s="144"/>
      <c r="AD20" s="268">
        <v>2019</v>
      </c>
      <c r="AE20" s="269">
        <v>2020</v>
      </c>
      <c r="AF20" s="270">
        <v>2021</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13.098729227761485826001955030</v>
      </c>
      <c r="D21" s="574">
        <v>25.537634408602150537634408600</v>
      </c>
      <c r="E21" s="574">
        <v>47.424242424242424242424242420</v>
      </c>
      <c r="F21" s="574">
        <v>52.908113391984359726295210170</v>
      </c>
      <c r="G21" s="574">
        <v>51.843434343434343434343434340</v>
      </c>
      <c r="H21" s="1006">
        <v>71.676441837732160312805474100</v>
      </c>
      <c r="I21" s="574">
        <v>85.36168132942326490713587488</v>
      </c>
      <c r="J21" s="574">
        <v>91.26082251082251082251082251</v>
      </c>
      <c r="K21" s="574">
        <v>89.56500488758553274682306940</v>
      </c>
      <c r="L21" s="574">
        <v>90.22727272727272727272727273</v>
      </c>
      <c r="M21" s="574">
        <v>92.05767350928641251221896383</v>
      </c>
      <c r="N21" s="574">
        <v>91.54040404040404040404040404</v>
      </c>
      <c r="O21" s="574">
        <v>86.95014662756598240469208211</v>
      </c>
      <c r="P21" s="574">
        <v>63.489736070381231671554252200</v>
      </c>
      <c r="Q21" s="574">
        <v>59.141414141414141414141414140</v>
      </c>
      <c r="R21" s="574">
        <v>73.362658846529814271749755620</v>
      </c>
      <c r="S21" s="574">
        <v>84.36868686868686868686868687</v>
      </c>
      <c r="T21" s="1006">
        <v>93.62170087976539589442815249</v>
      </c>
      <c r="U21" s="113"/>
      <c r="V21" s="573">
        <v>67.588210875882108758821087590</v>
      </c>
      <c r="W21" s="574">
        <v>49.336810730253353204172876300</v>
      </c>
      <c r="X21" s="575">
        <v>83.37069323370693233706932337</v>
      </c>
      <c r="Y21" s="113"/>
      <c r="Z21" s="573">
        <v>75.609354413702239789196310940</v>
      </c>
      <c r="AA21" s="574">
        <v>58.885046113306982872200263500</v>
      </c>
      <c r="AB21" s="575">
        <v>83.77799736495388669301712780</v>
      </c>
      <c r="AC21" s="113"/>
      <c r="AD21" s="573">
        <v>67.588210875882108758821087590</v>
      </c>
      <c r="AE21" s="574">
        <v>49.336810730253353204172876300</v>
      </c>
      <c r="AF21" s="575">
        <v>83.37069323370693233706932337</v>
      </c>
      <c r="AG21" s="113"/>
    </row>
    <row r="22" ht="21.95" customHeight="1">
      <c r="B22" s="38" t="s">
        <v>35</v>
      </c>
      <c r="C22" s="271"/>
      <c r="D22" s="92"/>
      <c r="E22" s="92"/>
      <c r="F22" s="92"/>
      <c r="G22" s="92"/>
      <c r="H22" s="1007">
        <v>49.412971617462669554314373650</v>
      </c>
      <c r="I22" s="92">
        <v>49.873851144350333393404216980</v>
      </c>
      <c r="J22" s="92">
        <v>73.822714681440443213296398890</v>
      </c>
      <c r="K22" s="92">
        <v>78.268251273344651952461799660</v>
      </c>
      <c r="L22" s="92">
        <v>73.379501385041551246537396120</v>
      </c>
      <c r="M22" s="92">
        <v>76.686623179340541506567777680</v>
      </c>
      <c r="N22" s="92">
        <v>79.124767225325884543761638730</v>
      </c>
      <c r="O22" s="92">
        <v>77.491439899080915480266714720</v>
      </c>
      <c r="P22" s="92">
        <v>57.316633627680663182555415390</v>
      </c>
      <c r="Q22" s="92">
        <v>45.996275605214152700186219740</v>
      </c>
      <c r="R22" s="92">
        <v>46.328867599730559089888481400</v>
      </c>
      <c r="S22" s="92">
        <v>55.583913379737045630317092030</v>
      </c>
      <c r="T22" s="1007">
        <v>62.832123344061073272958610880</v>
      </c>
      <c r="U22" s="113"/>
      <c r="V22" s="271">
        <v>78.479483838159107523122397740</v>
      </c>
      <c r="W22" s="92"/>
      <c r="X22" s="272">
        <v>64.216746765786302324568408520</v>
      </c>
      <c r="Y22" s="113"/>
      <c r="Z22" s="271">
        <v>79.54705941692726722485624937</v>
      </c>
      <c r="AA22" s="92"/>
      <c r="AB22" s="272">
        <v>54.907696963583173610410571970</v>
      </c>
      <c r="AC22" s="113"/>
      <c r="AD22" s="271">
        <v>78.479483838159107523122397740</v>
      </c>
      <c r="AE22" s="92"/>
      <c r="AF22" s="272">
        <v>64.216746765786302324568408520</v>
      </c>
      <c r="AG22" s="113"/>
    </row>
    <row r="23" ht="21.95" customHeight="1">
      <c r="B23" s="40" t="s">
        <v>97</v>
      </c>
      <c r="C23" s="576"/>
      <c r="D23" s="113"/>
      <c r="E23" s="113"/>
      <c r="F23" s="113"/>
      <c r="G23" s="113"/>
      <c r="H23" s="1008">
        <v>145.05592254727202824088637237</v>
      </c>
      <c r="I23" s="113">
        <v>171.15518326900440721578932960</v>
      </c>
      <c r="J23" s="113">
        <v>123.62160197526051184587769954</v>
      </c>
      <c r="K23" s="113">
        <v>114.43337934661145073292578715</v>
      </c>
      <c r="L23" s="113">
        <v>122.95977899035656680050791037</v>
      </c>
      <c r="M23" s="113">
        <v>120.04397858802426502263370126</v>
      </c>
      <c r="N23" s="113">
        <v>115.69121433207100422915908913</v>
      </c>
      <c r="O23" s="113">
        <v>112.20613107822410147991543341</v>
      </c>
      <c r="P23" s="113">
        <v>110.77017621586085664060825199</v>
      </c>
      <c r="Q23" s="113">
        <v>128.57870199975463133357870199</v>
      </c>
      <c r="R23" s="113">
        <v>158.35193616292162334165565184</v>
      </c>
      <c r="S23" s="113">
        <v>151.78615851010452374025492157</v>
      </c>
      <c r="T23" s="1008">
        <v>149.00292381829010774811846879</v>
      </c>
      <c r="U23" s="113"/>
      <c r="V23" s="576">
        <v>86.12213991527129385545066737</v>
      </c>
      <c r="W23" s="113"/>
      <c r="X23" s="577">
        <v>129.82702711144744394616477138</v>
      </c>
      <c r="Y23" s="113"/>
      <c r="Z23" s="576">
        <v>95.04984215370367167970363710</v>
      </c>
      <c r="AA23" s="113"/>
      <c r="AB23" s="577">
        <v>152.57969646863639147306242660</v>
      </c>
      <c r="AC23" s="113"/>
      <c r="AD23" s="576">
        <v>86.12213991527129385545066737</v>
      </c>
      <c r="AE23" s="113"/>
      <c r="AF23" s="577">
        <v>129.82702711144744394616477138</v>
      </c>
      <c r="AG23" s="113"/>
    </row>
    <row r="24" ht="21.95" customHeight="1">
      <c r="A24" s="23"/>
      <c r="B24" s="39" t="s">
        <v>23</v>
      </c>
      <c r="C24" s="273"/>
      <c r="D24" s="274"/>
      <c r="E24" s="274"/>
      <c r="F24" s="274"/>
      <c r="G24" s="274"/>
      <c r="H24" s="1009" t="s">
        <v>224</v>
      </c>
      <c r="I24" s="274" t="s">
        <v>228</v>
      </c>
      <c r="J24" s="274" t="s">
        <v>228</v>
      </c>
      <c r="K24" s="274" t="s">
        <v>228</v>
      </c>
      <c r="L24" s="274" t="s">
        <v>228</v>
      </c>
      <c r="M24" s="274" t="s">
        <v>228</v>
      </c>
      <c r="N24" s="274" t="s">
        <v>228</v>
      </c>
      <c r="O24" s="274" t="s">
        <v>228</v>
      </c>
      <c r="P24" s="274" t="s">
        <v>229</v>
      </c>
      <c r="Q24" s="274" t="s">
        <v>235</v>
      </c>
      <c r="R24" s="274" t="s">
        <v>236</v>
      </c>
      <c r="S24" s="274" t="s">
        <v>238</v>
      </c>
      <c r="T24" s="1009" t="s">
        <v>238</v>
      </c>
      <c r="U24" s="113"/>
      <c r="V24" s="273" t="s">
        <v>240</v>
      </c>
      <c r="W24" s="274"/>
      <c r="X24" s="275" t="s">
        <v>238</v>
      </c>
      <c r="Y24" s="113"/>
      <c r="Z24" s="273" t="s">
        <v>241</v>
      </c>
      <c r="AA24" s="274"/>
      <c r="AB24" s="275" t="s">
        <v>238</v>
      </c>
      <c r="AC24" s="113"/>
      <c r="AD24" s="273" t="s">
        <v>240</v>
      </c>
      <c r="AE24" s="274"/>
      <c r="AF24" s="275" t="s">
        <v>238</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-78.559999999987616255999992850</v>
      </c>
      <c r="D26" s="574">
        <v>-62.638541294263334905152082780</v>
      </c>
      <c r="E26" s="574">
        <v>-11.163670766255898192793145210</v>
      </c>
      <c r="F26" s="574">
        <v>-20.725009154206030788801958550</v>
      </c>
      <c r="G26" s="574">
        <v>-30.782198246806367876163613440</v>
      </c>
      <c r="H26" s="1006">
        <v>-15.839311334276579610505361130</v>
      </c>
      <c r="I26" s="574">
        <v>-1.9095759618567409219081232700</v>
      </c>
      <c r="J26" s="574">
        <v>4.2825159914624992012220355400</v>
      </c>
      <c r="K26" s="574">
        <v>125.67733990150173429954621815</v>
      </c>
      <c r="L26" s="574"/>
      <c r="M26" s="574"/>
      <c r="N26" s="574">
        <v>404.87465181095060559741183052</v>
      </c>
      <c r="O26" s="574">
        <v>563.80597014730194364001464950</v>
      </c>
      <c r="P26" s="574">
        <v>148.61244019140849559304961144</v>
      </c>
      <c r="Q26" s="574">
        <v>24.707135250377799780202680880</v>
      </c>
      <c r="R26" s="574">
        <v>38.660508083099887886756035140</v>
      </c>
      <c r="S26" s="574">
        <v>62.737457379552519698994735230</v>
      </c>
      <c r="T26" s="1006">
        <v>30.617115581374664890591574850</v>
      </c>
      <c r="U26" s="113"/>
      <c r="V26" s="573">
        <v>70.925216791275749300576486160</v>
      </c>
      <c r="W26" s="574">
        <v>-27.003821981851820098190248650</v>
      </c>
      <c r="X26" s="575">
        <v>68.982737229314182152003445530</v>
      </c>
      <c r="Y26" s="113"/>
      <c r="Z26" s="573">
        <v>60.300279329591923434037641090</v>
      </c>
      <c r="AA26" s="574">
        <v>-22.119363972988326777063891620</v>
      </c>
      <c r="AB26" s="575">
        <v>42.273807859057565122229685470</v>
      </c>
      <c r="AC26" s="113"/>
      <c r="AD26" s="573">
        <v>70.925216791275749300576486160</v>
      </c>
      <c r="AE26" s="574">
        <v>-27.003821981851820098190248650</v>
      </c>
      <c r="AF26" s="575">
        <v>68.982737229314182152003445530</v>
      </c>
      <c r="AG26" s="113"/>
    </row>
    <row r="27" ht="21.95" customHeight="1">
      <c r="B27" s="38" t="s">
        <v>35</v>
      </c>
      <c r="C27" s="271"/>
      <c r="D27" s="92"/>
      <c r="E27" s="92"/>
      <c r="F27" s="92"/>
      <c r="G27" s="92"/>
      <c r="H27" s="1007">
        <v>-36.652589351296423365847960290</v>
      </c>
      <c r="I27" s="92">
        <v>-43.055501184445346214861215420</v>
      </c>
      <c r="J27" s="92">
        <v>-18.329783076353008516710952510</v>
      </c>
      <c r="K27" s="92">
        <v>88.08311245730751031601834276</v>
      </c>
      <c r="L27" s="92"/>
      <c r="M27" s="92"/>
      <c r="N27" s="92"/>
      <c r="O27" s="92"/>
      <c r="P27" s="92"/>
      <c r="Q27" s="92"/>
      <c r="R27" s="92"/>
      <c r="S27" s="92"/>
      <c r="T27" s="1007">
        <v>27.157143736339413189833767400</v>
      </c>
      <c r="U27" s="113"/>
      <c r="V27" s="271">
        <v>-2.4293545071599563970135570100</v>
      </c>
      <c r="W27" s="92"/>
      <c r="X27" s="272"/>
      <c r="Y27" s="113"/>
      <c r="Z27" s="271">
        <v>4.0200507864665117275751173100</v>
      </c>
      <c r="AA27" s="92"/>
      <c r="AB27" s="272"/>
      <c r="AC27" s="113"/>
      <c r="AD27" s="271">
        <v>-2.4293545071599563970135570100</v>
      </c>
      <c r="AE27" s="92"/>
      <c r="AF27" s="272"/>
      <c r="AG27" s="113"/>
    </row>
    <row r="28" ht="21.95" customHeight="1">
      <c r="B28" s="40" t="s">
        <v>97</v>
      </c>
      <c r="C28" s="576"/>
      <c r="D28" s="113"/>
      <c r="E28" s="113"/>
      <c r="F28" s="113"/>
      <c r="G28" s="113"/>
      <c r="H28" s="1008">
        <v>32.855767589981398109386311700</v>
      </c>
      <c r="I28" s="113">
        <v>72.256189936687468311064125820</v>
      </c>
      <c r="J28" s="113">
        <v>27.68732583258457696159955500</v>
      </c>
      <c r="K28" s="113">
        <v>19.988093004711963010802859670</v>
      </c>
      <c r="L28" s="113"/>
      <c r="M28" s="113"/>
      <c r="N28" s="113"/>
      <c r="O28" s="113"/>
      <c r="P28" s="113"/>
      <c r="Q28" s="113"/>
      <c r="R28" s="113"/>
      <c r="S28" s="113"/>
      <c r="T28" s="1008">
        <v>2.7210204186616820765050066600</v>
      </c>
      <c r="U28" s="113"/>
      <c r="V28" s="576">
        <v>75.180983919858701862989605440</v>
      </c>
      <c r="W28" s="113"/>
      <c r="X28" s="577"/>
      <c r="Y28" s="113"/>
      <c r="Z28" s="576">
        <v>54.105173106132336965851436520</v>
      </c>
      <c r="AA28" s="113"/>
      <c r="AB28" s="577"/>
      <c r="AC28" s="113"/>
      <c r="AD28" s="576">
        <v>75.180983919858701862989605440</v>
      </c>
      <c r="AE28" s="113"/>
      <c r="AF28" s="577"/>
      <c r="AG28" s="113"/>
    </row>
    <row r="29" ht="21.95" customHeight="1">
      <c r="A29" s="23"/>
      <c r="B29" s="39" t="s">
        <v>23</v>
      </c>
      <c r="C29" s="273"/>
      <c r="D29" s="274"/>
      <c r="E29" s="274"/>
      <c r="F29" s="274"/>
      <c r="G29" s="274"/>
      <c r="H29" s="1009" t="s">
        <v>224</v>
      </c>
      <c r="I29" s="274" t="s">
        <v>228</v>
      </c>
      <c r="J29" s="274" t="s">
        <v>228</v>
      </c>
      <c r="K29" s="274" t="s">
        <v>228</v>
      </c>
      <c r="L29" s="274"/>
      <c r="M29" s="274"/>
      <c r="N29" s="274"/>
      <c r="O29" s="274"/>
      <c r="P29" s="274"/>
      <c r="Q29" s="274"/>
      <c r="R29" s="274"/>
      <c r="S29" s="274"/>
      <c r="T29" s="1009" t="s">
        <v>226</v>
      </c>
      <c r="U29" s="113"/>
      <c r="V29" s="273" t="s">
        <v>238</v>
      </c>
      <c r="W29" s="274"/>
      <c r="X29" s="275"/>
      <c r="Y29" s="113"/>
      <c r="Z29" s="273" t="s">
        <v>238</v>
      </c>
      <c r="AA29" s="274"/>
      <c r="AB29" s="275"/>
      <c r="AC29" s="113"/>
      <c r="AD29" s="273" t="s">
        <v>238</v>
      </c>
      <c r="AE29" s="274"/>
      <c r="AF29" s="275"/>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2020</v>
      </c>
      <c r="D31" s="1002"/>
      <c r="E31" s="1002"/>
      <c r="F31" s="1002"/>
      <c r="G31" s="1002"/>
      <c r="H31" s="1002"/>
      <c r="I31" s="1002">
        <v>2021</v>
      </c>
      <c r="J31" s="1002"/>
      <c r="K31" s="1002"/>
      <c r="L31" s="1002"/>
      <c r="M31" s="1002"/>
      <c r="N31" s="1002"/>
      <c r="O31" s="1002"/>
      <c r="P31" s="1002"/>
      <c r="Q31" s="1002"/>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218</v>
      </c>
      <c r="D32" s="269" t="s">
        <v>219</v>
      </c>
      <c r="E32" s="269" t="s">
        <v>220</v>
      </c>
      <c r="F32" s="269" t="s">
        <v>221</v>
      </c>
      <c r="G32" s="269" t="s">
        <v>222</v>
      </c>
      <c r="H32" s="1005" t="s">
        <v>223</v>
      </c>
      <c r="I32" s="269" t="s">
        <v>227</v>
      </c>
      <c r="J32" s="269" t="s">
        <v>230</v>
      </c>
      <c r="K32" s="269" t="s">
        <v>231</v>
      </c>
      <c r="L32" s="269" t="s">
        <v>232</v>
      </c>
      <c r="M32" s="269" t="s">
        <v>233</v>
      </c>
      <c r="N32" s="269" t="s">
        <v>234</v>
      </c>
      <c r="O32" s="269" t="s">
        <v>218</v>
      </c>
      <c r="P32" s="269" t="s">
        <v>219</v>
      </c>
      <c r="Q32" s="269" t="s">
        <v>220</v>
      </c>
      <c r="R32" s="269" t="s">
        <v>221</v>
      </c>
      <c r="S32" s="269" t="s">
        <v>222</v>
      </c>
      <c r="T32" s="1005" t="s">
        <v>223</v>
      </c>
      <c r="U32" s="144"/>
      <c r="V32" s="268">
        <v>2019</v>
      </c>
      <c r="W32" s="269">
        <v>2020</v>
      </c>
      <c r="X32" s="270">
        <v>2021</v>
      </c>
      <c r="Y32" s="144"/>
      <c r="Z32" s="268">
        <v>2019</v>
      </c>
      <c r="AA32" s="269">
        <v>2020</v>
      </c>
      <c r="AB32" s="270">
        <v>2021</v>
      </c>
      <c r="AC32" s="144"/>
      <c r="AD32" s="268">
        <v>2019</v>
      </c>
      <c r="AE32" s="269">
        <v>2020</v>
      </c>
      <c r="AF32" s="270">
        <v>2021</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137.33955223880597014925373134</v>
      </c>
      <c r="D33" s="579">
        <v>110.25358851674641148325358852</v>
      </c>
      <c r="E33" s="579">
        <v>112.30937167199148029818956337</v>
      </c>
      <c r="F33" s="579">
        <v>119.25265588914549653579676674</v>
      </c>
      <c r="G33" s="579">
        <v>126.34193862640038967364831953</v>
      </c>
      <c r="H33" s="1010">
        <v>165.20900102284350494374360723</v>
      </c>
      <c r="I33" s="579">
        <v>167.68451188090466647580876038</v>
      </c>
      <c r="J33" s="579">
        <v>203.34657574859175807886154758</v>
      </c>
      <c r="K33" s="579">
        <v>236.42155525238744884038199181</v>
      </c>
      <c r="L33" s="579">
        <v>240.30954380072767982087881332</v>
      </c>
      <c r="M33" s="579">
        <v>270.11892752853729758428457659</v>
      </c>
      <c r="N33" s="579">
        <v>230.05903448275862068965517241</v>
      </c>
      <c r="O33" s="579">
        <v>267.21810005621135469364811692</v>
      </c>
      <c r="P33" s="579">
        <v>206.73171670515781370284834488</v>
      </c>
      <c r="Q33" s="579">
        <v>182.90093936806148590947907771</v>
      </c>
      <c r="R33" s="579">
        <v>185.16122584943371085942704863</v>
      </c>
      <c r="S33" s="579">
        <v>232.85902424423825202035318767</v>
      </c>
      <c r="T33" s="1010">
        <v>336.98538240668232837379274341</v>
      </c>
      <c r="U33" s="113"/>
      <c r="V33" s="578">
        <v>194.69180690332882938213978627</v>
      </c>
      <c r="W33" s="579">
        <v>205.63515078286260887076473846</v>
      </c>
      <c r="X33" s="580">
        <v>233.74962656841266679944234216</v>
      </c>
      <c r="Y33" s="113"/>
      <c r="Z33" s="578">
        <v>192.69440209104770202570246134</v>
      </c>
      <c r="AA33" s="579">
        <v>140.13704377010208362466787862</v>
      </c>
      <c r="AB33" s="580">
        <v>257.99361116571653233733045017</v>
      </c>
      <c r="AC33" s="113"/>
      <c r="AD33" s="578">
        <v>194.69180690332882938213978627</v>
      </c>
      <c r="AE33" s="579">
        <v>205.63515078286260887076473846</v>
      </c>
      <c r="AF33" s="580">
        <v>233.74962656841266679944234216</v>
      </c>
      <c r="AG33" s="113"/>
    </row>
    <row r="34" ht="21.95" customHeight="1">
      <c r="B34" s="38" t="s">
        <v>35</v>
      </c>
      <c r="C34" s="276"/>
      <c r="D34" s="94"/>
      <c r="E34" s="94"/>
      <c r="F34" s="94"/>
      <c r="G34" s="94"/>
      <c r="H34" s="1011">
        <v>225.64332410611303344867358707</v>
      </c>
      <c r="I34" s="94">
        <v>224.58900271002710027100271001</v>
      </c>
      <c r="J34" s="94">
        <v>267.05876708657196462074510856</v>
      </c>
      <c r="K34" s="94">
        <v>301.79862313049434866993949081</v>
      </c>
      <c r="L34" s="94">
        <v>293.4979438781930288159053731</v>
      </c>
      <c r="M34" s="94">
        <v>309.10566534607317641575390352</v>
      </c>
      <c r="N34" s="94">
        <v>271.29555777830077665333019534</v>
      </c>
      <c r="O34" s="94">
        <v>287.93819883720930232558139536</v>
      </c>
      <c r="P34" s="94">
        <v>232.55804276057223706964313787</v>
      </c>
      <c r="Q34" s="94">
        <v>215.0378582995951417004048583</v>
      </c>
      <c r="R34" s="94">
        <v>231.03938126009693053311793215</v>
      </c>
      <c r="S34" s="94">
        <v>295.48234172812021705857798805</v>
      </c>
      <c r="T34" s="1011">
        <v>429.2952912447885646217986897</v>
      </c>
      <c r="U34" s="113"/>
      <c r="V34" s="276">
        <v>240.44190417949133322533614126</v>
      </c>
      <c r="W34" s="94"/>
      <c r="X34" s="277">
        <v>286.53280715836121913719815501</v>
      </c>
      <c r="Y34" s="113"/>
      <c r="Z34" s="276">
        <v>238.40727030625832223701731026</v>
      </c>
      <c r="AA34" s="94"/>
      <c r="AB34" s="277">
        <v>328.75708846224508543082858719</v>
      </c>
      <c r="AC34" s="113"/>
      <c r="AD34" s="276">
        <v>240.44190417949133322533614126</v>
      </c>
      <c r="AE34" s="94"/>
      <c r="AF34" s="277">
        <v>286.53280715836121913719815501</v>
      </c>
      <c r="AG34" s="113"/>
    </row>
    <row r="35" ht="21.95" customHeight="1">
      <c r="B35" s="40" t="s">
        <v>98</v>
      </c>
      <c r="C35" s="576"/>
      <c r="D35" s="113"/>
      <c r="E35" s="113"/>
      <c r="F35" s="113"/>
      <c r="G35" s="113"/>
      <c r="H35" s="1008">
        <v>73.216879638393756760550008220</v>
      </c>
      <c r="I35" s="113">
        <v>74.662832933724118341424474690</v>
      </c>
      <c r="J35" s="113">
        <v>76.143007011888608392832830780</v>
      </c>
      <c r="K35" s="113">
        <v>78.337519502254790937773025500</v>
      </c>
      <c r="L35" s="113">
        <v>81.87776058167565904951704619</v>
      </c>
      <c r="M35" s="113">
        <v>87.38724579056598017853561340</v>
      </c>
      <c r="N35" s="113">
        <v>84.80014798869647920200075742</v>
      </c>
      <c r="O35" s="113">
        <v>92.80397708095951397311811737</v>
      </c>
      <c r="P35" s="113">
        <v>88.89467517491809381899641837</v>
      </c>
      <c r="Q35" s="113">
        <v>85.05522739779158182624001599</v>
      </c>
      <c r="R35" s="113">
        <v>80.14271196518872987803465623</v>
      </c>
      <c r="S35" s="113">
        <v>78.806409507373184125137183500</v>
      </c>
      <c r="T35" s="1008">
        <v>78.497339542103157530879792480</v>
      </c>
      <c r="U35" s="113"/>
      <c r="V35" s="576">
        <v>80.97249419468505789502135485</v>
      </c>
      <c r="W35" s="113"/>
      <c r="X35" s="577">
        <v>81.57866070785524575085893353</v>
      </c>
      <c r="Y35" s="113"/>
      <c r="Z35" s="576">
        <v>80.82572391500988876206229494</v>
      </c>
      <c r="AA35" s="113"/>
      <c r="AB35" s="577">
        <v>78.475452003932950087306315520</v>
      </c>
      <c r="AC35" s="113"/>
      <c r="AD35" s="576">
        <v>80.97249419468505789502135485</v>
      </c>
      <c r="AE35" s="113"/>
      <c r="AF35" s="577">
        <v>81.57866070785524575085893353</v>
      </c>
      <c r="AG35" s="113"/>
    </row>
    <row r="36" ht="21.95" customHeight="1">
      <c r="A36" s="23"/>
      <c r="B36" s="39" t="s">
        <v>23</v>
      </c>
      <c r="C36" s="273"/>
      <c r="D36" s="274"/>
      <c r="E36" s="274"/>
      <c r="F36" s="274"/>
      <c r="G36" s="274"/>
      <c r="H36" s="1009" t="s">
        <v>225</v>
      </c>
      <c r="I36" s="274" t="s">
        <v>229</v>
      </c>
      <c r="J36" s="274" t="s">
        <v>229</v>
      </c>
      <c r="K36" s="274" t="s">
        <v>229</v>
      </c>
      <c r="L36" s="274" t="s">
        <v>229</v>
      </c>
      <c r="M36" s="274" t="s">
        <v>229</v>
      </c>
      <c r="N36" s="274" t="s">
        <v>229</v>
      </c>
      <c r="O36" s="274" t="s">
        <v>229</v>
      </c>
      <c r="P36" s="274" t="s">
        <v>229</v>
      </c>
      <c r="Q36" s="274" t="s">
        <v>229</v>
      </c>
      <c r="R36" s="274" t="s">
        <v>237</v>
      </c>
      <c r="S36" s="274" t="s">
        <v>237</v>
      </c>
      <c r="T36" s="1009" t="s">
        <v>237</v>
      </c>
      <c r="U36" s="113"/>
      <c r="V36" s="273" t="s">
        <v>237</v>
      </c>
      <c r="W36" s="274"/>
      <c r="X36" s="275" t="s">
        <v>237</v>
      </c>
      <c r="Y36" s="113"/>
      <c r="Z36" s="273" t="s">
        <v>237</v>
      </c>
      <c r="AA36" s="274"/>
      <c r="AB36" s="275" t="s">
        <v>237</v>
      </c>
      <c r="AC36" s="113"/>
      <c r="AD36" s="273" t="s">
        <v>237</v>
      </c>
      <c r="AE36" s="274"/>
      <c r="AF36" s="275" t="s">
        <v>237</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-12.777911134788879084378639770</v>
      </c>
      <c r="D38" s="574">
        <v>-18.810593485602468349968749560</v>
      </c>
      <c r="E38" s="574">
        <v>-9.261080772852987257930738320</v>
      </c>
      <c r="F38" s="574">
        <v>-17.032278935931160348737112620</v>
      </c>
      <c r="G38" s="574">
        <v>-25.553202232646594983966306910</v>
      </c>
      <c r="H38" s="1006">
        <v>-34.081338107853217295269365600</v>
      </c>
      <c r="I38" s="574">
        <v>-46.116208887631862448077234380</v>
      </c>
      <c r="J38" s="574">
        <v>-39.284651729521294181115037140</v>
      </c>
      <c r="K38" s="574">
        <v>5.8718794580687135096387704100</v>
      </c>
      <c r="L38" s="574"/>
      <c r="M38" s="574"/>
      <c r="N38" s="574">
        <v>83.81170284164697676533084190</v>
      </c>
      <c r="O38" s="574">
        <v>94.56747579283222250525818635</v>
      </c>
      <c r="P38" s="574">
        <v>87.50565808009448037464337649</v>
      </c>
      <c r="Q38" s="574">
        <v>62.854565603148828120779834780</v>
      </c>
      <c r="R38" s="574">
        <v>55.268010149497998698846866090</v>
      </c>
      <c r="S38" s="574">
        <v>84.30857304858609216838980761</v>
      </c>
      <c r="T38" s="1006">
        <v>103.97519524991013283641442340</v>
      </c>
      <c r="U38" s="113"/>
      <c r="V38" s="573">
        <v>8.093746079949460543994557350</v>
      </c>
      <c r="W38" s="574">
        <v>5.6208548544613259021366218100</v>
      </c>
      <c r="X38" s="575">
        <v>13.672018464972760852009297750</v>
      </c>
      <c r="Y38" s="113"/>
      <c r="Z38" s="573">
        <v>-5.6143334766350631587511650900</v>
      </c>
      <c r="AA38" s="574">
        <v>-27.274979319885839337582836260</v>
      </c>
      <c r="AB38" s="575">
        <v>84.10093735740892845007746608</v>
      </c>
      <c r="AC38" s="113"/>
      <c r="AD38" s="573">
        <v>8.093746079949460543994557350</v>
      </c>
      <c r="AE38" s="574">
        <v>5.6208548544613259021366218100</v>
      </c>
      <c r="AF38" s="575">
        <v>13.672018464972760852009297750</v>
      </c>
      <c r="AG38" s="113"/>
    </row>
    <row r="39" ht="21.95" customHeight="1">
      <c r="B39" s="38" t="s">
        <v>35</v>
      </c>
      <c r="C39" s="271"/>
      <c r="D39" s="92"/>
      <c r="E39" s="92"/>
      <c r="F39" s="92"/>
      <c r="G39" s="92"/>
      <c r="H39" s="1007">
        <v>-32.252414283168828768000535530</v>
      </c>
      <c r="I39" s="92">
        <v>-31.866510616663541622761620420</v>
      </c>
      <c r="J39" s="92">
        <v>-29.186081828614759714724195760</v>
      </c>
      <c r="K39" s="92">
        <v>4.2302829735933454512530758200</v>
      </c>
      <c r="L39" s="92"/>
      <c r="M39" s="92"/>
      <c r="N39" s="92"/>
      <c r="O39" s="92"/>
      <c r="P39" s="92"/>
      <c r="Q39" s="92"/>
      <c r="R39" s="92"/>
      <c r="S39" s="92"/>
      <c r="T39" s="1007">
        <v>90.25392971206590858291768503</v>
      </c>
      <c r="U39" s="113"/>
      <c r="V39" s="271">
        <v>-0.9100404279131375885010422400</v>
      </c>
      <c r="W39" s="92"/>
      <c r="X39" s="272"/>
      <c r="Y39" s="113"/>
      <c r="Z39" s="271">
        <v>-4.8486716802784395211310066800</v>
      </c>
      <c r="AA39" s="92"/>
      <c r="AB39" s="272"/>
      <c r="AC39" s="113"/>
      <c r="AD39" s="271">
        <v>-0.9100404279131375885010422400</v>
      </c>
      <c r="AE39" s="92"/>
      <c r="AF39" s="272"/>
      <c r="AG39" s="113"/>
    </row>
    <row r="40" ht="21.95" customHeight="1">
      <c r="B40" s="40" t="s">
        <v>98</v>
      </c>
      <c r="C40" s="576"/>
      <c r="D40" s="113"/>
      <c r="E40" s="113"/>
      <c r="F40" s="113"/>
      <c r="G40" s="113"/>
      <c r="H40" s="1008">
        <v>-2.6996147616017980521069362700</v>
      </c>
      <c r="I40" s="113">
        <v>-20.914382046077862805126935020</v>
      </c>
      <c r="J40" s="113">
        <v>-14.260713376230547168280046780</v>
      </c>
      <c r="K40" s="113">
        <v>1.5749707644408918200581841400</v>
      </c>
      <c r="L40" s="113"/>
      <c r="M40" s="113"/>
      <c r="N40" s="113"/>
      <c r="O40" s="113"/>
      <c r="P40" s="113"/>
      <c r="Q40" s="113"/>
      <c r="R40" s="113"/>
      <c r="S40" s="113"/>
      <c r="T40" s="1008">
        <v>7.2120799599519109064274554100</v>
      </c>
      <c r="U40" s="113"/>
      <c r="V40" s="576">
        <v>9.086477123235000618820425470</v>
      </c>
      <c r="W40" s="113"/>
      <c r="X40" s="577"/>
      <c r="Y40" s="113"/>
      <c r="Z40" s="576">
        <v>-0.8046779902076898697747773500</v>
      </c>
      <c r="AA40" s="113"/>
      <c r="AB40" s="577"/>
      <c r="AC40" s="113"/>
      <c r="AD40" s="576">
        <v>9.086477123235000618820425470</v>
      </c>
      <c r="AE40" s="113"/>
      <c r="AF40" s="577"/>
      <c r="AG40" s="113"/>
    </row>
    <row r="41" ht="21.95" customHeight="1">
      <c r="A41" s="23"/>
      <c r="B41" s="39" t="s">
        <v>23</v>
      </c>
      <c r="C41" s="273"/>
      <c r="D41" s="274"/>
      <c r="E41" s="274"/>
      <c r="F41" s="274"/>
      <c r="G41" s="274"/>
      <c r="H41" s="1009" t="s">
        <v>225</v>
      </c>
      <c r="I41" s="274" t="s">
        <v>239</v>
      </c>
      <c r="J41" s="274" t="s">
        <v>239</v>
      </c>
      <c r="K41" s="274" t="s">
        <v>235</v>
      </c>
      <c r="L41" s="274"/>
      <c r="M41" s="274"/>
      <c r="N41" s="274"/>
      <c r="O41" s="274"/>
      <c r="P41" s="274"/>
      <c r="Q41" s="274"/>
      <c r="R41" s="274"/>
      <c r="S41" s="274"/>
      <c r="T41" s="1009" t="s">
        <v>224</v>
      </c>
      <c r="U41" s="113"/>
      <c r="V41" s="273" t="s">
        <v>238</v>
      </c>
      <c r="W41" s="274"/>
      <c r="X41" s="275"/>
      <c r="Y41" s="113"/>
      <c r="Z41" s="273" t="s">
        <v>242</v>
      </c>
      <c r="AA41" s="274"/>
      <c r="AB41" s="275"/>
      <c r="AC41" s="113"/>
      <c r="AD41" s="273" t="s">
        <v>238</v>
      </c>
      <c r="AE41" s="274"/>
      <c r="AF41" s="275"/>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2020</v>
      </c>
      <c r="D43" s="1002"/>
      <c r="E43" s="1002"/>
      <c r="F43" s="1002"/>
      <c r="G43" s="1002"/>
      <c r="H43" s="1002"/>
      <c r="I43" s="1002">
        <v>2021</v>
      </c>
      <c r="J43" s="1002"/>
      <c r="K43" s="1002"/>
      <c r="L43" s="1002"/>
      <c r="M43" s="1002"/>
      <c r="N43" s="1002"/>
      <c r="O43" s="1002"/>
      <c r="P43" s="1002"/>
      <c r="Q43" s="1002"/>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218</v>
      </c>
      <c r="D44" s="269" t="s">
        <v>219</v>
      </c>
      <c r="E44" s="269" t="s">
        <v>220</v>
      </c>
      <c r="F44" s="269" t="s">
        <v>221</v>
      </c>
      <c r="G44" s="269" t="s">
        <v>222</v>
      </c>
      <c r="H44" s="1005" t="s">
        <v>223</v>
      </c>
      <c r="I44" s="269" t="s">
        <v>227</v>
      </c>
      <c r="J44" s="269" t="s">
        <v>230</v>
      </c>
      <c r="K44" s="269" t="s">
        <v>231</v>
      </c>
      <c r="L44" s="269" t="s">
        <v>232</v>
      </c>
      <c r="M44" s="269" t="s">
        <v>233</v>
      </c>
      <c r="N44" s="269" t="s">
        <v>234</v>
      </c>
      <c r="O44" s="269" t="s">
        <v>218</v>
      </c>
      <c r="P44" s="269" t="s">
        <v>219</v>
      </c>
      <c r="Q44" s="269" t="s">
        <v>220</v>
      </c>
      <c r="R44" s="269" t="s">
        <v>221</v>
      </c>
      <c r="S44" s="269" t="s">
        <v>222</v>
      </c>
      <c r="T44" s="1005" t="s">
        <v>223</v>
      </c>
      <c r="U44" s="144"/>
      <c r="V44" s="268">
        <v>2019</v>
      </c>
      <c r="W44" s="269">
        <v>2020</v>
      </c>
      <c r="X44" s="270">
        <v>2021</v>
      </c>
      <c r="Y44" s="144"/>
      <c r="Z44" s="268">
        <v>2019</v>
      </c>
      <c r="AA44" s="269">
        <v>2020</v>
      </c>
      <c r="AB44" s="270">
        <v>2021</v>
      </c>
      <c r="AC44" s="144"/>
      <c r="AD44" s="268">
        <v>2019</v>
      </c>
      <c r="AE44" s="269">
        <v>2020</v>
      </c>
      <c r="AF44" s="270">
        <v>2021</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17.989736070381231671554252199</v>
      </c>
      <c r="D45" s="579">
        <v>28.15615835777126099706744868</v>
      </c>
      <c r="E45" s="579">
        <v>53.261868686868686868686868687</v>
      </c>
      <c r="F45" s="579">
        <v>63.094330400782013685239491691</v>
      </c>
      <c r="G45" s="579">
        <v>65.500000000</v>
      </c>
      <c r="H45" s="1010">
        <v>118.41593352883675464320625611</v>
      </c>
      <c r="I45" s="579">
        <v>143.13831867057673509286412512</v>
      </c>
      <c r="J45" s="579">
        <v>185.57575757575757575757575758</v>
      </c>
      <c r="K45" s="579">
        <v>211.75097751710654936461388074</v>
      </c>
      <c r="L45" s="579">
        <v>216.82474747474747474747474747</v>
      </c>
      <c r="M45" s="579">
        <v>248.66520039100684261974584555</v>
      </c>
      <c r="N45" s="579">
        <v>210.5969696969696969696969697</v>
      </c>
      <c r="O45" s="579">
        <v>232.34652981427174975562072336</v>
      </c>
      <c r="P45" s="579">
        <v>131.2534213098729227761485826</v>
      </c>
      <c r="Q45" s="579">
        <v>108.17020202020202020202020202</v>
      </c>
      <c r="R45" s="579">
        <v>135.83919843597262952101661779</v>
      </c>
      <c r="S45" s="579">
        <v>196.46010101010101010101010101</v>
      </c>
      <c r="T45" s="1010">
        <v>315.4914467253176930596285435</v>
      </c>
      <c r="U45" s="113"/>
      <c r="V45" s="578">
        <v>131.58870900788709007887090079</v>
      </c>
      <c r="W45" s="579">
        <v>101.45382513661202185792349727</v>
      </c>
      <c r="X45" s="580">
        <v>194.87868410128684101286841013</v>
      </c>
      <c r="Y45" s="113"/>
      <c r="Z45" s="578">
        <v>145.6949934123847167325428195</v>
      </c>
      <c r="AA45" s="579">
        <v>82.51976284584980237154150198</v>
      </c>
      <c r="AB45" s="580">
        <v>216.14188076416337285902503294</v>
      </c>
      <c r="AC45" s="113"/>
      <c r="AD45" s="578">
        <v>131.58870900788709007887090079</v>
      </c>
      <c r="AE45" s="579">
        <v>101.45382513661202185792349727</v>
      </c>
      <c r="AF45" s="580">
        <v>194.87868410128684101286841013</v>
      </c>
      <c r="AG45" s="113"/>
    </row>
    <row r="46" ht="21.95" customHeight="1">
      <c r="B46" s="38" t="s">
        <v>35</v>
      </c>
      <c r="C46" s="276"/>
      <c r="D46" s="94"/>
      <c r="E46" s="94"/>
      <c r="F46" s="94"/>
      <c r="G46" s="94"/>
      <c r="H46" s="1011">
        <v>111.49707169725293514191268665</v>
      </c>
      <c r="I46" s="94">
        <v>112.01118489817985222562623896</v>
      </c>
      <c r="J46" s="94">
        <v>197.1500316580925999208547685</v>
      </c>
      <c r="K46" s="94">
        <v>236.21250469126977035117505138</v>
      </c>
      <c r="L46" s="94">
        <v>215.36732779316712834718374885</v>
      </c>
      <c r="M46" s="94">
        <v>237.04269680993655616120096506</v>
      </c>
      <c r="N46" s="94">
        <v>214.66197858472998137802607076</v>
      </c>
      <c r="O46" s="94">
        <v>223.12745629843214993692557218</v>
      </c>
      <c r="P46" s="94">
        <v>133.29444134078212290502793296</v>
      </c>
      <c r="Q46" s="94">
        <v>98.90940595903165735567970205</v>
      </c>
      <c r="R46" s="94">
        <v>107.03792904722700396676895442</v>
      </c>
      <c r="S46" s="94">
        <v>164.24064887857695282289249807</v>
      </c>
      <c r="T46" s="1011">
        <v>269.73534690517176858019609311</v>
      </c>
      <c r="U46" s="113"/>
      <c r="V46" s="276">
        <v>188.69756533070590852747671869</v>
      </c>
      <c r="W46" s="94"/>
      <c r="X46" s="277">
        <v>184.00204717378363074063856664</v>
      </c>
      <c r="Y46" s="113"/>
      <c r="Z46" s="276">
        <v>189.64597296479370523554927872</v>
      </c>
      <c r="AA46" s="94"/>
      <c r="AB46" s="277">
        <v>180.51294587914859275698577625</v>
      </c>
      <c r="AC46" s="113"/>
      <c r="AD46" s="276">
        <v>188.69756533070590852747671869</v>
      </c>
      <c r="AE46" s="94"/>
      <c r="AF46" s="277">
        <v>184.00204717378363074063856664</v>
      </c>
      <c r="AG46" s="113"/>
    </row>
    <row r="47" ht="21.95" customHeight="1">
      <c r="B47" s="40" t="s">
        <v>99</v>
      </c>
      <c r="C47" s="576"/>
      <c r="D47" s="113"/>
      <c r="E47" s="113"/>
      <c r="F47" s="113"/>
      <c r="G47" s="113"/>
      <c r="H47" s="1008">
        <v>106.20542021979783207117921127</v>
      </c>
      <c r="I47" s="113">
        <v>127.78930854154609460628131867</v>
      </c>
      <c r="J47" s="113">
        <v>94.12920506023163795082770371</v>
      </c>
      <c r="K47" s="113">
        <v>89.64427086274095127443345544</v>
      </c>
      <c r="L47" s="113">
        <v>100.67671345348167771714570257</v>
      </c>
      <c r="M47" s="113">
        <v>104.90312662549116110450366491</v>
      </c>
      <c r="N47" s="113">
        <v>98.10632096351624257792964026</v>
      </c>
      <c r="O47" s="113">
        <v>104.13175216926648551484745036</v>
      </c>
      <c r="P47" s="113">
        <v>98.46878833777388771961177343</v>
      </c>
      <c r="Q47" s="113">
        <v>109.36290737102009370025974427</v>
      </c>
      <c r="R47" s="113">
        <v>126.90753609034980713939109558</v>
      </c>
      <c r="S47" s="113">
        <v>119.61722165098354280019259866</v>
      </c>
      <c r="T47" s="1008">
        <v>116.96333103730448471478785083</v>
      </c>
      <c r="U47" s="113"/>
      <c r="V47" s="576">
        <v>69.735244743231591455304373950</v>
      </c>
      <c r="W47" s="113"/>
      <c r="X47" s="577">
        <v>105.91114995434295318630290048</v>
      </c>
      <c r="Y47" s="113"/>
      <c r="Z47" s="576">
        <v>76.824723000805218871786471480</v>
      </c>
      <c r="AA47" s="113"/>
      <c r="AB47" s="577">
        <v>119.73760646999132975045014368</v>
      </c>
      <c r="AC47" s="113"/>
      <c r="AD47" s="576">
        <v>69.735244743231591455304373950</v>
      </c>
      <c r="AE47" s="113"/>
      <c r="AF47" s="577">
        <v>105.91114995434295318630290048</v>
      </c>
      <c r="AG47" s="113"/>
    </row>
    <row r="48" ht="21.95" customHeight="1">
      <c r="A48" s="23"/>
      <c r="B48" s="39" t="s">
        <v>23</v>
      </c>
      <c r="C48" s="273"/>
      <c r="D48" s="274"/>
      <c r="E48" s="274"/>
      <c r="F48" s="274"/>
      <c r="G48" s="274"/>
      <c r="H48" s="1009" t="s">
        <v>226</v>
      </c>
      <c r="I48" s="274" t="s">
        <v>229</v>
      </c>
      <c r="J48" s="274" t="s">
        <v>229</v>
      </c>
      <c r="K48" s="274" t="s">
        <v>229</v>
      </c>
      <c r="L48" s="274" t="s">
        <v>229</v>
      </c>
      <c r="M48" s="274" t="s">
        <v>229</v>
      </c>
      <c r="N48" s="274" t="s">
        <v>229</v>
      </c>
      <c r="O48" s="274" t="s">
        <v>229</v>
      </c>
      <c r="P48" s="274" t="s">
        <v>229</v>
      </c>
      <c r="Q48" s="274" t="s">
        <v>229</v>
      </c>
      <c r="R48" s="274" t="s">
        <v>236</v>
      </c>
      <c r="S48" s="274" t="s">
        <v>236</v>
      </c>
      <c r="T48" s="1009" t="s">
        <v>236</v>
      </c>
      <c r="U48" s="113"/>
      <c r="V48" s="273" t="s">
        <v>240</v>
      </c>
      <c r="W48" s="274"/>
      <c r="X48" s="275" t="s">
        <v>237</v>
      </c>
      <c r="Y48" s="113"/>
      <c r="Z48" s="273" t="s">
        <v>242</v>
      </c>
      <c r="AA48" s="274"/>
      <c r="AB48" s="275" t="s">
        <v>236</v>
      </c>
      <c r="AC48" s="113"/>
      <c r="AD48" s="273" t="s">
        <v>240</v>
      </c>
      <c r="AE48" s="274"/>
      <c r="AF48" s="275" t="s">
        <v>237</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-81.29958414729626539982486785</v>
      </c>
      <c r="D50" s="574">
        <v>-69.666453411674539126018052980</v>
      </c>
      <c r="E50" s="574">
        <v>-19.390874972239895690474199910</v>
      </c>
      <c r="F50" s="574">
        <v>-34.227346721461052953040187490</v>
      </c>
      <c r="G50" s="574">
        <v>-48.469563109768168193802123210</v>
      </c>
      <c r="H50" s="1006">
        <v>-44.522400192357368170595140420</v>
      </c>
      <c r="I50" s="574">
        <v>-47.145160810023494132376986930</v>
      </c>
      <c r="J50" s="574">
        <v>-36.684507230560669348828049140</v>
      </c>
      <c r="K50" s="574">
        <v>138.92884126477982882392119617</v>
      </c>
      <c r="L50" s="574"/>
      <c r="M50" s="574"/>
      <c r="N50" s="574">
        <v>828.0186947079862310574865075</v>
      </c>
      <c r="O50" s="574">
        <v>1191.5505202801207504013161454</v>
      </c>
      <c r="P50" s="574">
        <v>366.16239204917050126020932647</v>
      </c>
      <c r="Q50" s="574">
        <v>103.09126338784837961539329120</v>
      </c>
      <c r="R50" s="574">
        <v>115.29541176373315822828155812</v>
      </c>
      <c r="S50" s="574">
        <v>199.93908551160459557406122292</v>
      </c>
      <c r="T50" s="1006">
        <v>166.42651653680275745749143577</v>
      </c>
      <c r="U50" s="113"/>
      <c r="V50" s="573">
        <v>84.75946982501326306113629962</v>
      </c>
      <c r="W50" s="574">
        <v>-22.900812766146078637758322040</v>
      </c>
      <c r="X50" s="575">
        <v>92.08608826616171883247526863</v>
      </c>
      <c r="Y50" s="113"/>
      <c r="Z50" s="573">
        <v>51.300487084047935453758297530</v>
      </c>
      <c r="AA50" s="574">
        <v>-43.361291343572961445259553310</v>
      </c>
      <c r="AB50" s="575">
        <v>161.92741388272703239124683003</v>
      </c>
      <c r="AC50" s="113"/>
      <c r="AD50" s="573">
        <v>84.75946982501326306113629962</v>
      </c>
      <c r="AE50" s="574">
        <v>-22.900812766146078637758322040</v>
      </c>
      <c r="AF50" s="575">
        <v>92.08608826616171883247526863</v>
      </c>
      <c r="AG50" s="113"/>
    </row>
    <row r="51" ht="21.95" customHeight="1">
      <c r="B51" s="38" t="s">
        <v>35</v>
      </c>
      <c r="C51" s="271"/>
      <c r="D51" s="92"/>
      <c r="E51" s="92"/>
      <c r="F51" s="92"/>
      <c r="G51" s="92"/>
      <c r="H51" s="1007">
        <v>-57.083658671371166496259217280</v>
      </c>
      <c r="I51" s="92">
        <v>-61.201725945105743265228164760</v>
      </c>
      <c r="J51" s="92">
        <v>-42.166119417304956116227302700</v>
      </c>
      <c r="K51" s="92">
        <v>96.03956033985149404621729324</v>
      </c>
      <c r="L51" s="92"/>
      <c r="M51" s="92"/>
      <c r="N51" s="92"/>
      <c r="O51" s="92"/>
      <c r="P51" s="92"/>
      <c r="Q51" s="92"/>
      <c r="R51" s="92"/>
      <c r="S51" s="92"/>
      <c r="T51" s="1007">
        <v>141.92146286807247878388365785</v>
      </c>
      <c r="U51" s="113"/>
      <c r="V51" s="271">
        <v>-3.3172868268999467929578433300</v>
      </c>
      <c r="W51" s="92"/>
      <c r="X51" s="272"/>
      <c r="Y51" s="113"/>
      <c r="Z51" s="271">
        <v>-1.0235399577613991819437010500</v>
      </c>
      <c r="AA51" s="92"/>
      <c r="AB51" s="272"/>
      <c r="AC51" s="113"/>
      <c r="AD51" s="271">
        <v>-3.3172868268999467929578433300</v>
      </c>
      <c r="AE51" s="92"/>
      <c r="AF51" s="272"/>
      <c r="AG51" s="113"/>
    </row>
    <row r="52" ht="21.95" customHeight="1">
      <c r="B52" s="40" t="s">
        <v>99</v>
      </c>
      <c r="C52" s="576"/>
      <c r="D52" s="113"/>
      <c r="E52" s="113"/>
      <c r="F52" s="113"/>
      <c r="G52" s="113"/>
      <c r="H52" s="1008">
        <v>29.269173676389436799809660650</v>
      </c>
      <c r="I52" s="113">
        <v>36.229872275224624049643114530</v>
      </c>
      <c r="J52" s="113">
        <v>9.478202277783870683455363880</v>
      </c>
      <c r="K52" s="113">
        <v>21.877870390309831222577279620</v>
      </c>
      <c r="L52" s="113"/>
      <c r="M52" s="113"/>
      <c r="N52" s="113"/>
      <c r="O52" s="113"/>
      <c r="P52" s="113"/>
      <c r="Q52" s="113"/>
      <c r="R52" s="113"/>
      <c r="S52" s="113"/>
      <c r="T52" s="1008">
        <v>10.129342546962471215277279730</v>
      </c>
      <c r="U52" s="113"/>
      <c r="V52" s="576">
        <v>91.09876394767637622102063822</v>
      </c>
      <c r="W52" s="113"/>
      <c r="X52" s="577"/>
      <c r="Y52" s="113"/>
      <c r="Z52" s="576">
        <v>52.865122696292863532109757310</v>
      </c>
      <c r="AA52" s="113"/>
      <c r="AB52" s="577"/>
      <c r="AC52" s="113"/>
      <c r="AD52" s="576">
        <v>91.09876394767637622102063822</v>
      </c>
      <c r="AE52" s="113"/>
      <c r="AF52" s="577"/>
      <c r="AG52" s="113"/>
    </row>
    <row r="53" ht="21.95" customHeight="1">
      <c r="A53" s="23"/>
      <c r="B53" s="39" t="s">
        <v>23</v>
      </c>
      <c r="C53" s="273"/>
      <c r="D53" s="274"/>
      <c r="E53" s="274"/>
      <c r="F53" s="274"/>
      <c r="G53" s="274"/>
      <c r="H53" s="1009" t="s">
        <v>226</v>
      </c>
      <c r="I53" s="274" t="s">
        <v>228</v>
      </c>
      <c r="J53" s="274" t="s">
        <v>235</v>
      </c>
      <c r="K53" s="274" t="s">
        <v>228</v>
      </c>
      <c r="L53" s="274"/>
      <c r="M53" s="274"/>
      <c r="N53" s="274"/>
      <c r="O53" s="274"/>
      <c r="P53" s="274"/>
      <c r="Q53" s="274"/>
      <c r="R53" s="274"/>
      <c r="S53" s="274"/>
      <c r="T53" s="1009" t="s">
        <v>226</v>
      </c>
      <c r="U53" s="113"/>
      <c r="V53" s="273" t="s">
        <v>238</v>
      </c>
      <c r="W53" s="274"/>
      <c r="X53" s="275"/>
      <c r="Y53" s="113"/>
      <c r="Z53" s="273" t="s">
        <v>238</v>
      </c>
      <c r="AA53" s="274"/>
      <c r="AB53" s="275"/>
      <c r="AC53" s="113"/>
      <c r="AD53" s="273" t="s">
        <v>238</v>
      </c>
      <c r="AE53" s="274"/>
      <c r="AF53" s="275"/>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H19"/>
    <mergeCell ref="C31:H31"/>
    <mergeCell ref="C43:H43"/>
    <mergeCell ref="I19:T19"/>
    <mergeCell ref="I31:T31"/>
    <mergeCell ref="I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139</v>
      </c>
      <c r="C1" s="12"/>
      <c r="D1" s="12"/>
      <c r="E1" s="12"/>
      <c r="F1" s="12"/>
      <c r="G1" s="12"/>
      <c r="H1" s="2"/>
      <c r="I1" s="2"/>
      <c r="J1" s="2"/>
      <c r="K1" s="2"/>
      <c r="L1" s="2"/>
      <c r="M1" s="2"/>
      <c r="N1" s="2"/>
      <c r="O1" s="2"/>
      <c r="P1" s="131"/>
      <c r="Q1" s="2"/>
      <c r="R1" s="2"/>
      <c r="S1" s="222"/>
      <c r="T1" s="2"/>
      <c r="U1" s="236"/>
    </row>
    <row r="2" ht="14.25" customHeight="1">
      <c r="B2" s="999" t="s">
        <v>208</v>
      </c>
      <c r="C2" s="999"/>
      <c r="D2" s="999"/>
      <c r="E2" s="999"/>
      <c r="F2" s="999"/>
      <c r="G2" s="999"/>
      <c r="H2" s="999"/>
      <c r="I2" s="999"/>
      <c r="J2" s="999"/>
      <c r="K2" s="999"/>
      <c r="L2" s="999"/>
      <c r="M2" s="999"/>
      <c r="N2" s="999"/>
      <c r="O2" s="999"/>
      <c r="P2" s="999"/>
      <c r="Q2" s="999"/>
      <c r="R2" s="999"/>
      <c r="S2" s="999"/>
      <c r="T2" s="2"/>
    </row>
    <row r="3" ht="14.25" customHeight="1">
      <c r="B3" s="1030" t="s">
        <v>209</v>
      </c>
      <c r="C3" s="1030"/>
      <c r="D3" s="1030"/>
      <c r="E3" s="1030"/>
      <c r="F3" s="1030"/>
      <c r="G3" s="1030"/>
      <c r="H3" s="1030"/>
      <c r="I3" s="1030"/>
      <c r="J3" s="1030"/>
      <c r="K3" s="1030"/>
      <c r="L3" s="1030"/>
      <c r="M3" s="1030"/>
      <c r="N3" s="1030"/>
      <c r="O3" s="1030"/>
      <c r="P3" s="1030"/>
      <c r="Q3" s="1030"/>
      <c r="R3" s="1030"/>
      <c r="S3" s="1030"/>
      <c r="T3" s="2"/>
    </row>
    <row r="4" ht="14.25" customHeight="1">
      <c r="B4" s="1030" t="s">
        <v>210</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211</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87.75659824046920821114369501</v>
      </c>
      <c r="F10" s="113">
        <v>27.115044247877603571148939890</v>
      </c>
      <c r="G10" s="659"/>
      <c r="H10" s="18" t="s">
        <v>19</v>
      </c>
      <c r="I10" s="667">
        <v>5.8651026392961876832844574800</v>
      </c>
      <c r="J10" s="113">
        <v>122.22222222081481481482372847</v>
      </c>
      <c r="K10" s="9"/>
      <c r="L10" s="18" t="s">
        <v>19</v>
      </c>
      <c r="M10" s="667">
        <v>0</v>
      </c>
      <c r="N10" s="113">
        <v>0</v>
      </c>
      <c r="O10" s="9"/>
      <c r="P10" s="18" t="s">
        <v>19</v>
      </c>
      <c r="Q10" s="667">
        <v>93.62170087976539589442815249</v>
      </c>
      <c r="R10" s="113">
        <v>30.617115581374664890591574850</v>
      </c>
      <c r="S10" s="674"/>
      <c r="T10" s="9"/>
    </row>
    <row r="11" ht="15" customHeight="1">
      <c r="A11" s="2"/>
      <c r="B11" s="44"/>
      <c r="C11" s="45"/>
      <c r="D11" s="133" t="s">
        <v>16</v>
      </c>
      <c r="E11" s="92">
        <v>60.160167652121847167128208970</v>
      </c>
      <c r="F11" s="92">
        <v>21.749746438677332128634165870</v>
      </c>
      <c r="G11" s="661"/>
      <c r="H11" s="133" t="s">
        <v>16</v>
      </c>
      <c r="I11" s="668">
        <v>2.6719556919392261058304019200</v>
      </c>
      <c r="J11" s="92">
        <v>0</v>
      </c>
      <c r="K11" s="120"/>
      <c r="L11" s="133" t="s">
        <v>16</v>
      </c>
      <c r="M11" s="668">
        <v>0</v>
      </c>
      <c r="N11" s="92">
        <v>0</v>
      </c>
      <c r="O11" s="120"/>
      <c r="P11" s="133" t="s">
        <v>16</v>
      </c>
      <c r="Q11" s="668">
        <v>62.832123344061073272958610880</v>
      </c>
      <c r="R11" s="92">
        <v>27.157143736339413189833767400</v>
      </c>
      <c r="S11" s="674"/>
      <c r="T11" s="9"/>
    </row>
    <row r="12" ht="15" customHeight="1">
      <c r="A12" s="2"/>
      <c r="B12" s="44"/>
      <c r="C12" s="45"/>
      <c r="D12" s="19" t="s">
        <v>97</v>
      </c>
      <c r="E12" s="113">
        <v>145.87159854328304191454228775</v>
      </c>
      <c r="F12" s="113">
        <v>4.406824626672507216205644500</v>
      </c>
      <c r="G12" s="113"/>
      <c r="H12" s="19" t="s">
        <v>97</v>
      </c>
      <c r="I12" s="667">
        <v>219.50598421186656480774127808</v>
      </c>
      <c r="J12" s="113">
        <v>0</v>
      </c>
      <c r="K12" s="9"/>
      <c r="L12" s="19" t="s">
        <v>97</v>
      </c>
      <c r="M12" s="667">
        <v>0</v>
      </c>
      <c r="N12" s="113">
        <v>0</v>
      </c>
      <c r="O12" s="9"/>
      <c r="P12" s="19" t="s">
        <v>97</v>
      </c>
      <c r="Q12" s="667">
        <v>149.00292381829010774811846879</v>
      </c>
      <c r="R12" s="113">
        <v>2.7210204186616820765050066600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335.80813143971038707880813144</v>
      </c>
      <c r="F14" s="113">
        <v>107.67332336190679589339962781</v>
      </c>
      <c r="G14" s="664"/>
      <c r="H14" s="53" t="s">
        <v>19</v>
      </c>
      <c r="I14" s="670">
        <v>354.6</v>
      </c>
      <c r="J14" s="113">
        <v>37.981624932466478802006948390</v>
      </c>
      <c r="K14" s="671"/>
      <c r="L14" s="53" t="s">
        <v>19</v>
      </c>
      <c r="M14" s="670">
        <v>0</v>
      </c>
      <c r="N14" s="113">
        <v>0</v>
      </c>
      <c r="O14" s="671"/>
      <c r="P14" s="53" t="s">
        <v>19</v>
      </c>
      <c r="Q14" s="670">
        <v>336.98538240668232837379274341</v>
      </c>
      <c r="R14" s="113">
        <v>103.97519524991013283641442340</v>
      </c>
      <c r="S14" s="675"/>
      <c r="T14" s="9"/>
    </row>
    <row r="15" ht="15" customHeight="1">
      <c r="A15" s="2"/>
      <c r="B15" s="44"/>
      <c r="C15" s="45"/>
      <c r="D15" s="133" t="s">
        <v>16</v>
      </c>
      <c r="E15" s="665">
        <v>433.89250696294584279311065472</v>
      </c>
      <c r="F15" s="92">
        <v>92.29131137907043127051121049</v>
      </c>
      <c r="G15" s="666"/>
      <c r="H15" s="143" t="s">
        <v>16</v>
      </c>
      <c r="I15" s="672">
        <v>325.78711213400928747612481031</v>
      </c>
      <c r="J15" s="92">
        <v>0</v>
      </c>
      <c r="K15" s="673"/>
      <c r="L15" s="143" t="s">
        <v>16</v>
      </c>
      <c r="M15" s="672">
        <v>0</v>
      </c>
      <c r="N15" s="92">
        <v>0</v>
      </c>
      <c r="O15" s="673"/>
      <c r="P15" s="143" t="s">
        <v>16</v>
      </c>
      <c r="Q15" s="672">
        <v>429.2952912447885646217986897</v>
      </c>
      <c r="R15" s="92">
        <v>90.25392971206590858291768503</v>
      </c>
      <c r="S15" s="675"/>
      <c r="T15" s="9"/>
    </row>
    <row r="16" ht="15" customHeight="1">
      <c r="A16" s="2"/>
      <c r="B16" s="44"/>
      <c r="C16" s="45"/>
      <c r="D16" s="19" t="s">
        <v>98</v>
      </c>
      <c r="E16" s="113">
        <v>77.394314502045133967614309170</v>
      </c>
      <c r="F16" s="113">
        <v>7.999327620449108667457472500</v>
      </c>
      <c r="G16" s="113"/>
      <c r="H16" s="19" t="s">
        <v>98</v>
      </c>
      <c r="I16" s="667">
        <v>108.84408461625664852753416710</v>
      </c>
      <c r="J16" s="113">
        <v>0</v>
      </c>
      <c r="K16" s="9"/>
      <c r="L16" s="19" t="s">
        <v>98</v>
      </c>
      <c r="M16" s="667">
        <v>0</v>
      </c>
      <c r="N16" s="113">
        <v>0</v>
      </c>
      <c r="O16" s="9"/>
      <c r="P16" s="19" t="s">
        <v>98</v>
      </c>
      <c r="Q16" s="667">
        <v>78.497339542103157530879792480</v>
      </c>
      <c r="R16" s="113">
        <v>7.2120799599519109064274554100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294.69379276637341153470185728</v>
      </c>
      <c r="F18" s="113">
        <v>163.98403688234256721753692299</v>
      </c>
      <c r="G18" s="664"/>
      <c r="H18" s="53" t="s">
        <v>19</v>
      </c>
      <c r="I18" s="670">
        <v>20.797653958944281524926686217</v>
      </c>
      <c r="J18" s="113">
        <v>206.62583318182707424556423168</v>
      </c>
      <c r="K18" s="671"/>
      <c r="L18" s="53" t="s">
        <v>19</v>
      </c>
      <c r="M18" s="670">
        <v>0</v>
      </c>
      <c r="N18" s="113">
        <v>0</v>
      </c>
      <c r="O18" s="671"/>
      <c r="P18" s="53" t="s">
        <v>19</v>
      </c>
      <c r="Q18" s="670">
        <v>315.4914467253176930596285435</v>
      </c>
      <c r="R18" s="113">
        <v>166.42651653680275745749143577</v>
      </c>
      <c r="S18" s="675"/>
      <c r="T18" s="9"/>
    </row>
    <row r="19" ht="15" customHeight="1">
      <c r="A19" s="2"/>
      <c r="B19" s="44"/>
      <c r="C19" s="45"/>
      <c r="D19" s="133" t="s">
        <v>16</v>
      </c>
      <c r="E19" s="665">
        <v>261.03045961890267827041564573</v>
      </c>
      <c r="F19" s="92">
        <v>134.11418402769026376067891194</v>
      </c>
      <c r="G19" s="666"/>
      <c r="H19" s="143" t="s">
        <v>16</v>
      </c>
      <c r="I19" s="672">
        <v>8.704887286269090309780447368</v>
      </c>
      <c r="J19" s="92">
        <v>0</v>
      </c>
      <c r="K19" s="673"/>
      <c r="L19" s="143" t="s">
        <v>16</v>
      </c>
      <c r="M19" s="672">
        <v>0</v>
      </c>
      <c r="N19" s="92">
        <v>0</v>
      </c>
      <c r="O19" s="673"/>
      <c r="P19" s="143" t="s">
        <v>16</v>
      </c>
      <c r="Q19" s="672">
        <v>269.73534690517176858019609311</v>
      </c>
      <c r="R19" s="92">
        <v>141.92146286807247878388365785</v>
      </c>
      <c r="S19" s="675"/>
      <c r="T19" s="9"/>
    </row>
    <row r="20" ht="15" customHeight="1">
      <c r="A20" s="2"/>
      <c r="B20" s="44"/>
      <c r="C20" s="45"/>
      <c r="D20" s="19" t="s">
        <v>99</v>
      </c>
      <c r="E20" s="113">
        <v>112.89632374574916569541834073</v>
      </c>
      <c r="F20" s="113">
        <v>12.758668586693966984940762470</v>
      </c>
      <c r="G20" s="113"/>
      <c r="H20" s="19" t="s">
        <v>99</v>
      </c>
      <c r="I20" s="667">
        <v>238.91927919331100338867953154</v>
      </c>
      <c r="J20" s="113">
        <v>0</v>
      </c>
      <c r="K20" s="9"/>
      <c r="L20" s="19" t="s">
        <v>99</v>
      </c>
      <c r="M20" s="667">
        <v>0</v>
      </c>
      <c r="N20" s="113">
        <v>0</v>
      </c>
      <c r="O20" s="9"/>
      <c r="P20" s="19" t="s">
        <v>99</v>
      </c>
      <c r="Q20" s="667">
        <v>116.96333103730448471478785083</v>
      </c>
      <c r="R20" s="113">
        <v>10.129342546962471215277279730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80.38190120381901203819012038</v>
      </c>
      <c r="F27" s="113">
        <v>77.782527191387039969483467050</v>
      </c>
      <c r="G27" s="9"/>
      <c r="H27" s="18" t="s">
        <v>19</v>
      </c>
      <c r="I27" s="667">
        <v>2.9887920298879202988792029900</v>
      </c>
      <c r="J27" s="113">
        <v>-27.512790890176117972462714760</v>
      </c>
      <c r="K27" s="9"/>
      <c r="L27" s="18" t="s">
        <v>19</v>
      </c>
      <c r="M27" s="667">
        <v>0</v>
      </c>
      <c r="N27" s="113">
        <v>0</v>
      </c>
      <c r="O27" s="9"/>
      <c r="P27" s="18" t="s">
        <v>19</v>
      </c>
      <c r="Q27" s="667">
        <v>83.37069323370693233706932337</v>
      </c>
      <c r="R27" s="113">
        <v>68.982737229314182152003445530</v>
      </c>
      <c r="S27" s="674"/>
      <c r="T27" s="9"/>
    </row>
    <row r="28" ht="15" customHeight="1">
      <c r="A28" s="2"/>
      <c r="B28" s="44"/>
      <c r="C28" s="45"/>
      <c r="D28" s="133" t="s">
        <v>16</v>
      </c>
      <c r="E28" s="668">
        <v>63.019576106499641808150288460</v>
      </c>
      <c r="F28" s="92"/>
      <c r="G28" s="120"/>
      <c r="H28" s="133" t="s">
        <v>16</v>
      </c>
      <c r="I28" s="668">
        <v>1.1862810508769789285680191500</v>
      </c>
      <c r="J28" s="92"/>
      <c r="K28" s="120"/>
      <c r="L28" s="133" t="s">
        <v>16</v>
      </c>
      <c r="M28" s="668">
        <v>0.0108896084096815878501009100</v>
      </c>
      <c r="N28" s="92"/>
      <c r="O28" s="120"/>
      <c r="P28" s="133" t="s">
        <v>16</v>
      </c>
      <c r="Q28" s="668">
        <v>64.216746765786302324568408520</v>
      </c>
      <c r="R28" s="92"/>
      <c r="S28" s="674"/>
      <c r="T28" s="9"/>
    </row>
    <row r="29" ht="15" customHeight="1">
      <c r="A29" s="2"/>
      <c r="B29" s="44"/>
      <c r="C29" s="45"/>
      <c r="D29" s="19" t="s">
        <v>97</v>
      </c>
      <c r="E29" s="667">
        <v>127.55068531082784349154856526</v>
      </c>
      <c r="F29" s="113"/>
      <c r="G29" s="676"/>
      <c r="H29" s="19" t="s">
        <v>97</v>
      </c>
      <c r="I29" s="667">
        <v>251.94636866857172963890227706</v>
      </c>
      <c r="J29" s="113"/>
      <c r="K29" s="676"/>
      <c r="L29" s="19" t="s">
        <v>97</v>
      </c>
      <c r="M29" s="667">
        <v>0</v>
      </c>
      <c r="N29" s="113"/>
      <c r="O29" s="676"/>
      <c r="P29" s="19" t="s">
        <v>97</v>
      </c>
      <c r="Q29" s="667">
        <v>129.82702711144744394616477138</v>
      </c>
      <c r="R29" s="113"/>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233.25113612889898781243544722</v>
      </c>
      <c r="F31" s="113">
        <v>21.887214742018431323648295450</v>
      </c>
      <c r="G31" s="671"/>
      <c r="H31" s="53" t="s">
        <v>19</v>
      </c>
      <c r="I31" s="670">
        <v>247.15625</v>
      </c>
      <c r="J31" s="113">
        <v>-31.743988826942807710188508710</v>
      </c>
      <c r="K31" s="671"/>
      <c r="L31" s="53" t="s">
        <v>19</v>
      </c>
      <c r="M31" s="670">
        <v>0</v>
      </c>
      <c r="N31" s="113">
        <v>0</v>
      </c>
      <c r="O31" s="671"/>
      <c r="P31" s="53" t="s">
        <v>19</v>
      </c>
      <c r="Q31" s="670">
        <v>233.74962656841266679944234216</v>
      </c>
      <c r="R31" s="113">
        <v>13.672018464972760852009297750</v>
      </c>
      <c r="S31" s="675"/>
      <c r="T31" s="9"/>
    </row>
    <row r="32" ht="15" customHeight="1">
      <c r="A32" s="2"/>
      <c r="B32" s="44"/>
      <c r="C32" s="45"/>
      <c r="D32" s="133" t="s">
        <v>16</v>
      </c>
      <c r="E32" s="672">
        <v>286.74251842781762324991746781</v>
      </c>
      <c r="F32" s="92"/>
      <c r="G32" s="673"/>
      <c r="H32" s="143" t="s">
        <v>16</v>
      </c>
      <c r="I32" s="672">
        <v>275.51640607238663688468122787</v>
      </c>
      <c r="J32" s="92"/>
      <c r="K32" s="673"/>
      <c r="L32" s="143" t="s">
        <v>16</v>
      </c>
      <c r="M32" s="672">
        <v>272.99995609502326355432428011</v>
      </c>
      <c r="N32" s="92"/>
      <c r="O32" s="673"/>
      <c r="P32" s="143" t="s">
        <v>16</v>
      </c>
      <c r="Q32" s="672">
        <v>286.53280715836121913719815501</v>
      </c>
      <c r="R32" s="92"/>
      <c r="S32" s="675"/>
      <c r="T32" s="9"/>
    </row>
    <row r="33" ht="15" customHeight="1">
      <c r="A33" s="2"/>
      <c r="B33" s="44"/>
      <c r="C33" s="45"/>
      <c r="D33" s="19" t="s">
        <v>98</v>
      </c>
      <c r="E33" s="667">
        <v>81.34515153448226812619732922</v>
      </c>
      <c r="F33" s="113"/>
      <c r="G33" s="676"/>
      <c r="H33" s="19" t="s">
        <v>98</v>
      </c>
      <c r="I33" s="667">
        <v>89.70654543710346188700368734</v>
      </c>
      <c r="J33" s="113"/>
      <c r="K33" s="676"/>
      <c r="L33" s="19" t="s">
        <v>98</v>
      </c>
      <c r="M33" s="667">
        <v>0</v>
      </c>
      <c r="N33" s="113"/>
      <c r="O33" s="676"/>
      <c r="P33" s="19" t="s">
        <v>98</v>
      </c>
      <c r="Q33" s="667">
        <v>81.57866070785524575085893353</v>
      </c>
      <c r="R33" s="113"/>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187.49169779991697799916977999</v>
      </c>
      <c r="F35" s="113">
        <v>116.69417069154103083077492686</v>
      </c>
      <c r="G35" s="671"/>
      <c r="H35" s="53" t="s">
        <v>19</v>
      </c>
      <c r="I35" s="670">
        <v>7.386986301369863013698630137</v>
      </c>
      <c r="J35" s="113">
        <v>-50.523122450706638187318117750</v>
      </c>
      <c r="K35" s="671"/>
      <c r="L35" s="53" t="s">
        <v>19</v>
      </c>
      <c r="M35" s="670">
        <v>0</v>
      </c>
      <c r="N35" s="113">
        <v>0</v>
      </c>
      <c r="O35" s="671"/>
      <c r="P35" s="53" t="s">
        <v>19</v>
      </c>
      <c r="Q35" s="670">
        <v>194.87868410128684101286841013</v>
      </c>
      <c r="R35" s="113">
        <v>92.08608826616171883247526863</v>
      </c>
      <c r="S35" s="675"/>
      <c r="T35" s="9"/>
    </row>
    <row r="36" ht="15" customHeight="1">
      <c r="A36" s="2"/>
      <c r="B36" s="44"/>
      <c r="C36" s="45"/>
      <c r="D36" s="133" t="s">
        <v>16</v>
      </c>
      <c r="E36" s="672">
        <v>180.70391963031228726267051127</v>
      </c>
      <c r="F36" s="92"/>
      <c r="G36" s="673"/>
      <c r="H36" s="143" t="s">
        <v>16</v>
      </c>
      <c r="I36" s="672">
        <v>3.2683989172939927820980129403</v>
      </c>
      <c r="J36" s="92"/>
      <c r="K36" s="673"/>
      <c r="L36" s="143" t="s">
        <v>16</v>
      </c>
      <c r="M36" s="672">
        <v>0.0297286261773506958700424274</v>
      </c>
      <c r="N36" s="92"/>
      <c r="O36" s="673"/>
      <c r="P36" s="143" t="s">
        <v>16</v>
      </c>
      <c r="Q36" s="672">
        <v>184.00204717378363074063856664</v>
      </c>
      <c r="R36" s="92"/>
      <c r="S36" s="675"/>
      <c r="T36" s="9"/>
    </row>
    <row r="37" ht="15" customHeight="1">
      <c r="A37" s="2"/>
      <c r="B37" s="44"/>
      <c r="C37" s="45"/>
      <c r="D37" s="19" t="s">
        <v>99</v>
      </c>
      <c r="E37" s="667">
        <v>103.75629824936352449806491839</v>
      </c>
      <c r="F37" s="113"/>
      <c r="G37" s="676"/>
      <c r="H37" s="19" t="s">
        <v>99</v>
      </c>
      <c r="I37" s="667">
        <v>226.01238368680449905472043823</v>
      </c>
      <c r="J37" s="113"/>
      <c r="K37" s="676"/>
      <c r="L37" s="19" t="s">
        <v>99</v>
      </c>
      <c r="M37" s="667">
        <v>0</v>
      </c>
      <c r="N37" s="113"/>
      <c r="O37" s="676"/>
      <c r="P37" s="19" t="s">
        <v>99</v>
      </c>
      <c r="Q37" s="667">
        <v>105.91114995434295318630290048</v>
      </c>
      <c r="R37" s="113"/>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141</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303</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2020</v>
      </c>
      <c r="C9" s="285" t="s">
        <v>218</v>
      </c>
      <c r="D9" s="415">
        <v>13.098729227761485826001955030</v>
      </c>
      <c r="E9" s="416"/>
      <c r="F9" s="417">
        <v>17.408364894908713398761530290</v>
      </c>
      <c r="G9" s="415">
        <v>0</v>
      </c>
      <c r="H9" s="416"/>
      <c r="I9" s="417">
        <v>3.5600484728098284087226561200</v>
      </c>
      <c r="J9" s="415">
        <v>0</v>
      </c>
      <c r="K9" s="416"/>
      <c r="L9" s="417">
        <v>3.0504098450135638832210111200</v>
      </c>
      <c r="M9" s="415">
        <v>13.098729227761485826001955030</v>
      </c>
      <c r="N9" s="416"/>
      <c r="O9" s="417">
        <v>24.018823212732105690705197530</v>
      </c>
      <c r="P9" s="5"/>
      <c r="Q9" s="415">
        <v>-77.933305887192597881946921420</v>
      </c>
      <c r="R9" s="416"/>
      <c r="S9" s="417">
        <v>-70.027645745402645926078252010</v>
      </c>
      <c r="T9" s="415">
        <v>-100</v>
      </c>
      <c r="U9" s="416"/>
      <c r="V9" s="417">
        <v>-73.748872652308629593522700020</v>
      </c>
      <c r="W9" s="415">
        <v>0</v>
      </c>
      <c r="X9" s="416"/>
      <c r="Y9" s="417">
        <v>-53.137298727570608299595755040</v>
      </c>
      <c r="Z9" s="415">
        <v>-78.559999999987616255999992850</v>
      </c>
      <c r="AA9" s="416"/>
      <c r="AB9" s="417">
        <v>-69.266591598491477553423210080</v>
      </c>
    </row>
    <row r="10" ht="18" customHeight="1">
      <c r="A10" s="58"/>
      <c r="B10" s="286"/>
      <c r="C10" s="287" t="s">
        <v>219</v>
      </c>
      <c r="D10" s="271">
        <v>25.537634408602150537634408600</v>
      </c>
      <c r="E10" s="92"/>
      <c r="F10" s="272">
        <v>19.087647601016832445004480240</v>
      </c>
      <c r="G10" s="271">
        <v>0</v>
      </c>
      <c r="H10" s="92"/>
      <c r="I10" s="272">
        <v>7.2844910335195931038644348700</v>
      </c>
      <c r="J10" s="271">
        <v>0</v>
      </c>
      <c r="K10" s="92"/>
      <c r="L10" s="272">
        <v>3.3050839347935689903332180500</v>
      </c>
      <c r="M10" s="271">
        <v>25.537634408602150537634408600</v>
      </c>
      <c r="N10" s="92"/>
      <c r="O10" s="272">
        <v>29.677222569329994539202133150</v>
      </c>
      <c r="P10" s="5"/>
      <c r="Q10" s="271">
        <v>-62.531373252086712628274689990</v>
      </c>
      <c r="R10" s="92"/>
      <c r="S10" s="272">
        <v>-69.227616147874074488257985430</v>
      </c>
      <c r="T10" s="271">
        <v>-100</v>
      </c>
      <c r="U10" s="92"/>
      <c r="V10" s="272">
        <v>-0.7985959023036134168307847500</v>
      </c>
      <c r="W10" s="271">
        <v>0</v>
      </c>
      <c r="X10" s="92"/>
      <c r="Y10" s="272">
        <v>-48.174372957467933589194002080</v>
      </c>
      <c r="Z10" s="271">
        <v>-62.638541294263334905152082780</v>
      </c>
      <c r="AA10" s="92"/>
      <c r="AB10" s="272">
        <v>-60.821603896479410276470710330</v>
      </c>
    </row>
    <row r="11" ht="18" customHeight="1">
      <c r="A11" s="58"/>
      <c r="B11" s="288"/>
      <c r="C11" s="289" t="s">
        <v>220</v>
      </c>
      <c r="D11" s="420">
        <v>47.424242424242424242424242420</v>
      </c>
      <c r="E11" s="91"/>
      <c r="F11" s="421">
        <v>27.073877838215636219463079890</v>
      </c>
      <c r="G11" s="420">
        <v>0</v>
      </c>
      <c r="H11" s="91"/>
      <c r="I11" s="421">
        <v>1.1234122728494485575039263100</v>
      </c>
      <c r="J11" s="420">
        <v>0</v>
      </c>
      <c r="K11" s="91"/>
      <c r="L11" s="421">
        <v>2.6824855636632713394017284700</v>
      </c>
      <c r="M11" s="420">
        <v>47.424242424242424242424242420</v>
      </c>
      <c r="N11" s="91"/>
      <c r="O11" s="421">
        <v>30.879775674728356116368734670</v>
      </c>
      <c r="P11" s="5"/>
      <c r="Q11" s="420">
        <v>-10.100526567692724043354568090</v>
      </c>
      <c r="R11" s="91"/>
      <c r="S11" s="421">
        <v>-45.671985383054803292805029730</v>
      </c>
      <c r="T11" s="420">
        <v>-100</v>
      </c>
      <c r="U11" s="91"/>
      <c r="V11" s="421">
        <v>-90.04451408279679638185334420</v>
      </c>
      <c r="W11" s="420">
        <v>0</v>
      </c>
      <c r="X11" s="91"/>
      <c r="Y11" s="421">
        <v>-54.103610999254170915072464600</v>
      </c>
      <c r="Z11" s="420">
        <v>-11.163670766255898192793145210</v>
      </c>
      <c r="AA11" s="91"/>
      <c r="AB11" s="421">
        <v>-53.885392166197741869413476430</v>
      </c>
    </row>
    <row r="12" ht="18" customHeight="1">
      <c r="A12" s="58"/>
      <c r="B12" s="286"/>
      <c r="C12" s="287" t="s">
        <v>221</v>
      </c>
      <c r="D12" s="271">
        <v>51.392961876832844574780058650</v>
      </c>
      <c r="E12" s="92"/>
      <c r="F12" s="272">
        <v>31.233688269692203683056537320</v>
      </c>
      <c r="G12" s="271">
        <v>1.5151515151515151515151515200</v>
      </c>
      <c r="H12" s="92"/>
      <c r="I12" s="272">
        <v>2.8231030763339127458081845400</v>
      </c>
      <c r="J12" s="271">
        <v>0</v>
      </c>
      <c r="K12" s="92"/>
      <c r="L12" s="272">
        <v>3.5627892608693796871571661800</v>
      </c>
      <c r="M12" s="271">
        <v>52.908113391984359726295210170</v>
      </c>
      <c r="N12" s="92"/>
      <c r="O12" s="272">
        <v>37.619580606895496116021888030</v>
      </c>
      <c r="P12" s="5"/>
      <c r="Q12" s="271">
        <v>-16.712871287090054449563750320</v>
      </c>
      <c r="R12" s="92"/>
      <c r="S12" s="272">
        <v>-41.263316164867105888200585360</v>
      </c>
      <c r="T12" s="271">
        <v>-69.902912621184484871334643810</v>
      </c>
      <c r="U12" s="92"/>
      <c r="V12" s="272">
        <v>-80.14529241523802523020825185</v>
      </c>
      <c r="W12" s="271">
        <v>0</v>
      </c>
      <c r="X12" s="92"/>
      <c r="Y12" s="272">
        <v>-39.374864186600785074961816250</v>
      </c>
      <c r="Z12" s="271">
        <v>-20.725009154206030788801958550</v>
      </c>
      <c r="AA12" s="92"/>
      <c r="AB12" s="272">
        <v>-48.657168329357281638173585280</v>
      </c>
    </row>
    <row r="13" ht="18" customHeight="1">
      <c r="A13" s="58"/>
      <c r="B13" s="288"/>
      <c r="C13" s="289" t="s">
        <v>222</v>
      </c>
      <c r="D13" s="420">
        <v>50.808080808080808080808080810</v>
      </c>
      <c r="E13" s="91"/>
      <c r="F13" s="421">
        <v>33.766445129978807601418398300</v>
      </c>
      <c r="G13" s="420">
        <v>1.0353535353535353535353535400</v>
      </c>
      <c r="H13" s="91"/>
      <c r="I13" s="421">
        <v>2.3743378339227058433360818600</v>
      </c>
      <c r="J13" s="420">
        <v>0</v>
      </c>
      <c r="K13" s="91"/>
      <c r="L13" s="421">
        <v>3.7106509806212886238867986300</v>
      </c>
      <c r="M13" s="420">
        <v>51.843434343434343434343434340</v>
      </c>
      <c r="N13" s="91"/>
      <c r="O13" s="421">
        <v>39.851433944522802068641278800</v>
      </c>
      <c r="P13" s="5"/>
      <c r="Q13" s="420">
        <v>-26.029411764739604238754309880</v>
      </c>
      <c r="R13" s="91"/>
      <c r="S13" s="421">
        <v>-43.469967371915178447096669760</v>
      </c>
      <c r="T13" s="420">
        <v>-83.33333333327642276422744787</v>
      </c>
      <c r="U13" s="91"/>
      <c r="V13" s="421">
        <v>-86.23333275467380808794821153</v>
      </c>
      <c r="W13" s="420">
        <v>0</v>
      </c>
      <c r="X13" s="91"/>
      <c r="Y13" s="421">
        <v>-38.938053141076122706938274470</v>
      </c>
      <c r="Z13" s="420">
        <v>-30.782198246806367876163613440</v>
      </c>
      <c r="AA13" s="91"/>
      <c r="AB13" s="421">
        <v>-52.018445629709088834573045820</v>
      </c>
    </row>
    <row r="14" ht="18" customHeight="1">
      <c r="A14" s="58"/>
      <c r="B14" s="286"/>
      <c r="C14" s="287" t="s">
        <v>223</v>
      </c>
      <c r="D14" s="271">
        <v>69.037145650048875855327468230</v>
      </c>
      <c r="E14" s="92">
        <v>49.412971617462669554314373650</v>
      </c>
      <c r="F14" s="272">
        <v>41.727837740784832129124425770</v>
      </c>
      <c r="G14" s="271">
        <v>2.6392961876832844574780058700</v>
      </c>
      <c r="H14" s="92">
        <v>0</v>
      </c>
      <c r="I14" s="272">
        <v>1.0473550321730504242634701900</v>
      </c>
      <c r="J14" s="271">
        <v>0</v>
      </c>
      <c r="K14" s="92">
        <v>0</v>
      </c>
      <c r="L14" s="272">
        <v>4.1200253898338732134804783900</v>
      </c>
      <c r="M14" s="271">
        <v>71.676441837732160312805474100</v>
      </c>
      <c r="N14" s="92">
        <v>49.412971617462669554314373650</v>
      </c>
      <c r="O14" s="272">
        <v>46.895218162791755766868374360</v>
      </c>
      <c r="P14" s="5"/>
      <c r="Q14" s="271">
        <v>-15.190633443412118594093619930</v>
      </c>
      <c r="R14" s="92">
        <v>-33.170694019512173168673269970</v>
      </c>
      <c r="S14" s="272">
        <v>-38.518874244348300919803710380</v>
      </c>
      <c r="T14" s="271">
        <v>-29.870129869849350649349527140</v>
      </c>
      <c r="U14" s="92">
        <v>-100</v>
      </c>
      <c r="V14" s="272">
        <v>-88.81243496993307881877448136</v>
      </c>
      <c r="W14" s="271">
        <v>0</v>
      </c>
      <c r="X14" s="92">
        <v>0</v>
      </c>
      <c r="Y14" s="272">
        <v>-35.908820141359899967670445970</v>
      </c>
      <c r="Z14" s="271">
        <v>-15.839311334276579610505361130</v>
      </c>
      <c r="AA14" s="92">
        <v>-36.652589351296423365847960290</v>
      </c>
      <c r="AB14" s="272">
        <v>-43.946230199010748691674896780</v>
      </c>
    </row>
    <row r="15" ht="18" customHeight="1">
      <c r="A15" s="58"/>
      <c r="B15" s="288">
        <v>2021</v>
      </c>
      <c r="C15" s="289" t="s">
        <v>227</v>
      </c>
      <c r="D15" s="420">
        <v>83.94428152492668621700879765</v>
      </c>
      <c r="E15" s="91">
        <v>49.702649125968642998738511450</v>
      </c>
      <c r="F15" s="421">
        <v>42.682682261360403002212823950</v>
      </c>
      <c r="G15" s="420">
        <v>1.4173998044965786901270772200</v>
      </c>
      <c r="H15" s="91">
        <v>0.1712020183816903946657055300</v>
      </c>
      <c r="I15" s="421">
        <v>2.4765987620865680282914713600</v>
      </c>
      <c r="J15" s="420">
        <v>0</v>
      </c>
      <c r="K15" s="91">
        <v>0</v>
      </c>
      <c r="L15" s="421">
        <v>3.9970744321210829627465483300</v>
      </c>
      <c r="M15" s="420">
        <v>85.36168132942326490713587488</v>
      </c>
      <c r="N15" s="91">
        <v>49.873851144350333393404216980</v>
      </c>
      <c r="O15" s="421">
        <v>49.156355455568053993250843640</v>
      </c>
      <c r="P15" s="5"/>
      <c r="Q15" s="420">
        <v>26.706012541465446795784386480</v>
      </c>
      <c r="R15" s="91">
        <v>-31.233603088722832228392767120</v>
      </c>
      <c r="S15" s="421">
        <v>-17.115612792563802491269145830</v>
      </c>
      <c r="T15" s="420">
        <v>-93.17647058824383557093424538</v>
      </c>
      <c r="U15" s="91">
        <v>-98.88145224078500009013702663</v>
      </c>
      <c r="V15" s="421">
        <v>-90.96685776937722206491292756</v>
      </c>
      <c r="W15" s="420">
        <v>0</v>
      </c>
      <c r="X15" s="91">
        <v>0</v>
      </c>
      <c r="Y15" s="421">
        <v>-40.924837164163039463606776930</v>
      </c>
      <c r="Z15" s="420">
        <v>-1.9095759618567409219081232700</v>
      </c>
      <c r="AA15" s="91">
        <v>-43.055501184445346214861215420</v>
      </c>
      <c r="AB15" s="421">
        <v>-42.627658211064432185847565280</v>
      </c>
    </row>
    <row r="16" ht="18" customHeight="1">
      <c r="A16" s="58"/>
      <c r="B16" s="286"/>
      <c r="C16" s="287" t="s">
        <v>230</v>
      </c>
      <c r="D16" s="271">
        <v>89.04220779220779220779220779</v>
      </c>
      <c r="E16" s="92">
        <v>73.822714681440443213296398890</v>
      </c>
      <c r="F16" s="272">
        <v>55.295211410399884765819769310</v>
      </c>
      <c r="G16" s="271">
        <v>2.2186147186147186147186147200</v>
      </c>
      <c r="H16" s="92">
        <v>0</v>
      </c>
      <c r="I16" s="272">
        <v>5.7998333456702971573877970800</v>
      </c>
      <c r="J16" s="271">
        <v>0</v>
      </c>
      <c r="K16" s="92">
        <v>0</v>
      </c>
      <c r="L16" s="272">
        <v>4.6374194894705540562235761500</v>
      </c>
      <c r="M16" s="271">
        <v>91.26082251082251082251082251</v>
      </c>
      <c r="N16" s="92">
        <v>73.822714681440443213296398890</v>
      </c>
      <c r="O16" s="272">
        <v>65.732464245540735979431142540</v>
      </c>
      <c r="P16" s="5"/>
      <c r="Q16" s="271">
        <v>23.676912709901242009592408630</v>
      </c>
      <c r="R16" s="92">
        <v>-5.149042886155063303669812600</v>
      </c>
      <c r="S16" s="272">
        <v>1.2756428231059628602407186700</v>
      </c>
      <c r="T16" s="271">
        <v>-85.70226070225117043450376147</v>
      </c>
      <c r="U16" s="92">
        <v>-100</v>
      </c>
      <c r="V16" s="272">
        <v>-79.31731148973534346796581965</v>
      </c>
      <c r="W16" s="271">
        <v>0</v>
      </c>
      <c r="X16" s="92">
        <v>0</v>
      </c>
      <c r="Y16" s="272">
        <v>-26.205332788503858071306600640</v>
      </c>
      <c r="Z16" s="271">
        <v>4.2825159914624992012220355400</v>
      </c>
      <c r="AA16" s="92">
        <v>-18.329783076353008516710952510</v>
      </c>
      <c r="AB16" s="272">
        <v>-26.080938488313698498746001180</v>
      </c>
    </row>
    <row r="17" ht="18" customHeight="1">
      <c r="A17" s="58"/>
      <c r="B17" s="288"/>
      <c r="C17" s="289" t="s">
        <v>231</v>
      </c>
      <c r="D17" s="420">
        <v>88.88074291300097751710654936</v>
      </c>
      <c r="E17" s="91">
        <v>78.268251273344651952461799660</v>
      </c>
      <c r="F17" s="421">
        <v>60.317721069093799619196278830</v>
      </c>
      <c r="G17" s="420">
        <v>0.6842619745845552297165200400</v>
      </c>
      <c r="H17" s="91">
        <v>0</v>
      </c>
      <c r="I17" s="421">
        <v>4.2553791626387747725183731400</v>
      </c>
      <c r="J17" s="420">
        <v>0</v>
      </c>
      <c r="K17" s="91">
        <v>0</v>
      </c>
      <c r="L17" s="421">
        <v>4.5274792026702622423768467800</v>
      </c>
      <c r="M17" s="420">
        <v>89.56500488758553274682306940</v>
      </c>
      <c r="N17" s="91">
        <v>78.268251273344651952461799660</v>
      </c>
      <c r="O17" s="421">
        <v>69.100579434402836634091498750</v>
      </c>
      <c r="P17" s="5"/>
      <c r="Q17" s="420">
        <v>124.64484249528536766722840707</v>
      </c>
      <c r="R17" s="91">
        <v>102.85976823740430990907779696</v>
      </c>
      <c r="S17" s="421">
        <v>132.60635375124552368518632443</v>
      </c>
      <c r="T17" s="420">
        <v>460.00000008556800001307479114</v>
      </c>
      <c r="U17" s="91">
        <v>-100</v>
      </c>
      <c r="V17" s="421">
        <v>-41.596813370952467876534410270</v>
      </c>
      <c r="W17" s="420">
        <v>0</v>
      </c>
      <c r="X17" s="91">
        <v>0</v>
      </c>
      <c r="Y17" s="421">
        <v>-10.268737457848196384696801430</v>
      </c>
      <c r="Z17" s="420">
        <v>125.67733990150173429954621815</v>
      </c>
      <c r="AA17" s="91">
        <v>88.08311245730751031601834276</v>
      </c>
      <c r="AB17" s="421">
        <v>80.59348119432188206419605250</v>
      </c>
    </row>
    <row r="18" ht="18" customHeight="1">
      <c r="A18" s="58"/>
      <c r="B18" s="286"/>
      <c r="C18" s="287" t="s">
        <v>232</v>
      </c>
      <c r="D18" s="271">
        <v>82.04545454545454545454545455</v>
      </c>
      <c r="E18" s="92">
        <v>73.037857802400738688827331490</v>
      </c>
      <c r="F18" s="272">
        <v>61.876727693347523180440771090</v>
      </c>
      <c r="G18" s="271">
        <v>8.181818181818181818181818180</v>
      </c>
      <c r="H18" s="92">
        <v>0.3416435826408125577100646400</v>
      </c>
      <c r="I18" s="272">
        <v>3.817467507705610461656542300</v>
      </c>
      <c r="J18" s="271">
        <v>0</v>
      </c>
      <c r="K18" s="92">
        <v>0</v>
      </c>
      <c r="L18" s="272">
        <v>4.9662822525277682146666123400</v>
      </c>
      <c r="M18" s="271">
        <v>90.22727272727272727272727273</v>
      </c>
      <c r="N18" s="92">
        <v>73.379501385041551246537396120</v>
      </c>
      <c r="O18" s="272">
        <v>70.660477453580901856763925730</v>
      </c>
      <c r="P18" s="5"/>
      <c r="Q18" s="271"/>
      <c r="R18" s="92"/>
      <c r="S18" s="272">
        <v>1580.9140473461960121103826380</v>
      </c>
      <c r="T18" s="271"/>
      <c r="U18" s="92"/>
      <c r="V18" s="272">
        <v>172.58971902745976129839987717</v>
      </c>
      <c r="W18" s="271"/>
      <c r="X18" s="92"/>
      <c r="Y18" s="272">
        <v>-3.349077942196572611250634500</v>
      </c>
      <c r="Z18" s="271"/>
      <c r="AA18" s="92"/>
      <c r="AB18" s="272">
        <v>591.39745747278733063552436914</v>
      </c>
    </row>
    <row r="19" ht="18" customHeight="1">
      <c r="A19" s="58"/>
      <c r="B19" s="288"/>
      <c r="C19" s="289" t="s">
        <v>233</v>
      </c>
      <c r="D19" s="420">
        <v>90.54252199413489736070381232</v>
      </c>
      <c r="E19" s="91">
        <v>76.213028326333660977571262620</v>
      </c>
      <c r="F19" s="421">
        <v>63.873154446592419999827208630</v>
      </c>
      <c r="G19" s="420">
        <v>1.5151515151515151515151515200</v>
      </c>
      <c r="H19" s="91">
        <v>0.4735948530068805289965150600</v>
      </c>
      <c r="I19" s="421">
        <v>5.8945000263797671569529753100</v>
      </c>
      <c r="J19" s="420">
        <v>0</v>
      </c>
      <c r="K19" s="91">
        <v>0</v>
      </c>
      <c r="L19" s="421">
        <v>5.2237176620691250907278856600</v>
      </c>
      <c r="M19" s="420">
        <v>92.05767350928641251221896383</v>
      </c>
      <c r="N19" s="91">
        <v>76.686623179340541506567777680</v>
      </c>
      <c r="O19" s="421">
        <v>74.991372135041312247508069590</v>
      </c>
      <c r="P19" s="5"/>
      <c r="Q19" s="420"/>
      <c r="R19" s="91"/>
      <c r="S19" s="421">
        <v>330.96994653137248448900734770</v>
      </c>
      <c r="T19" s="420"/>
      <c r="U19" s="91"/>
      <c r="V19" s="421">
        <v>453.09454249947125794214603994</v>
      </c>
      <c r="W19" s="420"/>
      <c r="X19" s="91"/>
      <c r="Y19" s="421">
        <v>-48.841018101302924149823409750</v>
      </c>
      <c r="Z19" s="420"/>
      <c r="AA19" s="91"/>
      <c r="AB19" s="421">
        <v>187.35325956490703339658669523</v>
      </c>
    </row>
    <row r="20" ht="18" customHeight="1">
      <c r="A20" s="58"/>
      <c r="B20" s="286"/>
      <c r="C20" s="287" t="s">
        <v>234</v>
      </c>
      <c r="D20" s="271">
        <v>89.46969696969696969696969697</v>
      </c>
      <c r="E20" s="92">
        <v>78.519553072625698324022346370</v>
      </c>
      <c r="F20" s="272">
        <v>58.240968088427000198856297070</v>
      </c>
      <c r="G20" s="271">
        <v>2.0707070707070707070707070700</v>
      </c>
      <c r="H20" s="92">
        <v>0.6052141527001862197392923600</v>
      </c>
      <c r="I20" s="272">
        <v>7.4588861173647669264118398500</v>
      </c>
      <c r="J20" s="271">
        <v>0</v>
      </c>
      <c r="K20" s="92">
        <v>0</v>
      </c>
      <c r="L20" s="272">
        <v>5.5341498266322134532612627500</v>
      </c>
      <c r="M20" s="271">
        <v>91.54040404040404040404040404</v>
      </c>
      <c r="N20" s="92">
        <v>79.124767225325884543761638730</v>
      </c>
      <c r="O20" s="272">
        <v>71.234004032423980578529399660</v>
      </c>
      <c r="P20" s="5"/>
      <c r="Q20" s="271">
        <v>393.45403899757186086389796291</v>
      </c>
      <c r="R20" s="92"/>
      <c r="S20" s="272">
        <v>171.44693294665341413608682262</v>
      </c>
      <c r="T20" s="271">
        <v>0</v>
      </c>
      <c r="U20" s="92"/>
      <c r="V20" s="272">
        <v>1873.7626368631664430519214461</v>
      </c>
      <c r="W20" s="271">
        <v>0</v>
      </c>
      <c r="X20" s="92"/>
      <c r="Y20" s="272">
        <v>71.664246556933805828302841600</v>
      </c>
      <c r="Z20" s="271">
        <v>404.87465181095060559741183052</v>
      </c>
      <c r="AA20" s="92"/>
      <c r="AB20" s="272">
        <v>184.28249315655625690475569703</v>
      </c>
    </row>
    <row r="21" ht="18" customHeight="1">
      <c r="A21" s="58"/>
      <c r="B21" s="288"/>
      <c r="C21" s="289" t="s">
        <v>218</v>
      </c>
      <c r="D21" s="420">
        <v>85.55718475073313782991202346</v>
      </c>
      <c r="E21" s="91">
        <v>75.752387817624797260767705890</v>
      </c>
      <c r="F21" s="421">
        <v>61.444748282903705822806550190</v>
      </c>
      <c r="G21" s="420">
        <v>1.3929618768328445747800586500</v>
      </c>
      <c r="H21" s="91">
        <v>1.7390520814561182194990088300</v>
      </c>
      <c r="I21" s="421">
        <v>7.3723465336893073857486781400</v>
      </c>
      <c r="J21" s="420">
        <v>0</v>
      </c>
      <c r="K21" s="91">
        <v>0</v>
      </c>
      <c r="L21" s="421">
        <v>4.4166673962843465760513533900</v>
      </c>
      <c r="M21" s="420">
        <v>86.95014662756598240469208211</v>
      </c>
      <c r="N21" s="91">
        <v>77.491439899080915480266714720</v>
      </c>
      <c r="O21" s="421">
        <v>73.233762212877359784606581730</v>
      </c>
      <c r="P21" s="5"/>
      <c r="Q21" s="420">
        <v>553.17164178912425651593347047</v>
      </c>
      <c r="R21" s="91"/>
      <c r="S21" s="421">
        <v>252.96105437739715345726585164</v>
      </c>
      <c r="T21" s="420">
        <v>0</v>
      </c>
      <c r="U21" s="91"/>
      <c r="V21" s="421">
        <v>107.08556611002859561257258564</v>
      </c>
      <c r="W21" s="420">
        <v>0</v>
      </c>
      <c r="X21" s="91"/>
      <c r="Y21" s="421">
        <v>44.789310968288806321084811150</v>
      </c>
      <c r="Z21" s="420">
        <v>563.80597014730194364001464950</v>
      </c>
      <c r="AA21" s="91"/>
      <c r="AB21" s="421">
        <v>204.90154144668862886203819455</v>
      </c>
    </row>
    <row r="22" ht="18" customHeight="1">
      <c r="A22" s="58"/>
      <c r="B22" s="286"/>
      <c r="C22" s="287" t="s">
        <v>219</v>
      </c>
      <c r="D22" s="271">
        <v>62.805474095796676441837732160</v>
      </c>
      <c r="E22" s="92">
        <v>56.766985042349972968102360790</v>
      </c>
      <c r="F22" s="272">
        <v>48.308306000349862648567844630</v>
      </c>
      <c r="G22" s="271">
        <v>0.6842619745845552297165200400</v>
      </c>
      <c r="H22" s="92">
        <v>0.549648585330690214453054600</v>
      </c>
      <c r="I22" s="272">
        <v>5.5605484655254634105664091800</v>
      </c>
      <c r="J22" s="271">
        <v>0</v>
      </c>
      <c r="K22" s="92">
        <v>0</v>
      </c>
      <c r="L22" s="272">
        <v>4.5479882334400081808162088400</v>
      </c>
      <c r="M22" s="271">
        <v>63.489736070381231671554252200</v>
      </c>
      <c r="N22" s="92">
        <v>57.316633627680663182555415390</v>
      </c>
      <c r="O22" s="272">
        <v>58.416842699315334239950462650</v>
      </c>
      <c r="P22" s="5"/>
      <c r="Q22" s="271">
        <v>145.93301435408769579451020069</v>
      </c>
      <c r="R22" s="92"/>
      <c r="S22" s="272">
        <v>153.08674494713007588790849152</v>
      </c>
      <c r="T22" s="271">
        <v>0</v>
      </c>
      <c r="U22" s="92"/>
      <c r="V22" s="272">
        <v>-23.665930262614779144591431390</v>
      </c>
      <c r="W22" s="271">
        <v>0</v>
      </c>
      <c r="X22" s="92"/>
      <c r="Y22" s="272">
        <v>37.605831596383340987949085840</v>
      </c>
      <c r="Z22" s="271">
        <v>148.61244019140849559304961144</v>
      </c>
      <c r="AA22" s="92"/>
      <c r="AB22" s="272">
        <v>96.84066648388255459762062408</v>
      </c>
    </row>
    <row r="23" ht="18" customHeight="1">
      <c r="A23" s="58"/>
      <c r="B23" s="288"/>
      <c r="C23" s="289" t="s">
        <v>220</v>
      </c>
      <c r="D23" s="420">
        <v>57.449494949494949494949494950</v>
      </c>
      <c r="E23" s="91">
        <v>44.720670391061452513966480450</v>
      </c>
      <c r="F23" s="421">
        <v>42.463273428373736714162387980</v>
      </c>
      <c r="G23" s="420">
        <v>1.6919191919191919191919191900</v>
      </c>
      <c r="H23" s="91">
        <v>1.2756052141527001862197392900</v>
      </c>
      <c r="I23" s="421">
        <v>6.5216758228717356124810590600</v>
      </c>
      <c r="J23" s="420">
        <v>0</v>
      </c>
      <c r="K23" s="91">
        <v>0</v>
      </c>
      <c r="L23" s="421">
        <v>5.2551187842301685432387057900</v>
      </c>
      <c r="M23" s="420">
        <v>59.141414141414141414141414140</v>
      </c>
      <c r="N23" s="91">
        <v>45.996275605214152700186219740</v>
      </c>
      <c r="O23" s="421">
        <v>54.240068035475640869882152840</v>
      </c>
      <c r="P23" s="5"/>
      <c r="Q23" s="420">
        <v>21.139510117254267506388172080</v>
      </c>
      <c r="R23" s="91"/>
      <c r="S23" s="421">
        <v>56.842228816073053659208292220</v>
      </c>
      <c r="T23" s="420">
        <v>0</v>
      </c>
      <c r="U23" s="91"/>
      <c r="V23" s="421">
        <v>480.52381843907301245579369640</v>
      </c>
      <c r="W23" s="420">
        <v>0</v>
      </c>
      <c r="X23" s="91"/>
      <c r="Y23" s="421">
        <v>95.90483003314619266812741617</v>
      </c>
      <c r="Z23" s="420">
        <v>24.707135250377799780202680880</v>
      </c>
      <c r="AA23" s="91"/>
      <c r="AB23" s="421">
        <v>75.649164705282750937594047440</v>
      </c>
    </row>
    <row r="24" ht="18" customHeight="1">
      <c r="A24" s="59"/>
      <c r="B24" s="286"/>
      <c r="C24" s="287" t="s">
        <v>221</v>
      </c>
      <c r="D24" s="271">
        <v>71.114369501466275659824046920</v>
      </c>
      <c r="E24" s="92">
        <v>45.026569867524885861836688870</v>
      </c>
      <c r="F24" s="272">
        <v>48.656637352243000808998436310</v>
      </c>
      <c r="G24" s="271">
        <v>2.248289345063538611925708700</v>
      </c>
      <c r="H24" s="92">
        <v>1.1900306863258738118404311100</v>
      </c>
      <c r="I24" s="272">
        <v>7.6951336970701310180393007700</v>
      </c>
      <c r="J24" s="271">
        <v>0</v>
      </c>
      <c r="K24" s="92">
        <v>0.1122670458797994162113614300</v>
      </c>
      <c r="L24" s="272">
        <v>5.9568618305378245746239601800</v>
      </c>
      <c r="M24" s="271">
        <v>73.362658846529814271749755620</v>
      </c>
      <c r="N24" s="92">
        <v>46.328867599730559089888481400</v>
      </c>
      <c r="O24" s="272">
        <v>62.308632879850956401661697260</v>
      </c>
      <c r="P24" s="93"/>
      <c r="Q24" s="271">
        <v>38.373751783255337290725960610</v>
      </c>
      <c r="R24" s="92"/>
      <c r="S24" s="272">
        <v>55.782554183474753849647935200</v>
      </c>
      <c r="T24" s="271">
        <v>48.387096769445161290474529040</v>
      </c>
      <c r="U24" s="92"/>
      <c r="V24" s="272">
        <v>172.57714256595566085315100225</v>
      </c>
      <c r="W24" s="271">
        <v>0</v>
      </c>
      <c r="X24" s="92"/>
      <c r="Y24" s="272">
        <v>67.196580946049426064271770750</v>
      </c>
      <c r="Z24" s="271">
        <v>38.660508083099887886756035140</v>
      </c>
      <c r="AA24" s="92"/>
      <c r="AB24" s="272">
        <v>65.628196472829925289056604780</v>
      </c>
    </row>
    <row r="25" ht="18" customHeight="1">
      <c r="A25" s="60"/>
      <c r="B25" s="288"/>
      <c r="C25" s="289" t="s">
        <v>222</v>
      </c>
      <c r="D25" s="420">
        <v>76.287878787878787878787878790</v>
      </c>
      <c r="E25" s="91">
        <v>51.306614877486439327569190570</v>
      </c>
      <c r="F25" s="421">
        <v>55.143683814519731892266735920</v>
      </c>
      <c r="G25" s="420">
        <v>8.080808080808080808080808080</v>
      </c>
      <c r="H25" s="91">
        <v>4.2772985022506063027479014600</v>
      </c>
      <c r="I25" s="421">
        <v>10.008991770592776664112559980</v>
      </c>
      <c r="J25" s="420">
        <v>0</v>
      </c>
      <c r="K25" s="91">
        <v>0</v>
      </c>
      <c r="L25" s="421">
        <v>7.0259684421504353632667641200</v>
      </c>
      <c r="M25" s="420">
        <v>84.36868686868686868686868687</v>
      </c>
      <c r="N25" s="91">
        <v>55.583913379737045630317092030</v>
      </c>
      <c r="O25" s="421">
        <v>72.178644027262943919646060030</v>
      </c>
      <c r="P25" s="93"/>
      <c r="Q25" s="420">
        <v>50.149105367736524194791511060</v>
      </c>
      <c r="R25" s="91"/>
      <c r="S25" s="421">
        <v>63.309118274718816668832843520</v>
      </c>
      <c r="T25" s="420">
        <v>680.48780484302201070948389017</v>
      </c>
      <c r="U25" s="91"/>
      <c r="V25" s="421">
        <v>321.54876309882047843455205871</v>
      </c>
      <c r="W25" s="420">
        <v>0</v>
      </c>
      <c r="X25" s="91"/>
      <c r="Y25" s="421">
        <v>89.34597942203552344700850791</v>
      </c>
      <c r="Z25" s="420">
        <v>62.737457379552519698994735230</v>
      </c>
      <c r="AA25" s="91"/>
      <c r="AB25" s="421">
        <v>81.11931462186320204884004216</v>
      </c>
    </row>
    <row r="26" ht="18" customHeight="1">
      <c r="A26" s="60"/>
      <c r="B26" s="290"/>
      <c r="C26" s="291" t="s">
        <v>223</v>
      </c>
      <c r="D26" s="273">
        <v>87.75659824046920821114369501</v>
      </c>
      <c r="E26" s="274">
        <v>60.160167652121847167128208970</v>
      </c>
      <c r="F26" s="275">
        <v>62.059776227963536799625112720</v>
      </c>
      <c r="G26" s="273">
        <v>5.8651026392961876832844574800</v>
      </c>
      <c r="H26" s="274">
        <v>2.6719556919392261058304019200</v>
      </c>
      <c r="I26" s="275">
        <v>8.641645727825766152785897150</v>
      </c>
      <c r="J26" s="273">
        <v>0</v>
      </c>
      <c r="K26" s="274">
        <v>0</v>
      </c>
      <c r="L26" s="275">
        <v>7.3620912918876766775257700400</v>
      </c>
      <c r="M26" s="273">
        <v>93.62170087976539589442815249</v>
      </c>
      <c r="N26" s="274">
        <v>62.832123344061073272958610880</v>
      </c>
      <c r="O26" s="275">
        <v>78.063513247676979629936779900</v>
      </c>
      <c r="P26" s="184"/>
      <c r="Q26" s="273">
        <v>27.115044247877603571148939890</v>
      </c>
      <c r="R26" s="274">
        <v>21.749746438677332128634165870</v>
      </c>
      <c r="S26" s="275">
        <v>48.725118740776947455842213840</v>
      </c>
      <c r="T26" s="273">
        <v>122.22222222081481481482372847</v>
      </c>
      <c r="U26" s="274">
        <v>0</v>
      </c>
      <c r="V26" s="275">
        <v>725.09230033236538191580163107</v>
      </c>
      <c r="W26" s="273">
        <v>0</v>
      </c>
      <c r="X26" s="274">
        <v>0</v>
      </c>
      <c r="Y26" s="275">
        <v>78.690435018048700606718043580</v>
      </c>
      <c r="Z26" s="273">
        <v>30.617115581374664890591574850</v>
      </c>
      <c r="AA26" s="274">
        <v>27.157143736339413189833767400</v>
      </c>
      <c r="AB26" s="275">
        <v>66.463695672923586951695544610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2019</v>
      </c>
      <c r="C29" s="285"/>
      <c r="D29" s="427">
        <v>61.129099211290992112909921130</v>
      </c>
      <c r="E29" s="428">
        <v>72.783269236881416266725995610</v>
      </c>
      <c r="F29" s="429">
        <v>58.180639516255221984418647390</v>
      </c>
      <c r="G29" s="427">
        <v>6.4591116645911166459111664600</v>
      </c>
      <c r="H29" s="428">
        <v>5.6962146012776912563964021200</v>
      </c>
      <c r="I29" s="429">
        <v>14.994985648234075464608014990</v>
      </c>
      <c r="J29" s="427">
        <v>0</v>
      </c>
      <c r="K29" s="428">
        <v>0</v>
      </c>
      <c r="L29" s="429">
        <v>6.3030322761021631843276348700</v>
      </c>
      <c r="M29" s="427">
        <v>67.588210875882108758821087590</v>
      </c>
      <c r="N29" s="428">
        <v>78.479483838159107523122397740</v>
      </c>
      <c r="O29" s="429">
        <v>79.47865744059146063335429725</v>
      </c>
      <c r="P29" s="5"/>
      <c r="Q29" s="427">
        <v>75.216995592528904676152371180</v>
      </c>
      <c r="R29" s="428">
        <v>-1.1533850492438698279351110500</v>
      </c>
      <c r="S29" s="429">
        <v>3.31540993367018588770923400</v>
      </c>
      <c r="T29" s="427">
        <v>51.326017997910770306440719960</v>
      </c>
      <c r="U29" s="428">
        <v>-15.454515999989386432810815830</v>
      </c>
      <c r="V29" s="429">
        <v>-2.8372631232873513996502285800</v>
      </c>
      <c r="W29" s="427">
        <v>-100</v>
      </c>
      <c r="X29" s="428">
        <v>-100</v>
      </c>
      <c r="Y29" s="429">
        <v>21.389720363192713496494843690</v>
      </c>
      <c r="Z29" s="427">
        <v>70.925216791275749300576486160</v>
      </c>
      <c r="AA29" s="428">
        <v>-2.4293545071599563970135570100</v>
      </c>
      <c r="AB29" s="429">
        <v>3.3010559021016886859309954100</v>
      </c>
    </row>
    <row r="30" ht="18" customHeight="1">
      <c r="A30" s="58"/>
      <c r="B30" s="286">
        <v>2020</v>
      </c>
      <c r="C30" s="287"/>
      <c r="D30" s="271">
        <v>45.213611525086934923000496770</v>
      </c>
      <c r="E30" s="92"/>
      <c r="F30" s="272">
        <v>31.203786945204018015196607960</v>
      </c>
      <c r="G30" s="271">
        <v>4.1231992051664182811723795300</v>
      </c>
      <c r="H30" s="92"/>
      <c r="I30" s="272">
        <v>8.068305742339274449535270860</v>
      </c>
      <c r="J30" s="271">
        <v>0</v>
      </c>
      <c r="K30" s="92"/>
      <c r="L30" s="272">
        <v>4.4489913680739641393109147900</v>
      </c>
      <c r="M30" s="271">
        <v>49.336810730253353204172876300</v>
      </c>
      <c r="N30" s="92"/>
      <c r="O30" s="272">
        <v>43.721084055617256604042793620</v>
      </c>
      <c r="P30" s="5"/>
      <c r="Q30" s="271">
        <v>-26.035861629825902477602968260</v>
      </c>
      <c r="R30" s="92"/>
      <c r="S30" s="272">
        <v>-46.367404681995795219194999430</v>
      </c>
      <c r="T30" s="271">
        <v>-36.164608706733670529514760330</v>
      </c>
      <c r="U30" s="92"/>
      <c r="V30" s="272">
        <v>-46.193308005547875229641122690</v>
      </c>
      <c r="W30" s="271">
        <v>0</v>
      </c>
      <c r="X30" s="92"/>
      <c r="Y30" s="272">
        <v>-29.415062890542951708003315610</v>
      </c>
      <c r="Z30" s="271">
        <v>-27.003821981851820098190248650</v>
      </c>
      <c r="AA30" s="92"/>
      <c r="AB30" s="272">
        <v>-44.990157781297321382218635590</v>
      </c>
    </row>
    <row r="31" ht="18" customHeight="1">
      <c r="A31" s="58"/>
      <c r="B31" s="425">
        <v>2021</v>
      </c>
      <c r="C31" s="426"/>
      <c r="D31" s="430">
        <v>80.38190120381901203819012038</v>
      </c>
      <c r="E31" s="431">
        <v>63.019576106499641808150288460</v>
      </c>
      <c r="F31" s="432">
        <v>55.056894445791646101668948400</v>
      </c>
      <c r="G31" s="430">
        <v>2.9887920298879202988792029900</v>
      </c>
      <c r="H31" s="431">
        <v>1.1862810508769789285680191500</v>
      </c>
      <c r="I31" s="432">
        <v>6.3842815436408546895358939200</v>
      </c>
      <c r="J31" s="430">
        <v>0</v>
      </c>
      <c r="K31" s="431">
        <v>0.0108896084096815878501009100</v>
      </c>
      <c r="L31" s="432">
        <v>5.3256966542666379351388216700</v>
      </c>
      <c r="M31" s="430">
        <v>83.37069323370693233706932337</v>
      </c>
      <c r="N31" s="431">
        <v>64.216746765786302324568408520</v>
      </c>
      <c r="O31" s="432">
        <v>66.766872643699138726343663990</v>
      </c>
      <c r="P31" s="184"/>
      <c r="Q31" s="430">
        <v>77.782527191387039969483467050</v>
      </c>
      <c r="R31" s="431"/>
      <c r="S31" s="432">
        <v>76.442989251536693964457124040</v>
      </c>
      <c r="T31" s="430">
        <v>-27.512790890176117972462714760</v>
      </c>
      <c r="U31" s="431"/>
      <c r="V31" s="432">
        <v>-20.872092015926595192434965790</v>
      </c>
      <c r="W31" s="430">
        <v>0</v>
      </c>
      <c r="X31" s="431"/>
      <c r="Y31" s="432">
        <v>19.705708859153089421765508370</v>
      </c>
      <c r="Z31" s="430">
        <v>68.982737229314182152003445530</v>
      </c>
      <c r="AA31" s="431"/>
      <c r="AB31" s="432">
        <v>52.710926743700735912325629490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2019</v>
      </c>
      <c r="C34" s="285"/>
      <c r="D34" s="427">
        <v>70.619235836627140974967061920</v>
      </c>
      <c r="E34" s="428">
        <v>73.512054877433672954705941690</v>
      </c>
      <c r="F34" s="429">
        <v>60.290427424438425563082537620</v>
      </c>
      <c r="G34" s="427">
        <v>4.9901185770750988142292490100</v>
      </c>
      <c r="H34" s="428">
        <v>6.0350045394935942701503076800</v>
      </c>
      <c r="I34" s="429">
        <v>13.567353280314057872546380480</v>
      </c>
      <c r="J34" s="427">
        <v>0</v>
      </c>
      <c r="K34" s="428">
        <v>0</v>
      </c>
      <c r="L34" s="429">
        <v>6.1287718974620454762763206600</v>
      </c>
      <c r="M34" s="427">
        <v>75.609354413702239789196310940</v>
      </c>
      <c r="N34" s="428">
        <v>79.54705941692726722485624937</v>
      </c>
      <c r="O34" s="429">
        <v>79.98655260221452891190523876</v>
      </c>
      <c r="P34" s="5"/>
      <c r="Q34" s="427">
        <v>75.881870385628306530252164900</v>
      </c>
      <c r="R34" s="428">
        <v>5.8039927404571835038751539600</v>
      </c>
      <c r="S34" s="429">
        <v>7.7690484835533320647296526800</v>
      </c>
      <c r="T34" s="427">
        <v>-28.873239436824082523308280130</v>
      </c>
      <c r="U34" s="428">
        <v>-13.703570141114060380028495260</v>
      </c>
      <c r="V34" s="429">
        <v>2.0616401990960430689401060400</v>
      </c>
      <c r="W34" s="427">
        <v>0</v>
      </c>
      <c r="X34" s="428">
        <v>0</v>
      </c>
      <c r="Y34" s="429">
        <v>25.403422780760029258749735310</v>
      </c>
      <c r="Z34" s="427">
        <v>60.300279329591923434037641090</v>
      </c>
      <c r="AA34" s="428">
        <v>4.0200507864665117275751173100</v>
      </c>
      <c r="AB34" s="429">
        <v>7.9081823263132132161535022700</v>
      </c>
    </row>
    <row r="35" ht="18" customHeight="1">
      <c r="A35" s="58"/>
      <c r="B35" s="286">
        <v>2020</v>
      </c>
      <c r="C35" s="287"/>
      <c r="D35" s="271">
        <v>57.147562582345191040843214760</v>
      </c>
      <c r="E35" s="92"/>
      <c r="F35" s="272">
        <v>35.668586183873097979712514890</v>
      </c>
      <c r="G35" s="271">
        <v>1.7374835309617918313570487500</v>
      </c>
      <c r="H35" s="92"/>
      <c r="I35" s="272">
        <v>2.0659664523132073370536151500</v>
      </c>
      <c r="J35" s="271">
        <v>0</v>
      </c>
      <c r="K35" s="92"/>
      <c r="L35" s="272">
        <v>3.8027146865955649544814968100</v>
      </c>
      <c r="M35" s="271">
        <v>58.885046113306982872200263500</v>
      </c>
      <c r="N35" s="92"/>
      <c r="O35" s="272">
        <v>41.537267322781870271247626860</v>
      </c>
      <c r="P35" s="5"/>
      <c r="Q35" s="271">
        <v>-19.076492537282331637057239100</v>
      </c>
      <c r="R35" s="92"/>
      <c r="S35" s="272">
        <v>-40.838723977203474543373094950</v>
      </c>
      <c r="T35" s="271">
        <v>-65.181518151988929189947830790</v>
      </c>
      <c r="U35" s="92"/>
      <c r="V35" s="272">
        <v>-84.77251671987474857577203595</v>
      </c>
      <c r="W35" s="271">
        <v>0</v>
      </c>
      <c r="X35" s="92"/>
      <c r="Y35" s="272">
        <v>-37.953071998865904040092449700</v>
      </c>
      <c r="Z35" s="271">
        <v>-22.119363972988326777063891620</v>
      </c>
      <c r="AA35" s="92"/>
      <c r="AB35" s="272">
        <v>-48.069686751771067853489924810</v>
      </c>
    </row>
    <row r="36" ht="18" customHeight="1">
      <c r="A36" s="58"/>
      <c r="B36" s="425">
        <v>2021</v>
      </c>
      <c r="C36" s="426"/>
      <c r="D36" s="430">
        <v>78.409090909090909090909090910</v>
      </c>
      <c r="E36" s="431">
        <v>52.173775102539585910054212500</v>
      </c>
      <c r="F36" s="432">
        <v>55.288253645891245898210131490</v>
      </c>
      <c r="G36" s="430">
        <v>5.3689064558629776021080368900</v>
      </c>
      <c r="H36" s="431">
        <v>2.6960927477580031144590529100</v>
      </c>
      <c r="I36" s="432">
        <v>8.768586035756044698032151470</v>
      </c>
      <c r="J36" s="430">
        <v>0</v>
      </c>
      <c r="K36" s="431">
        <v>0.0378291132855845858973065700</v>
      </c>
      <c r="L36" s="432">
        <v>6.7789847832576478229852669600</v>
      </c>
      <c r="M36" s="430">
        <v>83.77799736495388669301712780</v>
      </c>
      <c r="N36" s="431">
        <v>54.907696963583173610410571970</v>
      </c>
      <c r="O36" s="432">
        <v>70.835824464904938419227549920</v>
      </c>
      <c r="P36" s="184"/>
      <c r="Q36" s="430">
        <v>37.204610951117143934423592350</v>
      </c>
      <c r="R36" s="431"/>
      <c r="S36" s="432">
        <v>55.005453148146151795222155260</v>
      </c>
      <c r="T36" s="430">
        <v>209.00473932969771568488247674</v>
      </c>
      <c r="U36" s="431"/>
      <c r="V36" s="432">
        <v>324.43022373350494400146419406</v>
      </c>
      <c r="W36" s="430">
        <v>0</v>
      </c>
      <c r="X36" s="431"/>
      <c r="Y36" s="432">
        <v>78.266984034995412189998166140</v>
      </c>
      <c r="Z36" s="430">
        <v>42.273807859057565122229685470</v>
      </c>
      <c r="AA36" s="431"/>
      <c r="AB36" s="432">
        <v>70.535591362850255651020382920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2019</v>
      </c>
      <c r="C39" s="285"/>
      <c r="D39" s="427">
        <v>61.129099211290992112909921130</v>
      </c>
      <c r="E39" s="428">
        <v>72.783269236881416266725995610</v>
      </c>
      <c r="F39" s="429">
        <v>58.180639516255221984418647390</v>
      </c>
      <c r="G39" s="427">
        <v>6.4591116645911166459111664600</v>
      </c>
      <c r="H39" s="428">
        <v>5.6962146012776912563964021200</v>
      </c>
      <c r="I39" s="429">
        <v>14.994985648234075464608014990</v>
      </c>
      <c r="J39" s="427">
        <v>0</v>
      </c>
      <c r="K39" s="428">
        <v>0</v>
      </c>
      <c r="L39" s="429">
        <v>6.3030322761021631843276348700</v>
      </c>
      <c r="M39" s="427">
        <v>67.588210875882108758821087590</v>
      </c>
      <c r="N39" s="428">
        <v>78.479483838159107523122397740</v>
      </c>
      <c r="O39" s="429">
        <v>79.47865744059146063335429725</v>
      </c>
      <c r="P39" s="5"/>
      <c r="Q39" s="427">
        <v>75.216995592528904676152371180</v>
      </c>
      <c r="R39" s="428">
        <v>-1.1533850492438698279351110500</v>
      </c>
      <c r="S39" s="429">
        <v>3.31540993367018588770923400</v>
      </c>
      <c r="T39" s="427">
        <v>51.326017997910770306440719960</v>
      </c>
      <c r="U39" s="428">
        <v>-15.454515999989386432810815830</v>
      </c>
      <c r="V39" s="429">
        <v>-2.8372631232873513996502285800</v>
      </c>
      <c r="W39" s="427">
        <v>-100</v>
      </c>
      <c r="X39" s="428">
        <v>-100</v>
      </c>
      <c r="Y39" s="429">
        <v>21.389720363192713496494843690</v>
      </c>
      <c r="Z39" s="427">
        <v>70.925216791275749300576486160</v>
      </c>
      <c r="AA39" s="428">
        <v>-2.4293545071599563970135570100</v>
      </c>
      <c r="AB39" s="429">
        <v>3.3010559021016886859309954100</v>
      </c>
    </row>
    <row r="40" ht="18" customHeight="1">
      <c r="A40" s="58"/>
      <c r="B40" s="286">
        <v>2020</v>
      </c>
      <c r="C40" s="287"/>
      <c r="D40" s="271">
        <v>45.213611525086934923000496770</v>
      </c>
      <c r="E40" s="92"/>
      <c r="F40" s="272">
        <v>31.203786945204018015196607960</v>
      </c>
      <c r="G40" s="271">
        <v>4.1231992051664182811723795300</v>
      </c>
      <c r="H40" s="92"/>
      <c r="I40" s="272">
        <v>8.068305742339274449535270860</v>
      </c>
      <c r="J40" s="271">
        <v>0</v>
      </c>
      <c r="K40" s="92"/>
      <c r="L40" s="272">
        <v>4.4489913680739641393109147900</v>
      </c>
      <c r="M40" s="271">
        <v>49.336810730253353204172876300</v>
      </c>
      <c r="N40" s="92"/>
      <c r="O40" s="272">
        <v>43.721084055617256604042793620</v>
      </c>
      <c r="P40" s="5"/>
      <c r="Q40" s="271">
        <v>-26.035861629825902477602968260</v>
      </c>
      <c r="R40" s="92"/>
      <c r="S40" s="272">
        <v>-46.367404681995795219194999430</v>
      </c>
      <c r="T40" s="271">
        <v>-36.164608706733670529514760330</v>
      </c>
      <c r="U40" s="92"/>
      <c r="V40" s="272">
        <v>-46.193308005547875229641122690</v>
      </c>
      <c r="W40" s="271">
        <v>0</v>
      </c>
      <c r="X40" s="92"/>
      <c r="Y40" s="272">
        <v>-29.415062890542951708003315610</v>
      </c>
      <c r="Z40" s="271">
        <v>-27.003821981851820098190248650</v>
      </c>
      <c r="AA40" s="92"/>
      <c r="AB40" s="272">
        <v>-44.990157781297321382218635590</v>
      </c>
    </row>
    <row r="41" ht="18" customHeight="1">
      <c r="A41" s="58"/>
      <c r="B41" s="425">
        <v>2021</v>
      </c>
      <c r="C41" s="426"/>
      <c r="D41" s="430">
        <v>80.38190120381901203819012038</v>
      </c>
      <c r="E41" s="431">
        <v>63.019576106499641808150288460</v>
      </c>
      <c r="F41" s="432">
        <v>55.056894445791646101668948400</v>
      </c>
      <c r="G41" s="430">
        <v>2.9887920298879202988792029900</v>
      </c>
      <c r="H41" s="431">
        <v>1.1862810508769789285680191500</v>
      </c>
      <c r="I41" s="432">
        <v>6.3842815436408546895358939200</v>
      </c>
      <c r="J41" s="430">
        <v>0</v>
      </c>
      <c r="K41" s="431">
        <v>0.0108896084096815878501009100</v>
      </c>
      <c r="L41" s="432">
        <v>5.3256966542666379351388216700</v>
      </c>
      <c r="M41" s="430">
        <v>83.37069323370693233706932337</v>
      </c>
      <c r="N41" s="431">
        <v>64.216746765786302324568408520</v>
      </c>
      <c r="O41" s="432">
        <v>66.766872643699138726343663990</v>
      </c>
      <c r="P41" s="184"/>
      <c r="Q41" s="430">
        <v>77.782527191387039969483467050</v>
      </c>
      <c r="R41" s="431"/>
      <c r="S41" s="432">
        <v>76.442989251536693964457124040</v>
      </c>
      <c r="T41" s="430">
        <v>-27.512790890176117972462714760</v>
      </c>
      <c r="U41" s="431"/>
      <c r="V41" s="432">
        <v>-20.872092015926595192434965790</v>
      </c>
      <c r="W41" s="430">
        <v>0</v>
      </c>
      <c r="X41" s="431"/>
      <c r="Y41" s="432">
        <v>19.705708859153089421765508370</v>
      </c>
      <c r="Z41" s="430">
        <v>68.982737229314182152003445530</v>
      </c>
      <c r="AA41" s="431"/>
      <c r="AB41" s="432">
        <v>52.710926743700735912325629490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143</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303</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2020</v>
      </c>
      <c r="C9" s="285" t="s">
        <v>218</v>
      </c>
      <c r="D9" s="434">
        <v>137.33955223880597014925373134</v>
      </c>
      <c r="E9" s="435"/>
      <c r="F9" s="436">
        <v>120.24854570642066551972131907</v>
      </c>
      <c r="G9" s="434">
        <v>0</v>
      </c>
      <c r="H9" s="435"/>
      <c r="I9" s="436">
        <v>97.87920029974823215842728008</v>
      </c>
      <c r="J9" s="434">
        <v>0</v>
      </c>
      <c r="K9" s="435"/>
      <c r="L9" s="436">
        <v>88.61808826918845733975241444</v>
      </c>
      <c r="M9" s="434">
        <v>137.33955223880597014925373134</v>
      </c>
      <c r="N9" s="435"/>
      <c r="O9" s="436">
        <v>112.91588785046728971962616822</v>
      </c>
      <c r="P9" s="5"/>
      <c r="Q9" s="415">
        <v>-12.713926254254958883656618800</v>
      </c>
      <c r="R9" s="416"/>
      <c r="S9" s="417">
        <v>-19.236052990721889808415680850</v>
      </c>
      <c r="T9" s="415">
        <v>-100</v>
      </c>
      <c r="U9" s="416"/>
      <c r="V9" s="417">
        <v>-26.297042895885761271176820100</v>
      </c>
      <c r="W9" s="415">
        <v>0</v>
      </c>
      <c r="X9" s="416"/>
      <c r="Y9" s="417">
        <v>-23.697361996816112795863815090</v>
      </c>
      <c r="Z9" s="415">
        <v>-12.777911134788879084378639770</v>
      </c>
      <c r="AA9" s="416"/>
      <c r="AB9" s="417">
        <v>-21.241519568444252921197763550</v>
      </c>
    </row>
    <row r="10" ht="18" customHeight="1">
      <c r="A10" s="58"/>
      <c r="B10" s="286"/>
      <c r="C10" s="287" t="s">
        <v>219</v>
      </c>
      <c r="D10" s="276">
        <v>110.25358851674641148325358852</v>
      </c>
      <c r="E10" s="94"/>
      <c r="F10" s="277">
        <v>117.7523798021587226592754897</v>
      </c>
      <c r="G10" s="276">
        <v>0</v>
      </c>
      <c r="H10" s="94"/>
      <c r="I10" s="277">
        <v>98.90901793628866243673148227</v>
      </c>
      <c r="J10" s="276">
        <v>0</v>
      </c>
      <c r="K10" s="94"/>
      <c r="L10" s="277">
        <v>87.65158046967821802003917823</v>
      </c>
      <c r="M10" s="276">
        <v>110.25358851674641148325358852</v>
      </c>
      <c r="N10" s="94"/>
      <c r="O10" s="277">
        <v>109.77488230223459982759763941</v>
      </c>
      <c r="P10" s="5"/>
      <c r="Q10" s="271">
        <v>-18.804029898001120978197701310</v>
      </c>
      <c r="R10" s="92"/>
      <c r="S10" s="272">
        <v>-14.784232943742753067563400590</v>
      </c>
      <c r="T10" s="271">
        <v>-100</v>
      </c>
      <c r="U10" s="92"/>
      <c r="V10" s="272">
        <v>-26.695112392914191894489180470</v>
      </c>
      <c r="W10" s="271">
        <v>0</v>
      </c>
      <c r="X10" s="92"/>
      <c r="Y10" s="272">
        <v>-26.733158688220661934526508330</v>
      </c>
      <c r="Z10" s="271">
        <v>-18.810593485602468349968749560</v>
      </c>
      <c r="AA10" s="92"/>
      <c r="AB10" s="272">
        <v>-19.46350305623297467379647100</v>
      </c>
    </row>
    <row r="11" ht="18" customHeight="1">
      <c r="A11" s="58"/>
      <c r="B11" s="288"/>
      <c r="C11" s="289" t="s">
        <v>220</v>
      </c>
      <c r="D11" s="439">
        <v>112.30937167199148029818956337</v>
      </c>
      <c r="E11" s="95"/>
      <c r="F11" s="440">
        <v>118.56219391626496515442769799</v>
      </c>
      <c r="G11" s="439">
        <v>0</v>
      </c>
      <c r="H11" s="95"/>
      <c r="I11" s="440">
        <v>96.18638465349470749773841775</v>
      </c>
      <c r="J11" s="439">
        <v>0</v>
      </c>
      <c r="K11" s="95"/>
      <c r="L11" s="440">
        <v>85.79803649339338363183061235</v>
      </c>
      <c r="M11" s="439">
        <v>112.30937167199148029818956337</v>
      </c>
      <c r="N11" s="95"/>
      <c r="O11" s="440">
        <v>114.90197827144478676828279552</v>
      </c>
      <c r="P11" s="5"/>
      <c r="Q11" s="420">
        <v>-9.492216101109641851042836280</v>
      </c>
      <c r="R11" s="91"/>
      <c r="S11" s="421">
        <v>-12.128882245642992118997045510</v>
      </c>
      <c r="T11" s="420">
        <v>-100</v>
      </c>
      <c r="U11" s="91"/>
      <c r="V11" s="421">
        <v>-31.614122471752353277438230800</v>
      </c>
      <c r="W11" s="420">
        <v>0</v>
      </c>
      <c r="X11" s="91"/>
      <c r="Y11" s="421">
        <v>-26.484777423217497756233759860</v>
      </c>
      <c r="Z11" s="420">
        <v>-9.261080772852987257930738320</v>
      </c>
      <c r="AA11" s="91"/>
      <c r="AB11" s="421">
        <v>-14.445012144246645265856050790</v>
      </c>
    </row>
    <row r="12" ht="18" customHeight="1">
      <c r="A12" s="58"/>
      <c r="B12" s="286"/>
      <c r="C12" s="287" t="s">
        <v>221</v>
      </c>
      <c r="D12" s="276">
        <v>118.99476937708036138849262958</v>
      </c>
      <c r="E12" s="94"/>
      <c r="F12" s="277">
        <v>122.28992704178265175332001573</v>
      </c>
      <c r="G12" s="276">
        <v>128</v>
      </c>
      <c r="H12" s="94"/>
      <c r="I12" s="277">
        <v>105.74987100124276187682015302</v>
      </c>
      <c r="J12" s="276">
        <v>0</v>
      </c>
      <c r="K12" s="94"/>
      <c r="L12" s="277">
        <v>92.23484975622747952557626476</v>
      </c>
      <c r="M12" s="276">
        <v>119.25265588914549653579676674</v>
      </c>
      <c r="N12" s="94"/>
      <c r="O12" s="277">
        <v>118.20231662195323526046103574</v>
      </c>
      <c r="P12" s="5"/>
      <c r="Q12" s="271">
        <v>-17.944503036282542642081259380</v>
      </c>
      <c r="R12" s="92"/>
      <c r="S12" s="272">
        <v>-21.384335774735755476540239270</v>
      </c>
      <c r="T12" s="271">
        <v>0</v>
      </c>
      <c r="U12" s="92"/>
      <c r="V12" s="272">
        <v>-39.300219506507710289963473250</v>
      </c>
      <c r="W12" s="271">
        <v>0</v>
      </c>
      <c r="X12" s="92"/>
      <c r="Y12" s="272">
        <v>-23.107599544411622680787461920</v>
      </c>
      <c r="Z12" s="271">
        <v>-17.032278935931160348737112620</v>
      </c>
      <c r="AA12" s="92"/>
      <c r="AB12" s="272">
        <v>-24.384675520797153959161471180</v>
      </c>
    </row>
    <row r="13" ht="18" customHeight="1">
      <c r="A13" s="58"/>
      <c r="B13" s="288"/>
      <c r="C13" s="289" t="s">
        <v>222</v>
      </c>
      <c r="D13" s="439">
        <v>126.55467196819085487077534791</v>
      </c>
      <c r="E13" s="95"/>
      <c r="F13" s="440">
        <v>121.06846928830906488731300875</v>
      </c>
      <c r="G13" s="439">
        <v>115.90243902439024390243902439</v>
      </c>
      <c r="H13" s="95"/>
      <c r="I13" s="440">
        <v>112.2132263178985352367088974</v>
      </c>
      <c r="J13" s="439">
        <v>0</v>
      </c>
      <c r="K13" s="95"/>
      <c r="L13" s="440">
        <v>93.54533565493716988739335077</v>
      </c>
      <c r="M13" s="439">
        <v>126.34193862640038967364831953</v>
      </c>
      <c r="N13" s="95"/>
      <c r="O13" s="440">
        <v>117.9781393044216884526449908</v>
      </c>
      <c r="P13" s="5"/>
      <c r="Q13" s="420">
        <v>-25.969296002734196687807201490</v>
      </c>
      <c r="R13" s="91"/>
      <c r="S13" s="421">
        <v>-29.432983817599243475262549610</v>
      </c>
      <c r="T13" s="420">
        <v>-25.695819868655001607214962420</v>
      </c>
      <c r="U13" s="91"/>
      <c r="V13" s="421">
        <v>-39.270072435853176816331413760</v>
      </c>
      <c r="W13" s="420">
        <v>0</v>
      </c>
      <c r="X13" s="91"/>
      <c r="Y13" s="421">
        <v>-24.068791042219233218504901610</v>
      </c>
      <c r="Z13" s="420">
        <v>-25.553202232646594983966306910</v>
      </c>
      <c r="AA13" s="91"/>
      <c r="AB13" s="421">
        <v>-30.913718916519196658100848170</v>
      </c>
    </row>
    <row r="14" ht="18" customHeight="1">
      <c r="A14" s="58"/>
      <c r="B14" s="286"/>
      <c r="C14" s="287" t="s">
        <v>223</v>
      </c>
      <c r="D14" s="276">
        <v>161.70017699115044247787610619</v>
      </c>
      <c r="E14" s="94">
        <v>225.64332410611303344867358706</v>
      </c>
      <c r="F14" s="277">
        <v>155.77302274160828012880947423</v>
      </c>
      <c r="G14" s="276">
        <v>256.99074074074074074074074074</v>
      </c>
      <c r="H14" s="94">
        <v>0</v>
      </c>
      <c r="I14" s="277">
        <v>148.47676613056559907416586711</v>
      </c>
      <c r="J14" s="276">
        <v>0</v>
      </c>
      <c r="K14" s="94">
        <v>0</v>
      </c>
      <c r="L14" s="277">
        <v>96.2905976627698932521550549</v>
      </c>
      <c r="M14" s="276">
        <v>165.20900102284350494374360723</v>
      </c>
      <c r="N14" s="94">
        <v>225.64332410611303344867358707</v>
      </c>
      <c r="O14" s="277">
        <v>150.38418177760960891036275965</v>
      </c>
      <c r="P14" s="5"/>
      <c r="Q14" s="271">
        <v>-36.019318152043647308711505070</v>
      </c>
      <c r="R14" s="92">
        <v>-33.023522716635094027139489610</v>
      </c>
      <c r="S14" s="272">
        <v>-30.100340459250489389506818810</v>
      </c>
      <c r="T14" s="271">
        <v>25.333546803259653310313981370</v>
      </c>
      <c r="U14" s="92">
        <v>-100</v>
      </c>
      <c r="V14" s="272">
        <v>-30.174055169319453064525501770</v>
      </c>
      <c r="W14" s="271">
        <v>0</v>
      </c>
      <c r="X14" s="92">
        <v>0</v>
      </c>
      <c r="Y14" s="272">
        <v>-23.133911120590178846608551760</v>
      </c>
      <c r="Z14" s="271">
        <v>-34.081338107853217295269365600</v>
      </c>
      <c r="AA14" s="92">
        <v>-32.252414283168828768000535530</v>
      </c>
      <c r="AB14" s="272">
        <v>-29.796356626057946116237446690</v>
      </c>
    </row>
    <row r="15" ht="18" customHeight="1">
      <c r="A15" s="58"/>
      <c r="B15" s="288">
        <v>2021</v>
      </c>
      <c r="C15" s="289" t="s">
        <v>227</v>
      </c>
      <c r="D15" s="439">
        <v>166.22154294032023289665211063</v>
      </c>
      <c r="E15" s="95">
        <v>223.9965788999293504058282794</v>
      </c>
      <c r="F15" s="440">
        <v>167.87055108290027224233448511</v>
      </c>
      <c r="G15" s="439">
        <v>254.32758620689655172413793103</v>
      </c>
      <c r="H15" s="95">
        <v>396.57898884156332428690582538</v>
      </c>
      <c r="I15" s="440">
        <v>132.47729210411567885231419212</v>
      </c>
      <c r="J15" s="439">
        <v>0</v>
      </c>
      <c r="K15" s="95">
        <v>0</v>
      </c>
      <c r="L15" s="440">
        <v>93.52892972329498967878054143</v>
      </c>
      <c r="M15" s="439">
        <v>167.68451188090466647580876038</v>
      </c>
      <c r="N15" s="95">
        <v>224.58900271002710027100271001</v>
      </c>
      <c r="O15" s="440">
        <v>160.04238945892079427179449325</v>
      </c>
      <c r="P15" s="5"/>
      <c r="Q15" s="420">
        <v>-40.726211922025037641439165100</v>
      </c>
      <c r="R15" s="91">
        <v>-29.023795948323736043901411150</v>
      </c>
      <c r="S15" s="421">
        <v>-31.573126132731739278208688020</v>
      </c>
      <c r="T15" s="420">
        <v>-37.866365373042055363906257390</v>
      </c>
      <c r="U15" s="91">
        <v>0.1672562055316561788776834600</v>
      </c>
      <c r="V15" s="421">
        <v>-55.619941794976381818658923220</v>
      </c>
      <c r="W15" s="420">
        <v>0</v>
      </c>
      <c r="X15" s="91">
        <v>0</v>
      </c>
      <c r="Y15" s="421">
        <v>-28.690287712763265878290278830</v>
      </c>
      <c r="Z15" s="420">
        <v>-46.116208887631862448077234380</v>
      </c>
      <c r="AA15" s="91">
        <v>-31.866510616663541622761620420</v>
      </c>
      <c r="AB15" s="421">
        <v>-36.824292283529379111811149840</v>
      </c>
    </row>
    <row r="16" ht="18" customHeight="1">
      <c r="A16" s="58"/>
      <c r="B16" s="286"/>
      <c r="C16" s="287" t="s">
        <v>230</v>
      </c>
      <c r="D16" s="276">
        <v>202.21725919173503494378608326</v>
      </c>
      <c r="E16" s="94">
        <v>267.05876708657196462074510854</v>
      </c>
      <c r="F16" s="277">
        <v>184.92738209369158374203807737</v>
      </c>
      <c r="G16" s="276">
        <v>248.67073170731707317073170732</v>
      </c>
      <c r="H16" s="94">
        <v>0</v>
      </c>
      <c r="I16" s="277">
        <v>140.41428932338854429129581381</v>
      </c>
      <c r="J16" s="276">
        <v>0</v>
      </c>
      <c r="K16" s="94">
        <v>0</v>
      </c>
      <c r="L16" s="277">
        <v>89.32132906852792478352951704</v>
      </c>
      <c r="M16" s="276">
        <v>203.34657574859175807886154758</v>
      </c>
      <c r="N16" s="94">
        <v>267.05876708657196462074510856</v>
      </c>
      <c r="O16" s="277">
        <v>174.25481867422477214909432607</v>
      </c>
      <c r="P16" s="5"/>
      <c r="Q16" s="271">
        <v>-38.822404384285116483740802510</v>
      </c>
      <c r="R16" s="92">
        <v>-27.555102506372687919037544390</v>
      </c>
      <c r="S16" s="272">
        <v>-34.422252218642391385852638460</v>
      </c>
      <c r="T16" s="271">
        <v>-29.996059471121869548114189840</v>
      </c>
      <c r="U16" s="92">
        <v>-100</v>
      </c>
      <c r="V16" s="272">
        <v>-53.945218362342850473355074850</v>
      </c>
      <c r="W16" s="271">
        <v>0</v>
      </c>
      <c r="X16" s="92">
        <v>0</v>
      </c>
      <c r="Y16" s="272">
        <v>-33.007417980937660878133092220</v>
      </c>
      <c r="Z16" s="271">
        <v>-39.284651729521294181115037140</v>
      </c>
      <c r="AA16" s="92">
        <v>-29.186081828614759714724195760</v>
      </c>
      <c r="AB16" s="272">
        <v>-37.477797149246269448539033610</v>
      </c>
    </row>
    <row r="17" ht="18" customHeight="1">
      <c r="A17" s="58"/>
      <c r="B17" s="288"/>
      <c r="C17" s="289" t="s">
        <v>231</v>
      </c>
      <c r="D17" s="439">
        <v>235.95958207313720098982678031</v>
      </c>
      <c r="E17" s="95">
        <v>301.7986231304943486699394908</v>
      </c>
      <c r="F17" s="440">
        <v>212.7795264340716941361884478</v>
      </c>
      <c r="G17" s="439">
        <v>296.42857142857142857142857143</v>
      </c>
      <c r="H17" s="95">
        <v>0</v>
      </c>
      <c r="I17" s="440">
        <v>181.48168145853884251350993199</v>
      </c>
      <c r="J17" s="439">
        <v>0</v>
      </c>
      <c r="K17" s="95">
        <v>0</v>
      </c>
      <c r="L17" s="440">
        <v>94.47076616106755002616639611</v>
      </c>
      <c r="M17" s="439">
        <v>236.42155525238744884038199181</v>
      </c>
      <c r="N17" s="95">
        <v>301.79862313049434866993949081</v>
      </c>
      <c r="O17" s="440">
        <v>203.10052439894369281986458242</v>
      </c>
      <c r="P17" s="5"/>
      <c r="Q17" s="420">
        <v>5.84108079450654515024062700</v>
      </c>
      <c r="R17" s="91">
        <v>5.0285889159988247320027982800</v>
      </c>
      <c r="S17" s="421">
        <v>-1.9136160005946741935299030500</v>
      </c>
      <c r="T17" s="420">
        <v>-13.728588059205055712622650920</v>
      </c>
      <c r="U17" s="91">
        <v>-100</v>
      </c>
      <c r="V17" s="421">
        <v>-18.222110431749720065695426600</v>
      </c>
      <c r="W17" s="420">
        <v>0</v>
      </c>
      <c r="X17" s="91">
        <v>0</v>
      </c>
      <c r="Y17" s="421">
        <v>-19.333702081222017390539574270</v>
      </c>
      <c r="Z17" s="420">
        <v>5.8718794580687135096387704100</v>
      </c>
      <c r="AA17" s="91">
        <v>4.2302829735933454512530758200</v>
      </c>
      <c r="AB17" s="421">
        <v>-0.7902443771276508398451603200</v>
      </c>
    </row>
    <row r="18" ht="18" customHeight="1">
      <c r="A18" s="58"/>
      <c r="B18" s="286"/>
      <c r="C18" s="287" t="s">
        <v>232</v>
      </c>
      <c r="D18" s="276">
        <v>244.20437057556171129578331794</v>
      </c>
      <c r="E18" s="94">
        <v>293.89648033771363718958607015</v>
      </c>
      <c r="F18" s="277">
        <v>215.74647179792130167294906231</v>
      </c>
      <c r="G18" s="276">
        <v>201.25308641975308641975308642</v>
      </c>
      <c r="H18" s="94">
        <v>208.29731158608459001011311308</v>
      </c>
      <c r="I18" s="277">
        <v>171.23565302416769336167537453</v>
      </c>
      <c r="J18" s="276">
        <v>0</v>
      </c>
      <c r="K18" s="94">
        <v>0</v>
      </c>
      <c r="L18" s="277">
        <v>93.86196552181050954089029542</v>
      </c>
      <c r="M18" s="276">
        <v>240.30954380072767982087881332</v>
      </c>
      <c r="N18" s="94">
        <v>293.4979438781930288159053731</v>
      </c>
      <c r="O18" s="277">
        <v>204.77525432636360223732122077</v>
      </c>
      <c r="P18" s="5"/>
      <c r="Q18" s="271"/>
      <c r="R18" s="92"/>
      <c r="S18" s="272">
        <v>147.42329968064593275955041306</v>
      </c>
      <c r="T18" s="271"/>
      <c r="U18" s="92"/>
      <c r="V18" s="272">
        <v>76.936392860647033990010979390</v>
      </c>
      <c r="W18" s="271"/>
      <c r="X18" s="92"/>
      <c r="Y18" s="272">
        <v>-12.423892677664408147784154670</v>
      </c>
      <c r="Z18" s="271"/>
      <c r="AA18" s="92"/>
      <c r="AB18" s="272">
        <v>107.77590196374288357528821139</v>
      </c>
    </row>
    <row r="19" ht="18" customHeight="1">
      <c r="A19" s="58"/>
      <c r="B19" s="288"/>
      <c r="C19" s="289" t="s">
        <v>233</v>
      </c>
      <c r="D19" s="439">
        <v>271.61619433198380566801619433</v>
      </c>
      <c r="E19" s="95">
        <v>309.68575692061358331830914275</v>
      </c>
      <c r="F19" s="440">
        <v>231.41833521720979299789444934</v>
      </c>
      <c r="G19" s="439">
        <v>180.64516129032258064516129032</v>
      </c>
      <c r="H19" s="95">
        <v>215.75470234125939392719474598</v>
      </c>
      <c r="I19" s="440">
        <v>165.82705773207790571045487979</v>
      </c>
      <c r="J19" s="439">
        <v>0</v>
      </c>
      <c r="K19" s="95">
        <v>0</v>
      </c>
      <c r="L19" s="440">
        <v>97.57336838049895288553132437</v>
      </c>
      <c r="M19" s="439">
        <v>270.11892752853729758428457659</v>
      </c>
      <c r="N19" s="95">
        <v>309.10566534607317641575390352</v>
      </c>
      <c r="O19" s="440">
        <v>216.93938819707634001082837033</v>
      </c>
      <c r="P19" s="5"/>
      <c r="Q19" s="420"/>
      <c r="R19" s="91"/>
      <c r="S19" s="421">
        <v>186.67518461665795977397374054</v>
      </c>
      <c r="T19" s="420"/>
      <c r="U19" s="91"/>
      <c r="V19" s="421">
        <v>43.866247510908314836636715030</v>
      </c>
      <c r="W19" s="420"/>
      <c r="X19" s="91"/>
      <c r="Y19" s="421">
        <v>-0.0197516247224967827937699400</v>
      </c>
      <c r="Z19" s="420"/>
      <c r="AA19" s="91"/>
      <c r="AB19" s="421">
        <v>144.47994255610171961486947321</v>
      </c>
    </row>
    <row r="20" ht="18" customHeight="1">
      <c r="A20" s="58"/>
      <c r="B20" s="286"/>
      <c r="C20" s="287" t="s">
        <v>234</v>
      </c>
      <c r="D20" s="276">
        <v>229.37115438893593000282246684</v>
      </c>
      <c r="E20" s="94">
        <v>271.4222284495353823550174395</v>
      </c>
      <c r="F20" s="277">
        <v>218.27940602998124258492421341</v>
      </c>
      <c r="G20" s="276">
        <v>259.78048780487804878048780488</v>
      </c>
      <c r="H20" s="94">
        <v>254.86149977027877846366050508</v>
      </c>
      <c r="I20" s="277">
        <v>166.08743212641828710026287588</v>
      </c>
      <c r="J20" s="276">
        <v>0</v>
      </c>
      <c r="K20" s="94">
        <v>0</v>
      </c>
      <c r="L20" s="277">
        <v>101.00027573793497439592722308</v>
      </c>
      <c r="M20" s="276">
        <v>230.05903448275862068965517241</v>
      </c>
      <c r="N20" s="94">
        <v>271.29555777830077665333019534</v>
      </c>
      <c r="O20" s="277">
        <v>203.70302102587800369685767098</v>
      </c>
      <c r="P20" s="5"/>
      <c r="Q20" s="271">
        <v>83.26210298924084784091586984</v>
      </c>
      <c r="R20" s="92"/>
      <c r="S20" s="272">
        <v>80.81493264675334821102617190</v>
      </c>
      <c r="T20" s="271">
        <v>0</v>
      </c>
      <c r="U20" s="92"/>
      <c r="V20" s="272">
        <v>51.441810339812485327803193760</v>
      </c>
      <c r="W20" s="271">
        <v>0</v>
      </c>
      <c r="X20" s="92"/>
      <c r="Y20" s="272">
        <v>4.1668029170504400208997563800</v>
      </c>
      <c r="Z20" s="271">
        <v>83.81170284164697676533084190</v>
      </c>
      <c r="AA20" s="92"/>
      <c r="AB20" s="272">
        <v>73.369722553811954247748560510</v>
      </c>
    </row>
    <row r="21" ht="18" customHeight="1">
      <c r="A21" s="58"/>
      <c r="B21" s="288"/>
      <c r="C21" s="289" t="s">
        <v>218</v>
      </c>
      <c r="D21" s="441">
        <v>266.72950585546986575264210226</v>
      </c>
      <c r="E21" s="154">
        <v>287.72766995916971485776884082</v>
      </c>
      <c r="F21" s="442">
        <v>217.95881523745420704067910775</v>
      </c>
      <c r="G21" s="441">
        <v>297.22807017543859649122807018</v>
      </c>
      <c r="H21" s="154">
        <v>297.10874949875755021107437966</v>
      </c>
      <c r="I21" s="442">
        <v>151.52200567007888053487185184</v>
      </c>
      <c r="J21" s="441">
        <v>0</v>
      </c>
      <c r="K21" s="154">
        <v>0</v>
      </c>
      <c r="L21" s="442">
        <v>101.40922299444507754007886444</v>
      </c>
      <c r="M21" s="441">
        <v>267.21810005621135469364811692</v>
      </c>
      <c r="N21" s="154">
        <v>287.93819883720930232558139536</v>
      </c>
      <c r="O21" s="442">
        <v>204.24169984587721551502697149</v>
      </c>
      <c r="P21" s="5"/>
      <c r="Q21" s="420">
        <v>94.21171942638365367788438488</v>
      </c>
      <c r="R21" s="91"/>
      <c r="S21" s="421">
        <v>81.25692411251653407520424554</v>
      </c>
      <c r="T21" s="420">
        <v>0</v>
      </c>
      <c r="U21" s="91"/>
      <c r="V21" s="421">
        <v>54.805112021888163987111689070</v>
      </c>
      <c r="W21" s="420">
        <v>0</v>
      </c>
      <c r="X21" s="91"/>
      <c r="Y21" s="421">
        <v>14.433999847061414766463406310</v>
      </c>
      <c r="Z21" s="420">
        <v>94.56747579283222250525818635</v>
      </c>
      <c r="AA21" s="91"/>
      <c r="AB21" s="421">
        <v>80.87950573996466874198797539</v>
      </c>
    </row>
    <row r="22" ht="18" customHeight="1">
      <c r="A22" s="58"/>
      <c r="B22" s="286"/>
      <c r="C22" s="287" t="s">
        <v>219</v>
      </c>
      <c r="D22" s="276">
        <v>207.13852140077821011673151751</v>
      </c>
      <c r="E22" s="94">
        <v>232.01852594402147576550098821</v>
      </c>
      <c r="F22" s="277">
        <v>175.74033158696478984889072124</v>
      </c>
      <c r="G22" s="276">
        <v>169.39285714285714285714285714</v>
      </c>
      <c r="H22" s="94">
        <v>288.27863201089676520235695564</v>
      </c>
      <c r="I22" s="277">
        <v>136.01293824953816833320960372</v>
      </c>
      <c r="J22" s="276">
        <v>0</v>
      </c>
      <c r="K22" s="94">
        <v>0</v>
      </c>
      <c r="L22" s="277">
        <v>107.25300042549430281532906742</v>
      </c>
      <c r="M22" s="276">
        <v>206.73171670515781370284834488</v>
      </c>
      <c r="N22" s="94">
        <v>232.55804276057223706964313787</v>
      </c>
      <c r="O22" s="277">
        <v>166.62676694150559852942163065</v>
      </c>
      <c r="P22" s="5"/>
      <c r="Q22" s="271">
        <v>87.87462992136818015666041693</v>
      </c>
      <c r="R22" s="92"/>
      <c r="S22" s="272">
        <v>49.245672896100045567976300240</v>
      </c>
      <c r="T22" s="271">
        <v>0</v>
      </c>
      <c r="U22" s="92"/>
      <c r="V22" s="272">
        <v>37.513182404797574195980449910</v>
      </c>
      <c r="W22" s="271">
        <v>0</v>
      </c>
      <c r="X22" s="92"/>
      <c r="Y22" s="272">
        <v>22.362882506802323108013062380</v>
      </c>
      <c r="Z22" s="271">
        <v>87.50565808009448037464337649</v>
      </c>
      <c r="AA22" s="92"/>
      <c r="AB22" s="272">
        <v>51.789520013146239637673848250</v>
      </c>
    </row>
    <row r="23" ht="18" customHeight="1">
      <c r="A23" s="58"/>
      <c r="B23" s="288"/>
      <c r="C23" s="289" t="s">
        <v>220</v>
      </c>
      <c r="D23" s="439">
        <v>183.53538461538461538461538462</v>
      </c>
      <c r="E23" s="95">
        <v>215.58630428793228192257599594</v>
      </c>
      <c r="F23" s="440">
        <v>165.35537778952044613971327304</v>
      </c>
      <c r="G23" s="439">
        <v>161.35820895522388059701492537</v>
      </c>
      <c r="H23" s="95">
        <v>195.81022266468065639319336901</v>
      </c>
      <c r="I23" s="440">
        <v>141.66448864219562356870751817</v>
      </c>
      <c r="J23" s="439">
        <v>0</v>
      </c>
      <c r="K23" s="95">
        <v>0</v>
      </c>
      <c r="L23" s="440">
        <v>109.10831287242373012244951727</v>
      </c>
      <c r="M23" s="439">
        <v>182.90093936806148590947907771</v>
      </c>
      <c r="N23" s="95">
        <v>215.0378582995951417004048583</v>
      </c>
      <c r="O23" s="440">
        <v>157.05728151715384328218912159</v>
      </c>
      <c r="P23" s="5"/>
      <c r="Q23" s="420">
        <v>63.419474156974620621591704970</v>
      </c>
      <c r="R23" s="91"/>
      <c r="S23" s="421">
        <v>39.467204787265067435116909600</v>
      </c>
      <c r="T23" s="420">
        <v>0</v>
      </c>
      <c r="U23" s="91"/>
      <c r="V23" s="421">
        <v>47.281228161891185690844371150</v>
      </c>
      <c r="W23" s="420">
        <v>0</v>
      </c>
      <c r="X23" s="91"/>
      <c r="Y23" s="421">
        <v>27.168776036986428402578445420</v>
      </c>
      <c r="Z23" s="420">
        <v>62.854565603148828120779834780</v>
      </c>
      <c r="AA23" s="91"/>
      <c r="AB23" s="421">
        <v>36.688056968159814159686081260</v>
      </c>
    </row>
    <row r="24" ht="18" customHeight="1">
      <c r="A24" s="59"/>
      <c r="B24" s="286"/>
      <c r="C24" s="287" t="s">
        <v>221</v>
      </c>
      <c r="D24" s="276">
        <v>185.48419243986254295532646048</v>
      </c>
      <c r="E24" s="94">
        <v>229.25977031035106061628089069</v>
      </c>
      <c r="F24" s="277">
        <v>175.18856498289566763977001903</v>
      </c>
      <c r="G24" s="276">
        <v>174.94565217391304347826086957</v>
      </c>
      <c r="H24" s="94">
        <v>294.41504699058283257320312853</v>
      </c>
      <c r="I24" s="277">
        <v>169.08553935874080000487727697</v>
      </c>
      <c r="J24" s="276">
        <v>0</v>
      </c>
      <c r="K24" s="94">
        <v>272.99995609502326355432428011</v>
      </c>
      <c r="L24" s="277">
        <v>107.29674360284494517132906796</v>
      </c>
      <c r="M24" s="276">
        <v>185.16122584943371085942704863</v>
      </c>
      <c r="N24" s="94">
        <v>231.03938126009693053311793215</v>
      </c>
      <c r="O24" s="277">
        <v>167.94421092381312021394479283</v>
      </c>
      <c r="P24" s="93"/>
      <c r="Q24" s="271">
        <v>55.875920774344665281271925240</v>
      </c>
      <c r="R24" s="92"/>
      <c r="S24" s="272">
        <v>43.256741761743262454773838670</v>
      </c>
      <c r="T24" s="271">
        <v>36.676290760869565217391304350</v>
      </c>
      <c r="U24" s="92"/>
      <c r="V24" s="272">
        <v>59.891958030683646421194285160</v>
      </c>
      <c r="W24" s="271">
        <v>0</v>
      </c>
      <c r="X24" s="92"/>
      <c r="Y24" s="272">
        <v>16.329938072710406308024611670</v>
      </c>
      <c r="Z24" s="271">
        <v>55.268010149497998698846866090</v>
      </c>
      <c r="AA24" s="92"/>
      <c r="AB24" s="272">
        <v>42.081996126085299639724681090</v>
      </c>
    </row>
    <row r="25" ht="18" customHeight="1">
      <c r="A25" s="60"/>
      <c r="B25" s="288"/>
      <c r="C25" s="289" t="s">
        <v>222</v>
      </c>
      <c r="D25" s="439">
        <v>230.69248593181065872227739159</v>
      </c>
      <c r="E25" s="95">
        <v>298.69656701656129013517881843</v>
      </c>
      <c r="F25" s="440">
        <v>202.12666964669307561354174244</v>
      </c>
      <c r="G25" s="439">
        <v>253.3125</v>
      </c>
      <c r="H25" s="95">
        <v>256.92739427314322775248861606</v>
      </c>
      <c r="I25" s="440">
        <v>195.35044589814711365217306753</v>
      </c>
      <c r="J25" s="439">
        <v>0</v>
      </c>
      <c r="K25" s="95">
        <v>0</v>
      </c>
      <c r="L25" s="440">
        <v>109.8618367368975314027388629</v>
      </c>
      <c r="M25" s="439">
        <v>232.85902424423825202035318767</v>
      </c>
      <c r="N25" s="95">
        <v>295.48234172812021705857798805</v>
      </c>
      <c r="O25" s="440">
        <v>192.20582696905941277493387229</v>
      </c>
      <c r="P25" s="93"/>
      <c r="Q25" s="420">
        <v>82.28681908304251872320044616</v>
      </c>
      <c r="R25" s="91"/>
      <c r="S25" s="421">
        <v>66.952362439942487997587174860</v>
      </c>
      <c r="T25" s="420">
        <v>118.55666035351695651007125278</v>
      </c>
      <c r="U25" s="91"/>
      <c r="V25" s="421">
        <v>74.088609968952699533718454640</v>
      </c>
      <c r="W25" s="420">
        <v>0</v>
      </c>
      <c r="X25" s="91"/>
      <c r="Y25" s="421">
        <v>17.442345968152882938850593170</v>
      </c>
      <c r="Z25" s="420">
        <v>84.30857304858609216838980761</v>
      </c>
      <c r="AA25" s="91"/>
      <c r="AB25" s="421">
        <v>62.916475969451984595147776640</v>
      </c>
    </row>
    <row r="26" ht="18" customHeight="1">
      <c r="A26" s="60"/>
      <c r="B26" s="290"/>
      <c r="C26" s="291" t="s">
        <v>223</v>
      </c>
      <c r="D26" s="443">
        <v>335.80813143971038707880813144</v>
      </c>
      <c r="E26" s="444">
        <v>433.89250696294584279311065472</v>
      </c>
      <c r="F26" s="445">
        <v>272.19661601351735010923762141</v>
      </c>
      <c r="G26" s="443">
        <v>354.6</v>
      </c>
      <c r="H26" s="444">
        <v>325.78711213400928747612481031</v>
      </c>
      <c r="I26" s="445">
        <v>230.73993722873602546782923675</v>
      </c>
      <c r="J26" s="443">
        <v>0</v>
      </c>
      <c r="K26" s="444">
        <v>0</v>
      </c>
      <c r="L26" s="445">
        <v>114.14366967818534213154220941</v>
      </c>
      <c r="M26" s="443">
        <v>336.98538240668232837379274341</v>
      </c>
      <c r="N26" s="444">
        <v>429.2952912447885646217986897</v>
      </c>
      <c r="O26" s="445">
        <v>252.70153966261821703511181824</v>
      </c>
      <c r="P26" s="184"/>
      <c r="Q26" s="273">
        <v>107.67332336190679589339962781</v>
      </c>
      <c r="R26" s="274">
        <v>92.29131137907043127051121049</v>
      </c>
      <c r="S26" s="275">
        <v>74.739252806979023166592470430</v>
      </c>
      <c r="T26" s="273">
        <v>37.981624932466478802006948390</v>
      </c>
      <c r="U26" s="274">
        <v>0</v>
      </c>
      <c r="V26" s="275">
        <v>55.404743275306407704407481700</v>
      </c>
      <c r="W26" s="273">
        <v>0</v>
      </c>
      <c r="X26" s="274">
        <v>0</v>
      </c>
      <c r="Y26" s="275">
        <v>18.540825842524113177211256950</v>
      </c>
      <c r="Z26" s="273">
        <v>103.97519524991013283641442340</v>
      </c>
      <c r="AA26" s="274">
        <v>90.25392971206590858291768503</v>
      </c>
      <c r="AB26" s="275">
        <v>68.037313948572864702444482720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2019</v>
      </c>
      <c r="C29" s="285"/>
      <c r="D29" s="454">
        <v>193.27037213092489474399022138</v>
      </c>
      <c r="E29" s="455">
        <v>237.48466245897486194825915411</v>
      </c>
      <c r="F29" s="456">
        <v>186.39348725199162794440030403</v>
      </c>
      <c r="G29" s="454">
        <v>208.14428020565552699228791774</v>
      </c>
      <c r="H29" s="455">
        <v>278.22800168617757859460719926</v>
      </c>
      <c r="I29" s="456">
        <v>194.59228348703851962288038409</v>
      </c>
      <c r="J29" s="454">
        <v>0</v>
      </c>
      <c r="K29" s="455">
        <v>0</v>
      </c>
      <c r="L29" s="456">
        <v>122.06310765602195497062040348</v>
      </c>
      <c r="M29" s="454">
        <v>194.69180690332882938213978627</v>
      </c>
      <c r="N29" s="455">
        <v>240.44190417949133322533614126</v>
      </c>
      <c r="O29" s="456">
        <v>182.83862565583084342920941955</v>
      </c>
      <c r="P29" s="5"/>
      <c r="Q29" s="427">
        <v>6.6401237447260640386600913600</v>
      </c>
      <c r="R29" s="428">
        <v>-1.4290756003697740302840369700</v>
      </c>
      <c r="S29" s="429">
        <v>-0.4983577510636742127034542700</v>
      </c>
      <c r="T29" s="427">
        <v>19.987022571537440124851408770</v>
      </c>
      <c r="U29" s="428">
        <v>6.61863240337947973654881500</v>
      </c>
      <c r="V29" s="429">
        <v>-2.3218225752231268505987308400</v>
      </c>
      <c r="W29" s="427">
        <v>-100</v>
      </c>
      <c r="X29" s="428">
        <v>-100</v>
      </c>
      <c r="Y29" s="429">
        <v>1.4854623558842078053007123900</v>
      </c>
      <c r="Z29" s="427">
        <v>8.093746079949460543994557350</v>
      </c>
      <c r="AA29" s="428">
        <v>-0.9100404279131375885010422400</v>
      </c>
      <c r="AB29" s="429">
        <v>-1.2681608440530169250014441400</v>
      </c>
    </row>
    <row r="30" ht="18" customHeight="1">
      <c r="A30" s="58"/>
      <c r="B30" s="286">
        <v>2020</v>
      </c>
      <c r="C30" s="287"/>
      <c r="D30" s="276">
        <v>191.36636818106905455144756359</v>
      </c>
      <c r="E30" s="94"/>
      <c r="F30" s="277">
        <v>181.11607257630360967319407837</v>
      </c>
      <c r="G30" s="276">
        <v>362.10180722891566265060240964</v>
      </c>
      <c r="H30" s="94"/>
      <c r="I30" s="277">
        <v>250.58727806773657805636919987</v>
      </c>
      <c r="J30" s="276">
        <v>0</v>
      </c>
      <c r="K30" s="94"/>
      <c r="L30" s="277">
        <v>107.80531136033826050741667206</v>
      </c>
      <c r="M30" s="276">
        <v>205.63515078286260887076473846</v>
      </c>
      <c r="N30" s="94"/>
      <c r="O30" s="277">
        <v>186.47632352659744304361007674</v>
      </c>
      <c r="P30" s="5"/>
      <c r="Q30" s="271">
        <v>-0.9851504546912050768762679100</v>
      </c>
      <c r="R30" s="92"/>
      <c r="S30" s="272">
        <v>-2.8313299748297743848930140900</v>
      </c>
      <c r="T30" s="271">
        <v>73.966734455093404381074164910</v>
      </c>
      <c r="U30" s="92"/>
      <c r="V30" s="272">
        <v>28.775547301944991670557198010</v>
      </c>
      <c r="W30" s="271">
        <v>0</v>
      </c>
      <c r="X30" s="92"/>
      <c r="Y30" s="272">
        <v>-11.680676143231798935760931370</v>
      </c>
      <c r="Z30" s="271">
        <v>5.6208548544613259021366218100</v>
      </c>
      <c r="AA30" s="92"/>
      <c r="AB30" s="272">
        <v>1.9895674985249202067033976100</v>
      </c>
    </row>
    <row r="31" ht="18" customHeight="1">
      <c r="A31" s="58"/>
      <c r="B31" s="425">
        <v>2021</v>
      </c>
      <c r="C31" s="426"/>
      <c r="D31" s="457">
        <v>233.25113612889898781243544722</v>
      </c>
      <c r="E31" s="458">
        <v>286.74251842781762324991746781</v>
      </c>
      <c r="F31" s="459">
        <v>207.41218109941419901022682529</v>
      </c>
      <c r="G31" s="457">
        <v>247.15625</v>
      </c>
      <c r="H31" s="458">
        <v>275.51640607238663688468122787</v>
      </c>
      <c r="I31" s="459">
        <v>170.75033572853943416821993488</v>
      </c>
      <c r="J31" s="457">
        <v>0</v>
      </c>
      <c r="K31" s="458">
        <v>272.99995609502326355432428011</v>
      </c>
      <c r="L31" s="459">
        <v>103.07946909670243011643727595</v>
      </c>
      <c r="M31" s="457">
        <v>233.74962656841266679944234216</v>
      </c>
      <c r="N31" s="458">
        <v>286.53280715836121913719815501</v>
      </c>
      <c r="O31" s="459">
        <v>195.58440054400694142088939026</v>
      </c>
      <c r="P31" s="93"/>
      <c r="Q31" s="430">
        <v>21.887214742018431323648295450</v>
      </c>
      <c r="R31" s="431"/>
      <c r="S31" s="432">
        <v>14.518925984349764698087716550</v>
      </c>
      <c r="T31" s="430">
        <v>-31.743988826942807710188508710</v>
      </c>
      <c r="U31" s="431"/>
      <c r="V31" s="432">
        <v>-31.859934372882006508462471390</v>
      </c>
      <c r="W31" s="430">
        <v>0</v>
      </c>
      <c r="X31" s="431"/>
      <c r="Y31" s="432">
        <v>-4.3836822174773586562834560300</v>
      </c>
      <c r="Z31" s="430">
        <v>13.672018464972760852009297750</v>
      </c>
      <c r="AA31" s="431"/>
      <c r="AB31" s="432">
        <v>4.8843074794466953502311886200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2019</v>
      </c>
      <c r="C34" s="285"/>
      <c r="D34" s="454">
        <v>195.07964085820895522388059701</v>
      </c>
      <c r="E34" s="455">
        <v>237.78603437051912046621939069</v>
      </c>
      <c r="F34" s="456">
        <v>186.36347873506966346639924476</v>
      </c>
      <c r="G34" s="454">
        <v>158.93894389438943894389438944</v>
      </c>
      <c r="H34" s="455">
        <v>245.97451071196747076062305931</v>
      </c>
      <c r="I34" s="456">
        <v>187.57402084794237761609881314</v>
      </c>
      <c r="J34" s="454">
        <v>0</v>
      </c>
      <c r="K34" s="455">
        <v>0</v>
      </c>
      <c r="L34" s="456">
        <v>122.89184392008392390686562396</v>
      </c>
      <c r="M34" s="454">
        <v>192.69440209104770202570246134</v>
      </c>
      <c r="N34" s="455">
        <v>238.40727030625832223701731026</v>
      </c>
      <c r="O34" s="456">
        <v>181.70545426579530048898093797</v>
      </c>
      <c r="P34" s="5"/>
      <c r="Q34" s="427">
        <v>-5.4850082148844033211561812800</v>
      </c>
      <c r="R34" s="428">
        <v>-4.1215034100707088318851128200</v>
      </c>
      <c r="S34" s="429">
        <v>-1.7968709632784355123511445200</v>
      </c>
      <c r="T34" s="427">
        <v>-16.921692169229969733743148580</v>
      </c>
      <c r="U34" s="428">
        <v>-10.837687302775698702930710250</v>
      </c>
      <c r="V34" s="429">
        <v>-3.8919223459792949398672539900</v>
      </c>
      <c r="W34" s="427">
        <v>0</v>
      </c>
      <c r="X34" s="428">
        <v>0</v>
      </c>
      <c r="Y34" s="429">
        <v>3.1787014985042901120634930400</v>
      </c>
      <c r="Z34" s="427">
        <v>-5.6143334766350631587511650900</v>
      </c>
      <c r="AA34" s="428">
        <v>-4.8486716802784395211310066800</v>
      </c>
      <c r="AB34" s="429">
        <v>-2.3519058492445034351534754400</v>
      </c>
    </row>
    <row r="35" ht="18" customHeight="1">
      <c r="A35" s="58"/>
      <c r="B35" s="286">
        <v>2020</v>
      </c>
      <c r="C35" s="287"/>
      <c r="D35" s="276">
        <v>138.57017291066282420749279539</v>
      </c>
      <c r="E35" s="94"/>
      <c r="F35" s="277">
        <v>135.32618487975486856629848085</v>
      </c>
      <c r="G35" s="276">
        <v>191.67298578199052132701421801</v>
      </c>
      <c r="H35" s="94"/>
      <c r="I35" s="277">
        <v>115.63330251959218562492372178</v>
      </c>
      <c r="J35" s="276">
        <v>0</v>
      </c>
      <c r="K35" s="94"/>
      <c r="L35" s="277">
        <v>94.16420757265819695936240846</v>
      </c>
      <c r="M35" s="276">
        <v>140.13704377010208362466787862</v>
      </c>
      <c r="N35" s="94"/>
      <c r="O35" s="277">
        <v>130.5783499196949910688821843</v>
      </c>
      <c r="P35" s="5"/>
      <c r="Q35" s="271">
        <v>-28.967383628009099000250931870</v>
      </c>
      <c r="R35" s="92"/>
      <c r="S35" s="272">
        <v>-27.385888158854530273341360970</v>
      </c>
      <c r="T35" s="271">
        <v>20.595356358564467146364263820</v>
      </c>
      <c r="U35" s="92"/>
      <c r="V35" s="272">
        <v>-38.353242097765284674351186520</v>
      </c>
      <c r="W35" s="271">
        <v>0</v>
      </c>
      <c r="X35" s="92"/>
      <c r="Y35" s="272">
        <v>-23.376357153628122307601195460</v>
      </c>
      <c r="Z35" s="271">
        <v>-27.274979319885839337582836260</v>
      </c>
      <c r="AA35" s="92"/>
      <c r="AB35" s="272">
        <v>-28.137352592243007598955120800</v>
      </c>
    </row>
    <row r="36" ht="18" customHeight="1">
      <c r="A36" s="58"/>
      <c r="B36" s="425">
        <v>2021</v>
      </c>
      <c r="C36" s="426"/>
      <c r="D36" s="457">
        <v>256.51837849191346355807603445</v>
      </c>
      <c r="E36" s="458">
        <v>331.03294390103418171028902031</v>
      </c>
      <c r="F36" s="459">
        <v>220.64071224825442033680840711</v>
      </c>
      <c r="G36" s="457">
        <v>279.53834355828220858895705521</v>
      </c>
      <c r="H36" s="458">
        <v>285.49792126576721767411420856</v>
      </c>
      <c r="I36" s="459">
        <v>199.33583865758153487417496831</v>
      </c>
      <c r="J36" s="457">
        <v>0</v>
      </c>
      <c r="K36" s="458">
        <v>272.99995609502326355432428011</v>
      </c>
      <c r="L36" s="459">
        <v>110.6692289051344787011773775</v>
      </c>
      <c r="M36" s="457">
        <v>257.99361116571653233733045017</v>
      </c>
      <c r="N36" s="458">
        <v>328.75708846224508543082858719</v>
      </c>
      <c r="O36" s="459">
        <v>207.47917094794938789889322726</v>
      </c>
      <c r="P36" s="93"/>
      <c r="Q36" s="430">
        <v>85.11803305407135998550117919</v>
      </c>
      <c r="R36" s="431"/>
      <c r="S36" s="432">
        <v>63.043621191444104486448221900</v>
      </c>
      <c r="T36" s="430">
        <v>45.841284006613330333036140700</v>
      </c>
      <c r="U36" s="431"/>
      <c r="V36" s="432">
        <v>72.386184874200788859101912870</v>
      </c>
      <c r="W36" s="430">
        <v>0</v>
      </c>
      <c r="X36" s="431"/>
      <c r="Y36" s="432">
        <v>17.527914010949102094038629570</v>
      </c>
      <c r="Z36" s="430">
        <v>84.10093735740892845007746608</v>
      </c>
      <c r="AA36" s="431"/>
      <c r="AB36" s="432">
        <v>58.892474193110913620796472690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2019</v>
      </c>
      <c r="C39" s="285"/>
      <c r="D39" s="454">
        <v>193.27037213092489474399022138</v>
      </c>
      <c r="E39" s="455">
        <v>237.48466245897486194825915411</v>
      </c>
      <c r="F39" s="456">
        <v>186.39348725199162794440030403</v>
      </c>
      <c r="G39" s="454">
        <v>208.14428020565552699228791774</v>
      </c>
      <c r="H39" s="455">
        <v>278.22800168617757859460719926</v>
      </c>
      <c r="I39" s="456">
        <v>194.59228348703851962288038409</v>
      </c>
      <c r="J39" s="454">
        <v>0</v>
      </c>
      <c r="K39" s="455">
        <v>0</v>
      </c>
      <c r="L39" s="456">
        <v>122.06310765602195497062040348</v>
      </c>
      <c r="M39" s="454">
        <v>194.69180690332882938213978627</v>
      </c>
      <c r="N39" s="455">
        <v>240.44190417949133322533614126</v>
      </c>
      <c r="O39" s="456">
        <v>182.83862565583084342920941955</v>
      </c>
      <c r="P39" s="5"/>
      <c r="Q39" s="427">
        <v>6.6401237447260640386600913600</v>
      </c>
      <c r="R39" s="428">
        <v>-1.4290756003697740302840369700</v>
      </c>
      <c r="S39" s="429">
        <v>-0.4983577510636742127034542700</v>
      </c>
      <c r="T39" s="427">
        <v>19.987022571537440124851408770</v>
      </c>
      <c r="U39" s="428">
        <v>6.61863240337947973654881500</v>
      </c>
      <c r="V39" s="429">
        <v>-2.3218225752231268505987308400</v>
      </c>
      <c r="W39" s="427">
        <v>-100</v>
      </c>
      <c r="X39" s="428">
        <v>-100</v>
      </c>
      <c r="Y39" s="429">
        <v>1.4854623558842078053007123900</v>
      </c>
      <c r="Z39" s="427">
        <v>8.093746079949460543994557350</v>
      </c>
      <c r="AA39" s="428">
        <v>-0.9100404279131375885010422400</v>
      </c>
      <c r="AB39" s="429">
        <v>-1.2681608440530169250014441400</v>
      </c>
    </row>
    <row r="40" ht="18" customHeight="1">
      <c r="A40" s="58"/>
      <c r="B40" s="286">
        <v>2020</v>
      </c>
      <c r="C40" s="287"/>
      <c r="D40" s="276">
        <v>191.36636818106905455144756359</v>
      </c>
      <c r="E40" s="94"/>
      <c r="F40" s="277">
        <v>181.11607257630360967319407837</v>
      </c>
      <c r="G40" s="276">
        <v>362.10180722891566265060240964</v>
      </c>
      <c r="H40" s="94"/>
      <c r="I40" s="277">
        <v>250.58727806773657805636919987</v>
      </c>
      <c r="J40" s="276">
        <v>0</v>
      </c>
      <c r="K40" s="94"/>
      <c r="L40" s="277">
        <v>107.80531136033826050741667206</v>
      </c>
      <c r="M40" s="276">
        <v>205.63515078286260887076473846</v>
      </c>
      <c r="N40" s="94"/>
      <c r="O40" s="277">
        <v>186.47632352659744304361007674</v>
      </c>
      <c r="P40" s="5"/>
      <c r="Q40" s="271">
        <v>-0.9851504546912050768762679100</v>
      </c>
      <c r="R40" s="92"/>
      <c r="S40" s="272">
        <v>-2.8313299748297743848930140900</v>
      </c>
      <c r="T40" s="271">
        <v>73.966734455093404381074164910</v>
      </c>
      <c r="U40" s="92"/>
      <c r="V40" s="272">
        <v>28.775547301944991670557198010</v>
      </c>
      <c r="W40" s="271">
        <v>0</v>
      </c>
      <c r="X40" s="92"/>
      <c r="Y40" s="272">
        <v>-11.680676143231798935760931370</v>
      </c>
      <c r="Z40" s="271">
        <v>5.6208548544613259021366218100</v>
      </c>
      <c r="AA40" s="92"/>
      <c r="AB40" s="272">
        <v>1.9895674985249202067033976100</v>
      </c>
    </row>
    <row r="41" ht="18" customHeight="1">
      <c r="A41" s="58"/>
      <c r="B41" s="425">
        <v>2021</v>
      </c>
      <c r="C41" s="426"/>
      <c r="D41" s="457">
        <v>233.25113612889898781243544722</v>
      </c>
      <c r="E41" s="458">
        <v>286.74251842781762324991746781</v>
      </c>
      <c r="F41" s="459">
        <v>207.41218109941419901022682529</v>
      </c>
      <c r="G41" s="457">
        <v>247.15625</v>
      </c>
      <c r="H41" s="458">
        <v>275.51640607238663688468122787</v>
      </c>
      <c r="I41" s="459">
        <v>170.75033572853943416821993488</v>
      </c>
      <c r="J41" s="457">
        <v>0</v>
      </c>
      <c r="K41" s="458">
        <v>272.99995609502326355432428011</v>
      </c>
      <c r="L41" s="459">
        <v>103.07946909670243011643727595</v>
      </c>
      <c r="M41" s="457">
        <v>233.74962656841266679944234216</v>
      </c>
      <c r="N41" s="458">
        <v>286.53280715836121913719815501</v>
      </c>
      <c r="O41" s="459">
        <v>195.58440054400694142088939026</v>
      </c>
      <c r="P41" s="93"/>
      <c r="Q41" s="430">
        <v>21.887214742018431323648295450</v>
      </c>
      <c r="R41" s="431"/>
      <c r="S41" s="432">
        <v>14.518925984349764698087716550</v>
      </c>
      <c r="T41" s="430">
        <v>-31.743988826942807710188508710</v>
      </c>
      <c r="U41" s="431"/>
      <c r="V41" s="432">
        <v>-31.859934372882006508462471390</v>
      </c>
      <c r="W41" s="430">
        <v>0</v>
      </c>
      <c r="X41" s="431"/>
      <c r="Y41" s="432">
        <v>-4.3836822174773586562834560300</v>
      </c>
      <c r="Z41" s="430">
        <v>13.672018464972760852009297750</v>
      </c>
      <c r="AA41" s="431"/>
      <c r="AB41" s="432">
        <v>4.8843074794466953502311886200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4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145</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303</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2020</v>
      </c>
      <c r="C9" s="285" t="s">
        <v>218</v>
      </c>
      <c r="D9" s="434">
        <v>17.989736070381231671554252199</v>
      </c>
      <c r="E9" s="435"/>
      <c r="F9" s="436">
        <v>20.933305617394794086946456187</v>
      </c>
      <c r="G9" s="434">
        <v>0</v>
      </c>
      <c r="H9" s="435"/>
      <c r="I9" s="436">
        <v>3.484546975469659929061015376</v>
      </c>
      <c r="J9" s="434">
        <v>0</v>
      </c>
      <c r="K9" s="435"/>
      <c r="L9" s="436">
        <v>2.7032148890261348583009580256</v>
      </c>
      <c r="M9" s="434">
        <v>17.989736070381231671554252199</v>
      </c>
      <c r="N9" s="435"/>
      <c r="O9" s="436">
        <v>27.121067481890588874308429588</v>
      </c>
      <c r="P9" s="5"/>
      <c r="Q9" s="415">
        <v>-80.73884910344399099472001397</v>
      </c>
      <c r="R9" s="416"/>
      <c r="S9" s="417">
        <v>-75.793143692388359627965614110</v>
      </c>
      <c r="T9" s="415">
        <v>-100</v>
      </c>
      <c r="U9" s="416"/>
      <c r="V9" s="417">
        <v>-80.65214287167650234302140826</v>
      </c>
      <c r="W9" s="415">
        <v>0</v>
      </c>
      <c r="X9" s="416"/>
      <c r="Y9" s="417">
        <v>-64.242522689825344826914771400</v>
      </c>
      <c r="Z9" s="415">
        <v>-81.29958414729626539982486785</v>
      </c>
      <c r="AA9" s="416"/>
      <c r="AB9" s="417">
        <v>-75.794834558158101102445059740</v>
      </c>
    </row>
    <row r="10" ht="18" customHeight="1">
      <c r="A10" s="58"/>
      <c r="B10" s="286"/>
      <c r="C10" s="287" t="s">
        <v>219</v>
      </c>
      <c r="D10" s="276">
        <v>28.15615835777126099706744868</v>
      </c>
      <c r="E10" s="94"/>
      <c r="F10" s="277">
        <v>22.47615929844697857645710648</v>
      </c>
      <c r="G10" s="276">
        <v>0</v>
      </c>
      <c r="H10" s="94"/>
      <c r="I10" s="277">
        <v>7.2050185429112337044963369873</v>
      </c>
      <c r="J10" s="276">
        <v>0</v>
      </c>
      <c r="K10" s="94"/>
      <c r="L10" s="277">
        <v>2.8969583046959922874221413543</v>
      </c>
      <c r="M10" s="276">
        <v>28.15615835777126099706744868</v>
      </c>
      <c r="N10" s="94"/>
      <c r="O10" s="277">
        <v>32.578136146054204568375584822</v>
      </c>
      <c r="P10" s="5"/>
      <c r="Q10" s="271">
        <v>-69.576985028112752378118243180</v>
      </c>
      <c r="R10" s="92"/>
      <c r="S10" s="272">
        <v>-73.777077058912804526386055110</v>
      </c>
      <c r="T10" s="271">
        <v>-100</v>
      </c>
      <c r="U10" s="92"/>
      <c r="V10" s="272">
        <v>-27.280522222065063392361372950</v>
      </c>
      <c r="W10" s="271">
        <v>0</v>
      </c>
      <c r="X10" s="92"/>
      <c r="Y10" s="272">
        <v>-62.029000075479815260778536740</v>
      </c>
      <c r="Z10" s="271">
        <v>-69.666453411674539126018052980</v>
      </c>
      <c r="AA10" s="92"/>
      <c r="AB10" s="272">
        <v>-68.447092219458316569363082730</v>
      </c>
    </row>
    <row r="11" ht="18" customHeight="1">
      <c r="A11" s="58"/>
      <c r="B11" s="288"/>
      <c r="C11" s="289" t="s">
        <v>220</v>
      </c>
      <c r="D11" s="439">
        <v>53.261868686868686868686868687</v>
      </c>
      <c r="E11" s="95"/>
      <c r="F11" s="440">
        <v>32.099383543197907710976542472</v>
      </c>
      <c r="G11" s="439">
        <v>0</v>
      </c>
      <c r="H11" s="95"/>
      <c r="I11" s="440">
        <v>1.0805696500075380778543862524</v>
      </c>
      <c r="J11" s="439">
        <v>0</v>
      </c>
      <c r="K11" s="95"/>
      <c r="L11" s="440">
        <v>2.3015199428418227505511753268</v>
      </c>
      <c r="M11" s="439">
        <v>53.261868686868686868686868687</v>
      </c>
      <c r="N11" s="95"/>
      <c r="O11" s="440">
        <v>35.481473136047268539382104051</v>
      </c>
      <c r="P11" s="5"/>
      <c r="Q11" s="420">
        <v>-18.633978859660912955552215980</v>
      </c>
      <c r="R11" s="91"/>
      <c r="S11" s="421">
        <v>-52.261366302366177899782704640</v>
      </c>
      <c r="T11" s="420">
        <v>-100</v>
      </c>
      <c r="U11" s="91"/>
      <c r="V11" s="421">
        <v>-93.19185359330694005506640523</v>
      </c>
      <c r="W11" s="420">
        <v>0</v>
      </c>
      <c r="X11" s="91"/>
      <c r="Y11" s="421">
        <v>-66.259167471495424605289312730</v>
      </c>
      <c r="Z11" s="420">
        <v>-19.390874972239895690474199910</v>
      </c>
      <c r="AA11" s="91"/>
      <c r="AB11" s="421">
        <v>-60.546652868071230111428273330</v>
      </c>
    </row>
    <row r="12" ht="18" customHeight="1">
      <c r="A12" s="58"/>
      <c r="B12" s="286"/>
      <c r="C12" s="287" t="s">
        <v>221</v>
      </c>
      <c r="D12" s="276">
        <v>61.154936461388074291300097752</v>
      </c>
      <c r="E12" s="94"/>
      <c r="F12" s="277">
        <v>38.195654597464422208144208486</v>
      </c>
      <c r="G12" s="276">
        <v>1.9393939393939393939393939394</v>
      </c>
      <c r="H12" s="94"/>
      <c r="I12" s="277">
        <v>2.9854278614552287067207278667</v>
      </c>
      <c r="J12" s="276">
        <v>0</v>
      </c>
      <c r="K12" s="94"/>
      <c r="L12" s="277">
        <v>3.2861333218938798699665028239</v>
      </c>
      <c r="M12" s="276">
        <v>63.094330400782013685239491691</v>
      </c>
      <c r="N12" s="94"/>
      <c r="O12" s="277">
        <v>44.467215780813530784831439177</v>
      </c>
      <c r="P12" s="5"/>
      <c r="Q12" s="271">
        <v>-31.658332627816134171051383450</v>
      </c>
      <c r="R12" s="92"/>
      <c r="S12" s="272">
        <v>-53.823765859073968614022633700</v>
      </c>
      <c r="T12" s="271">
        <v>-69.902912621483410311998733500</v>
      </c>
      <c r="U12" s="92"/>
      <c r="V12" s="272">
        <v>-87.94823607843400554296766666</v>
      </c>
      <c r="W12" s="271">
        <v>0</v>
      </c>
      <c r="X12" s="92"/>
      <c r="Y12" s="272">
        <v>-53.383877794018270362100056600</v>
      </c>
      <c r="Z12" s="271">
        <v>-34.227346721461052953040187490</v>
      </c>
      <c r="AA12" s="92"/>
      <c r="AB12" s="272">
        <v>-61.176951235420300815567069510</v>
      </c>
    </row>
    <row r="13" ht="18" customHeight="1">
      <c r="A13" s="58"/>
      <c r="B13" s="288"/>
      <c r="C13" s="289" t="s">
        <v>222</v>
      </c>
      <c r="D13" s="439">
        <v>64.3</v>
      </c>
      <c r="E13" s="95"/>
      <c r="F13" s="440">
        <v>40.880518251942124587422420931</v>
      </c>
      <c r="G13" s="439">
        <v>1.2</v>
      </c>
      <c r="H13" s="95"/>
      <c r="I13" s="440">
        <v>2.664321087131175768909207294</v>
      </c>
      <c r="J13" s="439">
        <v>0</v>
      </c>
      <c r="K13" s="95"/>
      <c r="L13" s="440">
        <v>3.4711409148054020414116721996</v>
      </c>
      <c r="M13" s="439">
        <v>65.500000000</v>
      </c>
      <c r="N13" s="95"/>
      <c r="O13" s="440">
        <v>47.015980253878702397743300423</v>
      </c>
      <c r="P13" s="5"/>
      <c r="Q13" s="420">
        <v>-45.239052778479899336293337710</v>
      </c>
      <c r="R13" s="91"/>
      <c r="S13" s="421">
        <v>-60.108442727415381447557075190</v>
      </c>
      <c r="T13" s="420">
        <v>-87.61596997811032878453266858</v>
      </c>
      <c r="U13" s="91"/>
      <c r="V13" s="421">
        <v>-91.63951295388635992202365286</v>
      </c>
      <c r="W13" s="420">
        <v>0</v>
      </c>
      <c r="X13" s="91"/>
      <c r="Y13" s="421">
        <v>-53.634925536769788603955127070</v>
      </c>
      <c r="Z13" s="420">
        <v>-48.469563109768168193802123210</v>
      </c>
      <c r="AA13" s="91"/>
      <c r="AB13" s="421">
        <v>-66.851328479509571077211508760</v>
      </c>
    </row>
    <row r="14" ht="18" customHeight="1">
      <c r="A14" s="58"/>
      <c r="B14" s="286"/>
      <c r="C14" s="287" t="s">
        <v>223</v>
      </c>
      <c r="D14" s="276">
        <v>111.63318670576735092864125122</v>
      </c>
      <c r="E14" s="94">
        <v>111.49707169725293514191268665</v>
      </c>
      <c r="F14" s="277">
        <v>65.000714173534159329538720624</v>
      </c>
      <c r="G14" s="276">
        <v>6.7827468230694037145650048876</v>
      </c>
      <c r="H14" s="94">
        <v>0</v>
      </c>
      <c r="I14" s="277">
        <v>1.5550788816762901656858458024</v>
      </c>
      <c r="J14" s="276">
        <v>0</v>
      </c>
      <c r="K14" s="94">
        <v>0</v>
      </c>
      <c r="L14" s="277">
        <v>3.9671970717289017036470837809</v>
      </c>
      <c r="M14" s="276">
        <v>118.41593352883675464320625611</v>
      </c>
      <c r="N14" s="94">
        <v>111.49707169725293514191268665</v>
      </c>
      <c r="O14" s="277">
        <v>70.522990126939351198871650212</v>
      </c>
      <c r="P14" s="5"/>
      <c r="Q14" s="271">
        <v>-45.738389006163102300638453140</v>
      </c>
      <c r="R14" s="92">
        <v>-55.240085061369379654001742360</v>
      </c>
      <c r="S14" s="272">
        <v>-57.024902415018174092232396170</v>
      </c>
      <c r="T14" s="271">
        <v>-12.103746397952838215608511780</v>
      </c>
      <c r="U14" s="92">
        <v>-100</v>
      </c>
      <c r="V14" s="272">
        <v>-92.18817701426030447769262791</v>
      </c>
      <c r="W14" s="271">
        <v>0</v>
      </c>
      <c r="X14" s="92">
        <v>0</v>
      </c>
      <c r="Y14" s="272">
        <v>-50.735616725938113147386328760</v>
      </c>
      <c r="Z14" s="271">
        <v>-44.522400192357368170595140420</v>
      </c>
      <c r="AA14" s="92">
        <v>-57.083658671371166496259217280</v>
      </c>
      <c r="AB14" s="272">
        <v>-60.648211351237041315102212720</v>
      </c>
    </row>
    <row r="15" ht="18" customHeight="1">
      <c r="A15" s="58"/>
      <c r="B15" s="288">
        <v>2021</v>
      </c>
      <c r="C15" s="289" t="s">
        <v>227</v>
      </c>
      <c r="D15" s="439">
        <v>139.53347996089931573802541544</v>
      </c>
      <c r="E15" s="95">
        <v>111.33223366480539708402854472</v>
      </c>
      <c r="F15" s="440">
        <v>71.651653929109028410633593046</v>
      </c>
      <c r="G15" s="439">
        <v>3.6048387096774193548387096774</v>
      </c>
      <c r="H15" s="95">
        <v>0.6789512333744551415976942407</v>
      </c>
      <c r="I15" s="440">
        <v>3.2809309762963356332127751021</v>
      </c>
      <c r="J15" s="439">
        <v>0</v>
      </c>
      <c r="K15" s="95">
        <v>0</v>
      </c>
      <c r="L15" s="440">
        <v>3.7384209366063199795216785932</v>
      </c>
      <c r="M15" s="439">
        <v>143.13831867057673509286412512</v>
      </c>
      <c r="N15" s="95">
        <v>112.01118489817985222562623896</v>
      </c>
      <c r="O15" s="440">
        <v>78.671005842011684023368046736</v>
      </c>
      <c r="P15" s="5"/>
      <c r="Q15" s="420">
        <v>-24.896546644099602532495673600</v>
      </c>
      <c r="R15" s="91">
        <v>-51.192221809270057359267290860</v>
      </c>
      <c r="S15" s="421">
        <v>-43.284804909918723260047643990</v>
      </c>
      <c r="T15" s="420">
        <v>-95.76029316662839973065457398</v>
      </c>
      <c r="U15" s="91">
        <v>-98.87958140024404522108432078</v>
      </c>
      <c r="V15" s="421">
        <v>-95.99108622030505630059548870</v>
      </c>
      <c r="W15" s="420">
        <v>0</v>
      </c>
      <c r="X15" s="91">
        <v>0</v>
      </c>
      <c r="Y15" s="421">
        <v>-57.873671348274415779236304780</v>
      </c>
      <c r="Z15" s="420">
        <v>-47.145160810023494132376986930</v>
      </c>
      <c r="AA15" s="91">
        <v>-61.201725945105743265228164760</v>
      </c>
      <c r="AB15" s="421">
        <v>-63.754617041305029766602952290</v>
      </c>
    </row>
    <row r="16" ht="18" customHeight="1">
      <c r="A16" s="58"/>
      <c r="B16" s="286"/>
      <c r="C16" s="287" t="s">
        <v>230</v>
      </c>
      <c r="D16" s="276">
        <v>180.05871212121212121212121212</v>
      </c>
      <c r="E16" s="94">
        <v>197.15003165809259992085476849</v>
      </c>
      <c r="F16" s="277">
        <v>102.25598688442474193235913252</v>
      </c>
      <c r="G16" s="276">
        <v>5.5170454545454545454545454545</v>
      </c>
      <c r="H16" s="94">
        <v>0</v>
      </c>
      <c r="I16" s="277">
        <v>8.143794774263856665617619004</v>
      </c>
      <c r="J16" s="276">
        <v>0</v>
      </c>
      <c r="K16" s="94">
        <v>0</v>
      </c>
      <c r="L16" s="277">
        <v>4.14220472247804128632342524</v>
      </c>
      <c r="M16" s="276">
        <v>185.57575757575757575757575758</v>
      </c>
      <c r="N16" s="94">
        <v>197.1500316580925999208547685</v>
      </c>
      <c r="O16" s="277">
        <v>114.54198638116663988430017676</v>
      </c>
      <c r="P16" s="5"/>
      <c r="Q16" s="271">
        <v>-24.337438472321528341432241750</v>
      </c>
      <c r="R16" s="92">
        <v>-31.285321347143492850900093840</v>
      </c>
      <c r="S16" s="272">
        <v>-33.585714385588444243265554550</v>
      </c>
      <c r="T16" s="271">
        <v>-89.99101908503810972277684617</v>
      </c>
      <c r="U16" s="92">
        <v>-100</v>
      </c>
      <c r="V16" s="272">
        <v>-90.47463296980450695230082553</v>
      </c>
      <c r="W16" s="271">
        <v>0</v>
      </c>
      <c r="X16" s="92">
        <v>0</v>
      </c>
      <c r="Y16" s="272">
        <v>-50.563047043218963569372768440</v>
      </c>
      <c r="Z16" s="271">
        <v>-36.684507230560669348828049140</v>
      </c>
      <c r="AA16" s="92">
        <v>-42.166119417304956116227302700</v>
      </c>
      <c r="AB16" s="272">
        <v>-53.784174416292579354811799990</v>
      </c>
    </row>
    <row r="17" ht="18" customHeight="1">
      <c r="A17" s="58"/>
      <c r="B17" s="288"/>
      <c r="C17" s="289" t="s">
        <v>231</v>
      </c>
      <c r="D17" s="439">
        <v>209.7226295210166177908113392</v>
      </c>
      <c r="E17" s="95">
        <v>236.21250469126977035117505137</v>
      </c>
      <c r="F17" s="440">
        <v>128.34376124664207303407178163</v>
      </c>
      <c r="G17" s="439">
        <v>2.0283479960899315738025415445</v>
      </c>
      <c r="H17" s="95">
        <v>0</v>
      </c>
      <c r="I17" s="440">
        <v>7.7227336567931387718951987322</v>
      </c>
      <c r="J17" s="439">
        <v>0</v>
      </c>
      <c r="K17" s="95">
        <v>0</v>
      </c>
      <c r="L17" s="440">
        <v>4.2771442905455890242673878721</v>
      </c>
      <c r="M17" s="439">
        <v>211.75097751710654936461388074</v>
      </c>
      <c r="N17" s="95">
        <v>236.21250469126977035117505138</v>
      </c>
      <c r="O17" s="440">
        <v>140.34363919398080083023436824</v>
      </c>
      <c r="P17" s="5"/>
      <c r="Q17" s="420">
        <v>137.76652924611574665273619571</v>
      </c>
      <c r="R17" s="91">
        <v>113.06075205791975367871184406</v>
      </c>
      <c r="S17" s="421">
        <v>128.15516134735590455676167191</v>
      </c>
      <c r="T17" s="420">
        <v>383.11990682582015257578909481</v>
      </c>
      <c r="U17" s="91">
        <v>-100</v>
      </c>
      <c r="V17" s="421">
        <v>-52.239106534154350739364353610</v>
      </c>
      <c r="W17" s="420">
        <v>0</v>
      </c>
      <c r="X17" s="91">
        <v>0</v>
      </c>
      <c r="Y17" s="421">
        <v>-27.617112430964480492389734820</v>
      </c>
      <c r="Z17" s="420">
        <v>138.92884126477982882392119617</v>
      </c>
      <c r="AA17" s="91">
        <v>96.03956033985149404621729324</v>
      </c>
      <c r="AB17" s="421">
        <v>79.166351363541034108789032650</v>
      </c>
    </row>
    <row r="18" ht="18" customHeight="1">
      <c r="A18" s="58"/>
      <c r="B18" s="286"/>
      <c r="C18" s="287" t="s">
        <v>232</v>
      </c>
      <c r="D18" s="276">
        <v>200.35858585858585858585858586</v>
      </c>
      <c r="E18" s="94">
        <v>214.65569339531993261030709279</v>
      </c>
      <c r="F18" s="277">
        <v>133.49685686240457407109263209</v>
      </c>
      <c r="G18" s="276">
        <v>16.466161616161616161616161616</v>
      </c>
      <c r="H18" s="94">
        <v>0.711634397847195736876656065</v>
      </c>
      <c r="I18" s="277">
        <v>6.5368654158051212330977780111</v>
      </c>
      <c r="J18" s="276">
        <v>0</v>
      </c>
      <c r="K18" s="94">
        <v>0</v>
      </c>
      <c r="L18" s="277">
        <v>4.6614501355834081440854519726</v>
      </c>
      <c r="M18" s="276">
        <v>216.82474747474747474747474747</v>
      </c>
      <c r="N18" s="94">
        <v>215.36732779316712834718374885</v>
      </c>
      <c r="O18" s="277">
        <v>144.69517241379310344827586207</v>
      </c>
      <c r="P18" s="5"/>
      <c r="Q18" s="271"/>
      <c r="R18" s="92"/>
      <c r="S18" s="272">
        <v>4058.9730006210595763769792190</v>
      </c>
      <c r="T18" s="271"/>
      <c r="U18" s="92"/>
      <c r="V18" s="272">
        <v>382.31041616433728633402181471</v>
      </c>
      <c r="W18" s="271"/>
      <c r="X18" s="92"/>
      <c r="Y18" s="272">
        <v>-15.356884769970421633241574160</v>
      </c>
      <c r="Z18" s="271"/>
      <c r="AA18" s="92"/>
      <c r="AB18" s="272">
        <v>1336.5573034139931481483148056</v>
      </c>
    </row>
    <row r="19" ht="18" customHeight="1">
      <c r="A19" s="58"/>
      <c r="B19" s="288"/>
      <c r="C19" s="289" t="s">
        <v>233</v>
      </c>
      <c r="D19" s="439">
        <v>245.9281524926686217008797654</v>
      </c>
      <c r="E19" s="95">
        <v>236.02089364452803611132684108</v>
      </c>
      <c r="F19" s="440">
        <v>147.81419067102138915447593849</v>
      </c>
      <c r="G19" s="439">
        <v>2.7370478983382209188660801564</v>
      </c>
      <c r="H19" s="95">
        <v>1.0218031654085200498741239869</v>
      </c>
      <c r="I19" s="440">
        <v>9.774675961762123865050899653</v>
      </c>
      <c r="J19" s="439">
        <v>0</v>
      </c>
      <c r="K19" s="95">
        <v>0</v>
      </c>
      <c r="L19" s="440">
        <v>5.0969572775678948450258324322</v>
      </c>
      <c r="M19" s="439">
        <v>248.66520039100684261974584555</v>
      </c>
      <c r="N19" s="95">
        <v>237.04269680993655616120096506</v>
      </c>
      <c r="O19" s="440">
        <v>162.68582391035140786455267058</v>
      </c>
      <c r="P19" s="5"/>
      <c r="Q19" s="420"/>
      <c r="R19" s="91"/>
      <c r="S19" s="421">
        <v>1135.4838898608830040144577427</v>
      </c>
      <c r="T19" s="420"/>
      <c r="U19" s="91"/>
      <c r="V19" s="421">
        <v>695.71636347998971589495362574</v>
      </c>
      <c r="W19" s="420"/>
      <c r="X19" s="91"/>
      <c r="Y19" s="421">
        <v>-48.851122831906782100182520370</v>
      </c>
      <c r="Z19" s="420"/>
      <c r="AA19" s="91"/>
      <c r="AB19" s="421">
        <v>602.52108391474758799573633926</v>
      </c>
    </row>
    <row r="20" ht="18" customHeight="1">
      <c r="A20" s="58"/>
      <c r="B20" s="286"/>
      <c r="C20" s="287" t="s">
        <v>234</v>
      </c>
      <c r="D20" s="276">
        <v>205.21767676767676767676767677</v>
      </c>
      <c r="E20" s="94">
        <v>213.11952071833630162009888895</v>
      </c>
      <c r="F20" s="277">
        <v>127.12803920952937670408194143</v>
      </c>
      <c r="G20" s="276">
        <v>5.3792929292929292929292929293</v>
      </c>
      <c r="H20" s="94">
        <v>1.5424578663936797579271818277</v>
      </c>
      <c r="I20" s="277">
        <v>12.388272417565043527194596164</v>
      </c>
      <c r="J20" s="276">
        <v>0</v>
      </c>
      <c r="K20" s="94">
        <v>0</v>
      </c>
      <c r="L20" s="277">
        <v>5.589506584648985932571547002</v>
      </c>
      <c r="M20" s="276">
        <v>210.5969696969696969696969697</v>
      </c>
      <c r="N20" s="94">
        <v>214.66197858472998137802607076</v>
      </c>
      <c r="O20" s="277">
        <v>145.1058182117434061638480846</v>
      </c>
      <c r="P20" s="5"/>
      <c r="Q20" s="271">
        <v>804.3142491507804971241433684</v>
      </c>
      <c r="R20" s="92"/>
      <c r="S20" s="272">
        <v>390.81658898018384794038409436</v>
      </c>
      <c r="T20" s="271">
        <v>0</v>
      </c>
      <c r="U20" s="92"/>
      <c r="V20" s="272">
        <v>2889.1018696543488590778229428</v>
      </c>
      <c r="W20" s="271">
        <v>0</v>
      </c>
      <c r="X20" s="92"/>
      <c r="Y20" s="272">
        <v>78.817157391407968767144167810</v>
      </c>
      <c r="Z20" s="271">
        <v>828.0186947079862310574865075</v>
      </c>
      <c r="AA20" s="92"/>
      <c r="AB20" s="272">
        <v>392.85976965564123417472754785</v>
      </c>
    </row>
    <row r="21" ht="18" customHeight="1">
      <c r="A21" s="58"/>
      <c r="B21" s="288"/>
      <c r="C21" s="289" t="s">
        <v>218</v>
      </c>
      <c r="D21" s="439">
        <v>228.20625610948191593352883675</v>
      </c>
      <c r="E21" s="95">
        <v>217.96058040608576255264576003</v>
      </c>
      <c r="F21" s="440">
        <v>133.92424538305290460578544314</v>
      </c>
      <c r="G21" s="439">
        <v>4.140273704789833822091886608</v>
      </c>
      <c r="H21" s="95">
        <v>5.166875892346387384279812153</v>
      </c>
      <c r="I21" s="440">
        <v>11.170727332794576143596221423</v>
      </c>
      <c r="J21" s="439">
        <v>0</v>
      </c>
      <c r="K21" s="95">
        <v>0</v>
      </c>
      <c r="L21" s="440">
        <v>4.4789080888209442842245683615</v>
      </c>
      <c r="M21" s="439">
        <v>232.34652981427174975562072336</v>
      </c>
      <c r="N21" s="95">
        <v>223.12745629843214993692557218</v>
      </c>
      <c r="O21" s="440">
        <v>149.57388080466842503360623293</v>
      </c>
      <c r="P21" s="5"/>
      <c r="Q21" s="420">
        <v>1168.5358763265489777039438291</v>
      </c>
      <c r="R21" s="91"/>
      <c r="S21" s="421">
        <v>539.76635047898770284250559475</v>
      </c>
      <c r="T21" s="420">
        <v>0</v>
      </c>
      <c r="U21" s="91"/>
      <c r="V21" s="421">
        <v>220.57904259395673466638910069</v>
      </c>
      <c r="W21" s="420">
        <v>0</v>
      </c>
      <c r="X21" s="91"/>
      <c r="Y21" s="421">
        <v>65.688199892899608996810625420</v>
      </c>
      <c r="Z21" s="420">
        <v>1191.5505202801207504013161454</v>
      </c>
      <c r="AA21" s="91"/>
      <c r="AB21" s="421">
        <v>451.50440116153511156536920283</v>
      </c>
    </row>
    <row r="22" ht="18" customHeight="1">
      <c r="A22" s="58"/>
      <c r="B22" s="286"/>
      <c r="C22" s="287" t="s">
        <v>219</v>
      </c>
      <c r="D22" s="276">
        <v>130.09433040078201368523949169</v>
      </c>
      <c r="E22" s="94">
        <v>131.70992191812356256286323893</v>
      </c>
      <c r="F22" s="277">
        <v>84.8971771490604565711511347</v>
      </c>
      <c r="G22" s="276">
        <v>1.1590909090909090909090909091</v>
      </c>
      <c r="H22" s="94">
        <v>1.5845194226585603421646940254</v>
      </c>
      <c r="I22" s="277">
        <v>7.5630653507507907129790100411</v>
      </c>
      <c r="J22" s="276">
        <v>0</v>
      </c>
      <c r="K22" s="94">
        <v>0</v>
      </c>
      <c r="L22" s="277">
        <v>4.8778538393628428001695719126</v>
      </c>
      <c r="M22" s="276">
        <v>131.2534213098729227761485826</v>
      </c>
      <c r="N22" s="94">
        <v>133.29444134078212290502793296</v>
      </c>
      <c r="O22" s="277">
        <v>97.33809633917409008429971665</v>
      </c>
      <c r="P22" s="5"/>
      <c r="Q22" s="271">
        <v>362.04574057150252502633156536</v>
      </c>
      <c r="R22" s="92"/>
      <c r="S22" s="272">
        <v>277.72101550776957173139206149</v>
      </c>
      <c r="T22" s="271">
        <v>0</v>
      </c>
      <c r="U22" s="92"/>
      <c r="V22" s="272">
        <v>4.9694085548692823334192399400</v>
      </c>
      <c r="W22" s="271">
        <v>0</v>
      </c>
      <c r="X22" s="92"/>
      <c r="Y22" s="272">
        <v>68.378462038927349570064107680</v>
      </c>
      <c r="Z22" s="271">
        <v>366.16239204917050126020932647</v>
      </c>
      <c r="AA22" s="92"/>
      <c r="AB22" s="272">
        <v>198.78350284574719814130268277</v>
      </c>
    </row>
    <row r="23" ht="18" customHeight="1">
      <c r="A23" s="58"/>
      <c r="B23" s="288"/>
      <c r="C23" s="289" t="s">
        <v>220</v>
      </c>
      <c r="D23" s="439">
        <v>105.44015151515151515151515152</v>
      </c>
      <c r="E23" s="95">
        <v>96.41164054887697859163244958</v>
      </c>
      <c r="F23" s="440">
        <v>70.215306199284443129913274843</v>
      </c>
      <c r="G23" s="439">
        <v>2.7300505050505050505050505051</v>
      </c>
      <c r="H23" s="95">
        <v>2.4977654101546787640472524724</v>
      </c>
      <c r="I23" s="440">
        <v>9.238898705372947869955736143</v>
      </c>
      <c r="J23" s="439">
        <v>0</v>
      </c>
      <c r="K23" s="95">
        <v>0</v>
      </c>
      <c r="L23" s="440">
        <v>5.7337714449153624120290977868</v>
      </c>
      <c r="M23" s="439">
        <v>108.17020202020202020202020202</v>
      </c>
      <c r="N23" s="95">
        <v>98.90940595903165735567970205</v>
      </c>
      <c r="O23" s="440">
        <v>85.18797634957275341189810878</v>
      </c>
      <c r="P23" s="5"/>
      <c r="Q23" s="420">
        <v>97.96555042967353163446626153</v>
      </c>
      <c r="R23" s="91"/>
      <c r="S23" s="421">
        <v>118.74347245574751623821793284</v>
      </c>
      <c r="T23" s="420">
        <v>0</v>
      </c>
      <c r="U23" s="91"/>
      <c r="V23" s="421">
        <v>755.00260953775148783382321935</v>
      </c>
      <c r="W23" s="420">
        <v>0</v>
      </c>
      <c r="X23" s="91"/>
      <c r="Y23" s="421">
        <v>149.12977455844804561600072470</v>
      </c>
      <c r="Z23" s="420">
        <v>103.09126338784837961539329120</v>
      </c>
      <c r="AA23" s="91"/>
      <c r="AB23" s="421">
        <v>140.09143031645954546902020370</v>
      </c>
    </row>
    <row r="24" ht="18" customHeight="1">
      <c r="A24" s="59"/>
      <c r="B24" s="286"/>
      <c r="C24" s="287" t="s">
        <v>221</v>
      </c>
      <c r="D24" s="276">
        <v>131.90591397849462365591397849</v>
      </c>
      <c r="E24" s="94">
        <v>103.22781065691729516260353554</v>
      </c>
      <c r="F24" s="277">
        <v>85.24086474632611546218330367</v>
      </c>
      <c r="G24" s="276">
        <v>3.9332844574780058651026392962</v>
      </c>
      <c r="H24" s="94">
        <v>3.5036294043486767741291293643</v>
      </c>
      <c r="I24" s="277">
        <v>13.011358316067242426172216495</v>
      </c>
      <c r="J24" s="276">
        <v>0</v>
      </c>
      <c r="K24" s="94">
        <v>0.3064889859610320300362895144</v>
      </c>
      <c r="L24" s="277">
        <v>6.3915187650879055878626913849</v>
      </c>
      <c r="M24" s="276">
        <v>135.83919843597262952101661779</v>
      </c>
      <c r="N24" s="94">
        <v>107.03792904722700396676895442</v>
      </c>
      <c r="O24" s="277">
        <v>104.64374182748126347621821155</v>
      </c>
      <c r="P24" s="93"/>
      <c r="Q24" s="271">
        <v>115.69135970201111810636949983</v>
      </c>
      <c r="R24" s="92"/>
      <c r="S24" s="272">
        <v>123.16901135634769497075721290</v>
      </c>
      <c r="T24" s="271">
        <v>102.80997983807589623236085153</v>
      </c>
      <c r="U24" s="92"/>
      <c r="V24" s="272">
        <v>335.82893038084693396207244095</v>
      </c>
      <c r="W24" s="271">
        <v>0</v>
      </c>
      <c r="X24" s="92"/>
      <c r="Y24" s="272">
        <v>94.49967907547986170654129189</v>
      </c>
      <c r="Z24" s="271">
        <v>115.29541176373315822828155812</v>
      </c>
      <c r="AA24" s="92"/>
      <c r="AB24" s="272">
        <v>135.32784769642404783510558521</v>
      </c>
    </row>
    <row r="25" ht="18" customHeight="1">
      <c r="A25" s="60"/>
      <c r="B25" s="288"/>
      <c r="C25" s="289" t="s">
        <v>222</v>
      </c>
      <c r="D25" s="439">
        <v>175.99040404040404040404040404</v>
      </c>
      <c r="E25" s="95">
        <v>153.25109729146028751038640647</v>
      </c>
      <c r="F25" s="440">
        <v>111.46009161479125728829389109</v>
      </c>
      <c r="G25" s="439">
        <v>20.46969696969696969696969697</v>
      </c>
      <c r="H25" s="95">
        <v>10.989551587116665312506091601</v>
      </c>
      <c r="I25" s="440">
        <v>19.552610053761839044462596485</v>
      </c>
      <c r="J25" s="439">
        <v>0</v>
      </c>
      <c r="K25" s="95">
        <v>0</v>
      </c>
      <c r="L25" s="440">
        <v>7.7188579791012541794201635522</v>
      </c>
      <c r="M25" s="439">
        <v>196.46010101010101010101010101</v>
      </c>
      <c r="N25" s="95">
        <v>164.24064887857695282289249807</v>
      </c>
      <c r="O25" s="440">
        <v>138.73155964765435051217665112</v>
      </c>
      <c r="P25" s="93"/>
      <c r="Q25" s="420">
        <v>173.70202805661592597828989742</v>
      </c>
      <c r="R25" s="91"/>
      <c r="S25" s="421">
        <v>172.64843103991456150029486092</v>
      </c>
      <c r="T25" s="420">
        <v>1605.8080808080808080808080808</v>
      </c>
      <c r="U25" s="91"/>
      <c r="V25" s="421">
        <v>633.86838202162871154128908388</v>
      </c>
      <c r="W25" s="420">
        <v>0</v>
      </c>
      <c r="X25" s="91"/>
      <c r="Y25" s="421">
        <v>122.37236022859644981821074964</v>
      </c>
      <c r="Z25" s="420">
        <v>199.93908551160459557406122292</v>
      </c>
      <c r="AA25" s="91"/>
      <c r="AB25" s="421">
        <v>195.07320468160715532373478922</v>
      </c>
    </row>
    <row r="26" ht="18" customHeight="1">
      <c r="A26" s="60"/>
      <c r="B26" s="290"/>
      <c r="C26" s="291" t="s">
        <v>223</v>
      </c>
      <c r="D26" s="443">
        <v>294.69379276637341153470185728</v>
      </c>
      <c r="E26" s="444">
        <v>261.03045961890267827041564573</v>
      </c>
      <c r="F26" s="445">
        <v>168.92461079807803011223751005</v>
      </c>
      <c r="G26" s="443">
        <v>20.797653958944281524926686217</v>
      </c>
      <c r="H26" s="444">
        <v>8.704887286269090309780447368</v>
      </c>
      <c r="I26" s="445">
        <v>19.939727927914921263544624502</v>
      </c>
      <c r="J26" s="443">
        <v>0</v>
      </c>
      <c r="K26" s="444">
        <v>0</v>
      </c>
      <c r="L26" s="445">
        <v>8.403361165618717534510128218</v>
      </c>
      <c r="M26" s="443">
        <v>315.4914467253176930596285435</v>
      </c>
      <c r="N26" s="444">
        <v>269.73534690517176858019609311</v>
      </c>
      <c r="O26" s="445">
        <v>197.26769989161166891029226277</v>
      </c>
      <c r="P26" s="184"/>
      <c r="Q26" s="273">
        <v>163.98403688234256721753692299</v>
      </c>
      <c r="R26" s="274">
        <v>134.11418402769026376067891194</v>
      </c>
      <c r="S26" s="275">
        <v>159.88116122414319231685527544</v>
      </c>
      <c r="T26" s="273">
        <v>206.62583318182707424556423168</v>
      </c>
      <c r="U26" s="274">
        <v>0</v>
      </c>
      <c r="V26" s="275">
        <v>1182.2325711295730255395072350</v>
      </c>
      <c r="W26" s="273">
        <v>0</v>
      </c>
      <c r="X26" s="274">
        <v>0</v>
      </c>
      <c r="Y26" s="275">
        <v>111.82111737186170434403147117</v>
      </c>
      <c r="Z26" s="273">
        <v>166.42651653680275745749143577</v>
      </c>
      <c r="AA26" s="274">
        <v>141.92146286807247878388365785</v>
      </c>
      <c r="AB26" s="275">
        <v>179.72112290849489498305763984</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2019</v>
      </c>
      <c r="C29" s="285"/>
      <c r="D29" s="454">
        <v>118.14443752594437525944375259</v>
      </c>
      <c r="E29" s="455">
        <v>172.84910127381472026325350339</v>
      </c>
      <c r="F29" s="456">
        <v>108.44492289985838074182311338</v>
      </c>
      <c r="G29" s="454">
        <v>13.444271481942714819427148194</v>
      </c>
      <c r="H29" s="455">
        <v>15.848464056891188264223215285</v>
      </c>
      <c r="I29" s="456">
        <v>29.17908498145239274934620836</v>
      </c>
      <c r="J29" s="454">
        <v>0</v>
      </c>
      <c r="K29" s="455">
        <v>0</v>
      </c>
      <c r="L29" s="456">
        <v>7.6936770727723944371150514497</v>
      </c>
      <c r="M29" s="454">
        <v>131.58870900788709007887090079</v>
      </c>
      <c r="N29" s="455">
        <v>188.69756533070590852747671869</v>
      </c>
      <c r="O29" s="456">
        <v>145.31768495408316792828437319</v>
      </c>
      <c r="P29" s="5"/>
      <c r="Q29" s="427">
        <v>86.85162092157549530445179952</v>
      </c>
      <c r="R29" s="428">
        <v>-2.5659779053006239774552970100</v>
      </c>
      <c r="S29" s="429">
        <v>2.8005295802278210850886264100</v>
      </c>
      <c r="T29" s="427">
        <v>81.57158337267329831989619284</v>
      </c>
      <c r="U29" s="428">
        <v>-9.858761199726898780135277970</v>
      </c>
      <c r="V29" s="429">
        <v>-5.0932094830111241601291378800</v>
      </c>
      <c r="W29" s="427">
        <v>-100</v>
      </c>
      <c r="X29" s="428">
        <v>-100</v>
      </c>
      <c r="Y29" s="429">
        <v>23.192918963186586015543916720</v>
      </c>
      <c r="Z29" s="427">
        <v>84.75946982501326306113629962</v>
      </c>
      <c r="AA29" s="428">
        <v>-3.3172868268999467929578433300</v>
      </c>
      <c r="AB29" s="429">
        <v>1.9910323596219912219878415600</v>
      </c>
    </row>
    <row r="30" ht="18" customHeight="1">
      <c r="A30" s="58"/>
      <c r="B30" s="286">
        <v>2020</v>
      </c>
      <c r="C30" s="287"/>
      <c r="D30" s="276">
        <v>86.5236462990561351217088922</v>
      </c>
      <c r="E30" s="94"/>
      <c r="F30" s="277">
        <v>56.515073410230860335240113585</v>
      </c>
      <c r="G30" s="276">
        <v>14.930178837555886736214605067</v>
      </c>
      <c r="H30" s="94"/>
      <c r="I30" s="277">
        <v>20.218147745910875585026079961</v>
      </c>
      <c r="J30" s="276">
        <v>0</v>
      </c>
      <c r="K30" s="94"/>
      <c r="L30" s="277">
        <v>4.7962489967467098562554467841</v>
      </c>
      <c r="M30" s="276">
        <v>101.45382513661202185792349727</v>
      </c>
      <c r="N30" s="94"/>
      <c r="O30" s="277">
        <v>81.52947015288844577652164033</v>
      </c>
      <c r="P30" s="5"/>
      <c r="Q30" s="271">
        <v>-26.764519675259238745284952550</v>
      </c>
      <c r="R30" s="92"/>
      <c r="S30" s="272">
        <v>-47.885920429491149175033788110</v>
      </c>
      <c r="T30" s="271">
        <v>11.052345660055744193240182380</v>
      </c>
      <c r="U30" s="92"/>
      <c r="V30" s="272">
        <v>-30.710137899356679369332197090</v>
      </c>
      <c r="W30" s="271">
        <v>0</v>
      </c>
      <c r="X30" s="92"/>
      <c r="Y30" s="272">
        <v>-37.659860800458759589342992110</v>
      </c>
      <c r="Z30" s="271">
        <v>-22.900812766146078637758322040</v>
      </c>
      <c r="AA30" s="92"/>
      <c r="AB30" s="272">
        <v>-43.895699839534107944139431630</v>
      </c>
    </row>
    <row r="31" ht="18" customHeight="1">
      <c r="A31" s="58"/>
      <c r="B31" s="425">
        <v>2021</v>
      </c>
      <c r="C31" s="426"/>
      <c r="D31" s="457">
        <v>187.49169779991697799916977999</v>
      </c>
      <c r="E31" s="458">
        <v>180.70391963031228726267051127</v>
      </c>
      <c r="F31" s="459">
        <v>114.19470561561868650846286986</v>
      </c>
      <c r="G31" s="457">
        <v>7.386986301369863013698630137</v>
      </c>
      <c r="H31" s="458">
        <v>3.2683989172939927820980129403</v>
      </c>
      <c r="I31" s="459">
        <v>10.901182169621939212992928819</v>
      </c>
      <c r="J31" s="457">
        <v>0</v>
      </c>
      <c r="K31" s="458">
        <v>0.0297286261773506958700424274</v>
      </c>
      <c r="L31" s="459">
        <v>5.489699836918894312999295458</v>
      </c>
      <c r="M31" s="457">
        <v>194.87868410128684101286841013</v>
      </c>
      <c r="N31" s="458">
        <v>184.00204717378363074063856664</v>
      </c>
      <c r="O31" s="459">
        <v>130.58558762215952003445509414</v>
      </c>
      <c r="P31" s="93"/>
      <c r="Q31" s="430">
        <v>116.69417069154103083077492686</v>
      </c>
      <c r="R31" s="431"/>
      <c r="S31" s="432">
        <v>102.06061626562180780848007439</v>
      </c>
      <c r="T31" s="430">
        <v>-50.523122450706638187318117750</v>
      </c>
      <c r="U31" s="431"/>
      <c r="V31" s="432">
        <v>-46.082191570528168889253102350</v>
      </c>
      <c r="W31" s="430">
        <v>0</v>
      </c>
      <c r="X31" s="431"/>
      <c r="Y31" s="432">
        <v>14.458190988333062266247780560</v>
      </c>
      <c r="Z31" s="430">
        <v>92.08608826616171883247526863</v>
      </c>
      <c r="AA31" s="431"/>
      <c r="AB31" s="432">
        <v>60.169797960491953342592436180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2019</v>
      </c>
      <c r="C34" s="285"/>
      <c r="D34" s="454">
        <v>137.76375164690382081686429513</v>
      </c>
      <c r="E34" s="455">
        <v>174.80140007732931106803765306</v>
      </c>
      <c r="F34" s="456">
        <v>112.35933789242591381907491372</v>
      </c>
      <c r="G34" s="454">
        <v>7.931241765480895915678524374</v>
      </c>
      <c r="H34" s="455">
        <v>14.844572887464394167511625666</v>
      </c>
      <c r="I34" s="456">
        <v>25.448830070530284961332520163</v>
      </c>
      <c r="J34" s="454">
        <v>0</v>
      </c>
      <c r="K34" s="455">
        <v>0</v>
      </c>
      <c r="L34" s="456">
        <v>7.5317607944470228727641491924</v>
      </c>
      <c r="M34" s="454">
        <v>145.6949934123847167325428195</v>
      </c>
      <c r="N34" s="455">
        <v>189.64597296479370523554927872</v>
      </c>
      <c r="O34" s="456">
        <v>145.33992875740322165317158307</v>
      </c>
      <c r="P34" s="5"/>
      <c r="Q34" s="427">
        <v>66.234735346459515719962236290</v>
      </c>
      <c r="R34" s="428">
        <v>1.4432775716917452126093471400</v>
      </c>
      <c r="S34" s="429">
        <v>5.8325777438639545937368816700</v>
      </c>
      <c r="T34" s="427">
        <v>-40.909090909199376679468260630</v>
      </c>
      <c r="U34" s="428">
        <v>-23.056107362278409362233583680</v>
      </c>
      <c r="V34" s="429">
        <v>-1.9105195826398814498975492200</v>
      </c>
      <c r="W34" s="427">
        <v>0</v>
      </c>
      <c r="X34" s="428">
        <v>0</v>
      </c>
      <c r="Y34" s="429">
        <v>29.389623260312089925024809060</v>
      </c>
      <c r="Z34" s="427">
        <v>51.300487084047935453758297530</v>
      </c>
      <c r="AA34" s="428">
        <v>-1.0235399577613991819437010500</v>
      </c>
      <c r="AB34" s="429">
        <v>5.3702834742507229353546098400</v>
      </c>
    </row>
    <row r="35" ht="18" customHeight="1">
      <c r="A35" s="58"/>
      <c r="B35" s="286">
        <v>2020</v>
      </c>
      <c r="C35" s="287"/>
      <c r="D35" s="276">
        <v>79.189476284584980237154150198</v>
      </c>
      <c r="E35" s="94"/>
      <c r="F35" s="277">
        <v>48.268936883182810399915712693</v>
      </c>
      <c r="G35" s="276">
        <v>3.3302865612648221343873517787</v>
      </c>
      <c r="H35" s="94"/>
      <c r="I35" s="277">
        <v>2.3889452377566172697932562046</v>
      </c>
      <c r="J35" s="276">
        <v>0</v>
      </c>
      <c r="K35" s="94"/>
      <c r="L35" s="277">
        <v>3.5807961508818063963244437217</v>
      </c>
      <c r="M35" s="276">
        <v>82.51976284584980237154150198</v>
      </c>
      <c r="N35" s="94"/>
      <c r="O35" s="277">
        <v>54.23867827182123406603341262</v>
      </c>
      <c r="P35" s="5"/>
      <c r="Q35" s="271">
        <v>-42.517915389271467433874333870</v>
      </c>
      <c r="R35" s="92"/>
      <c r="S35" s="272">
        <v>-57.040564862168231528542206640</v>
      </c>
      <c r="T35" s="271">
        <v>-58.010527736637785204741634750</v>
      </c>
      <c r="U35" s="92"/>
      <c r="V35" s="272">
        <v>-90.61275024769859284524764337</v>
      </c>
      <c r="W35" s="271">
        <v>0</v>
      </c>
      <c r="X35" s="92"/>
      <c r="Y35" s="272">
        <v>-52.457383490668039791611099850</v>
      </c>
      <c r="Z35" s="271">
        <v>-43.361291343572961445259553310</v>
      </c>
      <c r="AA35" s="92"/>
      <c r="AB35" s="272">
        <v>-62.681502092686511502853468630</v>
      </c>
    </row>
    <row r="36" ht="18" customHeight="1">
      <c r="A36" s="58"/>
      <c r="B36" s="425">
        <v>2021</v>
      </c>
      <c r="C36" s="426"/>
      <c r="D36" s="457">
        <v>201.13372859025032938076416337</v>
      </c>
      <c r="E36" s="458">
        <v>172.71238366624160654059985667</v>
      </c>
      <c r="F36" s="459">
        <v>121.98839663391593729843328215</v>
      </c>
      <c r="G36" s="457">
        <v>15.008152173913043478260869565</v>
      </c>
      <c r="H36" s="458">
        <v>7.6972887502462036845258655079</v>
      </c>
      <c r="I36" s="459">
        <v>17.478934512785893975164130059</v>
      </c>
      <c r="J36" s="457">
        <v>0</v>
      </c>
      <c r="K36" s="458">
        <v>0.1032734626607825318600540755</v>
      </c>
      <c r="L36" s="459">
        <v>7.5022501872276406758278512418</v>
      </c>
      <c r="M36" s="457">
        <v>216.14188076416337285902503294</v>
      </c>
      <c r="N36" s="458">
        <v>180.51294587914859275698577625</v>
      </c>
      <c r="O36" s="459">
        <v>146.96958133392947194942526345</v>
      </c>
      <c r="P36" s="93"/>
      <c r="Q36" s="430">
        <v>153.99047705201816424536066879</v>
      </c>
      <c r="R36" s="431"/>
      <c r="S36" s="432">
        <v>152.72650385712967700855054027</v>
      </c>
      <c r="T36" s="430">
        <v>350.65647948489181198140726993</v>
      </c>
      <c r="U36" s="431"/>
      <c r="V36" s="432">
        <v>631.65907012930918073320642691</v>
      </c>
      <c r="W36" s="430">
        <v>0</v>
      </c>
      <c r="X36" s="431"/>
      <c r="Y36" s="432">
        <v>109.51346770583462190315803497</v>
      </c>
      <c r="Z36" s="430">
        <v>161.92741388272703239124683003</v>
      </c>
      <c r="AA36" s="431"/>
      <c r="AB36" s="432">
        <v>170.96822049652067227723005380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2019</v>
      </c>
      <c r="C39" s="285"/>
      <c r="D39" s="454">
        <v>118.14443752594437525944375259</v>
      </c>
      <c r="E39" s="455">
        <v>172.84910127381472026325350339</v>
      </c>
      <c r="F39" s="456">
        <v>108.44492289985838074182311338</v>
      </c>
      <c r="G39" s="454">
        <v>13.444271481942714819427148194</v>
      </c>
      <c r="H39" s="455">
        <v>15.848464056891188264223215285</v>
      </c>
      <c r="I39" s="456">
        <v>29.17908498145239274934620836</v>
      </c>
      <c r="J39" s="454">
        <v>0</v>
      </c>
      <c r="K39" s="455">
        <v>0</v>
      </c>
      <c r="L39" s="456">
        <v>7.6936770727723944371150514497</v>
      </c>
      <c r="M39" s="454">
        <v>131.58870900788709007887090079</v>
      </c>
      <c r="N39" s="455">
        <v>188.69756533070590852747671869</v>
      </c>
      <c r="O39" s="456">
        <v>145.31768495408316792828437319</v>
      </c>
      <c r="P39" s="5"/>
      <c r="Q39" s="427">
        <v>86.85162092157549530445179952</v>
      </c>
      <c r="R39" s="428">
        <v>-2.5659779053006239774552970100</v>
      </c>
      <c r="S39" s="429">
        <v>2.8005295802278210850886264100</v>
      </c>
      <c r="T39" s="427">
        <v>81.57158337267329831989619284</v>
      </c>
      <c r="U39" s="428">
        <v>-9.858761199726898780135277970</v>
      </c>
      <c r="V39" s="429">
        <v>-5.0932094830111241601291378800</v>
      </c>
      <c r="W39" s="427">
        <v>-100</v>
      </c>
      <c r="X39" s="428">
        <v>-100</v>
      </c>
      <c r="Y39" s="429">
        <v>23.192918963186586015543916720</v>
      </c>
      <c r="Z39" s="427">
        <v>84.75946982501326306113629962</v>
      </c>
      <c r="AA39" s="428">
        <v>-3.3172868268999467929578433300</v>
      </c>
      <c r="AB39" s="429">
        <v>1.9910323596219912219878415600</v>
      </c>
    </row>
    <row r="40" ht="18" customHeight="1">
      <c r="A40" s="58"/>
      <c r="B40" s="286">
        <v>2020</v>
      </c>
      <c r="C40" s="287"/>
      <c r="D40" s="276">
        <v>86.5236462990561351217088922</v>
      </c>
      <c r="E40" s="94"/>
      <c r="F40" s="277">
        <v>56.515073410230860335240113585</v>
      </c>
      <c r="G40" s="276">
        <v>14.930178837555886736214605067</v>
      </c>
      <c r="H40" s="94"/>
      <c r="I40" s="277">
        <v>20.218147745910875585026079961</v>
      </c>
      <c r="J40" s="276">
        <v>0</v>
      </c>
      <c r="K40" s="94"/>
      <c r="L40" s="277">
        <v>4.7962489967467098562554467841</v>
      </c>
      <c r="M40" s="276">
        <v>101.45382513661202185792349727</v>
      </c>
      <c r="N40" s="94"/>
      <c r="O40" s="277">
        <v>81.52947015288844577652164033</v>
      </c>
      <c r="P40" s="5"/>
      <c r="Q40" s="271">
        <v>-26.764519675259238745284952550</v>
      </c>
      <c r="R40" s="92"/>
      <c r="S40" s="272">
        <v>-47.885920429491149175033788110</v>
      </c>
      <c r="T40" s="271">
        <v>11.052345660055744193240182380</v>
      </c>
      <c r="U40" s="92"/>
      <c r="V40" s="272">
        <v>-30.710137899356679369332197090</v>
      </c>
      <c r="W40" s="271">
        <v>0</v>
      </c>
      <c r="X40" s="92"/>
      <c r="Y40" s="272">
        <v>-37.659860800458759589342992110</v>
      </c>
      <c r="Z40" s="271">
        <v>-22.900812766146078637758322040</v>
      </c>
      <c r="AA40" s="92"/>
      <c r="AB40" s="272">
        <v>-43.895699839534107944139431630</v>
      </c>
    </row>
    <row r="41" ht="18" customHeight="1">
      <c r="A41" s="58"/>
      <c r="B41" s="425">
        <v>2021</v>
      </c>
      <c r="C41" s="426"/>
      <c r="D41" s="457">
        <v>187.49169779991697799916977999</v>
      </c>
      <c r="E41" s="458">
        <v>180.70391963031228726267051127</v>
      </c>
      <c r="F41" s="459">
        <v>114.19470561561868650846286986</v>
      </c>
      <c r="G41" s="457">
        <v>7.386986301369863013698630137</v>
      </c>
      <c r="H41" s="458">
        <v>3.2683989172939927820980129403</v>
      </c>
      <c r="I41" s="459">
        <v>10.901182169621939212992928819</v>
      </c>
      <c r="J41" s="457">
        <v>0</v>
      </c>
      <c r="K41" s="458">
        <v>0.0297286261773506958700424274</v>
      </c>
      <c r="L41" s="459">
        <v>5.489699836918894312999295458</v>
      </c>
      <c r="M41" s="457">
        <v>194.87868410128684101286841013</v>
      </c>
      <c r="N41" s="458">
        <v>184.00204717378363074063856664</v>
      </c>
      <c r="O41" s="459">
        <v>130.58558762215952003445509414</v>
      </c>
      <c r="P41" s="93"/>
      <c r="Q41" s="430">
        <v>116.69417069154103083077492686</v>
      </c>
      <c r="R41" s="431"/>
      <c r="S41" s="432">
        <v>102.06061626562180780848007439</v>
      </c>
      <c r="T41" s="430">
        <v>-50.523122450706638187318117750</v>
      </c>
      <c r="U41" s="431"/>
      <c r="V41" s="432">
        <v>-46.082191570528168889253102350</v>
      </c>
      <c r="W41" s="430">
        <v>0</v>
      </c>
      <c r="X41" s="431"/>
      <c r="Y41" s="432">
        <v>14.458190988333062266247780560</v>
      </c>
      <c r="Z41" s="430">
        <v>92.08608826616171883247526863</v>
      </c>
      <c r="AA41" s="431"/>
      <c r="AB41" s="432">
        <v>60.169797960491953342592436180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147</v>
      </c>
      <c r="Y1" s="21"/>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2020</v>
      </c>
      <c r="C9" s="285" t="s">
        <v>218</v>
      </c>
      <c r="D9" s="415"/>
      <c r="E9" s="416"/>
      <c r="F9" s="417"/>
      <c r="G9" s="415"/>
      <c r="H9" s="416"/>
      <c r="I9" s="417"/>
      <c r="J9" s="415"/>
      <c r="K9" s="416"/>
      <c r="L9" s="417"/>
      <c r="M9" s="415"/>
      <c r="N9" s="416"/>
      <c r="O9" s="417"/>
      <c r="P9" s="5"/>
      <c r="Q9" s="415"/>
      <c r="R9" s="416"/>
      <c r="S9" s="417"/>
      <c r="T9" s="415"/>
      <c r="U9" s="416"/>
      <c r="V9" s="417"/>
      <c r="W9" s="415"/>
      <c r="X9" s="416"/>
      <c r="Y9" s="417"/>
      <c r="Z9" s="415"/>
      <c r="AA9" s="416"/>
      <c r="AB9" s="417"/>
    </row>
    <row r="10" ht="18.95" customHeight="1">
      <c r="A10" s="58"/>
      <c r="B10" s="286"/>
      <c r="C10" s="287" t="s">
        <v>219</v>
      </c>
      <c r="D10" s="271"/>
      <c r="E10" s="92"/>
      <c r="F10" s="272"/>
      <c r="G10" s="271"/>
      <c r="H10" s="92"/>
      <c r="I10" s="272"/>
      <c r="J10" s="271"/>
      <c r="K10" s="92"/>
      <c r="L10" s="272"/>
      <c r="M10" s="271"/>
      <c r="N10" s="92"/>
      <c r="O10" s="272"/>
      <c r="P10" s="5"/>
      <c r="Q10" s="271"/>
      <c r="R10" s="92"/>
      <c r="S10" s="272"/>
      <c r="T10" s="271"/>
      <c r="U10" s="92"/>
      <c r="V10" s="272"/>
      <c r="W10" s="271"/>
      <c r="X10" s="92"/>
      <c r="Y10" s="272"/>
      <c r="Z10" s="271"/>
      <c r="AA10" s="92"/>
      <c r="AB10" s="272"/>
    </row>
    <row r="11" ht="18.95" customHeight="1">
      <c r="A11" s="58"/>
      <c r="B11" s="288"/>
      <c r="C11" s="289" t="s">
        <v>220</v>
      </c>
      <c r="D11" s="420"/>
      <c r="E11" s="91"/>
      <c r="F11" s="421"/>
      <c r="G11" s="420"/>
      <c r="H11" s="91"/>
      <c r="I11" s="421"/>
      <c r="J11" s="420"/>
      <c r="K11" s="91"/>
      <c r="L11" s="421"/>
      <c r="M11" s="420"/>
      <c r="N11" s="91"/>
      <c r="O11" s="421"/>
      <c r="P11" s="5"/>
      <c r="Q11" s="420"/>
      <c r="R11" s="91"/>
      <c r="S11" s="421"/>
      <c r="T11" s="420"/>
      <c r="U11" s="91"/>
      <c r="V11" s="421"/>
      <c r="W11" s="420"/>
      <c r="X11" s="91"/>
      <c r="Y11" s="421"/>
      <c r="Z11" s="420"/>
      <c r="AA11" s="91"/>
      <c r="AB11" s="421"/>
    </row>
    <row r="12" ht="18.95" customHeight="1">
      <c r="A12" s="58"/>
      <c r="B12" s="286"/>
      <c r="C12" s="287" t="s">
        <v>221</v>
      </c>
      <c r="D12" s="271"/>
      <c r="E12" s="92"/>
      <c r="F12" s="272"/>
      <c r="G12" s="271"/>
      <c r="H12" s="92"/>
      <c r="I12" s="272"/>
      <c r="J12" s="271"/>
      <c r="K12" s="92"/>
      <c r="L12" s="272"/>
      <c r="M12" s="271"/>
      <c r="N12" s="92"/>
      <c r="O12" s="272"/>
      <c r="P12" s="5"/>
      <c r="Q12" s="271"/>
      <c r="R12" s="92"/>
      <c r="S12" s="272"/>
      <c r="T12" s="271"/>
      <c r="U12" s="92"/>
      <c r="V12" s="272"/>
      <c r="W12" s="271"/>
      <c r="X12" s="92"/>
      <c r="Y12" s="272"/>
      <c r="Z12" s="271"/>
      <c r="AA12" s="92"/>
      <c r="AB12" s="272"/>
    </row>
    <row r="13" ht="18.95" customHeight="1">
      <c r="A13" s="58"/>
      <c r="B13" s="288"/>
      <c r="C13" s="289" t="s">
        <v>222</v>
      </c>
      <c r="D13" s="420"/>
      <c r="E13" s="91"/>
      <c r="F13" s="421"/>
      <c r="G13" s="420"/>
      <c r="H13" s="91"/>
      <c r="I13" s="421"/>
      <c r="J13" s="420"/>
      <c r="K13" s="91"/>
      <c r="L13" s="421"/>
      <c r="M13" s="420"/>
      <c r="N13" s="91"/>
      <c r="O13" s="421"/>
      <c r="P13" s="5"/>
      <c r="Q13" s="420"/>
      <c r="R13" s="91"/>
      <c r="S13" s="421"/>
      <c r="T13" s="420"/>
      <c r="U13" s="91"/>
      <c r="V13" s="421"/>
      <c r="W13" s="420"/>
      <c r="X13" s="91"/>
      <c r="Y13" s="421"/>
      <c r="Z13" s="420"/>
      <c r="AA13" s="91"/>
      <c r="AB13" s="421"/>
    </row>
    <row r="14" ht="18.95" customHeight="1">
      <c r="A14" s="58"/>
      <c r="B14" s="286"/>
      <c r="C14" s="287" t="s">
        <v>223</v>
      </c>
      <c r="D14" s="271">
        <v>139.71462025095243088322673097</v>
      </c>
      <c r="E14" s="92">
        <v>71.661848464485428891669271670</v>
      </c>
      <c r="F14" s="272">
        <v>100.12207944696880266884640692</v>
      </c>
      <c r="G14" s="271">
        <v>0</v>
      </c>
      <c r="H14" s="92">
        <v>0</v>
      </c>
      <c r="I14" s="272">
        <v>0</v>
      </c>
      <c r="J14" s="271">
        <v>0</v>
      </c>
      <c r="K14" s="92">
        <v>0</v>
      </c>
      <c r="L14" s="272">
        <v>0</v>
      </c>
      <c r="M14" s="271">
        <v>145.05592254727202824088637237</v>
      </c>
      <c r="N14" s="92">
        <v>73.216879638393756760550008220</v>
      </c>
      <c r="O14" s="272">
        <v>106.20542021979783207117921127</v>
      </c>
      <c r="P14" s="5"/>
      <c r="Q14" s="271">
        <v>26.904455032664632150568475950</v>
      </c>
      <c r="R14" s="92">
        <v>-4.4729068426868398650487997500</v>
      </c>
      <c r="S14" s="272">
        <v>21.228136979803112454427916990</v>
      </c>
      <c r="T14" s="271">
        <v>-100</v>
      </c>
      <c r="U14" s="92">
        <v>-100</v>
      </c>
      <c r="V14" s="272">
        <v>-100</v>
      </c>
      <c r="W14" s="271">
        <v>0</v>
      </c>
      <c r="X14" s="92">
        <v>0</v>
      </c>
      <c r="Y14" s="272">
        <v>0</v>
      </c>
      <c r="Z14" s="271">
        <v>32.855767589981398109386311700</v>
      </c>
      <c r="AA14" s="92">
        <v>-2.6996147616017980521069362700</v>
      </c>
      <c r="AB14" s="272">
        <v>29.269173676389436799809660650</v>
      </c>
    </row>
    <row r="15" ht="18.95" customHeight="1">
      <c r="A15" s="58"/>
      <c r="B15" s="288">
        <v>2021</v>
      </c>
      <c r="C15" s="289" t="s">
        <v>227</v>
      </c>
      <c r="D15" s="420">
        <v>168.89297250972377875931175421</v>
      </c>
      <c r="E15" s="91">
        <v>74.207179304546360626437698540</v>
      </c>
      <c r="F15" s="421">
        <v>125.33071094306891804166011687</v>
      </c>
      <c r="G15" s="420">
        <v>827.9106858054226475279106958</v>
      </c>
      <c r="H15" s="91">
        <v>64.130373358862585480118712460</v>
      </c>
      <c r="I15" s="421">
        <v>530.94221388493729063364630993</v>
      </c>
      <c r="J15" s="420">
        <v>0</v>
      </c>
      <c r="K15" s="91">
        <v>0</v>
      </c>
      <c r="L15" s="421">
        <v>0</v>
      </c>
      <c r="M15" s="420">
        <v>171.15518326900440721578932960</v>
      </c>
      <c r="N15" s="91">
        <v>74.662832933724118341424474690</v>
      </c>
      <c r="O15" s="421">
        <v>127.78930854154609460628131867</v>
      </c>
      <c r="P15" s="5"/>
      <c r="Q15" s="420">
        <v>84.25570952195662216517165088</v>
      </c>
      <c r="R15" s="91">
        <v>-16.487801975454164187435401830</v>
      </c>
      <c r="S15" s="421">
        <v>53.875993007526075259297427980</v>
      </c>
      <c r="T15" s="420">
        <v>510.03469503544890016601560701</v>
      </c>
      <c r="U15" s="91">
        <v>-37.970114206289519300639473420</v>
      </c>
      <c r="V15" s="421">
        <v>278.40382463242747879053034857</v>
      </c>
      <c r="W15" s="420">
        <v>0</v>
      </c>
      <c r="X15" s="91">
        <v>0</v>
      </c>
      <c r="Y15" s="421">
        <v>0</v>
      </c>
      <c r="Z15" s="420">
        <v>72.256189936687468311064125820</v>
      </c>
      <c r="AA15" s="91">
        <v>-20.914382046077862805126935020</v>
      </c>
      <c r="AB15" s="421">
        <v>36.229872275224624049643114530</v>
      </c>
    </row>
    <row r="16" ht="18.95" customHeight="1">
      <c r="A16" s="58"/>
      <c r="B16" s="286"/>
      <c r="C16" s="287" t="s">
        <v>230</v>
      </c>
      <c r="D16" s="271">
        <v>120.61627396993250651787237153</v>
      </c>
      <c r="E16" s="92">
        <v>75.720135084044114675346721660</v>
      </c>
      <c r="F16" s="272">
        <v>91.33080558337363295663721240</v>
      </c>
      <c r="G16" s="271">
        <v>0</v>
      </c>
      <c r="H16" s="92">
        <v>0</v>
      </c>
      <c r="I16" s="272">
        <v>0</v>
      </c>
      <c r="J16" s="271">
        <v>0</v>
      </c>
      <c r="K16" s="92">
        <v>0</v>
      </c>
      <c r="L16" s="272">
        <v>0</v>
      </c>
      <c r="M16" s="271">
        <v>123.62160197526051184587769954</v>
      </c>
      <c r="N16" s="92">
        <v>76.143007011888608392832830780</v>
      </c>
      <c r="O16" s="272">
        <v>94.12920506023163795082770371</v>
      </c>
      <c r="P16" s="5"/>
      <c r="Q16" s="271">
        <v>30.390790428780301231479581380</v>
      </c>
      <c r="R16" s="92">
        <v>-15.552926800523233107399874750</v>
      </c>
      <c r="S16" s="272">
        <v>10.111206238721667990392329300</v>
      </c>
      <c r="T16" s="271">
        <v>-100</v>
      </c>
      <c r="U16" s="92">
        <v>-100</v>
      </c>
      <c r="V16" s="272">
        <v>-100</v>
      </c>
      <c r="W16" s="271">
        <v>0</v>
      </c>
      <c r="X16" s="92">
        <v>0</v>
      </c>
      <c r="Y16" s="272">
        <v>0</v>
      </c>
      <c r="Z16" s="271">
        <v>27.68732583258457696159955500</v>
      </c>
      <c r="AA16" s="92">
        <v>-14.260713376230547168280046780</v>
      </c>
      <c r="AB16" s="272">
        <v>9.478202277783870683455363880</v>
      </c>
    </row>
    <row r="17" ht="18.95" customHeight="1">
      <c r="A17" s="58"/>
      <c r="B17" s="288"/>
      <c r="C17" s="289" t="s">
        <v>231</v>
      </c>
      <c r="D17" s="420">
        <v>113.55912706238085847630316176</v>
      </c>
      <c r="E17" s="91">
        <v>78.184446179898878195401292980</v>
      </c>
      <c r="F17" s="421">
        <v>88.78557458045014428345519537</v>
      </c>
      <c r="G17" s="420">
        <v>0</v>
      </c>
      <c r="H17" s="91">
        <v>0</v>
      </c>
      <c r="I17" s="421">
        <v>0</v>
      </c>
      <c r="J17" s="420">
        <v>0</v>
      </c>
      <c r="K17" s="91">
        <v>0</v>
      </c>
      <c r="L17" s="421">
        <v>0</v>
      </c>
      <c r="M17" s="420">
        <v>114.43337934661145073292578715</v>
      </c>
      <c r="N17" s="91">
        <v>78.337519502254790937773025500</v>
      </c>
      <c r="O17" s="421">
        <v>89.64427086274095127443345544</v>
      </c>
      <c r="P17" s="5"/>
      <c r="Q17" s="420">
        <v>10.738982129094867882012617410</v>
      </c>
      <c r="R17" s="91">
        <v>0.7735911591592230052893891200</v>
      </c>
      <c r="S17" s="421">
        <v>11.595649104689279653840433470</v>
      </c>
      <c r="T17" s="420">
        <v>-100</v>
      </c>
      <c r="U17" s="91">
        <v>-100</v>
      </c>
      <c r="V17" s="421">
        <v>-100</v>
      </c>
      <c r="W17" s="420">
        <v>0</v>
      </c>
      <c r="X17" s="91">
        <v>0</v>
      </c>
      <c r="Y17" s="421">
        <v>0</v>
      </c>
      <c r="Z17" s="420">
        <v>19.988093004711963010802859670</v>
      </c>
      <c r="AA17" s="91">
        <v>1.5749707644408918200581841400</v>
      </c>
      <c r="AB17" s="421">
        <v>21.877870390309831222577279620</v>
      </c>
    </row>
    <row r="18" ht="18.95" customHeight="1">
      <c r="A18" s="58"/>
      <c r="B18" s="286"/>
      <c r="C18" s="287" t="s">
        <v>232</v>
      </c>
      <c r="D18" s="271">
        <v>112.33277784162739914952304333</v>
      </c>
      <c r="E18" s="92">
        <v>83.09196840157759037957653477</v>
      </c>
      <c r="F18" s="272">
        <v>93.33951626877939164340415114</v>
      </c>
      <c r="G18" s="271">
        <v>2394.8402948402948402948402612</v>
      </c>
      <c r="H18" s="92">
        <v>96.61818718989069434155037293</v>
      </c>
      <c r="I18" s="272">
        <v>2313.8512789677262843908881693</v>
      </c>
      <c r="J18" s="271">
        <v>0</v>
      </c>
      <c r="K18" s="92">
        <v>0</v>
      </c>
      <c r="L18" s="272">
        <v>0</v>
      </c>
      <c r="M18" s="271">
        <v>122.95977899035656680050791037</v>
      </c>
      <c r="N18" s="92">
        <v>81.87776058167565904951704619</v>
      </c>
      <c r="O18" s="272">
        <v>100.67671345348167771714570257</v>
      </c>
      <c r="P18" s="5"/>
      <c r="Q18" s="271"/>
      <c r="R18" s="92"/>
      <c r="S18" s="272"/>
      <c r="T18" s="271"/>
      <c r="U18" s="92"/>
      <c r="V18" s="272"/>
      <c r="W18" s="271"/>
      <c r="X18" s="92"/>
      <c r="Y18" s="272"/>
      <c r="Z18" s="271"/>
      <c r="AA18" s="92"/>
      <c r="AB18" s="272"/>
    </row>
    <row r="19" ht="18.95" customHeight="1">
      <c r="A19" s="58"/>
      <c r="B19" s="288"/>
      <c r="C19" s="289" t="s">
        <v>233</v>
      </c>
      <c r="D19" s="420">
        <v>118.80189513851138895106534924</v>
      </c>
      <c r="E19" s="91">
        <v>87.70703471571386400782650673</v>
      </c>
      <c r="F19" s="421">
        <v>104.19761941206016521154918148</v>
      </c>
      <c r="G19" s="420">
        <v>319.92567181246426529445397252</v>
      </c>
      <c r="H19" s="91">
        <v>83.72710273753198541659590629</v>
      </c>
      <c r="I19" s="421">
        <v>267.86449592216136329248850408</v>
      </c>
      <c r="J19" s="420">
        <v>0</v>
      </c>
      <c r="K19" s="91">
        <v>0</v>
      </c>
      <c r="L19" s="421">
        <v>0</v>
      </c>
      <c r="M19" s="420">
        <v>120.04397858802426502263370126</v>
      </c>
      <c r="N19" s="91">
        <v>87.38724579056598017853561340</v>
      </c>
      <c r="O19" s="421">
        <v>104.90312662549116110450366491</v>
      </c>
      <c r="P19" s="5"/>
      <c r="Q19" s="420"/>
      <c r="R19" s="91"/>
      <c r="S19" s="421"/>
      <c r="T19" s="420"/>
      <c r="U19" s="91"/>
      <c r="V19" s="421"/>
      <c r="W19" s="420"/>
      <c r="X19" s="91"/>
      <c r="Y19" s="421"/>
      <c r="Z19" s="420"/>
      <c r="AA19" s="91"/>
      <c r="AB19" s="421"/>
    </row>
    <row r="20" ht="18.95" customHeight="1">
      <c r="A20" s="58"/>
      <c r="B20" s="286"/>
      <c r="C20" s="287" t="s">
        <v>234</v>
      </c>
      <c r="D20" s="271">
        <v>113.94575423390791587162985242</v>
      </c>
      <c r="E20" s="92">
        <v>84.50713697960155594341826578</v>
      </c>
      <c r="F20" s="272">
        <v>96.29229461288870198722916447</v>
      </c>
      <c r="G20" s="271">
        <v>342.14452214452214452214452485</v>
      </c>
      <c r="H20" s="92">
        <v>101.93006320649962237969315685</v>
      </c>
      <c r="I20" s="272">
        <v>348.74812767948751918161681965</v>
      </c>
      <c r="J20" s="271">
        <v>0</v>
      </c>
      <c r="K20" s="92">
        <v>0</v>
      </c>
      <c r="L20" s="272">
        <v>0</v>
      </c>
      <c r="M20" s="271">
        <v>115.69121433207100422915908913</v>
      </c>
      <c r="N20" s="92">
        <v>84.80014798869647920200075742</v>
      </c>
      <c r="O20" s="272">
        <v>98.10632096351624257792964026</v>
      </c>
      <c r="P20" s="5"/>
      <c r="Q20" s="271"/>
      <c r="R20" s="92"/>
      <c r="S20" s="272"/>
      <c r="T20" s="271"/>
      <c r="U20" s="92"/>
      <c r="V20" s="272"/>
      <c r="W20" s="271"/>
      <c r="X20" s="92"/>
      <c r="Y20" s="272"/>
      <c r="Z20" s="271"/>
      <c r="AA20" s="92"/>
      <c r="AB20" s="272"/>
    </row>
    <row r="21" ht="18.95" customHeight="1">
      <c r="A21" s="58"/>
      <c r="B21" s="288"/>
      <c r="C21" s="289" t="s">
        <v>218</v>
      </c>
      <c r="D21" s="420">
        <v>112.94321831374287660715637402</v>
      </c>
      <c r="E21" s="91">
        <v>92.70206994458349634700274553</v>
      </c>
      <c r="F21" s="421">
        <v>104.70070123886955838973174152</v>
      </c>
      <c r="G21" s="420">
        <v>80.09891662741403674046161089</v>
      </c>
      <c r="H21" s="91">
        <v>100.04016060680890357135989325</v>
      </c>
      <c r="I21" s="421">
        <v>80.13108483837896397696537846</v>
      </c>
      <c r="J21" s="420">
        <v>0</v>
      </c>
      <c r="K21" s="91">
        <v>0</v>
      </c>
      <c r="L21" s="421">
        <v>0</v>
      </c>
      <c r="M21" s="420">
        <v>112.20613107822410147991543341</v>
      </c>
      <c r="N21" s="91">
        <v>92.80397708095951397311811737</v>
      </c>
      <c r="O21" s="421">
        <v>104.13175216926648551484745036</v>
      </c>
      <c r="P21" s="5"/>
      <c r="Q21" s="420"/>
      <c r="R21" s="91"/>
      <c r="S21" s="421"/>
      <c r="T21" s="420"/>
      <c r="U21" s="91"/>
      <c r="V21" s="421"/>
      <c r="W21" s="420"/>
      <c r="X21" s="91"/>
      <c r="Y21" s="421"/>
      <c r="Z21" s="420"/>
      <c r="AA21" s="91"/>
      <c r="AB21" s="421"/>
    </row>
    <row r="22" ht="18.95" customHeight="1">
      <c r="A22" s="58"/>
      <c r="B22" s="286"/>
      <c r="C22" s="287" t="s">
        <v>219</v>
      </c>
      <c r="D22" s="271">
        <v>110.63732563732563732563732563</v>
      </c>
      <c r="E22" s="92">
        <v>89.27671639925597943073475930</v>
      </c>
      <c r="F22" s="272">
        <v>98.77337144095653731967511140</v>
      </c>
      <c r="G22" s="271">
        <v>124.49080973671137605563835189</v>
      </c>
      <c r="H22" s="92">
        <v>58.760115503966381746268968690</v>
      </c>
      <c r="I22" s="272">
        <v>73.150943593114631225111791130</v>
      </c>
      <c r="J22" s="271">
        <v>0</v>
      </c>
      <c r="K22" s="92">
        <v>0</v>
      </c>
      <c r="L22" s="272">
        <v>0</v>
      </c>
      <c r="M22" s="271">
        <v>110.77017621586085664060825199</v>
      </c>
      <c r="N22" s="92">
        <v>88.89467517491809381899641837</v>
      </c>
      <c r="O22" s="272">
        <v>98.46878833777388771961177343</v>
      </c>
      <c r="P22" s="5"/>
      <c r="Q22" s="271"/>
      <c r="R22" s="92"/>
      <c r="S22" s="272"/>
      <c r="T22" s="271"/>
      <c r="U22" s="92"/>
      <c r="V22" s="272"/>
      <c r="W22" s="271"/>
      <c r="X22" s="92"/>
      <c r="Y22" s="272"/>
      <c r="Z22" s="271"/>
      <c r="AA22" s="92"/>
      <c r="AB22" s="272"/>
    </row>
    <row r="23" ht="18.95" customHeight="1">
      <c r="A23" s="58"/>
      <c r="B23" s="288"/>
      <c r="C23" s="289" t="s">
        <v>220</v>
      </c>
      <c r="D23" s="420">
        <v>128.46295560224354727790080694</v>
      </c>
      <c r="E23" s="91">
        <v>85.13313738625011644343777695</v>
      </c>
      <c r="F23" s="421">
        <v>109.36454448329548977810253919</v>
      </c>
      <c r="G23" s="420">
        <v>132.63658482636584826365848273</v>
      </c>
      <c r="H23" s="91">
        <v>82.40540598921903431803369629</v>
      </c>
      <c r="I23" s="421">
        <v>109.29971621640166761514909529</v>
      </c>
      <c r="J23" s="420">
        <v>0</v>
      </c>
      <c r="K23" s="91">
        <v>0</v>
      </c>
      <c r="L23" s="421">
        <v>0</v>
      </c>
      <c r="M23" s="420">
        <v>128.57870199975463133357870199</v>
      </c>
      <c r="N23" s="91">
        <v>85.05522739779158182624001599</v>
      </c>
      <c r="O23" s="421">
        <v>109.36290737102009370025974427</v>
      </c>
      <c r="P23" s="5"/>
      <c r="Q23" s="420"/>
      <c r="R23" s="91"/>
      <c r="S23" s="421"/>
      <c r="T23" s="420"/>
      <c r="U23" s="91"/>
      <c r="V23" s="421"/>
      <c r="W23" s="420"/>
      <c r="X23" s="91"/>
      <c r="Y23" s="421"/>
      <c r="Z23" s="420"/>
      <c r="AA23" s="91"/>
      <c r="AB23" s="421"/>
    </row>
    <row r="24" ht="18.95" customHeight="1">
      <c r="A24" s="59"/>
      <c r="B24" s="286"/>
      <c r="C24" s="287" t="s">
        <v>221</v>
      </c>
      <c r="D24" s="271">
        <v>157.93867867504835589941972921</v>
      </c>
      <c r="E24" s="92">
        <v>80.90568711151148974190320478</v>
      </c>
      <c r="F24" s="272">
        <v>127.78137319689014339185457273</v>
      </c>
      <c r="G24" s="271">
        <v>188.92700590813798360968172218</v>
      </c>
      <c r="H24" s="92">
        <v>59.421437172505948618925264260</v>
      </c>
      <c r="I24" s="272">
        <v>112.26314211760081354286375922</v>
      </c>
      <c r="J24" s="271">
        <v>0</v>
      </c>
      <c r="K24" s="92">
        <v>0</v>
      </c>
      <c r="L24" s="272">
        <v>0</v>
      </c>
      <c r="M24" s="271">
        <v>158.35193616292162334165565184</v>
      </c>
      <c r="N24" s="92">
        <v>80.14271196518872987803465623</v>
      </c>
      <c r="O24" s="272">
        <v>126.90753609034980713939109558</v>
      </c>
      <c r="P24" s="93"/>
      <c r="Q24" s="271"/>
      <c r="R24" s="92"/>
      <c r="S24" s="272"/>
      <c r="T24" s="271"/>
      <c r="U24" s="92"/>
      <c r="V24" s="272"/>
      <c r="W24" s="271"/>
      <c r="X24" s="92"/>
      <c r="Y24" s="272"/>
      <c r="Z24" s="271"/>
      <c r="AA24" s="92"/>
      <c r="AB24" s="272"/>
    </row>
    <row r="25" ht="18.95" customHeight="1">
      <c r="A25" s="60"/>
      <c r="B25" s="288"/>
      <c r="C25" s="289" t="s">
        <v>222</v>
      </c>
      <c r="D25" s="420">
        <v>148.69014252849145448273113110</v>
      </c>
      <c r="E25" s="91">
        <v>77.233055684573659090662039830</v>
      </c>
      <c r="F25" s="421">
        <v>114.83794057650174512536228368</v>
      </c>
      <c r="G25" s="420">
        <v>188.92317374053187900084666310</v>
      </c>
      <c r="H25" s="91">
        <v>98.59302886585142361926210253</v>
      </c>
      <c r="I25" s="421">
        <v>186.26507922028523219131809072</v>
      </c>
      <c r="J25" s="420">
        <v>0</v>
      </c>
      <c r="K25" s="91">
        <v>0</v>
      </c>
      <c r="L25" s="421">
        <v>0</v>
      </c>
      <c r="M25" s="420">
        <v>151.78615851010452374025492157</v>
      </c>
      <c r="N25" s="91">
        <v>78.806409507373184125137183500</v>
      </c>
      <c r="O25" s="421">
        <v>119.61722165098354280019259866</v>
      </c>
      <c r="P25" s="93"/>
      <c r="Q25" s="420"/>
      <c r="R25" s="91"/>
      <c r="S25" s="421"/>
      <c r="T25" s="420"/>
      <c r="U25" s="91"/>
      <c r="V25" s="421"/>
      <c r="W25" s="420"/>
      <c r="X25" s="91"/>
      <c r="Y25" s="421"/>
      <c r="Z25" s="420"/>
      <c r="AA25" s="91"/>
      <c r="AB25" s="421"/>
    </row>
    <row r="26" ht="18.95" customHeight="1">
      <c r="A26" s="60"/>
      <c r="B26" s="290"/>
      <c r="C26" s="291" t="s">
        <v>223</v>
      </c>
      <c r="D26" s="273">
        <v>145.87159854328304191454228775</v>
      </c>
      <c r="E26" s="274">
        <v>77.394314502045133967614309170</v>
      </c>
      <c r="F26" s="275">
        <v>112.89632374574916569541834073</v>
      </c>
      <c r="G26" s="273">
        <v>219.50598421186656480774127808</v>
      </c>
      <c r="H26" s="274">
        <v>108.84408461625664852753416710</v>
      </c>
      <c r="I26" s="275">
        <v>238.91927919331100338867953154</v>
      </c>
      <c r="J26" s="273">
        <v>0</v>
      </c>
      <c r="K26" s="274">
        <v>0</v>
      </c>
      <c r="L26" s="275">
        <v>0</v>
      </c>
      <c r="M26" s="273">
        <v>149.00292381829010774811846879</v>
      </c>
      <c r="N26" s="274">
        <v>78.497339542103157530879792480</v>
      </c>
      <c r="O26" s="275">
        <v>116.96333103730448471478785083</v>
      </c>
      <c r="P26" s="184"/>
      <c r="Q26" s="273">
        <v>4.406824626672507216205644500</v>
      </c>
      <c r="R26" s="274">
        <v>7.999327620449108667457472500</v>
      </c>
      <c r="S26" s="275">
        <v>12.758668586693966984940762470</v>
      </c>
      <c r="T26" s="273">
        <v>0</v>
      </c>
      <c r="U26" s="274">
        <v>0</v>
      </c>
      <c r="V26" s="275">
        <v>0</v>
      </c>
      <c r="W26" s="273">
        <v>0</v>
      </c>
      <c r="X26" s="274">
        <v>0</v>
      </c>
      <c r="Y26" s="275">
        <v>0</v>
      </c>
      <c r="Z26" s="273">
        <v>2.7210204186616820765050066600</v>
      </c>
      <c r="AA26" s="274">
        <v>7.2120799599519109064274554100</v>
      </c>
      <c r="AB26" s="275">
        <v>10.129342546962471215277279730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2019</v>
      </c>
      <c r="C29" s="285"/>
      <c r="D29" s="427">
        <v>83.98784480584321630968326573</v>
      </c>
      <c r="E29" s="428">
        <v>81.38225438634887714300655867</v>
      </c>
      <c r="F29" s="429">
        <v>68.351201513503228482902085060</v>
      </c>
      <c r="G29" s="427">
        <v>113.39305339974908103465184156</v>
      </c>
      <c r="H29" s="428">
        <v>74.810687258009435446899692290</v>
      </c>
      <c r="I29" s="429">
        <v>84.83012255119392071090385278</v>
      </c>
      <c r="J29" s="427">
        <v>0</v>
      </c>
      <c r="K29" s="428">
        <v>0</v>
      </c>
      <c r="L29" s="429">
        <v>0</v>
      </c>
      <c r="M29" s="427">
        <v>86.12213991527129385545066737</v>
      </c>
      <c r="N29" s="428">
        <v>80.97249419468505789502135485</v>
      </c>
      <c r="O29" s="429">
        <v>69.735244743231591455304373950</v>
      </c>
      <c r="P29" s="5"/>
      <c r="Q29" s="427">
        <v>77.261503269267788920264793780</v>
      </c>
      <c r="R29" s="428">
        <v>8.18618613376449764810973400</v>
      </c>
      <c r="S29" s="429">
        <v>91.77245987048656059397665942</v>
      </c>
      <c r="T29" s="427">
        <v>78.987700866182806582509881090</v>
      </c>
      <c r="U29" s="428">
        <v>12.538512140675532039356791100</v>
      </c>
      <c r="V29" s="429">
        <v>101.43009546972782916213938678</v>
      </c>
      <c r="W29" s="427">
        <v>-100</v>
      </c>
      <c r="X29" s="428">
        <v>-100</v>
      </c>
      <c r="Y29" s="429">
        <v>-100</v>
      </c>
      <c r="Z29" s="427">
        <v>75.180983919858701862989605440</v>
      </c>
      <c r="AA29" s="428">
        <v>9.086477123235000618820425470</v>
      </c>
      <c r="AB29" s="429">
        <v>91.09876394767637622102063822</v>
      </c>
    </row>
    <row r="30" ht="18.95" customHeight="1">
      <c r="A30" s="58"/>
      <c r="B30" s="286">
        <v>2020</v>
      </c>
      <c r="C30" s="287"/>
      <c r="D30" s="271"/>
      <c r="E30" s="92"/>
      <c r="F30" s="272"/>
      <c r="G30" s="271"/>
      <c r="H30" s="92"/>
      <c r="I30" s="272"/>
      <c r="J30" s="271"/>
      <c r="K30" s="92"/>
      <c r="L30" s="272"/>
      <c r="M30" s="271"/>
      <c r="N30" s="92"/>
      <c r="O30" s="272"/>
      <c r="P30" s="5"/>
      <c r="Q30" s="271"/>
      <c r="R30" s="92"/>
      <c r="S30" s="272"/>
      <c r="T30" s="271"/>
      <c r="U30" s="92"/>
      <c r="V30" s="272"/>
      <c r="W30" s="271"/>
      <c r="X30" s="92"/>
      <c r="Y30" s="272"/>
      <c r="Z30" s="271"/>
      <c r="AA30" s="92"/>
      <c r="AB30" s="272"/>
    </row>
    <row r="31" ht="18.95" customHeight="1">
      <c r="A31" s="58"/>
      <c r="B31" s="425">
        <v>2021</v>
      </c>
      <c r="C31" s="426"/>
      <c r="D31" s="430">
        <v>127.55068531082784349154856526</v>
      </c>
      <c r="E31" s="431">
        <v>81.34515153448226812619732922</v>
      </c>
      <c r="F31" s="432">
        <v>103.75629824936352449806491839</v>
      </c>
      <c r="G31" s="430">
        <v>251.94636866857172963890227706</v>
      </c>
      <c r="H31" s="431">
        <v>89.70654543710346188700368734</v>
      </c>
      <c r="I31" s="432">
        <v>226.01238368680449905472043823</v>
      </c>
      <c r="J31" s="430">
        <v>0</v>
      </c>
      <c r="K31" s="431">
        <v>0</v>
      </c>
      <c r="L31" s="432">
        <v>0</v>
      </c>
      <c r="M31" s="430">
        <v>129.82702711144744394616477138</v>
      </c>
      <c r="N31" s="431">
        <v>81.57866070785524575085893353</v>
      </c>
      <c r="O31" s="432">
        <v>105.91114995434295318630290048</v>
      </c>
      <c r="P31" s="184"/>
      <c r="Q31" s="430"/>
      <c r="R31" s="431"/>
      <c r="S31" s="432"/>
      <c r="T31" s="430"/>
      <c r="U31" s="431"/>
      <c r="V31" s="432"/>
      <c r="W31" s="430"/>
      <c r="X31" s="431"/>
      <c r="Y31" s="432"/>
      <c r="Z31" s="430"/>
      <c r="AA31" s="431"/>
      <c r="AB31" s="432"/>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2019</v>
      </c>
      <c r="C34" s="285"/>
      <c r="D34" s="427">
        <v>96.06483719489311447869202852</v>
      </c>
      <c r="E34" s="428">
        <v>82.03999085759389160246346140</v>
      </c>
      <c r="F34" s="429">
        <v>78.811583652052767390262149440</v>
      </c>
      <c r="G34" s="427">
        <v>82.68624396915245222808950340</v>
      </c>
      <c r="H34" s="428">
        <v>64.616021974937314270004967500</v>
      </c>
      <c r="I34" s="429">
        <v>53.428561573357828277316153940</v>
      </c>
      <c r="J34" s="427">
        <v>0</v>
      </c>
      <c r="K34" s="428">
        <v>0</v>
      </c>
      <c r="L34" s="429">
        <v>0</v>
      </c>
      <c r="M34" s="427">
        <v>95.04984215370367167970363710</v>
      </c>
      <c r="N34" s="428">
        <v>80.82572391500988876206229494</v>
      </c>
      <c r="O34" s="429">
        <v>76.824723000805218871786471480</v>
      </c>
      <c r="P34" s="5"/>
      <c r="Q34" s="427">
        <v>66.233679684481734947366608150</v>
      </c>
      <c r="R34" s="428">
        <v>-1.4221174228283183019683494600</v>
      </c>
      <c r="S34" s="429">
        <v>63.86964156282250357256056200</v>
      </c>
      <c r="T34" s="427">
        <v>-17.578559531017700553124702550</v>
      </c>
      <c r="U34" s="428">
        <v>-6.8235162171475504789921553400</v>
      </c>
      <c r="V34" s="429">
        <v>-23.202599887818093203404135220</v>
      </c>
      <c r="W34" s="427">
        <v>0</v>
      </c>
      <c r="X34" s="428">
        <v>0</v>
      </c>
      <c r="Y34" s="429">
        <v>0</v>
      </c>
      <c r="Z34" s="427">
        <v>54.105173106132336965851436520</v>
      </c>
      <c r="AA34" s="428">
        <v>-0.8046779902076898697747773500</v>
      </c>
      <c r="AB34" s="429">
        <v>52.865122696292863532109757310</v>
      </c>
    </row>
    <row r="35" ht="18.95" customHeight="1">
      <c r="A35" s="58"/>
      <c r="B35" s="286">
        <v>2020</v>
      </c>
      <c r="C35" s="287"/>
      <c r="D35" s="271"/>
      <c r="E35" s="92"/>
      <c r="F35" s="272"/>
      <c r="G35" s="271"/>
      <c r="H35" s="92"/>
      <c r="I35" s="272"/>
      <c r="J35" s="271"/>
      <c r="K35" s="92"/>
      <c r="L35" s="272"/>
      <c r="M35" s="271"/>
      <c r="N35" s="92"/>
      <c r="O35" s="272"/>
      <c r="P35" s="5"/>
      <c r="Q35" s="271"/>
      <c r="R35" s="92"/>
      <c r="S35" s="272"/>
      <c r="T35" s="271"/>
      <c r="U35" s="92"/>
      <c r="V35" s="272"/>
      <c r="W35" s="271"/>
      <c r="X35" s="92"/>
      <c r="Y35" s="272"/>
      <c r="Z35" s="271"/>
      <c r="AA35" s="92"/>
      <c r="AB35" s="272"/>
    </row>
    <row r="36" ht="18.95" customHeight="1">
      <c r="A36" s="58"/>
      <c r="B36" s="425">
        <v>2021</v>
      </c>
      <c r="C36" s="426"/>
      <c r="D36" s="430">
        <v>150.28448824143895503266434605</v>
      </c>
      <c r="E36" s="431">
        <v>77.490287059949646655712073920</v>
      </c>
      <c r="F36" s="432">
        <v>116.45588134486731886370035898</v>
      </c>
      <c r="G36" s="430">
        <v>199.13656384141877765169264566</v>
      </c>
      <c r="H36" s="431">
        <v>97.91256704039631287276308479</v>
      </c>
      <c r="I36" s="432">
        <v>194.97972157317076379224372070</v>
      </c>
      <c r="J36" s="430">
        <v>0</v>
      </c>
      <c r="K36" s="431">
        <v>0</v>
      </c>
      <c r="L36" s="432">
        <v>0</v>
      </c>
      <c r="M36" s="430">
        <v>152.57969646863639147306242660</v>
      </c>
      <c r="N36" s="431">
        <v>78.475452003932950087306315520</v>
      </c>
      <c r="O36" s="432">
        <v>119.73760646999132975045014368</v>
      </c>
      <c r="P36" s="184"/>
      <c r="Q36" s="430"/>
      <c r="R36" s="431"/>
      <c r="S36" s="432"/>
      <c r="T36" s="430"/>
      <c r="U36" s="431"/>
      <c r="V36" s="432"/>
      <c r="W36" s="430"/>
      <c r="X36" s="431"/>
      <c r="Y36" s="432"/>
      <c r="Z36" s="430"/>
      <c r="AA36" s="431"/>
      <c r="AB36" s="432"/>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2019</v>
      </c>
      <c r="C39" s="285"/>
      <c r="D39" s="427">
        <v>83.98784480584321630968326573</v>
      </c>
      <c r="E39" s="428">
        <v>81.38225438634887714300655867</v>
      </c>
      <c r="F39" s="429">
        <v>68.351201513503228482902085060</v>
      </c>
      <c r="G39" s="427">
        <v>113.39305339974908103465184156</v>
      </c>
      <c r="H39" s="428">
        <v>74.810687258009435446899692290</v>
      </c>
      <c r="I39" s="429">
        <v>84.83012255119392071090385278</v>
      </c>
      <c r="J39" s="427">
        <v>0</v>
      </c>
      <c r="K39" s="428">
        <v>0</v>
      </c>
      <c r="L39" s="429">
        <v>0</v>
      </c>
      <c r="M39" s="427">
        <v>86.12213991527129385545066737</v>
      </c>
      <c r="N39" s="428">
        <v>80.97249419468505789502135485</v>
      </c>
      <c r="O39" s="429">
        <v>69.735244743231591455304373950</v>
      </c>
      <c r="P39" s="5"/>
      <c r="Q39" s="427">
        <v>77.261503269267788920264793780</v>
      </c>
      <c r="R39" s="428">
        <v>8.18618613376449764810973400</v>
      </c>
      <c r="S39" s="429">
        <v>91.77245987048656059397665942</v>
      </c>
      <c r="T39" s="427">
        <v>78.987700866182806582509881090</v>
      </c>
      <c r="U39" s="428">
        <v>12.538512140675532039356791100</v>
      </c>
      <c r="V39" s="429">
        <v>101.43009546972782916213938678</v>
      </c>
      <c r="W39" s="427">
        <v>-100</v>
      </c>
      <c r="X39" s="428">
        <v>-100</v>
      </c>
      <c r="Y39" s="429">
        <v>-100</v>
      </c>
      <c r="Z39" s="427">
        <v>75.180983919858701862989605440</v>
      </c>
      <c r="AA39" s="428">
        <v>9.086477123235000618820425470</v>
      </c>
      <c r="AB39" s="429">
        <v>91.09876394767637622102063822</v>
      </c>
    </row>
    <row r="40" ht="18.95" customHeight="1">
      <c r="A40" s="58"/>
      <c r="B40" s="286">
        <v>2020</v>
      </c>
      <c r="C40" s="287"/>
      <c r="D40" s="271"/>
      <c r="E40" s="92"/>
      <c r="F40" s="272"/>
      <c r="G40" s="271"/>
      <c r="H40" s="92"/>
      <c r="I40" s="272"/>
      <c r="J40" s="271"/>
      <c r="K40" s="92"/>
      <c r="L40" s="272"/>
      <c r="M40" s="271"/>
      <c r="N40" s="92"/>
      <c r="O40" s="272"/>
      <c r="P40" s="5"/>
      <c r="Q40" s="271"/>
      <c r="R40" s="92"/>
      <c r="S40" s="272"/>
      <c r="T40" s="271"/>
      <c r="U40" s="92"/>
      <c r="V40" s="272"/>
      <c r="W40" s="271"/>
      <c r="X40" s="92"/>
      <c r="Y40" s="272"/>
      <c r="Z40" s="271"/>
      <c r="AA40" s="92"/>
      <c r="AB40" s="272"/>
    </row>
    <row r="41" ht="18.95" customHeight="1">
      <c r="A41" s="58"/>
      <c r="B41" s="425">
        <v>2021</v>
      </c>
      <c r="C41" s="426"/>
      <c r="D41" s="430">
        <v>127.55068531082784349154856526</v>
      </c>
      <c r="E41" s="431">
        <v>81.34515153448226812619732922</v>
      </c>
      <c r="F41" s="432">
        <v>103.75629824936352449806491839</v>
      </c>
      <c r="G41" s="430">
        <v>251.94636866857172963890227706</v>
      </c>
      <c r="H41" s="431">
        <v>89.70654543710346188700368734</v>
      </c>
      <c r="I41" s="432">
        <v>226.01238368680449905472043823</v>
      </c>
      <c r="J41" s="430">
        <v>0</v>
      </c>
      <c r="K41" s="431">
        <v>0</v>
      </c>
      <c r="L41" s="432">
        <v>0</v>
      </c>
      <c r="M41" s="430">
        <v>129.82702711144744394616477138</v>
      </c>
      <c r="N41" s="431">
        <v>81.57866070785524575085893353</v>
      </c>
      <c r="O41" s="432">
        <v>105.91114995434295318630290048</v>
      </c>
      <c r="P41" s="184"/>
      <c r="Q41" s="430"/>
      <c r="R41" s="431"/>
      <c r="S41" s="432"/>
      <c r="T41" s="430"/>
      <c r="U41" s="431"/>
      <c r="V41" s="432"/>
      <c r="W41" s="430"/>
      <c r="X41" s="431"/>
      <c r="Y41" s="432"/>
      <c r="Z41" s="430"/>
      <c r="AA41" s="431"/>
      <c r="AB41" s="432"/>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5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149</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2020</v>
      </c>
      <c r="C9" s="285" t="s">
        <v>218</v>
      </c>
      <c r="D9" s="415"/>
      <c r="E9" s="416"/>
      <c r="F9" s="417"/>
      <c r="G9" s="415"/>
      <c r="H9" s="416"/>
      <c r="I9" s="417"/>
      <c r="J9" s="415"/>
      <c r="K9" s="416"/>
      <c r="L9" s="417"/>
      <c r="M9" s="415"/>
      <c r="N9" s="416"/>
      <c r="O9" s="417"/>
      <c r="P9" s="5"/>
      <c r="Q9" s="415"/>
      <c r="R9" s="416"/>
      <c r="S9" s="417"/>
      <c r="T9" s="415"/>
      <c r="U9" s="416"/>
      <c r="V9" s="417"/>
      <c r="W9" s="415"/>
      <c r="X9" s="416"/>
      <c r="Y9" s="417"/>
      <c r="Z9" s="415"/>
      <c r="AA9" s="416"/>
      <c r="AB9" s="417"/>
    </row>
    <row r="10" ht="18.95" customHeight="1">
      <c r="A10" s="58"/>
      <c r="B10" s="286"/>
      <c r="C10" s="287" t="s">
        <v>219</v>
      </c>
      <c r="D10" s="271"/>
      <c r="E10" s="92"/>
      <c r="F10" s="272"/>
      <c r="G10" s="271"/>
      <c r="H10" s="92"/>
      <c r="I10" s="272"/>
      <c r="J10" s="271"/>
      <c r="K10" s="92"/>
      <c r="L10" s="272"/>
      <c r="M10" s="271"/>
      <c r="N10" s="92"/>
      <c r="O10" s="272"/>
      <c r="P10" s="5"/>
      <c r="Q10" s="271"/>
      <c r="R10" s="92"/>
      <c r="S10" s="272"/>
      <c r="T10" s="271"/>
      <c r="U10" s="92"/>
      <c r="V10" s="272"/>
      <c r="W10" s="271"/>
      <c r="X10" s="92"/>
      <c r="Y10" s="272"/>
      <c r="Z10" s="271"/>
      <c r="AA10" s="92"/>
      <c r="AB10" s="272"/>
    </row>
    <row r="11" ht="18.95" customHeight="1">
      <c r="A11" s="58"/>
      <c r="B11" s="288"/>
      <c r="C11" s="289" t="s">
        <v>220</v>
      </c>
      <c r="D11" s="420"/>
      <c r="E11" s="91"/>
      <c r="F11" s="421"/>
      <c r="G11" s="420"/>
      <c r="H11" s="91"/>
      <c r="I11" s="421"/>
      <c r="J11" s="420"/>
      <c r="K11" s="91"/>
      <c r="L11" s="421"/>
      <c r="M11" s="420"/>
      <c r="N11" s="91"/>
      <c r="O11" s="421"/>
      <c r="P11" s="5"/>
      <c r="Q11" s="420"/>
      <c r="R11" s="91"/>
      <c r="S11" s="421"/>
      <c r="T11" s="420"/>
      <c r="U11" s="91"/>
      <c r="V11" s="421"/>
      <c r="W11" s="420"/>
      <c r="X11" s="91"/>
      <c r="Y11" s="421"/>
      <c r="Z11" s="420"/>
      <c r="AA11" s="91"/>
      <c r="AB11" s="421"/>
    </row>
    <row r="12" ht="18.95" customHeight="1">
      <c r="A12" s="58"/>
      <c r="B12" s="286"/>
      <c r="C12" s="287" t="s">
        <v>221</v>
      </c>
      <c r="D12" s="271"/>
      <c r="E12" s="92"/>
      <c r="F12" s="272"/>
      <c r="G12" s="271"/>
      <c r="H12" s="92"/>
      <c r="I12" s="272"/>
      <c r="J12" s="271"/>
      <c r="K12" s="92"/>
      <c r="L12" s="272"/>
      <c r="M12" s="271"/>
      <c r="N12" s="92"/>
      <c r="O12" s="272"/>
      <c r="P12" s="5"/>
      <c r="Q12" s="271"/>
      <c r="R12" s="92"/>
      <c r="S12" s="272"/>
      <c r="T12" s="271"/>
      <c r="U12" s="92"/>
      <c r="V12" s="272"/>
      <c r="W12" s="271"/>
      <c r="X12" s="92"/>
      <c r="Y12" s="272"/>
      <c r="Z12" s="271"/>
      <c r="AA12" s="92"/>
      <c r="AB12" s="272"/>
    </row>
    <row r="13" ht="18.95" customHeight="1">
      <c r="A13" s="58"/>
      <c r="B13" s="288"/>
      <c r="C13" s="289" t="s">
        <v>222</v>
      </c>
      <c r="D13" s="420"/>
      <c r="E13" s="91"/>
      <c r="F13" s="421"/>
      <c r="G13" s="420"/>
      <c r="H13" s="91"/>
      <c r="I13" s="421"/>
      <c r="J13" s="420"/>
      <c r="K13" s="91"/>
      <c r="L13" s="421"/>
      <c r="M13" s="420"/>
      <c r="N13" s="91"/>
      <c r="O13" s="421"/>
      <c r="P13" s="5"/>
      <c r="Q13" s="420"/>
      <c r="R13" s="91"/>
      <c r="S13" s="421"/>
      <c r="T13" s="420"/>
      <c r="U13" s="91"/>
      <c r="V13" s="421"/>
      <c r="W13" s="420"/>
      <c r="X13" s="91"/>
      <c r="Y13" s="421"/>
      <c r="Z13" s="420"/>
      <c r="AA13" s="91"/>
      <c r="AB13" s="421"/>
    </row>
    <row r="14" ht="18.95" customHeight="1">
      <c r="A14" s="58"/>
      <c r="B14" s="286"/>
      <c r="C14" s="287" t="s">
        <v>223</v>
      </c>
      <c r="D14" s="271" t="s">
        <v>226</v>
      </c>
      <c r="E14" s="92" t="s">
        <v>225</v>
      </c>
      <c r="F14" s="272" t="s">
        <v>226</v>
      </c>
      <c r="G14" s="271" t="s">
        <v>224</v>
      </c>
      <c r="H14" s="92" t="s">
        <v>224</v>
      </c>
      <c r="I14" s="272" t="s">
        <v>224</v>
      </c>
      <c r="J14" s="271" t="s">
        <v>267</v>
      </c>
      <c r="K14" s="92" t="s">
        <v>267</v>
      </c>
      <c r="L14" s="272" t="s">
        <v>267</v>
      </c>
      <c r="M14" s="271" t="s">
        <v>224</v>
      </c>
      <c r="N14" s="92" t="s">
        <v>225</v>
      </c>
      <c r="O14" s="272" t="s">
        <v>226</v>
      </c>
      <c r="P14" s="5"/>
      <c r="Q14" s="271" t="s">
        <v>224</v>
      </c>
      <c r="R14" s="92" t="s">
        <v>225</v>
      </c>
      <c r="S14" s="272" t="s">
        <v>226</v>
      </c>
      <c r="T14" s="271" t="s">
        <v>226</v>
      </c>
      <c r="U14" s="92" t="s">
        <v>224</v>
      </c>
      <c r="V14" s="272" t="s">
        <v>226</v>
      </c>
      <c r="W14" s="271"/>
      <c r="X14" s="92"/>
      <c r="Y14" s="272"/>
      <c r="Z14" s="271" t="s">
        <v>224</v>
      </c>
      <c r="AA14" s="92" t="s">
        <v>225</v>
      </c>
      <c r="AB14" s="272" t="s">
        <v>226</v>
      </c>
    </row>
    <row r="15" ht="18.95" customHeight="1">
      <c r="A15" s="58"/>
      <c r="B15" s="288">
        <v>2021</v>
      </c>
      <c r="C15" s="289" t="s">
        <v>227</v>
      </c>
      <c r="D15" s="420" t="s">
        <v>228</v>
      </c>
      <c r="E15" s="91" t="s">
        <v>229</v>
      </c>
      <c r="F15" s="421" t="s">
        <v>229</v>
      </c>
      <c r="G15" s="420" t="s">
        <v>228</v>
      </c>
      <c r="H15" s="91" t="s">
        <v>235</v>
      </c>
      <c r="I15" s="421" t="s">
        <v>228</v>
      </c>
      <c r="J15" s="420" t="s">
        <v>267</v>
      </c>
      <c r="K15" s="91" t="s">
        <v>267</v>
      </c>
      <c r="L15" s="421" t="s">
        <v>267</v>
      </c>
      <c r="M15" s="420" t="s">
        <v>228</v>
      </c>
      <c r="N15" s="91" t="s">
        <v>229</v>
      </c>
      <c r="O15" s="421" t="s">
        <v>229</v>
      </c>
      <c r="P15" s="5"/>
      <c r="Q15" s="420" t="s">
        <v>228</v>
      </c>
      <c r="R15" s="91" t="s">
        <v>239</v>
      </c>
      <c r="S15" s="421" t="s">
        <v>235</v>
      </c>
      <c r="T15" s="420" t="s">
        <v>228</v>
      </c>
      <c r="U15" s="91" t="s">
        <v>235</v>
      </c>
      <c r="V15" s="421" t="s">
        <v>235</v>
      </c>
      <c r="W15" s="420"/>
      <c r="X15" s="91"/>
      <c r="Y15" s="421"/>
      <c r="Z15" s="420" t="s">
        <v>228</v>
      </c>
      <c r="AA15" s="91" t="s">
        <v>239</v>
      </c>
      <c r="AB15" s="421" t="s">
        <v>228</v>
      </c>
    </row>
    <row r="16" ht="18.95" customHeight="1">
      <c r="A16" s="58"/>
      <c r="B16" s="286"/>
      <c r="C16" s="287" t="s">
        <v>230</v>
      </c>
      <c r="D16" s="271" t="s">
        <v>228</v>
      </c>
      <c r="E16" s="92" t="s">
        <v>229</v>
      </c>
      <c r="F16" s="272" t="s">
        <v>229</v>
      </c>
      <c r="G16" s="271" t="s">
        <v>228</v>
      </c>
      <c r="H16" s="92" t="s">
        <v>228</v>
      </c>
      <c r="I16" s="272" t="s">
        <v>228</v>
      </c>
      <c r="J16" s="271" t="s">
        <v>267</v>
      </c>
      <c r="K16" s="92" t="s">
        <v>267</v>
      </c>
      <c r="L16" s="272" t="s">
        <v>267</v>
      </c>
      <c r="M16" s="271" t="s">
        <v>228</v>
      </c>
      <c r="N16" s="92" t="s">
        <v>229</v>
      </c>
      <c r="O16" s="272" t="s">
        <v>229</v>
      </c>
      <c r="P16" s="5"/>
      <c r="Q16" s="271" t="s">
        <v>228</v>
      </c>
      <c r="R16" s="92" t="s">
        <v>239</v>
      </c>
      <c r="S16" s="272" t="s">
        <v>235</v>
      </c>
      <c r="T16" s="271" t="s">
        <v>228</v>
      </c>
      <c r="U16" s="92" t="s">
        <v>228</v>
      </c>
      <c r="V16" s="272" t="s">
        <v>228</v>
      </c>
      <c r="W16" s="271"/>
      <c r="X16" s="92"/>
      <c r="Y16" s="272"/>
      <c r="Z16" s="271" t="s">
        <v>228</v>
      </c>
      <c r="AA16" s="92" t="s">
        <v>239</v>
      </c>
      <c r="AB16" s="272" t="s">
        <v>235</v>
      </c>
    </row>
    <row r="17" ht="18.95" customHeight="1">
      <c r="A17" s="58"/>
      <c r="B17" s="288"/>
      <c r="C17" s="289" t="s">
        <v>231</v>
      </c>
      <c r="D17" s="420" t="s">
        <v>235</v>
      </c>
      <c r="E17" s="91" t="s">
        <v>229</v>
      </c>
      <c r="F17" s="421" t="s">
        <v>229</v>
      </c>
      <c r="G17" s="420" t="s">
        <v>228</v>
      </c>
      <c r="H17" s="91" t="s">
        <v>228</v>
      </c>
      <c r="I17" s="421" t="s">
        <v>228</v>
      </c>
      <c r="J17" s="420" t="s">
        <v>267</v>
      </c>
      <c r="K17" s="91" t="s">
        <v>267</v>
      </c>
      <c r="L17" s="421" t="s">
        <v>267</v>
      </c>
      <c r="M17" s="420" t="s">
        <v>228</v>
      </c>
      <c r="N17" s="91" t="s">
        <v>229</v>
      </c>
      <c r="O17" s="421" t="s">
        <v>229</v>
      </c>
      <c r="P17" s="5"/>
      <c r="Q17" s="420" t="s">
        <v>229</v>
      </c>
      <c r="R17" s="91" t="s">
        <v>235</v>
      </c>
      <c r="S17" s="421" t="s">
        <v>235</v>
      </c>
      <c r="T17" s="420" t="s">
        <v>228</v>
      </c>
      <c r="U17" s="91" t="s">
        <v>235</v>
      </c>
      <c r="V17" s="421" t="s">
        <v>228</v>
      </c>
      <c r="W17" s="420"/>
      <c r="X17" s="91"/>
      <c r="Y17" s="421"/>
      <c r="Z17" s="420" t="s">
        <v>228</v>
      </c>
      <c r="AA17" s="91" t="s">
        <v>235</v>
      </c>
      <c r="AB17" s="421" t="s">
        <v>228</v>
      </c>
    </row>
    <row r="18" ht="18.95" customHeight="1">
      <c r="A18" s="58"/>
      <c r="B18" s="286"/>
      <c r="C18" s="287" t="s">
        <v>232</v>
      </c>
      <c r="D18" s="271" t="s">
        <v>235</v>
      </c>
      <c r="E18" s="92" t="s">
        <v>229</v>
      </c>
      <c r="F18" s="272" t="s">
        <v>229</v>
      </c>
      <c r="G18" s="271" t="s">
        <v>228</v>
      </c>
      <c r="H18" s="92" t="s">
        <v>235</v>
      </c>
      <c r="I18" s="272" t="s">
        <v>228</v>
      </c>
      <c r="J18" s="271" t="s">
        <v>267</v>
      </c>
      <c r="K18" s="92" t="s">
        <v>267</v>
      </c>
      <c r="L18" s="272" t="s">
        <v>267</v>
      </c>
      <c r="M18" s="271" t="s">
        <v>228</v>
      </c>
      <c r="N18" s="92" t="s">
        <v>229</v>
      </c>
      <c r="O18" s="272" t="s">
        <v>229</v>
      </c>
      <c r="P18" s="5"/>
      <c r="Q18" s="271"/>
      <c r="R18" s="92"/>
      <c r="S18" s="272"/>
      <c r="T18" s="271"/>
      <c r="U18" s="92"/>
      <c r="V18" s="272"/>
      <c r="W18" s="271"/>
      <c r="X18" s="92"/>
      <c r="Y18" s="272"/>
      <c r="Z18" s="271"/>
      <c r="AA18" s="92"/>
      <c r="AB18" s="272"/>
    </row>
    <row r="19" ht="18.95" customHeight="1">
      <c r="A19" s="58"/>
      <c r="B19" s="288"/>
      <c r="C19" s="289" t="s">
        <v>233</v>
      </c>
      <c r="D19" s="420" t="s">
        <v>228</v>
      </c>
      <c r="E19" s="91" t="s">
        <v>229</v>
      </c>
      <c r="F19" s="421" t="s">
        <v>229</v>
      </c>
      <c r="G19" s="420" t="s">
        <v>235</v>
      </c>
      <c r="H19" s="91" t="s">
        <v>235</v>
      </c>
      <c r="I19" s="421" t="s">
        <v>235</v>
      </c>
      <c r="J19" s="420" t="s">
        <v>267</v>
      </c>
      <c r="K19" s="91" t="s">
        <v>267</v>
      </c>
      <c r="L19" s="421" t="s">
        <v>267</v>
      </c>
      <c r="M19" s="420" t="s">
        <v>228</v>
      </c>
      <c r="N19" s="91" t="s">
        <v>229</v>
      </c>
      <c r="O19" s="421" t="s">
        <v>229</v>
      </c>
      <c r="P19" s="5"/>
      <c r="Q19" s="420"/>
      <c r="R19" s="91"/>
      <c r="S19" s="421"/>
      <c r="T19" s="420"/>
      <c r="U19" s="91"/>
      <c r="V19" s="421"/>
      <c r="W19" s="420"/>
      <c r="X19" s="91"/>
      <c r="Y19" s="421"/>
      <c r="Z19" s="420"/>
      <c r="AA19" s="91"/>
      <c r="AB19" s="421"/>
    </row>
    <row r="20" ht="18.95" customHeight="1">
      <c r="A20" s="58"/>
      <c r="B20" s="286"/>
      <c r="C20" s="287" t="s">
        <v>234</v>
      </c>
      <c r="D20" s="271" t="s">
        <v>228</v>
      </c>
      <c r="E20" s="92" t="s">
        <v>229</v>
      </c>
      <c r="F20" s="272" t="s">
        <v>229</v>
      </c>
      <c r="G20" s="271" t="s">
        <v>228</v>
      </c>
      <c r="H20" s="92" t="s">
        <v>228</v>
      </c>
      <c r="I20" s="272" t="s">
        <v>228</v>
      </c>
      <c r="J20" s="271" t="s">
        <v>267</v>
      </c>
      <c r="K20" s="92" t="s">
        <v>267</v>
      </c>
      <c r="L20" s="272" t="s">
        <v>267</v>
      </c>
      <c r="M20" s="271" t="s">
        <v>228</v>
      </c>
      <c r="N20" s="92" t="s">
        <v>229</v>
      </c>
      <c r="O20" s="272" t="s">
        <v>229</v>
      </c>
      <c r="P20" s="5"/>
      <c r="Q20" s="271"/>
      <c r="R20" s="92"/>
      <c r="S20" s="272"/>
      <c r="T20" s="271"/>
      <c r="U20" s="92"/>
      <c r="V20" s="272"/>
      <c r="W20" s="271"/>
      <c r="X20" s="92"/>
      <c r="Y20" s="272"/>
      <c r="Z20" s="271"/>
      <c r="AA20" s="92"/>
      <c r="AB20" s="272"/>
    </row>
    <row r="21" ht="18.95" customHeight="1">
      <c r="A21" s="58"/>
      <c r="B21" s="288"/>
      <c r="C21" s="289" t="s">
        <v>218</v>
      </c>
      <c r="D21" s="420" t="s">
        <v>228</v>
      </c>
      <c r="E21" s="91" t="s">
        <v>229</v>
      </c>
      <c r="F21" s="421" t="s">
        <v>229</v>
      </c>
      <c r="G21" s="420" t="s">
        <v>229</v>
      </c>
      <c r="H21" s="91" t="s">
        <v>235</v>
      </c>
      <c r="I21" s="421" t="s">
        <v>229</v>
      </c>
      <c r="J21" s="420" t="s">
        <v>267</v>
      </c>
      <c r="K21" s="91" t="s">
        <v>267</v>
      </c>
      <c r="L21" s="421" t="s">
        <v>267</v>
      </c>
      <c r="M21" s="420" t="s">
        <v>228</v>
      </c>
      <c r="N21" s="91" t="s">
        <v>229</v>
      </c>
      <c r="O21" s="421" t="s">
        <v>229</v>
      </c>
      <c r="P21" s="5"/>
      <c r="Q21" s="420"/>
      <c r="R21" s="91"/>
      <c r="S21" s="421"/>
      <c r="T21" s="420"/>
      <c r="U21" s="91"/>
      <c r="V21" s="421"/>
      <c r="W21" s="420"/>
      <c r="X21" s="91"/>
      <c r="Y21" s="421"/>
      <c r="Z21" s="420"/>
      <c r="AA21" s="91"/>
      <c r="AB21" s="421"/>
    </row>
    <row r="22" ht="18.95" customHeight="1">
      <c r="A22" s="58"/>
      <c r="B22" s="286"/>
      <c r="C22" s="287" t="s">
        <v>219</v>
      </c>
      <c r="D22" s="271" t="s">
        <v>229</v>
      </c>
      <c r="E22" s="92" t="s">
        <v>229</v>
      </c>
      <c r="F22" s="272" t="s">
        <v>229</v>
      </c>
      <c r="G22" s="271" t="s">
        <v>235</v>
      </c>
      <c r="H22" s="92" t="s">
        <v>235</v>
      </c>
      <c r="I22" s="272" t="s">
        <v>235</v>
      </c>
      <c r="J22" s="271" t="s">
        <v>267</v>
      </c>
      <c r="K22" s="92" t="s">
        <v>267</v>
      </c>
      <c r="L22" s="272" t="s">
        <v>267</v>
      </c>
      <c r="M22" s="271" t="s">
        <v>229</v>
      </c>
      <c r="N22" s="92" t="s">
        <v>229</v>
      </c>
      <c r="O22" s="272" t="s">
        <v>229</v>
      </c>
      <c r="P22" s="5"/>
      <c r="Q22" s="271"/>
      <c r="R22" s="92"/>
      <c r="S22" s="272"/>
      <c r="T22" s="271"/>
      <c r="U22" s="92"/>
      <c r="V22" s="272"/>
      <c r="W22" s="271"/>
      <c r="X22" s="92"/>
      <c r="Y22" s="272"/>
      <c r="Z22" s="271"/>
      <c r="AA22" s="92"/>
      <c r="AB22" s="272"/>
    </row>
    <row r="23" ht="18.95" customHeight="1">
      <c r="A23" s="58"/>
      <c r="B23" s="288"/>
      <c r="C23" s="289" t="s">
        <v>220</v>
      </c>
      <c r="D23" s="420" t="s">
        <v>235</v>
      </c>
      <c r="E23" s="91" t="s">
        <v>229</v>
      </c>
      <c r="F23" s="421" t="s">
        <v>229</v>
      </c>
      <c r="G23" s="420" t="s">
        <v>235</v>
      </c>
      <c r="H23" s="91" t="s">
        <v>235</v>
      </c>
      <c r="I23" s="421" t="s">
        <v>235</v>
      </c>
      <c r="J23" s="420" t="s">
        <v>267</v>
      </c>
      <c r="K23" s="91" t="s">
        <v>267</v>
      </c>
      <c r="L23" s="421" t="s">
        <v>267</v>
      </c>
      <c r="M23" s="420" t="s">
        <v>235</v>
      </c>
      <c r="N23" s="91" t="s">
        <v>229</v>
      </c>
      <c r="O23" s="421" t="s">
        <v>229</v>
      </c>
      <c r="P23" s="5"/>
      <c r="Q23" s="420"/>
      <c r="R23" s="91"/>
      <c r="S23" s="421"/>
      <c r="T23" s="420"/>
      <c r="U23" s="91"/>
      <c r="V23" s="421"/>
      <c r="W23" s="420"/>
      <c r="X23" s="91"/>
      <c r="Y23" s="421"/>
      <c r="Z23" s="420"/>
      <c r="AA23" s="91"/>
      <c r="AB23" s="421"/>
    </row>
    <row r="24" ht="18.95" customHeight="1">
      <c r="A24" s="59"/>
      <c r="B24" s="286"/>
      <c r="C24" s="287" t="s">
        <v>221</v>
      </c>
      <c r="D24" s="271" t="s">
        <v>236</v>
      </c>
      <c r="E24" s="92" t="s">
        <v>237</v>
      </c>
      <c r="F24" s="272" t="s">
        <v>236</v>
      </c>
      <c r="G24" s="271" t="s">
        <v>236</v>
      </c>
      <c r="H24" s="92" t="s">
        <v>237</v>
      </c>
      <c r="I24" s="272" t="s">
        <v>236</v>
      </c>
      <c r="J24" s="271" t="s">
        <v>267</v>
      </c>
      <c r="K24" s="92" t="s">
        <v>267</v>
      </c>
      <c r="L24" s="272" t="s">
        <v>267</v>
      </c>
      <c r="M24" s="271" t="s">
        <v>236</v>
      </c>
      <c r="N24" s="92" t="s">
        <v>237</v>
      </c>
      <c r="O24" s="272" t="s">
        <v>236</v>
      </c>
      <c r="P24" s="93"/>
      <c r="Q24" s="271"/>
      <c r="R24" s="92"/>
      <c r="S24" s="272"/>
      <c r="T24" s="271"/>
      <c r="U24" s="92"/>
      <c r="V24" s="272"/>
      <c r="W24" s="271"/>
      <c r="X24" s="92"/>
      <c r="Y24" s="272"/>
      <c r="Z24" s="271"/>
      <c r="AA24" s="92"/>
      <c r="AB24" s="272"/>
    </row>
    <row r="25" ht="18.95" customHeight="1">
      <c r="A25" s="60"/>
      <c r="B25" s="288"/>
      <c r="C25" s="289" t="s">
        <v>222</v>
      </c>
      <c r="D25" s="420" t="s">
        <v>228</v>
      </c>
      <c r="E25" s="91" t="s">
        <v>229</v>
      </c>
      <c r="F25" s="421" t="s">
        <v>235</v>
      </c>
      <c r="G25" s="420" t="s">
        <v>235</v>
      </c>
      <c r="H25" s="91" t="s">
        <v>235</v>
      </c>
      <c r="I25" s="421" t="s">
        <v>235</v>
      </c>
      <c r="J25" s="420" t="s">
        <v>267</v>
      </c>
      <c r="K25" s="91" t="s">
        <v>267</v>
      </c>
      <c r="L25" s="421" t="s">
        <v>267</v>
      </c>
      <c r="M25" s="420" t="s">
        <v>238</v>
      </c>
      <c r="N25" s="91" t="s">
        <v>237</v>
      </c>
      <c r="O25" s="421" t="s">
        <v>236</v>
      </c>
      <c r="P25" s="93"/>
      <c r="Q25" s="420"/>
      <c r="R25" s="91"/>
      <c r="S25" s="421"/>
      <c r="T25" s="420"/>
      <c r="U25" s="91"/>
      <c r="V25" s="421"/>
      <c r="W25" s="420"/>
      <c r="X25" s="91"/>
      <c r="Y25" s="421"/>
      <c r="Z25" s="420"/>
      <c r="AA25" s="91"/>
      <c r="AB25" s="421"/>
    </row>
    <row r="26" ht="18.95" customHeight="1">
      <c r="A26" s="60"/>
      <c r="B26" s="290"/>
      <c r="C26" s="291" t="s">
        <v>223</v>
      </c>
      <c r="D26" s="273" t="s">
        <v>238</v>
      </c>
      <c r="E26" s="274" t="s">
        <v>237</v>
      </c>
      <c r="F26" s="275" t="s">
        <v>236</v>
      </c>
      <c r="G26" s="273" t="s">
        <v>236</v>
      </c>
      <c r="H26" s="274" t="s">
        <v>238</v>
      </c>
      <c r="I26" s="275" t="s">
        <v>236</v>
      </c>
      <c r="J26" s="273" t="s">
        <v>267</v>
      </c>
      <c r="K26" s="274" t="s">
        <v>267</v>
      </c>
      <c r="L26" s="275" t="s">
        <v>267</v>
      </c>
      <c r="M26" s="273" t="s">
        <v>238</v>
      </c>
      <c r="N26" s="274" t="s">
        <v>237</v>
      </c>
      <c r="O26" s="275" t="s">
        <v>236</v>
      </c>
      <c r="P26" s="184"/>
      <c r="Q26" s="273" t="s">
        <v>226</v>
      </c>
      <c r="R26" s="274" t="s">
        <v>224</v>
      </c>
      <c r="S26" s="275" t="s">
        <v>226</v>
      </c>
      <c r="T26" s="273" t="s">
        <v>224</v>
      </c>
      <c r="U26" s="274" t="s">
        <v>224</v>
      </c>
      <c r="V26" s="275" t="s">
        <v>224</v>
      </c>
      <c r="W26" s="273"/>
      <c r="X26" s="274"/>
      <c r="Y26" s="275"/>
      <c r="Z26" s="273" t="s">
        <v>226</v>
      </c>
      <c r="AA26" s="274" t="s">
        <v>224</v>
      </c>
      <c r="AB26" s="275" t="s">
        <v>226</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2019</v>
      </c>
      <c r="C29" s="285"/>
      <c r="D29" s="427" t="s">
        <v>241</v>
      </c>
      <c r="E29" s="428" t="s">
        <v>237</v>
      </c>
      <c r="F29" s="429" t="s">
        <v>240</v>
      </c>
      <c r="G29" s="427" t="s">
        <v>236</v>
      </c>
      <c r="H29" s="428" t="s">
        <v>242</v>
      </c>
      <c r="I29" s="429" t="s">
        <v>236</v>
      </c>
      <c r="J29" s="427" t="s">
        <v>267</v>
      </c>
      <c r="K29" s="428" t="s">
        <v>267</v>
      </c>
      <c r="L29" s="429" t="s">
        <v>267</v>
      </c>
      <c r="M29" s="427" t="s">
        <v>240</v>
      </c>
      <c r="N29" s="428" t="s">
        <v>237</v>
      </c>
      <c r="O29" s="429" t="s">
        <v>240</v>
      </c>
      <c r="P29" s="5"/>
      <c r="Q29" s="427" t="s">
        <v>238</v>
      </c>
      <c r="R29" s="428" t="s">
        <v>238</v>
      </c>
      <c r="S29" s="429" t="s">
        <v>238</v>
      </c>
      <c r="T29" s="427" t="s">
        <v>238</v>
      </c>
      <c r="U29" s="428" t="s">
        <v>238</v>
      </c>
      <c r="V29" s="429" t="s">
        <v>238</v>
      </c>
      <c r="W29" s="427"/>
      <c r="X29" s="428"/>
      <c r="Y29" s="429"/>
      <c r="Z29" s="427" t="s">
        <v>238</v>
      </c>
      <c r="AA29" s="428" t="s">
        <v>238</v>
      </c>
      <c r="AB29" s="429" t="s">
        <v>238</v>
      </c>
    </row>
    <row r="30" ht="18.95" customHeight="1">
      <c r="A30" s="58"/>
      <c r="B30" s="286">
        <v>2020</v>
      </c>
      <c r="C30" s="287"/>
      <c r="D30" s="271"/>
      <c r="E30" s="92"/>
      <c r="F30" s="272"/>
      <c r="G30" s="271"/>
      <c r="H30" s="92"/>
      <c r="I30" s="272"/>
      <c r="J30" s="271"/>
      <c r="K30" s="92"/>
      <c r="L30" s="272"/>
      <c r="M30" s="271"/>
      <c r="N30" s="92"/>
      <c r="O30" s="272"/>
      <c r="P30" s="5"/>
      <c r="Q30" s="271"/>
      <c r="R30" s="92"/>
      <c r="S30" s="272"/>
      <c r="T30" s="271"/>
      <c r="U30" s="92"/>
      <c r="V30" s="272"/>
      <c r="W30" s="271"/>
      <c r="X30" s="92"/>
      <c r="Y30" s="272"/>
      <c r="Z30" s="271"/>
      <c r="AA30" s="92"/>
      <c r="AB30" s="272"/>
    </row>
    <row r="31" ht="18.95" customHeight="1">
      <c r="A31" s="58"/>
      <c r="B31" s="425">
        <v>2021</v>
      </c>
      <c r="C31" s="426"/>
      <c r="D31" s="430" t="s">
        <v>238</v>
      </c>
      <c r="E31" s="431" t="s">
        <v>237</v>
      </c>
      <c r="F31" s="432" t="s">
        <v>237</v>
      </c>
      <c r="G31" s="430" t="s">
        <v>238</v>
      </c>
      <c r="H31" s="431" t="s">
        <v>236</v>
      </c>
      <c r="I31" s="432" t="s">
        <v>238</v>
      </c>
      <c r="J31" s="430" t="s">
        <v>267</v>
      </c>
      <c r="K31" s="431" t="s">
        <v>267</v>
      </c>
      <c r="L31" s="432" t="s">
        <v>267</v>
      </c>
      <c r="M31" s="430" t="s">
        <v>238</v>
      </c>
      <c r="N31" s="431" t="s">
        <v>237</v>
      </c>
      <c r="O31" s="432" t="s">
        <v>237</v>
      </c>
      <c r="P31" s="184"/>
      <c r="Q31" s="430"/>
      <c r="R31" s="431"/>
      <c r="S31" s="432"/>
      <c r="T31" s="430"/>
      <c r="U31" s="431"/>
      <c r="V31" s="432"/>
      <c r="W31" s="430"/>
      <c r="X31" s="431"/>
      <c r="Y31" s="432"/>
      <c r="Z31" s="430"/>
      <c r="AA31" s="431"/>
      <c r="AB31" s="432"/>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2019</v>
      </c>
      <c r="C34" s="285"/>
      <c r="D34" s="427" t="s">
        <v>241</v>
      </c>
      <c r="E34" s="428" t="s">
        <v>237</v>
      </c>
      <c r="F34" s="429" t="s">
        <v>242</v>
      </c>
      <c r="G34" s="427" t="s">
        <v>236</v>
      </c>
      <c r="H34" s="428" t="s">
        <v>241</v>
      </c>
      <c r="I34" s="429" t="s">
        <v>237</v>
      </c>
      <c r="J34" s="427" t="s">
        <v>267</v>
      </c>
      <c r="K34" s="428" t="s">
        <v>267</v>
      </c>
      <c r="L34" s="429" t="s">
        <v>267</v>
      </c>
      <c r="M34" s="427" t="s">
        <v>241</v>
      </c>
      <c r="N34" s="428" t="s">
        <v>237</v>
      </c>
      <c r="O34" s="429" t="s">
        <v>242</v>
      </c>
      <c r="P34" s="5"/>
      <c r="Q34" s="427" t="s">
        <v>238</v>
      </c>
      <c r="R34" s="428" t="s">
        <v>237</v>
      </c>
      <c r="S34" s="429" t="s">
        <v>238</v>
      </c>
      <c r="T34" s="427" t="s">
        <v>242</v>
      </c>
      <c r="U34" s="428" t="s">
        <v>241</v>
      </c>
      <c r="V34" s="429" t="s">
        <v>242</v>
      </c>
      <c r="W34" s="427"/>
      <c r="X34" s="428"/>
      <c r="Y34" s="429"/>
      <c r="Z34" s="427" t="s">
        <v>238</v>
      </c>
      <c r="AA34" s="428" t="s">
        <v>242</v>
      </c>
      <c r="AB34" s="429" t="s">
        <v>238</v>
      </c>
    </row>
    <row r="35" ht="18.95" customHeight="1">
      <c r="A35" s="58"/>
      <c r="B35" s="286">
        <v>2020</v>
      </c>
      <c r="C35" s="287"/>
      <c r="D35" s="271"/>
      <c r="E35" s="92"/>
      <c r="F35" s="272"/>
      <c r="G35" s="271"/>
      <c r="H35" s="92"/>
      <c r="I35" s="272"/>
      <c r="J35" s="271"/>
      <c r="K35" s="92"/>
      <c r="L35" s="272"/>
      <c r="M35" s="271"/>
      <c r="N35" s="92"/>
      <c r="O35" s="272"/>
      <c r="P35" s="5"/>
      <c r="Q35" s="271"/>
      <c r="R35" s="92"/>
      <c r="S35" s="272"/>
      <c r="T35" s="271"/>
      <c r="U35" s="92"/>
      <c r="V35" s="272"/>
      <c r="W35" s="271"/>
      <c r="X35" s="92"/>
      <c r="Y35" s="272"/>
      <c r="Z35" s="271"/>
      <c r="AA35" s="92"/>
      <c r="AB35" s="272"/>
    </row>
    <row r="36" ht="18.95" customHeight="1">
      <c r="A36" s="58"/>
      <c r="B36" s="425">
        <v>2021</v>
      </c>
      <c r="C36" s="426"/>
      <c r="D36" s="430" t="s">
        <v>238</v>
      </c>
      <c r="E36" s="431" t="s">
        <v>237</v>
      </c>
      <c r="F36" s="432" t="s">
        <v>236</v>
      </c>
      <c r="G36" s="430" t="s">
        <v>236</v>
      </c>
      <c r="H36" s="431" t="s">
        <v>236</v>
      </c>
      <c r="I36" s="432" t="s">
        <v>236</v>
      </c>
      <c r="J36" s="430" t="s">
        <v>267</v>
      </c>
      <c r="K36" s="431" t="s">
        <v>267</v>
      </c>
      <c r="L36" s="432" t="s">
        <v>267</v>
      </c>
      <c r="M36" s="430" t="s">
        <v>238</v>
      </c>
      <c r="N36" s="431" t="s">
        <v>237</v>
      </c>
      <c r="O36" s="432" t="s">
        <v>236</v>
      </c>
      <c r="P36" s="184"/>
      <c r="Q36" s="430"/>
      <c r="R36" s="431"/>
      <c r="S36" s="432"/>
      <c r="T36" s="430"/>
      <c r="U36" s="431"/>
      <c r="V36" s="432"/>
      <c r="W36" s="430"/>
      <c r="X36" s="431"/>
      <c r="Y36" s="432"/>
      <c r="Z36" s="430"/>
      <c r="AA36" s="431"/>
      <c r="AB36" s="432"/>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2019</v>
      </c>
      <c r="C39" s="285"/>
      <c r="D39" s="427" t="s">
        <v>241</v>
      </c>
      <c r="E39" s="428" t="s">
        <v>237</v>
      </c>
      <c r="F39" s="429" t="s">
        <v>240</v>
      </c>
      <c r="G39" s="427" t="s">
        <v>236</v>
      </c>
      <c r="H39" s="428" t="s">
        <v>242</v>
      </c>
      <c r="I39" s="429" t="s">
        <v>236</v>
      </c>
      <c r="J39" s="427" t="s">
        <v>267</v>
      </c>
      <c r="K39" s="428" t="s">
        <v>267</v>
      </c>
      <c r="L39" s="429" t="s">
        <v>267</v>
      </c>
      <c r="M39" s="427" t="s">
        <v>240</v>
      </c>
      <c r="N39" s="428" t="s">
        <v>237</v>
      </c>
      <c r="O39" s="429" t="s">
        <v>240</v>
      </c>
      <c r="P39" s="5"/>
      <c r="Q39" s="427" t="s">
        <v>238</v>
      </c>
      <c r="R39" s="428" t="s">
        <v>238</v>
      </c>
      <c r="S39" s="429" t="s">
        <v>238</v>
      </c>
      <c r="T39" s="427" t="s">
        <v>238</v>
      </c>
      <c r="U39" s="428" t="s">
        <v>238</v>
      </c>
      <c r="V39" s="429" t="s">
        <v>238</v>
      </c>
      <c r="W39" s="427"/>
      <c r="X39" s="428"/>
      <c r="Y39" s="429"/>
      <c r="Z39" s="427" t="s">
        <v>238</v>
      </c>
      <c r="AA39" s="428" t="s">
        <v>238</v>
      </c>
      <c r="AB39" s="429" t="s">
        <v>238</v>
      </c>
    </row>
    <row r="40" ht="18.95" customHeight="1">
      <c r="A40" s="58"/>
      <c r="B40" s="286">
        <v>2020</v>
      </c>
      <c r="C40" s="287"/>
      <c r="D40" s="271"/>
      <c r="E40" s="92"/>
      <c r="F40" s="272"/>
      <c r="G40" s="271"/>
      <c r="H40" s="92"/>
      <c r="I40" s="272"/>
      <c r="J40" s="271"/>
      <c r="K40" s="92"/>
      <c r="L40" s="272"/>
      <c r="M40" s="271"/>
      <c r="N40" s="92"/>
      <c r="O40" s="272"/>
      <c r="P40" s="5"/>
      <c r="Q40" s="271"/>
      <c r="R40" s="92"/>
      <c r="S40" s="272"/>
      <c r="T40" s="271"/>
      <c r="U40" s="92"/>
      <c r="V40" s="272"/>
      <c r="W40" s="271"/>
      <c r="X40" s="92"/>
      <c r="Y40" s="272"/>
      <c r="Z40" s="271"/>
      <c r="AA40" s="92"/>
      <c r="AB40" s="272"/>
    </row>
    <row r="41" ht="18.95" customHeight="1">
      <c r="A41" s="58"/>
      <c r="B41" s="425">
        <v>2021</v>
      </c>
      <c r="C41" s="426"/>
      <c r="D41" s="430" t="s">
        <v>238</v>
      </c>
      <c r="E41" s="431" t="s">
        <v>237</v>
      </c>
      <c r="F41" s="432" t="s">
        <v>237</v>
      </c>
      <c r="G41" s="430" t="s">
        <v>238</v>
      </c>
      <c r="H41" s="431" t="s">
        <v>236</v>
      </c>
      <c r="I41" s="432" t="s">
        <v>238</v>
      </c>
      <c r="J41" s="430" t="s">
        <v>267</v>
      </c>
      <c r="K41" s="431" t="s">
        <v>267</v>
      </c>
      <c r="L41" s="432" t="s">
        <v>267</v>
      </c>
      <c r="M41" s="430" t="s">
        <v>238</v>
      </c>
      <c r="N41" s="431" t="s">
        <v>237</v>
      </c>
      <c r="O41" s="432" t="s">
        <v>237</v>
      </c>
      <c r="P41" s="184"/>
      <c r="Q41" s="430"/>
      <c r="R41" s="431"/>
      <c r="S41" s="432"/>
      <c r="T41" s="430"/>
      <c r="U41" s="431"/>
      <c r="V41" s="432"/>
      <c r="W41" s="430"/>
      <c r="X41" s="431"/>
      <c r="Y41" s="432"/>
      <c r="Z41" s="430"/>
      <c r="AA41" s="431"/>
      <c r="AB41" s="432"/>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151</v>
      </c>
      <c r="Y1" s="5"/>
      <c r="AB1" s="685"/>
      <c r="AD1" s="236"/>
    </row>
    <row r="2" ht="15" customHeight="1">
      <c r="A2" s="11"/>
      <c r="B2" s="11" t="s">
        <v>208</v>
      </c>
    </row>
    <row r="3" ht="17.1" customHeight="1">
      <c r="A3" s="11"/>
      <c r="B3" s="11" t="s">
        <v>209</v>
      </c>
      <c r="R3" s="1040" t="s">
        <v>303</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91.47727272727272727272727281</v>
      </c>
      <c r="E11" s="428">
        <v>57.772621809744779582366589380</v>
      </c>
      <c r="F11" s="429">
        <v>60.929092430945832835107019070</v>
      </c>
      <c r="G11" s="427">
        <v>2.4621212121212121212121212100</v>
      </c>
      <c r="H11" s="428">
        <v>3.3062645011600928074245939700</v>
      </c>
      <c r="I11" s="429">
        <v>6.4749491809159392562477579900</v>
      </c>
      <c r="J11" s="427">
        <v>0</v>
      </c>
      <c r="K11" s="428">
        <v>0</v>
      </c>
      <c r="L11" s="429">
        <v>7.5690541671648929809876838500</v>
      </c>
      <c r="M11" s="427">
        <v>93.93939393939393939393939394</v>
      </c>
      <c r="N11" s="428">
        <v>61.078886310904872389791183290</v>
      </c>
      <c r="O11" s="429">
        <v>74.970106421140738969269400930</v>
      </c>
      <c r="P11" s="5"/>
      <c r="Q11" s="427">
        <v>21.969696969696969696969697080</v>
      </c>
      <c r="R11" s="428"/>
      <c r="S11" s="429">
        <v>46.535707372961650444771059350</v>
      </c>
      <c r="T11" s="427">
        <v>0.0000000008615384615458839400</v>
      </c>
      <c r="U11" s="428"/>
      <c r="V11" s="429">
        <v>750.13684615344340075264724661</v>
      </c>
      <c r="W11" s="427">
        <v>0</v>
      </c>
      <c r="X11" s="428"/>
      <c r="Y11" s="429">
        <v>82.06817317971865181160921333</v>
      </c>
      <c r="Z11" s="427">
        <v>21.271393643064993633467049580</v>
      </c>
      <c r="AA11" s="428"/>
      <c r="AB11" s="429">
        <v>61.243153200548730058268801240</v>
      </c>
    </row>
    <row r="12" ht="18" customHeight="1">
      <c r="A12" s="58"/>
      <c r="B12" s="1043" t="s">
        <v>46</v>
      </c>
      <c r="C12" s="1043"/>
      <c r="D12" s="420">
        <v>90.71969696969696969696969705</v>
      </c>
      <c r="E12" s="91">
        <v>55.916473317865429234338747150</v>
      </c>
      <c r="F12" s="421">
        <v>57.918809039818247040535692990</v>
      </c>
      <c r="G12" s="420">
        <v>2.6515151515151515151515151500</v>
      </c>
      <c r="H12" s="91">
        <v>0.9860788863109048723897911800</v>
      </c>
      <c r="I12" s="421">
        <v>6.926342221690780820279803900</v>
      </c>
      <c r="J12" s="420">
        <v>0</v>
      </c>
      <c r="K12" s="91">
        <v>0</v>
      </c>
      <c r="L12" s="421">
        <v>6.9412890111204113356451034400</v>
      </c>
      <c r="M12" s="420">
        <v>93.37121212121212121212121212</v>
      </c>
      <c r="N12" s="91">
        <v>56.902552204176334106728538280</v>
      </c>
      <c r="O12" s="421">
        <v>71.783450914743513093387540360</v>
      </c>
      <c r="P12" s="5"/>
      <c r="Q12" s="420">
        <v>38.840579710164244486452428770</v>
      </c>
      <c r="R12" s="91"/>
      <c r="S12" s="421">
        <v>55.194390057430908594016947750</v>
      </c>
      <c r="T12" s="420">
        <v>0.0000000005714285714318366800</v>
      </c>
      <c r="U12" s="91"/>
      <c r="V12" s="421">
        <v>1218.3292981343711311818184226</v>
      </c>
      <c r="W12" s="420">
        <v>0</v>
      </c>
      <c r="X12" s="91"/>
      <c r="Y12" s="421">
        <v>79.44845611138605803879670517</v>
      </c>
      <c r="Z12" s="420">
        <v>37.325905292528071631970594970</v>
      </c>
      <c r="AA12" s="91"/>
      <c r="AB12" s="421">
        <v>72.071563514566726061480997840</v>
      </c>
    </row>
    <row r="13" ht="18" customHeight="1">
      <c r="A13" s="58"/>
      <c r="B13" s="1043" t="s">
        <v>47</v>
      </c>
      <c r="C13" s="1043"/>
      <c r="D13" s="420">
        <v>88.44696969696969696969696978</v>
      </c>
      <c r="E13" s="91">
        <v>52.900232018561484918793503530</v>
      </c>
      <c r="F13" s="421">
        <v>58.663159153413846705727609770</v>
      </c>
      <c r="G13" s="420">
        <v>5.4924242424242424242424242500</v>
      </c>
      <c r="H13" s="91">
        <v>2.9002320185614849187935034800</v>
      </c>
      <c r="I13" s="421">
        <v>7.1774482841085734784168360700</v>
      </c>
      <c r="J13" s="420">
        <v>0</v>
      </c>
      <c r="K13" s="91">
        <v>0</v>
      </c>
      <c r="L13" s="421">
        <v>7.3119693889752481167045318700</v>
      </c>
      <c r="M13" s="420">
        <v>93.93939393939393939393939394</v>
      </c>
      <c r="N13" s="91">
        <v>55.800464037122969837587006960</v>
      </c>
      <c r="O13" s="421">
        <v>73.152576826497668300848977640</v>
      </c>
      <c r="P13" s="184"/>
      <c r="Q13" s="420">
        <v>48.536895674186867509663470720</v>
      </c>
      <c r="R13" s="91"/>
      <c r="S13" s="421">
        <v>64.565086016408318382719524280</v>
      </c>
      <c r="T13" s="420">
        <v>90.78947368340720221606986467</v>
      </c>
      <c r="U13" s="91"/>
      <c r="V13" s="421">
        <v>786.55241000759881970690382569</v>
      </c>
      <c r="W13" s="420">
        <v>0</v>
      </c>
      <c r="X13" s="91"/>
      <c r="Y13" s="421">
        <v>75.854351993199956678169535340</v>
      </c>
      <c r="Z13" s="420">
        <v>50.485436893306155151286712920</v>
      </c>
      <c r="AA13" s="91"/>
      <c r="AB13" s="421">
        <v>80.11243565072476815975121016</v>
      </c>
    </row>
    <row r="14" ht="18" customHeight="1">
      <c r="A14" s="58"/>
      <c r="B14" s="1043" t="s">
        <v>48</v>
      </c>
      <c r="C14" s="1043"/>
      <c r="D14" s="420">
        <v>84.84848484848484848484848493</v>
      </c>
      <c r="E14" s="91">
        <v>61.113689095127610208816705390</v>
      </c>
      <c r="F14" s="421">
        <v>61.963410259476264498385746800</v>
      </c>
      <c r="G14" s="420">
        <v>9.090909090909090909090909100</v>
      </c>
      <c r="H14" s="91">
        <v>2.6914153132250580046403712300</v>
      </c>
      <c r="I14" s="421">
        <v>9.484634700466339830204472090</v>
      </c>
      <c r="J14" s="420">
        <v>0</v>
      </c>
      <c r="K14" s="91">
        <v>0</v>
      </c>
      <c r="L14" s="421">
        <v>7.1457610905177567858424010600</v>
      </c>
      <c r="M14" s="420">
        <v>93.93939393939393939393939394</v>
      </c>
      <c r="N14" s="91">
        <v>63.805104408352668213457076570</v>
      </c>
      <c r="O14" s="421">
        <v>78.596197536769101996891067800</v>
      </c>
      <c r="P14" s="5"/>
      <c r="Q14" s="420">
        <v>44.329896907164417047507724320</v>
      </c>
      <c r="R14" s="91"/>
      <c r="S14" s="421">
        <v>57.666013041687758393062099580</v>
      </c>
      <c r="T14" s="420">
        <v>233.33333333000000000003333367</v>
      </c>
      <c r="U14" s="91"/>
      <c r="V14" s="421">
        <v>1020.7676671392892371169101070</v>
      </c>
      <c r="W14" s="420">
        <v>0</v>
      </c>
      <c r="X14" s="91"/>
      <c r="Y14" s="421">
        <v>77.021125548824604249864128540</v>
      </c>
      <c r="Z14" s="420">
        <v>52.709359605790967992428933230</v>
      </c>
      <c r="AA14" s="91"/>
      <c r="AB14" s="421">
        <v>77.852368356989588549091805730</v>
      </c>
    </row>
    <row r="15" ht="18" customHeight="1">
      <c r="A15" s="58"/>
      <c r="B15" s="1043" t="s">
        <v>49</v>
      </c>
      <c r="C15" s="1043"/>
      <c r="D15" s="420">
        <v>89.09090909090909090909090917</v>
      </c>
      <c r="E15" s="91">
        <v>62.134570765661252900232018620</v>
      </c>
      <c r="F15" s="421">
        <v>61.836661485112997728088006760</v>
      </c>
      <c r="G15" s="420">
        <v>5.6060606060606060606060606100</v>
      </c>
      <c r="H15" s="91">
        <v>2.830626450116009280742459400</v>
      </c>
      <c r="I15" s="421">
        <v>9.912710749730957790266650730</v>
      </c>
      <c r="J15" s="420">
        <v>0</v>
      </c>
      <c r="K15" s="91">
        <v>0</v>
      </c>
      <c r="L15" s="421">
        <v>7.0309697476981944278369006400</v>
      </c>
      <c r="M15" s="420">
        <v>94.69696969696969696969696970</v>
      </c>
      <c r="N15" s="91">
        <v>64.965197215777262180974477960</v>
      </c>
      <c r="O15" s="421">
        <v>78.785124955159631711108453900</v>
      </c>
      <c r="P15" s="184"/>
      <c r="Q15" s="420">
        <v>32.731376975193269774623059850</v>
      </c>
      <c r="R15" s="91"/>
      <c r="S15" s="421">
        <v>39.767256417235377705221991050</v>
      </c>
      <c r="T15" s="420">
        <v>68.181818183500000000016818300</v>
      </c>
      <c r="U15" s="91"/>
      <c r="V15" s="421">
        <v>635.15815077933532081419599792</v>
      </c>
      <c r="W15" s="420">
        <v>0</v>
      </c>
      <c r="X15" s="91"/>
      <c r="Y15" s="421">
        <v>68.070045554368107754123408550</v>
      </c>
      <c r="Z15" s="420">
        <v>34.408602150624349635796101740</v>
      </c>
      <c r="AA15" s="91"/>
      <c r="AB15" s="421">
        <v>58.284651723499289758532670020</v>
      </c>
    </row>
    <row r="16" ht="18" customHeight="1">
      <c r="A16" s="58"/>
      <c r="B16" s="1044" t="s">
        <v>75</v>
      </c>
      <c r="C16" s="1044"/>
      <c r="D16" s="430">
        <v>88.73966942148760330578512404</v>
      </c>
      <c r="E16" s="431">
        <v>58.299936722210504113056317280</v>
      </c>
      <c r="F16" s="432">
        <v>60.411118237257182611720457060</v>
      </c>
      <c r="G16" s="430">
        <v>5.2685950413223140495867768600</v>
      </c>
      <c r="H16" s="431">
        <v>2.5627504745834212191520776200</v>
      </c>
      <c r="I16" s="432">
        <v>8.150076636265802832824236640</v>
      </c>
      <c r="J16" s="430">
        <v>0</v>
      </c>
      <c r="K16" s="431">
        <v>0</v>
      </c>
      <c r="L16" s="432">
        <v>7.1896774754600893546248084200</v>
      </c>
      <c r="M16" s="430">
        <v>94.00826446280991735537190083</v>
      </c>
      <c r="N16" s="431">
        <v>60.862687196793925332208394850</v>
      </c>
      <c r="O16" s="432">
        <v>75.751415868598697727000967460</v>
      </c>
      <c r="P16" s="5"/>
      <c r="Q16" s="430">
        <v>37.106176266487471020442759050</v>
      </c>
      <c r="R16" s="431"/>
      <c r="S16" s="432">
        <v>52.427564265950211980733362220</v>
      </c>
      <c r="T16" s="430">
        <v>85.99365750561414523821288252</v>
      </c>
      <c r="U16" s="431"/>
      <c r="V16" s="432">
        <v>829.3937042057791980656567997</v>
      </c>
      <c r="W16" s="430">
        <v>0</v>
      </c>
      <c r="X16" s="431"/>
      <c r="Y16" s="432">
        <v>75.933479279804420295911894690</v>
      </c>
      <c r="Z16" s="629">
        <v>39.156065777242198889533164350</v>
      </c>
      <c r="AA16" s="214"/>
      <c r="AB16" s="630">
        <v>69.853743993676905592855851050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83.18181818181818181818181826</v>
      </c>
      <c r="E18" s="480">
        <v>65.522041763341067285382830690</v>
      </c>
      <c r="F18" s="481">
        <v>64.866674638287695802941528220</v>
      </c>
      <c r="G18" s="479">
        <v>8.484848484848484848484848490</v>
      </c>
      <c r="H18" s="480">
        <v>2.6914153132250580046403712300</v>
      </c>
      <c r="I18" s="481">
        <v>11.086930527322731077364582100</v>
      </c>
      <c r="J18" s="479">
        <v>0</v>
      </c>
      <c r="K18" s="480">
        <v>0</v>
      </c>
      <c r="L18" s="481">
        <v>6.9209613774961138347482960700</v>
      </c>
      <c r="M18" s="479">
        <v>91.66666666666666666666666667</v>
      </c>
      <c r="N18" s="480">
        <v>68.213457076566125290023201860</v>
      </c>
      <c r="O18" s="481">
        <v>82.87695802941528159751285424</v>
      </c>
      <c r="P18" s="184"/>
      <c r="Q18" s="479">
        <v>6.8613138686256188395758979800</v>
      </c>
      <c r="R18" s="480"/>
      <c r="S18" s="481">
        <v>44.487817526173694200265170330</v>
      </c>
      <c r="T18" s="479">
        <v>307.27272727924363636374062570</v>
      </c>
      <c r="U18" s="480"/>
      <c r="V18" s="481">
        <v>542.99662524744233113628802492</v>
      </c>
      <c r="W18" s="479">
        <v>0</v>
      </c>
      <c r="X18" s="480"/>
      <c r="Y18" s="481">
        <v>60.096626971922077251605486890</v>
      </c>
      <c r="Z18" s="479">
        <v>14.691943128022964443745680440</v>
      </c>
      <c r="AA18" s="480"/>
      <c r="AB18" s="481">
        <v>62.690560650333580347121818230</v>
      </c>
    </row>
    <row r="19" ht="18" customHeight="1">
      <c r="A19" s="58"/>
      <c r="B19" s="1046" t="s">
        <v>51</v>
      </c>
      <c r="C19" s="1046"/>
      <c r="D19" s="271">
        <v>88.06818181818181818181818190</v>
      </c>
      <c r="E19" s="92">
        <v>63.689095127610208816705336490</v>
      </c>
      <c r="F19" s="272">
        <v>67.795647494918091593925624840</v>
      </c>
      <c r="G19" s="271">
        <v>5.8712121212121212121212121300</v>
      </c>
      <c r="H19" s="92">
        <v>3.248259860788863109048723900</v>
      </c>
      <c r="I19" s="272">
        <v>9.607796245366495276814540250</v>
      </c>
      <c r="J19" s="271">
        <v>0</v>
      </c>
      <c r="K19" s="92">
        <v>0</v>
      </c>
      <c r="L19" s="272">
        <v>7.3807246203515484873849097300</v>
      </c>
      <c r="M19" s="271">
        <v>93.93939393939393939393939394</v>
      </c>
      <c r="N19" s="92">
        <v>66.937354988399071925754060320</v>
      </c>
      <c r="O19" s="272">
        <v>84.78715771852206146119813464</v>
      </c>
      <c r="P19" s="5"/>
      <c r="Q19" s="271">
        <v>3.5634743875020064384601332300</v>
      </c>
      <c r="R19" s="92"/>
      <c r="S19" s="272">
        <v>34.340732459264213168564381510</v>
      </c>
      <c r="T19" s="271">
        <v>181.81818182269090909098123679</v>
      </c>
      <c r="U19" s="92"/>
      <c r="V19" s="272">
        <v>602.26057091226517083102941073</v>
      </c>
      <c r="W19" s="271">
        <v>0</v>
      </c>
      <c r="X19" s="92"/>
      <c r="Y19" s="272">
        <v>74.722329074089104308024716450</v>
      </c>
      <c r="Z19" s="271">
        <v>7.8260869565367410207939529400</v>
      </c>
      <c r="AA19" s="92"/>
      <c r="AB19" s="272">
        <v>51.239939172228686171705883990</v>
      </c>
    </row>
    <row r="20" ht="18" customHeight="1">
      <c r="A20" s="58"/>
      <c r="B20" s="1047" t="s">
        <v>76</v>
      </c>
      <c r="C20" s="1047"/>
      <c r="D20" s="273">
        <v>85.35353535353535353535353543</v>
      </c>
      <c r="E20" s="274">
        <v>64.707398814127352410415055490</v>
      </c>
      <c r="F20" s="275">
        <v>66.168440352345649487823348940</v>
      </c>
      <c r="G20" s="273">
        <v>7.3232323232323232323232323300</v>
      </c>
      <c r="H20" s="274">
        <v>2.9389017788089713843774168600</v>
      </c>
      <c r="I20" s="275">
        <v>10.429537513119959610453452390</v>
      </c>
      <c r="J20" s="273">
        <v>0</v>
      </c>
      <c r="K20" s="274">
        <v>0</v>
      </c>
      <c r="L20" s="275">
        <v>7.1253005965429736803645688100</v>
      </c>
      <c r="M20" s="273">
        <v>92.67676767676767676767676768</v>
      </c>
      <c r="N20" s="274">
        <v>67.646300592936323794792472290</v>
      </c>
      <c r="O20" s="275">
        <v>83.72593566901829487026186775</v>
      </c>
      <c r="P20" s="184"/>
      <c r="Q20" s="273">
        <v>4.806201550379797367946638500</v>
      </c>
      <c r="R20" s="274"/>
      <c r="S20" s="275">
        <v>38.776583966408194699775761700</v>
      </c>
      <c r="T20" s="273">
        <v>251.51515152077575757584756396</v>
      </c>
      <c r="U20" s="274"/>
      <c r="V20" s="275">
        <v>574.53063595256976525825244738</v>
      </c>
      <c r="W20" s="273">
        <v>0</v>
      </c>
      <c r="X20" s="274"/>
      <c r="Y20" s="275">
        <v>66.727330790213410477307004740</v>
      </c>
      <c r="Z20" s="273">
        <v>10.959939531404334613664071560</v>
      </c>
      <c r="AA20" s="274"/>
      <c r="AB20" s="275">
        <v>56.492950344357496306603683710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87.75659824046920821114369501</v>
      </c>
      <c r="E22" s="469">
        <v>60.160167652121847167128208970</v>
      </c>
      <c r="F22" s="470">
        <v>62.059776227963536799625112720</v>
      </c>
      <c r="G22" s="468">
        <v>5.8651026392961876832844574800</v>
      </c>
      <c r="H22" s="469">
        <v>2.6719556919392261058304019200</v>
      </c>
      <c r="I22" s="470">
        <v>8.641645727825766152785897150</v>
      </c>
      <c r="J22" s="468">
        <v>0</v>
      </c>
      <c r="K22" s="469">
        <v>0</v>
      </c>
      <c r="L22" s="470">
        <v>7.3620912918876766775257700400</v>
      </c>
      <c r="M22" s="468">
        <v>93.62170087976539589442815249</v>
      </c>
      <c r="N22" s="469">
        <v>62.832123344061073272958610880</v>
      </c>
      <c r="O22" s="470">
        <v>78.063513247676979629936779900</v>
      </c>
      <c r="P22" s="184"/>
      <c r="Q22" s="468">
        <v>27.115044247877603571148939890</v>
      </c>
      <c r="R22" s="469">
        <v>21.749746438677332128634165870</v>
      </c>
      <c r="S22" s="470">
        <v>48.725118740776947455842213840</v>
      </c>
      <c r="T22" s="468">
        <v>122.22222222081481481482372847</v>
      </c>
      <c r="U22" s="469">
        <v>0</v>
      </c>
      <c r="V22" s="470">
        <v>725.09230033236538191580163107</v>
      </c>
      <c r="W22" s="468">
        <v>0</v>
      </c>
      <c r="X22" s="469">
        <v>0</v>
      </c>
      <c r="Y22" s="470">
        <v>78.690435018048700606718043580</v>
      </c>
      <c r="Z22" s="468">
        <v>30.617115581374664890591574850</v>
      </c>
      <c r="AA22" s="469">
        <v>27.157143736339413189833767400</v>
      </c>
      <c r="AB22" s="470">
        <v>66.463695672923586951695544610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265.1986616604877837871341035</v>
      </c>
      <c r="E25" s="455">
        <v>327.8391651421897124766284273</v>
      </c>
      <c r="F25" s="456">
        <v>229.44484298765970782586588849</v>
      </c>
      <c r="G25" s="454">
        <v>271.28158005537932355342646993</v>
      </c>
      <c r="H25" s="455">
        <v>278.23217846181405572802268632</v>
      </c>
      <c r="I25" s="456">
        <v>209.39788728386427596915343115</v>
      </c>
      <c r="J25" s="454">
        <v>0</v>
      </c>
      <c r="K25" s="455">
        <v>0</v>
      </c>
      <c r="L25" s="456">
        <v>115.1480020480843014473115088</v>
      </c>
      <c r="M25" s="454">
        <v>265.35809298938615075681515343</v>
      </c>
      <c r="N25" s="455">
        <v>325.15388666091581652727370058</v>
      </c>
      <c r="O25" s="456">
        <v>216.18307567355475249892649673</v>
      </c>
      <c r="P25" s="5"/>
      <c r="Q25" s="427">
        <v>88.97920383861441601170726882</v>
      </c>
      <c r="R25" s="428"/>
      <c r="S25" s="429">
        <v>60.884131421616439403794398800</v>
      </c>
      <c r="T25" s="427">
        <v>7.6894590600101038014778759900</v>
      </c>
      <c r="U25" s="428"/>
      <c r="V25" s="429">
        <v>38.161448649766941436995221250</v>
      </c>
      <c r="W25" s="427">
        <v>0</v>
      </c>
      <c r="X25" s="428"/>
      <c r="Y25" s="429">
        <v>18.773750448998413466016727380</v>
      </c>
      <c r="Z25" s="427">
        <v>84.43180195096016917695955828</v>
      </c>
      <c r="AA25" s="428"/>
      <c r="AB25" s="429">
        <v>55.876115248226955993014320780</v>
      </c>
    </row>
    <row r="26" ht="18" customHeight="1">
      <c r="A26" s="58"/>
      <c r="B26" s="1043" t="s">
        <v>46</v>
      </c>
      <c r="C26" s="1043"/>
      <c r="D26" s="439">
        <v>250.34544412493698085485991121</v>
      </c>
      <c r="E26" s="95">
        <v>342.11656084390389165519044028</v>
      </c>
      <c r="F26" s="440">
        <v>224.7356011674967549536299234</v>
      </c>
      <c r="G26" s="439">
        <v>244.18202316529266998812635574</v>
      </c>
      <c r="H26" s="95">
        <v>262.33262773891818798945099641</v>
      </c>
      <c r="I26" s="440">
        <v>201.56783168962042909561445203</v>
      </c>
      <c r="J26" s="439">
        <v>0</v>
      </c>
      <c r="K26" s="95">
        <v>0</v>
      </c>
      <c r="L26" s="440">
        <v>115.01109784645780999973948848</v>
      </c>
      <c r="M26" s="439">
        <v>250.17041797192476918724475953</v>
      </c>
      <c r="N26" s="95">
        <v>340.73396465350148904324592393</v>
      </c>
      <c r="O26" s="440">
        <v>211.89941730914817791448438527</v>
      </c>
      <c r="P26" s="5"/>
      <c r="Q26" s="420">
        <v>66.020173376142309269106120990</v>
      </c>
      <c r="R26" s="91"/>
      <c r="S26" s="421">
        <v>49.851951479885366143876841420</v>
      </c>
      <c r="T26" s="420">
        <v>-2.1137271134042919293420969500</v>
      </c>
      <c r="U26" s="91"/>
      <c r="V26" s="421">
        <v>47.094558688583565055192202690</v>
      </c>
      <c r="W26" s="420">
        <v>0</v>
      </c>
      <c r="X26" s="91"/>
      <c r="Y26" s="421">
        <v>19.676787976033501639528657710</v>
      </c>
      <c r="Z26" s="420">
        <v>61.776267782659422208034553630</v>
      </c>
      <c r="AA26" s="91"/>
      <c r="AB26" s="421">
        <v>46.338231433172621981130485190</v>
      </c>
    </row>
    <row r="27" ht="18" customHeight="1">
      <c r="A27" s="58"/>
      <c r="B27" s="1043" t="s">
        <v>47</v>
      </c>
      <c r="C27" s="1043"/>
      <c r="D27" s="439">
        <v>254.24462438891950810582077758</v>
      </c>
      <c r="E27" s="95">
        <v>365.87422947307391071695000894</v>
      </c>
      <c r="F27" s="440">
        <v>233.75817969552493332623930004</v>
      </c>
      <c r="G27" s="439">
        <v>198.13669290213479032913448712</v>
      </c>
      <c r="H27" s="95">
        <v>348.21278604695094466395785564</v>
      </c>
      <c r="I27" s="440">
        <v>195.4909379627003401565161463</v>
      </c>
      <c r="J27" s="439">
        <v>0</v>
      </c>
      <c r="K27" s="95">
        <v>0</v>
      </c>
      <c r="L27" s="440">
        <v>114.5815833995527646070458385</v>
      </c>
      <c r="M27" s="439">
        <v>250.96412033021636936484516784</v>
      </c>
      <c r="N27" s="95">
        <v>364.95627503304672952916455397</v>
      </c>
      <c r="O27" s="440">
        <v>218.09124324256184342849697243</v>
      </c>
      <c r="P27" s="93"/>
      <c r="Q27" s="420">
        <v>72.965260930255078130064119400</v>
      </c>
      <c r="R27" s="91"/>
      <c r="S27" s="421">
        <v>53.920899364494816651256826940</v>
      </c>
      <c r="T27" s="420">
        <v>-23.503149218965405659501212120</v>
      </c>
      <c r="U27" s="91"/>
      <c r="V27" s="421">
        <v>40.114701737678164299660819490</v>
      </c>
      <c r="W27" s="420">
        <v>0</v>
      </c>
      <c r="X27" s="91"/>
      <c r="Y27" s="421">
        <v>22.810518086572870773575078150</v>
      </c>
      <c r="Z27" s="420">
        <v>64.936796665533106364406439260</v>
      </c>
      <c r="AA27" s="91"/>
      <c r="AB27" s="421">
        <v>49.760335407885690788490318770</v>
      </c>
    </row>
    <row r="28" ht="18" customHeight="1">
      <c r="A28" s="58"/>
      <c r="B28" s="1043" t="s">
        <v>48</v>
      </c>
      <c r="C28" s="1043"/>
      <c r="D28" s="439">
        <v>315.97976079658095761677273271</v>
      </c>
      <c r="E28" s="95">
        <v>431.06918433752371291567633835</v>
      </c>
      <c r="F28" s="440">
        <v>263.21239437648239650684826231</v>
      </c>
      <c r="G28" s="439">
        <v>329.07490067726333196603835735</v>
      </c>
      <c r="H28" s="95">
        <v>330.06462543509741873174610321</v>
      </c>
      <c r="I28" s="440">
        <v>242.86925243406593362634363038</v>
      </c>
      <c r="J28" s="439">
        <v>0</v>
      </c>
      <c r="K28" s="95">
        <v>0</v>
      </c>
      <c r="L28" s="440">
        <v>115.54991372035227682492589573</v>
      </c>
      <c r="M28" s="439">
        <v>317.24703239793731642476618024</v>
      </c>
      <c r="N28" s="95">
        <v>426.8086283983668219610087357</v>
      </c>
      <c r="O28" s="440">
        <v>247.32437960275603193085032378</v>
      </c>
      <c r="P28" s="5"/>
      <c r="Q28" s="420">
        <v>91.60118113890324516358051916</v>
      </c>
      <c r="R28" s="91"/>
      <c r="S28" s="421">
        <v>59.311320451574408319060854990</v>
      </c>
      <c r="T28" s="420">
        <v>25.768933713174209617663794150</v>
      </c>
      <c r="U28" s="91"/>
      <c r="V28" s="421">
        <v>75.570891177601568312540830570</v>
      </c>
      <c r="W28" s="420">
        <v>0</v>
      </c>
      <c r="X28" s="91"/>
      <c r="Y28" s="421">
        <v>16.461365658513043575321881500</v>
      </c>
      <c r="Z28" s="420">
        <v>87.49370657912444341152017173</v>
      </c>
      <c r="AA28" s="91"/>
      <c r="AB28" s="421">
        <v>55.899477916211934492410303050</v>
      </c>
    </row>
    <row r="29" ht="18" customHeight="1">
      <c r="A29" s="58"/>
      <c r="B29" s="1043" t="s">
        <v>49</v>
      </c>
      <c r="C29" s="1043"/>
      <c r="D29" s="439">
        <v>367.54135802241535608824234099</v>
      </c>
      <c r="E29" s="95">
        <v>488.25239858508924485389756857</v>
      </c>
      <c r="F29" s="440">
        <v>297.7410066774873344110245852</v>
      </c>
      <c r="G29" s="439">
        <v>423.03368761802244969396392541</v>
      </c>
      <c r="H29" s="95">
        <v>328.10789257300666553530217038</v>
      </c>
      <c r="I29" s="440">
        <v>248.27831656731570111089709054</v>
      </c>
      <c r="J29" s="439">
        <v>0</v>
      </c>
      <c r="K29" s="95">
        <v>0</v>
      </c>
      <c r="L29" s="440">
        <v>116.89404116160129479486267425</v>
      </c>
      <c r="M29" s="439">
        <v>370.82650393447529602970105878</v>
      </c>
      <c r="N29" s="95">
        <v>481.27467368027707532644448336</v>
      </c>
      <c r="O29" s="440">
        <v>275.3603482529875362332269124</v>
      </c>
      <c r="P29" s="93"/>
      <c r="Q29" s="420">
        <v>80.16237468811399306677612985</v>
      </c>
      <c r="R29" s="91"/>
      <c r="S29" s="421">
        <v>61.406075511239688491905661120</v>
      </c>
      <c r="T29" s="420">
        <v>62.436102078532829589246787160</v>
      </c>
      <c r="U29" s="91"/>
      <c r="V29" s="421">
        <v>63.082478785904557318032917350</v>
      </c>
      <c r="W29" s="420">
        <v>0</v>
      </c>
      <c r="X29" s="91"/>
      <c r="Y29" s="421">
        <v>22.185792644258840154729511510</v>
      </c>
      <c r="Z29" s="420">
        <v>79.42477626132134556407987503</v>
      </c>
      <c r="AA29" s="91"/>
      <c r="AB29" s="421">
        <v>56.338479913599864319808590030</v>
      </c>
    </row>
    <row r="30" ht="18" customHeight="1">
      <c r="A30" s="58"/>
      <c r="B30" s="1044" t="s">
        <v>75</v>
      </c>
      <c r="C30" s="1044"/>
      <c r="D30" s="457">
        <v>294.83959855287209519959689539</v>
      </c>
      <c r="E30" s="458">
        <v>400.05310200661015566669654266</v>
      </c>
      <c r="F30" s="459">
        <v>253.14526513022420541157555246</v>
      </c>
      <c r="G30" s="457">
        <v>314.30008785423900694256326729</v>
      </c>
      <c r="H30" s="458">
        <v>316.41093773013010078029036716</v>
      </c>
      <c r="I30" s="459">
        <v>225.56154113072178369765038767</v>
      </c>
      <c r="J30" s="457">
        <v>0</v>
      </c>
      <c r="K30" s="458">
        <v>0</v>
      </c>
      <c r="L30" s="459">
        <v>115.49808637678038691885370367</v>
      </c>
      <c r="M30" s="457">
        <v>295.93024135987177926431259315</v>
      </c>
      <c r="N30" s="458">
        <v>396.53117410517458932855814372</v>
      </c>
      <c r="O30" s="459">
        <v>237.11142786600884028208437751</v>
      </c>
      <c r="P30" s="5"/>
      <c r="Q30" s="430">
        <v>81.20609326399725467791674858</v>
      </c>
      <c r="R30" s="431"/>
      <c r="S30" s="432">
        <v>57.567332583338608791325833080</v>
      </c>
      <c r="T30" s="430">
        <v>22.154045435145080126649163340</v>
      </c>
      <c r="U30" s="431"/>
      <c r="V30" s="432">
        <v>55.471003794071386590047923620</v>
      </c>
      <c r="W30" s="430">
        <v>0</v>
      </c>
      <c r="X30" s="431"/>
      <c r="Y30" s="432">
        <v>20.055106232943613177626816640</v>
      </c>
      <c r="Z30" s="430">
        <v>77.548509702811944846300732270</v>
      </c>
      <c r="AA30" s="431"/>
      <c r="AB30" s="432">
        <v>53.530267428439256005187442630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482.40053142037061666811288625</v>
      </c>
      <c r="E32" s="494">
        <v>563.68784470428320431145877443</v>
      </c>
      <c r="F32" s="495">
        <v>338.27863213852583949957828292</v>
      </c>
      <c r="G32" s="493">
        <v>446.15952534279207541973980343</v>
      </c>
      <c r="H32" s="494">
        <v>354.71236874120520893477432564</v>
      </c>
      <c r="I32" s="495">
        <v>249.29684756778273300691689989</v>
      </c>
      <c r="J32" s="493">
        <v>0</v>
      </c>
      <c r="K32" s="494">
        <v>0</v>
      </c>
      <c r="L32" s="495">
        <v>116.0241717006825282324781504</v>
      </c>
      <c r="M32" s="493">
        <v>479.045992014842685577354386</v>
      </c>
      <c r="N32" s="494">
        <v>555.44255381594407252108619075</v>
      </c>
      <c r="O32" s="495">
        <v>307.80504274567568482214456387</v>
      </c>
      <c r="P32" s="93"/>
      <c r="Q32" s="479">
        <v>201.39385910304305984553171904</v>
      </c>
      <c r="R32" s="480"/>
      <c r="S32" s="481">
        <v>139.75282193710559380446612219</v>
      </c>
      <c r="T32" s="479">
        <v>78.205821070904899817468091370</v>
      </c>
      <c r="U32" s="480"/>
      <c r="V32" s="481">
        <v>58.613512661423303922457887910</v>
      </c>
      <c r="W32" s="479">
        <v>0</v>
      </c>
      <c r="X32" s="480"/>
      <c r="Y32" s="481">
        <v>22.895926992315436976283600300</v>
      </c>
      <c r="Z32" s="479">
        <v>194.96006961622464342950952771</v>
      </c>
      <c r="AA32" s="480"/>
      <c r="AB32" s="481">
        <v>123.57032433400707634352937162</v>
      </c>
    </row>
    <row r="33" ht="18" customHeight="1">
      <c r="A33" s="58"/>
      <c r="B33" s="1046" t="s">
        <v>51</v>
      </c>
      <c r="C33" s="1046"/>
      <c r="D33" s="276">
        <v>390.09092117886723759215244181</v>
      </c>
      <c r="E33" s="94">
        <v>437.59204120356011713616409304</v>
      </c>
      <c r="F33" s="277">
        <v>284.36718172738802963129503447</v>
      </c>
      <c r="G33" s="276">
        <v>383.43024420635330173472037826</v>
      </c>
      <c r="H33" s="94">
        <v>331.7133730016187457747513942</v>
      </c>
      <c r="I33" s="277">
        <v>217.19032393692593623301291887</v>
      </c>
      <c r="J33" s="276">
        <v>0</v>
      </c>
      <c r="K33" s="94">
        <v>0</v>
      </c>
      <c r="L33" s="277">
        <v>113.95395041657025987560659389</v>
      </c>
      <c r="M33" s="276">
        <v>389.67462886808511660106293782</v>
      </c>
      <c r="N33" s="94">
        <v>432.45408156811062251204007992</v>
      </c>
      <c r="O33" s="277">
        <v>261.91042270236664156450009831</v>
      </c>
      <c r="P33" s="5"/>
      <c r="Q33" s="271">
        <v>145.29571714489366943431260183</v>
      </c>
      <c r="R33" s="92"/>
      <c r="S33" s="272">
        <v>93.25938363333612745633082205</v>
      </c>
      <c r="T33" s="271">
        <v>52.542422516117832578834240420</v>
      </c>
      <c r="U33" s="92"/>
      <c r="V33" s="272">
        <v>45.334330960975561730390320100</v>
      </c>
      <c r="W33" s="271">
        <v>0</v>
      </c>
      <c r="X33" s="92"/>
      <c r="Y33" s="272">
        <v>18.127319387692002497556414440</v>
      </c>
      <c r="Z33" s="271">
        <v>141.67854638809794583647353944</v>
      </c>
      <c r="AA33" s="92"/>
      <c r="AB33" s="272">
        <v>82.67999005536546086194382147</v>
      </c>
    </row>
    <row r="34" ht="18" customHeight="1">
      <c r="A34" s="58"/>
      <c r="B34" s="1047" t="s">
        <v>76</v>
      </c>
      <c r="C34" s="1047"/>
      <c r="D34" s="443">
        <v>440.06920128003622685517244574</v>
      </c>
      <c r="E34" s="444">
        <v>508.52721034420593350728604131</v>
      </c>
      <c r="F34" s="445">
        <v>313.72874992512113717235309987</v>
      </c>
      <c r="G34" s="443">
        <v>423.80771252406101812967541055</v>
      </c>
      <c r="H34" s="444">
        <v>343.41461644807501650528937686</v>
      </c>
      <c r="I34" s="445">
        <v>236.15157789267779735961404703</v>
      </c>
      <c r="J34" s="443">
        <v>0</v>
      </c>
      <c r="K34" s="444">
        <v>0</v>
      </c>
      <c r="L34" s="445">
        <v>115.07109015108842221474257833</v>
      </c>
      <c r="M34" s="633">
        <v>438.78423350367851281419311598</v>
      </c>
      <c r="N34" s="634">
        <v>501.35387356670634336314441791</v>
      </c>
      <c r="O34" s="635">
        <v>287.14889516421682554516703402</v>
      </c>
      <c r="P34" s="93"/>
      <c r="Q34" s="273">
        <v>175.87090793179258522555611288</v>
      </c>
      <c r="R34" s="274"/>
      <c r="S34" s="275">
        <v>117.42113837954623170874234198</v>
      </c>
      <c r="T34" s="273">
        <v>68.941362233213597784249382240</v>
      </c>
      <c r="U34" s="274"/>
      <c r="V34" s="275">
        <v>53.592186214618240813925903720</v>
      </c>
      <c r="W34" s="273">
        <v>0</v>
      </c>
      <c r="X34" s="274"/>
      <c r="Y34" s="275">
        <v>20.586881491052186290715685160</v>
      </c>
      <c r="Z34" s="273">
        <v>171.19208635294280639131173613</v>
      </c>
      <c r="AA34" s="274"/>
      <c r="AB34" s="275">
        <v>104.14347430220241377820245554</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335.80813143971038707880813144</v>
      </c>
      <c r="E36" s="483">
        <v>433.89250696294584279311065472</v>
      </c>
      <c r="F36" s="484">
        <v>272.19661601351735010923762141</v>
      </c>
      <c r="G36" s="482">
        <v>354.6</v>
      </c>
      <c r="H36" s="483">
        <v>325.78711213400928747612481031</v>
      </c>
      <c r="I36" s="484">
        <v>230.73993722873602546782923675</v>
      </c>
      <c r="J36" s="482">
        <v>0</v>
      </c>
      <c r="K36" s="483">
        <v>0</v>
      </c>
      <c r="L36" s="484">
        <v>114.14366967818534213154220941</v>
      </c>
      <c r="M36" s="482">
        <v>336.98538240668232837379274341</v>
      </c>
      <c r="N36" s="483">
        <v>429.2952912447885646217986897</v>
      </c>
      <c r="O36" s="484">
        <v>252.70153966261821703511181824</v>
      </c>
      <c r="P36" s="93"/>
      <c r="Q36" s="468">
        <v>107.67332336190679589339962781</v>
      </c>
      <c r="R36" s="469">
        <v>92.29131137907043127051121049</v>
      </c>
      <c r="S36" s="470">
        <v>74.739252806979023166592470430</v>
      </c>
      <c r="T36" s="468">
        <v>37.981624932466478802006948390</v>
      </c>
      <c r="U36" s="469">
        <v>0</v>
      </c>
      <c r="V36" s="470">
        <v>55.404743275306407704407481700</v>
      </c>
      <c r="W36" s="468">
        <v>0</v>
      </c>
      <c r="X36" s="469">
        <v>0</v>
      </c>
      <c r="Y36" s="470">
        <v>18.540825842524113177211256950</v>
      </c>
      <c r="Z36" s="468">
        <v>103.97519524991013283641442340</v>
      </c>
      <c r="AA36" s="469">
        <v>90.25392971206590858291768503</v>
      </c>
      <c r="AB36" s="470">
        <v>68.037313948572864702444482720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242.59650299624166585073062899</v>
      </c>
      <c r="E39" s="455">
        <v>189.40128102182189885540714263</v>
      </c>
      <c r="F39" s="456">
        <v>139.7986604619897215385268009</v>
      </c>
      <c r="G39" s="454">
        <v>6.6792813271210818299139093036</v>
      </c>
      <c r="H39" s="455">
        <v>9.199091747287355670822095786</v>
      </c>
      <c r="I39" s="456">
        <v>13.558406787541851660563982193</v>
      </c>
      <c r="J39" s="454">
        <v>0</v>
      </c>
      <c r="K39" s="455">
        <v>0</v>
      </c>
      <c r="L39" s="456">
        <v>8.715614647427641135495418527</v>
      </c>
      <c r="M39" s="454">
        <v>249.27578432336274768064453807</v>
      </c>
      <c r="N39" s="455">
        <v>198.60037276910925452622923823</v>
      </c>
      <c r="O39" s="456">
        <v>162.07268189695921433458620146</v>
      </c>
      <c r="P39" s="5"/>
      <c r="Q39" s="427">
        <v>130.49736225759444597804986260</v>
      </c>
      <c r="R39" s="428"/>
      <c r="S39" s="429">
        <v>135.75270002943806225357116277</v>
      </c>
      <c r="T39" s="427">
        <v>7.6894590591353932428634618800</v>
      </c>
      <c r="U39" s="428"/>
      <c r="V39" s="429">
        <v>1074.5613821365068666340116860</v>
      </c>
      <c r="W39" s="427">
        <v>0</v>
      </c>
      <c r="X39" s="428"/>
      <c r="Y39" s="429">
        <v>116.24919765975539222961797490</v>
      </c>
      <c r="Z39" s="427">
        <v>123.66301654689670423872955084</v>
      </c>
      <c r="AA39" s="428"/>
      <c r="AB39" s="429">
        <v>151.33956331293405729328960103</v>
      </c>
    </row>
    <row r="40" ht="18" customHeight="1">
      <c r="A40" s="58"/>
      <c r="B40" s="1043" t="s">
        <v>46</v>
      </c>
      <c r="C40" s="1043"/>
      <c r="D40" s="439">
        <v>227.11262828758487467704147269</v>
      </c>
      <c r="E40" s="95">
        <v>191.29951546028036633155660368</v>
      </c>
      <c r="F40" s="440">
        <v>130.16418368468999244369782883</v>
      </c>
      <c r="G40" s="439">
        <v>6.4745233415039723102912291352</v>
      </c>
      <c r="H40" s="95">
        <v>2.5868066540380563780862337257</v>
      </c>
      <c r="I40" s="440">
        <v>13.961277831664789376256686769</v>
      </c>
      <c r="J40" s="439">
        <v>0</v>
      </c>
      <c r="K40" s="95">
        <v>0</v>
      </c>
      <c r="L40" s="440">
        <v>7.983252696385120017320192888</v>
      </c>
      <c r="M40" s="439">
        <v>233.58715162908884698733270161</v>
      </c>
      <c r="N40" s="95">
        <v>193.88632211431842270964283723</v>
      </c>
      <c r="O40" s="440">
        <v>152.10871421273990183727470834</v>
      </c>
      <c r="P40" s="5"/>
      <c r="Q40" s="420">
        <v>130.50337115138450697747193037</v>
      </c>
      <c r="R40" s="91"/>
      <c r="S40" s="421">
        <v>132.56182208851920641926637816</v>
      </c>
      <c r="T40" s="420">
        <v>-2.1137271134547434623295205300</v>
      </c>
      <c r="U40" s="91"/>
      <c r="V40" s="421">
        <v>1839.1906630518555273247380163</v>
      </c>
      <c r="W40" s="420">
        <v>0</v>
      </c>
      <c r="X40" s="91"/>
      <c r="Y40" s="421">
        <v>114.75814834811799136152545057</v>
      </c>
      <c r="Z40" s="420">
        <v>122.16072428100390663553880211</v>
      </c>
      <c r="AA40" s="91"/>
      <c r="AB40" s="421">
        <v>151.80648284678480242187428956</v>
      </c>
    </row>
    <row r="41" ht="18" customHeight="1">
      <c r="A41" s="58"/>
      <c r="B41" s="1043" t="s">
        <v>47</v>
      </c>
      <c r="C41" s="1043"/>
      <c r="D41" s="439">
        <v>224.87166588944206493450436219</v>
      </c>
      <c r="E41" s="95">
        <v>193.54831628738016622613596778</v>
      </c>
      <c r="F41" s="440">
        <v>137.1299329889089229820076536</v>
      </c>
      <c r="G41" s="439">
        <v>10.882507754094524468835038128</v>
      </c>
      <c r="H41" s="95">
        <v>10.098978713658670088861886774</v>
      </c>
      <c r="I41" s="440">
        <v>14.031260972391591435961833903</v>
      </c>
      <c r="J41" s="439">
        <v>0</v>
      </c>
      <c r="K41" s="95">
        <v>0</v>
      </c>
      <c r="L41" s="440">
        <v>8.378170303578442611169261068</v>
      </c>
      <c r="M41" s="439">
        <v>235.75417364353658940333940009</v>
      </c>
      <c r="N41" s="95">
        <v>203.64729500103883631499785436</v>
      </c>
      <c r="O41" s="440">
        <v>159.53936426487895702913874842</v>
      </c>
      <c r="P41" s="93"/>
      <c r="Q41" s="420">
        <v>156.91722918081157487275074237</v>
      </c>
      <c r="R41" s="91"/>
      <c r="S41" s="421">
        <v>153.30006043656119098695499976</v>
      </c>
      <c r="T41" s="420">
        <v>45.947938990499535073137162320</v>
      </c>
      <c r="U41" s="91"/>
      <c r="V41" s="421">
        <v>1142.1902650470555979169340528</v>
      </c>
      <c r="W41" s="420">
        <v>0</v>
      </c>
      <c r="X41" s="91"/>
      <c r="Y41" s="421">
        <v>115.96764076338199214060116795</v>
      </c>
      <c r="Z41" s="420">
        <v>148.20585905961812220494048667</v>
      </c>
      <c r="AA41" s="91"/>
      <c r="AB41" s="421">
        <v>169.73698774178640009215735798</v>
      </c>
    </row>
    <row r="42" ht="18" customHeight="1">
      <c r="A42" s="58"/>
      <c r="B42" s="1043" t="s">
        <v>48</v>
      </c>
      <c r="C42" s="1043"/>
      <c r="D42" s="439">
        <v>268.10403946376566100817080376</v>
      </c>
      <c r="E42" s="95">
        <v>263.44228110093676561946437965</v>
      </c>
      <c r="F42" s="440">
        <v>163.09537578129041955021974131</v>
      </c>
      <c r="G42" s="439">
        <v>29.91590006156939381509439615</v>
      </c>
      <c r="H42" s="95">
        <v>8.883409872499141664241890489</v>
      </c>
      <c r="I42" s="440">
        <v>23.035261393124608221023050078</v>
      </c>
      <c r="J42" s="439">
        <v>0</v>
      </c>
      <c r="K42" s="95">
        <v>0</v>
      </c>
      <c r="L42" s="440">
        <v>8.256920774755771927606805614</v>
      </c>
      <c r="M42" s="439">
        <v>298.01993952533505482326519962</v>
      </c>
      <c r="N42" s="95">
        <v>272.32569097343590728370626988</v>
      </c>
      <c r="O42" s="440">
        <v>194.38755794917079969884959682</v>
      </c>
      <c r="P42" s="5"/>
      <c r="Q42" s="420">
        <v>176.53778721075015731784561091</v>
      </c>
      <c r="R42" s="91"/>
      <c r="S42" s="421">
        <v>151.17980728015265887125021199</v>
      </c>
      <c r="T42" s="420">
        <v>319.22977904423448240123412988</v>
      </c>
      <c r="U42" s="91"/>
      <c r="V42" s="421">
        <v>1867.7417810992810562805842392</v>
      </c>
      <c r="W42" s="420">
        <v>0</v>
      </c>
      <c r="X42" s="91"/>
      <c r="Y42" s="421">
        <v>106.16122031708770932431123236</v>
      </c>
      <c r="Z42" s="420">
        <v>186.32043861826901461657203690</v>
      </c>
      <c r="AA42" s="91"/>
      <c r="AB42" s="421">
        <v>177.27091372999752661226018841</v>
      </c>
    </row>
    <row r="43" ht="18" customHeight="1">
      <c r="A43" s="58"/>
      <c r="B43" s="1043" t="s">
        <v>49</v>
      </c>
      <c r="C43" s="1043"/>
      <c r="D43" s="439">
        <v>327.44593714724277178770681318</v>
      </c>
      <c r="E43" s="95">
        <v>303.37353211389071872824540368</v>
      </c>
      <c r="F43" s="440">
        <v>184.11309840152552925662711245</v>
      </c>
      <c r="G43" s="439">
        <v>23.715524911919440361631310991</v>
      </c>
      <c r="H43" s="95">
        <v>9.287508792089747841138483718</v>
      </c>
      <c r="I43" s="440">
        <v>24.611111375619361021276298967</v>
      </c>
      <c r="J43" s="439">
        <v>0</v>
      </c>
      <c r="K43" s="95">
        <v>0</v>
      </c>
      <c r="L43" s="440">
        <v>8.21878467093406209965075362</v>
      </c>
      <c r="M43" s="439">
        <v>351.16146205916221214933812385</v>
      </c>
      <c r="N43" s="95">
        <v>312.6610409059804665693838871</v>
      </c>
      <c r="O43" s="440">
        <v>216.94299444807895237755416482</v>
      </c>
      <c r="P43" s="93"/>
      <c r="Q43" s="420">
        <v>139.13200071457559879675876763</v>
      </c>
      <c r="R43" s="91"/>
      <c r="S43" s="421">
        <v>125.59284343266951046560715747</v>
      </c>
      <c r="T43" s="420">
        <v>173.18798986008495732851250846</v>
      </c>
      <c r="U43" s="91"/>
      <c r="V43" s="421">
        <v>1098.9141352832871319391278216</v>
      </c>
      <c r="W43" s="420">
        <v>0</v>
      </c>
      <c r="X43" s="91"/>
      <c r="Y43" s="421">
        <v>105.35771735829695941204264245</v>
      </c>
      <c r="Z43" s="420">
        <v>141.16233368457922919713715059</v>
      </c>
      <c r="AA43" s="91"/>
      <c r="AB43" s="421">
        <v>147.45981844089813470481943690</v>
      </c>
    </row>
    <row r="44" ht="18" customHeight="1">
      <c r="A44" s="58"/>
      <c r="B44" s="1044" t="s">
        <v>75</v>
      </c>
      <c r="C44" s="1044"/>
      <c r="D44" s="457">
        <v>261.63968507945984481038608816</v>
      </c>
      <c r="E44" s="458">
        <v>233.23070532509396124504308054</v>
      </c>
      <c r="F44" s="459">
        <v>152.92788542983792235868924557</v>
      </c>
      <c r="G44" s="457">
        <v>16.559198843560112969081329178</v>
      </c>
      <c r="H44" s="458">
        <v>8.10882280831276254899921528</v>
      </c>
      <c r="I44" s="459">
        <v>18.383438464096035277392125307</v>
      </c>
      <c r="J44" s="457">
        <v>0</v>
      </c>
      <c r="K44" s="458">
        <v>0</v>
      </c>
      <c r="L44" s="459">
        <v>8.303939900818817508737603915</v>
      </c>
      <c r="M44" s="457">
        <v>278.19888392301995777946741711</v>
      </c>
      <c r="N44" s="458">
        <v>241.33952813340672379404229565</v>
      </c>
      <c r="O44" s="459">
        <v>179.61526379475277514481897461</v>
      </c>
      <c r="P44" s="5"/>
      <c r="Q44" s="430">
        <v>148.44474563612971259535176473</v>
      </c>
      <c r="R44" s="431"/>
      <c r="S44" s="432">
        <v>140.17604713578084891242412550</v>
      </c>
      <c r="T44" s="430">
        <v>127.19877689677587208380172285</v>
      </c>
      <c r="U44" s="431"/>
      <c r="V44" s="432">
        <v>1344.9377212474196151302348269</v>
      </c>
      <c r="W44" s="430">
        <v>0</v>
      </c>
      <c r="X44" s="431"/>
      <c r="Y44" s="432">
        <v>111.21712544990980901628661141</v>
      </c>
      <c r="Z44" s="430">
        <v>147.06952094848803416455681236</v>
      </c>
      <c r="AA44" s="431"/>
      <c r="AB44" s="432">
        <v>160.77690739078032657787997340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401.26953295421737659211208302</v>
      </c>
      <c r="E46" s="494">
        <v>369.33978502201757980871451983</v>
      </c>
      <c r="F46" s="495">
        <v>219.43009968014767118466008262</v>
      </c>
      <c r="G46" s="493">
        <v>37.855959726055085187129437901</v>
      </c>
      <c r="H46" s="494">
        <v>9.546783010204130913325712717</v>
      </c>
      <c r="I46" s="495">
        <v>27.639368296645719244770219993</v>
      </c>
      <c r="J46" s="493">
        <v>0</v>
      </c>
      <c r="K46" s="494">
        <v>0</v>
      </c>
      <c r="L46" s="495">
        <v>8.029988111964013791816136974</v>
      </c>
      <c r="M46" s="493">
        <v>439.1254926802724617792415205</v>
      </c>
      <c r="N46" s="494">
        <v>378.8865680322217107220402322</v>
      </c>
      <c r="O46" s="495">
        <v>255.09945608875740422124643934</v>
      </c>
      <c r="P46" s="93"/>
      <c r="Q46" s="479">
        <v>222.07343775674477479629799439</v>
      </c>
      <c r="R46" s="480"/>
      <c r="S46" s="481">
        <v>246.41361987432372065041902376</v>
      </c>
      <c r="T46" s="479">
        <v>625.78370763220160809026538271</v>
      </c>
      <c r="U46" s="480"/>
      <c r="V46" s="481">
        <v>919.8795336327271528252631343</v>
      </c>
      <c r="W46" s="479">
        <v>0</v>
      </c>
      <c r="X46" s="480"/>
      <c r="Y46" s="481">
        <v>96.75223379916000265640354624</v>
      </c>
      <c r="Z46" s="479">
        <v>238.29543529451178177234666840</v>
      </c>
      <c r="AA46" s="480"/>
      <c r="AB46" s="481">
        <v>263.72781410684079238887890902</v>
      </c>
    </row>
    <row r="47" ht="18" customHeight="1">
      <c r="A47" s="58"/>
      <c r="B47" s="1046" t="s">
        <v>51</v>
      </c>
      <c r="C47" s="1046"/>
      <c r="D47" s="276">
        <v>343.54598172002512401581607122</v>
      </c>
      <c r="E47" s="94">
        <v>278.69841139298666393010915</v>
      </c>
      <c r="F47" s="277">
        <v>192.78857211513311981370740443</v>
      </c>
      <c r="G47" s="276">
        <v>22.512002974236652185182446471</v>
      </c>
      <c r="H47" s="94">
        <v>10.774912348080423296627655506</v>
      </c>
      <c r="I47" s="277">
        <v>20.867203788511298548753543044</v>
      </c>
      <c r="J47" s="276">
        <v>0</v>
      </c>
      <c r="K47" s="94">
        <v>0</v>
      </c>
      <c r="L47" s="277">
        <v>8.410627274258997119241680037</v>
      </c>
      <c r="M47" s="276">
        <v>366.05798469426177620099851735</v>
      </c>
      <c r="N47" s="94">
        <v>289.47332374106708722673680524</v>
      </c>
      <c r="O47" s="277">
        <v>222.0664031779034154817026273</v>
      </c>
      <c r="P47" s="5"/>
      <c r="Q47" s="271">
        <v>154.03676719899847875053067025</v>
      </c>
      <c r="R47" s="92"/>
      <c r="S47" s="272">
        <v>159.62607151915285716892242353</v>
      </c>
      <c r="T47" s="271">
        <v>329.89228163838439405364627367</v>
      </c>
      <c r="U47" s="92"/>
      <c r="V47" s="272">
        <v>920.6257023542462430745367449</v>
      </c>
      <c r="W47" s="271">
        <v>0</v>
      </c>
      <c r="X47" s="92"/>
      <c r="Y47" s="272">
        <v>106.39480371026894769795677998</v>
      </c>
      <c r="Z47" s="271">
        <v>160.59251958372616566938813647</v>
      </c>
      <c r="AA47" s="92"/>
      <c r="AB47" s="272">
        <v>176.28510583945564489756599132</v>
      </c>
    </row>
    <row r="48" ht="18" customHeight="1">
      <c r="A48" s="58"/>
      <c r="B48" s="1047" t="s">
        <v>76</v>
      </c>
      <c r="C48" s="1047"/>
      <c r="D48" s="443">
        <v>375.6146212945763754470916333</v>
      </c>
      <c r="E48" s="444">
        <v>329.05473007578161719600102214</v>
      </c>
      <c r="F48" s="445">
        <v>207.58942076236342613090333676</v>
      </c>
      <c r="G48" s="443">
        <v>31.036423391913559408486330597</v>
      </c>
      <c r="H48" s="444">
        <v>10.092618271482483083682131735</v>
      </c>
      <c r="I48" s="445">
        <v>24.629517404141532268762808016</v>
      </c>
      <c r="J48" s="443">
        <v>0</v>
      </c>
      <c r="K48" s="444">
        <v>0</v>
      </c>
      <c r="L48" s="445">
        <v>8.199161072984006381783045002</v>
      </c>
      <c r="M48" s="443">
        <v>406.65104468648993485557796354</v>
      </c>
      <c r="N48" s="444">
        <v>339.14734834726410027968315354</v>
      </c>
      <c r="O48" s="445">
        <v>240.41809923948896478144918955</v>
      </c>
      <c r="P48" s="93"/>
      <c r="Q48" s="273">
        <v>189.12981978577589169474923565</v>
      </c>
      <c r="R48" s="274"/>
      <c r="S48" s="275">
        <v>201.72962866372045531512194411</v>
      </c>
      <c r="T48" s="273">
        <v>493.85448542655191765623926749</v>
      </c>
      <c r="U48" s="274"/>
      <c r="V48" s="275">
        <v>936.0263504513448064513838333</v>
      </c>
      <c r="W48" s="273">
        <v>0</v>
      </c>
      <c r="X48" s="274"/>
      <c r="Y48" s="275">
        <v>101.05128879148068839836841047</v>
      </c>
      <c r="Z48" s="273">
        <v>200.91457503096830595674186195</v>
      </c>
      <c r="AA48" s="274"/>
      <c r="AB48" s="275">
        <v>219.47014587057693045411340013</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294.69379276637341153470185728</v>
      </c>
      <c r="E50" s="483">
        <v>261.03045961890267827041564573</v>
      </c>
      <c r="F50" s="484">
        <v>168.92461079807803011223751005</v>
      </c>
      <c r="G50" s="482">
        <v>20.797653958944281524926686217</v>
      </c>
      <c r="H50" s="483">
        <v>8.704887286269090309780447368</v>
      </c>
      <c r="I50" s="484">
        <v>19.939727927914921263544624502</v>
      </c>
      <c r="J50" s="482">
        <v>0</v>
      </c>
      <c r="K50" s="483">
        <v>0</v>
      </c>
      <c r="L50" s="484">
        <v>8.403361165618717534510128218</v>
      </c>
      <c r="M50" s="482">
        <v>315.4914467253176930596285435</v>
      </c>
      <c r="N50" s="483">
        <v>269.73534690517176858019609311</v>
      </c>
      <c r="O50" s="484">
        <v>197.26769989161166891029226277</v>
      </c>
      <c r="P50" s="93"/>
      <c r="Q50" s="468">
        <v>163.98403688234256721753692299</v>
      </c>
      <c r="R50" s="469">
        <v>134.11418402769026376067891194</v>
      </c>
      <c r="S50" s="470">
        <v>159.88116122414319231685527544</v>
      </c>
      <c r="T50" s="468">
        <v>206.62583318182707424556423168</v>
      </c>
      <c r="U50" s="469">
        <v>0</v>
      </c>
      <c r="V50" s="470">
        <v>1182.2325711295730255395072350</v>
      </c>
      <c r="W50" s="468">
        <v>0</v>
      </c>
      <c r="X50" s="469">
        <v>0</v>
      </c>
      <c r="Y50" s="470">
        <v>111.82111737186170434403147117</v>
      </c>
      <c r="Z50" s="468">
        <v>166.42651653680275745749143577</v>
      </c>
      <c r="AA50" s="469">
        <v>141.92146286807247878388365785</v>
      </c>
      <c r="AB50" s="470">
        <v>179.72112290849489498305763984</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153</v>
      </c>
      <c r="Y1" s="5"/>
      <c r="AB1" s="685"/>
      <c r="AD1" s="236"/>
    </row>
    <row r="2" ht="15" customHeight="1">
      <c r="A2" s="11"/>
      <c r="B2" s="11" t="s">
        <v>208</v>
      </c>
    </row>
    <row r="3" ht="17.1" customHeight="1">
      <c r="A3" s="11"/>
      <c r="B3" s="11" t="s">
        <v>209</v>
      </c>
      <c r="R3" s="1040" t="s">
        <v>303</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84.32400932400932400932400939</v>
      </c>
      <c r="E11" s="428">
        <v>64.865415986949429037520391530</v>
      </c>
      <c r="F11" s="429">
        <v>55.362879043556168494557603510</v>
      </c>
      <c r="G11" s="427">
        <v>1.9376456876456876456876456900</v>
      </c>
      <c r="H11" s="428">
        <v>0.9736949429037520391517128900</v>
      </c>
      <c r="I11" s="429">
        <v>5.1371950109139292816230797500</v>
      </c>
      <c r="J11" s="427">
        <v>0</v>
      </c>
      <c r="K11" s="428">
        <v>0</v>
      </c>
      <c r="L11" s="429">
        <v>5.0988323673878681781871951400</v>
      </c>
      <c r="M11" s="427">
        <v>86.26165501165501165501165501</v>
      </c>
      <c r="N11" s="428">
        <v>65.835754702553907325279094660</v>
      </c>
      <c r="O11" s="429">
        <v>65.600606032647095243760607390</v>
      </c>
      <c r="P11" s="5"/>
      <c r="Q11" s="427">
        <v>86.01644690932228532223213126</v>
      </c>
      <c r="R11" s="428"/>
      <c r="S11" s="429">
        <v>81.91592812273629949926413894</v>
      </c>
      <c r="T11" s="427">
        <v>-48.039408507538819502789702710</v>
      </c>
      <c r="U11" s="428"/>
      <c r="V11" s="429">
        <v>-31.438090940073434273706784860</v>
      </c>
      <c r="W11" s="427">
        <v>0</v>
      </c>
      <c r="X11" s="428"/>
      <c r="Y11" s="429">
        <v>10.843098340980269627424122160</v>
      </c>
      <c r="Z11" s="427">
        <v>71.469196112713583074618603430</v>
      </c>
      <c r="AA11" s="428"/>
      <c r="AB11" s="429">
        <v>54.259148055549270176840586190</v>
      </c>
    </row>
    <row r="12" ht="18" customHeight="1">
      <c r="A12" s="58"/>
      <c r="B12" s="1043" t="s">
        <v>46</v>
      </c>
      <c r="C12" s="1043"/>
      <c r="D12" s="420">
        <v>75.728438228438228438228438280</v>
      </c>
      <c r="E12" s="91">
        <v>57.321983791222794230083082740</v>
      </c>
      <c r="F12" s="421">
        <v>48.379576280849184996858374610</v>
      </c>
      <c r="G12" s="420">
        <v>2.7534965034965034965034965100</v>
      </c>
      <c r="H12" s="91">
        <v>0.6116519700290534685763800400</v>
      </c>
      <c r="I12" s="421">
        <v>5.0037966361561060341042243400</v>
      </c>
      <c r="J12" s="420">
        <v>0</v>
      </c>
      <c r="K12" s="91">
        <v>0</v>
      </c>
      <c r="L12" s="421">
        <v>4.9099117676313114527409772300</v>
      </c>
      <c r="M12" s="420">
        <v>78.481934731934731934731934730</v>
      </c>
      <c r="N12" s="91">
        <v>57.935779816513761467889908260</v>
      </c>
      <c r="O12" s="421">
        <v>58.294255070874584856637563170</v>
      </c>
      <c r="P12" s="5"/>
      <c r="Q12" s="420">
        <v>96.20232880498771111950358369</v>
      </c>
      <c r="R12" s="91"/>
      <c r="S12" s="421">
        <v>83.12518214251428592909453859</v>
      </c>
      <c r="T12" s="420">
        <v>-29.532129277618782963462398510</v>
      </c>
      <c r="U12" s="91"/>
      <c r="V12" s="421">
        <v>-33.436917495824749037644800080</v>
      </c>
      <c r="W12" s="420">
        <v>0</v>
      </c>
      <c r="X12" s="91"/>
      <c r="Y12" s="421">
        <v>11.976331689428020791250491930</v>
      </c>
      <c r="Z12" s="420">
        <v>82.74848867747492239460314265</v>
      </c>
      <c r="AA12" s="91"/>
      <c r="AB12" s="421">
        <v>52.121339139403819355558579290</v>
      </c>
    </row>
    <row r="13" ht="18" customHeight="1">
      <c r="A13" s="58"/>
      <c r="B13" s="1043" t="s">
        <v>47</v>
      </c>
      <c r="C13" s="1043"/>
      <c r="D13" s="420">
        <v>71.955128205128205128205128260</v>
      </c>
      <c r="E13" s="91">
        <v>54.037520391517128874388254500</v>
      </c>
      <c r="F13" s="421">
        <v>47.011492301685650749461033170</v>
      </c>
      <c r="G13" s="420">
        <v>3.4090909090909090909090909100</v>
      </c>
      <c r="H13" s="91">
        <v>0.9227161500815660685154975500</v>
      </c>
      <c r="I13" s="421">
        <v>5.3874862681666395869658529100</v>
      </c>
      <c r="J13" s="420">
        <v>0</v>
      </c>
      <c r="K13" s="91">
        <v>0</v>
      </c>
      <c r="L13" s="421">
        <v>4.9543727250020006644631065400</v>
      </c>
      <c r="M13" s="420">
        <v>75.364219114219114219114219110</v>
      </c>
      <c r="N13" s="91">
        <v>54.962532497323749808839272060</v>
      </c>
      <c r="O13" s="421">
        <v>57.355048828338138969791179130</v>
      </c>
      <c r="P13" s="184"/>
      <c r="Q13" s="420">
        <v>114.20349443608694507347675529</v>
      </c>
      <c r="R13" s="91"/>
      <c r="S13" s="421">
        <v>80.38271822794071570486360890</v>
      </c>
      <c r="T13" s="420">
        <v>-20.517001332876364856134235850</v>
      </c>
      <c r="U13" s="91"/>
      <c r="V13" s="421">
        <v>-36.830958713779367104359195180</v>
      </c>
      <c r="W13" s="420">
        <v>0</v>
      </c>
      <c r="X13" s="91"/>
      <c r="Y13" s="421">
        <v>13.816095912689342776070846080</v>
      </c>
      <c r="Z13" s="420">
        <v>96.19610761138876031804067831</v>
      </c>
      <c r="AA13" s="91"/>
      <c r="AB13" s="421">
        <v>47.282990335951541331857045430</v>
      </c>
    </row>
    <row r="14" ht="18" customHeight="1">
      <c r="A14" s="58"/>
      <c r="B14" s="1043" t="s">
        <v>48</v>
      </c>
      <c r="C14" s="1043"/>
      <c r="D14" s="420">
        <v>74.300699300699300699300699350</v>
      </c>
      <c r="E14" s="91">
        <v>55.607667210440456769983686800</v>
      </c>
      <c r="F14" s="421">
        <v>49.395071817791605939427155260</v>
      </c>
      <c r="G14" s="420">
        <v>4.0064102564102564102564102600</v>
      </c>
      <c r="H14" s="91">
        <v>1.3662316476345840130505709600</v>
      </c>
      <c r="I14" s="421">
        <v>6.2340704670399623632576152600</v>
      </c>
      <c r="J14" s="420">
        <v>0</v>
      </c>
      <c r="K14" s="91">
        <v>0</v>
      </c>
      <c r="L14" s="421">
        <v>5.2053651758280932091385502600</v>
      </c>
      <c r="M14" s="420">
        <v>78.307109557109557109557109560</v>
      </c>
      <c r="N14" s="91">
        <v>56.976092164958964163735535500</v>
      </c>
      <c r="O14" s="421">
        <v>60.836447498926916333424676800</v>
      </c>
      <c r="P14" s="5"/>
      <c r="Q14" s="420">
        <v>102.62950122858943075908098231</v>
      </c>
      <c r="R14" s="91"/>
      <c r="S14" s="421">
        <v>73.662547348696337956954186170</v>
      </c>
      <c r="T14" s="420">
        <v>-4.8255373008136294242197205400</v>
      </c>
      <c r="U14" s="91"/>
      <c r="V14" s="421">
        <v>-27.390420790155206398434901570</v>
      </c>
      <c r="W14" s="420">
        <v>0</v>
      </c>
      <c r="X14" s="91"/>
      <c r="Y14" s="421">
        <v>15.606814080691692088967050100</v>
      </c>
      <c r="Z14" s="420">
        <v>88.47688496196044025030020746</v>
      </c>
      <c r="AA14" s="91"/>
      <c r="AB14" s="421">
        <v>46.481947289235476508824401490</v>
      </c>
    </row>
    <row r="15" ht="18" customHeight="1">
      <c r="A15" s="58"/>
      <c r="B15" s="1043" t="s">
        <v>49</v>
      </c>
      <c r="C15" s="1043"/>
      <c r="D15" s="420">
        <v>82.29895104895104895104895111</v>
      </c>
      <c r="E15" s="91">
        <v>63.580750407830342577487765110</v>
      </c>
      <c r="F15" s="421">
        <v>54.973301694488005758980834970</v>
      </c>
      <c r="G15" s="420">
        <v>2.4475524475524475524475524500</v>
      </c>
      <c r="H15" s="91">
        <v>1.401916802610114192495921700</v>
      </c>
      <c r="I15" s="421">
        <v>7.29689048968303791086668300</v>
      </c>
      <c r="J15" s="420">
        <v>0</v>
      </c>
      <c r="K15" s="91">
        <v>0</v>
      </c>
      <c r="L15" s="421">
        <v>5.1910813359090391276210513100</v>
      </c>
      <c r="M15" s="420">
        <v>84.74650349650349650349650350</v>
      </c>
      <c r="N15" s="91">
        <v>64.979354641382474384462456030</v>
      </c>
      <c r="O15" s="421">
        <v>67.460303994687000845910905460</v>
      </c>
      <c r="P15" s="184"/>
      <c r="Q15" s="420">
        <v>87.11527829130324900034352746</v>
      </c>
      <c r="R15" s="91"/>
      <c r="S15" s="421">
        <v>79.40238383643785687232201357</v>
      </c>
      <c r="T15" s="420">
        <v>-52.253162680693243615449306060</v>
      </c>
      <c r="U15" s="91"/>
      <c r="V15" s="421">
        <v>-16.997956522674984866659254040</v>
      </c>
      <c r="W15" s="420">
        <v>0</v>
      </c>
      <c r="X15" s="91"/>
      <c r="Y15" s="421">
        <v>14.340280826006720701226543260</v>
      </c>
      <c r="Z15" s="420">
        <v>69.908431029914472983763791720</v>
      </c>
      <c r="AA15" s="91"/>
      <c r="AB15" s="421">
        <v>53.413121129646356174554002650</v>
      </c>
    </row>
    <row r="16" ht="18" customHeight="1">
      <c r="A16" s="58"/>
      <c r="B16" s="1044" t="s">
        <v>75</v>
      </c>
      <c r="C16" s="1044"/>
      <c r="D16" s="430">
        <v>77.721445221445221445221445230</v>
      </c>
      <c r="E16" s="431">
        <v>59.082613704719472283678109360</v>
      </c>
      <c r="F16" s="432">
        <v>51.024005937813051060826200130</v>
      </c>
      <c r="G16" s="430">
        <v>2.9108391608391608391608391600</v>
      </c>
      <c r="H16" s="431">
        <v>1.0552287348470173220639662300</v>
      </c>
      <c r="I16" s="432">
        <v>5.8122651738047361820929335700</v>
      </c>
      <c r="J16" s="430">
        <v>0</v>
      </c>
      <c r="K16" s="431">
        <v>0</v>
      </c>
      <c r="L16" s="432">
        <v>5.0719304926589905232697751300</v>
      </c>
      <c r="M16" s="430">
        <v>80.63228438228438228438228438</v>
      </c>
      <c r="N16" s="431">
        <v>60.137835413098442215153739500</v>
      </c>
      <c r="O16" s="432">
        <v>61.909268858256543600963439270</v>
      </c>
      <c r="P16" s="5"/>
      <c r="Q16" s="430">
        <v>95.79005478043266430357007661</v>
      </c>
      <c r="R16" s="431"/>
      <c r="S16" s="432">
        <v>79.65380924208216111232081429</v>
      </c>
      <c r="T16" s="430">
        <v>-31.470965760524141587367320810</v>
      </c>
      <c r="U16" s="431"/>
      <c r="V16" s="432">
        <v>-29.010079122961533802198325970</v>
      </c>
      <c r="W16" s="430">
        <v>0</v>
      </c>
      <c r="X16" s="431"/>
      <c r="Y16" s="432">
        <v>13.312834994680569515921655750</v>
      </c>
      <c r="Z16" s="629">
        <v>80.54976418526406567970272505</v>
      </c>
      <c r="AA16" s="214"/>
      <c r="AB16" s="630">
        <v>50.761562405576706887724979480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85.44882790165809033733562042</v>
      </c>
      <c r="E18" s="480">
        <v>70.963236394472988477078864690</v>
      </c>
      <c r="F18" s="481">
        <v>64.063865922532913150253562930</v>
      </c>
      <c r="G18" s="479">
        <v>3.2018296169239565465980560300</v>
      </c>
      <c r="H18" s="480">
        <v>1.3218935501571307427545268600</v>
      </c>
      <c r="I18" s="481">
        <v>8.471548317481188232015378140</v>
      </c>
      <c r="J18" s="479">
        <v>0</v>
      </c>
      <c r="K18" s="480">
        <v>0</v>
      </c>
      <c r="L18" s="481">
        <v>5.1946443331261001817458559400</v>
      </c>
      <c r="M18" s="479">
        <v>88.65065751858204688393367639</v>
      </c>
      <c r="N18" s="480">
        <v>72.286512370311252992817238630</v>
      </c>
      <c r="O18" s="481">
        <v>77.729820374115388371600006670</v>
      </c>
      <c r="P18" s="184"/>
      <c r="Q18" s="479">
        <v>64.383291705447486904139813430</v>
      </c>
      <c r="R18" s="480"/>
      <c r="S18" s="481">
        <v>77.108771974245684490318872790</v>
      </c>
      <c r="T18" s="479">
        <v>-6.6540712971946971360061381300</v>
      </c>
      <c r="U18" s="480"/>
      <c r="V18" s="481">
        <v>1.6221682669776150002844037600</v>
      </c>
      <c r="W18" s="479">
        <v>0</v>
      </c>
      <c r="X18" s="480"/>
      <c r="Y18" s="481">
        <v>11.526193007177990054759050370</v>
      </c>
      <c r="Z18" s="479">
        <v>53.491827789664231360751149160</v>
      </c>
      <c r="AA18" s="480"/>
      <c r="AB18" s="481">
        <v>58.105724550051146359715089840</v>
      </c>
    </row>
    <row r="19" ht="18" customHeight="1">
      <c r="A19" s="58"/>
      <c r="B19" s="1046" t="s">
        <v>51</v>
      </c>
      <c r="C19" s="1046"/>
      <c r="D19" s="271">
        <v>88.73834498834498834498834505</v>
      </c>
      <c r="E19" s="92">
        <v>74.959216965742251223491027750</v>
      </c>
      <c r="F19" s="272">
        <v>67.022451858524397912877951020</v>
      </c>
      <c r="G19" s="271">
        <v>3.0740093240093240093240093300</v>
      </c>
      <c r="H19" s="92">
        <v>1.2795676998368678629690048900</v>
      </c>
      <c r="I19" s="272">
        <v>7.6941380423882930808844774600</v>
      </c>
      <c r="J19" s="271">
        <v>0</v>
      </c>
      <c r="K19" s="92">
        <v>0.07646818923327895595432300</v>
      </c>
      <c r="L19" s="272">
        <v>5.1918253577073707263893711300</v>
      </c>
      <c r="M19" s="271">
        <v>91.81235431235431235431235431</v>
      </c>
      <c r="N19" s="92">
        <v>76.311362593668756690625477900</v>
      </c>
      <c r="O19" s="272">
        <v>79.90890086170267008854972211</v>
      </c>
      <c r="P19" s="5"/>
      <c r="Q19" s="271">
        <v>48.569684018005200174365778020</v>
      </c>
      <c r="R19" s="92"/>
      <c r="S19" s="272">
        <v>70.567615855730101454846109590</v>
      </c>
      <c r="T19" s="271">
        <v>16.287224269634958037818444500</v>
      </c>
      <c r="U19" s="92"/>
      <c r="V19" s="272">
        <v>-1.4129223773307349112273990200</v>
      </c>
      <c r="W19" s="271">
        <v>0</v>
      </c>
      <c r="X19" s="92"/>
      <c r="Y19" s="272">
        <v>10.974329856332152585248789610</v>
      </c>
      <c r="Z19" s="271">
        <v>43.428992924058347381759134810</v>
      </c>
      <c r="AA19" s="92"/>
      <c r="AB19" s="272">
        <v>54.332776575852913438170166210</v>
      </c>
    </row>
    <row r="20" ht="18" customHeight="1">
      <c r="A20" s="58"/>
      <c r="B20" s="1047" t="s">
        <v>76</v>
      </c>
      <c r="C20" s="1047"/>
      <c r="D20" s="273">
        <v>87.07792207792207792207792212</v>
      </c>
      <c r="E20" s="274">
        <v>72.939515417391523586213851700</v>
      </c>
      <c r="F20" s="275">
        <v>65.529004083320908623069560810</v>
      </c>
      <c r="G20" s="273">
        <v>3.1385281385281385281385281400</v>
      </c>
      <c r="H20" s="274">
        <v>1.3009605929959912260797216600</v>
      </c>
      <c r="I20" s="275">
        <v>8.086562555610598358014419090</v>
      </c>
      <c r="J20" s="273">
        <v>0</v>
      </c>
      <c r="K20" s="274">
        <v>0.0378186218894183495953407500</v>
      </c>
      <c r="L20" s="275">
        <v>5.1932483322832449174919079100</v>
      </c>
      <c r="M20" s="273">
        <v>90.21645021645021645021645022</v>
      </c>
      <c r="N20" s="274">
        <v>74.277070465145594352703895120</v>
      </c>
      <c r="O20" s="275">
        <v>78.808935210346336794617134560</v>
      </c>
      <c r="P20" s="184"/>
      <c r="Q20" s="273">
        <v>55.775505456789768197931911720</v>
      </c>
      <c r="R20" s="274"/>
      <c r="S20" s="275">
        <v>73.669021345628518804992247060</v>
      </c>
      <c r="T20" s="273">
        <v>3.5056399190575373035593327700</v>
      </c>
      <c r="U20" s="274"/>
      <c r="V20" s="275">
        <v>0.1990506106674508889663294900</v>
      </c>
      <c r="W20" s="273">
        <v>0</v>
      </c>
      <c r="X20" s="274"/>
      <c r="Y20" s="275">
        <v>11.250065075032196795475082300</v>
      </c>
      <c r="Z20" s="273">
        <v>48.177167489269651778389463490</v>
      </c>
      <c r="AA20" s="274"/>
      <c r="AB20" s="275">
        <v>56.151786760036079663953283340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80.38190120381901203819012038</v>
      </c>
      <c r="E22" s="469">
        <v>63.019576106499641808150288460</v>
      </c>
      <c r="F22" s="470">
        <v>55.056894445791646101668948400</v>
      </c>
      <c r="G22" s="468">
        <v>2.9887920298879202988792029900</v>
      </c>
      <c r="H22" s="469">
        <v>1.1862810508769789285680191500</v>
      </c>
      <c r="I22" s="470">
        <v>6.3842815436408546895358939200</v>
      </c>
      <c r="J22" s="468">
        <v>0</v>
      </c>
      <c r="K22" s="469">
        <v>0.0108896084096815878501009100</v>
      </c>
      <c r="L22" s="470">
        <v>5.3256966542666379351388216700</v>
      </c>
      <c r="M22" s="468">
        <v>83.37069323370693233706932337</v>
      </c>
      <c r="N22" s="469">
        <v>64.216746765786302324568408520</v>
      </c>
      <c r="O22" s="470">
        <v>66.766872643699138726343663990</v>
      </c>
      <c r="P22" s="184"/>
      <c r="Q22" s="468">
        <v>77.782527191387039969483467050</v>
      </c>
      <c r="R22" s="469"/>
      <c r="S22" s="470">
        <v>76.442989251536693964457124040</v>
      </c>
      <c r="T22" s="468">
        <v>-27.512790890176117972462714760</v>
      </c>
      <c r="U22" s="469"/>
      <c r="V22" s="470">
        <v>-20.872092015926595192434965790</v>
      </c>
      <c r="W22" s="468">
        <v>0</v>
      </c>
      <c r="X22" s="469"/>
      <c r="Y22" s="470">
        <v>19.705708859153089421765508370</v>
      </c>
      <c r="Z22" s="468">
        <v>68.982737229314182152003445530</v>
      </c>
      <c r="AA22" s="469"/>
      <c r="AB22" s="470">
        <v>52.710926743700735912325629490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205.57159321115806952615751532</v>
      </c>
      <c r="E25" s="455">
        <v>250.49128661334517945323702583</v>
      </c>
      <c r="F25" s="456">
        <v>192.98847482519137512186782207</v>
      </c>
      <c r="G25" s="454">
        <v>259.93846617261688711512492571</v>
      </c>
      <c r="H25" s="455">
        <v>255.90424968118433671817128403</v>
      </c>
      <c r="I25" s="456">
        <v>162.57237949923206702605246537</v>
      </c>
      <c r="J25" s="454">
        <v>0</v>
      </c>
      <c r="K25" s="455">
        <v>0</v>
      </c>
      <c r="L25" s="456">
        <v>104.6217559388017125234232336</v>
      </c>
      <c r="M25" s="454">
        <v>206.7928048483602351636060317</v>
      </c>
      <c r="N25" s="455">
        <v>250.57133895139839501944704859</v>
      </c>
      <c r="O25" s="456">
        <v>183.73324775290452294487434824</v>
      </c>
      <c r="P25" s="5"/>
      <c r="Q25" s="427">
        <v>15.737581273232588570826130870</v>
      </c>
      <c r="R25" s="428"/>
      <c r="S25" s="429">
        <v>11.808465804943142718388777300</v>
      </c>
      <c r="T25" s="427">
        <v>-46.822970408832114948770529940</v>
      </c>
      <c r="U25" s="428"/>
      <c r="V25" s="429">
        <v>-40.203476878877687718035946050</v>
      </c>
      <c r="W25" s="427">
        <v>0</v>
      </c>
      <c r="X25" s="428"/>
      <c r="Y25" s="429">
        <v>-5.0450940080660493632084838600</v>
      </c>
      <c r="Z25" s="427">
        <v>2.7077122639671807399255854400</v>
      </c>
      <c r="AA25" s="428"/>
      <c r="AB25" s="429">
        <v>0.2128711956425255366190097400</v>
      </c>
    </row>
    <row r="26" ht="18" customHeight="1">
      <c r="A26" s="58"/>
      <c r="B26" s="1043" t="s">
        <v>46</v>
      </c>
      <c r="C26" s="1043"/>
      <c r="D26" s="439">
        <v>177.53040582110282616777740827</v>
      </c>
      <c r="E26" s="95">
        <v>224.7443157658973498343782823</v>
      </c>
      <c r="F26" s="440">
        <v>178.84384042862470906072874728</v>
      </c>
      <c r="G26" s="439">
        <v>238.9412362535324927323291563</v>
      </c>
      <c r="H26" s="95">
        <v>235.13047174631225010831512028</v>
      </c>
      <c r="I26" s="440">
        <v>161.37166875591193007914141513</v>
      </c>
      <c r="J26" s="439">
        <v>0</v>
      </c>
      <c r="K26" s="95">
        <v>0</v>
      </c>
      <c r="L26" s="440">
        <v>105.13427689271772718915236789</v>
      </c>
      <c r="M26" s="439">
        <v>179.6849718043456713470423573</v>
      </c>
      <c r="N26" s="95">
        <v>224.83418947064652645820497733</v>
      </c>
      <c r="O26" s="440">
        <v>171.13281994660355287137118143</v>
      </c>
      <c r="P26" s="5"/>
      <c r="Q26" s="420">
        <v>4.6278826405352807795145490100</v>
      </c>
      <c r="R26" s="91"/>
      <c r="S26" s="421">
        <v>5.1938753645033809797399731300</v>
      </c>
      <c r="T26" s="420">
        <v>1.3368942156399868936505786100</v>
      </c>
      <c r="U26" s="91"/>
      <c r="V26" s="421">
        <v>-25.330580402158756041435067100</v>
      </c>
      <c r="W26" s="420">
        <v>0</v>
      </c>
      <c r="X26" s="91"/>
      <c r="Y26" s="421">
        <v>-3.5674973891317599616521384800</v>
      </c>
      <c r="Z26" s="420">
        <v>2.8408183725154362549814479700</v>
      </c>
      <c r="AA26" s="91"/>
      <c r="AB26" s="421">
        <v>-0.5496013597797175758063910200</v>
      </c>
    </row>
    <row r="27" ht="18" customHeight="1">
      <c r="A27" s="58"/>
      <c r="B27" s="1043" t="s">
        <v>47</v>
      </c>
      <c r="C27" s="1043"/>
      <c r="D27" s="439">
        <v>174.33469081313805874239894491</v>
      </c>
      <c r="E27" s="95">
        <v>228.47950310426863981624389473</v>
      </c>
      <c r="F27" s="440">
        <v>179.51285781282929140778340462</v>
      </c>
      <c r="G27" s="439">
        <v>217.90547638320963202893846236</v>
      </c>
      <c r="H27" s="95">
        <v>276.65540589329808348183538513</v>
      </c>
      <c r="I27" s="440">
        <v>163.95483756876259175692888868</v>
      </c>
      <c r="J27" s="439">
        <v>0</v>
      </c>
      <c r="K27" s="95">
        <v>0</v>
      </c>
      <c r="L27" s="440">
        <v>102.84153136147817050233368133</v>
      </c>
      <c r="M27" s="439">
        <v>176.30560978151168104068818656</v>
      </c>
      <c r="N27" s="95">
        <v>229.26705262214195280675176117</v>
      </c>
      <c r="O27" s="440">
        <v>171.42321814639526083592173114</v>
      </c>
      <c r="P27" s="93"/>
      <c r="Q27" s="420">
        <v>3.1203005826073448918096133700</v>
      </c>
      <c r="R27" s="91"/>
      <c r="S27" s="421">
        <v>3.258762004983131430105887900</v>
      </c>
      <c r="T27" s="420">
        <v>-11.689377989569242838540074500</v>
      </c>
      <c r="U27" s="91"/>
      <c r="V27" s="421">
        <v>-25.581367601230915234466857090</v>
      </c>
      <c r="W27" s="420">
        <v>0</v>
      </c>
      <c r="X27" s="91"/>
      <c r="Y27" s="421">
        <v>-5.0546224317083454079657040800</v>
      </c>
      <c r="Z27" s="420">
        <v>-0.4438029903658252318608670200</v>
      </c>
      <c r="AA27" s="91"/>
      <c r="AB27" s="421">
        <v>-2.9895784645279768618924490200</v>
      </c>
    </row>
    <row r="28" ht="18" customHeight="1">
      <c r="A28" s="58"/>
      <c r="B28" s="1043" t="s">
        <v>48</v>
      </c>
      <c r="C28" s="1043"/>
      <c r="D28" s="439">
        <v>180.64799098235397182632633557</v>
      </c>
      <c r="E28" s="95">
        <v>234.90812896161835211403077192</v>
      </c>
      <c r="F28" s="440">
        <v>184.40672335866537675009162582</v>
      </c>
      <c r="G28" s="439">
        <v>222.31570606400797285538958257</v>
      </c>
      <c r="H28" s="95">
        <v>270.57213226995472782175502664</v>
      </c>
      <c r="I28" s="440">
        <v>171.0654958795573826837963606</v>
      </c>
      <c r="J28" s="439">
        <v>0</v>
      </c>
      <c r="K28" s="95">
        <v>0</v>
      </c>
      <c r="L28" s="440">
        <v>103.52353331102457269624504193</v>
      </c>
      <c r="M28" s="439">
        <v>182.77982756792696722781329239</v>
      </c>
      <c r="N28" s="95">
        <v>235.74225661283715235895839737</v>
      </c>
      <c r="O28" s="440">
        <v>176.11310218503589026724585482</v>
      </c>
      <c r="P28" s="5"/>
      <c r="Q28" s="420">
        <v>-7.506485476434364030135586800</v>
      </c>
      <c r="R28" s="91"/>
      <c r="S28" s="421">
        <v>2.2928124974871583931845853700</v>
      </c>
      <c r="T28" s="420">
        <v>-23.963582741937155198939167650</v>
      </c>
      <c r="U28" s="91"/>
      <c r="V28" s="421">
        <v>-25.752193197014591820656520150</v>
      </c>
      <c r="W28" s="420">
        <v>0</v>
      </c>
      <c r="X28" s="91"/>
      <c r="Y28" s="421">
        <v>-3.3061626132789612185477941300</v>
      </c>
      <c r="Z28" s="420">
        <v>-10.428316966580317807447941060</v>
      </c>
      <c r="AA28" s="91"/>
      <c r="AB28" s="421">
        <v>-3.6038040608272262456975194600</v>
      </c>
    </row>
    <row r="29" ht="18" customHeight="1">
      <c r="A29" s="58"/>
      <c r="B29" s="1043" t="s">
        <v>49</v>
      </c>
      <c r="C29" s="1043"/>
      <c r="D29" s="439">
        <v>211.15326261112092249799625058</v>
      </c>
      <c r="E29" s="95">
        <v>276.04067321936556254492168199</v>
      </c>
      <c r="F29" s="440">
        <v>202.38468337162733979490915926</v>
      </c>
      <c r="G29" s="439">
        <v>276.38000212878129549034171464</v>
      </c>
      <c r="H29" s="95">
        <v>269.27028704634383059408740385</v>
      </c>
      <c r="I29" s="440">
        <v>174.06322399793690171704176462</v>
      </c>
      <c r="J29" s="439">
        <v>0</v>
      </c>
      <c r="K29" s="95">
        <v>0</v>
      </c>
      <c r="L29" s="440">
        <v>104.01250603785061117218721521</v>
      </c>
      <c r="M29" s="439">
        <v>213.03706736253349644723366471</v>
      </c>
      <c r="N29" s="95">
        <v>275.89461091469928998773336895</v>
      </c>
      <c r="O29" s="440">
        <v>191.75442673574399445195204054</v>
      </c>
      <c r="P29" s="93"/>
      <c r="Q29" s="420">
        <v>12.548653360297372875631120520</v>
      </c>
      <c r="R29" s="91"/>
      <c r="S29" s="421">
        <v>9.249146533734570658748118940</v>
      </c>
      <c r="T29" s="420">
        <v>-41.437313492400576691414298590</v>
      </c>
      <c r="U29" s="91"/>
      <c r="V29" s="421">
        <v>-34.841601105430108703690509370</v>
      </c>
      <c r="W29" s="420">
        <v>0</v>
      </c>
      <c r="X29" s="91"/>
      <c r="Y29" s="421">
        <v>-5.7130877050911911343365129200</v>
      </c>
      <c r="Z29" s="420">
        <v>-1.0869314655131626857357156200</v>
      </c>
      <c r="AA29" s="91"/>
      <c r="AB29" s="421">
        <v>-1.1002262801330801402349101700</v>
      </c>
    </row>
    <row r="30" ht="18" customHeight="1">
      <c r="A30" s="58"/>
      <c r="B30" s="1044" t="s">
        <v>75</v>
      </c>
      <c r="C30" s="1044"/>
      <c r="D30" s="457">
        <v>190.74004661432824535021594763</v>
      </c>
      <c r="E30" s="458">
        <v>244.03391865370135500556863236</v>
      </c>
      <c r="F30" s="459">
        <v>188.18712183370231341673399467</v>
      </c>
      <c r="G30" s="457">
        <v>238.52877943121540659169466374</v>
      </c>
      <c r="H30" s="458">
        <v>264.47406488062130618935760155</v>
      </c>
      <c r="I30" s="459">
        <v>167.33159598091587942163903824</v>
      </c>
      <c r="J30" s="457">
        <v>0</v>
      </c>
      <c r="K30" s="458">
        <v>0</v>
      </c>
      <c r="L30" s="459">
        <v>104.0228259394490541394673719</v>
      </c>
      <c r="M30" s="457">
        <v>192.46522798548678522952925798</v>
      </c>
      <c r="N30" s="458">
        <v>244.38014923600455303584945004</v>
      </c>
      <c r="O30" s="459">
        <v>179.33070729511636430672645045</v>
      </c>
      <c r="P30" s="5"/>
      <c r="Q30" s="430">
        <v>5.8906033817515069944337671900</v>
      </c>
      <c r="R30" s="431"/>
      <c r="S30" s="432">
        <v>6.524818468856865915475924700</v>
      </c>
      <c r="T30" s="430">
        <v>-32.235716432689206274803470030</v>
      </c>
      <c r="U30" s="431"/>
      <c r="V30" s="432">
        <v>-30.608497055936666493101209820</v>
      </c>
      <c r="W30" s="430">
        <v>0</v>
      </c>
      <c r="X30" s="431"/>
      <c r="Y30" s="432">
        <v>-4.5549050519862791605948228500</v>
      </c>
      <c r="Z30" s="430">
        <v>-1.6959259088497099819697993200</v>
      </c>
      <c r="AA30" s="431"/>
      <c r="AB30" s="432">
        <v>-1.5431953433035122409378797300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325.0271899010909807758589649</v>
      </c>
      <c r="E32" s="494">
        <v>375.29114271058397207257643055</v>
      </c>
      <c r="F32" s="495">
        <v>244.5127333217186954135183701</v>
      </c>
      <c r="G32" s="493">
        <v>291.66123209292925727546259877</v>
      </c>
      <c r="H32" s="494">
        <v>305.70139501162010866803597706</v>
      </c>
      <c r="I32" s="495">
        <v>177.26856192663879196085656775</v>
      </c>
      <c r="J32" s="493">
        <v>0</v>
      </c>
      <c r="K32" s="494">
        <v>0</v>
      </c>
      <c r="L32" s="495">
        <v>104.95192105165095223900521914</v>
      </c>
      <c r="M32" s="493">
        <v>323.82209887415963184582207588</v>
      </c>
      <c r="N32" s="494">
        <v>373.99273156768195663134845673</v>
      </c>
      <c r="O32" s="495">
        <v>227.85795680606294209319376448</v>
      </c>
      <c r="P32" s="93"/>
      <c r="Q32" s="479">
        <v>69.914831790338280057084556980</v>
      </c>
      <c r="R32" s="480"/>
      <c r="S32" s="481">
        <v>30.415592637643305606334903660</v>
      </c>
      <c r="T32" s="479">
        <v>19.828511066699335998120820480</v>
      </c>
      <c r="U32" s="480"/>
      <c r="V32" s="481">
        <v>-37.194353594250354848060925450</v>
      </c>
      <c r="W32" s="479">
        <v>0</v>
      </c>
      <c r="X32" s="480"/>
      <c r="Y32" s="481">
        <v>-6.0774934632249758440605263100</v>
      </c>
      <c r="Z32" s="479">
        <v>41.910835523902638812322788460</v>
      </c>
      <c r="AA32" s="480"/>
      <c r="AB32" s="481">
        <v>16.0230957273508770721935800</v>
      </c>
    </row>
    <row r="33" ht="18" customHeight="1">
      <c r="A33" s="58"/>
      <c r="B33" s="1046" t="s">
        <v>51</v>
      </c>
      <c r="C33" s="1046"/>
      <c r="D33" s="276">
        <v>328.37177098158614802044589516</v>
      </c>
      <c r="E33" s="94">
        <v>369.09028114862890414005531047</v>
      </c>
      <c r="F33" s="277">
        <v>242.12825013219597598367571767</v>
      </c>
      <c r="G33" s="276">
        <v>259.27787531395700494271271223</v>
      </c>
      <c r="H33" s="94">
        <v>314.53503232158878635559392573</v>
      </c>
      <c r="I33" s="277">
        <v>173.12938910662217236077591095</v>
      </c>
      <c r="J33" s="276">
        <v>0</v>
      </c>
      <c r="K33" s="94">
        <v>273.01959103722744511079188998</v>
      </c>
      <c r="L33" s="277">
        <v>105.39807916250471745308380355</v>
      </c>
      <c r="M33" s="276">
        <v>326.05840824184166227157225162</v>
      </c>
      <c r="N33" s="94">
        <v>368.07929732716877779073408408</v>
      </c>
      <c r="O33" s="277">
        <v>226.59952310496943658031854373</v>
      </c>
      <c r="P33" s="5"/>
      <c r="Q33" s="271">
        <v>47.299313868035617595641523210</v>
      </c>
      <c r="R33" s="92"/>
      <c r="S33" s="272">
        <v>28.568227918537847298666258850</v>
      </c>
      <c r="T33" s="271">
        <v>23.556596952141518429269079350</v>
      </c>
      <c r="U33" s="92"/>
      <c r="V33" s="272">
        <v>-36.708023516157805277686877510</v>
      </c>
      <c r="W33" s="271">
        <v>0</v>
      </c>
      <c r="X33" s="92"/>
      <c r="Y33" s="272">
        <v>-8.250462936097741628974987120</v>
      </c>
      <c r="Z33" s="271">
        <v>48.587481009076105964992416890</v>
      </c>
      <c r="AA33" s="92"/>
      <c r="AB33" s="272">
        <v>16.484433868334249160085837710</v>
      </c>
    </row>
    <row r="34" ht="18" customHeight="1">
      <c r="A34" s="58"/>
      <c r="B34" s="1047" t="s">
        <v>76</v>
      </c>
      <c r="C34" s="1047"/>
      <c r="D34" s="443">
        <v>326.71513781403290336155612226</v>
      </c>
      <c r="E34" s="444">
        <v>372.13948462530960916625805693</v>
      </c>
      <c r="F34" s="445">
        <v>243.30498789810560886319367343</v>
      </c>
      <c r="G34" s="443">
        <v>275.95344294266915327038161931</v>
      </c>
      <c r="H34" s="444">
        <v>309.99837750154673289202249859</v>
      </c>
      <c r="I34" s="445">
        <v>175.31825045827249912315240241</v>
      </c>
      <c r="J34" s="443">
        <v>0</v>
      </c>
      <c r="K34" s="444">
        <v>273.01959103722744511079188998</v>
      </c>
      <c r="L34" s="445">
        <v>105.17280500628006621119021995</v>
      </c>
      <c r="M34" s="633">
        <v>324.94919593391108384062994592</v>
      </c>
      <c r="N34" s="634">
        <v>370.98804381462777540658445021</v>
      </c>
      <c r="O34" s="635">
        <v>227.22606251870525477659732146</v>
      </c>
      <c r="P34" s="93"/>
      <c r="Q34" s="273">
        <v>56.783009412864254122681551710</v>
      </c>
      <c r="R34" s="274"/>
      <c r="S34" s="275">
        <v>29.469781592020275198392913820</v>
      </c>
      <c r="T34" s="273">
        <v>20.712213108125355067275620020</v>
      </c>
      <c r="U34" s="274"/>
      <c r="V34" s="275">
        <v>-36.945135731853664849676630370</v>
      </c>
      <c r="W34" s="273">
        <v>0</v>
      </c>
      <c r="X34" s="274"/>
      <c r="Y34" s="275">
        <v>-7.1831205343136171294403878100</v>
      </c>
      <c r="Z34" s="273">
        <v>45.333849093268934283277452180</v>
      </c>
      <c r="AA34" s="274"/>
      <c r="AB34" s="275">
        <v>16.265330009336855357622499820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233.25113612889898781243544722</v>
      </c>
      <c r="E36" s="483">
        <v>286.74251842781762324991746781</v>
      </c>
      <c r="F36" s="484">
        <v>207.41218109941419901022682529</v>
      </c>
      <c r="G36" s="482">
        <v>247.15625</v>
      </c>
      <c r="H36" s="483">
        <v>275.51640607238663688468122787</v>
      </c>
      <c r="I36" s="484">
        <v>170.75033572853943416821993488</v>
      </c>
      <c r="J36" s="482">
        <v>0</v>
      </c>
      <c r="K36" s="483">
        <v>272.99995609502326355432428011</v>
      </c>
      <c r="L36" s="484">
        <v>103.07946909670243011643727595</v>
      </c>
      <c r="M36" s="482">
        <v>233.74962656841266679944234216</v>
      </c>
      <c r="N36" s="483">
        <v>286.53280715836121913719815501</v>
      </c>
      <c r="O36" s="484">
        <v>195.58440054400694142088939026</v>
      </c>
      <c r="P36" s="93"/>
      <c r="Q36" s="468">
        <v>21.887214742018431323648295450</v>
      </c>
      <c r="R36" s="469"/>
      <c r="S36" s="470">
        <v>14.518925984349764698087716550</v>
      </c>
      <c r="T36" s="468">
        <v>-31.743988826942807710188508710</v>
      </c>
      <c r="U36" s="469"/>
      <c r="V36" s="470">
        <v>-31.859934372882006508462471390</v>
      </c>
      <c r="W36" s="468">
        <v>0</v>
      </c>
      <c r="X36" s="469"/>
      <c r="Y36" s="470">
        <v>-4.3836822174773586562834560300</v>
      </c>
      <c r="Z36" s="468">
        <v>13.672018464972760852009297750</v>
      </c>
      <c r="AA36" s="469"/>
      <c r="AB36" s="470">
        <v>4.8843074794466953502311886200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173.34620942689144907013398887</v>
      </c>
      <c r="E39" s="455">
        <v>162.48221507280811905398592565</v>
      </c>
      <c r="F39" s="456">
        <v>106.84397588547454779709302269</v>
      </c>
      <c r="G39" s="454">
        <v>5.036686480326055650686424118</v>
      </c>
      <c r="H39" s="455">
        <v>2.4917267378214828870906767569</v>
      </c>
      <c r="I39" s="456">
        <v>8.351660168758609315657101256</v>
      </c>
      <c r="J39" s="454">
        <v>0</v>
      </c>
      <c r="K39" s="455">
        <v>0</v>
      </c>
      <c r="L39" s="456">
        <v>5.334487955137160928841880129</v>
      </c>
      <c r="M39" s="454">
        <v>178.38289590721750472082041284</v>
      </c>
      <c r="N39" s="455">
        <v>164.96553206694755934526984924</v>
      </c>
      <c r="O39" s="456">
        <v>120.53012400937031804159200395</v>
      </c>
      <c r="P39" s="5"/>
      <c r="Q39" s="427">
        <v>115.29093642349976311211778672</v>
      </c>
      <c r="R39" s="428"/>
      <c r="S39" s="429">
        <v>103.39740828903646783016689313</v>
      </c>
      <c r="T39" s="427">
        <v>-72.368900886561839903879521830</v>
      </c>
      <c r="U39" s="428"/>
      <c r="V39" s="429">
        <v>-59.002362196876978487636523800</v>
      </c>
      <c r="W39" s="427">
        <v>0</v>
      </c>
      <c r="X39" s="428"/>
      <c r="Y39" s="429">
        <v>5.2509598272249339523615267900</v>
      </c>
      <c r="Z39" s="427">
        <v>76.112088564816346318501017860</v>
      </c>
      <c r="AA39" s="428"/>
      <c r="AB39" s="429">
        <v>54.587521348384351933534202220</v>
      </c>
    </row>
    <row r="40" ht="18" customHeight="1">
      <c r="A40" s="58"/>
      <c r="B40" s="1043" t="s">
        <v>46</v>
      </c>
      <c r="C40" s="1043"/>
      <c r="D40" s="439">
        <v>134.44100370892955862763796167</v>
      </c>
      <c r="E40" s="95">
        <v>128.82790025502225374572700767</v>
      </c>
      <c r="F40" s="440">
        <v>86.52389220376668513568854905</v>
      </c>
      <c r="G40" s="439">
        <v>6.5792385856523369939408814939</v>
      </c>
      <c r="H40" s="95">
        <v>1.4381801625749258378611455447</v>
      </c>
      <c r="I40" s="440">
        <v>8.074710132917295120685410078</v>
      </c>
      <c r="J40" s="439">
        <v>0</v>
      </c>
      <c r="K40" s="95">
        <v>0</v>
      </c>
      <c r="L40" s="440">
        <v>5.1620002329696343841352882802</v>
      </c>
      <c r="M40" s="439">
        <v>141.02024229458189562157884307</v>
      </c>
      <c r="N40" s="95">
        <v>130.25944096395713895262059008</v>
      </c>
      <c r="O40" s="440">
        <v>99.7606025696536146405092473</v>
      </c>
      <c r="P40" s="5"/>
      <c r="Q40" s="420">
        <v>105.28234232000921592705741903</v>
      </c>
      <c r="R40" s="91"/>
      <c r="S40" s="421">
        <v>92.63647586388899855428177680</v>
      </c>
      <c r="T40" s="420">
        <v>-28.590048390238716920736203240</v>
      </c>
      <c r="U40" s="91"/>
      <c r="V40" s="421">
        <v>-50.297732627729878671169710620</v>
      </c>
      <c r="W40" s="420">
        <v>0</v>
      </c>
      <c r="X40" s="91"/>
      <c r="Y40" s="421">
        <v>7.981578979583052403299524310</v>
      </c>
      <c r="Z40" s="420">
        <v>87.94004131955088876171222913</v>
      </c>
      <c r="AA40" s="91"/>
      <c r="AB40" s="421">
        <v>51.285278190935385266574408030</v>
      </c>
    </row>
    <row r="41" ht="18" customHeight="1">
      <c r="A41" s="58"/>
      <c r="B41" s="1043" t="s">
        <v>47</v>
      </c>
      <c r="C41" s="1043"/>
      <c r="D41" s="439">
        <v>125.4427502806073531656043691</v>
      </c>
      <c r="E41" s="95">
        <v>123.46465808040617771473212096</v>
      </c>
      <c r="F41" s="440">
        <v>84.39167333121415057541553265</v>
      </c>
      <c r="G41" s="439">
        <v>7.4285957857912374555319930404</v>
      </c>
      <c r="H41" s="95">
        <v>2.5527441102511701218501327856</v>
      </c>
      <c r="I41" s="440">
        <v>8.83304436001200335256056483</v>
      </c>
      <c r="J41" s="439">
        <v>0</v>
      </c>
      <c r="K41" s="95">
        <v>0</v>
      </c>
      <c r="L41" s="440">
        <v>5.0951527797474531501678790578</v>
      </c>
      <c r="M41" s="439">
        <v>132.87134606639859062113636205</v>
      </c>
      <c r="N41" s="95">
        <v>126.01097830310111307347695819</v>
      </c>
      <c r="O41" s="440">
        <v>98.31987047097360707814397643</v>
      </c>
      <c r="P41" s="93"/>
      <c r="Q41" s="420">
        <v>120.88728732131195943743665465</v>
      </c>
      <c r="R41" s="91"/>
      <c r="S41" s="421">
        <v>86.26096171344093376675382406</v>
      </c>
      <c r="T41" s="420">
        <v>-29.808069485014703109578783270</v>
      </c>
      <c r="U41" s="91"/>
      <c r="V41" s="421">
        <v>-52.990463375541903658588183140</v>
      </c>
      <c r="W41" s="420">
        <v>0</v>
      </c>
      <c r="X41" s="91"/>
      <c r="Y41" s="421">
        <v>8.063121998155249338745763140</v>
      </c>
      <c r="Z41" s="420">
        <v>95.32538341874407036317322751</v>
      </c>
      <c r="AA41" s="91"/>
      <c r="AB41" s="421">
        <v>42.879849774841276531712588260</v>
      </c>
    </row>
    <row r="42" ht="18" customHeight="1">
      <c r="A42" s="58"/>
      <c r="B42" s="1043" t="s">
        <v>48</v>
      </c>
      <c r="C42" s="1043"/>
      <c r="D42" s="439">
        <v>134.22272057255321333249771446</v>
      </c>
      <c r="E42" s="95">
        <v>130.62693060324903063110968907</v>
      </c>
      <c r="F42" s="440">
        <v>91.08783343984905191323157759</v>
      </c>
      <c r="G42" s="439">
        <v>8.906879249359293784270415975</v>
      </c>
      <c r="H42" s="95">
        <v>3.6966421007518284592287085623</v>
      </c>
      <c r="I42" s="440">
        <v>10.664343557922950499080550503</v>
      </c>
      <c r="J42" s="439">
        <v>0</v>
      </c>
      <c r="K42" s="95">
        <v>0</v>
      </c>
      <c r="L42" s="440">
        <v>5.3887779517588688920317774088</v>
      </c>
      <c r="M42" s="439">
        <v>143.12959982191250711676813033</v>
      </c>
      <c r="N42" s="95">
        <v>134.31672539948416434297181054</v>
      </c>
      <c r="O42" s="440">
        <v>107.14095494953087130434390539</v>
      </c>
      <c r="P42" s="5"/>
      <c r="Q42" s="420">
        <v>87.41914714815850578357804855</v>
      </c>
      <c r="R42" s="91"/>
      <c r="S42" s="421">
        <v>77.644303937677784092777925720</v>
      </c>
      <c r="T42" s="420">
        <v>-27.632748419459381286544941480</v>
      </c>
      <c r="U42" s="91"/>
      <c r="V42" s="421">
        <v>-46.088979907933345900228194760</v>
      </c>
      <c r="W42" s="420">
        <v>0</v>
      </c>
      <c r="X42" s="91"/>
      <c r="Y42" s="421">
        <v>11.784664816865133468543399230</v>
      </c>
      <c r="Z42" s="420">
        <v>68.821917989169372686190388520</v>
      </c>
      <c r="AA42" s="91"/>
      <c r="AB42" s="421">
        <v>41.203024924510907407971719130</v>
      </c>
    </row>
    <row r="43" ht="18" customHeight="1">
      <c r="A43" s="58"/>
      <c r="B43" s="1043" t="s">
        <v>49</v>
      </c>
      <c r="C43" s="1043"/>
      <c r="D43" s="439">
        <v>173.77692023458946549988065565</v>
      </c>
      <c r="E43" s="95">
        <v>175.50873146369939315152239084</v>
      </c>
      <c r="F43" s="440">
        <v>111.25754257331899761299060268</v>
      </c>
      <c r="G43" s="439">
        <v>6.7645455066484932462671049088</v>
      </c>
      <c r="H43" s="95">
        <v>3.7749453985391799252331788376</v>
      </c>
      <c r="I43" s="440">
        <v>12.701202837941141146394801235</v>
      </c>
      <c r="J43" s="439">
        <v>0</v>
      </c>
      <c r="K43" s="95">
        <v>0</v>
      </c>
      <c r="L43" s="440">
        <v>5.3993737879421254892461057574</v>
      </c>
      <c r="M43" s="439">
        <v>180.54146574123795874614776043</v>
      </c>
      <c r="N43" s="95">
        <v>179.27453766272477185469935536</v>
      </c>
      <c r="O43" s="440">
        <v>129.35811919920226424863150953</v>
      </c>
      <c r="P43" s="93"/>
      <c r="Q43" s="420">
        <v>110.59572594839755715926535939</v>
      </c>
      <c r="R43" s="91"/>
      <c r="S43" s="421">
        <v>95.99557320224613653818193608</v>
      </c>
      <c r="T43" s="420">
        <v>-72.038169343381368637375068330</v>
      </c>
      <c r="U43" s="91"/>
      <c r="V43" s="421">
        <v>-45.917197420415025746483842840</v>
      </c>
      <c r="W43" s="420">
        <v>0</v>
      </c>
      <c r="X43" s="91"/>
      <c r="Y43" s="421">
        <v>7.8079202984248953317509132900</v>
      </c>
      <c r="Z43" s="420">
        <v>68.061642830379092273227185220</v>
      </c>
      <c r="AA43" s="91"/>
      <c r="AB43" s="421">
        <v>51.725229653698336465631875610</v>
      </c>
    </row>
    <row r="44" ht="18" customHeight="1">
      <c r="A44" s="58"/>
      <c r="B44" s="1044" t="s">
        <v>75</v>
      </c>
      <c r="C44" s="1044"/>
      <c r="D44" s="457">
        <v>148.24592084471420793915093787</v>
      </c>
      <c r="E44" s="458">
        <v>144.18161746665572548324074758</v>
      </c>
      <c r="F44" s="459">
        <v>96.02060821862774905506791134</v>
      </c>
      <c r="G44" s="457">
        <v>6.9431891215554834261393639017</v>
      </c>
      <c r="H44" s="458">
        <v>2.7908063288382599625417770419</v>
      </c>
      <c r="I44" s="459">
        <v>9.725756077970419282982594765</v>
      </c>
      <c r="J44" s="457">
        <v>0</v>
      </c>
      <c r="K44" s="458">
        <v>0</v>
      </c>
      <c r="L44" s="459">
        <v>5.2759654281485025986836165372</v>
      </c>
      <c r="M44" s="457">
        <v>155.18910996626969136529030175</v>
      </c>
      <c r="N44" s="458">
        <v>146.96493192983276827418937443</v>
      </c>
      <c r="O44" s="459">
        <v>111.0223297247466709367341226</v>
      </c>
      <c r="P44" s="5"/>
      <c r="Q44" s="430">
        <v>107.32327036840518347013500668</v>
      </c>
      <c r="R44" s="431"/>
      <c r="S44" s="432">
        <v>91.37589416745328028821393503</v>
      </c>
      <c r="T44" s="430">
        <v>-53.561790911711954866029972850</v>
      </c>
      <c r="U44" s="431"/>
      <c r="V44" s="432">
        <v>-50.739026964673866974937962030</v>
      </c>
      <c r="W44" s="430">
        <v>0</v>
      </c>
      <c r="X44" s="431"/>
      <c r="Y44" s="432">
        <v>8.151542948939442164909783660</v>
      </c>
      <c r="Z44" s="430">
        <v>77.487773955996792975642901660</v>
      </c>
      <c r="AA44" s="431"/>
      <c r="AB44" s="432">
        <v>48.435016995075572317585329260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277.73192413217865681504929869</v>
      </c>
      <c r="E46" s="494">
        <v>266.31874076923068722025601348</v>
      </c>
      <c r="F46" s="495">
        <v>156.64430963874632244563983648</v>
      </c>
      <c r="G46" s="493">
        <v>9.338495710236728649185766463</v>
      </c>
      <c r="H46" s="494">
        <v>4.0410470233989788395784672989</v>
      </c>
      <c r="I46" s="495">
        <v>15.017391875319266814082954809</v>
      </c>
      <c r="J46" s="493">
        <v>0</v>
      </c>
      <c r="K46" s="494">
        <v>0</v>
      </c>
      <c r="L46" s="495">
        <v>5.4518790194165647566159203211</v>
      </c>
      <c r="M46" s="493">
        <v>287.07041984241538546423506498</v>
      </c>
      <c r="N46" s="494">
        <v>270.34630216873737607250108914</v>
      </c>
      <c r="O46" s="495">
        <v>177.11358053348215401633871141</v>
      </c>
      <c r="P46" s="93"/>
      <c r="Q46" s="479">
        <v>179.31159359268861556504794975</v>
      </c>
      <c r="R46" s="480"/>
      <c r="S46" s="481">
        <v>130.97745458334167862873525781</v>
      </c>
      <c r="T46" s="479">
        <v>11.855036504990233679253822020</v>
      </c>
      <c r="U46" s="480"/>
      <c r="V46" s="481">
        <v>-36.175540327989007562031963540</v>
      </c>
      <c r="W46" s="479">
        <v>0</v>
      </c>
      <c r="X46" s="480"/>
      <c r="Y46" s="481">
        <v>4.7481959182031998895323361500</v>
      </c>
      <c r="Z46" s="479">
        <v>117.82153527707458798350403672</v>
      </c>
      <c r="AA46" s="480"/>
      <c r="AB46" s="481">
        <v>83.43915614522021890463742437</v>
      </c>
    </row>
    <row r="47" ht="18" customHeight="1">
      <c r="A47" s="58"/>
      <c r="B47" s="1046" t="s">
        <v>51</v>
      </c>
      <c r="C47" s="1046"/>
      <c r="D47" s="276">
        <v>291.39167497797803432292190398</v>
      </c>
      <c r="E47" s="94">
        <v>276.66718464566881150465809984</v>
      </c>
      <c r="F47" s="277">
        <v>162.2802898807385848520534402</v>
      </c>
      <c r="G47" s="276">
        <v>7.970226062244307698559496259</v>
      </c>
      <c r="H47" s="94">
        <v>4.0246886782585025170908480515</v>
      </c>
      <c r="I47" s="277">
        <v>13.320814189807069943695846996</v>
      </c>
      <c r="J47" s="276">
        <v>0</v>
      </c>
      <c r="K47" s="94">
        <v>0.208773137518271394609598203</v>
      </c>
      <c r="L47" s="277">
        <v>5.4720842004954083152226635179</v>
      </c>
      <c r="M47" s="276">
        <v>299.36190104022234202148140001</v>
      </c>
      <c r="N47" s="94">
        <v>280.88632721556387844865622871</v>
      </c>
      <c r="O47" s="277">
        <v>181.07318827104106311097195051</v>
      </c>
      <c r="P47" s="5"/>
      <c r="Q47" s="271">
        <v>118.84212517459329187610790328</v>
      </c>
      <c r="R47" s="92"/>
      <c r="S47" s="272">
        <v>119.29576110890013689531249734</v>
      </c>
      <c r="T47" s="271">
        <v>43.680536998165938410443954170</v>
      </c>
      <c r="U47" s="92"/>
      <c r="V47" s="272">
        <v>-37.602290015121321099029734580</v>
      </c>
      <c r="W47" s="271">
        <v>0</v>
      </c>
      <c r="X47" s="92"/>
      <c r="Y47" s="272">
        <v>1.8184339029039921882284243600</v>
      </c>
      <c r="Z47" s="271">
        <v>113.11752762263246411322973897</v>
      </c>
      <c r="AA47" s="92"/>
      <c r="AB47" s="272">
        <v>79.77366106775102144390774097</v>
      </c>
    </row>
    <row r="48" ht="18" customHeight="1">
      <c r="A48" s="58"/>
      <c r="B48" s="1047" t="s">
        <v>76</v>
      </c>
      <c r="C48" s="1047"/>
      <c r="D48" s="443">
        <v>284.49675312247930091418620789</v>
      </c>
      <c r="E48" s="444">
        <v>271.43673676247906091772799807</v>
      </c>
      <c r="F48" s="445">
        <v>159.43533545467306699813756443</v>
      </c>
      <c r="G48" s="443">
        <v>8.660876455992863035542280263</v>
      </c>
      <c r="H48" s="444">
        <v>4.0329567302220738262936139293</v>
      </c>
      <c r="I48" s="445">
        <v>14.177219994710270172553364152</v>
      </c>
      <c r="J48" s="443">
        <v>0</v>
      </c>
      <c r="K48" s="444">
        <v>0.1032522468184053570496906021</v>
      </c>
      <c r="L48" s="445">
        <v>5.4618849420041486585250948624</v>
      </c>
      <c r="M48" s="443">
        <v>293.15762957847216394972848801</v>
      </c>
      <c r="N48" s="444">
        <v>275.55905072145628435721142246</v>
      </c>
      <c r="O48" s="445">
        <v>179.0744403913874858292160233</v>
      </c>
      <c r="P48" s="93"/>
      <c r="Q48" s="273">
        <v>144.22952538339867069459871040</v>
      </c>
      <c r="R48" s="274"/>
      <c r="S48" s="275">
        <v>124.84890262916636653001078440</v>
      </c>
      <c r="T48" s="273">
        <v>24.943948637762136871331157430</v>
      </c>
      <c r="U48" s="274"/>
      <c r="V48" s="275">
        <v>-36.819624639580074862995785170</v>
      </c>
      <c r="W48" s="273">
        <v>0</v>
      </c>
      <c r="X48" s="274"/>
      <c r="Y48" s="275">
        <v>3.2588388068972794905046391600</v>
      </c>
      <c r="Z48" s="273">
        <v>115.35158098944328784932170737</v>
      </c>
      <c r="AA48" s="274"/>
      <c r="AB48" s="275">
        <v>81.55039019214482931205926378</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187.49169779991697799916977999</v>
      </c>
      <c r="E50" s="483">
        <v>180.70391963031228726267051127</v>
      </c>
      <c r="F50" s="484">
        <v>114.19470561561868650846286986</v>
      </c>
      <c r="G50" s="482">
        <v>7.386986301369863013698630137</v>
      </c>
      <c r="H50" s="483">
        <v>3.2683989172939927820980129403</v>
      </c>
      <c r="I50" s="484">
        <v>10.901182169621939212992928819</v>
      </c>
      <c r="J50" s="482">
        <v>0</v>
      </c>
      <c r="K50" s="483">
        <v>0.0297286261773506958700424274</v>
      </c>
      <c r="L50" s="484">
        <v>5.489699836918894312999295458</v>
      </c>
      <c r="M50" s="482">
        <v>194.87868410128684101286841013</v>
      </c>
      <c r="N50" s="483">
        <v>184.00204717378363074063856664</v>
      </c>
      <c r="O50" s="484">
        <v>130.58558762215952003445509414</v>
      </c>
      <c r="P50" s="93"/>
      <c r="Q50" s="468">
        <v>116.69417069154103083077492686</v>
      </c>
      <c r="R50" s="469"/>
      <c r="S50" s="470">
        <v>102.06061626562180780848007439</v>
      </c>
      <c r="T50" s="468">
        <v>-50.523122450706638187318117750</v>
      </c>
      <c r="U50" s="469"/>
      <c r="V50" s="470">
        <v>-46.082191570528168889253102350</v>
      </c>
      <c r="W50" s="468">
        <v>0</v>
      </c>
      <c r="X50" s="469"/>
      <c r="Y50" s="470">
        <v>14.458190988333062266247780560</v>
      </c>
      <c r="Z50" s="468">
        <v>92.08608826616171883247526863</v>
      </c>
      <c r="AA50" s="469"/>
      <c r="AB50" s="470">
        <v>60.169797960491953342592436180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155</v>
      </c>
      <c r="Y1" s="5"/>
      <c r="AB1" s="685"/>
      <c r="AD1" s="236"/>
    </row>
    <row r="2" ht="15" customHeight="1">
      <c r="A2" s="11"/>
      <c r="B2" s="11" t="s">
        <v>208</v>
      </c>
    </row>
    <row r="3" ht="17.1" customHeight="1">
      <c r="A3" s="11"/>
      <c r="B3" s="11" t="s">
        <v>209</v>
      </c>
      <c r="R3" s="1040" t="s">
        <v>303</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81.35198135198135198135198142</v>
      </c>
      <c r="E11" s="428">
        <v>52.168481170801356416205604190</v>
      </c>
      <c r="F11" s="429">
        <v>53.525142799326704623846797760</v>
      </c>
      <c r="G11" s="427">
        <v>3.0303030303030303030303030300</v>
      </c>
      <c r="H11" s="428">
        <v>2.3201856148491879350348027900</v>
      </c>
      <c r="I11" s="429">
        <v>5.9198484165601228856041722300</v>
      </c>
      <c r="J11" s="427">
        <v>0</v>
      </c>
      <c r="K11" s="428">
        <v>0</v>
      </c>
      <c r="L11" s="429">
        <v>6.5683091271994775522217827700</v>
      </c>
      <c r="M11" s="427">
        <v>84.38228438228438228438228438</v>
      </c>
      <c r="N11" s="428">
        <v>54.488666785650544351240406920</v>
      </c>
      <c r="O11" s="429">
        <v>66.013300343086305061672752690</v>
      </c>
      <c r="P11" s="5"/>
      <c r="Q11" s="427">
        <v>41.010101010119811447811450440</v>
      </c>
      <c r="R11" s="428"/>
      <c r="S11" s="429">
        <v>53.664535755031189347113992720</v>
      </c>
      <c r="T11" s="427">
        <v>73.333333328549333333465371720</v>
      </c>
      <c r="U11" s="428"/>
      <c r="V11" s="429">
        <v>162.16554066030675046411209188</v>
      </c>
      <c r="W11" s="427">
        <v>0</v>
      </c>
      <c r="X11" s="428"/>
      <c r="Y11" s="429">
        <v>69.310196597450770404758985200</v>
      </c>
      <c r="Z11" s="427">
        <v>41.960784313628622837370308310</v>
      </c>
      <c r="AA11" s="428"/>
      <c r="AB11" s="429">
        <v>61.139048315623669733182402560</v>
      </c>
    </row>
    <row r="12" ht="18" customHeight="1">
      <c r="A12" s="58"/>
      <c r="B12" s="1043" t="s">
        <v>46</v>
      </c>
      <c r="C12" s="1043"/>
      <c r="D12" s="420">
        <v>71.969696969696969696969697030</v>
      </c>
      <c r="E12" s="91">
        <v>45.029448509726932000713903310</v>
      </c>
      <c r="F12" s="421">
        <v>49.969186618714300168323844090</v>
      </c>
      <c r="G12" s="420">
        <v>4.3706293706293706293706293700</v>
      </c>
      <c r="H12" s="91">
        <v>1.5527396037836873103694449400</v>
      </c>
      <c r="I12" s="421">
        <v>6.3760704200737681546003918400</v>
      </c>
      <c r="J12" s="420">
        <v>0</v>
      </c>
      <c r="K12" s="91">
        <v>0</v>
      </c>
      <c r="L12" s="421">
        <v>6.2059069711825899796723663800</v>
      </c>
      <c r="M12" s="420">
        <v>76.340326340326340326340326340</v>
      </c>
      <c r="N12" s="91">
        <v>46.600035695163305372122077460</v>
      </c>
      <c r="O12" s="421">
        <v>62.551164009970658302596602250</v>
      </c>
      <c r="P12" s="5"/>
      <c r="Q12" s="420">
        <v>60.389610389592059369202228570</v>
      </c>
      <c r="R12" s="91"/>
      <c r="S12" s="421">
        <v>70.455496218944416729618382880</v>
      </c>
      <c r="T12" s="420">
        <v>294.73684211457063711933303391</v>
      </c>
      <c r="U12" s="91"/>
      <c r="V12" s="421">
        <v>213.91427829080829800838340207</v>
      </c>
      <c r="W12" s="420">
        <v>0</v>
      </c>
      <c r="X12" s="91"/>
      <c r="Y12" s="421">
        <v>70.111555037635770210744202880</v>
      </c>
      <c r="Z12" s="420">
        <v>66.032953105272207684560073500</v>
      </c>
      <c r="AA12" s="91"/>
      <c r="AB12" s="421">
        <v>78.740674697240800713112130320</v>
      </c>
    </row>
    <row r="13" ht="18" customHeight="1">
      <c r="A13" s="58"/>
      <c r="B13" s="1043" t="s">
        <v>47</v>
      </c>
      <c r="C13" s="1043"/>
      <c r="D13" s="420">
        <v>67.948717948717948717948718010</v>
      </c>
      <c r="E13" s="91">
        <v>43.530251650901302873460646120</v>
      </c>
      <c r="F13" s="421">
        <v>50.149467894296305153652995390</v>
      </c>
      <c r="G13" s="420">
        <v>7.2843822843822843822843822900</v>
      </c>
      <c r="H13" s="91">
        <v>2.8199179011243976441192218500</v>
      </c>
      <c r="I13" s="421">
        <v>7.7714107009814291890102006200</v>
      </c>
      <c r="J13" s="420">
        <v>0</v>
      </c>
      <c r="K13" s="91">
        <v>0</v>
      </c>
      <c r="L13" s="421">
        <v>6.4450556020566782255171589200</v>
      </c>
      <c r="M13" s="420">
        <v>75.233100233100233100233100230</v>
      </c>
      <c r="N13" s="91">
        <v>46.368017133678386578618597180</v>
      </c>
      <c r="O13" s="421">
        <v>64.367773802187290170071468650</v>
      </c>
      <c r="P13" s="184"/>
      <c r="Q13" s="420">
        <v>62.849162011336033519553235620</v>
      </c>
      <c r="R13" s="91"/>
      <c r="S13" s="421">
        <v>72.313586868998872171562472420</v>
      </c>
      <c r="T13" s="420">
        <v>257.14285714759183673475664634</v>
      </c>
      <c r="U13" s="91"/>
      <c r="V13" s="421">
        <v>381.59405590228778578380398798</v>
      </c>
      <c r="W13" s="420">
        <v>0</v>
      </c>
      <c r="X13" s="91"/>
      <c r="Y13" s="421">
        <v>66.085954551699864585546940360</v>
      </c>
      <c r="Z13" s="420">
        <v>71.904127829437895322880720750</v>
      </c>
      <c r="AA13" s="91"/>
      <c r="AB13" s="421">
        <v>86.05153657866683152563956932</v>
      </c>
    </row>
    <row r="14" ht="18" customHeight="1">
      <c r="A14" s="58"/>
      <c r="B14" s="1043" t="s">
        <v>48</v>
      </c>
      <c r="C14" s="1043"/>
      <c r="D14" s="420">
        <v>72.610722610722610722610722670</v>
      </c>
      <c r="E14" s="91">
        <v>46.974834909869712653935391800</v>
      </c>
      <c r="F14" s="421">
        <v>52.371710556572448238118452210</v>
      </c>
      <c r="G14" s="420">
        <v>7.4592074592074592074592074700</v>
      </c>
      <c r="H14" s="91">
        <v>3.9978582902016776726753524900</v>
      </c>
      <c r="I14" s="421">
        <v>9.257811422106531517030141930</v>
      </c>
      <c r="J14" s="420">
        <v>0</v>
      </c>
      <c r="K14" s="91">
        <v>0</v>
      </c>
      <c r="L14" s="421">
        <v>6.6087804339627847938262861200</v>
      </c>
      <c r="M14" s="420">
        <v>80.06993006993006993006993007</v>
      </c>
      <c r="N14" s="91">
        <v>50.990540781724076387649473500</v>
      </c>
      <c r="O14" s="421">
        <v>68.240142017494642150865993980</v>
      </c>
      <c r="P14" s="5"/>
      <c r="Q14" s="420">
        <v>64.597093791352692003650678710</v>
      </c>
      <c r="R14" s="91"/>
      <c r="S14" s="421">
        <v>64.987789388433244720089126950</v>
      </c>
      <c r="T14" s="420">
        <v>456.52173914137164461269130443</v>
      </c>
      <c r="U14" s="91"/>
      <c r="V14" s="421">
        <v>476.46067746623017059015008283</v>
      </c>
      <c r="W14" s="420">
        <v>0</v>
      </c>
      <c r="X14" s="91"/>
      <c r="Y14" s="421">
        <v>76.206972239933507710397152110</v>
      </c>
      <c r="Z14" s="420">
        <v>76.153846154022307692307868460</v>
      </c>
      <c r="AA14" s="91"/>
      <c r="AB14" s="421">
        <v>83.92262003304998256758876421</v>
      </c>
    </row>
    <row r="15" ht="18" customHeight="1">
      <c r="A15" s="58"/>
      <c r="B15" s="1043" t="s">
        <v>49</v>
      </c>
      <c r="C15" s="1043"/>
      <c r="D15" s="420">
        <v>83.10023310023310023310023317</v>
      </c>
      <c r="E15" s="91">
        <v>54.756380510440835266821345760</v>
      </c>
      <c r="F15" s="421">
        <v>56.082193544826571252494964140</v>
      </c>
      <c r="G15" s="420">
        <v>4.4289044289044289044289044300</v>
      </c>
      <c r="H15" s="91">
        <v>2.9448509726932000713903266100</v>
      </c>
      <c r="I15" s="421">
        <v>10.185892070383281671097048360</v>
      </c>
      <c r="J15" s="420">
        <v>0</v>
      </c>
      <c r="K15" s="91">
        <v>0</v>
      </c>
      <c r="L15" s="421">
        <v>6.530597227715486713453950100</v>
      </c>
      <c r="M15" s="420">
        <v>87.52913752913752913752913753</v>
      </c>
      <c r="N15" s="91">
        <v>57.701231483134035338211672320</v>
      </c>
      <c r="O15" s="421">
        <v>72.80328185505753364177374700</v>
      </c>
      <c r="P15" s="184"/>
      <c r="Q15" s="420">
        <v>48.663340531601113107356026960</v>
      </c>
      <c r="R15" s="91"/>
      <c r="S15" s="421">
        <v>55.694296673330842111313806160</v>
      </c>
      <c r="T15" s="420">
        <v>99.62476547974835491695382778</v>
      </c>
      <c r="U15" s="91"/>
      <c r="V15" s="421">
        <v>405.30521548264888762741884351</v>
      </c>
      <c r="W15" s="420">
        <v>0</v>
      </c>
      <c r="X15" s="91"/>
      <c r="Y15" s="421">
        <v>69.216032842221073096346813040</v>
      </c>
      <c r="Z15" s="420">
        <v>50.608795301488979424599424200</v>
      </c>
      <c r="AA15" s="91"/>
      <c r="AB15" s="421">
        <v>73.772156318543732006248608020</v>
      </c>
    </row>
    <row r="16" ht="18" customHeight="1">
      <c r="A16" s="58"/>
      <c r="B16" s="1044" t="s">
        <v>75</v>
      </c>
      <c r="C16" s="1044"/>
      <c r="D16" s="430">
        <v>75.396270396270396270396270450</v>
      </c>
      <c r="E16" s="431">
        <v>48.491879350348027842227378200</v>
      </c>
      <c r="F16" s="432">
        <v>52.419540282747265887287410720</v>
      </c>
      <c r="G16" s="430">
        <v>5.3146853146853146853146853200</v>
      </c>
      <c r="H16" s="431">
        <v>2.7271104765304301267178297300</v>
      </c>
      <c r="I16" s="432">
        <v>7.90220660602102668346839100</v>
      </c>
      <c r="J16" s="430">
        <v>0</v>
      </c>
      <c r="K16" s="431">
        <v>0</v>
      </c>
      <c r="L16" s="432">
        <v>6.4717298724234034529383088600</v>
      </c>
      <c r="M16" s="430">
        <v>80.71095571095571095571095571</v>
      </c>
      <c r="N16" s="431">
        <v>51.229698375870069605568445480</v>
      </c>
      <c r="O16" s="432">
        <v>66.795132405559285865396112910</v>
      </c>
      <c r="P16" s="5"/>
      <c r="Q16" s="430">
        <v>53.973818024326197560384490580</v>
      </c>
      <c r="R16" s="431"/>
      <c r="S16" s="432">
        <v>62.496765316926394077136526390</v>
      </c>
      <c r="T16" s="430">
        <v>212.84823284101197280457190276</v>
      </c>
      <c r="U16" s="431"/>
      <c r="V16" s="432">
        <v>314.47581987207749476366613333</v>
      </c>
      <c r="W16" s="430">
        <v>0</v>
      </c>
      <c r="X16" s="431"/>
      <c r="Y16" s="432">
        <v>70.110560724716833094756194110</v>
      </c>
      <c r="Z16" s="629">
        <v>59.300826043076408555974876920</v>
      </c>
      <c r="AA16" s="214"/>
      <c r="AB16" s="630">
        <v>75.916467957826087190924338200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84.09090909090909090909090916</v>
      </c>
      <c r="E18" s="480">
        <v>61.153463705667882001988730580</v>
      </c>
      <c r="F18" s="481">
        <v>61.457781725628192207171042580</v>
      </c>
      <c r="G18" s="479">
        <v>5.8441558441558441558441558500</v>
      </c>
      <c r="H18" s="480">
        <v>1.9887305270135896586012595300</v>
      </c>
      <c r="I18" s="481">
        <v>12.229890162450248543755658440</v>
      </c>
      <c r="J18" s="479">
        <v>0</v>
      </c>
      <c r="K18" s="480">
        <v>0</v>
      </c>
      <c r="L18" s="481">
        <v>6.3946635691224953451427204900</v>
      </c>
      <c r="M18" s="479">
        <v>89.93506493506493506493506494</v>
      </c>
      <c r="N18" s="480">
        <v>63.158766987073251574411667220</v>
      </c>
      <c r="O18" s="481">
        <v>80.08148135494781435233426146</v>
      </c>
      <c r="P18" s="184"/>
      <c r="Q18" s="479">
        <v>13.801261829612789459542849830</v>
      </c>
      <c r="R18" s="480"/>
      <c r="S18" s="481">
        <v>45.759362737478058368382233870</v>
      </c>
      <c r="T18" s="479">
        <v>245.81280787700356718199206937</v>
      </c>
      <c r="U18" s="480"/>
      <c r="V18" s="481">
        <v>382.15835497024414867814327860</v>
      </c>
      <c r="W18" s="479">
        <v>0</v>
      </c>
      <c r="X18" s="480"/>
      <c r="Y18" s="481">
        <v>69.549508410607817441534155810</v>
      </c>
      <c r="Z18" s="479">
        <v>19.080687830649239724181866320</v>
      </c>
      <c r="AA18" s="480"/>
      <c r="AB18" s="481">
        <v>65.223432730507077271678465130</v>
      </c>
    </row>
    <row r="19" ht="18" customHeight="1">
      <c r="A19" s="58"/>
      <c r="B19" s="1046" t="s">
        <v>51</v>
      </c>
      <c r="C19" s="1046"/>
      <c r="D19" s="271">
        <v>87.52913752913752913752913761</v>
      </c>
      <c r="E19" s="92">
        <v>62.430840621095841513474924210</v>
      </c>
      <c r="F19" s="272">
        <v>63.996173621906014588066483380</v>
      </c>
      <c r="G19" s="271">
        <v>4.9533799533799533799533799600</v>
      </c>
      <c r="H19" s="92">
        <v>1.7490630019632339817954667200</v>
      </c>
      <c r="I19" s="272">
        <v>10.487587266255208381239709720</v>
      </c>
      <c r="J19" s="271">
        <v>0</v>
      </c>
      <c r="K19" s="92">
        <v>0.2677137247902909155809387800</v>
      </c>
      <c r="L19" s="272">
        <v>6.6087804339627847938262861200</v>
      </c>
      <c r="M19" s="271">
        <v>92.48251748251748251748251748</v>
      </c>
      <c r="N19" s="92">
        <v>64.447617347849366410851329640</v>
      </c>
      <c r="O19" s="272">
        <v>81.09714033425620176786026362</v>
      </c>
      <c r="P19" s="5"/>
      <c r="Q19" s="271">
        <v>6.6004258338690859379604488900</v>
      </c>
      <c r="R19" s="92"/>
      <c r="S19" s="272">
        <v>38.305628521383361034229417440</v>
      </c>
      <c r="T19" s="271">
        <v>193.10344827181926278245766573</v>
      </c>
      <c r="U19" s="92"/>
      <c r="V19" s="272">
        <v>302.24656164348700460008257908</v>
      </c>
      <c r="W19" s="271">
        <v>0</v>
      </c>
      <c r="X19" s="92"/>
      <c r="Y19" s="272">
        <v>69.607861080883238199663793010</v>
      </c>
      <c r="Z19" s="271">
        <v>10.361613351922120817624558290</v>
      </c>
      <c r="AA19" s="92"/>
      <c r="AB19" s="272">
        <v>53.664893606264837847028942830</v>
      </c>
    </row>
    <row r="20" ht="18" customHeight="1">
      <c r="A20" s="58"/>
      <c r="B20" s="1047" t="s">
        <v>76</v>
      </c>
      <c r="C20" s="1047"/>
      <c r="D20" s="273">
        <v>85.74635241301907968574635248</v>
      </c>
      <c r="E20" s="274">
        <v>61.768497035318381026037638610</v>
      </c>
      <c r="F20" s="275">
        <v>62.679970416428625205379958530</v>
      </c>
      <c r="G20" s="273">
        <v>5.4152637485970819304152637500</v>
      </c>
      <c r="H20" s="274">
        <v>1.8733350519893443327318037300</v>
      </c>
      <c r="I20" s="275">
        <v>11.391003582800784761803534980</v>
      </c>
      <c r="J20" s="273">
        <v>0</v>
      </c>
      <c r="K20" s="274">
        <v>0.1288992008249548852797112700</v>
      </c>
      <c r="L20" s="275">
        <v>6.4977568744159680426570298700</v>
      </c>
      <c r="M20" s="273">
        <v>91.16161616161616161616161616</v>
      </c>
      <c r="N20" s="274">
        <v>63.779324568187677236401134310</v>
      </c>
      <c r="O20" s="275">
        <v>80.57050234498518607092085509</v>
      </c>
      <c r="P20" s="184"/>
      <c r="Q20" s="273">
        <v>9.929578439055407120138079980</v>
      </c>
      <c r="R20" s="274"/>
      <c r="S20" s="275">
        <v>41.753079468078829538098845710</v>
      </c>
      <c r="T20" s="273">
        <v>220.43422732635927247110513400</v>
      </c>
      <c r="U20" s="274"/>
      <c r="V20" s="275">
        <v>342.90729322026890292231643260</v>
      </c>
      <c r="W20" s="273">
        <v>0</v>
      </c>
      <c r="X20" s="274"/>
      <c r="Y20" s="275">
        <v>69.475740945677125936932190540</v>
      </c>
      <c r="Z20" s="273">
        <v>14.435503535729691421811405780</v>
      </c>
      <c r="AA20" s="274"/>
      <c r="AB20" s="275">
        <v>59.161169269615901935188954440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78.409090909090909090909090910</v>
      </c>
      <c r="E22" s="469">
        <v>52.173775102539585910054212500</v>
      </c>
      <c r="F22" s="470">
        <v>55.288253645891245898210131490</v>
      </c>
      <c r="G22" s="468">
        <v>5.3689064558629776021080368900</v>
      </c>
      <c r="H22" s="469">
        <v>2.6960927477580031144590529100</v>
      </c>
      <c r="I22" s="470">
        <v>8.768586035756044698032151470</v>
      </c>
      <c r="J22" s="468">
        <v>0</v>
      </c>
      <c r="K22" s="469">
        <v>0.0378291132855845858973065700</v>
      </c>
      <c r="L22" s="470">
        <v>6.7789847832576478229852669600</v>
      </c>
      <c r="M22" s="468">
        <v>83.77799736495388669301712780</v>
      </c>
      <c r="N22" s="469">
        <v>54.907696963583173610410571970</v>
      </c>
      <c r="O22" s="470">
        <v>70.835824464904938419227549920</v>
      </c>
      <c r="P22" s="184"/>
      <c r="Q22" s="468">
        <v>37.204610951117143934423592350</v>
      </c>
      <c r="R22" s="469"/>
      <c r="S22" s="470">
        <v>55.005453148146151795222155260</v>
      </c>
      <c r="T22" s="468">
        <v>209.00473932969771568488247674</v>
      </c>
      <c r="U22" s="469"/>
      <c r="V22" s="470">
        <v>324.43022373350494400146419406</v>
      </c>
      <c r="W22" s="468">
        <v>0</v>
      </c>
      <c r="X22" s="469"/>
      <c r="Y22" s="470">
        <v>78.266984034995412189998166140</v>
      </c>
      <c r="Z22" s="468">
        <v>42.273807859057565122229685470</v>
      </c>
      <c r="AA22" s="469"/>
      <c r="AB22" s="470">
        <v>70.535591362850255651020382920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204.98656132686171659933021462</v>
      </c>
      <c r="E25" s="455">
        <v>259.05359902959466732985293298</v>
      </c>
      <c r="F25" s="456">
        <v>192.25692358155424949300212438</v>
      </c>
      <c r="G25" s="454">
        <v>293.33056750347834006604056227</v>
      </c>
      <c r="H25" s="455">
        <v>269.60525822923547881391775688</v>
      </c>
      <c r="I25" s="456">
        <v>191.75237681013109995551103787</v>
      </c>
      <c r="J25" s="454">
        <v>0</v>
      </c>
      <c r="K25" s="455">
        <v>0</v>
      </c>
      <c r="L25" s="456">
        <v>112.40243118409896702121304198</v>
      </c>
      <c r="M25" s="454">
        <v>208.15913613430927490062091771</v>
      </c>
      <c r="N25" s="455">
        <v>259.50289994539987712118225728</v>
      </c>
      <c r="O25" s="456">
        <v>184.26617279456951287197719064</v>
      </c>
      <c r="P25" s="5"/>
      <c r="Q25" s="427">
        <v>65.346722685564809152836381960</v>
      </c>
      <c r="R25" s="428"/>
      <c r="S25" s="429">
        <v>52.946390003132941188251191840</v>
      </c>
      <c r="T25" s="427">
        <v>61.516172684172509610121691260</v>
      </c>
      <c r="U25" s="428"/>
      <c r="V25" s="429">
        <v>74.176874800226844297079744050</v>
      </c>
      <c r="W25" s="427">
        <v>0</v>
      </c>
      <c r="X25" s="428"/>
      <c r="Y25" s="429">
        <v>19.543804734821796850946529320</v>
      </c>
      <c r="Z25" s="427">
        <v>65.640839247512875858020635800</v>
      </c>
      <c r="AA25" s="428"/>
      <c r="AB25" s="429">
        <v>51.221101609317812648898831740</v>
      </c>
    </row>
    <row r="26" ht="18" customHeight="1">
      <c r="A26" s="58"/>
      <c r="B26" s="1043" t="s">
        <v>46</v>
      </c>
      <c r="C26" s="1043"/>
      <c r="D26" s="439">
        <v>197.17549168700549786745960963</v>
      </c>
      <c r="E26" s="95">
        <v>275.76804571816722259666532608</v>
      </c>
      <c r="F26" s="440">
        <v>190.71235511548403853870132051</v>
      </c>
      <c r="G26" s="439">
        <v>296.29286772239453185236889789</v>
      </c>
      <c r="H26" s="95">
        <v>235.09592136347366630169908577</v>
      </c>
      <c r="I26" s="440">
        <v>192.09719828180206701148552771</v>
      </c>
      <c r="J26" s="439">
        <v>0</v>
      </c>
      <c r="K26" s="95">
        <v>0</v>
      </c>
      <c r="L26" s="440">
        <v>112.30635541549705956793929905</v>
      </c>
      <c r="M26" s="439">
        <v>202.85015062032929752308418719</v>
      </c>
      <c r="N26" s="95">
        <v>274.3072096919027619990940016</v>
      </c>
      <c r="O26" s="440">
        <v>183.074599845328967974148843</v>
      </c>
      <c r="P26" s="5"/>
      <c r="Q26" s="420">
        <v>46.698537573146260677979579220</v>
      </c>
      <c r="R26" s="91"/>
      <c r="S26" s="421">
        <v>47.664750003473359426445048430</v>
      </c>
      <c r="T26" s="420">
        <v>35.941077380067297887354187220</v>
      </c>
      <c r="U26" s="91"/>
      <c r="V26" s="421">
        <v>81.88330442964614944547371370</v>
      </c>
      <c r="W26" s="420">
        <v>0</v>
      </c>
      <c r="X26" s="91"/>
      <c r="Y26" s="421">
        <v>21.364557714029441937315648040</v>
      </c>
      <c r="Z26" s="420">
        <v>48.694703824318038251341035710</v>
      </c>
      <c r="AA26" s="91"/>
      <c r="AB26" s="421">
        <v>47.682423827977383726814888230</v>
      </c>
    </row>
    <row r="27" ht="18" customHeight="1">
      <c r="A27" s="58"/>
      <c r="B27" s="1043" t="s">
        <v>47</v>
      </c>
      <c r="C27" s="1043"/>
      <c r="D27" s="439">
        <v>208.26828689134707698716482172</v>
      </c>
      <c r="E27" s="95">
        <v>302.81156660562526527944057627</v>
      </c>
      <c r="F27" s="440">
        <v>200.51050890543979454112097278</v>
      </c>
      <c r="G27" s="439">
        <v>235.59999656392873510552457698</v>
      </c>
      <c r="H27" s="95">
        <v>280.11881994781264391666899213</v>
      </c>
      <c r="I27" s="440">
        <v>195.8483681463233353278944103</v>
      </c>
      <c r="J27" s="439">
        <v>0</v>
      </c>
      <c r="K27" s="95">
        <v>0</v>
      </c>
      <c r="L27" s="440">
        <v>111.28551009578525452331118565</v>
      </c>
      <c r="M27" s="439">
        <v>210.91465692161253575152963149</v>
      </c>
      <c r="N27" s="95">
        <v>301.31492860002864501747084922</v>
      </c>
      <c r="O27" s="440">
        <v>191.00792223852302967421004613</v>
      </c>
      <c r="P27" s="93"/>
      <c r="Q27" s="420">
        <v>63.257308471935067599003196970</v>
      </c>
      <c r="R27" s="91"/>
      <c r="S27" s="421">
        <v>50.453890268865088854975141940</v>
      </c>
      <c r="T27" s="420">
        <v>24.303758021372432509489778620</v>
      </c>
      <c r="U27" s="91"/>
      <c r="V27" s="421">
        <v>78.954814231477903269096327600</v>
      </c>
      <c r="W27" s="420">
        <v>0</v>
      </c>
      <c r="X27" s="91"/>
      <c r="Y27" s="421">
        <v>21.099735950576991372955358380</v>
      </c>
      <c r="Z27" s="420">
        <v>61.671926193110530410169998760</v>
      </c>
      <c r="AA27" s="91"/>
      <c r="AB27" s="421">
        <v>49.783891746588745655438851960</v>
      </c>
    </row>
    <row r="28" ht="18" customHeight="1">
      <c r="A28" s="58"/>
      <c r="B28" s="1043" t="s">
        <v>48</v>
      </c>
      <c r="C28" s="1043"/>
      <c r="D28" s="439">
        <v>226.22694428469753328303828162</v>
      </c>
      <c r="E28" s="95">
        <v>324.96873275258582636870264149</v>
      </c>
      <c r="F28" s="440">
        <v>211.43755099813826877555514688</v>
      </c>
      <c r="G28" s="439">
        <v>234.55114951147067590291256356</v>
      </c>
      <c r="H28" s="95">
        <v>278.81362066758880850328845253</v>
      </c>
      <c r="I28" s="440">
        <v>205.60423652579368569088867255</v>
      </c>
      <c r="J28" s="439">
        <v>0</v>
      </c>
      <c r="K28" s="95">
        <v>0</v>
      </c>
      <c r="L28" s="440">
        <v>112.23011362058821085208406987</v>
      </c>
      <c r="M28" s="439">
        <v>227.00241609621642866538464849</v>
      </c>
      <c r="N28" s="95">
        <v>321.23624628433524259963666986</v>
      </c>
      <c r="O28" s="440">
        <v>201.03263628154787018457443704</v>
      </c>
      <c r="P28" s="5"/>
      <c r="Q28" s="420">
        <v>63.112541344997052649681653970</v>
      </c>
      <c r="R28" s="91"/>
      <c r="S28" s="421">
        <v>51.992332052190276869742191530</v>
      </c>
      <c r="T28" s="420">
        <v>1.1086150632409123181011754500</v>
      </c>
      <c r="U28" s="91"/>
      <c r="V28" s="421">
        <v>83.70266665340430942529259044</v>
      </c>
      <c r="W28" s="420">
        <v>0</v>
      </c>
      <c r="X28" s="91"/>
      <c r="Y28" s="421">
        <v>18.308781300391910093662517990</v>
      </c>
      <c r="Z28" s="420">
        <v>60.488676121320261219450283140</v>
      </c>
      <c r="AA28" s="91"/>
      <c r="AB28" s="421">
        <v>50.644360624202601335589928660</v>
      </c>
    </row>
    <row r="29" ht="18" customHeight="1">
      <c r="A29" s="58"/>
      <c r="B29" s="1043" t="s">
        <v>49</v>
      </c>
      <c r="C29" s="1043"/>
      <c r="D29" s="439">
        <v>257.2166879794166833241347638</v>
      </c>
      <c r="E29" s="95">
        <v>349.43390073462658961641241411</v>
      </c>
      <c r="F29" s="440">
        <v>229.58588585840305640997506746</v>
      </c>
      <c r="G29" s="439">
        <v>304.07579596939294943479796541</v>
      </c>
      <c r="H29" s="95">
        <v>312.19750047341048094584062069</v>
      </c>
      <c r="I29" s="440">
        <v>207.54888034875011547141752695</v>
      </c>
      <c r="J29" s="439">
        <v>0</v>
      </c>
      <c r="K29" s="95">
        <v>0</v>
      </c>
      <c r="L29" s="440">
        <v>113.57455176731599303806545624</v>
      </c>
      <c r="M29" s="439">
        <v>259.58772140633958360669828132</v>
      </c>
      <c r="N29" s="95">
        <v>347.53349676212406628494184624</v>
      </c>
      <c r="O29" s="440">
        <v>216.08174566447111830210284451</v>
      </c>
      <c r="P29" s="93"/>
      <c r="Q29" s="420">
        <v>73.529361389029505720821244170</v>
      </c>
      <c r="R29" s="91"/>
      <c r="S29" s="421">
        <v>55.446492115013672313319823100</v>
      </c>
      <c r="T29" s="420">
        <v>53.913241034252721084394736460</v>
      </c>
      <c r="U29" s="91"/>
      <c r="V29" s="421">
        <v>67.093645923692667681834182390</v>
      </c>
      <c r="W29" s="420">
        <v>0</v>
      </c>
      <c r="X29" s="91"/>
      <c r="Y29" s="421">
        <v>19.816009847078988756233896250</v>
      </c>
      <c r="Z29" s="420">
        <v>72.931626985701979712349220720</v>
      </c>
      <c r="AA29" s="91"/>
      <c r="AB29" s="421">
        <v>52.501822958899453556282850670</v>
      </c>
    </row>
    <row r="30" ht="18" customHeight="1">
      <c r="A30" s="58"/>
      <c r="B30" s="1044" t="s">
        <v>75</v>
      </c>
      <c r="C30" s="1044"/>
      <c r="D30" s="457">
        <v>219.69138413950266732058952727</v>
      </c>
      <c r="E30" s="458">
        <v>303.19578743615763041433058115</v>
      </c>
      <c r="F30" s="459">
        <v>205.36174830284094453445454992</v>
      </c>
      <c r="G30" s="457">
        <v>263.28390743638961871309167151</v>
      </c>
      <c r="H30" s="458">
        <v>279.74822105736890237394128979</v>
      </c>
      <c r="I30" s="459">
        <v>199.9316016324125564119549952</v>
      </c>
      <c r="J30" s="457">
        <v>0</v>
      </c>
      <c r="K30" s="458">
        <v>0</v>
      </c>
      <c r="L30" s="459">
        <v>112.36290489559540956198689717</v>
      </c>
      <c r="M30" s="457">
        <v>222.56188098042403191769869372</v>
      </c>
      <c r="N30" s="458">
        <v>301.88422611538679282276840098</v>
      </c>
      <c r="O30" s="459">
        <v>195.70365621350744963911775657</v>
      </c>
      <c r="P30" s="5"/>
      <c r="Q30" s="430">
        <v>62.799805014750195172651767040</v>
      </c>
      <c r="R30" s="431"/>
      <c r="S30" s="432">
        <v>51.597857647157975903707815960</v>
      </c>
      <c r="T30" s="430">
        <v>31.380690294057115326760195050</v>
      </c>
      <c r="U30" s="431"/>
      <c r="V30" s="432">
        <v>77.705289384871549301226645290</v>
      </c>
      <c r="W30" s="430">
        <v>0</v>
      </c>
      <c r="X30" s="431"/>
      <c r="Y30" s="432">
        <v>19.990727261195094975928108660</v>
      </c>
      <c r="Z30" s="430">
        <v>62.28771494432774474807104300</v>
      </c>
      <c r="AA30" s="431"/>
      <c r="AB30" s="432">
        <v>50.400499286170350133898117270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352.31590875182986759723121188</v>
      </c>
      <c r="E32" s="494">
        <v>408.29316214836485072753564447</v>
      </c>
      <c r="F32" s="495">
        <v>261.20731107280951003426262957</v>
      </c>
      <c r="G32" s="493">
        <v>341.2471850310881836003632083</v>
      </c>
      <c r="H32" s="494">
        <v>341.38489385815952404501069247</v>
      </c>
      <c r="I32" s="495">
        <v>199.23990736655784703017986487</v>
      </c>
      <c r="J32" s="493">
        <v>0</v>
      </c>
      <c r="K32" s="494">
        <v>0</v>
      </c>
      <c r="L32" s="495">
        <v>113.05195965623436818231900367</v>
      </c>
      <c r="M32" s="493">
        <v>351.59664150643871123642390477</v>
      </c>
      <c r="N32" s="494">
        <v>406.07923263984398899764046476</v>
      </c>
      <c r="O32" s="495">
        <v>239.91605818072599087287432557</v>
      </c>
      <c r="P32" s="93"/>
      <c r="Q32" s="479">
        <v>144.22913973067218244521577916</v>
      </c>
      <c r="R32" s="480"/>
      <c r="S32" s="481">
        <v>95.59844206445691651897507454</v>
      </c>
      <c r="T32" s="479">
        <v>100.24632203742456527417974203</v>
      </c>
      <c r="U32" s="480"/>
      <c r="V32" s="481">
        <v>57.859032018915507997518666810</v>
      </c>
      <c r="W32" s="479">
        <v>0</v>
      </c>
      <c r="X32" s="480"/>
      <c r="Y32" s="481">
        <v>22.286737388091294763426600450</v>
      </c>
      <c r="Z32" s="479">
        <v>142.55920462620997415762107966</v>
      </c>
      <c r="AA32" s="480"/>
      <c r="AB32" s="481">
        <v>84.59270593791826302848682652</v>
      </c>
    </row>
    <row r="33" ht="18" customHeight="1">
      <c r="A33" s="58"/>
      <c r="B33" s="1046" t="s">
        <v>51</v>
      </c>
      <c r="C33" s="1046"/>
      <c r="D33" s="276">
        <v>316.16167971150550328338816083</v>
      </c>
      <c r="E33" s="94">
        <v>354.63102685999752880047997107</v>
      </c>
      <c r="F33" s="277">
        <v>237.50101822811688358830651709</v>
      </c>
      <c r="G33" s="276">
        <v>286.55897764919029368648234179</v>
      </c>
      <c r="H33" s="94">
        <v>335.65648346626079923434764162</v>
      </c>
      <c r="I33" s="277">
        <v>192.98868599252772145477660995</v>
      </c>
      <c r="J33" s="276">
        <v>0</v>
      </c>
      <c r="K33" s="94">
        <v>273.01959103722744511079188998</v>
      </c>
      <c r="L33" s="277">
        <v>111.23056007615888246146018308</v>
      </c>
      <c r="M33" s="276">
        <v>314.57615376613890415563958198</v>
      </c>
      <c r="N33" s="94">
        <v>353.77705931917012621038684184</v>
      </c>
      <c r="O33" s="277">
        <v>221.44110579885517356697405585</v>
      </c>
      <c r="P33" s="5"/>
      <c r="Q33" s="271">
        <v>118.45571806018812429829497621</v>
      </c>
      <c r="R33" s="92"/>
      <c r="S33" s="272">
        <v>73.976215288756539640151239830</v>
      </c>
      <c r="T33" s="271">
        <v>66.035096227844642701000262220</v>
      </c>
      <c r="U33" s="92"/>
      <c r="V33" s="272">
        <v>57.975546813844783684581632850</v>
      </c>
      <c r="W33" s="271">
        <v>0</v>
      </c>
      <c r="X33" s="92"/>
      <c r="Y33" s="272">
        <v>15.828326442905587872898857470</v>
      </c>
      <c r="Z33" s="271">
        <v>116.51950446642493155111443241</v>
      </c>
      <c r="AA33" s="92"/>
      <c r="AB33" s="272">
        <v>66.728188350453027833375039250</v>
      </c>
    </row>
    <row r="34" ht="18" customHeight="1">
      <c r="A34" s="58"/>
      <c r="B34" s="1047" t="s">
        <v>76</v>
      </c>
      <c r="C34" s="1047"/>
      <c r="D34" s="443">
        <v>334.54638911224636131470756577</v>
      </c>
      <c r="E34" s="444">
        <v>382.17878412405921743582157301</v>
      </c>
      <c r="F34" s="445">
        <v>249.55348698382373877685199113</v>
      </c>
      <c r="G34" s="443">
        <v>317.1617050960554341564260391</v>
      </c>
      <c r="H34" s="444">
        <v>338.80973689299404224939152282</v>
      </c>
      <c r="I34" s="445">
        <v>196.46876992607374875209005838</v>
      </c>
      <c r="J34" s="443">
        <v>0</v>
      </c>
      <c r="K34" s="444">
        <v>273.01959103722744511079188998</v>
      </c>
      <c r="L34" s="445">
        <v>112.160005186302364031257756</v>
      </c>
      <c r="M34" s="633">
        <v>333.51368858435320990148862616</v>
      </c>
      <c r="N34" s="634">
        <v>380.63283707787237507622132811</v>
      </c>
      <c r="O34" s="635">
        <v>230.96256752445466403533542314</v>
      </c>
      <c r="P34" s="93"/>
      <c r="Q34" s="273">
        <v>131.51456637005043166423362371</v>
      </c>
      <c r="R34" s="274"/>
      <c r="S34" s="275">
        <v>84.72162361813867665236701313</v>
      </c>
      <c r="T34" s="273">
        <v>84.93226202632932851890287354</v>
      </c>
      <c r="U34" s="274"/>
      <c r="V34" s="275">
        <v>58.237269046190343066200420350</v>
      </c>
      <c r="W34" s="273">
        <v>0</v>
      </c>
      <c r="X34" s="274"/>
      <c r="Y34" s="275">
        <v>18.979201235333305881602839920</v>
      </c>
      <c r="Z34" s="273">
        <v>129.80501035079551701058528818</v>
      </c>
      <c r="AA34" s="274"/>
      <c r="AB34" s="275">
        <v>75.698954879858859711290936280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256.51837849191346355807603445</v>
      </c>
      <c r="E36" s="483">
        <v>331.03294390103418171028902031</v>
      </c>
      <c r="F36" s="484">
        <v>220.64071224825442033680840711</v>
      </c>
      <c r="G36" s="482">
        <v>279.53834355828220858895705521</v>
      </c>
      <c r="H36" s="483">
        <v>285.49792126576721767411420856</v>
      </c>
      <c r="I36" s="484">
        <v>199.33583865758153487417496831</v>
      </c>
      <c r="J36" s="482">
        <v>0</v>
      </c>
      <c r="K36" s="483">
        <v>272.99995609502326355432428011</v>
      </c>
      <c r="L36" s="484">
        <v>110.6692289051344787011773775</v>
      </c>
      <c r="M36" s="482">
        <v>257.99361116571653233733045017</v>
      </c>
      <c r="N36" s="483">
        <v>328.75708846224508543082858719</v>
      </c>
      <c r="O36" s="484">
        <v>207.47917094794938789889322726</v>
      </c>
      <c r="P36" s="93"/>
      <c r="Q36" s="468">
        <v>85.11803305407135998550117919</v>
      </c>
      <c r="R36" s="469"/>
      <c r="S36" s="470">
        <v>63.043621191444104486448221900</v>
      </c>
      <c r="T36" s="468">
        <v>45.841284006613330333036140700</v>
      </c>
      <c r="U36" s="469"/>
      <c r="V36" s="470">
        <v>72.386184874200788859101912870</v>
      </c>
      <c r="W36" s="468">
        <v>0</v>
      </c>
      <c r="X36" s="469"/>
      <c r="Y36" s="470">
        <v>17.527914010949102094038629570</v>
      </c>
      <c r="Z36" s="468">
        <v>84.10093735740892845007746608</v>
      </c>
      <c r="AA36" s="469"/>
      <c r="AB36" s="470">
        <v>58.892474193110913620796472690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166.76062914469636152253203955</v>
      </c>
      <c r="E39" s="455">
        <v>135.14432803203733939053366479</v>
      </c>
      <c r="F39" s="456">
        <v>102.90579288861932952378866282</v>
      </c>
      <c r="G39" s="454">
        <v>8.888805075862980002001229167</v>
      </c>
      <c r="H39" s="455">
        <v>6.2553424183117280467266300959</v>
      </c>
      <c r="I39" s="456">
        <v>11.35145004231094619444318878</v>
      </c>
      <c r="J39" s="454">
        <v>0</v>
      </c>
      <c r="K39" s="455">
        <v>0</v>
      </c>
      <c r="L39" s="456">
        <v>7.3829391466592842419308707182</v>
      </c>
      <c r="M39" s="454">
        <v>175.64943422055934152453326856</v>
      </c>
      <c r="N39" s="455">
        <v>141.39967045034906743726029475</v>
      </c>
      <c r="O39" s="456">
        <v>121.6401820775895599601627222</v>
      </c>
      <c r="P39" s="5"/>
      <c r="Q39" s="427">
        <v>133.15558067585669056186753600</v>
      </c>
      <c r="R39" s="428"/>
      <c r="S39" s="429">
        <v>135.02436015217453921290791678</v>
      </c>
      <c r="T39" s="427">
        <v>179.96136598293924624090246106</v>
      </c>
      <c r="U39" s="428"/>
      <c r="V39" s="429">
        <v>356.63174552006046712057426071</v>
      </c>
      <c r="W39" s="427">
        <v>0</v>
      </c>
      <c r="X39" s="428"/>
      <c r="Y39" s="429">
        <v>102.39985082022995860107485306</v>
      </c>
      <c r="Z39" s="427">
        <v>135.14503453941719797908430213</v>
      </c>
      <c r="AA39" s="428"/>
      <c r="AB39" s="429">
        <v>143.67624398531479080431376007</v>
      </c>
    </row>
    <row r="40" ht="18" customHeight="1">
      <c r="A40" s="58"/>
      <c r="B40" s="1043" t="s">
        <v>46</v>
      </c>
      <c r="C40" s="1043"/>
      <c r="D40" s="439">
        <v>141.90660386564789619248987069</v>
      </c>
      <c r="E40" s="95">
        <v>124.17683015294233492974953032</v>
      </c>
      <c r="F40" s="440">
        <v>95.29741263260134730501097277</v>
      </c>
      <c r="G40" s="439">
        <v>12.949863099755005762778360933</v>
      </c>
      <c r="H40" s="95">
        <v>3.6504274778908100960642192541</v>
      </c>
      <c r="I40" s="440">
        <v>12.248252637436436395879447746</v>
      </c>
      <c r="J40" s="439">
        <v>0</v>
      </c>
      <c r="K40" s="95">
        <v>0</v>
      </c>
      <c r="L40" s="440">
        <v>6.9696279398114281855506990633</v>
      </c>
      <c r="M40" s="439">
        <v>154.85646696540290195526823148</v>
      </c>
      <c r="N40" s="95">
        <v>127.82725763083314502581374945</v>
      </c>
      <c r="O40" s="440">
        <v>114.51529320984921188644111947</v>
      </c>
      <c r="P40" s="5"/>
      <c r="Q40" s="420">
        <v>135.28921286061042827822549655</v>
      </c>
      <c r="R40" s="91"/>
      <c r="S40" s="421">
        <v>151.70268235876621118266480599</v>
      </c>
      <c r="T40" s="420">
        <v>436.60951597686538526641005794</v>
      </c>
      <c r="U40" s="91"/>
      <c r="V40" s="421">
        <v>470.95766241995021096795184138</v>
      </c>
      <c r="W40" s="420">
        <v>0</v>
      </c>
      <c r="X40" s="91"/>
      <c r="Y40" s="421">
        <v>106.45513639536446951958047200</v>
      </c>
      <c r="Z40" s="420">
        <v>146.88220787036938462567907495</v>
      </c>
      <c r="AA40" s="91"/>
      <c r="AB40" s="421">
        <v>163.96856075915589120669773570</v>
      </c>
    </row>
    <row r="41" ht="18" customHeight="1">
      <c r="A41" s="58"/>
      <c r="B41" s="1043" t="s">
        <v>47</v>
      </c>
      <c r="C41" s="1043"/>
      <c r="D41" s="439">
        <v>141.51563083642814205538122514</v>
      </c>
      <c r="E41" s="95">
        <v>131.8146369714652903831082574</v>
      </c>
      <c r="F41" s="440">
        <v>100.55495328822366355440169326</v>
      </c>
      <c r="G41" s="439">
        <v>17.162004411708095505938561858</v>
      </c>
      <c r="H41" s="95">
        <v>7.8991207481267888164971802244</v>
      </c>
      <c r="I41" s="440">
        <v>15.220181039820876389457039471</v>
      </c>
      <c r="J41" s="439">
        <v>0</v>
      </c>
      <c r="K41" s="95">
        <v>0</v>
      </c>
      <c r="L41" s="440">
        <v>7.1724130027057577649246357916</v>
      </c>
      <c r="M41" s="439">
        <v>158.67763524813623756131978686</v>
      </c>
      <c r="N41" s="95">
        <v>139.71375771959207919960543749</v>
      </c>
      <c r="O41" s="440">
        <v>122.94754733075029770878336839</v>
      </c>
      <c r="P41" s="93"/>
      <c r="Q41" s="420">
        <v>165.86315876824308480497235686</v>
      </c>
      <c r="R41" s="91"/>
      <c r="S41" s="421">
        <v>159.25249490597052087396989471</v>
      </c>
      <c r="T41" s="420">
        <v>343.94199292807238960671471892</v>
      </c>
      <c r="U41" s="91"/>
      <c r="V41" s="421">
        <v>761.83574808446964044293275832</v>
      </c>
      <c r="W41" s="420">
        <v>0</v>
      </c>
      <c r="X41" s="91"/>
      <c r="Y41" s="421">
        <v>101.12965241209634557084866968</v>
      </c>
      <c r="Z41" s="420">
        <v>177.92071466764011373537030890</v>
      </c>
      <c r="AA41" s="91"/>
      <c r="AB41" s="421">
        <v>178.67523214225204060167446842</v>
      </c>
    </row>
    <row r="42" ht="18" customHeight="1">
      <c r="A42" s="58"/>
      <c r="B42" s="1043" t="s">
        <v>48</v>
      </c>
      <c r="C42" s="1043"/>
      <c r="D42" s="439">
        <v>164.26501898527571472649516267</v>
      </c>
      <c r="E42" s="95">
        <v>152.65352571922289755531418047</v>
      </c>
      <c r="F42" s="440">
        <v>110.73346221665023360721271319</v>
      </c>
      <c r="G42" s="439">
        <v>17.495656840016460673410727367</v>
      </c>
      <c r="H42" s="95">
        <v>11.146573448070657345125221029</v>
      </c>
      <c r="I42" s="440">
        <v>19.034452493419857122295040345</v>
      </c>
      <c r="J42" s="439">
        <v>0</v>
      </c>
      <c r="K42" s="95">
        <v>0</v>
      </c>
      <c r="L42" s="440">
        <v>7.4170417899716360063303014452</v>
      </c>
      <c r="M42" s="439">
        <v>181.76067582529217539990588988</v>
      </c>
      <c r="N42" s="95">
        <v>163.80009916729355490043940136</v>
      </c>
      <c r="O42" s="440">
        <v>137.18495650004172673583805484</v>
      </c>
      <c r="P42" s="5"/>
      <c r="Q42" s="420">
        <v>168.47850266273598534460387144</v>
      </c>
      <c r="R42" s="91"/>
      <c r="S42" s="421">
        <v>150.76878869262974721711644707</v>
      </c>
      <c r="T42" s="420">
        <v>462.69142296456823701917293984</v>
      </c>
      <c r="U42" s="91"/>
      <c r="V42" s="421">
        <v>958.9736367525439203253274575</v>
      </c>
      <c r="W42" s="420">
        <v>0</v>
      </c>
      <c r="X42" s="91"/>
      <c r="Y42" s="421">
        <v>108.46832142559849325913588158</v>
      </c>
      <c r="Z42" s="420">
        <v>182.70697562905494742635806559</v>
      </c>
      <c r="AA42" s="91"/>
      <c r="AB42" s="421">
        <v>177.06905499219965873979372102</v>
      </c>
    </row>
    <row r="43" ht="18" customHeight="1">
      <c r="A43" s="58"/>
      <c r="B43" s="1043" t="s">
        <v>49</v>
      </c>
      <c r="C43" s="1043"/>
      <c r="D43" s="439">
        <v>213.74766728359451656189753701</v>
      </c>
      <c r="E43" s="95">
        <v>191.33735631872824860666665849</v>
      </c>
      <c r="F43" s="440">
        <v>128.75680085871421881574517635</v>
      </c>
      <c r="G43" s="439">
        <v>13.467226394914839252357019459</v>
      </c>
      <c r="H43" s="95">
        <v>9.193751129415086445843959033</v>
      </c>
      <c r="I43" s="440">
        <v>21.140704945612623172862863858</v>
      </c>
      <c r="J43" s="439">
        <v>0</v>
      </c>
      <c r="K43" s="95">
        <v>0</v>
      </c>
      <c r="L43" s="440">
        <v>7.4170965291066285614314401357</v>
      </c>
      <c r="M43" s="439">
        <v>227.21489367850935581425455626</v>
      </c>
      <c r="N43" s="95">
        <v>200.53110744814333505251061733</v>
      </c>
      <c r="O43" s="440">
        <v>157.31460233343347055003948018</v>
      </c>
      <c r="P43" s="93"/>
      <c r="Q43" s="420">
        <v>157.97454544425527356554134990</v>
      </c>
      <c r="R43" s="91"/>
      <c r="S43" s="421">
        <v>142.02132260174567940758438974</v>
      </c>
      <c r="T43" s="420">
        <v>207.24894645493295500591072513</v>
      </c>
      <c r="U43" s="91"/>
      <c r="V43" s="421">
        <v>744.33290758907874510429195494</v>
      </c>
      <c r="W43" s="420">
        <v>0</v>
      </c>
      <c r="X43" s="91"/>
      <c r="Y43" s="421">
        <v>102.74789857576740328549336469</v>
      </c>
      <c r="Z43" s="420">
        <v>160.45024009851960307844774860</v>
      </c>
      <c r="AA43" s="91"/>
      <c r="AB43" s="421">
        <v>165.00570618042429666522803476</v>
      </c>
    </row>
    <row r="44" ht="18" customHeight="1">
      <c r="A44" s="58"/>
      <c r="B44" s="1044" t="s">
        <v>75</v>
      </c>
      <c r="C44" s="1044"/>
      <c r="D44" s="457">
        <v>165.639110023128526211759167</v>
      </c>
      <c r="E44" s="458">
        <v>147.02533543887922217307445819</v>
      </c>
      <c r="F44" s="459">
        <v>107.64968437696175856123184369</v>
      </c>
      <c r="G44" s="457">
        <v>13.992711164451476239297179755</v>
      </c>
      <c r="H44" s="458">
        <v>7.6290430443630141500514419226</v>
      </c>
      <c r="I44" s="459">
        <v>15.799008231720147854987516044</v>
      </c>
      <c r="J44" s="457">
        <v>0</v>
      </c>
      <c r="K44" s="458">
        <v>0</v>
      </c>
      <c r="L44" s="459">
        <v>7.2718236816509469520335894314</v>
      </c>
      <c r="M44" s="457">
        <v>179.63182118758000245105634662</v>
      </c>
      <c r="N44" s="458">
        <v>154.65437848324223632312590008</v>
      </c>
      <c r="O44" s="459">
        <v>130.72051629033285336825294902</v>
      </c>
      <c r="P44" s="5"/>
      <c r="Q44" s="430">
        <v>150.66907551770957576006371976</v>
      </c>
      <c r="R44" s="431"/>
      <c r="S44" s="432">
        <v>146.34161496644662962211311809</v>
      </c>
      <c r="T44" s="430">
        <v>311.02216789061338662348038724</v>
      </c>
      <c r="U44" s="431"/>
      <c r="V44" s="432">
        <v>636.54545516578352969281346704</v>
      </c>
      <c r="W44" s="430">
        <v>0</v>
      </c>
      <c r="X44" s="431"/>
      <c r="Y44" s="432">
        <v>104.11689896368611921560290384</v>
      </c>
      <c r="Z44" s="430">
        <v>158.52567047278367002204548245</v>
      </c>
      <c r="AA44" s="431"/>
      <c r="AB44" s="432">
        <v>164.57924613553333326414200952</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296.26565054131147957039897388</v>
      </c>
      <c r="E46" s="494">
        <v>249.6854107271240137859805319</v>
      </c>
      <c r="F46" s="495">
        <v>160.53221909050990847461951275</v>
      </c>
      <c r="G46" s="493">
        <v>19.943017307011647093527719983</v>
      </c>
      <c r="H46" s="494">
        <v>6.7892255987701595766326289582</v>
      </c>
      <c r="I46" s="495">
        <v>24.366821830697646193481026016</v>
      </c>
      <c r="J46" s="493">
        <v>0</v>
      </c>
      <c r="K46" s="494">
        <v>0</v>
      </c>
      <c r="L46" s="495">
        <v>7.2292924783162801675835942448</v>
      </c>
      <c r="M46" s="493">
        <v>316.20866784832312666392669358</v>
      </c>
      <c r="N46" s="494">
        <v>256.47463632589417336261316062</v>
      </c>
      <c r="O46" s="495">
        <v>192.12833339952383483568413283</v>
      </c>
      <c r="P46" s="93"/>
      <c r="Q46" s="479">
        <v>177.93584276929033649300233283</v>
      </c>
      <c r="R46" s="480"/>
      <c r="S46" s="481">
        <v>185.10304267742453339836627883</v>
      </c>
      <c r="T46" s="479">
        <v>592.47742892662006954642875245</v>
      </c>
      <c r="U46" s="480"/>
      <c r="V46" s="481">
        <v>661.13051194706400648609416069</v>
      </c>
      <c r="W46" s="479">
        <v>0</v>
      </c>
      <c r="X46" s="480"/>
      <c r="Y46" s="481">
        <v>107.33656209494325960840710647</v>
      </c>
      <c r="Z46" s="479">
        <v>188.84116926568217336340893523</v>
      </c>
      <c r="AA46" s="480"/>
      <c r="AB46" s="481">
        <v>204.99040532081514950717679217</v>
      </c>
    </row>
    <row r="47" ht="18" customHeight="1">
      <c r="A47" s="58"/>
      <c r="B47" s="1046" t="s">
        <v>51</v>
      </c>
      <c r="C47" s="1046"/>
      <c r="D47" s="276">
        <v>276.73359144911495683662530186</v>
      </c>
      <c r="E47" s="94">
        <v>221.39913117192064175336051043</v>
      </c>
      <c r="F47" s="277">
        <v>151.99156397906033253194027033</v>
      </c>
      <c r="G47" s="276">
        <v>14.194354953485533195425990136</v>
      </c>
      <c r="H47" s="94">
        <v>5.8708433659992072684215721773</v>
      </c>
      <c r="I47" s="277">
        <v>20.239856857465586328308418114</v>
      </c>
      <c r="J47" s="276">
        <v>0</v>
      </c>
      <c r="K47" s="94">
        <v>0.7309109165729808453795963508</v>
      </c>
      <c r="L47" s="277">
        <v>7.3509834909004090406055189636</v>
      </c>
      <c r="M47" s="276">
        <v>290.92794640260049003205129173</v>
      </c>
      <c r="N47" s="94">
        <v>228.00088545449282986716167873</v>
      </c>
      <c r="O47" s="277">
        <v>179.58240432742632790085420723</v>
      </c>
      <c r="P47" s="5"/>
      <c r="Q47" s="271">
        <v>132.87472571070173766644523996</v>
      </c>
      <c r="R47" s="92"/>
      <c r="S47" s="272">
        <v>140.61889803292465702735145366</v>
      </c>
      <c r="T47" s="271">
        <v>386.65459239201677463418599955</v>
      </c>
      <c r="U47" s="92"/>
      <c r="V47" s="272">
        <v>535.45120529614702734241286016</v>
      </c>
      <c r="W47" s="271">
        <v>0</v>
      </c>
      <c r="X47" s="92"/>
      <c r="Y47" s="272">
        <v>96.45394700518498051671472642</v>
      </c>
      <c r="Z47" s="271">
        <v>138.95441835053134025883371371</v>
      </c>
      <c r="AA47" s="92"/>
      <c r="AB47" s="272">
        <v>156.20269324044564874043629054</v>
      </c>
    </row>
    <row r="48" ht="18" customHeight="1">
      <c r="A48" s="58"/>
      <c r="B48" s="1047" t="s">
        <v>76</v>
      </c>
      <c r="C48" s="1047"/>
      <c r="D48" s="443">
        <v>286.86132579321685751339683552</v>
      </c>
      <c r="E48" s="444">
        <v>236.06609094128535317768200298</v>
      </c>
      <c r="F48" s="445">
        <v>156.42005181462677931703321087</v>
      </c>
      <c r="G48" s="443">
        <v>17.175142840499073735182442647</v>
      </c>
      <c r="H48" s="444">
        <v>6.3470415607693306874939719881</v>
      </c>
      <c r="I48" s="445">
        <v>22.379764621363691443583103694</v>
      </c>
      <c r="J48" s="443">
        <v>0</v>
      </c>
      <c r="K48" s="444">
        <v>0.351920070942546332960546391</v>
      </c>
      <c r="L48" s="445">
        <v>7.2878844473382681434830394813</v>
      </c>
      <c r="M48" s="443">
        <v>304.03646863371593124857927789</v>
      </c>
      <c r="N48" s="444">
        <v>242.7650525729972301981365212</v>
      </c>
      <c r="O48" s="445">
        <v>186.08770088332873890409935384</v>
      </c>
      <c r="P48" s="93"/>
      <c r="Q48" s="273">
        <v>154.50298683572561688207024917</v>
      </c>
      <c r="R48" s="274"/>
      <c r="S48" s="275">
        <v>161.84858992161093064819310976</v>
      </c>
      <c r="T48" s="273">
        <v>492.58626490304953855079222884</v>
      </c>
      <c r="U48" s="274"/>
      <c r="V48" s="275">
        <v>600.84440520585591484407954804</v>
      </c>
      <c r="W48" s="273">
        <v>0</v>
      </c>
      <c r="X48" s="274"/>
      <c r="Y48" s="275">
        <v>101.64088286028036291804230395</v>
      </c>
      <c r="Z48" s="273">
        <v>162.97852074526525965183180363</v>
      </c>
      <c r="AA48" s="274"/>
      <c r="AB48" s="275">
        <v>179.64451098099966180612115094</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201.13372859025032938076416337</v>
      </c>
      <c r="E50" s="483">
        <v>172.71238366624160654059985667</v>
      </c>
      <c r="F50" s="484">
        <v>121.98839663391593729843328215</v>
      </c>
      <c r="G50" s="482">
        <v>15.008152173913043478260869565</v>
      </c>
      <c r="H50" s="483">
        <v>7.6972887502462036845258655079</v>
      </c>
      <c r="I50" s="484">
        <v>17.478934512785893975164130059</v>
      </c>
      <c r="J50" s="482">
        <v>0</v>
      </c>
      <c r="K50" s="483">
        <v>0.1032734626607825318600540755</v>
      </c>
      <c r="L50" s="484">
        <v>7.5022501872276406758278512418</v>
      </c>
      <c r="M50" s="482">
        <v>216.14188076416337285902503294</v>
      </c>
      <c r="N50" s="483">
        <v>180.51294587914859275698577625</v>
      </c>
      <c r="O50" s="484">
        <v>146.96958133392947194942526345</v>
      </c>
      <c r="P50" s="93"/>
      <c r="Q50" s="468">
        <v>153.99047705201816424536066879</v>
      </c>
      <c r="R50" s="469"/>
      <c r="S50" s="470">
        <v>152.72650385712967700855054027</v>
      </c>
      <c r="T50" s="468">
        <v>350.65647948489181198140726993</v>
      </c>
      <c r="U50" s="469"/>
      <c r="V50" s="470">
        <v>631.65907012930918073320642691</v>
      </c>
      <c r="W50" s="468">
        <v>0</v>
      </c>
      <c r="X50" s="469"/>
      <c r="Y50" s="470">
        <v>109.51346770583462190315803497</v>
      </c>
      <c r="Z50" s="468">
        <v>161.92741388272703239124683003</v>
      </c>
      <c r="AA50" s="469"/>
      <c r="AB50" s="470">
        <v>170.96822049652067227723005380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157</v>
      </c>
      <c r="Y1" s="5"/>
      <c r="AB1" s="685"/>
      <c r="AD1" s="236"/>
    </row>
    <row r="2" ht="15" customHeight="1">
      <c r="A2" s="11"/>
      <c r="B2" s="11" t="s">
        <v>208</v>
      </c>
    </row>
    <row r="3" ht="17.1" customHeight="1">
      <c r="A3" s="11"/>
      <c r="B3" s="11" t="s">
        <v>209</v>
      </c>
      <c r="R3" s="1040" t="s">
        <v>303</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84.32400932400932400932400939</v>
      </c>
      <c r="E11" s="428">
        <v>64.865415986949429037520391530</v>
      </c>
      <c r="F11" s="429">
        <v>55.362879043556168494557603510</v>
      </c>
      <c r="G11" s="427">
        <v>1.9376456876456876456876456900</v>
      </c>
      <c r="H11" s="428">
        <v>0.9736949429037520391517128900</v>
      </c>
      <c r="I11" s="429">
        <v>5.1371950109139292816230797500</v>
      </c>
      <c r="J11" s="427">
        <v>0</v>
      </c>
      <c r="K11" s="428">
        <v>0</v>
      </c>
      <c r="L11" s="429">
        <v>5.0988323673878681781871951400</v>
      </c>
      <c r="M11" s="427">
        <v>86.26165501165501165501165501</v>
      </c>
      <c r="N11" s="428">
        <v>65.835754702553907325279094660</v>
      </c>
      <c r="O11" s="429">
        <v>65.600606032647095243760607390</v>
      </c>
      <c r="P11" s="5"/>
      <c r="Q11" s="427">
        <v>86.01644690932228532223213126</v>
      </c>
      <c r="R11" s="428"/>
      <c r="S11" s="429">
        <v>81.91592812273629949926413894</v>
      </c>
      <c r="T11" s="427">
        <v>-48.039408507538819502789702710</v>
      </c>
      <c r="U11" s="428"/>
      <c r="V11" s="429">
        <v>-31.438090940073434273706784860</v>
      </c>
      <c r="W11" s="427">
        <v>0</v>
      </c>
      <c r="X11" s="428"/>
      <c r="Y11" s="429">
        <v>10.843098340980269627424122160</v>
      </c>
      <c r="Z11" s="427">
        <v>71.469196112713583074618603430</v>
      </c>
      <c r="AA11" s="428"/>
      <c r="AB11" s="429">
        <v>54.259148055549270176840586190</v>
      </c>
    </row>
    <row r="12" ht="18" customHeight="1">
      <c r="A12" s="58"/>
      <c r="B12" s="1043" t="s">
        <v>46</v>
      </c>
      <c r="C12" s="1043"/>
      <c r="D12" s="420">
        <v>75.728438228438228438228438280</v>
      </c>
      <c r="E12" s="91">
        <v>57.321983791222794230083082740</v>
      </c>
      <c r="F12" s="421">
        <v>48.379576280849184996858374610</v>
      </c>
      <c r="G12" s="420">
        <v>2.7534965034965034965034965100</v>
      </c>
      <c r="H12" s="91">
        <v>0.6116519700290534685763800400</v>
      </c>
      <c r="I12" s="421">
        <v>5.0037966361561060341042243400</v>
      </c>
      <c r="J12" s="420">
        <v>0</v>
      </c>
      <c r="K12" s="91">
        <v>0</v>
      </c>
      <c r="L12" s="421">
        <v>4.9099117676313114527409772300</v>
      </c>
      <c r="M12" s="420">
        <v>78.481934731934731934731934730</v>
      </c>
      <c r="N12" s="91">
        <v>57.935779816513761467889908260</v>
      </c>
      <c r="O12" s="421">
        <v>58.294255070874584856637563170</v>
      </c>
      <c r="P12" s="5"/>
      <c r="Q12" s="420">
        <v>96.20232880498771111950358369</v>
      </c>
      <c r="R12" s="91"/>
      <c r="S12" s="421">
        <v>83.12518214251428592909453859</v>
      </c>
      <c r="T12" s="420">
        <v>-29.532129277618782963462398510</v>
      </c>
      <c r="U12" s="91"/>
      <c r="V12" s="421">
        <v>-33.436917495824749037644800080</v>
      </c>
      <c r="W12" s="420">
        <v>0</v>
      </c>
      <c r="X12" s="91"/>
      <c r="Y12" s="421">
        <v>11.976331689428020791250491930</v>
      </c>
      <c r="Z12" s="420">
        <v>82.74848867747492239460314265</v>
      </c>
      <c r="AA12" s="91"/>
      <c r="AB12" s="421">
        <v>52.121339139403819355558579290</v>
      </c>
    </row>
    <row r="13" ht="18" customHeight="1">
      <c r="A13" s="58"/>
      <c r="B13" s="1043" t="s">
        <v>47</v>
      </c>
      <c r="C13" s="1043"/>
      <c r="D13" s="420">
        <v>71.955128205128205128205128260</v>
      </c>
      <c r="E13" s="91">
        <v>54.037520391517128874388254500</v>
      </c>
      <c r="F13" s="421">
        <v>47.011492301685650749461033170</v>
      </c>
      <c r="G13" s="420">
        <v>3.4090909090909090909090909100</v>
      </c>
      <c r="H13" s="91">
        <v>0.9227161500815660685154975500</v>
      </c>
      <c r="I13" s="421">
        <v>5.3874862681666395869658529100</v>
      </c>
      <c r="J13" s="420">
        <v>0</v>
      </c>
      <c r="K13" s="91">
        <v>0</v>
      </c>
      <c r="L13" s="421">
        <v>4.9543727250020006644631065400</v>
      </c>
      <c r="M13" s="420">
        <v>75.364219114219114219114219110</v>
      </c>
      <c r="N13" s="91">
        <v>54.962532497323749808839272060</v>
      </c>
      <c r="O13" s="421">
        <v>57.355048828338138969791179130</v>
      </c>
      <c r="P13" s="184"/>
      <c r="Q13" s="420">
        <v>114.20349443608694507347675529</v>
      </c>
      <c r="R13" s="91"/>
      <c r="S13" s="421">
        <v>80.38271822794071570486360890</v>
      </c>
      <c r="T13" s="420">
        <v>-20.517001332876364856134235850</v>
      </c>
      <c r="U13" s="91"/>
      <c r="V13" s="421">
        <v>-36.830958713779367104359195180</v>
      </c>
      <c r="W13" s="420">
        <v>0</v>
      </c>
      <c r="X13" s="91"/>
      <c r="Y13" s="421">
        <v>13.816095912689342776070846080</v>
      </c>
      <c r="Z13" s="420">
        <v>96.19610761138876031804067831</v>
      </c>
      <c r="AA13" s="91"/>
      <c r="AB13" s="421">
        <v>47.282990335951541331857045430</v>
      </c>
    </row>
    <row r="14" ht="18" customHeight="1">
      <c r="A14" s="58"/>
      <c r="B14" s="1043" t="s">
        <v>48</v>
      </c>
      <c r="C14" s="1043"/>
      <c r="D14" s="420">
        <v>74.300699300699300699300699350</v>
      </c>
      <c r="E14" s="91">
        <v>55.607667210440456769983686800</v>
      </c>
      <c r="F14" s="421">
        <v>49.395071817791605939427155260</v>
      </c>
      <c r="G14" s="420">
        <v>4.0064102564102564102564102600</v>
      </c>
      <c r="H14" s="91">
        <v>1.3662316476345840130505709600</v>
      </c>
      <c r="I14" s="421">
        <v>6.2340704670399623632576152600</v>
      </c>
      <c r="J14" s="420">
        <v>0</v>
      </c>
      <c r="K14" s="91">
        <v>0</v>
      </c>
      <c r="L14" s="421">
        <v>5.2053651758280932091385502600</v>
      </c>
      <c r="M14" s="420">
        <v>78.307109557109557109557109560</v>
      </c>
      <c r="N14" s="91">
        <v>56.976092164958964163735535500</v>
      </c>
      <c r="O14" s="421">
        <v>60.836447498926916333424676800</v>
      </c>
      <c r="P14" s="5"/>
      <c r="Q14" s="420">
        <v>102.62950122858943075908098231</v>
      </c>
      <c r="R14" s="91"/>
      <c r="S14" s="421">
        <v>73.662547348696337956954186170</v>
      </c>
      <c r="T14" s="420">
        <v>-4.8255373008136294242197205400</v>
      </c>
      <c r="U14" s="91"/>
      <c r="V14" s="421">
        <v>-27.390420790155206398434901570</v>
      </c>
      <c r="W14" s="420">
        <v>0</v>
      </c>
      <c r="X14" s="91"/>
      <c r="Y14" s="421">
        <v>15.606814080691692088967050100</v>
      </c>
      <c r="Z14" s="420">
        <v>88.47688496196044025030020746</v>
      </c>
      <c r="AA14" s="91"/>
      <c r="AB14" s="421">
        <v>46.481947289235476508824401490</v>
      </c>
    </row>
    <row r="15" ht="18" customHeight="1">
      <c r="A15" s="58"/>
      <c r="B15" s="1043" t="s">
        <v>49</v>
      </c>
      <c r="C15" s="1043"/>
      <c r="D15" s="420">
        <v>82.29895104895104895104895111</v>
      </c>
      <c r="E15" s="91">
        <v>63.580750407830342577487765110</v>
      </c>
      <c r="F15" s="421">
        <v>54.973301694488005758980834970</v>
      </c>
      <c r="G15" s="420">
        <v>2.4475524475524475524475524500</v>
      </c>
      <c r="H15" s="91">
        <v>1.401916802610114192495921700</v>
      </c>
      <c r="I15" s="421">
        <v>7.29689048968303791086668300</v>
      </c>
      <c r="J15" s="420">
        <v>0</v>
      </c>
      <c r="K15" s="91">
        <v>0</v>
      </c>
      <c r="L15" s="421">
        <v>5.1910813359090391276210513100</v>
      </c>
      <c r="M15" s="420">
        <v>84.74650349650349650349650350</v>
      </c>
      <c r="N15" s="91">
        <v>64.979354641382474384462456030</v>
      </c>
      <c r="O15" s="421">
        <v>67.460303994687000845910905460</v>
      </c>
      <c r="P15" s="184"/>
      <c r="Q15" s="420">
        <v>87.11527829130324900034352746</v>
      </c>
      <c r="R15" s="91"/>
      <c r="S15" s="421">
        <v>79.40238383643785687232201357</v>
      </c>
      <c r="T15" s="420">
        <v>-52.253162680693243615449306060</v>
      </c>
      <c r="U15" s="91"/>
      <c r="V15" s="421">
        <v>-16.997956522674984866659254040</v>
      </c>
      <c r="W15" s="420">
        <v>0</v>
      </c>
      <c r="X15" s="91"/>
      <c r="Y15" s="421">
        <v>14.340280826006720701226543260</v>
      </c>
      <c r="Z15" s="420">
        <v>69.908431029914472983763791720</v>
      </c>
      <c r="AA15" s="91"/>
      <c r="AB15" s="421">
        <v>53.413121129646356174554002650</v>
      </c>
    </row>
    <row r="16" ht="18" customHeight="1">
      <c r="A16" s="58"/>
      <c r="B16" s="1044" t="s">
        <v>75</v>
      </c>
      <c r="C16" s="1044"/>
      <c r="D16" s="430">
        <v>77.721445221445221445221445230</v>
      </c>
      <c r="E16" s="431">
        <v>59.082613704719472283678109360</v>
      </c>
      <c r="F16" s="432">
        <v>51.024005937813051060826200130</v>
      </c>
      <c r="G16" s="430">
        <v>2.9108391608391608391608391600</v>
      </c>
      <c r="H16" s="431">
        <v>1.0552287348470173220639662300</v>
      </c>
      <c r="I16" s="432">
        <v>5.8122651738047361820929335700</v>
      </c>
      <c r="J16" s="430">
        <v>0</v>
      </c>
      <c r="K16" s="431">
        <v>0</v>
      </c>
      <c r="L16" s="432">
        <v>5.0719304926589905232697751300</v>
      </c>
      <c r="M16" s="430">
        <v>80.63228438228438228438228438</v>
      </c>
      <c r="N16" s="431">
        <v>60.137835413098442215153739500</v>
      </c>
      <c r="O16" s="432">
        <v>61.909268858256543600963439270</v>
      </c>
      <c r="P16" s="5"/>
      <c r="Q16" s="430">
        <v>95.79005478043266430357007661</v>
      </c>
      <c r="R16" s="431"/>
      <c r="S16" s="432">
        <v>79.65380924208216111232081429</v>
      </c>
      <c r="T16" s="430">
        <v>-31.470965760524141587367320810</v>
      </c>
      <c r="U16" s="431"/>
      <c r="V16" s="432">
        <v>-29.010079122961533802198325970</v>
      </c>
      <c r="W16" s="430">
        <v>0</v>
      </c>
      <c r="X16" s="431"/>
      <c r="Y16" s="432">
        <v>13.312834994680569515921655750</v>
      </c>
      <c r="Z16" s="629">
        <v>80.54976418526406567970272505</v>
      </c>
      <c r="AA16" s="214"/>
      <c r="AB16" s="630">
        <v>50.761562405576706887724979480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85.44882790165809033733562042</v>
      </c>
      <c r="E18" s="480">
        <v>70.963236394472988477078864690</v>
      </c>
      <c r="F18" s="481">
        <v>64.063865922532913150253562930</v>
      </c>
      <c r="G18" s="479">
        <v>3.2018296169239565465980560300</v>
      </c>
      <c r="H18" s="480">
        <v>1.3218935501571307427545268600</v>
      </c>
      <c r="I18" s="481">
        <v>8.471548317481188232015378140</v>
      </c>
      <c r="J18" s="479">
        <v>0</v>
      </c>
      <c r="K18" s="480">
        <v>0</v>
      </c>
      <c r="L18" s="481">
        <v>5.1946443331261001817458559400</v>
      </c>
      <c r="M18" s="479">
        <v>88.65065751858204688393367639</v>
      </c>
      <c r="N18" s="480">
        <v>72.286512370311252992817238630</v>
      </c>
      <c r="O18" s="481">
        <v>77.729820374115388371600006670</v>
      </c>
      <c r="P18" s="184"/>
      <c r="Q18" s="479">
        <v>64.383291705447486904139813430</v>
      </c>
      <c r="R18" s="480"/>
      <c r="S18" s="481">
        <v>77.108771974245684490318872790</v>
      </c>
      <c r="T18" s="479">
        <v>-6.6540712971946971360061381300</v>
      </c>
      <c r="U18" s="480"/>
      <c r="V18" s="481">
        <v>1.6221682669776150002844037600</v>
      </c>
      <c r="W18" s="479">
        <v>0</v>
      </c>
      <c r="X18" s="480"/>
      <c r="Y18" s="481">
        <v>11.526193007177990054759050370</v>
      </c>
      <c r="Z18" s="479">
        <v>53.491827789664231360751149160</v>
      </c>
      <c r="AA18" s="480"/>
      <c r="AB18" s="481">
        <v>58.105724550051146359715089840</v>
      </c>
    </row>
    <row r="19" ht="18" customHeight="1">
      <c r="A19" s="58"/>
      <c r="B19" s="1046" t="s">
        <v>51</v>
      </c>
      <c r="C19" s="1046"/>
      <c r="D19" s="271">
        <v>88.73834498834498834498834505</v>
      </c>
      <c r="E19" s="92">
        <v>74.959216965742251223491027750</v>
      </c>
      <c r="F19" s="272">
        <v>67.022451858524397912877951020</v>
      </c>
      <c r="G19" s="271">
        <v>3.0740093240093240093240093300</v>
      </c>
      <c r="H19" s="92">
        <v>1.2795676998368678629690048900</v>
      </c>
      <c r="I19" s="272">
        <v>7.6941380423882930808844774600</v>
      </c>
      <c r="J19" s="271">
        <v>0</v>
      </c>
      <c r="K19" s="92">
        <v>0.07646818923327895595432300</v>
      </c>
      <c r="L19" s="272">
        <v>5.1918253577073707263893711300</v>
      </c>
      <c r="M19" s="271">
        <v>91.81235431235431235431235431</v>
      </c>
      <c r="N19" s="92">
        <v>76.311362593668756690625477900</v>
      </c>
      <c r="O19" s="272">
        <v>79.90890086170267008854972211</v>
      </c>
      <c r="P19" s="5"/>
      <c r="Q19" s="271">
        <v>48.569684018005200174365778020</v>
      </c>
      <c r="R19" s="92"/>
      <c r="S19" s="272">
        <v>70.567615855730101454846109590</v>
      </c>
      <c r="T19" s="271">
        <v>16.287224269634958037818444500</v>
      </c>
      <c r="U19" s="92"/>
      <c r="V19" s="272">
        <v>-1.4129223773307349112273990200</v>
      </c>
      <c r="W19" s="271">
        <v>0</v>
      </c>
      <c r="X19" s="92"/>
      <c r="Y19" s="272">
        <v>10.974329856332152585248789610</v>
      </c>
      <c r="Z19" s="271">
        <v>43.428992924058347381759134810</v>
      </c>
      <c r="AA19" s="92"/>
      <c r="AB19" s="272">
        <v>54.332776575852913438170166210</v>
      </c>
    </row>
    <row r="20" ht="18" customHeight="1">
      <c r="A20" s="58"/>
      <c r="B20" s="1047" t="s">
        <v>76</v>
      </c>
      <c r="C20" s="1047"/>
      <c r="D20" s="273">
        <v>87.07792207792207792207792212</v>
      </c>
      <c r="E20" s="274">
        <v>72.939515417391523586213851700</v>
      </c>
      <c r="F20" s="275">
        <v>65.529004083320908623069560810</v>
      </c>
      <c r="G20" s="273">
        <v>3.1385281385281385281385281400</v>
      </c>
      <c r="H20" s="274">
        <v>1.3009605929959912260797216600</v>
      </c>
      <c r="I20" s="275">
        <v>8.086562555610598358014419090</v>
      </c>
      <c r="J20" s="273">
        <v>0</v>
      </c>
      <c r="K20" s="274">
        <v>0.0378186218894183495953407500</v>
      </c>
      <c r="L20" s="275">
        <v>5.1932483322832449174919079100</v>
      </c>
      <c r="M20" s="273">
        <v>90.21645021645021645021645022</v>
      </c>
      <c r="N20" s="274">
        <v>74.277070465145594352703895120</v>
      </c>
      <c r="O20" s="275">
        <v>78.808935210346336794617134560</v>
      </c>
      <c r="P20" s="184"/>
      <c r="Q20" s="273">
        <v>55.775505456789768197931911720</v>
      </c>
      <c r="R20" s="274"/>
      <c r="S20" s="275">
        <v>73.669021345628518804992247060</v>
      </c>
      <c r="T20" s="273">
        <v>3.5056399190575373035593327700</v>
      </c>
      <c r="U20" s="274"/>
      <c r="V20" s="275">
        <v>0.1990506106674508889663294900</v>
      </c>
      <c r="W20" s="273">
        <v>0</v>
      </c>
      <c r="X20" s="274"/>
      <c r="Y20" s="275">
        <v>11.250065075032196795475082300</v>
      </c>
      <c r="Z20" s="273">
        <v>48.177167489269651778389463490</v>
      </c>
      <c r="AA20" s="274"/>
      <c r="AB20" s="275">
        <v>56.151786760036079663953283340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80.38190120381901203819012038</v>
      </c>
      <c r="E22" s="469">
        <v>63.019576106499641808150288460</v>
      </c>
      <c r="F22" s="470">
        <v>55.056894445791646101668948400</v>
      </c>
      <c r="G22" s="468">
        <v>2.9887920298879202988792029900</v>
      </c>
      <c r="H22" s="469">
        <v>1.1862810508769789285680191500</v>
      </c>
      <c r="I22" s="470">
        <v>6.3842815436408546895358939200</v>
      </c>
      <c r="J22" s="468">
        <v>0</v>
      </c>
      <c r="K22" s="469">
        <v>0.0108896084096815878501009100</v>
      </c>
      <c r="L22" s="470">
        <v>5.3256966542666379351388216700</v>
      </c>
      <c r="M22" s="468">
        <v>83.37069323370693233706932337</v>
      </c>
      <c r="N22" s="469">
        <v>64.216746765786302324568408520</v>
      </c>
      <c r="O22" s="470">
        <v>66.766872643699138726343663990</v>
      </c>
      <c r="P22" s="184"/>
      <c r="Q22" s="468">
        <v>77.782527191387039969483467050</v>
      </c>
      <c r="R22" s="469"/>
      <c r="S22" s="470">
        <v>76.442989251536693964457124040</v>
      </c>
      <c r="T22" s="468">
        <v>-27.512790890176117972462714760</v>
      </c>
      <c r="U22" s="469"/>
      <c r="V22" s="470">
        <v>-20.872092015926595192434965790</v>
      </c>
      <c r="W22" s="468">
        <v>0</v>
      </c>
      <c r="X22" s="469"/>
      <c r="Y22" s="470">
        <v>19.705708859153089421765508370</v>
      </c>
      <c r="Z22" s="468">
        <v>68.982737229314182152003445530</v>
      </c>
      <c r="AA22" s="469"/>
      <c r="AB22" s="470">
        <v>52.710926743700735912325629490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205.57159321115806952615751532</v>
      </c>
      <c r="E25" s="455">
        <v>250.49128661334517945323702583</v>
      </c>
      <c r="F25" s="456">
        <v>192.98847482519137512186782207</v>
      </c>
      <c r="G25" s="454">
        <v>259.93846617261688711512492571</v>
      </c>
      <c r="H25" s="455">
        <v>255.90424968118433671817128403</v>
      </c>
      <c r="I25" s="456">
        <v>162.57237949923206702605246537</v>
      </c>
      <c r="J25" s="454">
        <v>0</v>
      </c>
      <c r="K25" s="455">
        <v>0</v>
      </c>
      <c r="L25" s="456">
        <v>104.6217559388017125234232336</v>
      </c>
      <c r="M25" s="454">
        <v>206.7928048483602351636060317</v>
      </c>
      <c r="N25" s="455">
        <v>250.57133895139839501944704859</v>
      </c>
      <c r="O25" s="456">
        <v>183.73324775290452294487434824</v>
      </c>
      <c r="P25" s="5"/>
      <c r="Q25" s="427">
        <v>15.737581273232588570826130870</v>
      </c>
      <c r="R25" s="428"/>
      <c r="S25" s="429">
        <v>11.808465804943142718388777300</v>
      </c>
      <c r="T25" s="427">
        <v>-46.822970408832114948770529940</v>
      </c>
      <c r="U25" s="428"/>
      <c r="V25" s="429">
        <v>-40.203476878877687718035946050</v>
      </c>
      <c r="W25" s="427">
        <v>0</v>
      </c>
      <c r="X25" s="428"/>
      <c r="Y25" s="429">
        <v>-5.0450940080660493632084838600</v>
      </c>
      <c r="Z25" s="427">
        <v>2.7077122639671807399255854400</v>
      </c>
      <c r="AA25" s="428"/>
      <c r="AB25" s="429">
        <v>0.2128711956425255366190097400</v>
      </c>
    </row>
    <row r="26" ht="18" customHeight="1">
      <c r="A26" s="58"/>
      <c r="B26" s="1043" t="s">
        <v>46</v>
      </c>
      <c r="C26" s="1043"/>
      <c r="D26" s="439">
        <v>177.53040582110282616777740827</v>
      </c>
      <c r="E26" s="95">
        <v>224.7443157658973498343782823</v>
      </c>
      <c r="F26" s="440">
        <v>178.84384042862470906072874728</v>
      </c>
      <c r="G26" s="439">
        <v>238.9412362535324927323291563</v>
      </c>
      <c r="H26" s="95">
        <v>235.13047174631225010831512028</v>
      </c>
      <c r="I26" s="440">
        <v>161.37166875591193007914141513</v>
      </c>
      <c r="J26" s="439">
        <v>0</v>
      </c>
      <c r="K26" s="95">
        <v>0</v>
      </c>
      <c r="L26" s="440">
        <v>105.13427689271772718915236789</v>
      </c>
      <c r="M26" s="439">
        <v>179.6849718043456713470423573</v>
      </c>
      <c r="N26" s="95">
        <v>224.83418947064652645820497733</v>
      </c>
      <c r="O26" s="440">
        <v>171.13281994660355287137118143</v>
      </c>
      <c r="P26" s="5"/>
      <c r="Q26" s="420">
        <v>4.6278826405352807795145490100</v>
      </c>
      <c r="R26" s="91"/>
      <c r="S26" s="421">
        <v>5.1938753645033809797399731300</v>
      </c>
      <c r="T26" s="420">
        <v>1.3368942156399868936505786100</v>
      </c>
      <c r="U26" s="91"/>
      <c r="V26" s="421">
        <v>-25.330580402158756041435067100</v>
      </c>
      <c r="W26" s="420">
        <v>0</v>
      </c>
      <c r="X26" s="91"/>
      <c r="Y26" s="421">
        <v>-3.5674973891317599616521384800</v>
      </c>
      <c r="Z26" s="420">
        <v>2.8408183725154362549814479700</v>
      </c>
      <c r="AA26" s="91"/>
      <c r="AB26" s="421">
        <v>-0.5496013597797175758063910200</v>
      </c>
    </row>
    <row r="27" ht="18" customHeight="1">
      <c r="A27" s="58"/>
      <c r="B27" s="1043" t="s">
        <v>47</v>
      </c>
      <c r="C27" s="1043"/>
      <c r="D27" s="439">
        <v>174.33469081313805874239894491</v>
      </c>
      <c r="E27" s="95">
        <v>228.47950310426863981624389473</v>
      </c>
      <c r="F27" s="440">
        <v>179.51285781282929140778340462</v>
      </c>
      <c r="G27" s="439">
        <v>217.90547638320963202893846236</v>
      </c>
      <c r="H27" s="95">
        <v>276.65540589329808348183538513</v>
      </c>
      <c r="I27" s="440">
        <v>163.95483756876259175692888868</v>
      </c>
      <c r="J27" s="439">
        <v>0</v>
      </c>
      <c r="K27" s="95">
        <v>0</v>
      </c>
      <c r="L27" s="440">
        <v>102.84153136147817050233368133</v>
      </c>
      <c r="M27" s="439">
        <v>176.30560978151168104068818656</v>
      </c>
      <c r="N27" s="95">
        <v>229.26705262214195280675176117</v>
      </c>
      <c r="O27" s="440">
        <v>171.42321814639526083592173114</v>
      </c>
      <c r="P27" s="93"/>
      <c r="Q27" s="420">
        <v>3.1203005826073448918096133700</v>
      </c>
      <c r="R27" s="91"/>
      <c r="S27" s="421">
        <v>3.258762004983131430105887900</v>
      </c>
      <c r="T27" s="420">
        <v>-11.689377989569242838540074500</v>
      </c>
      <c r="U27" s="91"/>
      <c r="V27" s="421">
        <v>-25.581367601230915234466857090</v>
      </c>
      <c r="W27" s="420">
        <v>0</v>
      </c>
      <c r="X27" s="91"/>
      <c r="Y27" s="421">
        <v>-5.0546224317083454079657040800</v>
      </c>
      <c r="Z27" s="420">
        <v>-0.4438029903658252318608670200</v>
      </c>
      <c r="AA27" s="91"/>
      <c r="AB27" s="421">
        <v>-2.9895784645279768618924490200</v>
      </c>
    </row>
    <row r="28" ht="18" customHeight="1">
      <c r="A28" s="58"/>
      <c r="B28" s="1043" t="s">
        <v>48</v>
      </c>
      <c r="C28" s="1043"/>
      <c r="D28" s="439">
        <v>180.64799098235397182632633557</v>
      </c>
      <c r="E28" s="95">
        <v>234.90812896161835211403077192</v>
      </c>
      <c r="F28" s="440">
        <v>184.40672335866537675009162582</v>
      </c>
      <c r="G28" s="439">
        <v>222.31570606400797285538958257</v>
      </c>
      <c r="H28" s="95">
        <v>270.57213226995472782175502664</v>
      </c>
      <c r="I28" s="440">
        <v>171.0654958795573826837963606</v>
      </c>
      <c r="J28" s="439">
        <v>0</v>
      </c>
      <c r="K28" s="95">
        <v>0</v>
      </c>
      <c r="L28" s="440">
        <v>103.52353331102457269624504193</v>
      </c>
      <c r="M28" s="439">
        <v>182.77982756792696722781329239</v>
      </c>
      <c r="N28" s="95">
        <v>235.74225661283715235895839737</v>
      </c>
      <c r="O28" s="440">
        <v>176.11310218503589026724585482</v>
      </c>
      <c r="P28" s="5"/>
      <c r="Q28" s="420">
        <v>-7.506485476434364030135586800</v>
      </c>
      <c r="R28" s="91"/>
      <c r="S28" s="421">
        <v>2.2928124974871583931845853700</v>
      </c>
      <c r="T28" s="420">
        <v>-23.963582741937155198939167650</v>
      </c>
      <c r="U28" s="91"/>
      <c r="V28" s="421">
        <v>-25.752193197014591820656520150</v>
      </c>
      <c r="W28" s="420">
        <v>0</v>
      </c>
      <c r="X28" s="91"/>
      <c r="Y28" s="421">
        <v>-3.3061626132789612185477941300</v>
      </c>
      <c r="Z28" s="420">
        <v>-10.428316966580317807447941060</v>
      </c>
      <c r="AA28" s="91"/>
      <c r="AB28" s="421">
        <v>-3.6038040608272262456975194600</v>
      </c>
    </row>
    <row r="29" ht="18" customHeight="1">
      <c r="A29" s="58"/>
      <c r="B29" s="1043" t="s">
        <v>49</v>
      </c>
      <c r="C29" s="1043"/>
      <c r="D29" s="439">
        <v>211.15326261112092249799625058</v>
      </c>
      <c r="E29" s="95">
        <v>276.04067321936556254492168199</v>
      </c>
      <c r="F29" s="440">
        <v>202.38468337162733979490915926</v>
      </c>
      <c r="G29" s="439">
        <v>276.38000212878129549034171464</v>
      </c>
      <c r="H29" s="95">
        <v>269.27028704634383059408740385</v>
      </c>
      <c r="I29" s="440">
        <v>174.06322399793690171704176462</v>
      </c>
      <c r="J29" s="439">
        <v>0</v>
      </c>
      <c r="K29" s="95">
        <v>0</v>
      </c>
      <c r="L29" s="440">
        <v>104.01250603785061117218721521</v>
      </c>
      <c r="M29" s="439">
        <v>213.03706736253349644723366471</v>
      </c>
      <c r="N29" s="95">
        <v>275.89461091469928998773336895</v>
      </c>
      <c r="O29" s="440">
        <v>191.75442673574399445195204054</v>
      </c>
      <c r="P29" s="93"/>
      <c r="Q29" s="420">
        <v>12.548653360297372875631120520</v>
      </c>
      <c r="R29" s="91"/>
      <c r="S29" s="421">
        <v>9.249146533734570658748118940</v>
      </c>
      <c r="T29" s="420">
        <v>-41.437313492400576691414298590</v>
      </c>
      <c r="U29" s="91"/>
      <c r="V29" s="421">
        <v>-34.841601105430108703690509370</v>
      </c>
      <c r="W29" s="420">
        <v>0</v>
      </c>
      <c r="X29" s="91"/>
      <c r="Y29" s="421">
        <v>-5.7130877050911911343365129200</v>
      </c>
      <c r="Z29" s="420">
        <v>-1.0869314655131626857357156200</v>
      </c>
      <c r="AA29" s="91"/>
      <c r="AB29" s="421">
        <v>-1.1002262801330801402349101700</v>
      </c>
    </row>
    <row r="30" ht="18" customHeight="1">
      <c r="A30" s="58"/>
      <c r="B30" s="1044" t="s">
        <v>75</v>
      </c>
      <c r="C30" s="1044"/>
      <c r="D30" s="457">
        <v>190.74004661432824535021594763</v>
      </c>
      <c r="E30" s="458">
        <v>244.03391865370135500556863236</v>
      </c>
      <c r="F30" s="459">
        <v>188.18712183370231341673399467</v>
      </c>
      <c r="G30" s="457">
        <v>238.52877943121540659169466374</v>
      </c>
      <c r="H30" s="458">
        <v>264.47406488062130618935760155</v>
      </c>
      <c r="I30" s="459">
        <v>167.33159598091587942163903824</v>
      </c>
      <c r="J30" s="457">
        <v>0</v>
      </c>
      <c r="K30" s="458">
        <v>0</v>
      </c>
      <c r="L30" s="459">
        <v>104.0228259394490541394673719</v>
      </c>
      <c r="M30" s="457">
        <v>192.46522798548678522952925798</v>
      </c>
      <c r="N30" s="458">
        <v>244.38014923600455303584945004</v>
      </c>
      <c r="O30" s="459">
        <v>179.33070729511636430672645045</v>
      </c>
      <c r="P30" s="5"/>
      <c r="Q30" s="430">
        <v>5.8906033817515069944337671900</v>
      </c>
      <c r="R30" s="431"/>
      <c r="S30" s="432">
        <v>6.524818468856865915475924700</v>
      </c>
      <c r="T30" s="430">
        <v>-32.235716432689206274803470030</v>
      </c>
      <c r="U30" s="431"/>
      <c r="V30" s="432">
        <v>-30.608497055936666493101209820</v>
      </c>
      <c r="W30" s="430">
        <v>0</v>
      </c>
      <c r="X30" s="431"/>
      <c r="Y30" s="432">
        <v>-4.5549050519862791605948228500</v>
      </c>
      <c r="Z30" s="430">
        <v>-1.6959259088497099819697993200</v>
      </c>
      <c r="AA30" s="431"/>
      <c r="AB30" s="432">
        <v>-1.5431953433035122409378797300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325.0271899010909807758589649</v>
      </c>
      <c r="E32" s="494">
        <v>375.29114271058397207257643055</v>
      </c>
      <c r="F32" s="495">
        <v>244.5127333217186954135183701</v>
      </c>
      <c r="G32" s="493">
        <v>291.66123209292925727546259877</v>
      </c>
      <c r="H32" s="494">
        <v>305.70139501162010866803597706</v>
      </c>
      <c r="I32" s="495">
        <v>177.26856192663879196085656775</v>
      </c>
      <c r="J32" s="493">
        <v>0</v>
      </c>
      <c r="K32" s="494">
        <v>0</v>
      </c>
      <c r="L32" s="495">
        <v>104.95192105165095223900521914</v>
      </c>
      <c r="M32" s="493">
        <v>323.82209887415963184582207588</v>
      </c>
      <c r="N32" s="494">
        <v>373.99273156768195663134845673</v>
      </c>
      <c r="O32" s="495">
        <v>227.85795680606294209319376448</v>
      </c>
      <c r="P32" s="93"/>
      <c r="Q32" s="479">
        <v>69.914831790338280057084556980</v>
      </c>
      <c r="R32" s="480"/>
      <c r="S32" s="481">
        <v>30.415592637643305606334903660</v>
      </c>
      <c r="T32" s="479">
        <v>19.828511066699335998120820480</v>
      </c>
      <c r="U32" s="480"/>
      <c r="V32" s="481">
        <v>-37.194353594250354848060925450</v>
      </c>
      <c r="W32" s="479">
        <v>0</v>
      </c>
      <c r="X32" s="480"/>
      <c r="Y32" s="481">
        <v>-6.0774934632249758440605263100</v>
      </c>
      <c r="Z32" s="479">
        <v>41.910835523902638812322788460</v>
      </c>
      <c r="AA32" s="480"/>
      <c r="AB32" s="481">
        <v>16.0230957273508770721935800</v>
      </c>
    </row>
    <row r="33" ht="18" customHeight="1">
      <c r="A33" s="58"/>
      <c r="B33" s="1046" t="s">
        <v>51</v>
      </c>
      <c r="C33" s="1046"/>
      <c r="D33" s="276">
        <v>328.37177098158614802044589516</v>
      </c>
      <c r="E33" s="94">
        <v>369.09028114862890414005531047</v>
      </c>
      <c r="F33" s="277">
        <v>242.12825013219597598367571767</v>
      </c>
      <c r="G33" s="276">
        <v>259.27787531395700494271271223</v>
      </c>
      <c r="H33" s="94">
        <v>314.53503232158878635559392573</v>
      </c>
      <c r="I33" s="277">
        <v>173.12938910662217236077591095</v>
      </c>
      <c r="J33" s="276">
        <v>0</v>
      </c>
      <c r="K33" s="94">
        <v>273.01959103722744511079188998</v>
      </c>
      <c r="L33" s="277">
        <v>105.39807916250471745308380355</v>
      </c>
      <c r="M33" s="276">
        <v>326.05840824184166227157225162</v>
      </c>
      <c r="N33" s="94">
        <v>368.07929732716877779073408408</v>
      </c>
      <c r="O33" s="277">
        <v>226.59952310496943658031854373</v>
      </c>
      <c r="P33" s="5"/>
      <c r="Q33" s="271">
        <v>47.299313868035617595641523210</v>
      </c>
      <c r="R33" s="92"/>
      <c r="S33" s="272">
        <v>28.568227918537847298666258850</v>
      </c>
      <c r="T33" s="271">
        <v>23.556596952141518429269079350</v>
      </c>
      <c r="U33" s="92"/>
      <c r="V33" s="272">
        <v>-36.708023516157805277686877510</v>
      </c>
      <c r="W33" s="271">
        <v>0</v>
      </c>
      <c r="X33" s="92"/>
      <c r="Y33" s="272">
        <v>-8.250462936097741628974987120</v>
      </c>
      <c r="Z33" s="271">
        <v>48.587481009076105964992416890</v>
      </c>
      <c r="AA33" s="92"/>
      <c r="AB33" s="272">
        <v>16.484433868334249160085837710</v>
      </c>
    </row>
    <row r="34" ht="18" customHeight="1">
      <c r="A34" s="58"/>
      <c r="B34" s="1047" t="s">
        <v>76</v>
      </c>
      <c r="C34" s="1047"/>
      <c r="D34" s="443">
        <v>326.71513781403290336155612226</v>
      </c>
      <c r="E34" s="444">
        <v>372.13948462530960916625805693</v>
      </c>
      <c r="F34" s="445">
        <v>243.30498789810560886319367343</v>
      </c>
      <c r="G34" s="443">
        <v>275.95344294266915327038161931</v>
      </c>
      <c r="H34" s="444">
        <v>309.99837750154673289202249859</v>
      </c>
      <c r="I34" s="445">
        <v>175.31825045827249912315240241</v>
      </c>
      <c r="J34" s="443">
        <v>0</v>
      </c>
      <c r="K34" s="444">
        <v>273.01959103722744511079188998</v>
      </c>
      <c r="L34" s="445">
        <v>105.17280500628006621119021995</v>
      </c>
      <c r="M34" s="633">
        <v>324.94919593391108384062994592</v>
      </c>
      <c r="N34" s="634">
        <v>370.98804381462777540658445021</v>
      </c>
      <c r="O34" s="635">
        <v>227.22606251870525477659732146</v>
      </c>
      <c r="P34" s="93"/>
      <c r="Q34" s="273">
        <v>56.783009412864254122681551710</v>
      </c>
      <c r="R34" s="274"/>
      <c r="S34" s="275">
        <v>29.469781592020275198392913820</v>
      </c>
      <c r="T34" s="273">
        <v>20.712213108125355067275620020</v>
      </c>
      <c r="U34" s="274"/>
      <c r="V34" s="275">
        <v>-36.945135731853664849676630370</v>
      </c>
      <c r="W34" s="273">
        <v>0</v>
      </c>
      <c r="X34" s="274"/>
      <c r="Y34" s="275">
        <v>-7.1831205343136171294403878100</v>
      </c>
      <c r="Z34" s="273">
        <v>45.333849093268934283277452180</v>
      </c>
      <c r="AA34" s="274"/>
      <c r="AB34" s="275">
        <v>16.265330009336855357622499820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233.25113612889898781243544722</v>
      </c>
      <c r="E36" s="483">
        <v>286.74251842781762324991746781</v>
      </c>
      <c r="F36" s="484">
        <v>207.41218109941419901022682529</v>
      </c>
      <c r="G36" s="482">
        <v>247.15625</v>
      </c>
      <c r="H36" s="483">
        <v>275.51640607238663688468122787</v>
      </c>
      <c r="I36" s="484">
        <v>170.75033572853943416821993488</v>
      </c>
      <c r="J36" s="482">
        <v>0</v>
      </c>
      <c r="K36" s="483">
        <v>272.99995609502326355432428011</v>
      </c>
      <c r="L36" s="484">
        <v>103.07946909670243011643727595</v>
      </c>
      <c r="M36" s="482">
        <v>233.74962656841266679944234216</v>
      </c>
      <c r="N36" s="483">
        <v>286.53280715836121913719815501</v>
      </c>
      <c r="O36" s="484">
        <v>195.58440054400694142088939026</v>
      </c>
      <c r="P36" s="93"/>
      <c r="Q36" s="468">
        <v>21.887214742018431323648295450</v>
      </c>
      <c r="R36" s="469"/>
      <c r="S36" s="470">
        <v>14.518925984349764698087716550</v>
      </c>
      <c r="T36" s="468">
        <v>-31.743988826942807710188508710</v>
      </c>
      <c r="U36" s="469"/>
      <c r="V36" s="470">
        <v>-31.859934372882006508462471390</v>
      </c>
      <c r="W36" s="468">
        <v>0</v>
      </c>
      <c r="X36" s="469"/>
      <c r="Y36" s="470">
        <v>-4.3836822174773586562834560300</v>
      </c>
      <c r="Z36" s="468">
        <v>13.672018464972760852009297750</v>
      </c>
      <c r="AA36" s="469"/>
      <c r="AB36" s="470">
        <v>4.8843074794466953502311886200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173.34620942689144907013398887</v>
      </c>
      <c r="E39" s="455">
        <v>162.48221507280811905398592565</v>
      </c>
      <c r="F39" s="456">
        <v>106.84397588547454779709302269</v>
      </c>
      <c r="G39" s="454">
        <v>5.036686480326055650686424118</v>
      </c>
      <c r="H39" s="455">
        <v>2.4917267378214828870906767569</v>
      </c>
      <c r="I39" s="456">
        <v>8.351660168758609315657101256</v>
      </c>
      <c r="J39" s="454">
        <v>0</v>
      </c>
      <c r="K39" s="455">
        <v>0</v>
      </c>
      <c r="L39" s="456">
        <v>5.334487955137160928841880129</v>
      </c>
      <c r="M39" s="454">
        <v>178.38289590721750472082041284</v>
      </c>
      <c r="N39" s="455">
        <v>164.96553206694755934526984924</v>
      </c>
      <c r="O39" s="456">
        <v>120.53012400937031804159200395</v>
      </c>
      <c r="P39" s="5"/>
      <c r="Q39" s="427">
        <v>115.29093642349976311211778672</v>
      </c>
      <c r="R39" s="428"/>
      <c r="S39" s="429">
        <v>103.39740828903646783016689313</v>
      </c>
      <c r="T39" s="427">
        <v>-72.368900886561839903879521830</v>
      </c>
      <c r="U39" s="428"/>
      <c r="V39" s="429">
        <v>-59.002362196876978487636523800</v>
      </c>
      <c r="W39" s="427">
        <v>0</v>
      </c>
      <c r="X39" s="428"/>
      <c r="Y39" s="429">
        <v>5.2509598272249339523615267900</v>
      </c>
      <c r="Z39" s="427">
        <v>76.112088564816346318501017860</v>
      </c>
      <c r="AA39" s="428"/>
      <c r="AB39" s="429">
        <v>54.587521348384351933534202220</v>
      </c>
    </row>
    <row r="40" ht="18" customHeight="1">
      <c r="A40" s="58"/>
      <c r="B40" s="1043" t="s">
        <v>46</v>
      </c>
      <c r="C40" s="1043"/>
      <c r="D40" s="439">
        <v>134.44100370892955862763796167</v>
      </c>
      <c r="E40" s="95">
        <v>128.82790025502225374572700767</v>
      </c>
      <c r="F40" s="440">
        <v>86.52389220376668513568854905</v>
      </c>
      <c r="G40" s="439">
        <v>6.5792385856523369939408814939</v>
      </c>
      <c r="H40" s="95">
        <v>1.4381801625749258378611455447</v>
      </c>
      <c r="I40" s="440">
        <v>8.074710132917295120685410078</v>
      </c>
      <c r="J40" s="439">
        <v>0</v>
      </c>
      <c r="K40" s="95">
        <v>0</v>
      </c>
      <c r="L40" s="440">
        <v>5.1620002329696343841352882802</v>
      </c>
      <c r="M40" s="439">
        <v>141.02024229458189562157884307</v>
      </c>
      <c r="N40" s="95">
        <v>130.25944096395713895262059008</v>
      </c>
      <c r="O40" s="440">
        <v>99.7606025696536146405092473</v>
      </c>
      <c r="P40" s="5"/>
      <c r="Q40" s="420">
        <v>105.28234232000921592705741903</v>
      </c>
      <c r="R40" s="91"/>
      <c r="S40" s="421">
        <v>92.63647586388899855428177680</v>
      </c>
      <c r="T40" s="420">
        <v>-28.590048390238716920736203240</v>
      </c>
      <c r="U40" s="91"/>
      <c r="V40" s="421">
        <v>-50.297732627729878671169710620</v>
      </c>
      <c r="W40" s="420">
        <v>0</v>
      </c>
      <c r="X40" s="91"/>
      <c r="Y40" s="421">
        <v>7.981578979583052403299524310</v>
      </c>
      <c r="Z40" s="420">
        <v>87.94004131955088876171222913</v>
      </c>
      <c r="AA40" s="91"/>
      <c r="AB40" s="421">
        <v>51.285278190935385266574408030</v>
      </c>
    </row>
    <row r="41" ht="18" customHeight="1">
      <c r="A41" s="58"/>
      <c r="B41" s="1043" t="s">
        <v>47</v>
      </c>
      <c r="C41" s="1043"/>
      <c r="D41" s="439">
        <v>125.4427502806073531656043691</v>
      </c>
      <c r="E41" s="95">
        <v>123.46465808040617771473212096</v>
      </c>
      <c r="F41" s="440">
        <v>84.39167333121415057541553265</v>
      </c>
      <c r="G41" s="439">
        <v>7.4285957857912374555319930404</v>
      </c>
      <c r="H41" s="95">
        <v>2.5527441102511701218501327856</v>
      </c>
      <c r="I41" s="440">
        <v>8.83304436001200335256056483</v>
      </c>
      <c r="J41" s="439">
        <v>0</v>
      </c>
      <c r="K41" s="95">
        <v>0</v>
      </c>
      <c r="L41" s="440">
        <v>5.0951527797474531501678790578</v>
      </c>
      <c r="M41" s="439">
        <v>132.87134606639859062113636205</v>
      </c>
      <c r="N41" s="95">
        <v>126.01097830310111307347695819</v>
      </c>
      <c r="O41" s="440">
        <v>98.31987047097360707814397643</v>
      </c>
      <c r="P41" s="93"/>
      <c r="Q41" s="420">
        <v>120.88728732131195943743665465</v>
      </c>
      <c r="R41" s="91"/>
      <c r="S41" s="421">
        <v>86.26096171344093376675382406</v>
      </c>
      <c r="T41" s="420">
        <v>-29.808069485014703109578783270</v>
      </c>
      <c r="U41" s="91"/>
      <c r="V41" s="421">
        <v>-52.990463375541903658588183140</v>
      </c>
      <c r="W41" s="420">
        <v>0</v>
      </c>
      <c r="X41" s="91"/>
      <c r="Y41" s="421">
        <v>8.063121998155249338745763140</v>
      </c>
      <c r="Z41" s="420">
        <v>95.32538341874407036317322751</v>
      </c>
      <c r="AA41" s="91"/>
      <c r="AB41" s="421">
        <v>42.879849774841276531712588260</v>
      </c>
    </row>
    <row r="42" ht="18" customHeight="1">
      <c r="A42" s="58"/>
      <c r="B42" s="1043" t="s">
        <v>48</v>
      </c>
      <c r="C42" s="1043"/>
      <c r="D42" s="439">
        <v>134.22272057255321333249771446</v>
      </c>
      <c r="E42" s="95">
        <v>130.62693060324903063110968907</v>
      </c>
      <c r="F42" s="440">
        <v>91.08783343984905191323157759</v>
      </c>
      <c r="G42" s="439">
        <v>8.906879249359293784270415975</v>
      </c>
      <c r="H42" s="95">
        <v>3.6966421007518284592287085623</v>
      </c>
      <c r="I42" s="440">
        <v>10.664343557922950499080550503</v>
      </c>
      <c r="J42" s="439">
        <v>0</v>
      </c>
      <c r="K42" s="95">
        <v>0</v>
      </c>
      <c r="L42" s="440">
        <v>5.3887779517588688920317774088</v>
      </c>
      <c r="M42" s="439">
        <v>143.12959982191250711676813033</v>
      </c>
      <c r="N42" s="95">
        <v>134.31672539948416434297181054</v>
      </c>
      <c r="O42" s="440">
        <v>107.14095494953087130434390539</v>
      </c>
      <c r="P42" s="5"/>
      <c r="Q42" s="420">
        <v>87.41914714815850578357804855</v>
      </c>
      <c r="R42" s="91"/>
      <c r="S42" s="421">
        <v>77.644303937677784092777925720</v>
      </c>
      <c r="T42" s="420">
        <v>-27.632748419459381286544941480</v>
      </c>
      <c r="U42" s="91"/>
      <c r="V42" s="421">
        <v>-46.088979907933345900228194760</v>
      </c>
      <c r="W42" s="420">
        <v>0</v>
      </c>
      <c r="X42" s="91"/>
      <c r="Y42" s="421">
        <v>11.784664816865133468543399230</v>
      </c>
      <c r="Z42" s="420">
        <v>68.821917989169372686190388520</v>
      </c>
      <c r="AA42" s="91"/>
      <c r="AB42" s="421">
        <v>41.203024924510907407971719130</v>
      </c>
    </row>
    <row r="43" ht="18" customHeight="1">
      <c r="A43" s="58"/>
      <c r="B43" s="1043" t="s">
        <v>49</v>
      </c>
      <c r="C43" s="1043"/>
      <c r="D43" s="439">
        <v>173.77692023458946549988065565</v>
      </c>
      <c r="E43" s="95">
        <v>175.50873146369939315152239084</v>
      </c>
      <c r="F43" s="440">
        <v>111.25754257331899761299060268</v>
      </c>
      <c r="G43" s="439">
        <v>6.7645455066484932462671049088</v>
      </c>
      <c r="H43" s="95">
        <v>3.7749453985391799252331788376</v>
      </c>
      <c r="I43" s="440">
        <v>12.701202837941141146394801235</v>
      </c>
      <c r="J43" s="439">
        <v>0</v>
      </c>
      <c r="K43" s="95">
        <v>0</v>
      </c>
      <c r="L43" s="440">
        <v>5.3993737879421254892461057574</v>
      </c>
      <c r="M43" s="439">
        <v>180.54146574123795874614776043</v>
      </c>
      <c r="N43" s="95">
        <v>179.27453766272477185469935536</v>
      </c>
      <c r="O43" s="440">
        <v>129.35811919920226424863150953</v>
      </c>
      <c r="P43" s="93"/>
      <c r="Q43" s="420">
        <v>110.59572594839755715926535939</v>
      </c>
      <c r="R43" s="91"/>
      <c r="S43" s="421">
        <v>95.99557320224613653818193608</v>
      </c>
      <c r="T43" s="420">
        <v>-72.038169343381368637375068330</v>
      </c>
      <c r="U43" s="91"/>
      <c r="V43" s="421">
        <v>-45.917197420415025746483842840</v>
      </c>
      <c r="W43" s="420">
        <v>0</v>
      </c>
      <c r="X43" s="91"/>
      <c r="Y43" s="421">
        <v>7.8079202984248953317509132900</v>
      </c>
      <c r="Z43" s="420">
        <v>68.061642830379092273227185220</v>
      </c>
      <c r="AA43" s="91"/>
      <c r="AB43" s="421">
        <v>51.725229653698336465631875610</v>
      </c>
    </row>
    <row r="44" ht="18" customHeight="1">
      <c r="A44" s="58"/>
      <c r="B44" s="1044" t="s">
        <v>75</v>
      </c>
      <c r="C44" s="1044"/>
      <c r="D44" s="457">
        <v>148.24592084471420793915093787</v>
      </c>
      <c r="E44" s="458">
        <v>144.18161746665572548324074758</v>
      </c>
      <c r="F44" s="459">
        <v>96.02060821862774905506791134</v>
      </c>
      <c r="G44" s="457">
        <v>6.9431891215554834261393639017</v>
      </c>
      <c r="H44" s="458">
        <v>2.7908063288382599625417770419</v>
      </c>
      <c r="I44" s="459">
        <v>9.725756077970419282982594765</v>
      </c>
      <c r="J44" s="457">
        <v>0</v>
      </c>
      <c r="K44" s="458">
        <v>0</v>
      </c>
      <c r="L44" s="459">
        <v>5.2759654281485025986836165372</v>
      </c>
      <c r="M44" s="457">
        <v>155.18910996626969136529030175</v>
      </c>
      <c r="N44" s="458">
        <v>146.96493192983276827418937443</v>
      </c>
      <c r="O44" s="459">
        <v>111.0223297247466709367341226</v>
      </c>
      <c r="P44" s="5"/>
      <c r="Q44" s="430">
        <v>107.32327036840518347013500668</v>
      </c>
      <c r="R44" s="431"/>
      <c r="S44" s="432">
        <v>91.37589416745328028821393503</v>
      </c>
      <c r="T44" s="430">
        <v>-53.561790911711954866029972850</v>
      </c>
      <c r="U44" s="431"/>
      <c r="V44" s="432">
        <v>-50.739026964673866974937962030</v>
      </c>
      <c r="W44" s="430">
        <v>0</v>
      </c>
      <c r="X44" s="431"/>
      <c r="Y44" s="432">
        <v>8.151542948939442164909783660</v>
      </c>
      <c r="Z44" s="430">
        <v>77.487773955996792975642901660</v>
      </c>
      <c r="AA44" s="431"/>
      <c r="AB44" s="432">
        <v>48.435016995075572317585329260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277.73192413217865681504929869</v>
      </c>
      <c r="E46" s="494">
        <v>266.31874076923068722025601348</v>
      </c>
      <c r="F46" s="495">
        <v>156.64430963874632244563983648</v>
      </c>
      <c r="G46" s="493">
        <v>9.338495710236728649185766463</v>
      </c>
      <c r="H46" s="494">
        <v>4.0410470233989788395784672989</v>
      </c>
      <c r="I46" s="495">
        <v>15.017391875319266814082954809</v>
      </c>
      <c r="J46" s="493">
        <v>0</v>
      </c>
      <c r="K46" s="494">
        <v>0</v>
      </c>
      <c r="L46" s="495">
        <v>5.4518790194165647566159203211</v>
      </c>
      <c r="M46" s="493">
        <v>287.07041984241538546423506498</v>
      </c>
      <c r="N46" s="494">
        <v>270.34630216873737607250108914</v>
      </c>
      <c r="O46" s="495">
        <v>177.11358053348215401633871141</v>
      </c>
      <c r="P46" s="93"/>
      <c r="Q46" s="479">
        <v>179.31159359268861556504794975</v>
      </c>
      <c r="R46" s="480"/>
      <c r="S46" s="481">
        <v>130.97745458334167862873525781</v>
      </c>
      <c r="T46" s="479">
        <v>11.855036504990233679253822020</v>
      </c>
      <c r="U46" s="480"/>
      <c r="V46" s="481">
        <v>-36.175540327989007562031963540</v>
      </c>
      <c r="W46" s="479">
        <v>0</v>
      </c>
      <c r="X46" s="480"/>
      <c r="Y46" s="481">
        <v>4.7481959182031998895323361500</v>
      </c>
      <c r="Z46" s="479">
        <v>117.82153527707458798350403672</v>
      </c>
      <c r="AA46" s="480"/>
      <c r="AB46" s="481">
        <v>83.43915614522021890463742437</v>
      </c>
    </row>
    <row r="47" ht="18" customHeight="1">
      <c r="A47" s="58"/>
      <c r="B47" s="1046" t="s">
        <v>51</v>
      </c>
      <c r="C47" s="1046"/>
      <c r="D47" s="276">
        <v>291.39167497797803432292190398</v>
      </c>
      <c r="E47" s="94">
        <v>276.66718464566881150465809984</v>
      </c>
      <c r="F47" s="277">
        <v>162.2802898807385848520534402</v>
      </c>
      <c r="G47" s="276">
        <v>7.970226062244307698559496259</v>
      </c>
      <c r="H47" s="94">
        <v>4.0246886782585025170908480515</v>
      </c>
      <c r="I47" s="277">
        <v>13.320814189807069943695846996</v>
      </c>
      <c r="J47" s="276">
        <v>0</v>
      </c>
      <c r="K47" s="94">
        <v>0.208773137518271394609598203</v>
      </c>
      <c r="L47" s="277">
        <v>5.4720842004954083152226635179</v>
      </c>
      <c r="M47" s="276">
        <v>299.36190104022234202148140001</v>
      </c>
      <c r="N47" s="94">
        <v>280.88632721556387844865622871</v>
      </c>
      <c r="O47" s="277">
        <v>181.07318827104106311097195051</v>
      </c>
      <c r="P47" s="5"/>
      <c r="Q47" s="271">
        <v>118.84212517459329187610790328</v>
      </c>
      <c r="R47" s="92"/>
      <c r="S47" s="272">
        <v>119.29576110890013689531249734</v>
      </c>
      <c r="T47" s="271">
        <v>43.680536998165938410443954170</v>
      </c>
      <c r="U47" s="92"/>
      <c r="V47" s="272">
        <v>-37.602290015121321099029734580</v>
      </c>
      <c r="W47" s="271">
        <v>0</v>
      </c>
      <c r="X47" s="92"/>
      <c r="Y47" s="272">
        <v>1.8184339029039921882284243600</v>
      </c>
      <c r="Z47" s="271">
        <v>113.11752762263246411322973897</v>
      </c>
      <c r="AA47" s="92"/>
      <c r="AB47" s="272">
        <v>79.77366106775102144390774097</v>
      </c>
    </row>
    <row r="48" ht="18" customHeight="1">
      <c r="A48" s="58"/>
      <c r="B48" s="1047" t="s">
        <v>76</v>
      </c>
      <c r="C48" s="1047"/>
      <c r="D48" s="443">
        <v>284.49675312247930091418620789</v>
      </c>
      <c r="E48" s="444">
        <v>271.43673676247906091772799807</v>
      </c>
      <c r="F48" s="445">
        <v>159.43533545467306699813756443</v>
      </c>
      <c r="G48" s="443">
        <v>8.660876455992863035542280263</v>
      </c>
      <c r="H48" s="444">
        <v>4.0329567302220738262936139293</v>
      </c>
      <c r="I48" s="445">
        <v>14.177219994710270172553364152</v>
      </c>
      <c r="J48" s="443">
        <v>0</v>
      </c>
      <c r="K48" s="444">
        <v>0.1032522468184053570496906021</v>
      </c>
      <c r="L48" s="445">
        <v>5.4618849420041486585250948624</v>
      </c>
      <c r="M48" s="443">
        <v>293.15762957847216394972848801</v>
      </c>
      <c r="N48" s="444">
        <v>275.55905072145628435721142246</v>
      </c>
      <c r="O48" s="445">
        <v>179.0744403913874858292160233</v>
      </c>
      <c r="P48" s="93"/>
      <c r="Q48" s="273">
        <v>144.22952538339867069459871040</v>
      </c>
      <c r="R48" s="274"/>
      <c r="S48" s="275">
        <v>124.84890262916636653001078440</v>
      </c>
      <c r="T48" s="273">
        <v>24.943948637762136871331157430</v>
      </c>
      <c r="U48" s="274"/>
      <c r="V48" s="275">
        <v>-36.819624639580074862995785170</v>
      </c>
      <c r="W48" s="273">
        <v>0</v>
      </c>
      <c r="X48" s="274"/>
      <c r="Y48" s="275">
        <v>3.2588388068972794905046391600</v>
      </c>
      <c r="Z48" s="273">
        <v>115.35158098944328784932170737</v>
      </c>
      <c r="AA48" s="274"/>
      <c r="AB48" s="275">
        <v>81.55039019214482931205926378</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187.49169779991697799916977999</v>
      </c>
      <c r="E50" s="483">
        <v>180.70391963031228726267051127</v>
      </c>
      <c r="F50" s="484">
        <v>114.19470561561868650846286986</v>
      </c>
      <c r="G50" s="482">
        <v>7.386986301369863013698630137</v>
      </c>
      <c r="H50" s="483">
        <v>3.2683989172939927820980129403</v>
      </c>
      <c r="I50" s="484">
        <v>10.901182169621939212992928819</v>
      </c>
      <c r="J50" s="482">
        <v>0</v>
      </c>
      <c r="K50" s="483">
        <v>0.0297286261773506958700424274</v>
      </c>
      <c r="L50" s="484">
        <v>5.489699836918894312999295458</v>
      </c>
      <c r="M50" s="482">
        <v>194.87868410128684101286841013</v>
      </c>
      <c r="N50" s="483">
        <v>184.00204717378363074063856664</v>
      </c>
      <c r="O50" s="484">
        <v>130.58558762215952003445509414</v>
      </c>
      <c r="P50" s="93"/>
      <c r="Q50" s="468">
        <v>116.69417069154103083077492686</v>
      </c>
      <c r="R50" s="469"/>
      <c r="S50" s="470">
        <v>102.06061626562180780848007439</v>
      </c>
      <c r="T50" s="468">
        <v>-50.523122450706638187318117750</v>
      </c>
      <c r="U50" s="469"/>
      <c r="V50" s="470">
        <v>-46.082191570528168889253102350</v>
      </c>
      <c r="W50" s="468">
        <v>0</v>
      </c>
      <c r="X50" s="469"/>
      <c r="Y50" s="470">
        <v>14.458190988333062266247780560</v>
      </c>
      <c r="Z50" s="468">
        <v>92.08608826616171883247526863</v>
      </c>
      <c r="AA50" s="469"/>
      <c r="AB50" s="470">
        <v>60.169797960491953342592436180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163</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243</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245</v>
      </c>
      <c r="I6" s="1050"/>
      <c r="J6" s="1050"/>
      <c r="K6" s="1050"/>
      <c r="L6" s="1050"/>
      <c r="M6" s="1050"/>
      <c r="N6" s="1050"/>
      <c r="O6" s="1050"/>
      <c r="P6" s="1050"/>
      <c r="Q6" s="1050"/>
      <c r="R6" s="1050"/>
      <c r="S6" s="1050"/>
      <c r="T6" s="1050"/>
      <c r="U6" s="1050"/>
      <c r="Z6" s="1050" t="s">
        <v>246</v>
      </c>
      <c r="AA6" s="1050"/>
      <c r="AB6" s="1050"/>
      <c r="AC6" s="1050"/>
      <c r="AD6" s="1050"/>
      <c r="AE6" s="1050"/>
      <c r="AF6" s="1050"/>
      <c r="AG6" s="1050"/>
      <c r="AH6" s="1050"/>
      <c r="AI6" s="1050"/>
      <c r="AJ6" s="1050"/>
      <c r="AK6" s="1050"/>
      <c r="AL6" s="1050"/>
      <c r="AM6" s="1050"/>
    </row>
    <row r="7" ht="15" customHeight="1">
      <c r="D7" s="93" t="s">
        <v>248</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250</v>
      </c>
      <c r="E8" s="71"/>
      <c r="F8" s="71"/>
      <c r="G8" s="71"/>
      <c r="H8" s="1052"/>
      <c r="I8" s="1052"/>
      <c r="J8" s="1053"/>
      <c r="K8" s="1053"/>
      <c r="L8" s="1053"/>
      <c r="M8" s="1053"/>
      <c r="N8" s="1053">
        <v>1</v>
      </c>
      <c r="O8" s="1053"/>
      <c r="P8" s="1053">
        <v>2</v>
      </c>
      <c r="Q8" s="1053"/>
      <c r="R8" s="1053">
        <v>3</v>
      </c>
      <c r="S8" s="1053"/>
      <c r="T8" s="1054">
        <v>4</v>
      </c>
      <c r="U8" s="1054"/>
      <c r="Z8" s="1052"/>
      <c r="AA8" s="1052"/>
      <c r="AB8" s="1053"/>
      <c r="AC8" s="1053"/>
      <c r="AD8" s="1053">
        <v>1</v>
      </c>
      <c r="AE8" s="1053"/>
      <c r="AF8" s="1053">
        <v>2</v>
      </c>
      <c r="AG8" s="1053"/>
      <c r="AH8" s="1053">
        <v>3</v>
      </c>
      <c r="AI8" s="1053"/>
      <c r="AJ8" s="1053">
        <v>4</v>
      </c>
      <c r="AK8" s="1053"/>
      <c r="AL8" s="1054">
        <v>5</v>
      </c>
      <c r="AM8" s="1054"/>
    </row>
    <row r="9" ht="15" customHeight="1">
      <c r="D9" s="175" t="s">
        <v>252</v>
      </c>
      <c r="H9" s="1055">
        <v>5</v>
      </c>
      <c r="I9" s="1055"/>
      <c r="J9" s="1056">
        <v>6</v>
      </c>
      <c r="K9" s="1056"/>
      <c r="L9" s="1056">
        <v>7</v>
      </c>
      <c r="M9" s="1056"/>
      <c r="N9" s="1056">
        <v>8</v>
      </c>
      <c r="O9" s="1056"/>
      <c r="P9" s="1056">
        <v>9</v>
      </c>
      <c r="Q9" s="1056"/>
      <c r="R9" s="1056">
        <v>10</v>
      </c>
      <c r="S9" s="1056"/>
      <c r="T9" s="1057">
        <v>11</v>
      </c>
      <c r="U9" s="1057"/>
      <c r="Z9" s="1055">
        <v>6</v>
      </c>
      <c r="AA9" s="1055"/>
      <c r="AB9" s="1056">
        <v>7</v>
      </c>
      <c r="AC9" s="1056"/>
      <c r="AD9" s="1056">
        <v>8</v>
      </c>
      <c r="AE9" s="1056"/>
      <c r="AF9" s="1056">
        <v>9</v>
      </c>
      <c r="AG9" s="1056"/>
      <c r="AH9" s="1056">
        <v>10</v>
      </c>
      <c r="AI9" s="1056"/>
      <c r="AJ9" s="1056">
        <v>11</v>
      </c>
      <c r="AK9" s="1056"/>
      <c r="AL9" s="1057">
        <v>12</v>
      </c>
      <c r="AM9" s="1057"/>
    </row>
    <row r="10" ht="15" customHeight="1">
      <c r="D10" t="s">
        <v>254</v>
      </c>
      <c r="H10" s="1058">
        <v>12</v>
      </c>
      <c r="I10" s="1058"/>
      <c r="J10" s="1059">
        <v>13</v>
      </c>
      <c r="K10" s="1059"/>
      <c r="L10" s="1059">
        <v>14</v>
      </c>
      <c r="M10" s="1059"/>
      <c r="N10" s="1059">
        <v>15</v>
      </c>
      <c r="O10" s="1059"/>
      <c r="P10" s="1059">
        <v>16</v>
      </c>
      <c r="Q10" s="1059"/>
      <c r="R10" s="1059">
        <v>17</v>
      </c>
      <c r="S10" s="1059"/>
      <c r="T10" s="1060">
        <v>18</v>
      </c>
      <c r="U10" s="1060"/>
      <c r="Z10" s="1058">
        <v>13</v>
      </c>
      <c r="AA10" s="1058"/>
      <c r="AB10" s="1059">
        <v>14</v>
      </c>
      <c r="AC10" s="1059"/>
      <c r="AD10" s="1059">
        <v>15</v>
      </c>
      <c r="AE10" s="1059"/>
      <c r="AF10" s="1059">
        <v>16</v>
      </c>
      <c r="AG10" s="1059"/>
      <c r="AH10" s="1059">
        <v>17</v>
      </c>
      <c r="AI10" s="1059"/>
      <c r="AJ10" s="1059">
        <v>18</v>
      </c>
      <c r="AK10" s="1059"/>
      <c r="AL10" s="1060">
        <v>19</v>
      </c>
      <c r="AM10" s="1060"/>
    </row>
    <row r="11" ht="15" customHeight="1">
      <c r="H11" s="1055">
        <v>19</v>
      </c>
      <c r="I11" s="1055"/>
      <c r="J11" s="1056">
        <v>20</v>
      </c>
      <c r="K11" s="1056"/>
      <c r="L11" s="1056">
        <v>21</v>
      </c>
      <c r="M11" s="1056"/>
      <c r="N11" s="1056">
        <v>22</v>
      </c>
      <c r="O11" s="1056"/>
      <c r="P11" s="1056">
        <v>23</v>
      </c>
      <c r="Q11" s="1056"/>
      <c r="R11" s="1056">
        <v>24</v>
      </c>
      <c r="S11" s="1056"/>
      <c r="T11" s="1057">
        <v>25</v>
      </c>
      <c r="U11" s="1057"/>
      <c r="Z11" s="1055">
        <v>20</v>
      </c>
      <c r="AA11" s="1055"/>
      <c r="AB11" s="1056">
        <v>21</v>
      </c>
      <c r="AC11" s="1056"/>
      <c r="AD11" s="1056">
        <v>22</v>
      </c>
      <c r="AE11" s="1056"/>
      <c r="AF11" s="1056">
        <v>23</v>
      </c>
      <c r="AG11" s="1056"/>
      <c r="AH11" s="1056">
        <v>24</v>
      </c>
      <c r="AI11" s="1056"/>
      <c r="AJ11" s="1056">
        <v>25</v>
      </c>
      <c r="AK11" s="1056"/>
      <c r="AL11" s="1057">
        <v>26</v>
      </c>
      <c r="AM11" s="1057"/>
      <c r="AN11" t="s">
        <v>27</v>
      </c>
    </row>
    <row r="12" ht="15" customHeight="1">
      <c r="A12" s="68"/>
      <c r="H12" s="1058">
        <v>26</v>
      </c>
      <c r="I12" s="1058"/>
      <c r="J12" s="1059">
        <v>27</v>
      </c>
      <c r="K12" s="1059"/>
      <c r="L12" s="1059">
        <v>28</v>
      </c>
      <c r="M12" s="1059"/>
      <c r="N12" s="1059">
        <v>29</v>
      </c>
      <c r="O12" s="1059"/>
      <c r="P12" s="1059">
        <v>30</v>
      </c>
      <c r="Q12" s="1059"/>
      <c r="R12" s="1059">
        <v>31</v>
      </c>
      <c r="S12" s="1059"/>
      <c r="T12" s="1060"/>
      <c r="U12" s="1060"/>
      <c r="Z12" s="1058">
        <v>27</v>
      </c>
      <c r="AA12" s="1058"/>
      <c r="AB12" s="1059">
        <v>28</v>
      </c>
      <c r="AC12" s="1059"/>
      <c r="AD12" s="1059">
        <v>29</v>
      </c>
      <c r="AE12" s="1059"/>
      <c r="AF12" s="1059">
        <v>30</v>
      </c>
      <c r="AG12" s="1059"/>
      <c r="AH12" s="1059">
        <v>31</v>
      </c>
      <c r="AI12" s="1059"/>
      <c r="AJ12" s="1059"/>
      <c r="AK12" s="1059"/>
      <c r="AL12" s="1060"/>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256</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t="s">
        <v>248</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250</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252</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254</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2020</v>
      </c>
      <c r="S21" s="993"/>
      <c r="T21" s="993"/>
      <c r="U21" s="993"/>
      <c r="V21" s="993"/>
      <c r="W21" s="993"/>
      <c r="X21" s="993"/>
      <c r="Y21" s="993"/>
      <c r="Z21" s="993"/>
      <c r="AA21" s="993"/>
      <c r="AB21" s="993"/>
      <c r="AC21" s="993"/>
      <c r="AD21" s="995">
        <v>2021</v>
      </c>
      <c r="AE21" s="995"/>
      <c r="AF21" s="995"/>
      <c r="AG21" s="995"/>
      <c r="AH21" s="995"/>
      <c r="AI21" s="995"/>
      <c r="AJ21" s="995"/>
      <c r="AK21" s="995"/>
      <c r="AL21" s="995"/>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227</v>
      </c>
      <c r="S22" s="618" t="s">
        <v>230</v>
      </c>
      <c r="T22" s="618" t="s">
        <v>231</v>
      </c>
      <c r="U22" s="618" t="s">
        <v>232</v>
      </c>
      <c r="V22" s="618" t="s">
        <v>233</v>
      </c>
      <c r="W22" s="618" t="s">
        <v>234</v>
      </c>
      <c r="X22" s="618" t="s">
        <v>218</v>
      </c>
      <c r="Y22" s="618" t="s">
        <v>219</v>
      </c>
      <c r="Z22" s="618" t="s">
        <v>220</v>
      </c>
      <c r="AA22" s="618" t="s">
        <v>221</v>
      </c>
      <c r="AB22" s="618" t="s">
        <v>222</v>
      </c>
      <c r="AC22" s="1015" t="s">
        <v>223</v>
      </c>
      <c r="AD22" s="618" t="s">
        <v>227</v>
      </c>
      <c r="AE22" s="618" t="s">
        <v>230</v>
      </c>
      <c r="AF22" s="618" t="s">
        <v>231</v>
      </c>
      <c r="AG22" s="618" t="s">
        <v>232</v>
      </c>
      <c r="AH22" s="618" t="s">
        <v>233</v>
      </c>
      <c r="AI22" s="618" t="s">
        <v>234</v>
      </c>
      <c r="AJ22" s="618" t="s">
        <v>218</v>
      </c>
      <c r="AK22" s="618" t="s">
        <v>219</v>
      </c>
      <c r="AL22" s="618" t="s">
        <v>220</v>
      </c>
      <c r="AM22" s="618" t="s">
        <v>221</v>
      </c>
      <c r="AN22" s="618" t="s">
        <v>222</v>
      </c>
      <c r="AO22" s="1015" t="s">
        <v>223</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261</v>
      </c>
      <c r="F23" s="1016" t="s">
        <v>262</v>
      </c>
      <c r="G23" s="1016" t="s">
        <v>263</v>
      </c>
      <c r="H23" s="1017" t="s">
        <v>264</v>
      </c>
      <c r="I23" s="1017"/>
      <c r="J23" s="1017"/>
      <c r="K23" s="1017"/>
      <c r="L23" s="1017" t="s">
        <v>265</v>
      </c>
      <c r="M23" s="1017"/>
      <c r="N23" s="1017"/>
      <c r="O23" s="1017"/>
      <c r="P23" s="80"/>
      <c r="Q23" s="4"/>
      <c r="R23" s="1066" t="s">
        <v>305</v>
      </c>
      <c r="S23" s="1067" t="s">
        <v>305</v>
      </c>
      <c r="T23" s="1067" t="s">
        <v>305</v>
      </c>
      <c r="U23" s="1067" t="s">
        <v>267</v>
      </c>
      <c r="V23" s="1067" t="s">
        <v>267</v>
      </c>
      <c r="W23" s="1067" t="s">
        <v>305</v>
      </c>
      <c r="X23" s="1067" t="s">
        <v>305</v>
      </c>
      <c r="Y23" s="1067" t="s">
        <v>305</v>
      </c>
      <c r="Z23" s="1067" t="s">
        <v>305</v>
      </c>
      <c r="AA23" s="1067" t="s">
        <v>305</v>
      </c>
      <c r="AB23" s="1067" t="s">
        <v>305</v>
      </c>
      <c r="AC23" s="1067" t="s">
        <v>305</v>
      </c>
      <c r="AD23" s="1067" t="s">
        <v>305</v>
      </c>
      <c r="AE23" s="1067" t="s">
        <v>305</v>
      </c>
      <c r="AF23" s="1067" t="s">
        <v>305</v>
      </c>
      <c r="AG23" s="1067" t="s">
        <v>305</v>
      </c>
      <c r="AH23" s="1067" t="s">
        <v>305</v>
      </c>
      <c r="AI23" s="1067" t="s">
        <v>305</v>
      </c>
      <c r="AJ23" s="1067" t="s">
        <v>305</v>
      </c>
      <c r="AK23" s="1067" t="s">
        <v>305</v>
      </c>
      <c r="AL23" s="1067" t="s">
        <v>305</v>
      </c>
      <c r="AM23" s="1067" t="s">
        <v>305</v>
      </c>
      <c r="AN23" s="1067" t="s">
        <v>305</v>
      </c>
      <c r="AO23" s="1068" t="s">
        <v>305</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33931</v>
      </c>
      <c r="D24" s="1021" t="s">
        <v>268</v>
      </c>
      <c r="E24" s="1021" t="s">
        <v>261</v>
      </c>
      <c r="F24" s="1022" t="s">
        <v>269</v>
      </c>
      <c r="G24" s="1021" t="s">
        <v>270</v>
      </c>
      <c r="H24" s="1023" t="s">
        <v>271</v>
      </c>
      <c r="I24" s="1023"/>
      <c r="J24" s="1023"/>
      <c r="K24" s="1023"/>
      <c r="L24" s="1023" t="s">
        <v>272</v>
      </c>
      <c r="M24" s="1023"/>
      <c r="N24" s="1023"/>
      <c r="O24" s="1023"/>
      <c r="P24" s="80"/>
      <c r="Q24" s="4"/>
      <c r="R24" s="1069" t="s">
        <v>306</v>
      </c>
      <c r="S24" s="1070" t="s">
        <v>306</v>
      </c>
      <c r="T24" s="1070" t="s">
        <v>306</v>
      </c>
      <c r="U24" s="1070" t="s">
        <v>267</v>
      </c>
      <c r="V24" s="1070" t="s">
        <v>267</v>
      </c>
      <c r="W24" s="1070" t="s">
        <v>306</v>
      </c>
      <c r="X24" s="1070" t="s">
        <v>306</v>
      </c>
      <c r="Y24" s="1070" t="s">
        <v>306</v>
      </c>
      <c r="Z24" s="1070" t="s">
        <v>306</v>
      </c>
      <c r="AA24" s="1070" t="s">
        <v>306</v>
      </c>
      <c r="AB24" s="1070" t="s">
        <v>306</v>
      </c>
      <c r="AC24" s="1070" t="s">
        <v>306</v>
      </c>
      <c r="AD24" s="1070" t="s">
        <v>306</v>
      </c>
      <c r="AE24" s="1070" t="s">
        <v>306</v>
      </c>
      <c r="AF24" s="1070" t="s">
        <v>306</v>
      </c>
      <c r="AG24" s="1070" t="s">
        <v>305</v>
      </c>
      <c r="AH24" s="1070" t="s">
        <v>305</v>
      </c>
      <c r="AI24" s="1070" t="s">
        <v>305</v>
      </c>
      <c r="AJ24" s="1070" t="s">
        <v>305</v>
      </c>
      <c r="AK24" s="1070" t="s">
        <v>306</v>
      </c>
      <c r="AL24" s="1070" t="s">
        <v>306</v>
      </c>
      <c r="AM24" s="1070" t="s">
        <v>306</v>
      </c>
      <c r="AN24" s="1070" t="s">
        <v>267</v>
      </c>
      <c r="AO24" s="1071" t="s">
        <v>305</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34401</v>
      </c>
      <c r="D25" s="1016" t="s">
        <v>274</v>
      </c>
      <c r="E25" s="1016" t="s">
        <v>261</v>
      </c>
      <c r="F25" s="1027" t="s">
        <v>269</v>
      </c>
      <c r="G25" s="1016" t="s">
        <v>275</v>
      </c>
      <c r="H25" s="1017" t="s">
        <v>276</v>
      </c>
      <c r="I25" s="1017"/>
      <c r="J25" s="1017"/>
      <c r="K25" s="1017"/>
      <c r="L25" s="1017" t="s">
        <v>277</v>
      </c>
      <c r="M25" s="1017"/>
      <c r="N25" s="1017"/>
      <c r="O25" s="1017"/>
      <c r="P25" s="80"/>
      <c r="Q25" s="4"/>
      <c r="R25" s="1066" t="s">
        <v>305</v>
      </c>
      <c r="S25" s="1067" t="s">
        <v>305</v>
      </c>
      <c r="T25" s="1067" t="s">
        <v>305</v>
      </c>
      <c r="U25" s="1067" t="s">
        <v>267</v>
      </c>
      <c r="V25" s="1067" t="s">
        <v>267</v>
      </c>
      <c r="W25" s="1067" t="s">
        <v>267</v>
      </c>
      <c r="X25" s="1067" t="s">
        <v>267</v>
      </c>
      <c r="Y25" s="1067" t="s">
        <v>267</v>
      </c>
      <c r="Z25" s="1067" t="s">
        <v>267</v>
      </c>
      <c r="AA25" s="1067" t="s">
        <v>267</v>
      </c>
      <c r="AB25" s="1067" t="s">
        <v>267</v>
      </c>
      <c r="AC25" s="1067" t="s">
        <v>267</v>
      </c>
      <c r="AD25" s="1067" t="s">
        <v>305</v>
      </c>
      <c r="AE25" s="1067" t="s">
        <v>305</v>
      </c>
      <c r="AF25" s="1067" t="s">
        <v>305</v>
      </c>
      <c r="AG25" s="1067" t="s">
        <v>305</v>
      </c>
      <c r="AH25" s="1067" t="s">
        <v>305</v>
      </c>
      <c r="AI25" s="1067" t="s">
        <v>305</v>
      </c>
      <c r="AJ25" s="1067" t="s">
        <v>305</v>
      </c>
      <c r="AK25" s="1067" t="s">
        <v>305</v>
      </c>
      <c r="AL25" s="1067" t="s">
        <v>305</v>
      </c>
      <c r="AM25" s="1067" t="s">
        <v>305</v>
      </c>
      <c r="AN25" s="1067" t="s">
        <v>305</v>
      </c>
      <c r="AO25" s="1068" t="s">
        <v>305</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39070</v>
      </c>
      <c r="D26" s="1021" t="s">
        <v>278</v>
      </c>
      <c r="E26" s="1021" t="s">
        <v>261</v>
      </c>
      <c r="F26" s="1022" t="s">
        <v>269</v>
      </c>
      <c r="G26" s="1021" t="s">
        <v>279</v>
      </c>
      <c r="H26" s="1023" t="s">
        <v>280</v>
      </c>
      <c r="I26" s="1023"/>
      <c r="J26" s="1023"/>
      <c r="K26" s="1023"/>
      <c r="L26" s="1023" t="s">
        <v>281</v>
      </c>
      <c r="M26" s="1023"/>
      <c r="N26" s="1023"/>
      <c r="O26" s="1023"/>
      <c r="P26" s="80"/>
      <c r="Q26" s="4"/>
      <c r="R26" s="1069" t="s">
        <v>305</v>
      </c>
      <c r="S26" s="1070" t="s">
        <v>305</v>
      </c>
      <c r="T26" s="1070" t="s">
        <v>305</v>
      </c>
      <c r="U26" s="1070" t="s">
        <v>267</v>
      </c>
      <c r="V26" s="1070" t="s">
        <v>267</v>
      </c>
      <c r="W26" s="1070" t="s">
        <v>267</v>
      </c>
      <c r="X26" s="1070" t="s">
        <v>267</v>
      </c>
      <c r="Y26" s="1070" t="s">
        <v>267</v>
      </c>
      <c r="Z26" s="1070" t="s">
        <v>267</v>
      </c>
      <c r="AA26" s="1070" t="s">
        <v>267</v>
      </c>
      <c r="AB26" s="1070" t="s">
        <v>267</v>
      </c>
      <c r="AC26" s="1070" t="s">
        <v>267</v>
      </c>
      <c r="AD26" s="1070" t="s">
        <v>267</v>
      </c>
      <c r="AE26" s="1070" t="s">
        <v>267</v>
      </c>
      <c r="AF26" s="1070" t="s">
        <v>267</v>
      </c>
      <c r="AG26" s="1070" t="s">
        <v>267</v>
      </c>
      <c r="AH26" s="1070" t="s">
        <v>267</v>
      </c>
      <c r="AI26" s="1070" t="s">
        <v>267</v>
      </c>
      <c r="AJ26" s="1070" t="s">
        <v>267</v>
      </c>
      <c r="AK26" s="1070" t="s">
        <v>267</v>
      </c>
      <c r="AL26" s="1070" t="s">
        <v>267</v>
      </c>
      <c r="AM26" s="1070" t="s">
        <v>305</v>
      </c>
      <c r="AN26" s="1070" t="s">
        <v>305</v>
      </c>
      <c r="AO26" s="1071" t="s">
        <v>305</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44117</v>
      </c>
      <c r="D27" s="1016" t="s">
        <v>282</v>
      </c>
      <c r="E27" s="1016" t="s">
        <v>261</v>
      </c>
      <c r="F27" s="1027" t="s">
        <v>269</v>
      </c>
      <c r="G27" s="1016" t="s">
        <v>283</v>
      </c>
      <c r="H27" s="1017" t="s">
        <v>284</v>
      </c>
      <c r="I27" s="1017"/>
      <c r="J27" s="1017"/>
      <c r="K27" s="1017"/>
      <c r="L27" s="1017" t="s">
        <v>285</v>
      </c>
      <c r="M27" s="1017"/>
      <c r="N27" s="1017"/>
      <c r="O27" s="1017"/>
      <c r="P27" s="80"/>
      <c r="Q27" s="4"/>
      <c r="R27" s="1066" t="s">
        <v>305</v>
      </c>
      <c r="S27" s="1067" t="s">
        <v>305</v>
      </c>
      <c r="T27" s="1067" t="s">
        <v>305</v>
      </c>
      <c r="U27" s="1067" t="s">
        <v>267</v>
      </c>
      <c r="V27" s="1067" t="s">
        <v>267</v>
      </c>
      <c r="W27" s="1067" t="s">
        <v>267</v>
      </c>
      <c r="X27" s="1067" t="s">
        <v>267</v>
      </c>
      <c r="Y27" s="1067" t="s">
        <v>267</v>
      </c>
      <c r="Z27" s="1067" t="s">
        <v>267</v>
      </c>
      <c r="AA27" s="1067" t="s">
        <v>267</v>
      </c>
      <c r="AB27" s="1067" t="s">
        <v>267</v>
      </c>
      <c r="AC27" s="1067" t="s">
        <v>305</v>
      </c>
      <c r="AD27" s="1067" t="s">
        <v>305</v>
      </c>
      <c r="AE27" s="1067" t="s">
        <v>305</v>
      </c>
      <c r="AF27" s="1067" t="s">
        <v>305</v>
      </c>
      <c r="AG27" s="1067" t="s">
        <v>305</v>
      </c>
      <c r="AH27" s="1067" t="s">
        <v>305</v>
      </c>
      <c r="AI27" s="1067" t="s">
        <v>305</v>
      </c>
      <c r="AJ27" s="1067" t="s">
        <v>305</v>
      </c>
      <c r="AK27" s="1067" t="s">
        <v>305</v>
      </c>
      <c r="AL27" s="1067" t="s">
        <v>305</v>
      </c>
      <c r="AM27" s="1067" t="s">
        <v>305</v>
      </c>
      <c r="AN27" s="1067" t="s">
        <v>305</v>
      </c>
      <c r="AO27" s="1068" t="s">
        <v>305</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53909</v>
      </c>
      <c r="D28" s="1021" t="s">
        <v>286</v>
      </c>
      <c r="E28" s="1021" t="s">
        <v>261</v>
      </c>
      <c r="F28" s="1021" t="s">
        <v>287</v>
      </c>
      <c r="G28" s="1021" t="s">
        <v>288</v>
      </c>
      <c r="H28" s="1023" t="s">
        <v>289</v>
      </c>
      <c r="I28" s="1023"/>
      <c r="J28" s="1023"/>
      <c r="K28" s="1023"/>
      <c r="L28" s="1023" t="s">
        <v>290</v>
      </c>
      <c r="M28" s="1023"/>
      <c r="N28" s="1023"/>
      <c r="O28" s="1023"/>
      <c r="P28" s="80"/>
      <c r="Q28" s="4"/>
      <c r="R28" s="1069" t="s">
        <v>305</v>
      </c>
      <c r="S28" s="1070" t="s">
        <v>305</v>
      </c>
      <c r="T28" s="1070" t="s">
        <v>305</v>
      </c>
      <c r="U28" s="1070" t="s">
        <v>267</v>
      </c>
      <c r="V28" s="1070" t="s">
        <v>267</v>
      </c>
      <c r="W28" s="1070" t="s">
        <v>306</v>
      </c>
      <c r="X28" s="1070" t="s">
        <v>306</v>
      </c>
      <c r="Y28" s="1070" t="s">
        <v>306</v>
      </c>
      <c r="Z28" s="1070" t="s">
        <v>306</v>
      </c>
      <c r="AA28" s="1070" t="s">
        <v>306</v>
      </c>
      <c r="AB28" s="1070" t="s">
        <v>306</v>
      </c>
      <c r="AC28" s="1070" t="s">
        <v>306</v>
      </c>
      <c r="AD28" s="1070" t="s">
        <v>306</v>
      </c>
      <c r="AE28" s="1070" t="s">
        <v>306</v>
      </c>
      <c r="AF28" s="1070" t="s">
        <v>306</v>
      </c>
      <c r="AG28" s="1070" t="s">
        <v>306</v>
      </c>
      <c r="AH28" s="1070" t="s">
        <v>306</v>
      </c>
      <c r="AI28" s="1070" t="s">
        <v>306</v>
      </c>
      <c r="AJ28" s="1070" t="s">
        <v>306</v>
      </c>
      <c r="AK28" s="1070" t="s">
        <v>306</v>
      </c>
      <c r="AL28" s="1070" t="s">
        <v>306</v>
      </c>
      <c r="AM28" s="1070" t="s">
        <v>305</v>
      </c>
      <c r="AN28" s="1070" t="s">
        <v>305</v>
      </c>
      <c r="AO28" s="1071" t="s">
        <v>305</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997">
        <v>563</v>
      </c>
      <c r="I29" s="997"/>
      <c r="J29" s="997"/>
      <c r="K29" s="997"/>
      <c r="L29" s="1072"/>
      <c r="M29" s="1072"/>
      <c r="N29" s="1072"/>
      <c r="O29" s="1072"/>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996"/>
      <c r="I30" s="996"/>
      <c r="J30" s="996"/>
      <c r="K30" s="996"/>
      <c r="L30" s="1072"/>
      <c r="M30" s="1072"/>
      <c r="N30" s="1072"/>
      <c r="O30" s="1072"/>
      <c r="P30" s="80"/>
      <c r="Q30" s="4"/>
      <c r="R30" s="182"/>
      <c r="S30" s="182"/>
      <c r="T30" s="182"/>
      <c r="U30" s="182"/>
      <c r="V30" s="182"/>
      <c r="W30" s="182"/>
      <c r="X30" s="1028" t="s">
        <v>291</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6"/>
      <c r="I31" s="996"/>
      <c r="J31" s="996"/>
      <c r="K31" s="996"/>
      <c r="L31" s="1072"/>
      <c r="M31" s="1072"/>
      <c r="N31" s="1072"/>
      <c r="O31" s="1072"/>
      <c r="P31" s="80"/>
      <c r="Q31" s="4"/>
      <c r="R31" s="182"/>
      <c r="S31" s="182"/>
      <c r="T31" s="182"/>
      <c r="U31" s="182"/>
      <c r="V31" s="182"/>
      <c r="W31" s="182"/>
      <c r="X31" s="182"/>
      <c r="Y31" s="182"/>
      <c r="Z31" s="182"/>
      <c r="AA31" s="1073" t="s">
        <v>306</v>
      </c>
      <c r="AB31" s="1028" t="s">
        <v>307</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82"/>
      <c r="Y32" s="182"/>
      <c r="Z32" s="182"/>
      <c r="AA32" s="1073" t="s">
        <v>308</v>
      </c>
      <c r="AB32" s="1028" t="s">
        <v>309</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74" t="s">
        <v>305</v>
      </c>
      <c r="AB33" s="1028" t="s">
        <v>310</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AC21"/>
    <mergeCell ref="AD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0" t="s">
        <v>165</v>
      </c>
      <c r="C1" s="12"/>
      <c r="D1" s="12"/>
      <c r="E1" s="12"/>
      <c r="F1" s="12"/>
      <c r="G1" s="12"/>
      <c r="H1" s="12"/>
      <c r="I1" s="104"/>
      <c r="J1" s="12"/>
      <c r="K1" s="12"/>
      <c r="L1" s="12"/>
      <c r="M1" s="13"/>
      <c r="N1" s="51"/>
      <c r="O1" s="2"/>
      <c r="P1" s="2"/>
      <c r="Q1" s="2"/>
      <c r="R1" s="22"/>
      <c r="S1" s="51"/>
      <c r="T1" s="2"/>
      <c r="U1" s="2"/>
      <c r="V1" s="236"/>
    </row>
    <row r="2" ht="21.75" customHeight="1">
      <c r="B2" s="999" t="s">
        <v>208</v>
      </c>
      <c r="C2" s="999"/>
      <c r="D2" s="999"/>
      <c r="E2" s="999"/>
      <c r="F2" s="999"/>
      <c r="G2" s="999"/>
      <c r="H2" s="999"/>
      <c r="I2" s="999"/>
      <c r="J2" s="999"/>
      <c r="K2" s="999"/>
      <c r="L2" s="999"/>
      <c r="M2" s="999"/>
      <c r="N2" s="999"/>
      <c r="O2" s="999"/>
      <c r="P2" s="999"/>
      <c r="Q2" s="999"/>
      <c r="R2" s="999"/>
      <c r="S2" s="999"/>
      <c r="T2" s="2"/>
      <c r="U2" s="2"/>
    </row>
    <row r="3" ht="19.5" customHeight="1">
      <c r="A3"/>
      <c r="B3" s="1030" t="s">
        <v>209</v>
      </c>
      <c r="C3" s="1030"/>
      <c r="D3" s="1030"/>
      <c r="E3" s="1030"/>
      <c r="F3" s="1030"/>
      <c r="G3" s="1030"/>
      <c r="H3" s="1030"/>
      <c r="I3" s="1030"/>
      <c r="J3" s="1030"/>
      <c r="K3" s="1030"/>
      <c r="L3" s="1030"/>
      <c r="M3" s="1030"/>
      <c r="N3" s="1030"/>
      <c r="O3" s="1030"/>
      <c r="P3" s="1030"/>
      <c r="Q3" s="1030"/>
      <c r="R3" s="1030"/>
      <c r="S3" s="1030"/>
      <c r="T3" s="2"/>
      <c r="U3" s="2"/>
    </row>
    <row r="4" ht="18.75" customHeight="1">
      <c r="A4"/>
      <c r="B4" s="1076" t="s">
        <v>210</v>
      </c>
      <c r="C4" s="1076"/>
      <c r="D4" s="1076"/>
      <c r="E4" s="1076"/>
      <c r="F4" s="1076"/>
      <c r="G4" s="1076"/>
      <c r="H4" s="1076"/>
      <c r="I4" s="1076"/>
      <c r="J4" s="1076"/>
      <c r="K4" s="1076"/>
      <c r="L4" s="1076"/>
      <c r="M4" s="1076"/>
      <c r="N4" s="1076"/>
      <c r="O4" s="1076"/>
      <c r="P4" s="1076"/>
      <c r="Q4" s="131"/>
      <c r="R4" s="203"/>
      <c r="S4" s="131"/>
      <c r="T4" s="222"/>
      <c r="U4" s="2"/>
    </row>
    <row r="5" ht="12" customHeight="1">
      <c r="A5"/>
      <c r="B5" s="129"/>
      <c r="D5" s="13"/>
      <c r="E5" s="13"/>
      <c r="F5" s="2"/>
      <c r="G5" s="2"/>
      <c r="H5" s="2"/>
      <c r="I5" s="2"/>
      <c r="J5" s="2"/>
      <c r="K5" s="2"/>
      <c r="L5" s="2"/>
      <c r="M5" s="2"/>
      <c r="N5" s="9"/>
      <c r="O5" s="2"/>
      <c r="P5" s="2"/>
      <c r="Q5" s="2"/>
      <c r="R5" s="2"/>
      <c r="S5" s="2"/>
      <c r="T5" s="2"/>
      <c r="U5" s="2"/>
    </row>
    <row r="6" ht="17.1" customHeight="1">
      <c r="B6" s="1077" t="s">
        <v>211</v>
      </c>
      <c r="C6" s="1077"/>
      <c r="D6" s="1077"/>
      <c r="E6" s="1077"/>
      <c r="F6" s="1077"/>
      <c r="G6" s="1077"/>
      <c r="H6" s="1077"/>
      <c r="I6" s="1077"/>
      <c r="J6" s="1077"/>
      <c r="K6" s="1077"/>
      <c r="L6" s="1077"/>
      <c r="M6" s="1077"/>
      <c r="N6" s="1077"/>
      <c r="O6" s="1077"/>
      <c r="P6" s="1077"/>
      <c r="Q6" s="1077"/>
      <c r="R6" s="1077"/>
      <c r="S6" s="1077"/>
      <c r="T6" s="1077"/>
      <c r="U6" s="2"/>
    </row>
    <row r="7">
      <c r="B7" s="2"/>
      <c r="C7" s="2"/>
      <c r="D7" s="2"/>
      <c r="E7" s="2"/>
      <c r="F7" s="1032" t="s">
        <v>22</v>
      </c>
      <c r="G7" s="1032"/>
      <c r="H7" s="1032"/>
      <c r="I7" s="1032"/>
      <c r="J7" s="1032"/>
      <c r="K7" s="1032" t="s">
        <v>9</v>
      </c>
      <c r="L7" s="1032"/>
      <c r="M7" s="1032"/>
      <c r="N7" s="1032"/>
      <c r="O7" s="1032"/>
      <c r="P7" s="1032" t="s">
        <v>10</v>
      </c>
      <c r="Q7" s="1032"/>
      <c r="R7" s="1032"/>
      <c r="S7" s="1032"/>
      <c r="T7" s="1032"/>
      <c r="U7" s="2"/>
    </row>
    <row r="8" ht="20.1" customHeight="1">
      <c r="B8" s="2"/>
      <c r="C8" s="2"/>
      <c r="D8" s="2"/>
      <c r="E8" s="2"/>
      <c r="F8" s="1032"/>
      <c r="G8" s="1032"/>
      <c r="H8" s="1032"/>
      <c r="I8" s="1032"/>
      <c r="J8" s="1032"/>
      <c r="K8" s="1032"/>
      <c r="L8" s="1032"/>
      <c r="M8" s="1032"/>
      <c r="N8" s="1032"/>
      <c r="O8" s="1032"/>
      <c r="P8" s="1032"/>
      <c r="Q8" s="1032"/>
      <c r="R8" s="1032"/>
      <c r="S8" s="1032"/>
      <c r="T8" s="1032"/>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93.62170087976539589442815249</v>
      </c>
      <c r="H11" s="193">
        <v>73.314247737845713409334901080</v>
      </c>
      <c r="I11" s="193">
        <v>127.69919049641523667044899873</v>
      </c>
      <c r="J11" s="194"/>
      <c r="K11" s="194"/>
      <c r="L11" s="195">
        <v>336.98538240668232837379274341</v>
      </c>
      <c r="M11" s="195">
        <v>348.91318597029495851056411687</v>
      </c>
      <c r="N11" s="193">
        <v>96.58144087319528401436522053</v>
      </c>
      <c r="O11" s="194"/>
      <c r="P11" s="193"/>
      <c r="Q11" s="195">
        <v>315.4914467253176930596285435</v>
      </c>
      <c r="R11" s="195">
        <v>255.8030775522723787127447472</v>
      </c>
      <c r="S11" s="193">
        <v>123.33371816484429309494600344</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58</v>
      </c>
      <c r="E13" s="188"/>
      <c r="F13" s="169"/>
      <c r="G13" s="196">
        <v>83.37069323370693233706932337</v>
      </c>
      <c r="H13" s="196">
        <v>70.801289059157928759518218890</v>
      </c>
      <c r="I13" s="196">
        <v>117.75307249568105122765559405</v>
      </c>
      <c r="J13" s="197"/>
      <c r="K13" s="197"/>
      <c r="L13" s="198">
        <v>233.74962656841266679944234216</v>
      </c>
      <c r="M13" s="198">
        <v>244.13632952012674883858320578</v>
      </c>
      <c r="N13" s="196">
        <v>95.74553161664626571965958626</v>
      </c>
      <c r="O13" s="197"/>
      <c r="P13" s="196"/>
      <c r="Q13" s="198">
        <v>194.87868410128684101286841013</v>
      </c>
      <c r="R13" s="198">
        <v>172.85166836196324850512866826</v>
      </c>
      <c r="S13" s="196">
        <v>112.74330525592469887908163041</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83.77799736495388669301712780</v>
      </c>
      <c r="H15" s="193">
        <v>67.480879211741197547026803550</v>
      </c>
      <c r="I15" s="193">
        <v>124.15071994257168096959795536</v>
      </c>
      <c r="J15" s="194"/>
      <c r="K15" s="194"/>
      <c r="L15" s="195">
        <v>257.99361116571653233733045017</v>
      </c>
      <c r="M15" s="195">
        <v>267.75945269821820595292796244</v>
      </c>
      <c r="N15" s="193">
        <v>96.35275564164362366189700652</v>
      </c>
      <c r="O15" s="194"/>
      <c r="P15" s="193"/>
      <c r="Q15" s="195">
        <v>216.14188076416337285902503294</v>
      </c>
      <c r="R15" s="195">
        <v>180.68643285330393440363811755</v>
      </c>
      <c r="S15" s="193">
        <v>119.62263981360741070586869443</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83.37069323370693233706932337</v>
      </c>
      <c r="H17" s="196">
        <v>70.801289059157928759518218890</v>
      </c>
      <c r="I17" s="196">
        <v>117.75307249568105122765559405</v>
      </c>
      <c r="J17" s="197"/>
      <c r="K17" s="197"/>
      <c r="L17" s="198">
        <v>233.74962656841266679944234216</v>
      </c>
      <c r="M17" s="198">
        <v>244.13632952012674883858320578</v>
      </c>
      <c r="N17" s="196">
        <v>95.74553161664626571965958626</v>
      </c>
      <c r="O17" s="197"/>
      <c r="P17" s="196"/>
      <c r="Q17" s="198">
        <v>194.87868410128684101286841013</v>
      </c>
      <c r="R17" s="198">
        <v>172.85166836196324850512866826</v>
      </c>
      <c r="S17" s="196">
        <v>112.74330525592469887908163041</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1077" t="s">
        <v>212</v>
      </c>
      <c r="C20" s="1077"/>
      <c r="D20" s="1077"/>
      <c r="E20" s="1077"/>
      <c r="F20" s="1077"/>
      <c r="G20" s="1077"/>
      <c r="H20" s="1077"/>
      <c r="I20" s="1077"/>
      <c r="J20" s="1077"/>
      <c r="K20" s="1077"/>
      <c r="L20" s="1077"/>
      <c r="M20" s="1077"/>
      <c r="N20" s="1077"/>
      <c r="O20" s="1077"/>
      <c r="P20" s="1077"/>
      <c r="Q20" s="1077"/>
      <c r="R20" s="1077"/>
      <c r="S20" s="1077"/>
      <c r="T20" s="1077"/>
      <c r="U20" s="2"/>
    </row>
    <row r="21">
      <c r="B21" s="2"/>
      <c r="C21" s="2"/>
      <c r="D21" s="2"/>
      <c r="E21" s="2"/>
      <c r="F21" s="1032" t="s">
        <v>72</v>
      </c>
      <c r="G21" s="1032"/>
      <c r="H21" s="1032"/>
      <c r="I21" s="1032"/>
      <c r="J21" s="1032"/>
      <c r="K21" s="1032" t="s">
        <v>9</v>
      </c>
      <c r="L21" s="1032"/>
      <c r="M21" s="1032"/>
      <c r="N21" s="1032"/>
      <c r="O21" s="1032"/>
      <c r="P21" s="1032" t="s">
        <v>10</v>
      </c>
      <c r="Q21" s="1032"/>
      <c r="R21" s="1032"/>
      <c r="S21" s="1032"/>
      <c r="T21" s="1032"/>
      <c r="U21" s="2"/>
    </row>
    <row r="22" ht="20.1" customHeight="1">
      <c r="B22" s="2"/>
      <c r="C22" s="2"/>
      <c r="D22" s="2"/>
      <c r="E22" s="2"/>
      <c r="F22" s="1032"/>
      <c r="G22" s="1032"/>
      <c r="H22" s="1032"/>
      <c r="I22" s="1032"/>
      <c r="J22" s="1032"/>
      <c r="K22" s="1032"/>
      <c r="L22" s="1032"/>
      <c r="M22" s="1032"/>
      <c r="N22" s="1032"/>
      <c r="O22" s="1032"/>
      <c r="P22" s="1032"/>
      <c r="Q22" s="1032"/>
      <c r="R22" s="1032"/>
      <c r="S22" s="1032"/>
      <c r="T22" s="1032"/>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30.617115581374664890591574850</v>
      </c>
      <c r="H25" s="193">
        <v>10.070613795149851325484725810</v>
      </c>
      <c r="I25" s="193">
        <v>18.666655047880945941740962210</v>
      </c>
      <c r="J25" s="193"/>
      <c r="K25" s="193"/>
      <c r="L25" s="193">
        <v>103.97519524991013283641442340</v>
      </c>
      <c r="M25" s="193">
        <v>96.1496906260328225603953300</v>
      </c>
      <c r="N25" s="193">
        <v>3.989557464414089393865880400</v>
      </c>
      <c r="O25" s="193"/>
      <c r="P25" s="193"/>
      <c r="Q25" s="193">
        <v>166.42651653680275745749143577</v>
      </c>
      <c r="R25" s="193">
        <v>115.90316842936280909928418534</v>
      </c>
      <c r="S25" s="193">
        <v>23.400929442111377551893050360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58</v>
      </c>
      <c r="E27" s="188"/>
      <c r="F27" s="169"/>
      <c r="G27" s="196">
        <v>68.982737229314182152003445530</v>
      </c>
      <c r="H27" s="196">
        <v>29.346316110586173851607442170</v>
      </c>
      <c r="I27" s="196">
        <v>30.643641280909509710115831130</v>
      </c>
      <c r="J27" s="196"/>
      <c r="K27" s="196"/>
      <c r="L27" s="196">
        <v>13.672018464972760852009297750</v>
      </c>
      <c r="M27" s="196">
        <v>9.386984664219878367191158250</v>
      </c>
      <c r="N27" s="196">
        <v>3.9173159530509375784403648800</v>
      </c>
      <c r="O27" s="196"/>
      <c r="P27" s="196"/>
      <c r="Q27" s="196">
        <v>92.08608826616171883247526863</v>
      </c>
      <c r="R27" s="196">
        <v>41.488034967626444563805500030</v>
      </c>
      <c r="S27" s="196">
        <v>35.761365482319995153541911790</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42.273807859057565122229685470</v>
      </c>
      <c r="H29" s="193">
        <v>17.333712187037057035376605830</v>
      </c>
      <c r="I29" s="193">
        <v>21.255694724963503980509873290</v>
      </c>
      <c r="J29" s="193"/>
      <c r="K29" s="193"/>
      <c r="L29" s="193">
        <v>84.10093735740892845007746608</v>
      </c>
      <c r="M29" s="193">
        <v>82.12882871332022514184467911</v>
      </c>
      <c r="N29" s="193">
        <v>1.082809711155951493133465500</v>
      </c>
      <c r="O29" s="193"/>
      <c r="P29" s="193"/>
      <c r="Q29" s="193">
        <v>161.92741388272703239124683003</v>
      </c>
      <c r="R29" s="193">
        <v>113.69851569212630121327480823</v>
      </c>
      <c r="S29" s="193">
        <v>22.568663162730178111000366410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68.982737229314182152003445530</v>
      </c>
      <c r="H31" s="196">
        <v>29.346316110586173851607442170</v>
      </c>
      <c r="I31" s="196">
        <v>30.643641280909509710115831130</v>
      </c>
      <c r="J31" s="196"/>
      <c r="K31" s="196"/>
      <c r="L31" s="196">
        <v>13.672018464972760852009297750</v>
      </c>
      <c r="M31" s="196">
        <v>9.386984664219878367191158250</v>
      </c>
      <c r="N31" s="196">
        <v>3.9173159530509375784403648800</v>
      </c>
      <c r="O31" s="196"/>
      <c r="P31" s="196"/>
      <c r="Q31" s="196">
        <v>92.08608826616171883247526863</v>
      </c>
      <c r="R31" s="196">
        <v>41.488034967626444563805500030</v>
      </c>
      <c r="S31" s="196">
        <v>35.761365482319995153541911790</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39.95" customHeight="1">
      <c r="B34" s="1034" t="s">
        <v>126</v>
      </c>
      <c r="C34" s="1034"/>
      <c r="D34" s="1034"/>
      <c r="E34" s="1034"/>
      <c r="F34" s="1034"/>
      <c r="G34" s="1034"/>
      <c r="H34" s="1034"/>
      <c r="I34" s="1034"/>
      <c r="J34" s="1034"/>
      <c r="K34" s="1034"/>
      <c r="L34" s="1034"/>
      <c r="M34" s="1034"/>
      <c r="N34" s="1034"/>
      <c r="O34" s="1034"/>
      <c r="P34" s="1034"/>
      <c r="Q34" s="1034"/>
      <c r="R34" s="1034"/>
      <c r="S34" s="1034"/>
      <c r="T34" s="1034"/>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7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167</v>
      </c>
      <c r="E1" s="12"/>
      <c r="F1" s="12"/>
      <c r="G1" s="12"/>
      <c r="H1" s="12"/>
      <c r="I1" s="12"/>
      <c r="J1" s="12"/>
      <c r="K1" s="12"/>
      <c r="L1" s="12"/>
      <c r="M1" s="12"/>
      <c r="N1" s="12"/>
      <c r="O1" s="12"/>
      <c r="Q1" s="231"/>
      <c r="R1" s="2"/>
      <c r="S1" s="2"/>
      <c r="T1" s="2"/>
      <c r="U1" s="2"/>
      <c r="V1" s="236"/>
    </row>
    <row r="2" ht="18" customHeight="1">
      <c r="B2" s="1078" t="s">
        <v>208</v>
      </c>
      <c r="C2" s="1078"/>
      <c r="D2" s="1078"/>
      <c r="E2" s="1078"/>
      <c r="F2" s="1078"/>
      <c r="G2" s="1078"/>
      <c r="H2" s="1078"/>
      <c r="I2" s="1078"/>
      <c r="J2" s="1078"/>
      <c r="K2" s="1078"/>
      <c r="L2" s="1078"/>
      <c r="M2" s="1078"/>
      <c r="N2" s="1078"/>
      <c r="O2" s="1078"/>
      <c r="P2" s="1078"/>
      <c r="Q2" s="1078"/>
      <c r="R2" s="1078"/>
      <c r="S2" s="1078"/>
      <c r="T2" s="1078"/>
      <c r="U2" s="2"/>
    </row>
    <row r="3" ht="18" customHeight="1">
      <c r="B3" s="1079" t="s">
        <v>209</v>
      </c>
      <c r="C3" s="1079"/>
      <c r="D3" s="1079"/>
      <c r="E3" s="1079"/>
      <c r="F3" s="1079"/>
      <c r="G3" s="1079"/>
      <c r="H3" s="1079"/>
      <c r="I3" s="1079"/>
      <c r="J3" s="1079"/>
      <c r="K3" s="1079"/>
      <c r="L3" s="1079"/>
      <c r="M3" s="1079"/>
      <c r="N3" s="1079"/>
      <c r="O3" s="1079"/>
      <c r="P3" s="1079"/>
      <c r="Q3" s="1079"/>
      <c r="R3" s="1079"/>
      <c r="S3" s="1079"/>
      <c r="T3" s="1079"/>
      <c r="U3" s="2"/>
    </row>
    <row r="4" ht="18" customHeight="1">
      <c r="B4" s="1079" t="s">
        <v>210</v>
      </c>
      <c r="C4" s="1079"/>
      <c r="D4" s="1079"/>
      <c r="E4" s="1079"/>
      <c r="F4" s="1079"/>
      <c r="G4" s="1079"/>
      <c r="H4" s="1079"/>
      <c r="I4" s="1079"/>
      <c r="J4" s="1079"/>
      <c r="K4" s="1079"/>
      <c r="L4" s="1079"/>
      <c r="M4" s="1079"/>
      <c r="N4" s="1079"/>
      <c r="O4" s="1079"/>
      <c r="P4" s="1079"/>
      <c r="Q4" s="1079"/>
      <c r="R4" s="1079"/>
      <c r="S4" s="1079"/>
      <c r="T4" s="1079"/>
      <c r="U4" s="2"/>
    </row>
    <row r="5" s="122" customFormat="1" ht="21" customHeight="1">
      <c r="B5" s="1080"/>
      <c r="C5" s="1080"/>
      <c r="D5" s="163"/>
      <c r="E5" s="942" t="s">
        <v>22</v>
      </c>
      <c r="F5" s="942"/>
      <c r="G5" s="942"/>
      <c r="H5" s="942"/>
      <c r="I5" s="942"/>
      <c r="J5" s="942"/>
      <c r="K5" s="942"/>
      <c r="L5" s="942"/>
      <c r="M5" s="537"/>
      <c r="N5" s="1081" t="s">
        <v>28</v>
      </c>
      <c r="O5" s="1081"/>
      <c r="P5" s="1081"/>
      <c r="Q5" s="1081"/>
      <c r="R5" s="1081"/>
      <c r="S5" s="1081"/>
      <c r="T5" s="1081"/>
      <c r="V5" s="236"/>
      <c r="W5" s="236"/>
      <c r="X5" s="236"/>
      <c r="Y5" s="236"/>
      <c r="Z5" s="236"/>
      <c r="AA5" s="236"/>
      <c r="AB5" s="236"/>
      <c r="AC5" s="236"/>
      <c r="AD5" s="236"/>
      <c r="AE5" s="236"/>
      <c r="AF5" s="236"/>
      <c r="AG5" s="236"/>
      <c r="AH5" s="236"/>
      <c r="AI5" s="236"/>
    </row>
    <row r="6" s="122" customFormat="1" ht="15.75" customHeight="1">
      <c r="B6" s="1082"/>
      <c r="C6" s="1082"/>
      <c r="D6" s="163"/>
      <c r="E6" s="940" t="s">
        <v>42</v>
      </c>
      <c r="F6" s="1083" t="s">
        <v>24</v>
      </c>
      <c r="G6" s="943" t="s">
        <v>37</v>
      </c>
      <c r="H6" s="1084" t="s">
        <v>24</v>
      </c>
      <c r="I6" s="943" t="s">
        <v>44</v>
      </c>
      <c r="J6" s="1083" t="s">
        <v>24</v>
      </c>
      <c r="K6" s="943" t="s">
        <v>45</v>
      </c>
      <c r="L6" s="1083" t="s">
        <v>24</v>
      </c>
      <c r="M6" s="538"/>
      <c r="N6" s="1083" t="s">
        <v>63</v>
      </c>
      <c r="O6" s="944" t="s">
        <v>64</v>
      </c>
      <c r="P6" s="944"/>
      <c r="Q6" s="944" t="s">
        <v>65</v>
      </c>
      <c r="R6" s="944"/>
      <c r="S6" s="944" t="s">
        <v>66</v>
      </c>
      <c r="T6" s="944"/>
      <c r="V6" s="236"/>
      <c r="W6" s="236"/>
      <c r="X6" s="236"/>
      <c r="Y6" s="236"/>
      <c r="Z6" s="236"/>
      <c r="AA6" s="236"/>
      <c r="AB6" s="236"/>
      <c r="AC6" s="236"/>
      <c r="AD6" s="236"/>
      <c r="AE6" s="236"/>
      <c r="AF6" s="236"/>
      <c r="AG6" s="236"/>
      <c r="AH6" s="236"/>
      <c r="AI6" s="236"/>
    </row>
    <row r="7" s="122" customFormat="1" ht="24" customHeight="1">
      <c r="B7" s="1085"/>
      <c r="C7" s="1085"/>
      <c r="D7" s="163"/>
      <c r="E7" s="940"/>
      <c r="F7" s="1083"/>
      <c r="G7" s="943"/>
      <c r="H7" s="1084"/>
      <c r="I7" s="943"/>
      <c r="J7" s="1083"/>
      <c r="K7" s="943"/>
      <c r="L7" s="1083"/>
      <c r="M7" s="539"/>
      <c r="N7" s="1083"/>
      <c r="O7" s="944"/>
      <c r="P7" s="944"/>
      <c r="Q7" s="944"/>
      <c r="R7" s="944"/>
      <c r="S7" s="944"/>
      <c r="T7" s="944"/>
      <c r="V7" s="236"/>
      <c r="W7" s="236"/>
      <c r="X7" s="236"/>
      <c r="Y7" s="236"/>
      <c r="Z7" s="236"/>
      <c r="AA7" s="236"/>
      <c r="AB7" s="236"/>
      <c r="AC7" s="236"/>
      <c r="AD7" s="236"/>
      <c r="AE7" s="236"/>
      <c r="AF7" s="236"/>
      <c r="AG7" s="236"/>
      <c r="AH7" s="236"/>
      <c r="AI7" s="236"/>
    </row>
    <row r="8" ht="20.1" customHeight="1">
      <c r="B8" s="1086" t="s">
        <v>213</v>
      </c>
      <c r="C8" s="1086"/>
      <c r="D8" s="345"/>
      <c r="E8" s="238">
        <v>93.62170087976539589442815249</v>
      </c>
      <c r="F8" s="239">
        <v>30.617115581374664890591574850</v>
      </c>
      <c r="G8" s="238">
        <v>83.37069323370693233706932337</v>
      </c>
      <c r="H8" s="239">
        <v>68.982737229314182152003445530</v>
      </c>
      <c r="I8" s="238">
        <v>83.77799736495388669301712780</v>
      </c>
      <c r="J8" s="239">
        <v>42.273807859057565122229685470</v>
      </c>
      <c r="K8" s="238">
        <v>83.37069323370693233706932337</v>
      </c>
      <c r="L8" s="239">
        <v>68.982737229314182152003445530</v>
      </c>
      <c r="M8" s="540"/>
      <c r="N8" s="156">
        <v>0</v>
      </c>
      <c r="O8" s="156"/>
      <c r="P8" s="156">
        <v>19.672131147540983606557377050</v>
      </c>
      <c r="Q8" s="156"/>
      <c r="R8" s="156">
        <v>0</v>
      </c>
      <c r="S8" s="156"/>
      <c r="T8" s="243">
        <v>19.672131147540983606557377050</v>
      </c>
    </row>
    <row r="9" ht="20.1" customHeight="1">
      <c r="B9" s="1087" t="s">
        <v>214</v>
      </c>
      <c r="C9" s="1087"/>
      <c r="D9" s="345"/>
      <c r="E9" s="240">
        <v>74.708293816485812938534366310</v>
      </c>
      <c r="F9" s="241">
        <v>54.042555494066290218016773710</v>
      </c>
      <c r="G9" s="240">
        <v>66.781767446194064012800888760</v>
      </c>
      <c r="H9" s="241">
        <v>44.212497657387396185826177870</v>
      </c>
      <c r="I9" s="240">
        <v>68.764425893634059842541522650</v>
      </c>
      <c r="J9" s="241">
        <v>53.621227053271481463436398820</v>
      </c>
      <c r="K9" s="240">
        <v>66.781767446194064012800888760</v>
      </c>
      <c r="L9" s="241">
        <v>44.212497657387396185826177870</v>
      </c>
      <c r="M9" s="540"/>
      <c r="N9" s="121">
        <v>7.01625947050310717630033200</v>
      </c>
      <c r="O9" s="121"/>
      <c r="P9" s="121">
        <v>19.800743378016428446470951460</v>
      </c>
      <c r="Q9" s="121"/>
      <c r="R9" s="121">
        <v>9.047922648736036902630261280</v>
      </c>
      <c r="S9" s="121"/>
      <c r="T9" s="241">
        <v>19.800743378016428446470951460</v>
      </c>
    </row>
    <row r="10" ht="20.1" customHeight="1">
      <c r="B10" s="1088" t="s">
        <v>215</v>
      </c>
      <c r="C10" s="1088"/>
      <c r="D10" s="345"/>
      <c r="E10" s="242">
        <v>73.795343565648429001643626230</v>
      </c>
      <c r="F10" s="243">
        <v>63.125017187468886595624284880</v>
      </c>
      <c r="G10" s="242">
        <v>64.353895382555680267299907380</v>
      </c>
      <c r="H10" s="243">
        <v>49.560179593553839067880656100</v>
      </c>
      <c r="I10" s="242">
        <v>66.491365432460120005853944090</v>
      </c>
      <c r="J10" s="243">
        <v>68.051374156332213950057110890</v>
      </c>
      <c r="K10" s="242">
        <v>64.353895382555680267299907380</v>
      </c>
      <c r="L10" s="243">
        <v>49.560179593553839067880656100</v>
      </c>
      <c r="M10" s="540"/>
      <c r="N10" s="156">
        <v>12.561557693764679142359269640</v>
      </c>
      <c r="O10" s="156"/>
      <c r="P10" s="156">
        <v>29.020397445926467142908197100</v>
      </c>
      <c r="Q10" s="156"/>
      <c r="R10" s="156">
        <v>14.722047099335391155506045450</v>
      </c>
      <c r="S10" s="156"/>
      <c r="T10" s="243">
        <v>29.020397445926467142908197100</v>
      </c>
    </row>
    <row r="11" ht="20.1" customHeight="1">
      <c r="B11" s="1087" t="s">
        <v>216</v>
      </c>
      <c r="C11" s="1087"/>
      <c r="D11" s="345"/>
      <c r="E11" s="240">
        <v>70.574304018577446395685767420</v>
      </c>
      <c r="F11" s="241">
        <v>44.309003170793913943171637610</v>
      </c>
      <c r="G11" s="240">
        <v>64.443823244040821164140769390</v>
      </c>
      <c r="H11" s="241">
        <v>42.575974905406884972158350280</v>
      </c>
      <c r="I11" s="240">
        <v>63.572959421459968086046394780</v>
      </c>
      <c r="J11" s="241">
        <v>49.768651802933267594016701690</v>
      </c>
      <c r="K11" s="240">
        <v>64.443823244040821164140769390</v>
      </c>
      <c r="L11" s="241">
        <v>42.575974905406884972158350280</v>
      </c>
      <c r="M11" s="540"/>
      <c r="N11" s="121">
        <v>11.756870754340007991830573190</v>
      </c>
      <c r="O11" s="121"/>
      <c r="P11" s="121">
        <v>35.280544057865534896540509530</v>
      </c>
      <c r="Q11" s="121"/>
      <c r="R11" s="121">
        <v>13.959847889526412017201277850</v>
      </c>
      <c r="S11" s="121"/>
      <c r="T11" s="241">
        <v>35.280544057865534896540509530</v>
      </c>
    </row>
    <row r="12" ht="20.1" customHeight="1">
      <c r="B12" s="1088" t="s">
        <v>217</v>
      </c>
      <c r="C12" s="1088"/>
      <c r="D12" s="345"/>
      <c r="E12" s="242">
        <v>75.352567245154753734026211720</v>
      </c>
      <c r="F12" s="243">
        <v>39.026312997167599649570188220</v>
      </c>
      <c r="G12" s="242">
        <v>66.471631515796028167338900100</v>
      </c>
      <c r="H12" s="243">
        <v>45.556962517698278772455113670</v>
      </c>
      <c r="I12" s="242">
        <v>67.409714532230187756403034660</v>
      </c>
      <c r="J12" s="243">
        <v>45.126622848024519395105841480</v>
      </c>
      <c r="K12" s="242">
        <v>66.471631515796028167338900100</v>
      </c>
      <c r="L12" s="243">
        <v>45.556962517698278772455113670</v>
      </c>
      <c r="M12" s="540"/>
      <c r="N12" s="156">
        <v>4.6798356091740686729418003400</v>
      </c>
      <c r="O12" s="156"/>
      <c r="P12" s="156">
        <v>28.430074947457707835203650240</v>
      </c>
      <c r="Q12" s="156"/>
      <c r="R12" s="156">
        <v>6.5657608273927436227421732800</v>
      </c>
      <c r="S12" s="156"/>
      <c r="T12" s="243">
        <v>28.430074947457707835203650240</v>
      </c>
    </row>
    <row r="13" ht="20.1" customHeight="1">
      <c r="B13" s="1089" t="s">
        <v>74</v>
      </c>
      <c r="C13" s="1089"/>
      <c r="D13" s="345"/>
      <c r="E13" s="244">
        <v>73.314247737845713409334901080</v>
      </c>
      <c r="F13" s="245">
        <v>10.070613795149851325484725810</v>
      </c>
      <c r="G13" s="244">
        <v>70.801289059157928759518218890</v>
      </c>
      <c r="H13" s="245">
        <v>29.346316110586173851607442170</v>
      </c>
      <c r="I13" s="244">
        <v>67.480879211741197547026803550</v>
      </c>
      <c r="J13" s="245">
        <v>17.333712187037057035376605830</v>
      </c>
      <c r="K13" s="244">
        <v>70.801289059157928759518218890</v>
      </c>
      <c r="L13" s="245">
        <v>29.346316110586173851607442170</v>
      </c>
      <c r="M13" s="540"/>
      <c r="N13" s="250">
        <v>30.641821946169772256728778470</v>
      </c>
      <c r="O13" s="250"/>
      <c r="P13" s="250">
        <v>39.372780751497164661614287990</v>
      </c>
      <c r="Q13" s="250"/>
      <c r="R13" s="250">
        <v>30.641821946169772256728778470</v>
      </c>
      <c r="S13" s="250"/>
      <c r="T13" s="245">
        <v>39.372780751497164661614287990</v>
      </c>
    </row>
    <row r="14" ht="9.95" customHeight="1">
      <c r="B14" s="4"/>
      <c r="C14" s="4"/>
      <c r="D14" s="4"/>
      <c r="E14" s="535"/>
      <c r="F14" s="535"/>
      <c r="G14" s="535"/>
      <c r="H14" s="535"/>
      <c r="I14" s="535"/>
      <c r="J14" s="535"/>
      <c r="K14" s="535"/>
      <c r="L14" s="535"/>
      <c r="M14" s="156"/>
      <c r="N14" s="156"/>
      <c r="O14" s="156"/>
      <c r="P14" s="156"/>
      <c r="Q14" s="156"/>
      <c r="R14" s="156"/>
      <c r="S14" s="156"/>
      <c r="T14" s="156"/>
    </row>
    <row r="15" ht="21" customHeight="1">
      <c r="B15" s="4"/>
      <c r="C15" s="4"/>
      <c r="D15" s="4"/>
      <c r="E15" s="1090" t="s">
        <v>90</v>
      </c>
      <c r="F15" s="1090"/>
      <c r="G15" s="1090"/>
      <c r="H15" s="1090"/>
      <c r="I15" s="1090"/>
      <c r="J15" s="1090"/>
      <c r="K15" s="1090"/>
      <c r="L15" s="1090"/>
      <c r="M15" s="537"/>
      <c r="N15" s="1090" t="s">
        <v>29</v>
      </c>
      <c r="O15" s="1090"/>
      <c r="P15" s="1090"/>
      <c r="Q15" s="1090"/>
      <c r="R15" s="1090"/>
      <c r="S15" s="1090"/>
      <c r="T15" s="1090"/>
    </row>
    <row r="16" ht="22.5" customHeight="1">
      <c r="B16" s="4"/>
      <c r="C16" s="4"/>
      <c r="D16" s="4"/>
      <c r="E16" s="940" t="s">
        <v>42</v>
      </c>
      <c r="F16" s="1083" t="s">
        <v>24</v>
      </c>
      <c r="G16" s="940" t="s">
        <v>37</v>
      </c>
      <c r="H16" s="1083" t="s">
        <v>24</v>
      </c>
      <c r="I16" s="940" t="s">
        <v>44</v>
      </c>
      <c r="J16" s="1083" t="s">
        <v>24</v>
      </c>
      <c r="K16" s="940" t="s">
        <v>45</v>
      </c>
      <c r="L16" s="1083" t="s">
        <v>24</v>
      </c>
      <c r="M16" s="538"/>
      <c r="N16" s="944" t="s">
        <v>63</v>
      </c>
      <c r="O16" s="944" t="s">
        <v>64</v>
      </c>
      <c r="P16" s="944"/>
      <c r="Q16" s="944" t="s">
        <v>65</v>
      </c>
      <c r="R16" s="944"/>
      <c r="S16" s="944" t="s">
        <v>66</v>
      </c>
      <c r="T16" s="944"/>
    </row>
    <row r="17" ht="18.75" customHeight="1">
      <c r="B17" s="4"/>
      <c r="C17" s="4"/>
      <c r="D17" s="4"/>
      <c r="E17" s="940"/>
      <c r="F17" s="1083"/>
      <c r="G17" s="940"/>
      <c r="H17" s="1083"/>
      <c r="I17" s="940"/>
      <c r="J17" s="1083"/>
      <c r="K17" s="940"/>
      <c r="L17" s="1083"/>
      <c r="M17" s="539"/>
      <c r="N17" s="944"/>
      <c r="O17" s="944"/>
      <c r="P17" s="944"/>
      <c r="Q17" s="944"/>
      <c r="R17" s="944"/>
      <c r="S17" s="944"/>
      <c r="T17" s="944"/>
    </row>
    <row r="18" ht="20.1" customHeight="1">
      <c r="B18" s="1091" t="s">
        <v>213</v>
      </c>
      <c r="C18" s="1091"/>
      <c r="D18" s="345"/>
      <c r="E18" s="253">
        <v>336.98538240668232837379274341</v>
      </c>
      <c r="F18" s="239">
        <v>103.97519524991013283641442340</v>
      </c>
      <c r="G18" s="253">
        <v>233.74962656841266679944234216</v>
      </c>
      <c r="H18" s="239">
        <v>13.672018464972760852009297750</v>
      </c>
      <c r="I18" s="253">
        <v>257.99361116571653233733045017</v>
      </c>
      <c r="J18" s="239">
        <v>84.10093735740892845007746608</v>
      </c>
      <c r="K18" s="253">
        <v>233.74962656841266679944234216</v>
      </c>
      <c r="L18" s="239">
        <v>13.672018464972760852009297750</v>
      </c>
      <c r="M18" s="540"/>
      <c r="N18" s="238">
        <v>30.617115581316058643027616770</v>
      </c>
      <c r="O18" s="246"/>
      <c r="P18" s="246">
        <v>102.22524291396063031767608116</v>
      </c>
      <c r="Q18" s="246"/>
      <c r="R18" s="246">
        <v>42.273807859040693609285414630</v>
      </c>
      <c r="S18" s="246"/>
      <c r="T18" s="239">
        <v>102.22524291396063031767608116</v>
      </c>
    </row>
    <row r="19" ht="20.1" customHeight="1">
      <c r="B19" s="1092" t="s">
        <v>214</v>
      </c>
      <c r="C19" s="1092"/>
      <c r="D19" s="345"/>
      <c r="E19" s="254">
        <v>314.56469453561747536267326501</v>
      </c>
      <c r="F19" s="241">
        <v>72.125784786199501475549962340</v>
      </c>
      <c r="G19" s="254">
        <v>223.50156461496014327188275988</v>
      </c>
      <c r="H19" s="241">
        <v>20.477043533806647433855477420</v>
      </c>
      <c r="I19" s="254">
        <v>245.59406858786080366694596276</v>
      </c>
      <c r="J19" s="241">
        <v>66.000834069362554465916365320</v>
      </c>
      <c r="K19" s="254">
        <v>223.50156461496014327188275988</v>
      </c>
      <c r="L19" s="241">
        <v>20.477043533806647433855477420</v>
      </c>
      <c r="M19" s="540"/>
      <c r="N19" s="240">
        <v>64.850580882461188626277244970</v>
      </c>
      <c r="O19" s="121"/>
      <c r="P19" s="121">
        <v>72.767644237586338195600281110</v>
      </c>
      <c r="Q19" s="121"/>
      <c r="R19" s="121">
        <v>67.520756849063439822239788800</v>
      </c>
      <c r="S19" s="121"/>
      <c r="T19" s="241">
        <v>72.767644237586338195600281110</v>
      </c>
    </row>
    <row r="20" ht="20.1" customHeight="1">
      <c r="B20" s="1093" t="s">
        <v>215</v>
      </c>
      <c r="C20" s="1093"/>
      <c r="D20" s="345"/>
      <c r="E20" s="255">
        <v>322.00105037999040829476545927</v>
      </c>
      <c r="F20" s="243">
        <v>71.505064457441223404399123150</v>
      </c>
      <c r="G20" s="255">
        <v>237.53897117263984825156619102</v>
      </c>
      <c r="H20" s="243">
        <v>10.652063139171817190995276050</v>
      </c>
      <c r="I20" s="255">
        <v>253.83700481252290432950980058</v>
      </c>
      <c r="J20" s="243">
        <v>61.550814797221147045792111640</v>
      </c>
      <c r="K20" s="255">
        <v>237.53897117263984825156619102</v>
      </c>
      <c r="L20" s="243">
        <v>10.652063139171817190995276050</v>
      </c>
      <c r="M20" s="540"/>
      <c r="N20" s="242">
        <v>83.61606033430216853410552020</v>
      </c>
      <c r="O20" s="156"/>
      <c r="P20" s="156">
        <v>92.96313813250892563604168950</v>
      </c>
      <c r="Q20" s="156"/>
      <c r="R20" s="156">
        <v>92.79197661047012445843818027</v>
      </c>
      <c r="S20" s="156"/>
      <c r="T20" s="243">
        <v>92.96313813250892563604168950</v>
      </c>
    </row>
    <row r="21" ht="20.1" customHeight="1">
      <c r="B21" s="1092" t="s">
        <v>216</v>
      </c>
      <c r="C21" s="1092"/>
      <c r="D21" s="345"/>
      <c r="E21" s="254">
        <v>528.91741118447335352610896835</v>
      </c>
      <c r="F21" s="241">
        <v>72.230252831816189054768545120</v>
      </c>
      <c r="G21" s="254">
        <v>348.72717565300909654025236461</v>
      </c>
      <c r="H21" s="241">
        <v>19.390216447369004382213625910</v>
      </c>
      <c r="I21" s="254">
        <v>395.46974478679088705292720516</v>
      </c>
      <c r="J21" s="241">
        <v>64.228115973584666742849434360</v>
      </c>
      <c r="K21" s="254">
        <v>348.72717565300909654025236461</v>
      </c>
      <c r="L21" s="241">
        <v>19.390216447369004382213625910</v>
      </c>
      <c r="M21" s="540"/>
      <c r="N21" s="240">
        <v>61.275226160527849446935374760</v>
      </c>
      <c r="O21" s="121"/>
      <c r="P21" s="121">
        <v>92.87755454763594749197495750</v>
      </c>
      <c r="Q21" s="121"/>
      <c r="R21" s="121">
        <v>70.676127780859384539171873420</v>
      </c>
      <c r="S21" s="121"/>
      <c r="T21" s="241">
        <v>92.87755454763594749197495750</v>
      </c>
    </row>
    <row r="22" ht="20.1" customHeight="1">
      <c r="B22" s="1093" t="s">
        <v>217</v>
      </c>
      <c r="C22" s="1093"/>
      <c r="D22" s="345"/>
      <c r="E22" s="255">
        <v>611.70955027243893843693241888</v>
      </c>
      <c r="F22" s="243">
        <v>77.052736851442411716322916910</v>
      </c>
      <c r="G22" s="255">
        <v>389.99801123894708811490291962</v>
      </c>
      <c r="H22" s="243">
        <v>23.679139622043061746638429660</v>
      </c>
      <c r="I22" s="255">
        <v>450.55319812410959406661000679</v>
      </c>
      <c r="J22" s="243">
        <v>71.196206696103057659808685060</v>
      </c>
      <c r="K22" s="255">
        <v>389.99801123894708811490291962</v>
      </c>
      <c r="L22" s="243">
        <v>23.679139622043061746638429660</v>
      </c>
      <c r="M22" s="540"/>
      <c r="N22" s="242">
        <v>45.532515898941122630939418330</v>
      </c>
      <c r="O22" s="156"/>
      <c r="P22" s="156">
        <v>86.93891605261345637352799394</v>
      </c>
      <c r="Q22" s="156"/>
      <c r="R22" s="156">
        <v>54.655289801167526130646930520</v>
      </c>
      <c r="S22" s="156"/>
      <c r="T22" s="243">
        <v>86.93891605261345637352799394</v>
      </c>
    </row>
    <row r="23" ht="20.1" customHeight="1">
      <c r="B23" s="1094" t="s">
        <v>74</v>
      </c>
      <c r="C23" s="1094"/>
      <c r="D23" s="345"/>
      <c r="E23" s="256">
        <v>348.91318597029495851056411687</v>
      </c>
      <c r="F23" s="245">
        <v>96.1496906260328225603953300</v>
      </c>
      <c r="G23" s="256">
        <v>244.13632952012674883858320578</v>
      </c>
      <c r="H23" s="245">
        <v>9.386984664219878367191158250</v>
      </c>
      <c r="I23" s="256">
        <v>267.75945269821820595292796244</v>
      </c>
      <c r="J23" s="245">
        <v>82.12882871332022514184467911</v>
      </c>
      <c r="K23" s="256">
        <v>244.13632952012674883858320578</v>
      </c>
      <c r="L23" s="245">
        <v>9.386984664219878367191158250</v>
      </c>
      <c r="M23" s="540"/>
      <c r="N23" s="244">
        <v>43.798255289281058858919081520</v>
      </c>
      <c r="O23" s="250"/>
      <c r="P23" s="250">
        <v>80.27355756289645019424135274</v>
      </c>
      <c r="Q23" s="250"/>
      <c r="R23" s="250">
        <v>53.286899358272030051651275620</v>
      </c>
      <c r="S23" s="250"/>
      <c r="T23" s="245">
        <v>80.27355756289645019424135274</v>
      </c>
    </row>
    <row r="24" ht="9.95" customHeight="1">
      <c r="B24" s="4"/>
      <c r="C24" s="4"/>
      <c r="D24" s="4"/>
      <c r="E24" s="535"/>
      <c r="F24" s="535"/>
      <c r="G24" s="535"/>
      <c r="H24" s="535"/>
      <c r="I24" s="535"/>
      <c r="J24" s="535"/>
      <c r="K24" s="535"/>
      <c r="L24" s="535"/>
      <c r="M24" s="156"/>
      <c r="N24" s="156"/>
      <c r="O24" s="156"/>
      <c r="P24" s="156"/>
      <c r="Q24" s="156"/>
      <c r="R24" s="156"/>
      <c r="S24" s="156"/>
      <c r="T24" s="156"/>
    </row>
    <row r="25" s="122" customFormat="1" ht="21" customHeight="1">
      <c r="B25" s="1080"/>
      <c r="C25" s="1080"/>
      <c r="D25" s="163"/>
      <c r="E25" s="1090" t="s">
        <v>10</v>
      </c>
      <c r="F25" s="1090"/>
      <c r="G25" s="1090"/>
      <c r="H25" s="1090"/>
      <c r="I25" s="1090"/>
      <c r="J25" s="1090"/>
      <c r="K25" s="1090"/>
      <c r="L25" s="1090"/>
      <c r="M25" s="537"/>
      <c r="N25" s="1090" t="s">
        <v>38</v>
      </c>
      <c r="O25" s="1090"/>
      <c r="P25" s="1090"/>
      <c r="Q25" s="1090"/>
      <c r="R25" s="1090"/>
      <c r="S25" s="1090"/>
      <c r="T25" s="1090"/>
      <c r="V25" s="236"/>
      <c r="W25" s="236"/>
      <c r="X25" s="236"/>
      <c r="Y25" s="236"/>
      <c r="Z25" s="236"/>
      <c r="AA25" s="236"/>
      <c r="AB25" s="236"/>
      <c r="AC25" s="236"/>
      <c r="AD25" s="236"/>
      <c r="AE25" s="236"/>
      <c r="AF25" s="236"/>
      <c r="AG25" s="236"/>
      <c r="AH25" s="236"/>
      <c r="AI25" s="236"/>
    </row>
    <row r="26" s="122" customFormat="1" ht="19.5" customHeight="1">
      <c r="B26" s="163"/>
      <c r="C26" s="163"/>
      <c r="D26" s="163"/>
      <c r="E26" s="940" t="s">
        <v>42</v>
      </c>
      <c r="F26" s="1083" t="s">
        <v>24</v>
      </c>
      <c r="G26" s="940" t="s">
        <v>37</v>
      </c>
      <c r="H26" s="1083" t="s">
        <v>24</v>
      </c>
      <c r="I26" s="940" t="s">
        <v>44</v>
      </c>
      <c r="J26" s="1083" t="s">
        <v>24</v>
      </c>
      <c r="K26" s="940" t="s">
        <v>45</v>
      </c>
      <c r="L26" s="1083" t="s">
        <v>24</v>
      </c>
      <c r="M26" s="538"/>
      <c r="N26" s="944" t="s">
        <v>63</v>
      </c>
      <c r="O26" s="944" t="s">
        <v>64</v>
      </c>
      <c r="P26" s="944"/>
      <c r="Q26" s="944" t="s">
        <v>65</v>
      </c>
      <c r="R26" s="944"/>
      <c r="S26" s="944" t="s">
        <v>66</v>
      </c>
      <c r="T26" s="944"/>
      <c r="V26" s="236"/>
      <c r="W26" s="236"/>
      <c r="X26" s="236"/>
      <c r="Y26" s="236"/>
      <c r="Z26" s="236"/>
      <c r="AA26" s="236"/>
      <c r="AB26" s="236"/>
      <c r="AC26" s="236"/>
      <c r="AD26" s="236"/>
      <c r="AE26" s="236"/>
      <c r="AF26" s="236"/>
      <c r="AG26" s="236"/>
      <c r="AH26" s="236"/>
      <c r="AI26" s="236"/>
    </row>
    <row r="27" s="122" customFormat="1" ht="25.5" customHeight="1">
      <c r="B27" s="163"/>
      <c r="C27" s="163"/>
      <c r="D27" s="163"/>
      <c r="E27" s="940"/>
      <c r="F27" s="1083"/>
      <c r="G27" s="940"/>
      <c r="H27" s="1083"/>
      <c r="I27" s="940"/>
      <c r="J27" s="1083"/>
      <c r="K27" s="940"/>
      <c r="L27" s="1083"/>
      <c r="M27" s="539"/>
      <c r="N27" s="944"/>
      <c r="O27" s="944"/>
      <c r="P27" s="944"/>
      <c r="Q27" s="944"/>
      <c r="R27" s="944"/>
      <c r="S27" s="944"/>
      <c r="T27" s="944"/>
      <c r="V27" s="236"/>
      <c r="W27" s="236"/>
      <c r="X27" s="236"/>
      <c r="Y27" s="236"/>
      <c r="Z27" s="236"/>
      <c r="AA27" s="236"/>
      <c r="AB27" s="236"/>
      <c r="AC27" s="236"/>
      <c r="AD27" s="236"/>
      <c r="AE27" s="236"/>
      <c r="AF27" s="236"/>
      <c r="AG27" s="236"/>
      <c r="AH27" s="236"/>
      <c r="AI27" s="236"/>
    </row>
    <row r="28" ht="20.1" customHeight="1">
      <c r="B28" s="1091" t="s">
        <v>213</v>
      </c>
      <c r="C28" s="1091"/>
      <c r="D28" s="345"/>
      <c r="E28" s="253">
        <v>315.4914467253176930596285435</v>
      </c>
      <c r="F28" s="239">
        <v>166.42651653680275745749143577</v>
      </c>
      <c r="G28" s="253">
        <v>194.87868410128684101286841013</v>
      </c>
      <c r="H28" s="239">
        <v>92.08608826616171883247526863</v>
      </c>
      <c r="I28" s="253">
        <v>216.14188076416337285902503294</v>
      </c>
      <c r="J28" s="239">
        <v>161.92741388272703239124683003</v>
      </c>
      <c r="K28" s="253">
        <v>194.87868410128684101286841013</v>
      </c>
      <c r="L28" s="239">
        <v>92.08608826616171883247526863</v>
      </c>
      <c r="M28" s="540"/>
      <c r="N28" s="238">
        <v>166.42651653672006240738982743</v>
      </c>
      <c r="O28" s="246"/>
      <c r="P28" s="246">
        <v>129.87351546603514577316220638</v>
      </c>
      <c r="Q28" s="246"/>
      <c r="R28" s="246">
        <v>161.92741388256895381790603920</v>
      </c>
      <c r="S28" s="246"/>
      <c r="T28" s="239">
        <v>129.87351546603514577316220638</v>
      </c>
    </row>
    <row r="29" ht="20.1" customHeight="1">
      <c r="B29" s="1092" t="s">
        <v>214</v>
      </c>
      <c r="C29" s="1092"/>
      <c r="D29" s="345"/>
      <c r="E29" s="254">
        <v>235.0059162366001962499024909</v>
      </c>
      <c r="F29" s="241">
        <v>165.14695754887982646791102007</v>
      </c>
      <c r="G29" s="254">
        <v>149.25829511976784431038172314</v>
      </c>
      <c r="H29" s="241">
        <v>73.742953583965100397937451520</v>
      </c>
      <c r="I29" s="254">
        <v>168.88135129326034729613079246</v>
      </c>
      <c r="J29" s="241">
        <v>155.01251821618313600777002688</v>
      </c>
      <c r="K29" s="254">
        <v>149.25829511976784431038172314</v>
      </c>
      <c r="L29" s="241">
        <v>73.742953583965100397937451520</v>
      </c>
      <c r="M29" s="540"/>
      <c r="N29" s="240">
        <v>183.75035606862072044556089553</v>
      </c>
      <c r="O29" s="121"/>
      <c r="P29" s="121">
        <v>108.14534996042049052756645078</v>
      </c>
      <c r="Q29" s="121"/>
      <c r="R29" s="121">
        <v>178.08585360882040118777090443</v>
      </c>
      <c r="S29" s="121"/>
      <c r="T29" s="241">
        <v>108.14534996042049052756645078</v>
      </c>
    </row>
    <row r="30" ht="20.1" customHeight="1">
      <c r="B30" s="1093" t="s">
        <v>215</v>
      </c>
      <c r="C30" s="1093"/>
      <c r="D30" s="345"/>
      <c r="E30" s="255">
        <v>237.6217814129106080114293903</v>
      </c>
      <c r="F30" s="243">
        <v>179.76766587344567492249825754</v>
      </c>
      <c r="G30" s="255">
        <v>152.86558100123974374141003779</v>
      </c>
      <c r="H30" s="243">
        <v>65.491424354957089131228141020</v>
      </c>
      <c r="I30" s="255">
        <v>168.77969047270598565783696766</v>
      </c>
      <c r="J30" s="243">
        <v>171.48836422735144029710041409</v>
      </c>
      <c r="K30" s="255">
        <v>152.86558100123974374141003779</v>
      </c>
      <c r="L30" s="243">
        <v>65.491424354957089131228141020</v>
      </c>
      <c r="M30" s="540"/>
      <c r="N30" s="242">
        <v>214.91084263048654427200559653</v>
      </c>
      <c r="O30" s="156"/>
      <c r="P30" s="156">
        <v>113.51769344170429446258161178</v>
      </c>
      <c r="Q30" s="156"/>
      <c r="R30" s="156">
        <v>211.45700907791373978748376258</v>
      </c>
      <c r="S30" s="156"/>
      <c r="T30" s="243">
        <v>113.51769344170429446258161178</v>
      </c>
    </row>
    <row r="31" ht="20.1" customHeight="1">
      <c r="B31" s="1092" t="s">
        <v>216</v>
      </c>
      <c r="C31" s="1092"/>
      <c r="D31" s="345"/>
      <c r="E31" s="254">
        <v>373.27978177651957385675527777</v>
      </c>
      <c r="F31" s="241">
        <v>148.54376102022993392105671060</v>
      </c>
      <c r="G31" s="254">
        <v>224.73312468176093943441833721</v>
      </c>
      <c r="H31" s="241">
        <v>70.221765041394159176574840710</v>
      </c>
      <c r="I31" s="254">
        <v>251.41182037745786821027171907</v>
      </c>
      <c r="J31" s="241">
        <v>145.96223517500104897241798822</v>
      </c>
      <c r="K31" s="254">
        <v>224.73312468176093943441833721</v>
      </c>
      <c r="L31" s="241">
        <v>70.221765041394159176574840710</v>
      </c>
      <c r="M31" s="540"/>
      <c r="N31" s="240">
        <v>177.76472977137635221690701019</v>
      </c>
      <c r="O31" s="121"/>
      <c r="P31" s="121">
        <v>130.27692985282362795558538493</v>
      </c>
      <c r="Q31" s="121"/>
      <c r="R31" s="121">
        <v>180.29818907119890975686563415</v>
      </c>
      <c r="S31" s="121"/>
      <c r="T31" s="241">
        <v>130.27692985282362795558538493</v>
      </c>
    </row>
    <row r="32" ht="20.1" customHeight="1">
      <c r="B32" s="1093" t="s">
        <v>217</v>
      </c>
      <c r="C32" s="1093"/>
      <c r="D32" s="345"/>
      <c r="E32" s="255">
        <v>460.93885021407327515769519888</v>
      </c>
      <c r="F32" s="243">
        <v>146.14989210517313894995788081</v>
      </c>
      <c r="G32" s="255">
        <v>259.23804094968568859908417669</v>
      </c>
      <c r="H32" s="243">
        <v>80.02359890170948954416647056</v>
      </c>
      <c r="I32" s="255">
        <v>303.71662467129577472528982301</v>
      </c>
      <c r="J32" s="243">
        <v>148.45127322218127111036946463</v>
      </c>
      <c r="K32" s="255">
        <v>259.23804094968568859908417669</v>
      </c>
      <c r="L32" s="243">
        <v>80.02359890170948954416647056</v>
      </c>
      <c r="M32" s="540"/>
      <c r="N32" s="242">
        <v>157.66930240780739112098172647</v>
      </c>
      <c r="O32" s="156"/>
      <c r="P32" s="156">
        <v>131.20444299262717836989672554</v>
      </c>
      <c r="Q32" s="156"/>
      <c r="R32" s="156">
        <v>164.76398959448680267611402948</v>
      </c>
      <c r="S32" s="156"/>
      <c r="T32" s="243">
        <v>131.20444299262717836989672554</v>
      </c>
    </row>
    <row r="33" ht="20.1" customHeight="1">
      <c r="B33" s="1094" t="s">
        <v>74</v>
      </c>
      <c r="C33" s="1094"/>
      <c r="D33" s="345"/>
      <c r="E33" s="256">
        <v>255.8030775522723787127447472</v>
      </c>
      <c r="F33" s="245">
        <v>115.90316842936280909928418534</v>
      </c>
      <c r="G33" s="256">
        <v>172.85166836196324850512866826</v>
      </c>
      <c r="H33" s="245">
        <v>41.488034967626444563805500030</v>
      </c>
      <c r="I33" s="256">
        <v>180.68643285330393440363811755</v>
      </c>
      <c r="J33" s="245">
        <v>113.69851569212630121327480823</v>
      </c>
      <c r="K33" s="256">
        <v>172.85166836196324850512866826</v>
      </c>
      <c r="L33" s="245">
        <v>41.488034967626444563805500030</v>
      </c>
      <c r="M33" s="540"/>
      <c r="N33" s="244">
        <v>182.05983287561273680840221690</v>
      </c>
      <c r="O33" s="250"/>
      <c r="P33" s="250">
        <v>97.19580876496944817711044330</v>
      </c>
      <c r="Q33" s="250"/>
      <c r="R33" s="250">
        <v>179.17963437218703305746849876</v>
      </c>
      <c r="S33" s="250"/>
      <c r="T33" s="245">
        <v>97.19580876496944817711044330</v>
      </c>
    </row>
    <row r="34" ht="9.95" customHeight="1">
      <c r="B34" s="4"/>
      <c r="C34" s="4"/>
      <c r="D34" s="4"/>
      <c r="E34" s="535"/>
      <c r="F34" s="535"/>
      <c r="G34" s="535"/>
      <c r="H34" s="535"/>
      <c r="I34" s="535"/>
      <c r="J34" s="535"/>
      <c r="K34" s="535"/>
      <c r="L34" s="535"/>
      <c r="M34" s="156"/>
      <c r="N34" s="156"/>
      <c r="O34" s="156"/>
      <c r="P34" s="156"/>
      <c r="Q34" s="156"/>
      <c r="R34" s="156"/>
      <c r="S34" s="156"/>
      <c r="T34" s="156"/>
    </row>
    <row r="35" ht="21" customHeight="1">
      <c r="B35" s="9"/>
      <c r="C35" s="155"/>
      <c r="D35" s="252"/>
      <c r="E35" s="1090" t="s">
        <v>30</v>
      </c>
      <c r="F35" s="1090"/>
      <c r="G35" s="1090"/>
      <c r="H35" s="1090"/>
      <c r="I35" s="1090"/>
      <c r="J35" s="1090"/>
      <c r="K35" s="1090"/>
      <c r="L35" s="1090"/>
      <c r="M35" s="113"/>
      <c r="N35" s="1095" t="s">
        <v>56</v>
      </c>
      <c r="O35" s="1095"/>
      <c r="P35" s="1095"/>
      <c r="Q35" s="1095"/>
      <c r="R35" s="1095"/>
      <c r="S35" s="1095"/>
      <c r="T35" s="1095"/>
      <c r="U35" s="123"/>
    </row>
    <row r="36" ht="24.95" customHeight="1">
      <c r="B36" s="9"/>
      <c r="C36" s="155"/>
      <c r="D36" s="252"/>
      <c r="E36" s="257" t="s">
        <v>31</v>
      </c>
      <c r="F36" s="257"/>
      <c r="G36" s="257"/>
      <c r="H36" s="257" t="s">
        <v>32</v>
      </c>
      <c r="I36" s="257"/>
      <c r="J36" s="257"/>
      <c r="K36" s="257" t="s">
        <v>36</v>
      </c>
      <c r="L36" s="257"/>
      <c r="M36" s="113"/>
      <c r="N36" s="1096"/>
      <c r="O36" s="1096"/>
      <c r="P36" s="1096"/>
      <c r="Q36" s="1096"/>
      <c r="R36" s="1096"/>
      <c r="S36" s="1096"/>
      <c r="T36" s="1096"/>
      <c r="U36" s="123"/>
    </row>
    <row r="37" ht="24.95" customHeight="1">
      <c r="B37" s="9"/>
      <c r="C37" s="155"/>
      <c r="D37" s="252"/>
      <c r="E37" s="257" t="s">
        <v>33</v>
      </c>
      <c r="F37" s="257"/>
      <c r="G37" s="257" t="s">
        <v>34</v>
      </c>
      <c r="H37" s="257" t="s">
        <v>33</v>
      </c>
      <c r="I37" s="257"/>
      <c r="J37" s="257" t="s">
        <v>34</v>
      </c>
      <c r="K37" s="257" t="s">
        <v>34</v>
      </c>
      <c r="L37" s="257"/>
      <c r="M37" s="113"/>
      <c r="N37" s="1096"/>
      <c r="O37" s="1096"/>
      <c r="P37" s="1096"/>
      <c r="Q37" s="1096"/>
      <c r="R37" s="1096"/>
      <c r="S37" s="1096"/>
      <c r="T37" s="1096"/>
      <c r="U37" s="123"/>
    </row>
    <row r="38" ht="18.95" customHeight="1">
      <c r="B38" s="1097" t="s">
        <v>214</v>
      </c>
      <c r="C38" s="1097"/>
      <c r="D38" s="4"/>
      <c r="E38" s="1098">
        <v>533</v>
      </c>
      <c r="F38" s="1098"/>
      <c r="G38" s="258">
        <v>62856</v>
      </c>
      <c r="H38" s="1099">
        <v>316</v>
      </c>
      <c r="I38" s="1099"/>
      <c r="J38" s="258">
        <v>50739</v>
      </c>
      <c r="K38" s="1100">
        <v>80.72260404734631538755250095</v>
      </c>
      <c r="L38" s="1100"/>
      <c r="N38" s="692"/>
      <c r="O38" s="1096"/>
      <c r="P38" s="1096"/>
      <c r="Q38" s="1101"/>
      <c r="R38" s="1101"/>
      <c r="S38" s="1096"/>
      <c r="T38" s="1096"/>
      <c r="U38" s="123"/>
    </row>
    <row r="39" ht="18.95" customHeight="1">
      <c r="B39" s="1093" t="s">
        <v>215</v>
      </c>
      <c r="C39" s="1093"/>
      <c r="D39" s="4"/>
      <c r="E39" s="1102">
        <v>95</v>
      </c>
      <c r="F39" s="1102"/>
      <c r="G39" s="4">
        <v>14857</v>
      </c>
      <c r="H39" s="1103">
        <v>71</v>
      </c>
      <c r="I39" s="1103"/>
      <c r="J39" s="4">
        <v>12570</v>
      </c>
      <c r="K39" s="1104">
        <v>84.60658275560341926364676583</v>
      </c>
      <c r="L39" s="1104"/>
      <c r="N39" s="693"/>
      <c r="O39" s="1105"/>
      <c r="P39" s="1105"/>
      <c r="Q39" s="1105"/>
      <c r="R39" s="1105"/>
      <c r="S39" s="1105"/>
      <c r="T39" s="1105"/>
      <c r="U39" s="123"/>
    </row>
    <row r="40" ht="18.95" customHeight="1">
      <c r="B40" s="1092" t="s">
        <v>216</v>
      </c>
      <c r="C40" s="1092"/>
      <c r="D40" s="4"/>
      <c r="E40" s="1106">
        <v>236</v>
      </c>
      <c r="F40" s="1106"/>
      <c r="G40" s="120">
        <v>25171</v>
      </c>
      <c r="H40" s="1107">
        <v>126</v>
      </c>
      <c r="I40" s="1107"/>
      <c r="J40" s="120">
        <v>18909</v>
      </c>
      <c r="K40" s="1108">
        <v>75.122164395534543720948710820</v>
      </c>
      <c r="L40" s="1108"/>
      <c r="N40" s="1109"/>
      <c r="O40" s="1109"/>
      <c r="P40" s="1109"/>
      <c r="Q40" s="1109"/>
      <c r="R40" s="1109"/>
      <c r="S40" s="1109"/>
      <c r="T40" s="1109"/>
      <c r="U40" s="123"/>
    </row>
    <row r="41" ht="18.95" customHeight="1">
      <c r="B41" s="1093" t="s">
        <v>217</v>
      </c>
      <c r="C41" s="1093"/>
      <c r="D41" s="4"/>
      <c r="E41" s="1102">
        <v>41</v>
      </c>
      <c r="F41" s="1102"/>
      <c r="G41" s="4">
        <v>7896</v>
      </c>
      <c r="H41" s="1103">
        <v>41</v>
      </c>
      <c r="I41" s="1103"/>
      <c r="J41" s="4">
        <v>7896</v>
      </c>
      <c r="K41" s="1104">
        <v>100</v>
      </c>
      <c r="L41" s="1104"/>
      <c r="N41" s="1109"/>
      <c r="O41" s="1109"/>
      <c r="P41" s="1109"/>
      <c r="Q41" s="1109"/>
      <c r="R41" s="1109"/>
      <c r="S41" s="1109"/>
      <c r="T41" s="1109"/>
      <c r="U41" s="123"/>
    </row>
    <row r="42" ht="18.95" customHeight="1">
      <c r="B42" s="1094" t="s">
        <v>74</v>
      </c>
      <c r="C42" s="1094"/>
      <c r="D42" s="4"/>
      <c r="E42" s="1110">
        <v>6</v>
      </c>
      <c r="F42" s="1110"/>
      <c r="G42" s="260">
        <v>631</v>
      </c>
      <c r="H42" s="1111">
        <v>6</v>
      </c>
      <c r="I42" s="1111"/>
      <c r="J42" s="260">
        <v>631</v>
      </c>
      <c r="K42" s="1112">
        <v>100</v>
      </c>
      <c r="L42" s="1112"/>
      <c r="N42" s="1109"/>
      <c r="O42" s="1109"/>
      <c r="P42" s="1109"/>
      <c r="Q42" s="1109"/>
      <c r="R42" s="1109"/>
      <c r="S42" s="1109"/>
      <c r="T42" s="1109"/>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39.95" customHeight="1">
      <c r="B44" s="1034" t="s">
        <v>126</v>
      </c>
      <c r="C44" s="1034"/>
      <c r="D44" s="1034"/>
      <c r="E44" s="1034"/>
      <c r="F44" s="1034"/>
      <c r="G44" s="1034"/>
      <c r="H44" s="1034"/>
      <c r="I44" s="1034"/>
      <c r="J44" s="1034"/>
      <c r="K44" s="1034"/>
      <c r="L44" s="1034"/>
      <c r="M44" s="1034"/>
      <c r="N44" s="1034"/>
      <c r="O44" s="1034"/>
      <c r="P44" s="1034"/>
      <c r="Q44" s="1034"/>
      <c r="R44" s="1034"/>
      <c r="S44" s="1034"/>
      <c r="T44" s="1034"/>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169</v>
      </c>
      <c r="AA1" s="998"/>
      <c r="AB1" s="998"/>
      <c r="AC1" s="998"/>
      <c r="AD1" s="998"/>
      <c r="AE1" s="998"/>
      <c r="AF1" s="998"/>
      <c r="AH1" s="236"/>
    </row>
    <row r="2" ht="20.1"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2020</v>
      </c>
      <c r="D19" s="1002"/>
      <c r="E19" s="1002"/>
      <c r="F19" s="1002"/>
      <c r="G19" s="1002"/>
      <c r="H19" s="1002"/>
      <c r="I19" s="1002">
        <v>2021</v>
      </c>
      <c r="J19" s="1002"/>
      <c r="K19" s="1002"/>
      <c r="L19" s="1002"/>
      <c r="M19" s="1002"/>
      <c r="N19" s="1002"/>
      <c r="O19" s="1002"/>
      <c r="P19" s="1002"/>
      <c r="Q19" s="1002"/>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218</v>
      </c>
      <c r="D20" s="269" t="s">
        <v>219</v>
      </c>
      <c r="E20" s="269" t="s">
        <v>220</v>
      </c>
      <c r="F20" s="269" t="s">
        <v>221</v>
      </c>
      <c r="G20" s="269" t="s">
        <v>222</v>
      </c>
      <c r="H20" s="1005" t="s">
        <v>223</v>
      </c>
      <c r="I20" s="269" t="s">
        <v>227</v>
      </c>
      <c r="J20" s="269" t="s">
        <v>230</v>
      </c>
      <c r="K20" s="269" t="s">
        <v>231</v>
      </c>
      <c r="L20" s="269" t="s">
        <v>232</v>
      </c>
      <c r="M20" s="269" t="s">
        <v>233</v>
      </c>
      <c r="N20" s="269" t="s">
        <v>234</v>
      </c>
      <c r="O20" s="269" t="s">
        <v>218</v>
      </c>
      <c r="P20" s="269" t="s">
        <v>219</v>
      </c>
      <c r="Q20" s="269" t="s">
        <v>220</v>
      </c>
      <c r="R20" s="269" t="s">
        <v>221</v>
      </c>
      <c r="S20" s="269" t="s">
        <v>222</v>
      </c>
      <c r="T20" s="1005" t="s">
        <v>223</v>
      </c>
      <c r="U20" s="144"/>
      <c r="V20" s="268">
        <v>2019</v>
      </c>
      <c r="W20" s="269">
        <v>2020</v>
      </c>
      <c r="X20" s="270">
        <v>2021</v>
      </c>
      <c r="Y20" s="144"/>
      <c r="Z20" s="268">
        <v>2019</v>
      </c>
      <c r="AA20" s="269">
        <v>2020</v>
      </c>
      <c r="AB20" s="270">
        <v>2021</v>
      </c>
      <c r="AC20" s="144"/>
      <c r="AD20" s="268">
        <v>2019</v>
      </c>
      <c r="AE20" s="269">
        <v>2020</v>
      </c>
      <c r="AF20" s="270">
        <v>2021</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13.098729227761485826001955030</v>
      </c>
      <c r="D21" s="574">
        <v>25.537634408602150537634408600</v>
      </c>
      <c r="E21" s="574">
        <v>47.424242424242424242424242420</v>
      </c>
      <c r="F21" s="574">
        <v>52.908113391984359726295210170</v>
      </c>
      <c r="G21" s="574">
        <v>51.843434343434343434343434340</v>
      </c>
      <c r="H21" s="1006">
        <v>71.676441837732160312805474100</v>
      </c>
      <c r="I21" s="574">
        <v>85.36168132942326490713587488</v>
      </c>
      <c r="J21" s="574">
        <v>91.26082251082251082251082251</v>
      </c>
      <c r="K21" s="574">
        <v>89.56500488758553274682306940</v>
      </c>
      <c r="L21" s="574">
        <v>90.22727272727272727272727273</v>
      </c>
      <c r="M21" s="574">
        <v>92.05767350928641251221896383</v>
      </c>
      <c r="N21" s="574">
        <v>91.54040404040404040404040404</v>
      </c>
      <c r="O21" s="574">
        <v>86.95014662756598240469208211</v>
      </c>
      <c r="P21" s="574">
        <v>63.489736070381231671554252200</v>
      </c>
      <c r="Q21" s="574">
        <v>59.141414141414141414141414140</v>
      </c>
      <c r="R21" s="574">
        <v>73.362658846529814271749755620</v>
      </c>
      <c r="S21" s="574">
        <v>84.36868686868686868686868687</v>
      </c>
      <c r="T21" s="1006">
        <v>93.62170087976539589442815249</v>
      </c>
      <c r="U21" s="113"/>
      <c r="V21" s="573">
        <v>67.588210875882108758821087590</v>
      </c>
      <c r="W21" s="574">
        <v>49.336810730253353204172876300</v>
      </c>
      <c r="X21" s="575">
        <v>83.37069323370693233706932337</v>
      </c>
      <c r="Y21" s="113"/>
      <c r="Z21" s="573">
        <v>75.609354413702239789196310940</v>
      </c>
      <c r="AA21" s="574">
        <v>58.885046113306982872200263500</v>
      </c>
      <c r="AB21" s="575">
        <v>83.77799736495388669301712780</v>
      </c>
      <c r="AC21" s="113"/>
      <c r="AD21" s="573">
        <v>67.588210875882108758821087590</v>
      </c>
      <c r="AE21" s="574">
        <v>49.336810730253353204172876300</v>
      </c>
      <c r="AF21" s="575">
        <v>83.37069323370693233706932337</v>
      </c>
      <c r="AG21" s="113"/>
    </row>
    <row r="22" ht="21.95" customHeight="1">
      <c r="B22" s="38" t="s">
        <v>35</v>
      </c>
      <c r="C22" s="271">
        <v>18.975827507790785816558578290</v>
      </c>
      <c r="D22" s="92">
        <v>32.359134169965467868272551170</v>
      </c>
      <c r="E22" s="92">
        <v>42.360248447204968944099378880</v>
      </c>
      <c r="F22" s="92">
        <v>46.490349295398383757430040740</v>
      </c>
      <c r="G22" s="92">
        <v>59.503105590062111801242236020</v>
      </c>
      <c r="H22" s="1007">
        <v>66.606558471916115674881453280</v>
      </c>
      <c r="I22" s="92">
        <v>58.099202219909816163718348940</v>
      </c>
      <c r="J22" s="92">
        <v>74.468766001024065540194572450</v>
      </c>
      <c r="K22" s="92">
        <v>80.41970169961845300034686091</v>
      </c>
      <c r="L22" s="92">
        <v>78.97252090800477897252090800</v>
      </c>
      <c r="M22" s="92">
        <v>85.03873280147993987744247890</v>
      </c>
      <c r="N22" s="92">
        <v>82.01911589008363201911589008</v>
      </c>
      <c r="O22" s="92">
        <v>79.75488495779858943230431264</v>
      </c>
      <c r="P22" s="92">
        <v>57.896866689790727251705399470</v>
      </c>
      <c r="Q22" s="92">
        <v>52.060931899641577060931899640</v>
      </c>
      <c r="R22" s="92">
        <v>60.037830376770103777925463930</v>
      </c>
      <c r="S22" s="92">
        <v>69.144215530903328050713153720</v>
      </c>
      <c r="T22" s="1007">
        <v>73.314247737845713409334901080</v>
      </c>
      <c r="U22" s="113"/>
      <c r="V22" s="271">
        <v>84.41048129735362438399583180</v>
      </c>
      <c r="W22" s="92">
        <v>54.737770033314993713233345700</v>
      </c>
      <c r="X22" s="272">
        <v>70.801289059157928759518218890</v>
      </c>
      <c r="Y22" s="113"/>
      <c r="Z22" s="271">
        <v>85.07544959691311238200234273</v>
      </c>
      <c r="AA22" s="92">
        <v>57.511927266180574309118732560</v>
      </c>
      <c r="AB22" s="272">
        <v>67.480879211741197547026803550</v>
      </c>
      <c r="AC22" s="113"/>
      <c r="AD22" s="271">
        <v>84.41048129735362438399583180</v>
      </c>
      <c r="AE22" s="92">
        <v>54.737770033314993713233345700</v>
      </c>
      <c r="AF22" s="272">
        <v>70.801289059157928759518218890</v>
      </c>
      <c r="AG22" s="113"/>
    </row>
    <row r="23" ht="21.95" customHeight="1">
      <c r="B23" s="40" t="s">
        <v>97</v>
      </c>
      <c r="C23" s="576">
        <v>69.028500719579281496724905480</v>
      </c>
      <c r="D23" s="113">
        <v>78.919399618254381398577129950</v>
      </c>
      <c r="E23" s="113">
        <v>111.95458988714120678930063094</v>
      </c>
      <c r="F23" s="113">
        <v>113.80450823418787791722714867</v>
      </c>
      <c r="G23" s="113">
        <v>87.12727483604310326648531242</v>
      </c>
      <c r="H23" s="1008">
        <v>107.61168792102312607677091785</v>
      </c>
      <c r="I23" s="113">
        <v>146.92401628222523744911804614</v>
      </c>
      <c r="J23" s="113">
        <v>122.54912685080282845645974138</v>
      </c>
      <c r="K23" s="113">
        <v>111.37196855333581665261630756</v>
      </c>
      <c r="L23" s="113">
        <v>114.25147847613808279466373265</v>
      </c>
      <c r="M23" s="113">
        <v>108.25381620419009949941289166</v>
      </c>
      <c r="N23" s="113">
        <v>111.60862080381381182546513938</v>
      </c>
      <c r="O23" s="113">
        <v>109.02171907535781122327947494</v>
      </c>
      <c r="P23" s="113">
        <v>109.66005537148822221213634094</v>
      </c>
      <c r="Q23" s="113">
        <v>113.60037552808637145986543577</v>
      </c>
      <c r="R23" s="113">
        <v>122.19405395921063495995376105</v>
      </c>
      <c r="S23" s="113">
        <v>122.01843092858449264591827050</v>
      </c>
      <c r="T23" s="1008">
        <v>127.69919049641523667044899873</v>
      </c>
      <c r="U23" s="113"/>
      <c r="V23" s="576">
        <v>80.07087489264332019334334030</v>
      </c>
      <c r="W23" s="113">
        <v>90.13303008183479140429523387</v>
      </c>
      <c r="X23" s="577">
        <v>117.75307249568105122765559405</v>
      </c>
      <c r="Y23" s="113"/>
      <c r="Z23" s="576">
        <v>88.87329396663647898765741157</v>
      </c>
      <c r="AA23" s="113">
        <v>102.38753752899159066008338194</v>
      </c>
      <c r="AB23" s="577">
        <v>124.15071994257168096959795536</v>
      </c>
      <c r="AC23" s="113"/>
      <c r="AD23" s="576">
        <v>80.07087489264332019334334030</v>
      </c>
      <c r="AE23" s="113">
        <v>90.13303008183479140429523387</v>
      </c>
      <c r="AF23" s="577">
        <v>117.75307249568105122765559405</v>
      </c>
      <c r="AG23" s="113"/>
    </row>
    <row r="24" ht="21.95" customHeight="1">
      <c r="A24" s="23"/>
      <c r="B24" s="39" t="s">
        <v>23</v>
      </c>
      <c r="C24" s="273" t="s">
        <v>311</v>
      </c>
      <c r="D24" s="274" t="s">
        <v>225</v>
      </c>
      <c r="E24" s="274" t="s">
        <v>229</v>
      </c>
      <c r="F24" s="274" t="s">
        <v>229</v>
      </c>
      <c r="G24" s="274" t="s">
        <v>239</v>
      </c>
      <c r="H24" s="1009" t="s">
        <v>228</v>
      </c>
      <c r="I24" s="274" t="s">
        <v>238</v>
      </c>
      <c r="J24" s="274" t="s">
        <v>238</v>
      </c>
      <c r="K24" s="274" t="s">
        <v>238</v>
      </c>
      <c r="L24" s="274" t="s">
        <v>238</v>
      </c>
      <c r="M24" s="274" t="s">
        <v>238</v>
      </c>
      <c r="N24" s="274" t="s">
        <v>238</v>
      </c>
      <c r="O24" s="274" t="s">
        <v>238</v>
      </c>
      <c r="P24" s="274" t="s">
        <v>242</v>
      </c>
      <c r="Q24" s="274" t="s">
        <v>236</v>
      </c>
      <c r="R24" s="274" t="s">
        <v>312</v>
      </c>
      <c r="S24" s="274" t="s">
        <v>314</v>
      </c>
      <c r="T24" s="1009" t="s">
        <v>313</v>
      </c>
      <c r="U24" s="113"/>
      <c r="V24" s="273" t="s">
        <v>315</v>
      </c>
      <c r="W24" s="274" t="s">
        <v>316</v>
      </c>
      <c r="X24" s="275" t="s">
        <v>318</v>
      </c>
      <c r="Y24" s="113"/>
      <c r="Z24" s="273" t="s">
        <v>315</v>
      </c>
      <c r="AA24" s="274" t="s">
        <v>229</v>
      </c>
      <c r="AB24" s="275" t="s">
        <v>313</v>
      </c>
      <c r="AC24" s="113"/>
      <c r="AD24" s="273" t="s">
        <v>315</v>
      </c>
      <c r="AE24" s="274" t="s">
        <v>316</v>
      </c>
      <c r="AF24" s="275" t="s">
        <v>318</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-78.559999999987616255999992850</v>
      </c>
      <c r="D26" s="574">
        <v>-62.638541294263334905152082780</v>
      </c>
      <c r="E26" s="574">
        <v>-11.163670766255898192793145210</v>
      </c>
      <c r="F26" s="574">
        <v>-20.725009154206030788801958550</v>
      </c>
      <c r="G26" s="574">
        <v>-30.782198246806367876163613440</v>
      </c>
      <c r="H26" s="1006">
        <v>-15.839311334276579610505361130</v>
      </c>
      <c r="I26" s="574">
        <v>-1.9095759618567409219081232700</v>
      </c>
      <c r="J26" s="574">
        <v>4.2825159914624992012220355400</v>
      </c>
      <c r="K26" s="574">
        <v>125.67733990150173429954621815</v>
      </c>
      <c r="L26" s="574"/>
      <c r="M26" s="574"/>
      <c r="N26" s="574">
        <v>404.87465181095060559741183052</v>
      </c>
      <c r="O26" s="574">
        <v>563.80597014730194364001464950</v>
      </c>
      <c r="P26" s="574">
        <v>148.61244019140849559304961144</v>
      </c>
      <c r="Q26" s="574">
        <v>24.707135250377799780202680880</v>
      </c>
      <c r="R26" s="574">
        <v>38.660508083099887886756035140</v>
      </c>
      <c r="S26" s="574">
        <v>62.737457379552519698994735230</v>
      </c>
      <c r="T26" s="1006">
        <v>30.617115581374664890591574850</v>
      </c>
      <c r="U26" s="113"/>
      <c r="V26" s="573">
        <v>70.925216791275749300576486160</v>
      </c>
      <c r="W26" s="574">
        <v>-27.003821981851820098190248650</v>
      </c>
      <c r="X26" s="575">
        <v>68.982737229314182152003445530</v>
      </c>
      <c r="Y26" s="113"/>
      <c r="Z26" s="573">
        <v>60.300279329591923434037641090</v>
      </c>
      <c r="AA26" s="574">
        <v>-22.119363972988326777063891620</v>
      </c>
      <c r="AB26" s="575">
        <v>42.273807859057565122229685470</v>
      </c>
      <c r="AC26" s="113"/>
      <c r="AD26" s="573">
        <v>70.925216791275749300576486160</v>
      </c>
      <c r="AE26" s="574">
        <v>-27.003821981851820098190248650</v>
      </c>
      <c r="AF26" s="575">
        <v>68.982737229314182152003445530</v>
      </c>
      <c r="AG26" s="113"/>
    </row>
    <row r="27" ht="21.95" customHeight="1">
      <c r="B27" s="38" t="s">
        <v>35</v>
      </c>
      <c r="C27" s="271">
        <v>-76.632913951534007626513892270</v>
      </c>
      <c r="D27" s="92">
        <v>-58.948244146918598668142467590</v>
      </c>
      <c r="E27" s="92">
        <v>-36.323393702390403569575839790</v>
      </c>
      <c r="F27" s="92">
        <v>-41.238193165731333735285633380</v>
      </c>
      <c r="G27" s="92">
        <v>-33.608759352795240291585155080</v>
      </c>
      <c r="H27" s="1007">
        <v>-23.115136889548129603849605470</v>
      </c>
      <c r="I27" s="92">
        <v>-36.088263714756179348651220010</v>
      </c>
      <c r="J27" s="92">
        <v>-19.845659134594988710796915600</v>
      </c>
      <c r="K27" s="92">
        <v>83.92257511369014110067508875</v>
      </c>
      <c r="L27" s="92"/>
      <c r="M27" s="92"/>
      <c r="N27" s="92">
        <v>351.12476858600224143727600409</v>
      </c>
      <c r="O27" s="92">
        <v>320.29726990833681629670190124</v>
      </c>
      <c r="P27" s="92">
        <v>78.919702812897379978647925210</v>
      </c>
      <c r="Q27" s="92">
        <v>22.900440408259195166177447440</v>
      </c>
      <c r="R27" s="92">
        <v>29.140415778099053567915482180</v>
      </c>
      <c r="S27" s="92">
        <v>16.202700422425338741534966630</v>
      </c>
      <c r="T27" s="1007">
        <v>10.070613795149851325484725810</v>
      </c>
      <c r="U27" s="113"/>
      <c r="V27" s="271">
        <v>1.0215958927789218467955878400</v>
      </c>
      <c r="W27" s="92">
        <v>-35.152875339663512907369129800</v>
      </c>
      <c r="X27" s="272">
        <v>29.346316110586173851607442170</v>
      </c>
      <c r="Y27" s="113"/>
      <c r="Z27" s="271">
        <v>1.8687347882249060521192526100</v>
      </c>
      <c r="AA27" s="92">
        <v>-32.398914682578171230776770120</v>
      </c>
      <c r="AB27" s="272">
        <v>17.333712187037057035376605830</v>
      </c>
      <c r="AC27" s="113"/>
      <c r="AD27" s="271">
        <v>1.0215958927789218467955878400</v>
      </c>
      <c r="AE27" s="92">
        <v>-35.152875339663512907369129800</v>
      </c>
      <c r="AF27" s="272">
        <v>29.346316110586173851607442170</v>
      </c>
      <c r="AG27" s="113"/>
    </row>
    <row r="28" ht="21.95" customHeight="1">
      <c r="B28" s="40" t="s">
        <v>97</v>
      </c>
      <c r="C28" s="576">
        <v>-8.247010536353649628920576410</v>
      </c>
      <c r="D28" s="113">
        <v>-8.989377118305681990257025830</v>
      </c>
      <c r="E28" s="113">
        <v>39.511720864215190488166540240</v>
      </c>
      <c r="F28" s="113">
        <v>34.909042312889604469612298640</v>
      </c>
      <c r="G28" s="113">
        <v>4.2574307671783579628425260900</v>
      </c>
      <c r="H28" s="1008">
        <v>9.463274383203371594609169830</v>
      </c>
      <c r="I28" s="113">
        <v>53.477952156457307282423915750</v>
      </c>
      <c r="J28" s="113">
        <v>30.102144020571363056758327690</v>
      </c>
      <c r="K28" s="113">
        <v>22.702359817528454099980957860</v>
      </c>
      <c r="L28" s="113"/>
      <c r="M28" s="113"/>
      <c r="N28" s="113">
        <v>11.914638026275247261571550070</v>
      </c>
      <c r="O28" s="113">
        <v>57.937254813361619601076744080</v>
      </c>
      <c r="P28" s="113">
        <v>38.951963524643962049511709520</v>
      </c>
      <c r="Q28" s="113">
        <v>1.4700474921537876013007255600</v>
      </c>
      <c r="R28" s="113">
        <v>7.3718922520588229296083752200</v>
      </c>
      <c r="S28" s="113">
        <v>40.046192375763213232790696370</v>
      </c>
      <c r="T28" s="1008">
        <v>18.666655047880945941740962210</v>
      </c>
      <c r="U28" s="113"/>
      <c r="V28" s="576">
        <v>69.196710149635095246218370390</v>
      </c>
      <c r="W28" s="113">
        <v>12.566560815941224222435571840</v>
      </c>
      <c r="X28" s="577">
        <v>30.643641280909509710115831130</v>
      </c>
      <c r="Y28" s="113"/>
      <c r="Z28" s="576">
        <v>57.359644902804591259959290650</v>
      </c>
      <c r="AA28" s="113">
        <v>15.206191825713648837941958870</v>
      </c>
      <c r="AB28" s="577">
        <v>21.255694724963503980509873290</v>
      </c>
      <c r="AC28" s="113"/>
      <c r="AD28" s="576">
        <v>69.196710149635095246218370390</v>
      </c>
      <c r="AE28" s="113">
        <v>12.566560815941224222435571840</v>
      </c>
      <c r="AF28" s="577">
        <v>30.643641280909509710115831130</v>
      </c>
      <c r="AG28" s="113"/>
    </row>
    <row r="29" ht="21.95" customHeight="1">
      <c r="A29" s="23"/>
      <c r="B29" s="39" t="s">
        <v>23</v>
      </c>
      <c r="C29" s="273" t="s">
        <v>226</v>
      </c>
      <c r="D29" s="274" t="s">
        <v>226</v>
      </c>
      <c r="E29" s="274" t="s">
        <v>228</v>
      </c>
      <c r="F29" s="274" t="s">
        <v>228</v>
      </c>
      <c r="G29" s="274" t="s">
        <v>235</v>
      </c>
      <c r="H29" s="1009" t="s">
        <v>228</v>
      </c>
      <c r="I29" s="274" t="s">
        <v>238</v>
      </c>
      <c r="J29" s="274" t="s">
        <v>238</v>
      </c>
      <c r="K29" s="274" t="s">
        <v>238</v>
      </c>
      <c r="L29" s="274"/>
      <c r="M29" s="274"/>
      <c r="N29" s="274" t="s">
        <v>226</v>
      </c>
      <c r="O29" s="274" t="s">
        <v>224</v>
      </c>
      <c r="P29" s="274" t="s">
        <v>226</v>
      </c>
      <c r="Q29" s="274" t="s">
        <v>239</v>
      </c>
      <c r="R29" s="274" t="s">
        <v>239</v>
      </c>
      <c r="S29" s="274" t="s">
        <v>235</v>
      </c>
      <c r="T29" s="1009" t="s">
        <v>229</v>
      </c>
      <c r="U29" s="113"/>
      <c r="V29" s="273" t="s">
        <v>318</v>
      </c>
      <c r="W29" s="274" t="s">
        <v>312</v>
      </c>
      <c r="X29" s="275" t="s">
        <v>318</v>
      </c>
      <c r="Y29" s="113"/>
      <c r="Z29" s="273" t="s">
        <v>318</v>
      </c>
      <c r="AA29" s="274" t="s">
        <v>228</v>
      </c>
      <c r="AB29" s="275" t="s">
        <v>239</v>
      </c>
      <c r="AC29" s="113"/>
      <c r="AD29" s="273" t="s">
        <v>318</v>
      </c>
      <c r="AE29" s="274" t="s">
        <v>312</v>
      </c>
      <c r="AF29" s="275" t="s">
        <v>318</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2020</v>
      </c>
      <c r="D31" s="1002"/>
      <c r="E31" s="1002"/>
      <c r="F31" s="1002"/>
      <c r="G31" s="1002"/>
      <c r="H31" s="1002"/>
      <c r="I31" s="1002">
        <v>2021</v>
      </c>
      <c r="J31" s="1002"/>
      <c r="K31" s="1002"/>
      <c r="L31" s="1002"/>
      <c r="M31" s="1002"/>
      <c r="N31" s="1002"/>
      <c r="O31" s="1002"/>
      <c r="P31" s="1002"/>
      <c r="Q31" s="1002"/>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218</v>
      </c>
      <c r="D32" s="269" t="s">
        <v>219</v>
      </c>
      <c r="E32" s="269" t="s">
        <v>220</v>
      </c>
      <c r="F32" s="269" t="s">
        <v>221</v>
      </c>
      <c r="G32" s="269" t="s">
        <v>222</v>
      </c>
      <c r="H32" s="1005" t="s">
        <v>223</v>
      </c>
      <c r="I32" s="269" t="s">
        <v>227</v>
      </c>
      <c r="J32" s="269" t="s">
        <v>230</v>
      </c>
      <c r="K32" s="269" t="s">
        <v>231</v>
      </c>
      <c r="L32" s="269" t="s">
        <v>232</v>
      </c>
      <c r="M32" s="269" t="s">
        <v>233</v>
      </c>
      <c r="N32" s="269" t="s">
        <v>234</v>
      </c>
      <c r="O32" s="269" t="s">
        <v>218</v>
      </c>
      <c r="P32" s="269" t="s">
        <v>219</v>
      </c>
      <c r="Q32" s="269" t="s">
        <v>220</v>
      </c>
      <c r="R32" s="269" t="s">
        <v>221</v>
      </c>
      <c r="S32" s="269" t="s">
        <v>222</v>
      </c>
      <c r="T32" s="1005" t="s">
        <v>223</v>
      </c>
      <c r="U32" s="144"/>
      <c r="V32" s="268">
        <v>2019</v>
      </c>
      <c r="W32" s="269">
        <v>2020</v>
      </c>
      <c r="X32" s="270">
        <v>2021</v>
      </c>
      <c r="Y32" s="144"/>
      <c r="Z32" s="268">
        <v>2019</v>
      </c>
      <c r="AA32" s="269">
        <v>2020</v>
      </c>
      <c r="AB32" s="270">
        <v>2021</v>
      </c>
      <c r="AC32" s="144"/>
      <c r="AD32" s="268">
        <v>2019</v>
      </c>
      <c r="AE32" s="269">
        <v>2020</v>
      </c>
      <c r="AF32" s="270">
        <v>2021</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137.33955223880597014925373134</v>
      </c>
      <c r="D33" s="579">
        <v>110.25358851674641148325358852</v>
      </c>
      <c r="E33" s="579">
        <v>112.30937167199148029818956337</v>
      </c>
      <c r="F33" s="579">
        <v>119.25265588914549653579676674</v>
      </c>
      <c r="G33" s="579">
        <v>126.34193862640038967364831953</v>
      </c>
      <c r="H33" s="1010">
        <v>165.20900102284350494374360723</v>
      </c>
      <c r="I33" s="579">
        <v>167.68451188090466647580876038</v>
      </c>
      <c r="J33" s="579">
        <v>203.34657574859175807886154758</v>
      </c>
      <c r="K33" s="579">
        <v>236.42155525238744884038199181</v>
      </c>
      <c r="L33" s="579">
        <v>240.30954380072767982087881332</v>
      </c>
      <c r="M33" s="579">
        <v>270.11892752853729758428457659</v>
      </c>
      <c r="N33" s="579">
        <v>230.05903448275862068965517241</v>
      </c>
      <c r="O33" s="579">
        <v>267.21810005621135469364811692</v>
      </c>
      <c r="P33" s="579">
        <v>206.73171670515781370284834488</v>
      </c>
      <c r="Q33" s="579">
        <v>182.90093936806148590947907771</v>
      </c>
      <c r="R33" s="579">
        <v>185.16122584943371085942704863</v>
      </c>
      <c r="S33" s="579">
        <v>232.85902424423825202035318767</v>
      </c>
      <c r="T33" s="1010">
        <v>336.98538240668232837379274341</v>
      </c>
      <c r="U33" s="113"/>
      <c r="V33" s="578">
        <v>194.69180690332882938213978627</v>
      </c>
      <c r="W33" s="579">
        <v>205.63515078286260887076473846</v>
      </c>
      <c r="X33" s="580">
        <v>233.74962656841266679944234216</v>
      </c>
      <c r="Y33" s="113"/>
      <c r="Z33" s="578">
        <v>192.69440209104770202570246134</v>
      </c>
      <c r="AA33" s="579">
        <v>140.13704377010208362466787862</v>
      </c>
      <c r="AB33" s="580">
        <v>257.99361116571653233733045017</v>
      </c>
      <c r="AC33" s="113"/>
      <c r="AD33" s="578">
        <v>194.69180690332882938213978627</v>
      </c>
      <c r="AE33" s="579">
        <v>205.63515078286260887076473846</v>
      </c>
      <c r="AF33" s="580">
        <v>233.74962656841266679944234216</v>
      </c>
      <c r="AG33" s="113"/>
    </row>
    <row r="34" ht="21.95" customHeight="1">
      <c r="B34" s="38" t="s">
        <v>35</v>
      </c>
      <c r="C34" s="276">
        <v>124.91655570350643586329338657</v>
      </c>
      <c r="D34" s="94">
        <v>103.23243102550754815200416449</v>
      </c>
      <c r="E34" s="94">
        <v>124.3186705767350928641251222</v>
      </c>
      <c r="F34" s="94">
        <v>128.85117080879184025283723603</v>
      </c>
      <c r="G34" s="94">
        <v>125.98155880306193458594293669</v>
      </c>
      <c r="H34" s="1011">
        <v>177.88107891306527624586383235</v>
      </c>
      <c r="I34" s="94">
        <v>184.34108457711442786069651741</v>
      </c>
      <c r="J34" s="94">
        <v>211.58891276321443919209282338</v>
      </c>
      <c r="K34" s="94">
        <v>264.92983969520523326863633095</v>
      </c>
      <c r="L34" s="94">
        <v>256.66686838124054462934947053</v>
      </c>
      <c r="M34" s="94">
        <v>277.573555404486743711760707</v>
      </c>
      <c r="N34" s="94">
        <v>247.71128914785142024763292064</v>
      </c>
      <c r="O34" s="94">
        <v>243.863366193099449115685706</v>
      </c>
      <c r="P34" s="94">
        <v>200.90484273589615576635047428</v>
      </c>
      <c r="Q34" s="94">
        <v>186.20061962134251290877796902</v>
      </c>
      <c r="R34" s="94">
        <v>197.81733651226158038147138966</v>
      </c>
      <c r="S34" s="94">
        <v>241.59813583925433570173428071</v>
      </c>
      <c r="T34" s="1011">
        <v>348.91318597029495851056411687</v>
      </c>
      <c r="U34" s="113"/>
      <c r="V34" s="276">
        <v>209.84412766832981842497813898</v>
      </c>
      <c r="W34" s="94">
        <v>223.18590302999951209887041139</v>
      </c>
      <c r="X34" s="277">
        <v>244.13632952012674883858320578</v>
      </c>
      <c r="Y34" s="113"/>
      <c r="Z34" s="276">
        <v>208.67974042277476310034826274</v>
      </c>
      <c r="AA34" s="94">
        <v>147.0165127562998904366880576</v>
      </c>
      <c r="AB34" s="277">
        <v>267.75945269821820595292796244</v>
      </c>
      <c r="AC34" s="113"/>
      <c r="AD34" s="276">
        <v>209.84412766832981842497813898</v>
      </c>
      <c r="AE34" s="94">
        <v>223.18590302999951209887041139</v>
      </c>
      <c r="AF34" s="277">
        <v>244.13632952012674883858320578</v>
      </c>
      <c r="AG34" s="113"/>
    </row>
    <row r="35" ht="21.95" customHeight="1">
      <c r="B35" s="40" t="s">
        <v>98</v>
      </c>
      <c r="C35" s="576">
        <v>109.94503608055438721499612943</v>
      </c>
      <c r="D35" s="113">
        <v>106.80130984177251037359790810</v>
      </c>
      <c r="E35" s="113">
        <v>90.33990723273465878143069031</v>
      </c>
      <c r="F35" s="113">
        <v>92.55069638917754184378111780</v>
      </c>
      <c r="G35" s="113">
        <v>100.28605759982840932360373250</v>
      </c>
      <c r="H35" s="1008">
        <v>92.87609566590558074168521195</v>
      </c>
      <c r="I35" s="113">
        <v>90.96426456727181416634598032</v>
      </c>
      <c r="J35" s="113">
        <v>96.10455155377326383702715111</v>
      </c>
      <c r="K35" s="113">
        <v>89.23930785765174246049260043</v>
      </c>
      <c r="L35" s="113">
        <v>93.62702140573262985132390543</v>
      </c>
      <c r="M35" s="113">
        <v>97.31435948028752730371322921</v>
      </c>
      <c r="N35" s="113">
        <v>92.87385943296403438408802146</v>
      </c>
      <c r="O35" s="113">
        <v>109.57697510195886470874574236</v>
      </c>
      <c r="P35" s="113">
        <v>102.90031533830247299705606358</v>
      </c>
      <c r="Q35" s="113">
        <v>98.22788975676275668962478254</v>
      </c>
      <c r="R35" s="113">
        <v>93.60212260160353102209928529</v>
      </c>
      <c r="S35" s="113">
        <v>96.38279013840131957703917471</v>
      </c>
      <c r="T35" s="1008">
        <v>96.58144087319528401436522053</v>
      </c>
      <c r="U35" s="113"/>
      <c r="V35" s="576">
        <v>92.77924956329963870739255331</v>
      </c>
      <c r="W35" s="113">
        <v>92.13626308433206889385548109</v>
      </c>
      <c r="X35" s="577">
        <v>95.74553161664626571965958626</v>
      </c>
      <c r="Y35" s="113"/>
      <c r="Z35" s="576">
        <v>92.33977467130179403698265720</v>
      </c>
      <c r="AA35" s="113">
        <v>95.32061476821894575287604144</v>
      </c>
      <c r="AB35" s="577">
        <v>96.35275564164362366189700652</v>
      </c>
      <c r="AC35" s="113"/>
      <c r="AD35" s="576">
        <v>92.77924956329963870739255331</v>
      </c>
      <c r="AE35" s="113">
        <v>92.13626308433206889385548109</v>
      </c>
      <c r="AF35" s="577">
        <v>95.74553161664626571965958626</v>
      </c>
      <c r="AG35" s="113"/>
    </row>
    <row r="36" ht="21.95" customHeight="1">
      <c r="A36" s="23"/>
      <c r="B36" s="39" t="s">
        <v>23</v>
      </c>
      <c r="C36" s="273" t="s">
        <v>226</v>
      </c>
      <c r="D36" s="274" t="s">
        <v>224</v>
      </c>
      <c r="E36" s="274" t="s">
        <v>235</v>
      </c>
      <c r="F36" s="274" t="s">
        <v>235</v>
      </c>
      <c r="G36" s="274" t="s">
        <v>235</v>
      </c>
      <c r="H36" s="1009" t="s">
        <v>235</v>
      </c>
      <c r="I36" s="274" t="s">
        <v>236</v>
      </c>
      <c r="J36" s="274" t="s">
        <v>236</v>
      </c>
      <c r="K36" s="274" t="s">
        <v>237</v>
      </c>
      <c r="L36" s="274" t="s">
        <v>237</v>
      </c>
      <c r="M36" s="274" t="s">
        <v>237</v>
      </c>
      <c r="N36" s="274" t="s">
        <v>242</v>
      </c>
      <c r="O36" s="274" t="s">
        <v>236</v>
      </c>
      <c r="P36" s="274" t="s">
        <v>236</v>
      </c>
      <c r="Q36" s="274" t="s">
        <v>236</v>
      </c>
      <c r="R36" s="274" t="s">
        <v>313</v>
      </c>
      <c r="S36" s="274" t="s">
        <v>313</v>
      </c>
      <c r="T36" s="1009" t="s">
        <v>314</v>
      </c>
      <c r="U36" s="113"/>
      <c r="V36" s="273" t="s">
        <v>314</v>
      </c>
      <c r="W36" s="274" t="s">
        <v>317</v>
      </c>
      <c r="X36" s="275" t="s">
        <v>314</v>
      </c>
      <c r="Y36" s="113"/>
      <c r="Z36" s="273" t="s">
        <v>314</v>
      </c>
      <c r="AA36" s="274" t="s">
        <v>235</v>
      </c>
      <c r="AB36" s="275" t="s">
        <v>314</v>
      </c>
      <c r="AC36" s="113"/>
      <c r="AD36" s="273" t="s">
        <v>314</v>
      </c>
      <c r="AE36" s="274" t="s">
        <v>317</v>
      </c>
      <c r="AF36" s="275" t="s">
        <v>314</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-12.777911134788879084378639770</v>
      </c>
      <c r="D38" s="574">
        <v>-18.810593485602468349968749560</v>
      </c>
      <c r="E38" s="574">
        <v>-9.261080772852987257930738320</v>
      </c>
      <c r="F38" s="574">
        <v>-17.032278935931160348737112620</v>
      </c>
      <c r="G38" s="574">
        <v>-25.553202232646594983966306910</v>
      </c>
      <c r="H38" s="1006">
        <v>-34.081338107853217295269365600</v>
      </c>
      <c r="I38" s="574">
        <v>-46.116208887631862448077234380</v>
      </c>
      <c r="J38" s="574">
        <v>-39.284651729521294181115037140</v>
      </c>
      <c r="K38" s="574">
        <v>5.8718794580687135096387704100</v>
      </c>
      <c r="L38" s="574"/>
      <c r="M38" s="574"/>
      <c r="N38" s="574">
        <v>83.81170284164697676533084190</v>
      </c>
      <c r="O38" s="574">
        <v>94.56747579283222250525818635</v>
      </c>
      <c r="P38" s="574">
        <v>87.50565808009448037464337649</v>
      </c>
      <c r="Q38" s="574">
        <v>62.854565603148828120779834780</v>
      </c>
      <c r="R38" s="574">
        <v>55.268010149497998698846866090</v>
      </c>
      <c r="S38" s="574">
        <v>84.30857304858609216838980761</v>
      </c>
      <c r="T38" s="1006">
        <v>103.97519524991013283641442340</v>
      </c>
      <c r="U38" s="113"/>
      <c r="V38" s="573">
        <v>8.093746079949460543994557350</v>
      </c>
      <c r="W38" s="574">
        <v>5.6208548544613259021366218100</v>
      </c>
      <c r="X38" s="575">
        <v>13.672018464972760852009297750</v>
      </c>
      <c r="Y38" s="113"/>
      <c r="Z38" s="573">
        <v>-5.6143334766350631587511650900</v>
      </c>
      <c r="AA38" s="574">
        <v>-27.274979319885839337582836260</v>
      </c>
      <c r="AB38" s="575">
        <v>84.10093735740892845007746608</v>
      </c>
      <c r="AC38" s="113"/>
      <c r="AD38" s="573">
        <v>8.093746079949460543994557350</v>
      </c>
      <c r="AE38" s="574">
        <v>5.6208548544613259021366218100</v>
      </c>
      <c r="AF38" s="575">
        <v>13.672018464972760852009297750</v>
      </c>
      <c r="AG38" s="113"/>
    </row>
    <row r="39" ht="21.95" customHeight="1">
      <c r="B39" s="38" t="s">
        <v>35</v>
      </c>
      <c r="C39" s="271">
        <v>-24.442484264193335128575138820</v>
      </c>
      <c r="D39" s="92">
        <v>-30.580448521034715515016937090</v>
      </c>
      <c r="E39" s="92">
        <v>-7.7219734598496942667989761500</v>
      </c>
      <c r="F39" s="92">
        <v>-15.689308782595720996213757850</v>
      </c>
      <c r="G39" s="92">
        <v>-29.846544754773917631945125960</v>
      </c>
      <c r="H39" s="1007">
        <v>-38.411044588654464181722994810</v>
      </c>
      <c r="I39" s="92">
        <v>-38.383846519955655874364739830</v>
      </c>
      <c r="J39" s="92">
        <v>-36.951616388661150588819537150</v>
      </c>
      <c r="K39" s="92">
        <v>4.3150652902973028350434512900</v>
      </c>
      <c r="L39" s="92"/>
      <c r="M39" s="92"/>
      <c r="N39" s="92">
        <v>113.69942474427461439055638719</v>
      </c>
      <c r="O39" s="92">
        <v>95.22101359561158124362157758</v>
      </c>
      <c r="P39" s="92">
        <v>94.61407693311956021689054908</v>
      </c>
      <c r="Q39" s="92">
        <v>49.776874831092768091764475470</v>
      </c>
      <c r="R39" s="92">
        <v>53.523895258817064313935972400</v>
      </c>
      <c r="S39" s="92">
        <v>91.77261984577808263038825024</v>
      </c>
      <c r="T39" s="1007">
        <v>96.1496906260328225603953300</v>
      </c>
      <c r="U39" s="113"/>
      <c r="V39" s="271">
        <v>-2.1624990568413551918584142900</v>
      </c>
      <c r="W39" s="92">
        <v>6.3579455426976815210186014800</v>
      </c>
      <c r="X39" s="272">
        <v>9.386984664219878367191158250</v>
      </c>
      <c r="Y39" s="113"/>
      <c r="Z39" s="271">
        <v>-4.5891566709531468718008098600</v>
      </c>
      <c r="AA39" s="92">
        <v>-29.549216201614025138658809960</v>
      </c>
      <c r="AB39" s="272">
        <v>82.12882871332022514184467911</v>
      </c>
      <c r="AC39" s="113"/>
      <c r="AD39" s="271">
        <v>-2.1624990568413551918584142900</v>
      </c>
      <c r="AE39" s="92">
        <v>6.3579455426976815210186014800</v>
      </c>
      <c r="AF39" s="272">
        <v>9.386984664219878367191158250</v>
      </c>
      <c r="AG39" s="113"/>
    </row>
    <row r="40" ht="21.95" customHeight="1">
      <c r="B40" s="40" t="s">
        <v>98</v>
      </c>
      <c r="C40" s="576">
        <v>15.438005095598101764877420170</v>
      </c>
      <c r="D40" s="113">
        <v>16.954668799505370383821021240</v>
      </c>
      <c r="E40" s="113">
        <v>-1.6679022847630227419108897900</v>
      </c>
      <c r="F40" s="113">
        <v>-1.5928823900636988228534702100</v>
      </c>
      <c r="G40" s="113">
        <v>6.1199302402390305515623848300</v>
      </c>
      <c r="H40" s="1008">
        <v>7.0300047336025452274648196100</v>
      </c>
      <c r="I40" s="113">
        <v>-12.549245499654727382465026910</v>
      </c>
      <c r="J40" s="113">
        <v>-3.7003888239888439697301281600</v>
      </c>
      <c r="K40" s="113">
        <v>1.4924154660868601177823137700</v>
      </c>
      <c r="L40" s="113"/>
      <c r="M40" s="113"/>
      <c r="N40" s="113">
        <v>-13.985869142388362881480987270</v>
      </c>
      <c r="O40" s="113">
        <v>-0.3347681639499505472085138100</v>
      </c>
      <c r="P40" s="113">
        <v>-3.6525717795745160412646818600</v>
      </c>
      <c r="Q40" s="113">
        <v>8.731448554341190437214898170</v>
      </c>
      <c r="R40" s="113">
        <v>1.1360543501282880589034016200</v>
      </c>
      <c r="S40" s="113">
        <v>-3.892133717106518992720916700</v>
      </c>
      <c r="T40" s="1008">
        <v>3.989557464414089393865880400</v>
      </c>
      <c r="U40" s="113"/>
      <c r="V40" s="576">
        <v>10.482938584865657803943691510</v>
      </c>
      <c r="W40" s="113">
        <v>-0.6930283247540649448508373600</v>
      </c>
      <c r="X40" s="577">
        <v>3.9173159530509375784403648800</v>
      </c>
      <c r="Y40" s="113"/>
      <c r="Z40" s="576">
        <v>-1.0744866829581485246095941100</v>
      </c>
      <c r="AA40" s="113">
        <v>3.2281214758534781398443131200</v>
      </c>
      <c r="AB40" s="577">
        <v>1.082809711155951493133465500</v>
      </c>
      <c r="AC40" s="113"/>
      <c r="AD40" s="576">
        <v>10.482938584865657803943691510</v>
      </c>
      <c r="AE40" s="113">
        <v>-0.6930283247540649448508373600</v>
      </c>
      <c r="AF40" s="577">
        <v>3.9173159530509375784403648800</v>
      </c>
      <c r="AG40" s="113"/>
    </row>
    <row r="41" ht="21.95" customHeight="1">
      <c r="A41" s="23"/>
      <c r="B41" s="39" t="s">
        <v>23</v>
      </c>
      <c r="C41" s="273" t="s">
        <v>226</v>
      </c>
      <c r="D41" s="274" t="s">
        <v>224</v>
      </c>
      <c r="E41" s="274" t="s">
        <v>235</v>
      </c>
      <c r="F41" s="274" t="s">
        <v>235</v>
      </c>
      <c r="G41" s="274" t="s">
        <v>235</v>
      </c>
      <c r="H41" s="1009" t="s">
        <v>235</v>
      </c>
      <c r="I41" s="274" t="s">
        <v>242</v>
      </c>
      <c r="J41" s="274" t="s">
        <v>237</v>
      </c>
      <c r="K41" s="274" t="s">
        <v>237</v>
      </c>
      <c r="L41" s="274"/>
      <c r="M41" s="274"/>
      <c r="N41" s="274" t="s">
        <v>225</v>
      </c>
      <c r="O41" s="274" t="s">
        <v>226</v>
      </c>
      <c r="P41" s="274" t="s">
        <v>226</v>
      </c>
      <c r="Q41" s="274" t="s">
        <v>229</v>
      </c>
      <c r="R41" s="274" t="s">
        <v>229</v>
      </c>
      <c r="S41" s="274" t="s">
        <v>229</v>
      </c>
      <c r="T41" s="1009" t="s">
        <v>229</v>
      </c>
      <c r="U41" s="113"/>
      <c r="V41" s="273" t="s">
        <v>318</v>
      </c>
      <c r="W41" s="274" t="s">
        <v>314</v>
      </c>
      <c r="X41" s="275" t="s">
        <v>314</v>
      </c>
      <c r="Y41" s="113"/>
      <c r="Z41" s="273" t="s">
        <v>312</v>
      </c>
      <c r="AA41" s="274" t="s">
        <v>235</v>
      </c>
      <c r="AB41" s="275" t="s">
        <v>229</v>
      </c>
      <c r="AC41" s="113"/>
      <c r="AD41" s="273" t="s">
        <v>318</v>
      </c>
      <c r="AE41" s="274" t="s">
        <v>314</v>
      </c>
      <c r="AF41" s="275" t="s">
        <v>314</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2020</v>
      </c>
      <c r="D43" s="1002"/>
      <c r="E43" s="1002"/>
      <c r="F43" s="1002"/>
      <c r="G43" s="1002"/>
      <c r="H43" s="1002"/>
      <c r="I43" s="1002">
        <v>2021</v>
      </c>
      <c r="J43" s="1002"/>
      <c r="K43" s="1002"/>
      <c r="L43" s="1002"/>
      <c r="M43" s="1002"/>
      <c r="N43" s="1002"/>
      <c r="O43" s="1002"/>
      <c r="P43" s="1002"/>
      <c r="Q43" s="1002"/>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218</v>
      </c>
      <c r="D44" s="269" t="s">
        <v>219</v>
      </c>
      <c r="E44" s="269" t="s">
        <v>220</v>
      </c>
      <c r="F44" s="269" t="s">
        <v>221</v>
      </c>
      <c r="G44" s="269" t="s">
        <v>222</v>
      </c>
      <c r="H44" s="1005" t="s">
        <v>223</v>
      </c>
      <c r="I44" s="269" t="s">
        <v>227</v>
      </c>
      <c r="J44" s="269" t="s">
        <v>230</v>
      </c>
      <c r="K44" s="269" t="s">
        <v>231</v>
      </c>
      <c r="L44" s="269" t="s">
        <v>232</v>
      </c>
      <c r="M44" s="269" t="s">
        <v>233</v>
      </c>
      <c r="N44" s="269" t="s">
        <v>234</v>
      </c>
      <c r="O44" s="269" t="s">
        <v>218</v>
      </c>
      <c r="P44" s="269" t="s">
        <v>219</v>
      </c>
      <c r="Q44" s="269" t="s">
        <v>220</v>
      </c>
      <c r="R44" s="269" t="s">
        <v>221</v>
      </c>
      <c r="S44" s="269" t="s">
        <v>222</v>
      </c>
      <c r="T44" s="1005" t="s">
        <v>223</v>
      </c>
      <c r="U44" s="144"/>
      <c r="V44" s="268">
        <v>2019</v>
      </c>
      <c r="W44" s="269">
        <v>2020</v>
      </c>
      <c r="X44" s="270">
        <v>2021</v>
      </c>
      <c r="Y44" s="144"/>
      <c r="Z44" s="268">
        <v>2019</v>
      </c>
      <c r="AA44" s="269">
        <v>2020</v>
      </c>
      <c r="AB44" s="270">
        <v>2021</v>
      </c>
      <c r="AC44" s="144"/>
      <c r="AD44" s="268">
        <v>2019</v>
      </c>
      <c r="AE44" s="269">
        <v>2020</v>
      </c>
      <c r="AF44" s="270">
        <v>2021</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17.989736070381231671554252199</v>
      </c>
      <c r="D45" s="579">
        <v>28.15615835777126099706744868</v>
      </c>
      <c r="E45" s="579">
        <v>53.261868686868686868686868687</v>
      </c>
      <c r="F45" s="579">
        <v>63.094330400782013685239491691</v>
      </c>
      <c r="G45" s="579">
        <v>65.500000000</v>
      </c>
      <c r="H45" s="1010">
        <v>118.41593352883675464320625611</v>
      </c>
      <c r="I45" s="579">
        <v>143.13831867057673509286412512</v>
      </c>
      <c r="J45" s="579">
        <v>185.57575757575757575757575758</v>
      </c>
      <c r="K45" s="579">
        <v>211.75097751710654936461388074</v>
      </c>
      <c r="L45" s="579">
        <v>216.82474747474747474747474747</v>
      </c>
      <c r="M45" s="579">
        <v>248.66520039100684261974584555</v>
      </c>
      <c r="N45" s="579">
        <v>210.5969696969696969696969697</v>
      </c>
      <c r="O45" s="579">
        <v>232.34652981427174975562072336</v>
      </c>
      <c r="P45" s="579">
        <v>131.2534213098729227761485826</v>
      </c>
      <c r="Q45" s="579">
        <v>108.17020202020202020202020202</v>
      </c>
      <c r="R45" s="579">
        <v>135.83919843597262952101661779</v>
      </c>
      <c r="S45" s="579">
        <v>196.46010101010101010101010101</v>
      </c>
      <c r="T45" s="1010">
        <v>315.4914467253176930596285435</v>
      </c>
      <c r="U45" s="113"/>
      <c r="V45" s="578">
        <v>131.58870900788709007887090079</v>
      </c>
      <c r="W45" s="579">
        <v>101.45382513661202185792349727</v>
      </c>
      <c r="X45" s="580">
        <v>194.87868410128684101286841013</v>
      </c>
      <c r="Y45" s="113"/>
      <c r="Z45" s="578">
        <v>145.6949934123847167325428195</v>
      </c>
      <c r="AA45" s="579">
        <v>82.51976284584980237154150198</v>
      </c>
      <c r="AB45" s="580">
        <v>216.14188076416337285902503294</v>
      </c>
      <c r="AC45" s="113"/>
      <c r="AD45" s="578">
        <v>131.58870900788709007887090079</v>
      </c>
      <c r="AE45" s="579">
        <v>101.45382513661202185792349727</v>
      </c>
      <c r="AF45" s="580">
        <v>194.87868410128684101286841013</v>
      </c>
      <c r="AG45" s="113"/>
    </row>
    <row r="46" ht="21.95" customHeight="1">
      <c r="B46" s="38" t="s">
        <v>35</v>
      </c>
      <c r="C46" s="276">
        <v>23.703950138970774025098964036</v>
      </c>
      <c r="D46" s="94">
        <v>33.405120862461046070917207109</v>
      </c>
      <c r="E46" s="94">
        <v>52.661697722567287784679089027</v>
      </c>
      <c r="F46" s="94">
        <v>59.903359380217725238763106926</v>
      </c>
      <c r="G46" s="94">
        <v>74.962939958592132505175983437</v>
      </c>
      <c r="H46" s="1011">
        <v>118.48046483670607092766980565</v>
      </c>
      <c r="I46" s="94">
        <v>107.10069950283269742166724477</v>
      </c>
      <c r="J46" s="94">
        <v>157.56765232974910394265232975</v>
      </c>
      <c r="K46" s="94">
        <v>213.05578679616140594288357035</v>
      </c>
      <c r="L46" s="94">
        <v>202.6962962962962962962962963</v>
      </c>
      <c r="M46" s="94">
        <v>236.04503410798936293213088218</v>
      </c>
      <c r="N46" s="94">
        <v>203.170609318996415770609319</v>
      </c>
      <c r="O46" s="94">
        <v>194.49294716152156318649554862</v>
      </c>
      <c r="P46" s="94">
        <v>116.31760897213550699502832697</v>
      </c>
      <c r="Q46" s="94">
        <v>96.93777777777777777777777778</v>
      </c>
      <c r="R46" s="94">
        <v>118.76523695107612085271714125</v>
      </c>
      <c r="S46" s="94">
        <v>167.05113576333861595351294242</v>
      </c>
      <c r="T46" s="1011">
        <v>255.8030775522723787127447472</v>
      </c>
      <c r="U46" s="113"/>
      <c r="V46" s="276">
        <v>177.13043813907040357770879014</v>
      </c>
      <c r="W46" s="94">
        <v>122.16698634733853349706926705</v>
      </c>
      <c r="X46" s="277">
        <v>172.85166836196324850512866826</v>
      </c>
      <c r="Y46" s="113"/>
      <c r="Z46" s="276">
        <v>177.53522738234686143457589747</v>
      </c>
      <c r="AA46" s="94">
        <v>84.55202988567827887298586731</v>
      </c>
      <c r="AB46" s="277">
        <v>180.68643285330393440363811755</v>
      </c>
      <c r="AC46" s="113"/>
      <c r="AD46" s="276">
        <v>177.13043813907040357770879014</v>
      </c>
      <c r="AE46" s="94">
        <v>122.16698634733853349706926705</v>
      </c>
      <c r="AF46" s="277">
        <v>172.85166836196324850512866826</v>
      </c>
      <c r="AG46" s="113"/>
    </row>
    <row r="47" ht="21.95" customHeight="1">
      <c r="B47" s="40" t="s">
        <v>99</v>
      </c>
      <c r="C47" s="576">
        <v>75.893410022007185848471820110</v>
      </c>
      <c r="D47" s="113">
        <v>84.28695251155849362188443271</v>
      </c>
      <c r="E47" s="113">
        <v>101.13967264683190393612007413</v>
      </c>
      <c r="F47" s="113">
        <v>105.32686489301977861323988627</v>
      </c>
      <c r="G47" s="113">
        <v>87.37650902723498982243814059</v>
      </c>
      <c r="H47" s="1008">
        <v>99.94553422122519894345049587</v>
      </c>
      <c r="I47" s="113">
        <v>133.64835088382488267807926439</v>
      </c>
      <c r="J47" s="113">
        <v>117.77528879302879774885029498</v>
      </c>
      <c r="K47" s="113">
        <v>99.38757388443843707382189501</v>
      </c>
      <c r="L47" s="113">
        <v>106.97025620921981103241152941</v>
      </c>
      <c r="M47" s="113">
        <v>105.34650785207530352832692448</v>
      </c>
      <c r="N47" s="113">
        <v>103.65523360040389356993866861</v>
      </c>
      <c r="O47" s="113">
        <v>119.46270196693236701987306489</v>
      </c>
      <c r="P47" s="113">
        <v>112.84054277741848005587393340</v>
      </c>
      <c r="Q47" s="113">
        <v>111.58725163699717823783662122</v>
      </c>
      <c r="R47" s="113">
        <v>114.37622819876991208985106281</v>
      </c>
      <c r="S47" s="113">
        <v>117.60476821206776005183988290</v>
      </c>
      <c r="T47" s="1008">
        <v>123.33371816484429309494600344</v>
      </c>
      <c r="U47" s="113"/>
      <c r="V47" s="576">
        <v>74.289156844162977704157416760</v>
      </c>
      <c r="W47" s="113">
        <v>83.04520572207946765849525158</v>
      </c>
      <c r="X47" s="577">
        <v>112.74330525592469887908163041</v>
      </c>
      <c r="Y47" s="113"/>
      <c r="Z47" s="576">
        <v>82.06539939175577691655249229</v>
      </c>
      <c r="AA47" s="113">
        <v>97.59643021867567361310763898</v>
      </c>
      <c r="AB47" s="577">
        <v>119.62263981360741070586869443</v>
      </c>
      <c r="AC47" s="113"/>
      <c r="AD47" s="576">
        <v>74.289156844162977704157416760</v>
      </c>
      <c r="AE47" s="113">
        <v>83.04520572207946765849525158</v>
      </c>
      <c r="AF47" s="577">
        <v>112.74330525592469887908163041</v>
      </c>
      <c r="AG47" s="113"/>
    </row>
    <row r="48" ht="21.95" customHeight="1">
      <c r="A48" s="23"/>
      <c r="B48" s="39" t="s">
        <v>23</v>
      </c>
      <c r="C48" s="273" t="s">
        <v>225</v>
      </c>
      <c r="D48" s="274" t="s">
        <v>225</v>
      </c>
      <c r="E48" s="274" t="s">
        <v>229</v>
      </c>
      <c r="F48" s="274" t="s">
        <v>235</v>
      </c>
      <c r="G48" s="274" t="s">
        <v>229</v>
      </c>
      <c r="H48" s="1009" t="s">
        <v>235</v>
      </c>
      <c r="I48" s="274" t="s">
        <v>236</v>
      </c>
      <c r="J48" s="274" t="s">
        <v>236</v>
      </c>
      <c r="K48" s="274" t="s">
        <v>237</v>
      </c>
      <c r="L48" s="274" t="s">
        <v>237</v>
      </c>
      <c r="M48" s="274" t="s">
        <v>237</v>
      </c>
      <c r="N48" s="274" t="s">
        <v>237</v>
      </c>
      <c r="O48" s="274" t="s">
        <v>236</v>
      </c>
      <c r="P48" s="274" t="s">
        <v>236</v>
      </c>
      <c r="Q48" s="274" t="s">
        <v>236</v>
      </c>
      <c r="R48" s="274" t="s">
        <v>314</v>
      </c>
      <c r="S48" s="274" t="s">
        <v>313</v>
      </c>
      <c r="T48" s="1009" t="s">
        <v>314</v>
      </c>
      <c r="U48" s="113"/>
      <c r="V48" s="273" t="s">
        <v>315</v>
      </c>
      <c r="W48" s="274" t="s">
        <v>317</v>
      </c>
      <c r="X48" s="275" t="s">
        <v>313</v>
      </c>
      <c r="Y48" s="113"/>
      <c r="Z48" s="273" t="s">
        <v>312</v>
      </c>
      <c r="AA48" s="274" t="s">
        <v>235</v>
      </c>
      <c r="AB48" s="275" t="s">
        <v>314</v>
      </c>
      <c r="AC48" s="113"/>
      <c r="AD48" s="273" t="s">
        <v>315</v>
      </c>
      <c r="AE48" s="274" t="s">
        <v>317</v>
      </c>
      <c r="AF48" s="275" t="s">
        <v>313</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-81.29958414729626539982486785</v>
      </c>
      <c r="D50" s="574">
        <v>-69.666453411674539126018052980</v>
      </c>
      <c r="E50" s="574">
        <v>-19.390874972239895690474199910</v>
      </c>
      <c r="F50" s="574">
        <v>-34.227346721461052953040187490</v>
      </c>
      <c r="G50" s="574">
        <v>-48.469563109768168193802123210</v>
      </c>
      <c r="H50" s="1006">
        <v>-44.522400192357368170595140420</v>
      </c>
      <c r="I50" s="574">
        <v>-47.145160810023494132376986930</v>
      </c>
      <c r="J50" s="574">
        <v>-36.684507230560669348828049140</v>
      </c>
      <c r="K50" s="574">
        <v>138.92884126477982882392119617</v>
      </c>
      <c r="L50" s="574"/>
      <c r="M50" s="574"/>
      <c r="N50" s="574">
        <v>828.0186947079862310574865075</v>
      </c>
      <c r="O50" s="574">
        <v>1191.5505202801207504013161454</v>
      </c>
      <c r="P50" s="574">
        <v>366.16239204917050126020932647</v>
      </c>
      <c r="Q50" s="574">
        <v>103.09126338784837961539329120</v>
      </c>
      <c r="R50" s="574">
        <v>115.29541176373315822828155812</v>
      </c>
      <c r="S50" s="574">
        <v>199.93908551160459557406122292</v>
      </c>
      <c r="T50" s="1006">
        <v>166.42651653680275745749143577</v>
      </c>
      <c r="U50" s="113"/>
      <c r="V50" s="573">
        <v>84.75946982501326306113629962</v>
      </c>
      <c r="W50" s="574">
        <v>-22.900812766146078637758322040</v>
      </c>
      <c r="X50" s="575">
        <v>92.08608826616171883247526863</v>
      </c>
      <c r="Y50" s="113"/>
      <c r="Z50" s="573">
        <v>51.300487084047935453758297530</v>
      </c>
      <c r="AA50" s="574">
        <v>-43.361291343572961445259553310</v>
      </c>
      <c r="AB50" s="575">
        <v>161.92741388272703239124683003</v>
      </c>
      <c r="AC50" s="113"/>
      <c r="AD50" s="573">
        <v>84.75946982501326306113629962</v>
      </c>
      <c r="AE50" s="574">
        <v>-22.900812766146078637758322040</v>
      </c>
      <c r="AF50" s="575">
        <v>92.08608826616171883247526863</v>
      </c>
      <c r="AG50" s="113"/>
    </row>
    <row r="51" ht="21.95" customHeight="1">
      <c r="B51" s="38" t="s">
        <v>35</v>
      </c>
      <c r="C51" s="271">
        <v>-82.34441028192714591026205375</v>
      </c>
      <c r="D51" s="92">
        <v>-71.502055212540313384749233560</v>
      </c>
      <c r="E51" s="92">
        <v>-41.240484340856423769366231630</v>
      </c>
      <c r="F51" s="92">
        <v>-50.457514486197235147520700990</v>
      </c>
      <c r="G51" s="92">
        <v>-53.424250705860627494507526560</v>
      </c>
      <c r="H51" s="1007">
        <v>-52.647415940838918515249170290</v>
      </c>
      <c r="I51" s="92">
        <v>-60.620046478740206992505725750</v>
      </c>
      <c r="J51" s="92">
        <v>-49.463983690041658512321609240</v>
      </c>
      <c r="K51" s="92">
        <v>91.85895431323760570460245777</v>
      </c>
      <c r="L51" s="92"/>
      <c r="M51" s="92"/>
      <c r="N51" s="92">
        <v>864.0510353502865802311910424</v>
      </c>
      <c r="O51" s="92">
        <v>720.50859042908301143931776231</v>
      </c>
      <c r="P51" s="92">
        <v>248.20292808074107292126647958</v>
      </c>
      <c r="Q51" s="92">
        <v>84.07643879695223462130536812</v>
      </c>
      <c r="R51" s="92">
        <v>98.26139665604776981942451741</v>
      </c>
      <c r="S51" s="92">
        <v>122.84496293181194681969929195</v>
      </c>
      <c r="T51" s="1007">
        <v>115.90316842936280909928418534</v>
      </c>
      <c r="U51" s="113"/>
      <c r="V51" s="271">
        <v>-1.1629951655561955001917049200</v>
      </c>
      <c r="W51" s="92">
        <v>-31.029930467737472213729810290</v>
      </c>
      <c r="X51" s="272">
        <v>41.488034967626444563805500030</v>
      </c>
      <c r="Y51" s="113"/>
      <c r="Z51" s="271">
        <v>-2.8061810499764931156086405700</v>
      </c>
      <c r="AA51" s="92">
        <v>-52.374505537649711883140400160</v>
      </c>
      <c r="AB51" s="272">
        <v>113.69851569212630121327480823</v>
      </c>
      <c r="AC51" s="113"/>
      <c r="AD51" s="271">
        <v>-1.1629951655561955001917049200</v>
      </c>
      <c r="AE51" s="92">
        <v>-31.029930467737472213729810290</v>
      </c>
      <c r="AF51" s="272">
        <v>41.488034967626444563805500030</v>
      </c>
      <c r="AG51" s="113"/>
    </row>
    <row r="52" ht="21.95" customHeight="1">
      <c r="B52" s="40" t="s">
        <v>99</v>
      </c>
      <c r="C52" s="576">
        <v>5.9178206524269795812871728400</v>
      </c>
      <c r="D52" s="113">
        <v>6.4411725636269962541703258800</v>
      </c>
      <c r="E52" s="113">
        <v>37.184801684317485994772042550</v>
      </c>
      <c r="F52" s="113">
        <v>32.760099935229900844244112200</v>
      </c>
      <c r="G52" s="113">
        <v>10.637912800425831958111264460</v>
      </c>
      <c r="H52" s="1008">
        <v>17.158547753855059680615444470</v>
      </c>
      <c r="I52" s="113">
        <v>34.217627152421481854898090730</v>
      </c>
      <c r="J52" s="113">
        <v>25.287858823495667287686506230</v>
      </c>
      <c r="K52" s="113">
        <v>24.533588812611736464480562980</v>
      </c>
      <c r="L52" s="113"/>
      <c r="M52" s="113"/>
      <c r="N52" s="113">
        <v>-3.737596799187642915956728700</v>
      </c>
      <c r="O52" s="113">
        <v>57.408531165357427164617363900</v>
      </c>
      <c r="P52" s="113">
        <v>33.876643317824059935025343870</v>
      </c>
      <c r="Q52" s="113">
        <v>10.329852486948635103595006090</v>
      </c>
      <c r="R52" s="113">
        <v>8.591695304861704624032137250</v>
      </c>
      <c r="S52" s="113">
        <v>34.595407302731457565438928720</v>
      </c>
      <c r="T52" s="1008">
        <v>23.400929442111377551893050360</v>
      </c>
      <c r="U52" s="113"/>
      <c r="V52" s="576">
        <v>86.93349736213898122252674707</v>
      </c>
      <c r="W52" s="113">
        <v>11.786442665169488100166911360</v>
      </c>
      <c r="X52" s="577">
        <v>35.761365482319995153541911790</v>
      </c>
      <c r="Y52" s="113"/>
      <c r="Z52" s="576">
        <v>55.668836473956257728766892170</v>
      </c>
      <c r="AA52" s="113">
        <v>18.925187645437254765902588020</v>
      </c>
      <c r="AB52" s="577">
        <v>22.568663162730178111000366410</v>
      </c>
      <c r="AC52" s="113"/>
      <c r="AD52" s="576">
        <v>86.93349736213898122252674707</v>
      </c>
      <c r="AE52" s="113">
        <v>11.786442665169488100166911360</v>
      </c>
      <c r="AF52" s="577">
        <v>35.761365482319995153541911790</v>
      </c>
      <c r="AG52" s="113"/>
    </row>
    <row r="53" ht="21.95" customHeight="1">
      <c r="A53" s="23"/>
      <c r="B53" s="39" t="s">
        <v>23</v>
      </c>
      <c r="C53" s="273" t="s">
        <v>226</v>
      </c>
      <c r="D53" s="274" t="s">
        <v>226</v>
      </c>
      <c r="E53" s="274" t="s">
        <v>228</v>
      </c>
      <c r="F53" s="274" t="s">
        <v>235</v>
      </c>
      <c r="G53" s="274" t="s">
        <v>228</v>
      </c>
      <c r="H53" s="1009" t="s">
        <v>228</v>
      </c>
      <c r="I53" s="274" t="s">
        <v>238</v>
      </c>
      <c r="J53" s="274" t="s">
        <v>238</v>
      </c>
      <c r="K53" s="274" t="s">
        <v>238</v>
      </c>
      <c r="L53" s="274"/>
      <c r="M53" s="274"/>
      <c r="N53" s="274" t="s">
        <v>311</v>
      </c>
      <c r="O53" s="274" t="s">
        <v>224</v>
      </c>
      <c r="P53" s="274" t="s">
        <v>224</v>
      </c>
      <c r="Q53" s="274" t="s">
        <v>239</v>
      </c>
      <c r="R53" s="274" t="s">
        <v>229</v>
      </c>
      <c r="S53" s="274" t="s">
        <v>235</v>
      </c>
      <c r="T53" s="1009" t="s">
        <v>229</v>
      </c>
      <c r="U53" s="113"/>
      <c r="V53" s="273" t="s">
        <v>318</v>
      </c>
      <c r="W53" s="274" t="s">
        <v>312</v>
      </c>
      <c r="X53" s="275" t="s">
        <v>318</v>
      </c>
      <c r="Y53" s="113"/>
      <c r="Z53" s="273" t="s">
        <v>318</v>
      </c>
      <c r="AA53" s="274" t="s">
        <v>228</v>
      </c>
      <c r="AB53" s="275" t="s">
        <v>229</v>
      </c>
      <c r="AC53" s="113"/>
      <c r="AD53" s="273" t="s">
        <v>318</v>
      </c>
      <c r="AE53" s="274" t="s">
        <v>312</v>
      </c>
      <c r="AF53" s="275" t="s">
        <v>318</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H19"/>
    <mergeCell ref="C31:H31"/>
    <mergeCell ref="C43:H43"/>
    <mergeCell ref="I19:T19"/>
    <mergeCell ref="I31:T31"/>
    <mergeCell ref="I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8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171</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243</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245</v>
      </c>
      <c r="I6" s="1050"/>
      <c r="J6" s="1050"/>
      <c r="K6" s="1050"/>
      <c r="L6" s="1050"/>
      <c r="M6" s="1050"/>
      <c r="N6" s="1050"/>
      <c r="O6" s="1050"/>
      <c r="P6" s="1050"/>
      <c r="Q6" s="1050"/>
      <c r="R6" s="1050"/>
      <c r="S6" s="1050"/>
      <c r="T6" s="1050"/>
      <c r="U6" s="1050"/>
      <c r="Z6" s="1050" t="s">
        <v>246</v>
      </c>
      <c r="AA6" s="1050"/>
      <c r="AB6" s="1050"/>
      <c r="AC6" s="1050"/>
      <c r="AD6" s="1050"/>
      <c r="AE6" s="1050"/>
      <c r="AF6" s="1050"/>
      <c r="AG6" s="1050"/>
      <c r="AH6" s="1050"/>
      <c r="AI6" s="1050"/>
      <c r="AJ6" s="1050"/>
      <c r="AK6" s="1050"/>
      <c r="AL6" s="1050"/>
      <c r="AM6" s="1050"/>
    </row>
    <row r="7" ht="15" customHeight="1">
      <c r="D7" s="93" t="s">
        <v>248</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250</v>
      </c>
      <c r="E8" s="71"/>
      <c r="F8" s="71"/>
      <c r="G8" s="71"/>
      <c r="H8" s="1052"/>
      <c r="I8" s="1052"/>
      <c r="J8" s="1053"/>
      <c r="K8" s="1053"/>
      <c r="L8" s="1053"/>
      <c r="M8" s="1053"/>
      <c r="N8" s="1053">
        <v>1</v>
      </c>
      <c r="O8" s="1053"/>
      <c r="P8" s="1053">
        <v>2</v>
      </c>
      <c r="Q8" s="1053"/>
      <c r="R8" s="1053">
        <v>3</v>
      </c>
      <c r="S8" s="1053"/>
      <c r="T8" s="1054">
        <v>4</v>
      </c>
      <c r="U8" s="1054"/>
      <c r="Z8" s="1052"/>
      <c r="AA8" s="1052"/>
      <c r="AB8" s="1053"/>
      <c r="AC8" s="1053"/>
      <c r="AD8" s="1053">
        <v>1</v>
      </c>
      <c r="AE8" s="1053"/>
      <c r="AF8" s="1053">
        <v>2</v>
      </c>
      <c r="AG8" s="1053"/>
      <c r="AH8" s="1053">
        <v>3</v>
      </c>
      <c r="AI8" s="1053"/>
      <c r="AJ8" s="1053">
        <v>4</v>
      </c>
      <c r="AK8" s="1053"/>
      <c r="AL8" s="1054">
        <v>5</v>
      </c>
      <c r="AM8" s="1054"/>
    </row>
    <row r="9" ht="15" customHeight="1">
      <c r="D9" s="175" t="s">
        <v>252</v>
      </c>
      <c r="H9" s="1055">
        <v>5</v>
      </c>
      <c r="I9" s="1055"/>
      <c r="J9" s="1056">
        <v>6</v>
      </c>
      <c r="K9" s="1056"/>
      <c r="L9" s="1056">
        <v>7</v>
      </c>
      <c r="M9" s="1056"/>
      <c r="N9" s="1056">
        <v>8</v>
      </c>
      <c r="O9" s="1056"/>
      <c r="P9" s="1056">
        <v>9</v>
      </c>
      <c r="Q9" s="1056"/>
      <c r="R9" s="1056">
        <v>10</v>
      </c>
      <c r="S9" s="1056"/>
      <c r="T9" s="1057">
        <v>11</v>
      </c>
      <c r="U9" s="1057"/>
      <c r="Z9" s="1055">
        <v>6</v>
      </c>
      <c r="AA9" s="1055"/>
      <c r="AB9" s="1056">
        <v>7</v>
      </c>
      <c r="AC9" s="1056"/>
      <c r="AD9" s="1056">
        <v>8</v>
      </c>
      <c r="AE9" s="1056"/>
      <c r="AF9" s="1056">
        <v>9</v>
      </c>
      <c r="AG9" s="1056"/>
      <c r="AH9" s="1056">
        <v>10</v>
      </c>
      <c r="AI9" s="1056"/>
      <c r="AJ9" s="1056">
        <v>11</v>
      </c>
      <c r="AK9" s="1056"/>
      <c r="AL9" s="1057">
        <v>12</v>
      </c>
      <c r="AM9" s="1057"/>
    </row>
    <row r="10" ht="15" customHeight="1">
      <c r="D10" t="s">
        <v>254</v>
      </c>
      <c r="H10" s="1058">
        <v>12</v>
      </c>
      <c r="I10" s="1058"/>
      <c r="J10" s="1059">
        <v>13</v>
      </c>
      <c r="K10" s="1059"/>
      <c r="L10" s="1059">
        <v>14</v>
      </c>
      <c r="M10" s="1059"/>
      <c r="N10" s="1059">
        <v>15</v>
      </c>
      <c r="O10" s="1059"/>
      <c r="P10" s="1059">
        <v>16</v>
      </c>
      <c r="Q10" s="1059"/>
      <c r="R10" s="1059">
        <v>17</v>
      </c>
      <c r="S10" s="1059"/>
      <c r="T10" s="1060">
        <v>18</v>
      </c>
      <c r="U10" s="1060"/>
      <c r="Z10" s="1058">
        <v>13</v>
      </c>
      <c r="AA10" s="1058"/>
      <c r="AB10" s="1059">
        <v>14</v>
      </c>
      <c r="AC10" s="1059"/>
      <c r="AD10" s="1059">
        <v>15</v>
      </c>
      <c r="AE10" s="1059"/>
      <c r="AF10" s="1059">
        <v>16</v>
      </c>
      <c r="AG10" s="1059"/>
      <c r="AH10" s="1059">
        <v>17</v>
      </c>
      <c r="AI10" s="1059"/>
      <c r="AJ10" s="1059">
        <v>18</v>
      </c>
      <c r="AK10" s="1059"/>
      <c r="AL10" s="1060">
        <v>19</v>
      </c>
      <c r="AM10" s="1060"/>
    </row>
    <row r="11" ht="15" customHeight="1">
      <c r="H11" s="1055">
        <v>19</v>
      </c>
      <c r="I11" s="1055"/>
      <c r="J11" s="1056">
        <v>20</v>
      </c>
      <c r="K11" s="1056"/>
      <c r="L11" s="1056">
        <v>21</v>
      </c>
      <c r="M11" s="1056"/>
      <c r="N11" s="1056">
        <v>22</v>
      </c>
      <c r="O11" s="1056"/>
      <c r="P11" s="1056">
        <v>23</v>
      </c>
      <c r="Q11" s="1056"/>
      <c r="R11" s="1056">
        <v>24</v>
      </c>
      <c r="S11" s="1056"/>
      <c r="T11" s="1057">
        <v>25</v>
      </c>
      <c r="U11" s="1057"/>
      <c r="Z11" s="1055">
        <v>20</v>
      </c>
      <c r="AA11" s="1055"/>
      <c r="AB11" s="1056">
        <v>21</v>
      </c>
      <c r="AC11" s="1056"/>
      <c r="AD11" s="1056">
        <v>22</v>
      </c>
      <c r="AE11" s="1056"/>
      <c r="AF11" s="1056">
        <v>23</v>
      </c>
      <c r="AG11" s="1056"/>
      <c r="AH11" s="1056">
        <v>24</v>
      </c>
      <c r="AI11" s="1056"/>
      <c r="AJ11" s="1056">
        <v>25</v>
      </c>
      <c r="AK11" s="1056"/>
      <c r="AL11" s="1057">
        <v>26</v>
      </c>
      <c r="AM11" s="1057"/>
      <c r="AN11" t="s">
        <v>27</v>
      </c>
    </row>
    <row r="12" ht="15" customHeight="1">
      <c r="A12" s="68"/>
      <c r="H12" s="1058">
        <v>26</v>
      </c>
      <c r="I12" s="1058"/>
      <c r="J12" s="1059">
        <v>27</v>
      </c>
      <c r="K12" s="1059"/>
      <c r="L12" s="1059">
        <v>28</v>
      </c>
      <c r="M12" s="1059"/>
      <c r="N12" s="1059">
        <v>29</v>
      </c>
      <c r="O12" s="1059"/>
      <c r="P12" s="1059">
        <v>30</v>
      </c>
      <c r="Q12" s="1059"/>
      <c r="R12" s="1059">
        <v>31</v>
      </c>
      <c r="S12" s="1059"/>
      <c r="T12" s="1060"/>
      <c r="U12" s="1060"/>
      <c r="Z12" s="1058">
        <v>27</v>
      </c>
      <c r="AA12" s="1058"/>
      <c r="AB12" s="1059">
        <v>28</v>
      </c>
      <c r="AC12" s="1059"/>
      <c r="AD12" s="1059">
        <v>29</v>
      </c>
      <c r="AE12" s="1059"/>
      <c r="AF12" s="1059">
        <v>30</v>
      </c>
      <c r="AG12" s="1059"/>
      <c r="AH12" s="1059">
        <v>31</v>
      </c>
      <c r="AI12" s="1059"/>
      <c r="AJ12" s="1059"/>
      <c r="AK12" s="1059"/>
      <c r="AL12" s="1060"/>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256</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t="s">
        <v>248</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250</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252</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254</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2020</v>
      </c>
      <c r="S21" s="993"/>
      <c r="T21" s="993"/>
      <c r="U21" s="993"/>
      <c r="V21" s="993"/>
      <c r="W21" s="993"/>
      <c r="X21" s="993"/>
      <c r="Y21" s="993"/>
      <c r="Z21" s="993"/>
      <c r="AA21" s="993"/>
      <c r="AB21" s="993"/>
      <c r="AC21" s="993"/>
      <c r="AD21" s="995">
        <v>2021</v>
      </c>
      <c r="AE21" s="995"/>
      <c r="AF21" s="995"/>
      <c r="AG21" s="995"/>
      <c r="AH21" s="995"/>
      <c r="AI21" s="995"/>
      <c r="AJ21" s="995"/>
      <c r="AK21" s="995"/>
      <c r="AL21" s="995"/>
      <c r="AM21" s="995"/>
      <c r="AN21" s="995"/>
      <c r="AO21" s="995"/>
    </row>
    <row r="22" s="5" customFormat="1" ht="30" customHeight="1">
      <c r="B22" s="76"/>
      <c r="C22" s="77" t="s">
        <v>71</v>
      </c>
      <c r="D22" s="77" t="s">
        <v>21</v>
      </c>
      <c r="E22" s="177" t="s">
        <v>244</v>
      </c>
      <c r="F22" s="10" t="s">
        <v>60</v>
      </c>
      <c r="G22" s="10" t="s">
        <v>61</v>
      </c>
      <c r="H22" s="1065" t="s">
        <v>34</v>
      </c>
      <c r="I22" s="1065"/>
      <c r="J22" s="1065"/>
      <c r="K22" s="1065"/>
      <c r="L22" s="1065" t="s">
        <v>62</v>
      </c>
      <c r="M22" s="1065"/>
      <c r="N22" s="1065"/>
      <c r="O22" s="1065"/>
      <c r="R22" s="617" t="s">
        <v>227</v>
      </c>
      <c r="S22" s="618" t="s">
        <v>230</v>
      </c>
      <c r="T22" s="618" t="s">
        <v>231</v>
      </c>
      <c r="U22" s="618" t="s">
        <v>232</v>
      </c>
      <c r="V22" s="618" t="s">
        <v>233</v>
      </c>
      <c r="W22" s="618" t="s">
        <v>234</v>
      </c>
      <c r="X22" s="618" t="s">
        <v>218</v>
      </c>
      <c r="Y22" s="618" t="s">
        <v>219</v>
      </c>
      <c r="Z22" s="618" t="s">
        <v>220</v>
      </c>
      <c r="AA22" s="618" t="s">
        <v>221</v>
      </c>
      <c r="AB22" s="618" t="s">
        <v>222</v>
      </c>
      <c r="AC22" s="1015" t="s">
        <v>223</v>
      </c>
      <c r="AD22" s="618" t="s">
        <v>227</v>
      </c>
      <c r="AE22" s="618" t="s">
        <v>230</v>
      </c>
      <c r="AF22" s="618" t="s">
        <v>231</v>
      </c>
      <c r="AG22" s="618" t="s">
        <v>232</v>
      </c>
      <c r="AH22" s="618" t="s">
        <v>233</v>
      </c>
      <c r="AI22" s="618" t="s">
        <v>234</v>
      </c>
      <c r="AJ22" s="618" t="s">
        <v>218</v>
      </c>
      <c r="AK22" s="618" t="s">
        <v>219</v>
      </c>
      <c r="AL22" s="618" t="s">
        <v>220</v>
      </c>
      <c r="AM22" s="618" t="s">
        <v>221</v>
      </c>
      <c r="AN22" s="618" t="s">
        <v>222</v>
      </c>
      <c r="AO22" s="1015" t="s">
        <v>223</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261</v>
      </c>
      <c r="F23" s="1016" t="s">
        <v>262</v>
      </c>
      <c r="G23" s="1016" t="s">
        <v>263</v>
      </c>
      <c r="H23" s="1017" t="s">
        <v>264</v>
      </c>
      <c r="I23" s="1017"/>
      <c r="J23" s="1017"/>
      <c r="K23" s="1017"/>
      <c r="L23" s="1017" t="s">
        <v>265</v>
      </c>
      <c r="M23" s="1017"/>
      <c r="N23" s="1017"/>
      <c r="O23" s="1017"/>
      <c r="P23" s="80"/>
      <c r="Q23" s="4"/>
      <c r="R23" s="1018" t="s">
        <v>266</v>
      </c>
      <c r="S23" s="1019" t="s">
        <v>266</v>
      </c>
      <c r="T23" s="1019" t="s">
        <v>266</v>
      </c>
      <c r="U23" s="1019" t="s">
        <v>267</v>
      </c>
      <c r="V23" s="1019" t="s">
        <v>267</v>
      </c>
      <c r="W23" s="1019" t="s">
        <v>266</v>
      </c>
      <c r="X23" s="1019" t="s">
        <v>266</v>
      </c>
      <c r="Y23" s="1019" t="s">
        <v>266</v>
      </c>
      <c r="Z23" s="1019" t="s">
        <v>266</v>
      </c>
      <c r="AA23" s="1019" t="s">
        <v>266</v>
      </c>
      <c r="AB23" s="1019" t="s">
        <v>266</v>
      </c>
      <c r="AC23" s="1019" t="s">
        <v>266</v>
      </c>
      <c r="AD23" s="1019" t="s">
        <v>266</v>
      </c>
      <c r="AE23" s="1019" t="s">
        <v>266</v>
      </c>
      <c r="AF23" s="1019" t="s">
        <v>266</v>
      </c>
      <c r="AG23" s="1019" t="s">
        <v>266</v>
      </c>
      <c r="AH23" s="1019" t="s">
        <v>266</v>
      </c>
      <c r="AI23" s="1019" t="s">
        <v>266</v>
      </c>
      <c r="AJ23" s="1019" t="s">
        <v>266</v>
      </c>
      <c r="AK23" s="1019" t="s">
        <v>266</v>
      </c>
      <c r="AL23" s="1019" t="s">
        <v>266</v>
      </c>
      <c r="AM23" s="1019" t="s">
        <v>266</v>
      </c>
      <c r="AN23" s="1019" t="s">
        <v>266</v>
      </c>
      <c r="AO23" s="1020" t="s">
        <v>266</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31851</v>
      </c>
      <c r="D24" s="1021" t="s">
        <v>319</v>
      </c>
      <c r="E24" s="1021" t="s">
        <v>261</v>
      </c>
      <c r="F24" s="1021" t="s">
        <v>320</v>
      </c>
      <c r="G24" s="1021" t="s">
        <v>321</v>
      </c>
      <c r="H24" s="1023" t="s">
        <v>322</v>
      </c>
      <c r="I24" s="1023"/>
      <c r="J24" s="1023"/>
      <c r="K24" s="1023"/>
      <c r="L24" s="1023" t="s">
        <v>323</v>
      </c>
      <c r="M24" s="1023"/>
      <c r="N24" s="1023"/>
      <c r="O24" s="1023"/>
      <c r="P24" s="80"/>
      <c r="Q24" s="4"/>
      <c r="R24" s="1024" t="s">
        <v>266</v>
      </c>
      <c r="S24" s="1025" t="s">
        <v>266</v>
      </c>
      <c r="T24" s="1025" t="s">
        <v>266</v>
      </c>
      <c r="U24" s="1025" t="s">
        <v>267</v>
      </c>
      <c r="V24" s="1025" t="s">
        <v>267</v>
      </c>
      <c r="W24" s="1025" t="s">
        <v>266</v>
      </c>
      <c r="X24" s="1025" t="s">
        <v>266</v>
      </c>
      <c r="Y24" s="1025" t="s">
        <v>266</v>
      </c>
      <c r="Z24" s="1025" t="s">
        <v>266</v>
      </c>
      <c r="AA24" s="1025" t="s">
        <v>266</v>
      </c>
      <c r="AB24" s="1025" t="s">
        <v>266</v>
      </c>
      <c r="AC24" s="1025" t="s">
        <v>266</v>
      </c>
      <c r="AD24" s="1025" t="s">
        <v>266</v>
      </c>
      <c r="AE24" s="1025" t="s">
        <v>266</v>
      </c>
      <c r="AF24" s="1025" t="s">
        <v>266</v>
      </c>
      <c r="AG24" s="1025" t="s">
        <v>266</v>
      </c>
      <c r="AH24" s="1025" t="s">
        <v>266</v>
      </c>
      <c r="AI24" s="1025" t="s">
        <v>266</v>
      </c>
      <c r="AJ24" s="1025" t="s">
        <v>266</v>
      </c>
      <c r="AK24" s="1025" t="s">
        <v>266</v>
      </c>
      <c r="AL24" s="1025" t="s">
        <v>266</v>
      </c>
      <c r="AM24" s="1025" t="s">
        <v>266</v>
      </c>
      <c r="AN24" s="1025" t="s">
        <v>266</v>
      </c>
      <c r="AO24" s="1026" t="s">
        <v>266</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33931</v>
      </c>
      <c r="D25" s="1016" t="s">
        <v>268</v>
      </c>
      <c r="E25" s="1016" t="s">
        <v>261</v>
      </c>
      <c r="F25" s="1027" t="s">
        <v>269</v>
      </c>
      <c r="G25" s="1016" t="s">
        <v>270</v>
      </c>
      <c r="H25" s="1017" t="s">
        <v>271</v>
      </c>
      <c r="I25" s="1017"/>
      <c r="J25" s="1017"/>
      <c r="K25" s="1017"/>
      <c r="L25" s="1017" t="s">
        <v>272</v>
      </c>
      <c r="M25" s="1017"/>
      <c r="N25" s="1017"/>
      <c r="O25" s="1017"/>
      <c r="P25" s="80"/>
      <c r="Q25" s="4"/>
      <c r="R25" s="1018" t="s">
        <v>266</v>
      </c>
      <c r="S25" s="1019" t="s">
        <v>266</v>
      </c>
      <c r="T25" s="1019" t="s">
        <v>266</v>
      </c>
      <c r="U25" s="1019" t="s">
        <v>267</v>
      </c>
      <c r="V25" s="1019" t="s">
        <v>267</v>
      </c>
      <c r="W25" s="1019" t="s">
        <v>273</v>
      </c>
      <c r="X25" s="1019" t="s">
        <v>266</v>
      </c>
      <c r="Y25" s="1019" t="s">
        <v>266</v>
      </c>
      <c r="Z25" s="1019" t="s">
        <v>266</v>
      </c>
      <c r="AA25" s="1019" t="s">
        <v>266</v>
      </c>
      <c r="AB25" s="1019" t="s">
        <v>266</v>
      </c>
      <c r="AC25" s="1019" t="s">
        <v>266</v>
      </c>
      <c r="AD25" s="1019" t="s">
        <v>266</v>
      </c>
      <c r="AE25" s="1019" t="s">
        <v>266</v>
      </c>
      <c r="AF25" s="1019" t="s">
        <v>266</v>
      </c>
      <c r="AG25" s="1019" t="s">
        <v>266</v>
      </c>
      <c r="AH25" s="1019" t="s">
        <v>266</v>
      </c>
      <c r="AI25" s="1019" t="s">
        <v>266</v>
      </c>
      <c r="AJ25" s="1019" t="s">
        <v>266</v>
      </c>
      <c r="AK25" s="1019" t="s">
        <v>266</v>
      </c>
      <c r="AL25" s="1019" t="s">
        <v>266</v>
      </c>
      <c r="AM25" s="1019" t="s">
        <v>266</v>
      </c>
      <c r="AN25" s="1019" t="s">
        <v>266</v>
      </c>
      <c r="AO25" s="1020" t="s">
        <v>266</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34401</v>
      </c>
      <c r="D26" s="1021" t="s">
        <v>274</v>
      </c>
      <c r="E26" s="1021" t="s">
        <v>261</v>
      </c>
      <c r="F26" s="1022" t="s">
        <v>269</v>
      </c>
      <c r="G26" s="1021" t="s">
        <v>275</v>
      </c>
      <c r="H26" s="1023" t="s">
        <v>276</v>
      </c>
      <c r="I26" s="1023"/>
      <c r="J26" s="1023"/>
      <c r="K26" s="1023"/>
      <c r="L26" s="1023" t="s">
        <v>277</v>
      </c>
      <c r="M26" s="1023"/>
      <c r="N26" s="1023"/>
      <c r="O26" s="1023"/>
      <c r="P26" s="80"/>
      <c r="Q26" s="4"/>
      <c r="R26" s="1024" t="s">
        <v>266</v>
      </c>
      <c r="S26" s="1025" t="s">
        <v>266</v>
      </c>
      <c r="T26" s="1025" t="s">
        <v>266</v>
      </c>
      <c r="U26" s="1025" t="s">
        <v>267</v>
      </c>
      <c r="V26" s="1025" t="s">
        <v>267</v>
      </c>
      <c r="W26" s="1025" t="s">
        <v>267</v>
      </c>
      <c r="X26" s="1025" t="s">
        <v>267</v>
      </c>
      <c r="Y26" s="1025" t="s">
        <v>267</v>
      </c>
      <c r="Z26" s="1025" t="s">
        <v>267</v>
      </c>
      <c r="AA26" s="1025" t="s">
        <v>267</v>
      </c>
      <c r="AB26" s="1025" t="s">
        <v>267</v>
      </c>
      <c r="AC26" s="1025" t="s">
        <v>267</v>
      </c>
      <c r="AD26" s="1025" t="s">
        <v>266</v>
      </c>
      <c r="AE26" s="1025" t="s">
        <v>266</v>
      </c>
      <c r="AF26" s="1025" t="s">
        <v>266</v>
      </c>
      <c r="AG26" s="1025" t="s">
        <v>266</v>
      </c>
      <c r="AH26" s="1025" t="s">
        <v>266</v>
      </c>
      <c r="AI26" s="1025" t="s">
        <v>266</v>
      </c>
      <c r="AJ26" s="1025" t="s">
        <v>266</v>
      </c>
      <c r="AK26" s="1025" t="s">
        <v>266</v>
      </c>
      <c r="AL26" s="1025" t="s">
        <v>266</v>
      </c>
      <c r="AM26" s="1025" t="s">
        <v>266</v>
      </c>
      <c r="AN26" s="1025" t="s">
        <v>266</v>
      </c>
      <c r="AO26" s="1026" t="s">
        <v>266</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35815</v>
      </c>
      <c r="D27" s="1016" t="s">
        <v>324</v>
      </c>
      <c r="E27" s="1016" t="s">
        <v>261</v>
      </c>
      <c r="F27" s="1027" t="s">
        <v>269</v>
      </c>
      <c r="G27" s="1016" t="s">
        <v>325</v>
      </c>
      <c r="H27" s="1017" t="s">
        <v>326</v>
      </c>
      <c r="I27" s="1017"/>
      <c r="J27" s="1017"/>
      <c r="K27" s="1017"/>
      <c r="L27" s="1017" t="s">
        <v>327</v>
      </c>
      <c r="M27" s="1017"/>
      <c r="N27" s="1017"/>
      <c r="O27" s="1017"/>
      <c r="P27" s="80"/>
      <c r="Q27" s="4"/>
      <c r="R27" s="1018" t="s">
        <v>266</v>
      </c>
      <c r="S27" s="1019" t="s">
        <v>266</v>
      </c>
      <c r="T27" s="1019" t="s">
        <v>266</v>
      </c>
      <c r="U27" s="1019" t="s">
        <v>267</v>
      </c>
      <c r="V27" s="1019" t="s">
        <v>267</v>
      </c>
      <c r="W27" s="1019" t="s">
        <v>267</v>
      </c>
      <c r="X27" s="1019" t="s">
        <v>267</v>
      </c>
      <c r="Y27" s="1019" t="s">
        <v>267</v>
      </c>
      <c r="Z27" s="1019" t="s">
        <v>266</v>
      </c>
      <c r="AA27" s="1019" t="s">
        <v>266</v>
      </c>
      <c r="AB27" s="1019" t="s">
        <v>266</v>
      </c>
      <c r="AC27" s="1019" t="s">
        <v>266</v>
      </c>
      <c r="AD27" s="1019" t="s">
        <v>266</v>
      </c>
      <c r="AE27" s="1019" t="s">
        <v>266</v>
      </c>
      <c r="AF27" s="1019" t="s">
        <v>266</v>
      </c>
      <c r="AG27" s="1019" t="s">
        <v>266</v>
      </c>
      <c r="AH27" s="1019" t="s">
        <v>266</v>
      </c>
      <c r="AI27" s="1019" t="s">
        <v>266</v>
      </c>
      <c r="AJ27" s="1019" t="s">
        <v>266</v>
      </c>
      <c r="AK27" s="1019" t="s">
        <v>266</v>
      </c>
      <c r="AL27" s="1019" t="s">
        <v>266</v>
      </c>
      <c r="AM27" s="1019" t="s">
        <v>266</v>
      </c>
      <c r="AN27" s="1019" t="s">
        <v>266</v>
      </c>
      <c r="AO27" s="1020" t="s">
        <v>266</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39070</v>
      </c>
      <c r="D28" s="1021" t="s">
        <v>278</v>
      </c>
      <c r="E28" s="1021" t="s">
        <v>261</v>
      </c>
      <c r="F28" s="1022" t="s">
        <v>269</v>
      </c>
      <c r="G28" s="1021" t="s">
        <v>279</v>
      </c>
      <c r="H28" s="1023" t="s">
        <v>280</v>
      </c>
      <c r="I28" s="1023"/>
      <c r="J28" s="1023"/>
      <c r="K28" s="1023"/>
      <c r="L28" s="1023" t="s">
        <v>281</v>
      </c>
      <c r="M28" s="1023"/>
      <c r="N28" s="1023"/>
      <c r="O28" s="1023"/>
      <c r="P28" s="80"/>
      <c r="Q28" s="4"/>
      <c r="R28" s="1024" t="s">
        <v>266</v>
      </c>
      <c r="S28" s="1025" t="s">
        <v>266</v>
      </c>
      <c r="T28" s="1025" t="s">
        <v>266</v>
      </c>
      <c r="U28" s="1025" t="s">
        <v>267</v>
      </c>
      <c r="V28" s="1025" t="s">
        <v>267</v>
      </c>
      <c r="W28" s="1025" t="s">
        <v>267</v>
      </c>
      <c r="X28" s="1025" t="s">
        <v>267</v>
      </c>
      <c r="Y28" s="1025" t="s">
        <v>267</v>
      </c>
      <c r="Z28" s="1025" t="s">
        <v>267</v>
      </c>
      <c r="AA28" s="1025" t="s">
        <v>267</v>
      </c>
      <c r="AB28" s="1025" t="s">
        <v>267</v>
      </c>
      <c r="AC28" s="1025" t="s">
        <v>267</v>
      </c>
      <c r="AD28" s="1025" t="s">
        <v>267</v>
      </c>
      <c r="AE28" s="1025" t="s">
        <v>267</v>
      </c>
      <c r="AF28" s="1025" t="s">
        <v>267</v>
      </c>
      <c r="AG28" s="1025" t="s">
        <v>267</v>
      </c>
      <c r="AH28" s="1025" t="s">
        <v>267</v>
      </c>
      <c r="AI28" s="1025" t="s">
        <v>267</v>
      </c>
      <c r="AJ28" s="1025" t="s">
        <v>267</v>
      </c>
      <c r="AK28" s="1025" t="s">
        <v>267</v>
      </c>
      <c r="AL28" s="1025" t="s">
        <v>267</v>
      </c>
      <c r="AM28" s="1025" t="s">
        <v>266</v>
      </c>
      <c r="AN28" s="1025" t="s">
        <v>266</v>
      </c>
      <c r="AO28" s="1026" t="s">
        <v>266</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16">
        <v>43915</v>
      </c>
      <c r="D29" s="1016" t="s">
        <v>328</v>
      </c>
      <c r="E29" s="1016" t="s">
        <v>261</v>
      </c>
      <c r="F29" s="1016" t="s">
        <v>329</v>
      </c>
      <c r="G29" s="1016" t="s">
        <v>330</v>
      </c>
      <c r="H29" s="1017" t="s">
        <v>331</v>
      </c>
      <c r="I29" s="1017"/>
      <c r="J29" s="1017"/>
      <c r="K29" s="1017"/>
      <c r="L29" s="1017" t="s">
        <v>332</v>
      </c>
      <c r="M29" s="1017"/>
      <c r="N29" s="1017"/>
      <c r="O29" s="1017"/>
      <c r="P29" s="80"/>
      <c r="Q29" s="4"/>
      <c r="R29" s="1018" t="s">
        <v>266</v>
      </c>
      <c r="S29" s="1019" t="s">
        <v>266</v>
      </c>
      <c r="T29" s="1019" t="s">
        <v>266</v>
      </c>
      <c r="U29" s="1019" t="s">
        <v>267</v>
      </c>
      <c r="V29" s="1019" t="s">
        <v>267</v>
      </c>
      <c r="W29" s="1019" t="s">
        <v>266</v>
      </c>
      <c r="X29" s="1019" t="s">
        <v>266</v>
      </c>
      <c r="Y29" s="1019" t="s">
        <v>266</v>
      </c>
      <c r="Z29" s="1019" t="s">
        <v>266</v>
      </c>
      <c r="AA29" s="1019" t="s">
        <v>266</v>
      </c>
      <c r="AB29" s="1019" t="s">
        <v>266</v>
      </c>
      <c r="AC29" s="1019" t="s">
        <v>266</v>
      </c>
      <c r="AD29" s="1019" t="s">
        <v>266</v>
      </c>
      <c r="AE29" s="1019" t="s">
        <v>266</v>
      </c>
      <c r="AF29" s="1019" t="s">
        <v>266</v>
      </c>
      <c r="AG29" s="1019" t="s">
        <v>266</v>
      </c>
      <c r="AH29" s="1019" t="s">
        <v>266</v>
      </c>
      <c r="AI29" s="1019" t="s">
        <v>266</v>
      </c>
      <c r="AJ29" s="1019" t="s">
        <v>266</v>
      </c>
      <c r="AK29" s="1019" t="s">
        <v>266</v>
      </c>
      <c r="AL29" s="1019" t="s">
        <v>266</v>
      </c>
      <c r="AM29" s="1019" t="s">
        <v>266</v>
      </c>
      <c r="AN29" s="1019" t="s">
        <v>266</v>
      </c>
      <c r="AO29" s="1020" t="s">
        <v>266</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1017">
        <v>763</v>
      </c>
      <c r="I30" s="1017"/>
      <c r="J30" s="1017"/>
      <c r="K30" s="1017"/>
      <c r="L30" s="1072"/>
      <c r="M30" s="1072"/>
      <c r="N30" s="1072"/>
      <c r="O30" s="1072"/>
      <c r="P30" s="80"/>
      <c r="Q30" s="4"/>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6"/>
      <c r="I31" s="996"/>
      <c r="J31" s="996"/>
      <c r="K31" s="996"/>
      <c r="L31" s="1072"/>
      <c r="M31" s="1072"/>
      <c r="N31" s="1072"/>
      <c r="O31" s="1072"/>
      <c r="P31" s="80"/>
      <c r="Q31" s="4"/>
      <c r="R31" s="182"/>
      <c r="S31" s="182"/>
      <c r="T31" s="182"/>
      <c r="U31" s="182"/>
      <c r="V31" s="182"/>
      <c r="W31" s="182"/>
      <c r="X31" s="1028" t="s">
        <v>291</v>
      </c>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82"/>
      <c r="Y32" s="182"/>
      <c r="Z32" s="182"/>
      <c r="AA32" s="1029" t="s">
        <v>273</v>
      </c>
      <c r="AB32" s="1028" t="s">
        <v>292</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29" t="s">
        <v>266</v>
      </c>
      <c r="AB33" s="1028" t="s">
        <v>293</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AC21"/>
    <mergeCell ref="AD21:AO21"/>
    <mergeCell ref="H30:K30"/>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8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173</v>
      </c>
      <c r="C1" s="130"/>
      <c r="P1" s="222"/>
      <c r="Q1" s="222"/>
      <c r="R1" s="222"/>
      <c r="S1" s="222"/>
      <c r="T1" s="222"/>
      <c r="U1" s="222"/>
      <c r="W1" s="281"/>
      <c r="X1" s="281"/>
      <c r="Y1" s="281"/>
      <c r="Z1" s="281"/>
      <c r="AA1" s="281"/>
      <c r="AB1" s="281"/>
      <c r="AC1" s="281"/>
      <c r="AD1" s="281"/>
      <c r="AE1" s="281"/>
      <c r="AF1" s="281"/>
      <c r="AG1" s="281"/>
      <c r="AH1" s="281"/>
      <c r="AI1" s="281"/>
      <c r="AJ1" s="281"/>
      <c r="AK1" s="281"/>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208</v>
      </c>
      <c r="C2" s="130"/>
      <c r="W2" s="281"/>
      <c r="X2" s="281"/>
      <c r="Y2" s="281"/>
      <c r="Z2" s="281"/>
      <c r="AA2" s="281"/>
      <c r="AB2" s="281"/>
      <c r="AC2" s="281"/>
      <c r="AD2" s="281"/>
      <c r="AE2" s="281"/>
      <c r="AF2" s="281"/>
      <c r="AG2" s="281"/>
      <c r="AH2" s="281"/>
      <c r="AI2" s="281"/>
      <c r="AJ2" s="281"/>
      <c r="AK2" s="281"/>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209</v>
      </c>
      <c r="C3" s="130"/>
      <c r="O3" s="1113"/>
      <c r="P3" s="1113"/>
      <c r="Q3" s="1113"/>
      <c r="R3" s="1113"/>
      <c r="S3" s="1113"/>
      <c r="T3" s="1113"/>
      <c r="U3" s="1113"/>
      <c r="W3" s="281"/>
      <c r="X3" s="281"/>
      <c r="Y3" s="281"/>
      <c r="Z3" s="281"/>
      <c r="AA3" s="281"/>
      <c r="AB3" s="281"/>
      <c r="AC3" s="281"/>
      <c r="AD3" s="281"/>
      <c r="AE3" s="281"/>
      <c r="AF3" s="281"/>
      <c r="AG3" s="281"/>
      <c r="AH3" s="281"/>
      <c r="AI3" s="281"/>
      <c r="AJ3" s="281"/>
      <c r="AK3" s="281"/>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210</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962" t="s">
        <v>22</v>
      </c>
      <c r="E15" s="962"/>
      <c r="F15" s="962"/>
      <c r="G15" s="962"/>
      <c r="H15" s="962"/>
      <c r="I15" s="962"/>
      <c r="J15" s="962" t="s">
        <v>90</v>
      </c>
      <c r="K15" s="962"/>
      <c r="L15" s="962"/>
      <c r="M15" s="962"/>
      <c r="N15" s="962"/>
      <c r="O15" s="962"/>
      <c r="P15" s="962" t="s">
        <v>10</v>
      </c>
      <c r="Q15" s="962"/>
      <c r="R15" s="962"/>
      <c r="S15" s="962"/>
      <c r="T15" s="962"/>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963" t="s">
        <v>19</v>
      </c>
      <c r="E16" s="963"/>
      <c r="F16" s="963" t="s">
        <v>35</v>
      </c>
      <c r="G16" s="963"/>
      <c r="H16" s="963" t="s">
        <v>97</v>
      </c>
      <c r="I16" s="963"/>
      <c r="J16" s="963" t="s">
        <v>19</v>
      </c>
      <c r="K16" s="963"/>
      <c r="L16" s="963" t="s">
        <v>35</v>
      </c>
      <c r="M16" s="963"/>
      <c r="N16" s="963" t="s">
        <v>98</v>
      </c>
      <c r="O16" s="963"/>
      <c r="P16" s="963" t="s">
        <v>19</v>
      </c>
      <c r="Q16" s="963"/>
      <c r="R16" s="963" t="s">
        <v>35</v>
      </c>
      <c r="S16" s="963"/>
      <c r="T16" s="963" t="s">
        <v>99</v>
      </c>
      <c r="U16" s="963"/>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0" t="s">
        <v>43</v>
      </c>
      <c r="C18" s="303" t="s">
        <v>42</v>
      </c>
      <c r="D18" s="307">
        <v>93.93939393939393939393939394</v>
      </c>
      <c r="E18" s="308">
        <v>21.271393643064993633467049580</v>
      </c>
      <c r="F18" s="308">
        <v>70.364500792393026941362916010</v>
      </c>
      <c r="G18" s="308">
        <v>-3.0355096070869084189768781400</v>
      </c>
      <c r="H18" s="308">
        <v>133.50395850395850395850395850</v>
      </c>
      <c r="I18" s="309">
        <v>25.067839939723602018098900470</v>
      </c>
      <c r="J18" s="317">
        <v>265.35809298938615075681515343</v>
      </c>
      <c r="K18" s="308">
        <v>84.43180195096016917695955828</v>
      </c>
      <c r="L18" s="318">
        <v>284.88160755384822079533769877</v>
      </c>
      <c r="M18" s="308">
        <v>87.14066827432297572141948628</v>
      </c>
      <c r="N18" s="308">
        <v>93.14679710912128919579699049</v>
      </c>
      <c r="O18" s="309">
        <v>-1.4475027520162775047892579300</v>
      </c>
      <c r="P18" s="317">
        <v>249.27578432336274768064453807</v>
      </c>
      <c r="Q18" s="308">
        <v>123.66301654689670423872955084</v>
      </c>
      <c r="R18" s="318">
        <v>200.45552100460952461668769929</v>
      </c>
      <c r="S18" s="308">
        <v>81.45999531011859293224830129</v>
      </c>
      <c r="T18" s="308">
        <v>124.35466136032770529340601495</v>
      </c>
      <c r="U18" s="309">
        <v>23.257479514775009134789461970</v>
      </c>
      <c r="W18" s="281"/>
      <c r="X18" s="1014"/>
      <c r="Y18" s="1014"/>
      <c r="Z18" s="1014"/>
      <c r="AA18" s="1014"/>
      <c r="AB18" s="1014"/>
      <c r="AC18" s="1014"/>
      <c r="AD18" s="1014"/>
      <c r="AE18" s="1014"/>
      <c r="AF18" s="1014"/>
      <c r="AG18" s="281"/>
      <c r="AH18" s="281"/>
      <c r="AI18" s="281"/>
      <c r="AJ18" s="281"/>
      <c r="AK18" s="281"/>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1"/>
      <c r="C19" s="304" t="s">
        <v>58</v>
      </c>
      <c r="D19" s="310">
        <v>86.26165501165501165501165501</v>
      </c>
      <c r="E19" s="134">
        <v>71.469196112713583074618603430</v>
      </c>
      <c r="F19" s="134">
        <v>73.388953779409310862673118640</v>
      </c>
      <c r="G19" s="134">
        <v>31.186071009958428822318635680</v>
      </c>
      <c r="H19" s="134">
        <v>117.54037981102462026476395991</v>
      </c>
      <c r="I19" s="311">
        <v>30.706861477509925364912590790</v>
      </c>
      <c r="J19" s="319">
        <v>206.7928048483602351636060317</v>
      </c>
      <c r="K19" s="134">
        <v>2.7077122639671807399255854400</v>
      </c>
      <c r="L19" s="135">
        <v>216.82567081829421826607503606</v>
      </c>
      <c r="M19" s="134">
        <v>0.1844743095570052151880810200</v>
      </c>
      <c r="N19" s="134">
        <v>95.37284218604272352032409165</v>
      </c>
      <c r="O19" s="311">
        <v>2.5185917996083367596015998500</v>
      </c>
      <c r="P19" s="319">
        <v>178.38289590721750472082041284</v>
      </c>
      <c r="Q19" s="134">
        <v>76.112088564816346318501017860</v>
      </c>
      <c r="R19" s="135">
        <v>159.12609133873212594324231997</v>
      </c>
      <c r="S19" s="134">
        <v>31.428075608626237589834670460</v>
      </c>
      <c r="T19" s="134">
        <v>112.10160094204373350277668448</v>
      </c>
      <c r="U19" s="311">
        <v>33.998833772237946337647899770</v>
      </c>
      <c r="W19" s="281"/>
      <c r="X19" s="281"/>
      <c r="Y19" s="281"/>
      <c r="Z19" s="281"/>
      <c r="AA19" s="281"/>
      <c r="AB19" s="281"/>
      <c r="AC19" s="281"/>
      <c r="AD19" s="281"/>
      <c r="AE19" s="281"/>
      <c r="AF19" s="281"/>
      <c r="AG19" s="281"/>
      <c r="AH19" s="281"/>
      <c r="AI19" s="281"/>
      <c r="AJ19" s="281"/>
      <c r="AK19" s="281"/>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1"/>
      <c r="C20" s="305" t="s">
        <v>44</v>
      </c>
      <c r="D20" s="312">
        <v>84.38228438228438228438228438</v>
      </c>
      <c r="E20" s="159">
        <v>41.960784313628622837370308310</v>
      </c>
      <c r="F20" s="159">
        <v>67.962940387663050103620626600</v>
      </c>
      <c r="G20" s="159">
        <v>11.595005934579461408065999390</v>
      </c>
      <c r="H20" s="159">
        <v>124.15926076912623997825791547</v>
      </c>
      <c r="I20" s="313">
        <v>27.210696504459590430307758560</v>
      </c>
      <c r="J20" s="320">
        <v>208.15913613430927490062091771</v>
      </c>
      <c r="K20" s="159">
        <v>65.640839247512875858020635800</v>
      </c>
      <c r="L20" s="160">
        <v>221.56704587527983272018348443</v>
      </c>
      <c r="M20" s="159">
        <v>71.609618525898816434996537280</v>
      </c>
      <c r="N20" s="159">
        <v>93.94859931087501393063153501</v>
      </c>
      <c r="O20" s="313">
        <v>-3.4781146474736661806273241100</v>
      </c>
      <c r="P20" s="320">
        <v>175.64943422055934152453326856</v>
      </c>
      <c r="Q20" s="159">
        <v>135.14503453941719797908430213</v>
      </c>
      <c r="R20" s="160">
        <v>150.58347930692247560831682625</v>
      </c>
      <c r="S20" s="159">
        <v>91.50776397839806415133308413</v>
      </c>
      <c r="T20" s="159">
        <v>116.64588640733084621314154907</v>
      </c>
      <c r="U20" s="313">
        <v>22.786162636203502669032679300</v>
      </c>
      <c r="W20" s="281"/>
      <c r="X20" s="281"/>
      <c r="Y20" s="281"/>
      <c r="Z20" s="281"/>
      <c r="AA20" s="281"/>
      <c r="AB20" s="281"/>
      <c r="AC20" s="281"/>
      <c r="AD20" s="281"/>
      <c r="AE20" s="281"/>
      <c r="AF20" s="281"/>
      <c r="AG20" s="281"/>
      <c r="AH20" s="281"/>
      <c r="AI20" s="281"/>
      <c r="AJ20" s="281"/>
      <c r="AK20" s="281"/>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2"/>
      <c r="C21" s="306" t="s">
        <v>45</v>
      </c>
      <c r="D21" s="314">
        <v>86.26165501165501165501165501</v>
      </c>
      <c r="E21" s="315">
        <v>71.469196112713583074618603430</v>
      </c>
      <c r="F21" s="315">
        <v>73.388953779409310862673118640</v>
      </c>
      <c r="G21" s="315">
        <v>31.186071009958428822318635680</v>
      </c>
      <c r="H21" s="315">
        <v>117.54037981102462026476395991</v>
      </c>
      <c r="I21" s="316">
        <v>30.706861477509925364912590790</v>
      </c>
      <c r="J21" s="321">
        <v>206.7928048483602351636060317</v>
      </c>
      <c r="K21" s="315">
        <v>2.7077122639671807399255854400</v>
      </c>
      <c r="L21" s="322">
        <v>216.82567081829421826607503606</v>
      </c>
      <c r="M21" s="315">
        <v>0.1844743095570052151880810200</v>
      </c>
      <c r="N21" s="315">
        <v>95.37284218604272352032409165</v>
      </c>
      <c r="O21" s="316">
        <v>2.5185917996083367596015998500</v>
      </c>
      <c r="P21" s="321">
        <v>178.38289590721750472082041284</v>
      </c>
      <c r="Q21" s="315">
        <v>76.112088564816346318501017860</v>
      </c>
      <c r="R21" s="322">
        <v>159.12609133873212594324231997</v>
      </c>
      <c r="S21" s="315">
        <v>31.428075608626237589834670460</v>
      </c>
      <c r="T21" s="315">
        <v>112.10160094204373350277668448</v>
      </c>
      <c r="U21" s="316">
        <v>33.998833772237946337647899770</v>
      </c>
      <c r="W21" s="281"/>
      <c r="X21" s="281"/>
      <c r="Y21" s="281"/>
      <c r="Z21" s="281"/>
      <c r="AA21" s="281"/>
      <c r="AB21" s="281"/>
      <c r="AC21" s="281"/>
      <c r="AD21" s="281"/>
      <c r="AE21" s="281"/>
      <c r="AF21" s="281"/>
      <c r="AG21" s="281"/>
      <c r="AH21" s="281"/>
      <c r="AI21" s="281"/>
      <c r="AJ21" s="281"/>
      <c r="AK21" s="281"/>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3" t="s">
        <v>46</v>
      </c>
      <c r="C24" s="303" t="s">
        <v>42</v>
      </c>
      <c r="D24" s="307">
        <v>93.37121212121212121212121212</v>
      </c>
      <c r="E24" s="308">
        <v>37.325905292528071631970594970</v>
      </c>
      <c r="F24" s="308">
        <v>68.898573692551505546751188590</v>
      </c>
      <c r="G24" s="308">
        <v>11.577572819711095762668449450</v>
      </c>
      <c r="H24" s="308">
        <v>135.51980413682541342115810201</v>
      </c>
      <c r="I24" s="309">
        <v>23.076619989069951543621298190</v>
      </c>
      <c r="J24" s="317">
        <v>250.17041797192476918724475953</v>
      </c>
      <c r="K24" s="308">
        <v>61.776267782659422208034553630</v>
      </c>
      <c r="L24" s="318">
        <v>267.05870271173876182910710766</v>
      </c>
      <c r="M24" s="308">
        <v>61.867016444651276290368228920</v>
      </c>
      <c r="N24" s="308">
        <v>93.67619007793837543546709882</v>
      </c>
      <c r="O24" s="309">
        <v>-0.0560637145496343400436042900</v>
      </c>
      <c r="P24" s="317">
        <v>233.58715162908884698733270161</v>
      </c>
      <c r="Q24" s="308">
        <v>122.16072428100390663553880211</v>
      </c>
      <c r="R24" s="318">
        <v>183.99963709021937671189273384</v>
      </c>
      <c r="S24" s="308">
        <v>80.60728814482229635354996924</v>
      </c>
      <c r="T24" s="308">
        <v>126.94978931646236798225822705</v>
      </c>
      <c r="U24" s="309">
        <v>23.007618664153658777216705490</v>
      </c>
      <c r="W24" s="281"/>
      <c r="X24" s="281"/>
      <c r="Y24" s="281"/>
      <c r="Z24" s="281"/>
      <c r="AA24" s="281"/>
      <c r="AB24" s="281"/>
      <c r="AC24" s="281"/>
      <c r="AD24" s="281"/>
      <c r="AE24" s="281"/>
      <c r="AF24" s="281"/>
      <c r="AG24" s="281"/>
      <c r="AH24" s="281"/>
      <c r="AI24" s="281"/>
      <c r="AJ24" s="281"/>
      <c r="AK24" s="281"/>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4"/>
      <c r="C25" s="304" t="s">
        <v>58</v>
      </c>
      <c r="D25" s="310">
        <v>78.481934731934731934731934730</v>
      </c>
      <c r="E25" s="134">
        <v>82.74848867747492239460314265</v>
      </c>
      <c r="F25" s="134">
        <v>64.034707158351409978308026030</v>
      </c>
      <c r="G25" s="134">
        <v>34.395780469923365087993159190</v>
      </c>
      <c r="H25" s="134">
        <v>122.56155796552138015552649699</v>
      </c>
      <c r="I25" s="311">
        <v>35.977846952098162041323858950</v>
      </c>
      <c r="J25" s="319">
        <v>179.6849718043456713470423573</v>
      </c>
      <c r="K25" s="134">
        <v>2.8408183725154362549814479700</v>
      </c>
      <c r="L25" s="135">
        <v>188.97968832228920888513856742</v>
      </c>
      <c r="M25" s="134">
        <v>-3.4758780226066838423040553600</v>
      </c>
      <c r="N25" s="134">
        <v>95.08163199947066892229686551</v>
      </c>
      <c r="O25" s="311">
        <v>6.5441635373527493235341405900</v>
      </c>
      <c r="P25" s="319">
        <v>141.02024229458189562157884307</v>
      </c>
      <c r="Q25" s="134">
        <v>87.94004131955088876171222913</v>
      </c>
      <c r="R25" s="135">
        <v>121.01259000594311163317332994</v>
      </c>
      <c r="S25" s="134">
        <v>29.724347073293746136395615780</v>
      </c>
      <c r="T25" s="134">
        <v>116.53352951759496914517008534</v>
      </c>
      <c r="U25" s="311">
        <v>44.876459631120324984612424460</v>
      </c>
      <c r="W25" s="281"/>
      <c r="X25" s="281"/>
      <c r="Y25" s="281"/>
      <c r="Z25" s="281"/>
      <c r="AA25" s="281"/>
      <c r="AB25" s="281"/>
      <c r="AC25" s="281"/>
      <c r="AD25" s="281"/>
      <c r="AE25" s="281"/>
      <c r="AF25" s="281"/>
      <c r="AG25" s="281"/>
      <c r="AH25" s="281"/>
      <c r="AI25" s="281"/>
      <c r="AJ25" s="281"/>
      <c r="AK25" s="281"/>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4"/>
      <c r="C26" s="305" t="s">
        <v>44</v>
      </c>
      <c r="D26" s="312">
        <v>76.340326340326340326340326340</v>
      </c>
      <c r="E26" s="159">
        <v>66.032953105272207684560073500</v>
      </c>
      <c r="F26" s="159">
        <v>60.258442033402413751066682920</v>
      </c>
      <c r="G26" s="159">
        <v>27.223523042346489102731283640</v>
      </c>
      <c r="H26" s="159">
        <v>126.68818469951385185048951992</v>
      </c>
      <c r="I26" s="313">
        <v>30.504916964103316822821290490</v>
      </c>
      <c r="J26" s="320">
        <v>202.85015062032929752308418719</v>
      </c>
      <c r="K26" s="159">
        <v>48.694703824318038251341035710</v>
      </c>
      <c r="L26" s="160">
        <v>220.56831022354880577500698165</v>
      </c>
      <c r="M26" s="159">
        <v>64.627659619986019476341311490</v>
      </c>
      <c r="N26" s="159">
        <v>91.96704205365588252706746779</v>
      </c>
      <c r="O26" s="313">
        <v>-9.678176700361464537694733440</v>
      </c>
      <c r="P26" s="320">
        <v>154.85646696540290195526823148</v>
      </c>
      <c r="Q26" s="159">
        <v>146.88220787036938462567907495</v>
      </c>
      <c r="R26" s="160">
        <v>132.91102736011236705423131907</v>
      </c>
      <c r="S26" s="159">
        <v>109.44510847055334688641187402</v>
      </c>
      <c r="T26" s="159">
        <v>116.51137609961514148520288799</v>
      </c>
      <c r="U26" s="313">
        <v>17.874420497625674158598948710</v>
      </c>
      <c r="W26" s="281"/>
      <c r="X26" s="281"/>
      <c r="Y26" s="281"/>
      <c r="Z26" s="281"/>
      <c r="AA26" s="281"/>
      <c r="AB26" s="281"/>
      <c r="AC26" s="281"/>
      <c r="AD26" s="281"/>
      <c r="AE26" s="281"/>
      <c r="AF26" s="281"/>
      <c r="AG26" s="281"/>
      <c r="AH26" s="281"/>
      <c r="AI26" s="281"/>
      <c r="AJ26" s="281"/>
      <c r="AK26" s="281"/>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5"/>
      <c r="C27" s="306" t="s">
        <v>45</v>
      </c>
      <c r="D27" s="314">
        <v>78.481934731934731934731934730</v>
      </c>
      <c r="E27" s="315">
        <v>82.74848867747492239460314265</v>
      </c>
      <c r="F27" s="315">
        <v>64.034707158351409978308026030</v>
      </c>
      <c r="G27" s="315">
        <v>34.395780469923365087993159190</v>
      </c>
      <c r="H27" s="315">
        <v>122.56155796552138015552649699</v>
      </c>
      <c r="I27" s="316">
        <v>35.977846952098162041323858950</v>
      </c>
      <c r="J27" s="321">
        <v>179.6849718043456713470423573</v>
      </c>
      <c r="K27" s="315">
        <v>2.8408183725154362549814479700</v>
      </c>
      <c r="L27" s="322">
        <v>188.97968832228920888513856742</v>
      </c>
      <c r="M27" s="315">
        <v>-3.4758780226066838423040553600</v>
      </c>
      <c r="N27" s="315">
        <v>95.08163199947066892229686551</v>
      </c>
      <c r="O27" s="316">
        <v>6.5441635373527493235341405900</v>
      </c>
      <c r="P27" s="321">
        <v>141.02024229458189562157884307</v>
      </c>
      <c r="Q27" s="315">
        <v>87.94004131955088876171222913</v>
      </c>
      <c r="R27" s="322">
        <v>121.01259000594311163317332994</v>
      </c>
      <c r="S27" s="315">
        <v>29.724347073293746136395615780</v>
      </c>
      <c r="T27" s="315">
        <v>116.53352951759496914517008534</v>
      </c>
      <c r="U27" s="316">
        <v>44.876459631120324984612424460</v>
      </c>
      <c r="W27" s="281"/>
      <c r="X27" s="281"/>
      <c r="Y27" s="281"/>
      <c r="Z27" s="281"/>
      <c r="AA27" s="281"/>
      <c r="AB27" s="281"/>
      <c r="AC27" s="281"/>
      <c r="AD27" s="281"/>
      <c r="AE27" s="281"/>
      <c r="AF27" s="281"/>
      <c r="AG27" s="281"/>
      <c r="AH27" s="281"/>
      <c r="AI27" s="281"/>
      <c r="AJ27" s="281"/>
      <c r="AK27" s="281"/>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3" t="s">
        <v>47</v>
      </c>
      <c r="C30" s="303" t="s">
        <v>42</v>
      </c>
      <c r="D30" s="307">
        <v>93.93939393939393939393939394</v>
      </c>
      <c r="E30" s="308">
        <v>50.485436893306155151286712920</v>
      </c>
      <c r="F30" s="308">
        <v>68.264659270998415213946117270</v>
      </c>
      <c r="G30" s="308">
        <v>17.840709177515311819905822350</v>
      </c>
      <c r="H30" s="308">
        <v>137.61058055892646722594488121</v>
      </c>
      <c r="I30" s="308">
        <v>27.702419599678530505688753550</v>
      </c>
      <c r="J30" s="317">
        <v>250.96412033021636936484516784</v>
      </c>
      <c r="K30" s="308">
        <v>64.936796665533106364406439260</v>
      </c>
      <c r="L30" s="318">
        <v>277.31863866623428613477443126</v>
      </c>
      <c r="M30" s="308">
        <v>60.415533425444372372769105920</v>
      </c>
      <c r="N30" s="308">
        <v>90.49666532953928510597012186</v>
      </c>
      <c r="O30" s="309">
        <v>2.8184697226705497432917265400</v>
      </c>
      <c r="P30" s="317">
        <v>235.75417364353658940333940009</v>
      </c>
      <c r="Q30" s="308">
        <v>148.20585905961812220494048667</v>
      </c>
      <c r="R30" s="318">
        <v>189.31062378047609944937256143</v>
      </c>
      <c r="S30" s="308">
        <v>89.03480221965522217110936044</v>
      </c>
      <c r="T30" s="308">
        <v>124.53298654644773604585951590</v>
      </c>
      <c r="U30" s="309">
        <v>31.301673631193312821024271780</v>
      </c>
      <c r="W30" s="281"/>
      <c r="X30" s="281"/>
      <c r="Y30" s="281"/>
      <c r="Z30" s="281"/>
      <c r="AA30" s="281"/>
      <c r="AB30" s="281"/>
      <c r="AC30" s="281"/>
      <c r="AD30" s="281"/>
      <c r="AE30" s="281"/>
      <c r="AF30" s="281"/>
      <c r="AG30" s="281"/>
      <c r="AH30" s="281"/>
      <c r="AI30" s="281"/>
      <c r="AJ30" s="281"/>
      <c r="AK30" s="281"/>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4"/>
      <c r="C31" s="304" t="s">
        <v>58</v>
      </c>
      <c r="D31" s="310">
        <v>75.364219114219114219114219110</v>
      </c>
      <c r="E31" s="134">
        <v>96.19610761138876031804067831</v>
      </c>
      <c r="F31" s="134">
        <v>61.161354914066410812614717170</v>
      </c>
      <c r="G31" s="134">
        <v>30.533582818719442602883229320</v>
      </c>
      <c r="H31" s="134">
        <v>123.22195808138679312357492092</v>
      </c>
      <c r="I31" s="134">
        <v>50.303165955462410941743474050</v>
      </c>
      <c r="J31" s="319">
        <v>176.30560978151168104068818656</v>
      </c>
      <c r="K31" s="134">
        <v>-0.4438029903658252318608670200</v>
      </c>
      <c r="L31" s="135">
        <v>191.47379259902882440052538253</v>
      </c>
      <c r="M31" s="134">
        <v>-1.8541423072304919401463171400</v>
      </c>
      <c r="N31" s="134">
        <v>92.07819377700356993455583796</v>
      </c>
      <c r="O31" s="311">
        <v>1.4369830270717859154586776600</v>
      </c>
      <c r="P31" s="319">
        <v>132.87134606639859062113636205</v>
      </c>
      <c r="Q31" s="134">
        <v>95.32538341874407036317322751</v>
      </c>
      <c r="R31" s="135">
        <v>117.10796585891544351037639531</v>
      </c>
      <c r="S31" s="134">
        <v>28.113304434418031897527592420</v>
      </c>
      <c r="T31" s="134">
        <v>113.46055333799744168447335435</v>
      </c>
      <c r="U31" s="311">
        <v>52.462996939347430785359851860</v>
      </c>
      <c r="W31" s="281"/>
      <c r="X31" s="281"/>
      <c r="Y31" s="281"/>
      <c r="Z31" s="281"/>
      <c r="AA31" s="281"/>
      <c r="AB31" s="281"/>
      <c r="AC31" s="281"/>
      <c r="AD31" s="281"/>
      <c r="AE31" s="281"/>
      <c r="AF31" s="281"/>
      <c r="AG31" s="281"/>
      <c r="AH31" s="281"/>
      <c r="AI31" s="281"/>
      <c r="AJ31" s="281"/>
      <c r="AK31" s="281"/>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4"/>
      <c r="C32" s="305" t="s">
        <v>44</v>
      </c>
      <c r="D32" s="312">
        <v>75.233100233100233100233100230</v>
      </c>
      <c r="E32" s="159">
        <v>71.904127829437895322880720750</v>
      </c>
      <c r="F32" s="159">
        <v>59.831768865049372180909423380</v>
      </c>
      <c r="G32" s="159">
        <v>31.957736812052201690967724370</v>
      </c>
      <c r="H32" s="159">
        <v>125.74105974167098861475389593</v>
      </c>
      <c r="I32" s="159">
        <v>30.272109830527463555880834150</v>
      </c>
      <c r="J32" s="320">
        <v>210.91465692161253575152963149</v>
      </c>
      <c r="K32" s="159">
        <v>61.671926193110530410169998760</v>
      </c>
      <c r="L32" s="160">
        <v>238.52727687557704327251052612</v>
      </c>
      <c r="M32" s="159">
        <v>69.554430246934113123973614580</v>
      </c>
      <c r="N32" s="159">
        <v>88.42370553353188391294917722</v>
      </c>
      <c r="O32" s="313">
        <v>-4.648951986883216504825725800</v>
      </c>
      <c r="P32" s="320">
        <v>158.67763524813623756131978686</v>
      </c>
      <c r="Q32" s="159">
        <v>177.92071466764011373537030890</v>
      </c>
      <c r="R32" s="160">
        <v>142.71508898029161628446686117</v>
      </c>
      <c r="S32" s="159">
        <v>123.74018881809899318518120331</v>
      </c>
      <c r="T32" s="159">
        <v>111.18490440071756193513770298</v>
      </c>
      <c r="U32" s="313">
        <v>24.215821992196137269892080780</v>
      </c>
      <c r="W32" s="281"/>
      <c r="X32" s="281"/>
      <c r="Y32" s="281"/>
      <c r="Z32" s="281"/>
      <c r="AA32" s="281"/>
      <c r="AB32" s="281"/>
      <c r="AC32" s="281"/>
      <c r="AD32" s="281"/>
      <c r="AE32" s="281"/>
      <c r="AF32" s="281"/>
      <c r="AG32" s="281"/>
      <c r="AH32" s="281"/>
      <c r="AI32" s="281"/>
      <c r="AJ32" s="281"/>
      <c r="AK32" s="281"/>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5"/>
      <c r="C33" s="306" t="s">
        <v>45</v>
      </c>
      <c r="D33" s="314">
        <v>75.364219114219114219114219110</v>
      </c>
      <c r="E33" s="315">
        <v>96.19610761138876031804067831</v>
      </c>
      <c r="F33" s="315">
        <v>61.161354914066410812614717170</v>
      </c>
      <c r="G33" s="315">
        <v>30.533582818719442602883229320</v>
      </c>
      <c r="H33" s="315">
        <v>123.22195808138679312357492092</v>
      </c>
      <c r="I33" s="315">
        <v>50.303165955462410941743474050</v>
      </c>
      <c r="J33" s="321">
        <v>176.30560978151168104068818656</v>
      </c>
      <c r="K33" s="315">
        <v>-0.4438029903658252318608670200</v>
      </c>
      <c r="L33" s="322">
        <v>191.47379259902882440052538253</v>
      </c>
      <c r="M33" s="315">
        <v>-1.8541423072304919401463171400</v>
      </c>
      <c r="N33" s="315">
        <v>92.07819377700356993455583796</v>
      </c>
      <c r="O33" s="316">
        <v>1.4369830270717859154586776600</v>
      </c>
      <c r="P33" s="321">
        <v>132.87134606639859062113636205</v>
      </c>
      <c r="Q33" s="315">
        <v>95.32538341874407036317322751</v>
      </c>
      <c r="R33" s="322">
        <v>117.10796585891544351037639531</v>
      </c>
      <c r="S33" s="315">
        <v>28.113304434418031897527592420</v>
      </c>
      <c r="T33" s="315">
        <v>113.46055333799744168447335435</v>
      </c>
      <c r="U33" s="316">
        <v>52.462996939347430785359851860</v>
      </c>
      <c r="W33" s="281"/>
      <c r="X33" s="281"/>
      <c r="Y33" s="281"/>
      <c r="Z33" s="281"/>
      <c r="AA33" s="281"/>
      <c r="AB33" s="281"/>
      <c r="AC33" s="281"/>
      <c r="AD33" s="281"/>
      <c r="AE33" s="281"/>
      <c r="AF33" s="281"/>
      <c r="AG33" s="281"/>
      <c r="AH33" s="281"/>
      <c r="AI33" s="281"/>
      <c r="AJ33" s="281"/>
      <c r="AK33" s="281"/>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3" t="s">
        <v>48</v>
      </c>
      <c r="C36" s="303" t="s">
        <v>42</v>
      </c>
      <c r="D36" s="307">
        <v>93.93939393939393939393939394</v>
      </c>
      <c r="E36" s="308">
        <v>52.709359605790967992428933230</v>
      </c>
      <c r="F36" s="308">
        <v>75.435816164817749603803486530</v>
      </c>
      <c r="G36" s="308">
        <v>29.295596904227711529211595940</v>
      </c>
      <c r="H36" s="308">
        <v>124.52890247007894066717596129</v>
      </c>
      <c r="I36" s="308">
        <v>18.108708465149810846872079050</v>
      </c>
      <c r="J36" s="317">
        <v>317.24703239793731642476618024</v>
      </c>
      <c r="K36" s="308">
        <v>87.49370657912444341152017173</v>
      </c>
      <c r="L36" s="318">
        <v>349.41927502257017902852897193</v>
      </c>
      <c r="M36" s="308">
        <v>78.330128645817753460640934830</v>
      </c>
      <c r="N36" s="308">
        <v>90.79265371878676467853229909</v>
      </c>
      <c r="O36" s="309">
        <v>5.1385472566227580740751964200</v>
      </c>
      <c r="P36" s="317">
        <v>298.01993952533505482326519962</v>
      </c>
      <c r="Q36" s="308">
        <v>186.32043861826901461657203690</v>
      </c>
      <c r="R36" s="318">
        <v>263.58728195046498449695687899</v>
      </c>
      <c r="S36" s="308">
        <v>130.57300429261398202538205965</v>
      </c>
      <c r="T36" s="308">
        <v>113.06309519946447058039026627</v>
      </c>
      <c r="U36" s="309">
        <v>24.177780263841021097422945360</v>
      </c>
      <c r="W36" s="281"/>
      <c r="X36" s="281"/>
      <c r="Y36" s="281"/>
      <c r="Z36" s="281"/>
      <c r="AA36" s="281"/>
      <c r="AB36" s="281"/>
      <c r="AC36" s="281"/>
      <c r="AD36" s="281"/>
      <c r="AE36" s="281"/>
      <c r="AF36" s="281"/>
      <c r="AG36" s="281"/>
      <c r="AH36" s="281"/>
      <c r="AI36" s="281"/>
      <c r="AJ36" s="281"/>
      <c r="AK36" s="281"/>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4"/>
      <c r="C37" s="304" t="s">
        <v>58</v>
      </c>
      <c r="D37" s="310">
        <v>78.307109557109557109557109560</v>
      </c>
      <c r="E37" s="134">
        <v>88.47688496196044025030020746</v>
      </c>
      <c r="F37" s="134">
        <v>63.560820957784081428333055230</v>
      </c>
      <c r="G37" s="134">
        <v>31.816747841163734723102735050</v>
      </c>
      <c r="H37" s="134">
        <v>123.20028026245867262353663698</v>
      </c>
      <c r="I37" s="134">
        <v>42.984019897866858438379680110</v>
      </c>
      <c r="J37" s="319">
        <v>182.77982756792696722781329239</v>
      </c>
      <c r="K37" s="134">
        <v>-10.428316966580317807447941060</v>
      </c>
      <c r="L37" s="135">
        <v>196.41608139932017875460628116</v>
      </c>
      <c r="M37" s="134">
        <v>-4.5393798622731832518397530300</v>
      </c>
      <c r="N37" s="134">
        <v>93.05746569514831571730657811</v>
      </c>
      <c r="O37" s="311">
        <v>-6.168970090245699795622015300</v>
      </c>
      <c r="P37" s="319">
        <v>143.12959982191250711676813033</v>
      </c>
      <c r="Q37" s="134">
        <v>68.821917989169372686190388520</v>
      </c>
      <c r="R37" s="135">
        <v>124.84367383051734104989925683</v>
      </c>
      <c r="S37" s="134">
        <v>25.833084934360562471642784110</v>
      </c>
      <c r="T37" s="134">
        <v>114.64705854156406061959494261</v>
      </c>
      <c r="U37" s="311">
        <v>34.163378476568332723182687140</v>
      </c>
      <c r="W37" s="281"/>
      <c r="X37" s="281"/>
      <c r="Y37" s="281"/>
      <c r="Z37" s="281"/>
      <c r="AA37" s="281"/>
      <c r="AB37" s="281"/>
      <c r="AC37" s="281"/>
      <c r="AD37" s="281"/>
      <c r="AE37" s="281"/>
      <c r="AF37" s="281"/>
      <c r="AG37" s="281"/>
      <c r="AH37" s="281"/>
      <c r="AI37" s="281"/>
      <c r="AJ37" s="281"/>
      <c r="AK37" s="281"/>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4"/>
      <c r="C38" s="305" t="s">
        <v>44</v>
      </c>
      <c r="D38" s="312">
        <v>80.06993006993006993006993007</v>
      </c>
      <c r="E38" s="159">
        <v>76.153846154022307692307868460</v>
      </c>
      <c r="F38" s="159">
        <v>64.220407168109228331098378640</v>
      </c>
      <c r="G38" s="159">
        <v>36.598894515117026132707216260</v>
      </c>
      <c r="H38" s="159">
        <v>124.67988541450956029543728861</v>
      </c>
      <c r="I38" s="159">
        <v>28.957007140650485555659843520</v>
      </c>
      <c r="J38" s="320">
        <v>227.00241609621642866538464849</v>
      </c>
      <c r="K38" s="159">
        <v>60.488676121320261219450283140</v>
      </c>
      <c r="L38" s="160">
        <v>253.97723549089350162429573893</v>
      </c>
      <c r="M38" s="159">
        <v>69.680639259176189674360682210</v>
      </c>
      <c r="N38" s="159">
        <v>89.37904047087548109566102365</v>
      </c>
      <c r="O38" s="313">
        <v>-5.4172138777779823956029042600</v>
      </c>
      <c r="P38" s="320">
        <v>181.76067582529217539990588988</v>
      </c>
      <c r="Q38" s="159">
        <v>182.70697562905494742635806559</v>
      </c>
      <c r="R38" s="160">
        <v>163.10521474655942540007191914</v>
      </c>
      <c r="S38" s="159">
        <v>131.78187743420826432332498722</v>
      </c>
      <c r="T38" s="159">
        <v>111.43768524367567597537380286</v>
      </c>
      <c r="U38" s="313">
        <v>21.971130253377278693298058960</v>
      </c>
      <c r="W38" s="281"/>
      <c r="X38" s="281"/>
      <c r="Y38" s="281"/>
      <c r="Z38" s="281"/>
      <c r="AA38" s="281"/>
      <c r="AB38" s="281"/>
      <c r="AC38" s="281"/>
      <c r="AD38" s="281"/>
      <c r="AE38" s="281"/>
      <c r="AF38" s="281"/>
      <c r="AG38" s="281"/>
      <c r="AH38" s="281"/>
      <c r="AI38" s="281"/>
      <c r="AJ38" s="281"/>
      <c r="AK38" s="281"/>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5"/>
      <c r="C39" s="306" t="s">
        <v>45</v>
      </c>
      <c r="D39" s="314">
        <v>78.307109557109557109557109560</v>
      </c>
      <c r="E39" s="315">
        <v>88.47688496196044025030020746</v>
      </c>
      <c r="F39" s="315">
        <v>63.560820957784081428333055230</v>
      </c>
      <c r="G39" s="315">
        <v>31.816747841163734723102735050</v>
      </c>
      <c r="H39" s="315">
        <v>123.20028026245867262353663698</v>
      </c>
      <c r="I39" s="315">
        <v>42.984019897866858438379680110</v>
      </c>
      <c r="J39" s="321">
        <v>182.77982756792696722781329239</v>
      </c>
      <c r="K39" s="315">
        <v>-10.428316966580317807447941060</v>
      </c>
      <c r="L39" s="322">
        <v>196.41608139932017875460628116</v>
      </c>
      <c r="M39" s="315">
        <v>-4.5393798622731832518397530300</v>
      </c>
      <c r="N39" s="315">
        <v>93.05746569514831571730657811</v>
      </c>
      <c r="O39" s="316">
        <v>-6.168970090245699795622015300</v>
      </c>
      <c r="P39" s="321">
        <v>143.12959982191250711676813033</v>
      </c>
      <c r="Q39" s="315">
        <v>68.821917989169372686190388520</v>
      </c>
      <c r="R39" s="322">
        <v>124.84367383051734104989925683</v>
      </c>
      <c r="S39" s="315">
        <v>25.833084934360562471642784110</v>
      </c>
      <c r="T39" s="315">
        <v>114.64705854156406061959494261</v>
      </c>
      <c r="U39" s="316">
        <v>34.163378476568332723182687140</v>
      </c>
      <c r="W39" s="281"/>
      <c r="X39" s="281"/>
      <c r="Y39" s="281"/>
      <c r="Z39" s="281"/>
      <c r="AA39" s="281"/>
      <c r="AB39" s="281"/>
      <c r="AC39" s="281"/>
      <c r="AD39" s="281"/>
      <c r="AE39" s="281"/>
      <c r="AF39" s="281"/>
      <c r="AG39" s="281"/>
      <c r="AH39" s="281"/>
      <c r="AI39" s="281"/>
      <c r="AJ39" s="281"/>
      <c r="AK39" s="281"/>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3" t="s">
        <v>49</v>
      </c>
      <c r="C42" s="303" t="s">
        <v>42</v>
      </c>
      <c r="D42" s="307">
        <v>94.69696969696969696969696970</v>
      </c>
      <c r="E42" s="308">
        <v>34.408602150624349635796101740</v>
      </c>
      <c r="F42" s="308">
        <v>76.069730586370839936608557840</v>
      </c>
      <c r="G42" s="308">
        <v>16.788556494575729182994371070</v>
      </c>
      <c r="H42" s="308">
        <v>124.48705808080808080808080809</v>
      </c>
      <c r="I42" s="308">
        <v>15.087133692491431199990284890</v>
      </c>
      <c r="J42" s="317">
        <v>370.82650393447529602970105878</v>
      </c>
      <c r="K42" s="308">
        <v>79.42477626132134556407987503</v>
      </c>
      <c r="L42" s="318">
        <v>386.89809093572379487768372392</v>
      </c>
      <c r="M42" s="308">
        <v>78.076798245695309330944321170</v>
      </c>
      <c r="N42" s="308">
        <v>95.84604127604276396440276830</v>
      </c>
      <c r="O42" s="309">
        <v>0.756964427071330153278975600</v>
      </c>
      <c r="P42" s="317">
        <v>351.16146205916221214933812385</v>
      </c>
      <c r="Q42" s="308">
        <v>141.16233368457922919713715059</v>
      </c>
      <c r="R42" s="318">
        <v>294.31233541861714982771503563</v>
      </c>
      <c r="S42" s="308">
        <v>107.97332212307519126622542756</v>
      </c>
      <c r="T42" s="308">
        <v>119.31591707146264216686029592</v>
      </c>
      <c r="U42" s="309">
        <v>15.958302354675786152977426720</v>
      </c>
      <c r="W42" s="281"/>
      <c r="X42" s="281"/>
      <c r="Y42" s="281"/>
      <c r="Z42" s="281"/>
      <c r="AA42" s="281"/>
      <c r="AB42" s="281"/>
      <c r="AC42" s="281"/>
      <c r="AD42" s="281"/>
      <c r="AE42" s="281"/>
      <c r="AF42" s="281"/>
      <c r="AG42" s="281"/>
      <c r="AH42" s="281"/>
      <c r="AI42" s="281"/>
      <c r="AJ42" s="281"/>
      <c r="AK42" s="281"/>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4"/>
      <c r="C43" s="304" t="s">
        <v>58</v>
      </c>
      <c r="D43" s="310">
        <v>84.74650349650349650349650350</v>
      </c>
      <c r="E43" s="134">
        <v>69.908431029914472983763791720</v>
      </c>
      <c r="F43" s="134">
        <v>71.616886367428666777907558820</v>
      </c>
      <c r="G43" s="134">
        <v>30.934299152886389185439550130</v>
      </c>
      <c r="H43" s="134">
        <v>118.33313034821655511310683725</v>
      </c>
      <c r="I43" s="134">
        <v>29.766174431729683225669903460</v>
      </c>
      <c r="J43" s="319">
        <v>213.03706736253349644723366471</v>
      </c>
      <c r="K43" s="134">
        <v>-1.0869314655131626857357156200</v>
      </c>
      <c r="L43" s="135">
        <v>232.11301214223847805566808113</v>
      </c>
      <c r="M43" s="134">
        <v>3.1908188346436352153802078200</v>
      </c>
      <c r="N43" s="134">
        <v>91.78161335995447186265313702</v>
      </c>
      <c r="O43" s="311">
        <v>-4.1454756813515614766439376300</v>
      </c>
      <c r="P43" s="319">
        <v>180.54146574123795874614776043</v>
      </c>
      <c r="Q43" s="134">
        <v>68.061642830379092273227185220</v>
      </c>
      <c r="R43" s="135">
        <v>166.23211214992283460953235511</v>
      </c>
      <c r="S43" s="134">
        <v>35.112175431371221087380254440</v>
      </c>
      <c r="T43" s="134">
        <v>108.60805617293106539931124961</v>
      </c>
      <c r="U43" s="311">
        <v>24.386749228004725561012315610</v>
      </c>
      <c r="W43" s="281"/>
      <c r="X43" s="281"/>
      <c r="Y43" s="281"/>
      <c r="Z43" s="281"/>
      <c r="AA43" s="281"/>
      <c r="AB43" s="281"/>
      <c r="AC43" s="281"/>
      <c r="AD43" s="281"/>
      <c r="AE43" s="281"/>
      <c r="AF43" s="281"/>
      <c r="AG43" s="281"/>
      <c r="AH43" s="281"/>
      <c r="AI43" s="281"/>
      <c r="AJ43" s="281"/>
      <c r="AK43" s="281"/>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4"/>
      <c r="C44" s="305" t="s">
        <v>44</v>
      </c>
      <c r="D44" s="312">
        <v>87.52913752913752913752913753</v>
      </c>
      <c r="E44" s="159">
        <v>50.608795301488979424599424200</v>
      </c>
      <c r="F44" s="159">
        <v>69.706205046934048518834572720</v>
      </c>
      <c r="G44" s="159">
        <v>25.560297956087861005872747690</v>
      </c>
      <c r="H44" s="159">
        <v>125.56864553191940390261481552</v>
      </c>
      <c r="I44" s="159">
        <v>19.949377114532813605570940410</v>
      </c>
      <c r="J44" s="320">
        <v>259.58772140633958360669828132</v>
      </c>
      <c r="K44" s="159">
        <v>72.931626985701979712349220720</v>
      </c>
      <c r="L44" s="160">
        <v>279.58398615323600162900479279</v>
      </c>
      <c r="M44" s="159">
        <v>77.388286088467885591532179260</v>
      </c>
      <c r="N44" s="159">
        <v>92.84785047168733403257493580</v>
      </c>
      <c r="O44" s="313">
        <v>-2.5123750847018271674535719400</v>
      </c>
      <c r="P44" s="320">
        <v>227.21489367850935581425455626</v>
      </c>
      <c r="Q44" s="159">
        <v>160.45024009851960307844774860</v>
      </c>
      <c r="R44" s="160">
        <v>194.88738666636638514136893883</v>
      </c>
      <c r="S44" s="159">
        <v>122.72926055205230423955191280</v>
      </c>
      <c r="T44" s="159">
        <v>116.58778824279962674671861096</v>
      </c>
      <c r="U44" s="313">
        <v>16.935798849714519839504335910</v>
      </c>
      <c r="W44" s="281"/>
      <c r="X44" s="281"/>
      <c r="Y44" s="281"/>
      <c r="Z44" s="281"/>
      <c r="AA44" s="281"/>
      <c r="AB44" s="281"/>
      <c r="AC44" s="281"/>
      <c r="AD44" s="281"/>
      <c r="AE44" s="281"/>
      <c r="AF44" s="281"/>
      <c r="AG44" s="281"/>
      <c r="AH44" s="281"/>
      <c r="AI44" s="281"/>
      <c r="AJ44" s="281"/>
      <c r="AK44" s="281"/>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5"/>
      <c r="C45" s="306" t="s">
        <v>45</v>
      </c>
      <c r="D45" s="314">
        <v>84.74650349650349650349650350</v>
      </c>
      <c r="E45" s="315">
        <v>69.908431029914472983763791720</v>
      </c>
      <c r="F45" s="315">
        <v>71.616886367428666777907558820</v>
      </c>
      <c r="G45" s="315">
        <v>30.934299152886389185439550130</v>
      </c>
      <c r="H45" s="315">
        <v>118.33313034821655511310683725</v>
      </c>
      <c r="I45" s="315">
        <v>29.766174431729683225669903460</v>
      </c>
      <c r="J45" s="321">
        <v>213.03706736253349644723366471</v>
      </c>
      <c r="K45" s="315">
        <v>-1.0869314655131626857357156200</v>
      </c>
      <c r="L45" s="322">
        <v>232.11301214223847805566808113</v>
      </c>
      <c r="M45" s="315">
        <v>3.1908188346436352153802078200</v>
      </c>
      <c r="N45" s="315">
        <v>91.78161335995447186265313702</v>
      </c>
      <c r="O45" s="316">
        <v>-4.1454756813515614766439376300</v>
      </c>
      <c r="P45" s="321">
        <v>180.54146574123795874614776043</v>
      </c>
      <c r="Q45" s="315">
        <v>68.061642830379092273227185220</v>
      </c>
      <c r="R45" s="322">
        <v>166.23211214992283460953235511</v>
      </c>
      <c r="S45" s="315">
        <v>35.112175431371221087380254440</v>
      </c>
      <c r="T45" s="315">
        <v>108.60805617293106539931124961</v>
      </c>
      <c r="U45" s="316">
        <v>24.386749228004725561012315610</v>
      </c>
      <c r="W45" s="281"/>
      <c r="X45" s="281"/>
      <c r="Y45" s="281"/>
      <c r="Z45" s="281"/>
      <c r="AA45" s="281"/>
      <c r="AB45" s="281"/>
      <c r="AC45" s="281"/>
      <c r="AD45" s="281"/>
      <c r="AE45" s="281"/>
      <c r="AF45" s="281"/>
      <c r="AG45" s="281"/>
      <c r="AH45" s="281"/>
      <c r="AI45" s="281"/>
      <c r="AJ45" s="281"/>
      <c r="AK45" s="281"/>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3" t="s">
        <v>50</v>
      </c>
      <c r="C48" s="303" t="s">
        <v>42</v>
      </c>
      <c r="D48" s="307">
        <v>91.66666666666666666666666667</v>
      </c>
      <c r="E48" s="308">
        <v>14.691943128022964443745680440</v>
      </c>
      <c r="F48" s="308">
        <v>75.625990491283676703645007920</v>
      </c>
      <c r="G48" s="308">
        <v>6.9615033888615508493619115500</v>
      </c>
      <c r="H48" s="308">
        <v>121.21053366862252025705504332</v>
      </c>
      <c r="I48" s="308">
        <v>7.2273102884357934885481942700</v>
      </c>
      <c r="J48" s="317">
        <v>479.045992014842685577354386</v>
      </c>
      <c r="K48" s="308">
        <v>194.96006961622464342950952771</v>
      </c>
      <c r="L48" s="318">
        <v>452.0105919241026821994416013</v>
      </c>
      <c r="M48" s="308">
        <v>173.39567798144609147520658336</v>
      </c>
      <c r="N48" s="308">
        <v>105.98114304703716556368408826</v>
      </c>
      <c r="O48" s="309">
        <v>7.8876124867997836015018204800</v>
      </c>
      <c r="P48" s="317">
        <v>439.1254926802724617792415205</v>
      </c>
      <c r="Q48" s="308">
        <v>238.29543529451178177234666840</v>
      </c>
      <c r="R48" s="318">
        <v>341.83748726811695712452223794</v>
      </c>
      <c r="S48" s="308">
        <v>192.42812736910118683895132568</v>
      </c>
      <c r="T48" s="308">
        <v>128.46030907541997872616849270</v>
      </c>
      <c r="U48" s="309">
        <v>15.684985004066416275772920630</v>
      </c>
      <c r="W48" s="281"/>
      <c r="X48" s="281"/>
      <c r="Y48" s="281"/>
      <c r="Z48" s="281"/>
      <c r="AA48" s="281"/>
      <c r="AB48" s="281"/>
      <c r="AC48" s="281"/>
      <c r="AD48" s="281"/>
      <c r="AE48" s="281"/>
      <c r="AF48" s="281"/>
      <c r="AG48" s="281"/>
      <c r="AH48" s="281"/>
      <c r="AI48" s="281"/>
      <c r="AJ48" s="281"/>
      <c r="AK48" s="281"/>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4"/>
      <c r="C49" s="304" t="s">
        <v>58</v>
      </c>
      <c r="D49" s="310">
        <v>88.65065751858204688393367639</v>
      </c>
      <c r="E49" s="134">
        <v>53.491827789664231360751149160</v>
      </c>
      <c r="F49" s="134">
        <v>78.925349718917505556281866910</v>
      </c>
      <c r="G49" s="134">
        <v>24.946249831072032441375973660</v>
      </c>
      <c r="H49" s="134">
        <v>112.32215990717808126804848281</v>
      </c>
      <c r="I49" s="134">
        <v>22.846286300651067217098564130</v>
      </c>
      <c r="J49" s="319">
        <v>323.82209887415963184582207588</v>
      </c>
      <c r="K49" s="134">
        <v>41.910835523902638812322788460</v>
      </c>
      <c r="L49" s="135">
        <v>323.32910239201640966871823878</v>
      </c>
      <c r="M49" s="134">
        <v>27.808767255755060631771021690</v>
      </c>
      <c r="N49" s="134">
        <v>100.15247513400309219030563729</v>
      </c>
      <c r="O49" s="311">
        <v>11.033725284130151311335437340</v>
      </c>
      <c r="P49" s="319">
        <v>287.07041984241538546423506498</v>
      </c>
      <c r="Q49" s="134">
        <v>117.82153527707458798350403672</v>
      </c>
      <c r="R49" s="135">
        <v>255.18862480593581712250647242</v>
      </c>
      <c r="S49" s="134">
        <v>59.692261641531833212769961030</v>
      </c>
      <c r="T49" s="134">
        <v>112.49342327101171853802030080</v>
      </c>
      <c r="U49" s="311">
        <v>36.400808053008789026144199880</v>
      </c>
      <c r="W49" s="281"/>
      <c r="X49" s="281"/>
      <c r="Y49" s="281"/>
      <c r="Z49" s="281"/>
      <c r="AA49" s="281"/>
      <c r="AB49" s="281"/>
      <c r="AC49" s="281"/>
      <c r="AD49" s="281"/>
      <c r="AE49" s="281"/>
      <c r="AF49" s="281"/>
      <c r="AG49" s="281"/>
      <c r="AH49" s="281"/>
      <c r="AI49" s="281"/>
      <c r="AJ49" s="281"/>
      <c r="AK49" s="281"/>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4"/>
      <c r="C50" s="305" t="s">
        <v>44</v>
      </c>
      <c r="D50" s="312">
        <v>89.93506493506493506493506494</v>
      </c>
      <c r="E50" s="159">
        <v>19.080687830649239724181866320</v>
      </c>
      <c r="F50" s="159">
        <v>73.579352501697985057731491960</v>
      </c>
      <c r="G50" s="159">
        <v>5.7945395828500004418335345600</v>
      </c>
      <c r="H50" s="159">
        <v>122.22867132867132867132867134</v>
      </c>
      <c r="I50" s="159">
        <v>12.558444226210884536197107680</v>
      </c>
      <c r="J50" s="320">
        <v>351.59664150643871123642390477</v>
      </c>
      <c r="K50" s="159">
        <v>142.55920462620997415762107966</v>
      </c>
      <c r="L50" s="160">
        <v>334.17117141984620457645478762</v>
      </c>
      <c r="M50" s="159">
        <v>118.58266445680700318204197198</v>
      </c>
      <c r="N50" s="159">
        <v>105.21453421985928362789543821</v>
      </c>
      <c r="O50" s="313">
        <v>10.969095023638672806765115950</v>
      </c>
      <c r="P50" s="320">
        <v>316.20866784832312666392669358</v>
      </c>
      <c r="Q50" s="159">
        <v>188.84116926568217336340893523</v>
      </c>
      <c r="R50" s="160">
        <v>245.88098417806207038113607873</v>
      </c>
      <c r="S50" s="159">
        <v>131.24852346998578856269109532</v>
      </c>
      <c r="T50" s="159">
        <v>128.60232722158422802425846126</v>
      </c>
      <c r="U50" s="313">
        <v>24.905086930472023793309322480</v>
      </c>
      <c r="W50" s="281"/>
      <c r="X50" s="281"/>
      <c r="Y50" s="281"/>
      <c r="Z50" s="281"/>
      <c r="AA50" s="281"/>
      <c r="AB50" s="281"/>
      <c r="AC50" s="281"/>
      <c r="AD50" s="281"/>
      <c r="AE50" s="281"/>
      <c r="AF50" s="281"/>
      <c r="AG50" s="281"/>
      <c r="AH50" s="281"/>
      <c r="AI50" s="281"/>
      <c r="AJ50" s="281"/>
      <c r="AK50" s="281"/>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5"/>
      <c r="C51" s="306" t="s">
        <v>45</v>
      </c>
      <c r="D51" s="314">
        <v>88.65065751858204688393367639</v>
      </c>
      <c r="E51" s="315">
        <v>53.491827789664231360751149160</v>
      </c>
      <c r="F51" s="315">
        <v>78.925349718917505556281866910</v>
      </c>
      <c r="G51" s="315">
        <v>24.946249831072032441375973660</v>
      </c>
      <c r="H51" s="315">
        <v>112.32215990717808126804848281</v>
      </c>
      <c r="I51" s="315">
        <v>22.846286300651067217098564130</v>
      </c>
      <c r="J51" s="321">
        <v>323.82209887415963184582207588</v>
      </c>
      <c r="K51" s="315">
        <v>41.910835523902638812322788460</v>
      </c>
      <c r="L51" s="322">
        <v>323.32910239201640966871823878</v>
      </c>
      <c r="M51" s="315">
        <v>27.808767255755060631771021690</v>
      </c>
      <c r="N51" s="315">
        <v>100.15247513400309219030563729</v>
      </c>
      <c r="O51" s="316">
        <v>11.033725284130151311335437340</v>
      </c>
      <c r="P51" s="321">
        <v>287.07041984241538546423506498</v>
      </c>
      <c r="Q51" s="315">
        <v>117.82153527707458798350403672</v>
      </c>
      <c r="R51" s="322">
        <v>255.18862480593581712250647242</v>
      </c>
      <c r="S51" s="315">
        <v>59.692261641531833212769961030</v>
      </c>
      <c r="T51" s="315">
        <v>112.49342327101171853802030080</v>
      </c>
      <c r="U51" s="316">
        <v>36.400808053008789026144199880</v>
      </c>
      <c r="W51" s="281"/>
      <c r="X51" s="281"/>
      <c r="Y51" s="281"/>
      <c r="Z51" s="281"/>
      <c r="AA51" s="281"/>
      <c r="AB51" s="281"/>
      <c r="AC51" s="281"/>
      <c r="AD51" s="281"/>
      <c r="AE51" s="281"/>
      <c r="AF51" s="281"/>
      <c r="AG51" s="281"/>
      <c r="AH51" s="281"/>
      <c r="AI51" s="281"/>
      <c r="AJ51" s="281"/>
      <c r="AK51" s="281"/>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3" t="s">
        <v>51</v>
      </c>
      <c r="C54" s="303" t="s">
        <v>42</v>
      </c>
      <c r="D54" s="307">
        <v>93.93939393939393939393939394</v>
      </c>
      <c r="E54" s="308">
        <v>7.8260869565367410207939529400</v>
      </c>
      <c r="F54" s="308">
        <v>76.743264659270998415213946120</v>
      </c>
      <c r="G54" s="308">
        <v>-9.093815253425379001895667560</v>
      </c>
      <c r="H54" s="308">
        <v>122.40734656842039392374962844</v>
      </c>
      <c r="I54" s="308">
        <v>18.612487430908797537989804350</v>
      </c>
      <c r="J54" s="317">
        <v>389.67462886808511660106293782</v>
      </c>
      <c r="K54" s="308">
        <v>141.67854638809794583647353944</v>
      </c>
      <c r="L54" s="318">
        <v>370.11285566152144786486272062</v>
      </c>
      <c r="M54" s="308">
        <v>116.96814196558018006877165930</v>
      </c>
      <c r="N54" s="308">
        <v>105.28535361777691319559934731</v>
      </c>
      <c r="O54" s="309">
        <v>11.388955170364164319194829210</v>
      </c>
      <c r="P54" s="317">
        <v>366.05798469426177620099851735</v>
      </c>
      <c r="Q54" s="308">
        <v>160.59251958372616566938813647</v>
      </c>
      <c r="R54" s="318">
        <v>284.03668835830706993432610532</v>
      </c>
      <c r="S54" s="308">
        <v>97.23745997658038278235872773</v>
      </c>
      <c r="T54" s="308">
        <v>128.87700768869912542163726055</v>
      </c>
      <c r="U54" s="309">
        <v>32.121210450949275822942154820</v>
      </c>
      <c r="W54" s="281"/>
      <c r="X54" s="281"/>
      <c r="Y54" s="281"/>
      <c r="Z54" s="281"/>
      <c r="AA54" s="281"/>
      <c r="AB54" s="281"/>
      <c r="AC54" s="281"/>
      <c r="AD54" s="281"/>
      <c r="AE54" s="281"/>
      <c r="AF54" s="281"/>
      <c r="AG54" s="281"/>
      <c r="AH54" s="281"/>
      <c r="AI54" s="281"/>
      <c r="AJ54" s="281"/>
      <c r="AK54" s="281"/>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4"/>
      <c r="C55" s="304" t="s">
        <v>58</v>
      </c>
      <c r="D55" s="310">
        <v>91.81235431235431235431235431</v>
      </c>
      <c r="E55" s="134">
        <v>43.428992924058347381759134810</v>
      </c>
      <c r="F55" s="134">
        <v>82.83664274987485399632905056</v>
      </c>
      <c r="G55" s="134">
        <v>24.495515567910337145576304530</v>
      </c>
      <c r="H55" s="134">
        <v>110.83543618442095599456005547</v>
      </c>
      <c r="I55" s="134">
        <v>15.208160125114212313273868650</v>
      </c>
      <c r="J55" s="319">
        <v>326.05840824184166227157225162</v>
      </c>
      <c r="K55" s="134">
        <v>48.587481009076105964992416890</v>
      </c>
      <c r="L55" s="135">
        <v>319.56483059697458236180999404</v>
      </c>
      <c r="M55" s="134">
        <v>27.382093921290497184264165410</v>
      </c>
      <c r="N55" s="134">
        <v>102.03200634836334101535977431</v>
      </c>
      <c r="O55" s="311">
        <v>16.647070584976026871300721670</v>
      </c>
      <c r="P55" s="319">
        <v>299.36190104022234202148140001</v>
      </c>
      <c r="Q55" s="134">
        <v>113.11752762263246411322973897</v>
      </c>
      <c r="R55" s="135">
        <v>264.71677707585860448472710402</v>
      </c>
      <c r="S55" s="134">
        <v>58.584994568600500583095779890</v>
      </c>
      <c r="T55" s="134">
        <v>113.08761928392458940662271213</v>
      </c>
      <c r="U55" s="311">
        <v>34.386943860917961225449321040</v>
      </c>
      <c r="W55" s="281"/>
      <c r="X55" s="281"/>
      <c r="Y55" s="281"/>
      <c r="Z55" s="281"/>
      <c r="AA55" s="281"/>
      <c r="AB55" s="281"/>
      <c r="AC55" s="281"/>
      <c r="AD55" s="281"/>
      <c r="AE55" s="281"/>
      <c r="AF55" s="281"/>
      <c r="AG55" s="281"/>
      <c r="AH55" s="281"/>
      <c r="AI55" s="281"/>
      <c r="AJ55" s="281"/>
      <c r="AK55" s="281"/>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4"/>
      <c r="C56" s="305" t="s">
        <v>44</v>
      </c>
      <c r="D56" s="312">
        <v>92.48251748251748251748251748</v>
      </c>
      <c r="E56" s="159">
        <v>10.361613351922120817624558290</v>
      </c>
      <c r="F56" s="159">
        <v>76.398878459100329147872729490</v>
      </c>
      <c r="G56" s="159">
        <v>-0.8456887463978807080223862900</v>
      </c>
      <c r="H56" s="159">
        <v>121.05219258163250504083438501</v>
      </c>
      <c r="I56" s="159">
        <v>11.302889361692850407849337430</v>
      </c>
      <c r="J56" s="320">
        <v>314.57615376613890415563958198</v>
      </c>
      <c r="K56" s="159">
        <v>116.51950446642493155111443241</v>
      </c>
      <c r="L56" s="160">
        <v>300.66787350977345945305480393</v>
      </c>
      <c r="M56" s="159">
        <v>90.56991971281146070211832849</v>
      </c>
      <c r="N56" s="159">
        <v>104.62579526505792261771958586</v>
      </c>
      <c r="O56" s="313">
        <v>13.616831445728296801005769620</v>
      </c>
      <c r="P56" s="320">
        <v>290.92794640260049003205129173</v>
      </c>
      <c r="Q56" s="159">
        <v>138.95441835053134025883371371</v>
      </c>
      <c r="R56" s="160">
        <v>229.70688324829334028919839768</v>
      </c>
      <c r="S56" s="159">
        <v>88.95829134771913240143537361</v>
      </c>
      <c r="T56" s="159">
        <v>126.65181917432245931746442419</v>
      </c>
      <c r="U56" s="313">
        <v>26.458816200276967564419346500</v>
      </c>
      <c r="W56" s="281"/>
      <c r="X56" s="281"/>
      <c r="Y56" s="281"/>
      <c r="Z56" s="281"/>
      <c r="AA56" s="281"/>
      <c r="AB56" s="281"/>
      <c r="AC56" s="281"/>
      <c r="AD56" s="281"/>
      <c r="AE56" s="281"/>
      <c r="AF56" s="281"/>
      <c r="AG56" s="281"/>
      <c r="AH56" s="281"/>
      <c r="AI56" s="281"/>
      <c r="AJ56" s="281"/>
      <c r="AK56" s="281"/>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5"/>
      <c r="C57" s="306" t="s">
        <v>45</v>
      </c>
      <c r="D57" s="314">
        <v>91.81235431235431235431235431</v>
      </c>
      <c r="E57" s="315">
        <v>43.428992924058347381759134810</v>
      </c>
      <c r="F57" s="315">
        <v>82.83664274987485399632905056</v>
      </c>
      <c r="G57" s="315">
        <v>24.495515567910337145576304530</v>
      </c>
      <c r="H57" s="315">
        <v>110.83543618442095599456005547</v>
      </c>
      <c r="I57" s="315">
        <v>15.208160125114212313273868650</v>
      </c>
      <c r="J57" s="321">
        <v>326.05840824184166227157225162</v>
      </c>
      <c r="K57" s="315">
        <v>48.587481009076105964992416890</v>
      </c>
      <c r="L57" s="322">
        <v>319.56483059697458236180999404</v>
      </c>
      <c r="M57" s="315">
        <v>27.382093921290497184264165410</v>
      </c>
      <c r="N57" s="315">
        <v>102.03200634836334101535977431</v>
      </c>
      <c r="O57" s="316">
        <v>16.647070584976026871300721670</v>
      </c>
      <c r="P57" s="321">
        <v>299.36190104022234202148140001</v>
      </c>
      <c r="Q57" s="315">
        <v>113.11752762263246411322973897</v>
      </c>
      <c r="R57" s="322">
        <v>264.71677707585860448472710402</v>
      </c>
      <c r="S57" s="315">
        <v>58.584994568600500583095779890</v>
      </c>
      <c r="T57" s="315">
        <v>113.08761928392458940662271213</v>
      </c>
      <c r="U57" s="316">
        <v>34.386943860917961225449321040</v>
      </c>
      <c r="W57" s="281"/>
      <c r="X57" s="281"/>
      <c r="Y57" s="281"/>
      <c r="Z57" s="281"/>
      <c r="AA57" s="281"/>
      <c r="AB57" s="281"/>
      <c r="AC57" s="281"/>
      <c r="AD57" s="281"/>
      <c r="AE57" s="281"/>
      <c r="AF57" s="281"/>
      <c r="AG57" s="281"/>
      <c r="AH57" s="281"/>
      <c r="AI57" s="281"/>
      <c r="AJ57" s="281"/>
      <c r="AK57" s="281"/>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1114" t="s">
        <v>57</v>
      </c>
      <c r="C59" s="1114"/>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4" t="s">
        <v>40</v>
      </c>
      <c r="C60" s="348" t="s">
        <v>42</v>
      </c>
      <c r="D60" s="238">
        <v>94.00826446280991735537190083</v>
      </c>
      <c r="E60" s="246">
        <v>39.156065777242198889533164350</v>
      </c>
      <c r="F60" s="246">
        <v>72.165394035441579023195504970</v>
      </c>
      <c r="G60" s="246">
        <v>14.920493454722375840610491450</v>
      </c>
      <c r="H60" s="246">
        <v>130.26779070400551734151255014</v>
      </c>
      <c r="I60" s="239">
        <v>21.088990826615250932715540550</v>
      </c>
      <c r="J60" s="326">
        <v>295.93024135987177926431259315</v>
      </c>
      <c r="K60" s="246">
        <v>77.548509702811944846300732270</v>
      </c>
      <c r="L60" s="328">
        <v>320.25934580282730642422571861</v>
      </c>
      <c r="M60" s="246">
        <v>75.923716418854346174559994560</v>
      </c>
      <c r="N60" s="246">
        <v>92.40331164045588158386373396</v>
      </c>
      <c r="O60" s="239">
        <v>0.9235783082239964316996429800</v>
      </c>
      <c r="P60" s="326">
        <v>278.19888392301995777946741711</v>
      </c>
      <c r="Q60" s="246">
        <v>147.06952094848803416455681236</v>
      </c>
      <c r="R60" s="328">
        <v>231.1164188339377579425077978</v>
      </c>
      <c r="S60" s="246">
        <v>102.17240301225342076827246439</v>
      </c>
      <c r="T60" s="246">
        <v>120.37175261135903501939779914</v>
      </c>
      <c r="U60" s="239">
        <v>22.207342479614622521375023140</v>
      </c>
    </row>
    <row r="61" ht="15.95" customHeight="1">
      <c r="B61" s="345" t="s">
        <v>67</v>
      </c>
      <c r="C61" s="304" t="s">
        <v>58</v>
      </c>
      <c r="D61" s="240">
        <v>80.63228438228438228438228438</v>
      </c>
      <c r="E61" s="121">
        <v>80.54976418526406567970272505</v>
      </c>
      <c r="F61" s="121">
        <v>66.752544635407975971967295180</v>
      </c>
      <c r="G61" s="121">
        <v>31.617833063923292820382949240</v>
      </c>
      <c r="H61" s="121">
        <v>120.79282493676516393790320918</v>
      </c>
      <c r="I61" s="241">
        <v>37.177280602458818113333313510</v>
      </c>
      <c r="J61" s="329">
        <v>192.46522798548678522952925798</v>
      </c>
      <c r="K61" s="121">
        <v>-1.6959259088497099819697993200</v>
      </c>
      <c r="L61" s="136">
        <v>206.23106937526981384634435755</v>
      </c>
      <c r="M61" s="121">
        <v>-1.1267278987196707889597250400</v>
      </c>
      <c r="N61" s="121">
        <v>93.32503999931556450016332291</v>
      </c>
      <c r="O61" s="241">
        <v>-0.5756844069676910548618578200</v>
      </c>
      <c r="P61" s="329">
        <v>155.18910996626969136529030175</v>
      </c>
      <c r="Q61" s="121">
        <v>77.487773955996792975642901660</v>
      </c>
      <c r="R61" s="136">
        <v>137.66448663680617134924473143</v>
      </c>
      <c r="S61" s="121">
        <v>30.134858219110961209173988820</v>
      </c>
      <c r="T61" s="121">
        <v>112.72995218853931497599095417</v>
      </c>
      <c r="U61" s="241">
        <v>36.387572388170420313524450830</v>
      </c>
    </row>
    <row r="62" ht="15.95" customHeight="1">
      <c r="B62" s="345"/>
      <c r="C62" s="305" t="s">
        <v>44</v>
      </c>
      <c r="D62" s="242">
        <v>80.71095571095571095571095571</v>
      </c>
      <c r="E62" s="156">
        <v>59.300826043076408555974876920</v>
      </c>
      <c r="F62" s="156">
        <v>64.395952700231622577105936850</v>
      </c>
      <c r="G62" s="156">
        <v>25.546705411127108973201220140</v>
      </c>
      <c r="H62" s="156">
        <v>125.33544784510254751054387584</v>
      </c>
      <c r="I62" s="243">
        <v>26.885708009008497059127378450</v>
      </c>
      <c r="J62" s="330">
        <v>222.56188098042403191769869372</v>
      </c>
      <c r="K62" s="156">
        <v>62.28771494432774474807104300</v>
      </c>
      <c r="L62" s="186">
        <v>243.55636159644288075926864517</v>
      </c>
      <c r="M62" s="156">
        <v>71.195961492139320820750426140</v>
      </c>
      <c r="N62" s="156">
        <v>91.38003192427166255363514822</v>
      </c>
      <c r="O62" s="243">
        <v>-5.2035377880410078060934392400</v>
      </c>
      <c r="P62" s="330">
        <v>179.63182118758000245105634662</v>
      </c>
      <c r="Q62" s="156">
        <v>158.52567047278367002204548245</v>
      </c>
      <c r="R62" s="186">
        <v>156.84043941205045389769117289</v>
      </c>
      <c r="S62" s="156">
        <v>114.93088945016136224086213347</v>
      </c>
      <c r="T62" s="156">
        <v>114.53157225328356746389831593</v>
      </c>
      <c r="U62" s="243">
        <v>20.283162245197223505825412760</v>
      </c>
    </row>
    <row r="63" ht="15.95" customHeight="1">
      <c r="B63" s="346"/>
      <c r="C63" s="349" t="s">
        <v>45</v>
      </c>
      <c r="D63" s="244">
        <v>80.63228438228438228438228438</v>
      </c>
      <c r="E63" s="250">
        <v>80.54976418526406567970272505</v>
      </c>
      <c r="F63" s="250">
        <v>66.752544635407975971967295180</v>
      </c>
      <c r="G63" s="250">
        <v>31.617833063923292820382949240</v>
      </c>
      <c r="H63" s="250">
        <v>120.79282493676516393790320918</v>
      </c>
      <c r="I63" s="245">
        <v>37.177280602458818113333313510</v>
      </c>
      <c r="J63" s="332">
        <v>192.46522798548678522952925798</v>
      </c>
      <c r="K63" s="250">
        <v>-1.6959259088497099819697993200</v>
      </c>
      <c r="L63" s="334">
        <v>206.23106937526981384634435755</v>
      </c>
      <c r="M63" s="250">
        <v>-1.1267278987196707889597250400</v>
      </c>
      <c r="N63" s="250">
        <v>93.32503999931556450016332291</v>
      </c>
      <c r="O63" s="245">
        <v>-0.5756844069676910548618578200</v>
      </c>
      <c r="P63" s="332">
        <v>155.18910996626969136529030175</v>
      </c>
      <c r="Q63" s="250">
        <v>77.487773955996792975642901660</v>
      </c>
      <c r="R63" s="334">
        <v>137.66448663680617134924473143</v>
      </c>
      <c r="S63" s="250">
        <v>30.134858219110961209173988820</v>
      </c>
      <c r="T63" s="250">
        <v>112.72995218853931497599095417</v>
      </c>
      <c r="U63" s="245">
        <v>36.387572388170420313524450830</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92.67676767676767676767676768</v>
      </c>
      <c r="E66" s="246">
        <v>10.959939531404334613664071560</v>
      </c>
      <c r="F66" s="246">
        <v>76.122556788166930797675647120</v>
      </c>
      <c r="G66" s="246">
        <v>-1.8560028596472500481976122300</v>
      </c>
      <c r="H66" s="246">
        <v>121.74678779467120896683700293</v>
      </c>
      <c r="I66" s="239">
        <v>13.058304903461883146894048880</v>
      </c>
      <c r="J66" s="326">
        <v>438.78423350367851281419311598</v>
      </c>
      <c r="K66" s="246">
        <v>171.19208635294280639131173613</v>
      </c>
      <c r="L66" s="328">
        <v>415.31479846108629290819031936</v>
      </c>
      <c r="M66" s="246">
        <v>146.93165142858873657637336593</v>
      </c>
      <c r="N66" s="246">
        <v>105.65099898427800258085575507</v>
      </c>
      <c r="O66" s="239">
        <v>9.824757087230389841983610240</v>
      </c>
      <c r="P66" s="326">
        <v>406.65104468648993485557796354</v>
      </c>
      <c r="Q66" s="246">
        <v>200.91457503096830595674186195</v>
      </c>
      <c r="R66" s="328">
        <v>316.14824330820145170665729012</v>
      </c>
      <c r="S66" s="246">
        <v>142.34859291647350571302740952</v>
      </c>
      <c r="T66" s="246">
        <v>128.62669753633917420387164422</v>
      </c>
      <c r="U66" s="239">
        <v>24.166008727241055923457107340</v>
      </c>
    </row>
    <row r="67" ht="15.95" customHeight="1">
      <c r="B67" s="345" t="s">
        <v>55</v>
      </c>
      <c r="C67" s="304" t="s">
        <v>58</v>
      </c>
      <c r="D67" s="240">
        <v>90.21645021645021645021645022</v>
      </c>
      <c r="E67" s="121">
        <v>48.177167489269651778389463490</v>
      </c>
      <c r="F67" s="121">
        <v>80.86061987087399481514506035</v>
      </c>
      <c r="G67" s="121">
        <v>24.685265528500204966533782420</v>
      </c>
      <c r="H67" s="121">
        <v>111.57031736896960503250068291</v>
      </c>
      <c r="I67" s="241">
        <v>18.840960767210346938600631770</v>
      </c>
      <c r="J67" s="329">
        <v>324.94919593391108384062994592</v>
      </c>
      <c r="K67" s="121">
        <v>45.333849093268934283277452180</v>
      </c>
      <c r="L67" s="136">
        <v>321.42106166306953939279264256</v>
      </c>
      <c r="M67" s="121">
        <v>27.599637639548949092533769260</v>
      </c>
      <c r="N67" s="121">
        <v>101.09766741873932341674950638</v>
      </c>
      <c r="O67" s="241">
        <v>13.898324306957196457815585880</v>
      </c>
      <c r="P67" s="329">
        <v>293.15762957847216394972848801</v>
      </c>
      <c r="Q67" s="121">
        <v>115.35158098944328784932170737</v>
      </c>
      <c r="R67" s="136">
        <v>259.90306285630216383588539994</v>
      </c>
      <c r="S67" s="121">
        <v>59.097947004346657574886249340</v>
      </c>
      <c r="T67" s="121">
        <v>112.79498839171284471171626526</v>
      </c>
      <c r="U67" s="241">
        <v>35.357862904201973870892757780</v>
      </c>
    </row>
    <row r="68" ht="15.95" customHeight="1">
      <c r="B68" s="345"/>
      <c r="C68" s="305" t="s">
        <v>44</v>
      </c>
      <c r="D68" s="342">
        <v>91.16161616161616161616161616</v>
      </c>
      <c r="E68" s="161">
        <v>14.435503535729691421811405780</v>
      </c>
      <c r="F68" s="161">
        <v>74.936902036743558138169865590</v>
      </c>
      <c r="G68" s="161">
        <v>2.2333096987687717427876688800</v>
      </c>
      <c r="H68" s="161">
        <v>121.65116742738736942543631663</v>
      </c>
      <c r="I68" s="336">
        <v>11.935634161573424581101714710</v>
      </c>
      <c r="J68" s="335">
        <v>333.51368858435320990148862616</v>
      </c>
      <c r="K68" s="161">
        <v>129.80501035079551701058528818</v>
      </c>
      <c r="L68" s="162">
        <v>317.72524301047627478180078138</v>
      </c>
      <c r="M68" s="161">
        <v>104.38785701283407873143311622</v>
      </c>
      <c r="N68" s="161">
        <v>104.96921347019202583851868203</v>
      </c>
      <c r="O68" s="336">
        <v>12.435745307735751342929741320</v>
      </c>
      <c r="P68" s="335">
        <v>304.03646863371593124857927789</v>
      </c>
      <c r="Q68" s="161">
        <v>162.97852074526525965183180363</v>
      </c>
      <c r="R68" s="162">
        <v>238.09345410076601515168460268</v>
      </c>
      <c r="S68" s="161">
        <v>108.95247084662112384629157371</v>
      </c>
      <c r="T68" s="161">
        <v>127.69627362583495673032396608</v>
      </c>
      <c r="U68" s="336">
        <v>25.8556645344980793694735600</v>
      </c>
    </row>
    <row r="69" ht="15.95" customHeight="1">
      <c r="B69" s="346"/>
      <c r="C69" s="349" t="s">
        <v>45</v>
      </c>
      <c r="D69" s="343">
        <v>90.21645021645021645021645022</v>
      </c>
      <c r="E69" s="338">
        <v>48.177167489269651778389463490</v>
      </c>
      <c r="F69" s="338">
        <v>80.86061987087399481514506035</v>
      </c>
      <c r="G69" s="338">
        <v>24.685265528500204966533782420</v>
      </c>
      <c r="H69" s="338">
        <v>111.57031736896960503250068291</v>
      </c>
      <c r="I69" s="340">
        <v>18.840960767210346938600631770</v>
      </c>
      <c r="J69" s="337">
        <v>324.94919593391108384062994592</v>
      </c>
      <c r="K69" s="338">
        <v>45.333849093268934283277452180</v>
      </c>
      <c r="L69" s="339">
        <v>321.42106166306953939279264256</v>
      </c>
      <c r="M69" s="338">
        <v>27.599637639548949092533769260</v>
      </c>
      <c r="N69" s="338">
        <v>101.09766741873932341674950638</v>
      </c>
      <c r="O69" s="340">
        <v>13.898324306957196457815585880</v>
      </c>
      <c r="P69" s="337">
        <v>293.15762957847216394972848801</v>
      </c>
      <c r="Q69" s="338">
        <v>115.35158098944328784932170737</v>
      </c>
      <c r="R69" s="339">
        <v>259.90306285630216383588539994</v>
      </c>
      <c r="S69" s="338">
        <v>59.097947004346657574886249340</v>
      </c>
      <c r="T69" s="338">
        <v>112.79498839171284471171626526</v>
      </c>
      <c r="U69" s="340">
        <v>35.357862904201973870892757780</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93.62170087976539589442815249</v>
      </c>
      <c r="E72" s="246">
        <v>30.617115581374664890591574850</v>
      </c>
      <c r="F72" s="246">
        <v>73.314247737845713409334901080</v>
      </c>
      <c r="G72" s="246">
        <v>10.070613795149851325484725810</v>
      </c>
      <c r="H72" s="246">
        <v>127.69919049641523667044899873</v>
      </c>
      <c r="I72" s="239">
        <v>18.666655047880945941740962210</v>
      </c>
      <c r="J72" s="326">
        <v>336.98538240668232837379274341</v>
      </c>
      <c r="K72" s="246">
        <v>103.97519524991013283641442340</v>
      </c>
      <c r="L72" s="328">
        <v>348.91318597029495851056411687</v>
      </c>
      <c r="M72" s="246">
        <v>96.1496906260328225603953300</v>
      </c>
      <c r="N72" s="246">
        <v>96.58144087319528401436522053</v>
      </c>
      <c r="O72" s="239">
        <v>3.989557464414089393865880400</v>
      </c>
      <c r="P72" s="326">
        <v>315.4914467253176930596285435</v>
      </c>
      <c r="Q72" s="246">
        <v>166.42651653680275745749143577</v>
      </c>
      <c r="R72" s="328">
        <v>255.8030775522723787127447472</v>
      </c>
      <c r="S72" s="246">
        <v>115.90316842936280909928418534</v>
      </c>
      <c r="T72" s="246">
        <v>123.33371816484429309494600344</v>
      </c>
      <c r="U72" s="239">
        <v>23.400929442111377551893050360</v>
      </c>
    </row>
    <row r="73" ht="15.95" customHeight="1">
      <c r="B73" s="345"/>
      <c r="C73" s="304" t="s">
        <v>58</v>
      </c>
      <c r="D73" s="240">
        <v>83.37069323370693233706932337</v>
      </c>
      <c r="E73" s="121">
        <v>68.982737229314182152003445530</v>
      </c>
      <c r="F73" s="121">
        <v>70.801289059157928759518218890</v>
      </c>
      <c r="G73" s="121">
        <v>29.346316110586173851607442170</v>
      </c>
      <c r="H73" s="121">
        <v>117.75307249568105122765559405</v>
      </c>
      <c r="I73" s="241">
        <v>30.643641280909509710115831130</v>
      </c>
      <c r="J73" s="329">
        <v>233.74962656841266679944234216</v>
      </c>
      <c r="K73" s="121">
        <v>13.672018464972760852009297750</v>
      </c>
      <c r="L73" s="136">
        <v>244.13632952012674883858320578</v>
      </c>
      <c r="M73" s="121">
        <v>9.386984664219878367191158250</v>
      </c>
      <c r="N73" s="121">
        <v>95.74553161664626571965958626</v>
      </c>
      <c r="O73" s="241">
        <v>3.9173159530509375784403648800</v>
      </c>
      <c r="P73" s="329">
        <v>194.87868410128684101286841013</v>
      </c>
      <c r="Q73" s="121">
        <v>92.08608826616171883247526863</v>
      </c>
      <c r="R73" s="136">
        <v>172.85166836196324850512866826</v>
      </c>
      <c r="S73" s="121">
        <v>41.488034967626444563805500030</v>
      </c>
      <c r="T73" s="121">
        <v>112.74330525592469887908163041</v>
      </c>
      <c r="U73" s="241">
        <v>35.761365482319995153541911790</v>
      </c>
    </row>
    <row r="74" ht="15.95" customHeight="1">
      <c r="B74" s="345"/>
      <c r="C74" s="305" t="s">
        <v>44</v>
      </c>
      <c r="D74" s="242">
        <v>83.77799736495388669301712780</v>
      </c>
      <c r="E74" s="156">
        <v>42.273807859057565122229685470</v>
      </c>
      <c r="F74" s="156">
        <v>67.480879211741197547026803550</v>
      </c>
      <c r="G74" s="156">
        <v>17.333712187037057035376605830</v>
      </c>
      <c r="H74" s="156">
        <v>124.15071994257168096959795536</v>
      </c>
      <c r="I74" s="243">
        <v>21.255694724963503980509873290</v>
      </c>
      <c r="J74" s="330">
        <v>257.99361116571653233733045017</v>
      </c>
      <c r="K74" s="156">
        <v>84.10093735740892845007746608</v>
      </c>
      <c r="L74" s="186">
        <v>267.75945269821820595292796244</v>
      </c>
      <c r="M74" s="156">
        <v>82.12882871332022514184467911</v>
      </c>
      <c r="N74" s="156">
        <v>96.35275564164362366189700652</v>
      </c>
      <c r="O74" s="243">
        <v>1.082809711155951493133465500</v>
      </c>
      <c r="P74" s="330">
        <v>216.14188076416337285902503294</v>
      </c>
      <c r="Q74" s="156">
        <v>161.92741388272703239124683003</v>
      </c>
      <c r="R74" s="186">
        <v>180.68643285330393440363811755</v>
      </c>
      <c r="S74" s="156">
        <v>113.69851569212630121327480823</v>
      </c>
      <c r="T74" s="156">
        <v>119.62263981360741070586869443</v>
      </c>
      <c r="U74" s="243">
        <v>22.568663162730178111000366410</v>
      </c>
    </row>
    <row r="75" ht="15.95" customHeight="1">
      <c r="B75" s="346"/>
      <c r="C75" s="349" t="s">
        <v>45</v>
      </c>
      <c r="D75" s="244">
        <v>83.37069323370693233706932337</v>
      </c>
      <c r="E75" s="250">
        <v>68.982737229314182152003445530</v>
      </c>
      <c r="F75" s="250">
        <v>70.801289059157928759518218890</v>
      </c>
      <c r="G75" s="250">
        <v>29.346316110586173851607442170</v>
      </c>
      <c r="H75" s="250">
        <v>117.75307249568105122765559405</v>
      </c>
      <c r="I75" s="245">
        <v>30.643641280909509710115831130</v>
      </c>
      <c r="J75" s="332">
        <v>233.74962656841266679944234216</v>
      </c>
      <c r="K75" s="250">
        <v>13.672018464972760852009297750</v>
      </c>
      <c r="L75" s="334">
        <v>244.13632952012674883858320578</v>
      </c>
      <c r="M75" s="250">
        <v>9.386984664219878367191158250</v>
      </c>
      <c r="N75" s="250">
        <v>95.74553161664626571965958626</v>
      </c>
      <c r="O75" s="245">
        <v>3.9173159530509375784403648800</v>
      </c>
      <c r="P75" s="332">
        <v>194.87868410128684101286841013</v>
      </c>
      <c r="Q75" s="250">
        <v>92.08608826616171883247526863</v>
      </c>
      <c r="R75" s="334">
        <v>172.85166836196324850512866826</v>
      </c>
      <c r="S75" s="250">
        <v>41.488034967626444563805500030</v>
      </c>
      <c r="T75" s="250">
        <v>112.74330525592469887908163041</v>
      </c>
      <c r="U75" s="245">
        <v>35.761365482319995153541911790</v>
      </c>
    </row>
    <row r="76" ht="9.95" customHeight="1"/>
    <row r="77" ht="24" customHeight="1">
      <c r="B77" s="1048" t="s">
        <v>126</v>
      </c>
      <c r="C77" s="1048"/>
      <c r="D77" s="1048"/>
      <c r="E77" s="1048"/>
      <c r="F77" s="1048"/>
      <c r="G77" s="1048"/>
      <c r="H77" s="1048"/>
      <c r="I77" s="1048"/>
      <c r="J77" s="1048"/>
      <c r="K77" s="1048"/>
      <c r="L77" s="1048"/>
      <c r="M77" s="1048"/>
      <c r="N77" s="1048"/>
      <c r="O77" s="1048"/>
      <c r="P77" s="1048"/>
      <c r="Q77" s="1048"/>
      <c r="R77" s="1048"/>
      <c r="S77" s="1048"/>
      <c r="T77" s="1048"/>
      <c r="U77" s="1048"/>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3" width="10.28515625" customWidth="1"/>
    <col min="34" max="34" width="2.7109375" customWidth="1"/>
    <col min="35" max="38" width="9.28515625" style="236" customWidth="1"/>
    <col min="39" max="49" width="9.140625" style="236" customWidth="1"/>
  </cols>
  <sheetData>
    <row r="1" ht="39.95" customHeight="1">
      <c r="A1" s="7"/>
      <c r="B1" s="656" t="s">
        <v>175</v>
      </c>
      <c r="AA1" s="998"/>
      <c r="AB1" s="998"/>
      <c r="AC1" s="998"/>
      <c r="AD1" s="998"/>
      <c r="AE1" s="998"/>
      <c r="AF1" s="998"/>
      <c r="AG1" s="998"/>
      <c r="AH1"/>
    </row>
    <row r="2" ht="21.95"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999"/>
      <c r="AG2" s="999"/>
    </row>
    <row r="3" ht="21.95"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c r="AG3" s="1000"/>
    </row>
    <row r="4" ht="21.95" customHeight="1">
      <c r="A4" s="6"/>
      <c r="B4" s="999" t="s">
        <v>294</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999"/>
      <c r="AG4" s="999"/>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1001"/>
      <c r="Y22" s="1001"/>
      <c r="Z22" s="1001"/>
      <c r="AA22" s="1001"/>
      <c r="AB22" s="1001"/>
      <c r="AC22" s="1001"/>
      <c r="AD22" s="1001"/>
      <c r="AE22"/>
      <c r="AF22"/>
      <c r="AG22"/>
    </row>
    <row r="23" s="82" customFormat="1" ht="21.95" customHeight="1">
      <c r="B23" s="25"/>
      <c r="C23" s="41" t="s">
        <v>295</v>
      </c>
      <c r="D23" s="41" t="s">
        <v>297</v>
      </c>
      <c r="E23" s="41" t="s">
        <v>298</v>
      </c>
      <c r="F23" s="41" t="s">
        <v>299</v>
      </c>
      <c r="G23" s="41" t="s">
        <v>300</v>
      </c>
      <c r="H23" s="41" t="s">
        <v>301</v>
      </c>
      <c r="I23" s="41" t="s">
        <v>302</v>
      </c>
      <c r="J23" s="41" t="s">
        <v>295</v>
      </c>
      <c r="K23" s="41" t="s">
        <v>297</v>
      </c>
      <c r="L23" s="41" t="s">
        <v>298</v>
      </c>
      <c r="M23" s="41" t="s">
        <v>299</v>
      </c>
      <c r="N23" s="41" t="s">
        <v>300</v>
      </c>
      <c r="O23" s="41" t="s">
        <v>301</v>
      </c>
      <c r="P23" s="41" t="s">
        <v>302</v>
      </c>
      <c r="Q23" s="41" t="s">
        <v>295</v>
      </c>
      <c r="R23" s="41" t="s">
        <v>297</v>
      </c>
      <c r="S23" s="41" t="s">
        <v>298</v>
      </c>
      <c r="T23" s="41" t="s">
        <v>299</v>
      </c>
      <c r="U23" s="41" t="s">
        <v>300</v>
      </c>
      <c r="V23" s="41" t="s">
        <v>301</v>
      </c>
      <c r="W23" s="41" t="s">
        <v>302</v>
      </c>
      <c r="X23" s="41" t="s">
        <v>295</v>
      </c>
      <c r="Y23" s="41" t="s">
        <v>297</v>
      </c>
      <c r="Z23" s="41" t="s">
        <v>298</v>
      </c>
      <c r="AA23" s="41" t="s">
        <v>299</v>
      </c>
      <c r="AB23" s="41" t="s">
        <v>300</v>
      </c>
      <c r="AC23" s="41" t="s">
        <v>301</v>
      </c>
      <c r="AD23" s="41" t="s">
        <v>302</v>
      </c>
      <c r="AE23" s="41" t="s">
        <v>295</v>
      </c>
      <c r="AF23" s="41" t="s">
        <v>297</v>
      </c>
      <c r="AG23" s="41" t="s">
        <v>298</v>
      </c>
      <c r="AH23" s="93"/>
      <c r="AI23" s="236"/>
      <c r="AJ23" s="236"/>
      <c r="AK23" s="236"/>
      <c r="AL23" s="236"/>
      <c r="AM23" s="236"/>
      <c r="AN23" s="236"/>
      <c r="AO23" s="236"/>
      <c r="AP23" s="236"/>
      <c r="AQ23" s="236"/>
      <c r="AR23" s="236"/>
      <c r="AS23" s="236"/>
      <c r="AT23" s="236"/>
      <c r="AU23" s="236"/>
      <c r="AV23" s="236"/>
      <c r="AW23" s="236"/>
    </row>
    <row r="24" s="35" customFormat="1" ht="20.1" customHeight="1">
      <c r="B24" s="964" t="s">
        <v>22</v>
      </c>
      <c r="C24" s="350" t="s">
        <v>296</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v>31</v>
      </c>
      <c r="AH25" s="529"/>
      <c r="AI25" s="236"/>
      <c r="AJ25" s="236"/>
      <c r="AK25" s="236"/>
      <c r="AL25" s="236"/>
      <c r="AM25" s="236"/>
      <c r="AN25" s="236"/>
      <c r="AO25" s="236"/>
      <c r="AP25" s="236"/>
      <c r="AQ25" s="236"/>
      <c r="AR25" s="236"/>
      <c r="AS25" s="236"/>
      <c r="AT25" s="236"/>
      <c r="AU25" s="236"/>
      <c r="AV25" s="236"/>
      <c r="AW25" s="236"/>
    </row>
    <row r="26" ht="24.95" customHeight="1">
      <c r="B26" s="263" t="s">
        <v>19</v>
      </c>
      <c r="C26" s="573">
        <v>98.48484848484848484848484848</v>
      </c>
      <c r="D26" s="574">
        <v>97.72727272727272727272727273</v>
      </c>
      <c r="E26" s="574">
        <v>99.24242424242424242424242424</v>
      </c>
      <c r="F26" s="574">
        <v>98.48484848484848484848484848</v>
      </c>
      <c r="G26" s="574">
        <v>95.45454545454545454545454545</v>
      </c>
      <c r="H26" s="574">
        <v>99.24242424242424242424242424</v>
      </c>
      <c r="I26" s="574">
        <v>97.72727272727272727272727273</v>
      </c>
      <c r="J26" s="574">
        <v>99.24242424242424242424242424</v>
      </c>
      <c r="K26" s="574">
        <v>96.21212121212121212121212121</v>
      </c>
      <c r="L26" s="574">
        <v>90.90909090909090909090909091</v>
      </c>
      <c r="M26" s="574">
        <v>96.96969696969696969696969697</v>
      </c>
      <c r="N26" s="574">
        <v>87.87878787878787878787878788</v>
      </c>
      <c r="O26" s="574">
        <v>87.12121212121212121212121212</v>
      </c>
      <c r="P26" s="574">
        <v>87.12121212121212121212121212</v>
      </c>
      <c r="Q26" s="574">
        <v>87.87878787878787878787878788</v>
      </c>
      <c r="R26" s="574">
        <v>84.84848484848484848484848485</v>
      </c>
      <c r="S26" s="574">
        <v>87.12121212121212121212121212</v>
      </c>
      <c r="T26" s="574">
        <v>96.96969696969696969696969697</v>
      </c>
      <c r="U26" s="574">
        <v>96.21212121212121212121212121</v>
      </c>
      <c r="V26" s="574">
        <v>89.39393939393939393939393939</v>
      </c>
      <c r="W26" s="574">
        <v>97.72727272727272727272727273</v>
      </c>
      <c r="X26" s="574">
        <v>88.63636363636363636363636364</v>
      </c>
      <c r="Y26" s="574">
        <v>96.21212121212121212121212121</v>
      </c>
      <c r="Z26" s="574">
        <v>84.84848484848484848484848485</v>
      </c>
      <c r="AA26" s="574">
        <v>83.33333333333333333333333333</v>
      </c>
      <c r="AB26" s="574">
        <v>96.21212121212121212121212121</v>
      </c>
      <c r="AC26" s="574">
        <v>97.72727272727272727272727273</v>
      </c>
      <c r="AD26" s="574">
        <v>93.18181818181818181818181818</v>
      </c>
      <c r="AE26" s="574">
        <v>95.45454545454545454545454545</v>
      </c>
      <c r="AF26" s="574">
        <v>98.48484848484848484848484848</v>
      </c>
      <c r="AG26" s="575">
        <v>96.21212121212121212121212121</v>
      </c>
      <c r="AH26" s="342"/>
    </row>
    <row r="27" ht="24.95" customHeight="1">
      <c r="B27" s="38" t="s">
        <v>35</v>
      </c>
      <c r="C27" s="271">
        <v>86.84627575277337559429477021</v>
      </c>
      <c r="D27" s="92">
        <v>87.63866877971473851030110935</v>
      </c>
      <c r="E27" s="92">
        <v>89.22345483359746434231378764</v>
      </c>
      <c r="F27" s="92">
        <v>87.32171156893819334389857369</v>
      </c>
      <c r="G27" s="92">
        <v>78.763866877971473851030110940</v>
      </c>
      <c r="H27" s="92">
        <v>67.511885895404120443740095090</v>
      </c>
      <c r="I27" s="92">
        <v>67.987321711568938193343898570</v>
      </c>
      <c r="J27" s="92">
        <v>75.911251980982567353407290020</v>
      </c>
      <c r="K27" s="92">
        <v>79.39778129952456418383518225</v>
      </c>
      <c r="L27" s="92">
        <v>80.50713153724247226624405705</v>
      </c>
      <c r="M27" s="92">
        <v>81.93343898573692551505546751</v>
      </c>
      <c r="N27" s="92">
        <v>71.315372424722662440570522980</v>
      </c>
      <c r="O27" s="92">
        <v>67.353407290015847860538827260</v>
      </c>
      <c r="P27" s="92">
        <v>62.440570522979397781299524560</v>
      </c>
      <c r="Q27" s="92">
        <v>66.402535657686212361331220290</v>
      </c>
      <c r="R27" s="92">
        <v>68.779714738510301109350237720</v>
      </c>
      <c r="S27" s="92">
        <v>67.987321711568938193343898570</v>
      </c>
      <c r="T27" s="92">
        <v>77.812995245641838351822503960</v>
      </c>
      <c r="U27" s="92">
        <v>69.889064976228209191759112520</v>
      </c>
      <c r="V27" s="92">
        <v>71.790808240887480190174326470</v>
      </c>
      <c r="W27" s="92">
        <v>71.949286846275752773375594290</v>
      </c>
      <c r="X27" s="92">
        <v>71.790808240887480190174326470</v>
      </c>
      <c r="Y27" s="92">
        <v>63.866877971473851030110935020</v>
      </c>
      <c r="Z27" s="92">
        <v>53.882725832012678288431061810</v>
      </c>
      <c r="AA27" s="92">
        <v>59.904912836767036450079239300</v>
      </c>
      <c r="AB27" s="92">
        <v>61.489698890649762282091917590</v>
      </c>
      <c r="AC27" s="92">
        <v>68.938193343898573692551505550</v>
      </c>
      <c r="AD27" s="92">
        <v>70.681458003169572107765451660</v>
      </c>
      <c r="AE27" s="92">
        <v>76.228209191759112519809825670</v>
      </c>
      <c r="AF27" s="92">
        <v>80.66561014263074484944532488</v>
      </c>
      <c r="AG27" s="272">
        <v>86.52931854199683042789223455</v>
      </c>
      <c r="AH27" s="342"/>
    </row>
    <row r="28" ht="24.95" customHeight="1">
      <c r="A28" s="23"/>
      <c r="B28" s="40" t="s">
        <v>97</v>
      </c>
      <c r="C28" s="581">
        <v>113.40134925901349259013492589</v>
      </c>
      <c r="D28" s="582">
        <v>111.51158967614663817195462765</v>
      </c>
      <c r="E28" s="582">
        <v>111.22907583831207277033209537</v>
      </c>
      <c r="F28" s="582">
        <v>112.78391904526205796623219491</v>
      </c>
      <c r="G28" s="582">
        <v>121.19078104993597951344430216</v>
      </c>
      <c r="H28" s="582">
        <v>146.99992886612604922464077393</v>
      </c>
      <c r="I28" s="582">
        <v>143.74337783428692519601610512</v>
      </c>
      <c r="J28" s="582">
        <v>130.73480103751502498892895552</v>
      </c>
      <c r="K28" s="582">
        <v>121.17734228512671626444081534</v>
      </c>
      <c r="L28" s="582">
        <v>112.92054402290622763063707946</v>
      </c>
      <c r="M28" s="582">
        <v>118.35179649492995721235566497</v>
      </c>
      <c r="N28" s="582">
        <v>123.22558922558922558922558923</v>
      </c>
      <c r="O28" s="582">
        <v>129.34937611408199643493761140</v>
      </c>
      <c r="P28" s="582">
        <v>139.52661129057068143362559607</v>
      </c>
      <c r="Q28" s="582">
        <v>132.34251826137267664713965429</v>
      </c>
      <c r="R28" s="582">
        <v>123.36265884652981427174975562</v>
      </c>
      <c r="S28" s="582">
        <v>128.14332132513950695768877588</v>
      </c>
      <c r="T28" s="582">
        <v>124.61889773498734802197123990</v>
      </c>
      <c r="U28" s="582">
        <v>137.66405552119837834123548409</v>
      </c>
      <c r="V28" s="582">
        <v>124.52003478493544718710281623</v>
      </c>
      <c r="W28" s="582">
        <v>135.82799359231077292751301563</v>
      </c>
      <c r="X28" s="582">
        <v>123.46478025285972305839855509</v>
      </c>
      <c r="Y28" s="582">
        <v>150.64478532220467704338672081</v>
      </c>
      <c r="Z28" s="582">
        <v>157.46880570409982174688057040</v>
      </c>
      <c r="AA28" s="582">
        <v>139.10934744268077601410934744</v>
      </c>
      <c r="AB28" s="582">
        <v>156.46868166198063105279600125</v>
      </c>
      <c r="AC28" s="582">
        <v>141.76071055381400208986415883</v>
      </c>
      <c r="AD28" s="582">
        <v>131.83346922136159804321239299</v>
      </c>
      <c r="AE28" s="582">
        <v>125.22207522207522207522207522</v>
      </c>
      <c r="AF28" s="582">
        <v>122.09025421206167768053819134</v>
      </c>
      <c r="AG28" s="583">
        <v>111.19019869019869019869019869</v>
      </c>
      <c r="AH28" s="342"/>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91.17647058805536332179947730</v>
      </c>
      <c r="D30" s="574">
        <v>43.333333333371555555555565750</v>
      </c>
      <c r="E30" s="574">
        <v>11.016949152591295604711311420</v>
      </c>
      <c r="F30" s="574">
        <v>5.6910569105897283363077573400</v>
      </c>
      <c r="G30" s="574">
        <v>44.827586206876575505350775640</v>
      </c>
      <c r="H30" s="574">
        <v>111.29032258063152965660770119</v>
      </c>
      <c r="I30" s="574">
        <v>138.88888888883580246913581427</v>
      </c>
      <c r="J30" s="574">
        <v>118.33333333355166666666688499</v>
      </c>
      <c r="K30" s="574">
        <v>53.012048192741588038902604030</v>
      </c>
      <c r="L30" s="574">
        <v>9.090909090952727272727290180</v>
      </c>
      <c r="M30" s="574">
        <v>10.344827586191676575505352870</v>
      </c>
      <c r="N30" s="574">
        <v>19.587628866058284621107502380</v>
      </c>
      <c r="O30" s="574">
        <v>66.666666666753623188405842470</v>
      </c>
      <c r="P30" s="574">
        <v>88.52459016402096210696053421</v>
      </c>
      <c r="Q30" s="574">
        <v>87.09677419353631633714880411</v>
      </c>
      <c r="R30" s="574">
        <v>38.271604938353543667123962600</v>
      </c>
      <c r="S30" s="574">
        <v>10.576923076893306213017759490</v>
      </c>
      <c r="T30" s="574">
        <v>6.6666666666560000000000010700</v>
      </c>
      <c r="U30" s="574">
        <v>20.952380952311836734693917040</v>
      </c>
      <c r="V30" s="574">
        <v>8.256880733889335914485341250</v>
      </c>
      <c r="W30" s="574">
        <v>13.157894736889750692520795690</v>
      </c>
      <c r="X30" s="574">
        <v>34.482758620671105826397148820</v>
      </c>
      <c r="Y30" s="574">
        <v>54.878048780518024985127905950</v>
      </c>
      <c r="Z30" s="574">
        <v>24.444444444477629629629638480</v>
      </c>
      <c r="AA30" s="574">
        <v>8.910891089039898049210905410</v>
      </c>
      <c r="AB30" s="574">
        <v>5.8333333333227500000000010600</v>
      </c>
      <c r="AC30" s="574">
        <v>8.403361344556034178377236310</v>
      </c>
      <c r="AD30" s="574">
        <v>0.0000000000195121951219550200</v>
      </c>
      <c r="AE30" s="574">
        <v>-2.3255813953760951865873369100</v>
      </c>
      <c r="AF30" s="574">
        <v>0.7751937984214890932035412800</v>
      </c>
      <c r="AG30" s="575">
        <v>-1.5503875969266991166396173600</v>
      </c>
      <c r="AH30" s="342"/>
    </row>
    <row r="31" ht="24.95" customHeight="1">
      <c r="B31" s="38" t="s">
        <v>35</v>
      </c>
      <c r="C31" s="271">
        <v>76.990511344138683329985753350</v>
      </c>
      <c r="D31" s="92">
        <v>40.629491762820961945421309110</v>
      </c>
      <c r="E31" s="92">
        <v>11.644892965370874409289709780</v>
      </c>
      <c r="F31" s="92">
        <v>-1.915379795851837692709202800</v>
      </c>
      <c r="G31" s="92">
        <v>21.542963904344980140957619470</v>
      </c>
      <c r="H31" s="92">
        <v>46.883967961477579213256316840</v>
      </c>
      <c r="I31" s="92">
        <v>72.830928350912906212273564410</v>
      </c>
      <c r="J31" s="92">
        <v>84.24690807466825897759656347</v>
      </c>
      <c r="K31" s="92">
        <v>45.814176302911955366262367890</v>
      </c>
      <c r="L31" s="92">
        <v>17.477173814221338017908149950</v>
      </c>
      <c r="M31" s="92">
        <v>6.9563541354690699285399355600</v>
      </c>
      <c r="N31" s="92">
        <v>15.201755455250330554487613840</v>
      </c>
      <c r="O31" s="92">
        <v>54.912836766912519809825772680</v>
      </c>
      <c r="P31" s="92">
        <v>50.793977813082706148969939780</v>
      </c>
      <c r="Q31" s="92">
        <v>46.449427957467062471618010330</v>
      </c>
      <c r="R31" s="92">
        <v>35.043098450090863486849916820</v>
      </c>
      <c r="S31" s="92">
        <v>-6.1774960379804482408874486300</v>
      </c>
      <c r="T31" s="92">
        <v>-9.871278888133038503468507860</v>
      </c>
      <c r="U31" s="92">
        <v>-7.7693486788779339411256753400</v>
      </c>
      <c r="V31" s="92">
        <v>-0.3593092518802766921501261700</v>
      </c>
      <c r="W31" s="92">
        <v>-0.7099841520818729635498873700</v>
      </c>
      <c r="X31" s="92">
        <v>10.782621023477416506748091790</v>
      </c>
      <c r="Y31" s="92">
        <v>2.1447088086559836081924627800</v>
      </c>
      <c r="Z31" s="92">
        <v>-12.958673656033083581053802870</v>
      </c>
      <c r="AA31" s="92">
        <v>-30.110935023783438985736923580</v>
      </c>
      <c r="AB31" s="92">
        <v>-29.953951499544950074161661900</v>
      </c>
      <c r="AC31" s="92">
        <v>-19.377367106277176850013497190</v>
      </c>
      <c r="AD31" s="92">
        <v>-20.974203204772014341335520740</v>
      </c>
      <c r="AE31" s="92">
        <v>-16.511961361418613150489988270</v>
      </c>
      <c r="AF31" s="92">
        <v>-15.484837963387979352926955880</v>
      </c>
      <c r="AG31" s="272">
        <v>-8.946272645329506368492100920</v>
      </c>
      <c r="AH31" s="342"/>
    </row>
    <row r="32" ht="24.95" customHeight="1">
      <c r="A32" s="23"/>
      <c r="B32" s="40" t="s">
        <v>97</v>
      </c>
      <c r="C32" s="581">
        <v>8.015095914624179069025918780</v>
      </c>
      <c r="D32" s="582">
        <v>1.9226703706974102054917986600</v>
      </c>
      <c r="E32" s="582">
        <v>-0.5624474135170639809560755500</v>
      </c>
      <c r="F32" s="582">
        <v>7.7549739098134056354786490700</v>
      </c>
      <c r="G32" s="582">
        <v>19.157523853790522468360354470</v>
      </c>
      <c r="H32" s="582">
        <v>43.848457740402856174118372040</v>
      </c>
      <c r="I32" s="582">
        <v>38.221145467528638497455906400</v>
      </c>
      <c r="J32" s="582">
        <v>18.500405578121247555263954880</v>
      </c>
      <c r="K32" s="582">
        <v>4.9363320305079521426126439900</v>
      </c>
      <c r="L32" s="582">
        <v>-7.1386333625182144314547268900</v>
      </c>
      <c r="M32" s="582">
        <v>3.168089898169349277768735200</v>
      </c>
      <c r="N32" s="582">
        <v>3.8071237658811487195603318400</v>
      </c>
      <c r="O32" s="582">
        <v>7.5873827791742305206787298800</v>
      </c>
      <c r="P32" s="582">
        <v>25.021299191194577486798327910</v>
      </c>
      <c r="Q32" s="582">
        <v>27.755209974621666469022295430</v>
      </c>
      <c r="R32" s="582">
        <v>2.3907230545831646851156257100</v>
      </c>
      <c r="S32" s="582">
        <v>17.857569780617140788063100610</v>
      </c>
      <c r="T32" s="582">
        <v>18.349251327229248012938583190</v>
      </c>
      <c r="U32" s="582">
        <v>31.141197877159156309879159060</v>
      </c>
      <c r="V32" s="582">
        <v>8.647260392457845636941268530</v>
      </c>
      <c r="W32" s="582">
        <v>13.967042678539011158504977110</v>
      </c>
      <c r="X32" s="582">
        <v>21.393371431621028960592281670</v>
      </c>
      <c r="Y32" s="582">
        <v>51.626110237895684821255504530</v>
      </c>
      <c r="Z32" s="582">
        <v>42.971677559861111899574663390</v>
      </c>
      <c r="AA32" s="582">
        <v>55.833950741972420305853013080</v>
      </c>
      <c r="AB32" s="582">
        <v>51.091083078957859253228661870</v>
      </c>
      <c r="AC32" s="582">
        <v>34.457729118641427475379389780</v>
      </c>
      <c r="AD32" s="582">
        <v>26.540957580206622882103507040</v>
      </c>
      <c r="AE32" s="582">
        <v>16.992110723187193996237877570</v>
      </c>
      <c r="AF32" s="582">
        <v>19.239189004694968742141944490</v>
      </c>
      <c r="AG32" s="583">
        <v>8.122550567974143789113871030</v>
      </c>
      <c r="AH32" s="342"/>
    </row>
    <row r="33" ht="30" customHeight="1">
      <c r="A33" s="8"/>
      <c r="B33" s="25"/>
      <c r="X33" s="1001"/>
      <c r="Y33" s="1001"/>
      <c r="Z33" s="1001"/>
      <c r="AA33" s="1001"/>
      <c r="AB33" s="1001"/>
      <c r="AC33" s="1001"/>
      <c r="AD33" s="1001"/>
      <c r="AE33"/>
      <c r="AF33"/>
      <c r="AG33" s="4"/>
      <c r="AH33" s="4"/>
    </row>
    <row r="34" s="35" customFormat="1" ht="20.1" customHeight="1">
      <c r="B34" s="964" t="s">
        <v>9</v>
      </c>
      <c r="C34" s="350" t="s">
        <v>296</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v>31</v>
      </c>
      <c r="AH35" s="529"/>
      <c r="AI35" s="236"/>
      <c r="AJ35" s="236"/>
      <c r="AK35" s="236"/>
      <c r="AL35" s="236"/>
      <c r="AM35" s="236"/>
      <c r="AN35" s="236"/>
      <c r="AO35" s="236"/>
      <c r="AP35" s="236"/>
      <c r="AQ35" s="236"/>
      <c r="AR35" s="236"/>
      <c r="AS35" s="236"/>
      <c r="AT35" s="236"/>
      <c r="AU35" s="236"/>
      <c r="AV35" s="236"/>
      <c r="AW35" s="236"/>
    </row>
    <row r="36" ht="24.95" customHeight="1">
      <c r="B36" s="263" t="s">
        <v>19</v>
      </c>
      <c r="C36" s="578">
        <v>534.700000000</v>
      </c>
      <c r="D36" s="579">
        <v>639.65891472868217054263565891</v>
      </c>
      <c r="E36" s="579">
        <v>654.72519083969465648854961832</v>
      </c>
      <c r="F36" s="579">
        <v>567.53076923076923076923076923</v>
      </c>
      <c r="G36" s="579">
        <v>271.67460317460317460317460317</v>
      </c>
      <c r="H36" s="579">
        <v>189.63358778625954198473282443</v>
      </c>
      <c r="I36" s="579">
        <v>171.45736434108527131782945736</v>
      </c>
      <c r="J36" s="579">
        <v>168.6259541984732824427480916</v>
      </c>
      <c r="K36" s="579">
        <v>208.33858267716535433070866142</v>
      </c>
      <c r="L36" s="579">
        <v>301.51666666666666666666666667</v>
      </c>
      <c r="M36" s="579">
        <v>302.929687500</v>
      </c>
      <c r="N36" s="579">
        <v>158.0172413793103448275862069</v>
      </c>
      <c r="O36" s="579">
        <v>163.22608695652173913043478261</v>
      </c>
      <c r="P36" s="579">
        <v>158.95652173913043478260869565</v>
      </c>
      <c r="Q36" s="579">
        <v>163.72413793103448275862068966</v>
      </c>
      <c r="R36" s="579">
        <v>185.91071428571428571428571429</v>
      </c>
      <c r="S36" s="579">
        <v>293.800000000</v>
      </c>
      <c r="T36" s="579">
        <v>301.062500000</v>
      </c>
      <c r="U36" s="579">
        <v>217.70078740157480314960629921</v>
      </c>
      <c r="V36" s="579">
        <v>211.24576271186440677966101695</v>
      </c>
      <c r="W36" s="579">
        <v>210.8062015503875968992248062</v>
      </c>
      <c r="X36" s="579">
        <v>222.000000000</v>
      </c>
      <c r="Y36" s="579">
        <v>218.33070866141732283464566929</v>
      </c>
      <c r="Z36" s="579">
        <v>380.90178571428571428571428571</v>
      </c>
      <c r="AA36" s="579">
        <v>381.70909090909090909090909091</v>
      </c>
      <c r="AB36" s="579">
        <v>403.71653543307086614173228346</v>
      </c>
      <c r="AC36" s="579">
        <v>423.76744186046511627906976744</v>
      </c>
      <c r="AD36" s="579">
        <v>461.43902439024390243902439024</v>
      </c>
      <c r="AE36" s="579">
        <v>475.57142857142857142857142857</v>
      </c>
      <c r="AF36" s="579">
        <v>569.23846153846153846153846154</v>
      </c>
      <c r="AG36" s="580">
        <v>717.50393700787401574803149606</v>
      </c>
      <c r="AH36" s="342"/>
    </row>
    <row r="37" ht="24.95" customHeight="1">
      <c r="B37" s="38" t="s">
        <v>35</v>
      </c>
      <c r="C37" s="276">
        <v>558.7402372262773722627737226</v>
      </c>
      <c r="D37" s="94">
        <v>601.75795660036166365280289331</v>
      </c>
      <c r="E37" s="94">
        <v>589.27207815275310834813499111</v>
      </c>
      <c r="F37" s="94">
        <v>530.67404718693284936479128859</v>
      </c>
      <c r="G37" s="94">
        <v>261.88995975855130784708249495</v>
      </c>
      <c r="H37" s="94">
        <v>203.72075117370892018779342722</v>
      </c>
      <c r="I37" s="94">
        <v>191.21414918414918414918414919</v>
      </c>
      <c r="J37" s="94">
        <v>191.41743215031315240083507306</v>
      </c>
      <c r="K37" s="94">
        <v>219.54922155688622754491017964</v>
      </c>
      <c r="L37" s="94">
        <v>274.57893700787401574803149607</v>
      </c>
      <c r="M37" s="94">
        <v>278.60961315280464216634429401</v>
      </c>
      <c r="N37" s="94">
        <v>206.60568888888888888888888889</v>
      </c>
      <c r="O37" s="94">
        <v>181.30705882352941176470588234</v>
      </c>
      <c r="P37" s="94">
        <v>186.24352791878172588832487311</v>
      </c>
      <c r="Q37" s="94">
        <v>178.86894988066825775656324582</v>
      </c>
      <c r="R37" s="94">
        <v>200.63557603686635944700460829</v>
      </c>
      <c r="S37" s="94">
        <v>287.09976689976689976689976691</v>
      </c>
      <c r="T37" s="94">
        <v>287.32042769857433808553971487</v>
      </c>
      <c r="U37" s="94">
        <v>245.77342403628117913832199546</v>
      </c>
      <c r="V37" s="94">
        <v>202.97359823399558498896247239</v>
      </c>
      <c r="W37" s="94">
        <v>211.90024229074889867841409693</v>
      </c>
      <c r="X37" s="94">
        <v>220.61337748344370860927152316</v>
      </c>
      <c r="Y37" s="94">
        <v>233.16637717121588089330024815</v>
      </c>
      <c r="Z37" s="94">
        <v>342.18526470588235294117647057</v>
      </c>
      <c r="AA37" s="94">
        <v>349.43433862433862433862433864</v>
      </c>
      <c r="AB37" s="94">
        <v>436.27835051546391752577319589</v>
      </c>
      <c r="AC37" s="94">
        <v>468.72406896551724137931034481</v>
      </c>
      <c r="AD37" s="94">
        <v>496.27208520179372197309417044</v>
      </c>
      <c r="AE37" s="94">
        <v>520.54237006237006237006237008</v>
      </c>
      <c r="AF37" s="94">
        <v>580.12760314341846758349705306</v>
      </c>
      <c r="AG37" s="277">
        <v>653.39190476190476190476190475</v>
      </c>
      <c r="AH37" s="342"/>
    </row>
    <row r="38" ht="24.95" customHeight="1">
      <c r="A38" s="23"/>
      <c r="B38" s="40" t="s">
        <v>98</v>
      </c>
      <c r="C38" s="581">
        <v>95.69742151637065459266830215</v>
      </c>
      <c r="D38" s="582">
        <v>106.29837257864314676275569316</v>
      </c>
      <c r="E38" s="582">
        <v>111.10745190780523798939747233</v>
      </c>
      <c r="F38" s="582">
        <v>106.94526559932813117647389986</v>
      </c>
      <c r="G38" s="582">
        <v>103.73616591681208034813474179</v>
      </c>
      <c r="H38" s="582">
        <v>93.08506212239640021540139085</v>
      </c>
      <c r="I38" s="582">
        <v>89.66771814357885195579278533</v>
      </c>
      <c r="J38" s="582">
        <v>88.09331120169737170081709506</v>
      </c>
      <c r="K38" s="582">
        <v>94.89379247158198446143417012</v>
      </c>
      <c r="L38" s="582">
        <v>109.81055937951284512698158932</v>
      </c>
      <c r="M38" s="582">
        <v>108.72908657816372916160011752</v>
      </c>
      <c r="N38" s="582">
        <v>76.482521962060262912426841970</v>
      </c>
      <c r="O38" s="582">
        <v>90.02743082131935959202754198</v>
      </c>
      <c r="P38" s="582">
        <v>85.34874930443178457378047557</v>
      </c>
      <c r="Q38" s="582">
        <v>91.53301232006025701389101015</v>
      </c>
      <c r="R38" s="582">
        <v>92.66089193052860586817192921</v>
      </c>
      <c r="S38" s="582">
        <v>102.33376473014424458737734013</v>
      </c>
      <c r="T38" s="582">
        <v>104.78283859296017921899753130</v>
      </c>
      <c r="U38" s="582">
        <v>88.57783881850371209012852753</v>
      </c>
      <c r="V38" s="582">
        <v>104.07548792051878589151585596</v>
      </c>
      <c r="W38" s="582">
        <v>99.48370009937970457614765947</v>
      </c>
      <c r="X38" s="582">
        <v>100.62853056889551167095232979</v>
      </c>
      <c r="Y38" s="582">
        <v>93.63730367569050854256638937</v>
      </c>
      <c r="Z38" s="582">
        <v>111.31449100874676064036419998</v>
      </c>
      <c r="AA38" s="582">
        <v>109.23628525227723569291173108</v>
      </c>
      <c r="AB38" s="582">
        <v>92.53645865216067018537307473</v>
      </c>
      <c r="AC38" s="582">
        <v>90.40872229918292029538313223</v>
      </c>
      <c r="AD38" s="582">
        <v>92.98105578568135043082646378</v>
      </c>
      <c r="AE38" s="582">
        <v>91.36075292284983695925298175</v>
      </c>
      <c r="AF38" s="582">
        <v>98.12297474797713973466073260</v>
      </c>
      <c r="AG38" s="583">
        <v>109.81218649614760725320296663</v>
      </c>
      <c r="AH38" s="342"/>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366.74711168169106517193136750</v>
      </c>
      <c r="D40" s="574">
        <v>456.06396528154232848252347698</v>
      </c>
      <c r="E40" s="574">
        <v>343.62660074125857156508316154</v>
      </c>
      <c r="F40" s="574">
        <v>296.26637497386077757004813156</v>
      </c>
      <c r="G40" s="574">
        <v>156.43583027229745463517212547</v>
      </c>
      <c r="H40" s="574">
        <v>90.12423096288275172859157867</v>
      </c>
      <c r="I40" s="574">
        <v>59.275721218351037672707170560</v>
      </c>
      <c r="J40" s="574">
        <v>51.460437902865661007828485170</v>
      </c>
      <c r="K40" s="574">
        <v>90.79887854143924941723053641</v>
      </c>
      <c r="L40" s="574">
        <v>109.55856026623822900447752637</v>
      </c>
      <c r="M40" s="574">
        <v>106.42568143100511073253833049</v>
      </c>
      <c r="N40" s="574">
        <v>40.170758242261373830989599190</v>
      </c>
      <c r="O40" s="574">
        <v>24.558725945558330753761814590</v>
      </c>
      <c r="P40" s="574">
        <v>55.614633703861001127811681570</v>
      </c>
      <c r="Q40" s="574">
        <v>74.234406998324675368426012910</v>
      </c>
      <c r="R40" s="574">
        <v>55.437323050613943973465579200</v>
      </c>
      <c r="S40" s="574">
        <v>79.51471711411091834390127233</v>
      </c>
      <c r="T40" s="574">
        <v>102.40629727151046976362339392</v>
      </c>
      <c r="U40" s="574">
        <v>73.512848619700025664239956860</v>
      </c>
      <c r="V40" s="574">
        <v>68.600630706482276528927343390</v>
      </c>
      <c r="W40" s="574">
        <v>80.20326167317107576378172110</v>
      </c>
      <c r="X40" s="574">
        <v>72.246499598632483354253477150</v>
      </c>
      <c r="Y40" s="574">
        <v>38.215997145383097972149073110</v>
      </c>
      <c r="Z40" s="574">
        <v>86.06795871845188322460632996</v>
      </c>
      <c r="AA40" s="574">
        <v>76.498732691541529791691372800</v>
      </c>
      <c r="AB40" s="574">
        <v>88.88059671706869161814960142</v>
      </c>
      <c r="AC40" s="574">
        <v>88.48891971812600845698266066</v>
      </c>
      <c r="AD40" s="574">
        <v>83.45400478372667809077039192</v>
      </c>
      <c r="AE40" s="574">
        <v>64.306374968444309143928575760</v>
      </c>
      <c r="AF40" s="574">
        <v>35.340622479058225088962334820</v>
      </c>
      <c r="AG40" s="575">
        <v>108.53443252000701312478887605</v>
      </c>
      <c r="AH40" s="342"/>
    </row>
    <row r="41" ht="24.95" customHeight="1">
      <c r="B41" s="38" t="s">
        <v>35</v>
      </c>
      <c r="C41" s="271">
        <v>326.06639711279644725765172204</v>
      </c>
      <c r="D41" s="92">
        <v>325.29560435008329544192857481</v>
      </c>
      <c r="E41" s="92">
        <v>246.31398015677997753012303588</v>
      </c>
      <c r="F41" s="92">
        <v>226.16720785920888098634990079</v>
      </c>
      <c r="G41" s="92">
        <v>118.28812687581265210828448892</v>
      </c>
      <c r="H41" s="92">
        <v>86.99250293799079433138929920</v>
      </c>
      <c r="I41" s="92">
        <v>68.447182608416596684285681790</v>
      </c>
      <c r="J41" s="92">
        <v>68.251188153331131143267960170</v>
      </c>
      <c r="K41" s="92">
        <v>91.56474444120106425135894525</v>
      </c>
      <c r="L41" s="92">
        <v>87.81902903413697682898060008</v>
      </c>
      <c r="M41" s="92">
        <v>85.43903016112140285370240728</v>
      </c>
      <c r="N41" s="92">
        <v>84.00780703504411692249185127</v>
      </c>
      <c r="O41" s="92">
        <v>67.640376686044693798524099610</v>
      </c>
      <c r="P41" s="92">
        <v>70.170887586259514722760174620</v>
      </c>
      <c r="Q41" s="92">
        <v>55.928270137227532801784688480</v>
      </c>
      <c r="R41" s="92">
        <v>70.806864981618896755852153220</v>
      </c>
      <c r="S41" s="92">
        <v>96.90570311751109147901472404</v>
      </c>
      <c r="T41" s="92">
        <v>80.31848649309023851915038945</v>
      </c>
      <c r="U41" s="92">
        <v>88.79855849992545762179000139</v>
      </c>
      <c r="V41" s="92">
        <v>63.359032783899867194335993880</v>
      </c>
      <c r="W41" s="92">
        <v>77.169883188971928656665125380</v>
      </c>
      <c r="X41" s="92">
        <v>67.123256576542476704665964330</v>
      </c>
      <c r="Y41" s="92">
        <v>55.926142395235104163871692340</v>
      </c>
      <c r="Z41" s="92">
        <v>61.065116803472151649383053910</v>
      </c>
      <c r="AA41" s="92">
        <v>61.361935674755394669784343640</v>
      </c>
      <c r="AB41" s="92">
        <v>90.14639675441888738160449598</v>
      </c>
      <c r="AC41" s="92">
        <v>77.410316069838364722604949550</v>
      </c>
      <c r="AD41" s="92">
        <v>66.049275673178041998490082130</v>
      </c>
      <c r="AE41" s="92">
        <v>44.087764295240285822966663120</v>
      </c>
      <c r="AF41" s="92">
        <v>34.270269733155465797420916010</v>
      </c>
      <c r="AG41" s="272">
        <v>73.522078448068271639613136260</v>
      </c>
      <c r="AH41" s="342"/>
    </row>
    <row r="42" ht="24.95" customHeight="1">
      <c r="A42" s="23"/>
      <c r="B42" s="40" t="s">
        <v>98</v>
      </c>
      <c r="C42" s="581">
        <v>9.547975349560184074316135690</v>
      </c>
      <c r="D42" s="582">
        <v>30.747639898872126823424688710</v>
      </c>
      <c r="E42" s="582">
        <v>28.099535727854436989267506980</v>
      </c>
      <c r="F42" s="582">
        <v>21.491788697777292356142385660</v>
      </c>
      <c r="G42" s="582">
        <v>17.475848981068335057854295250</v>
      </c>
      <c r="H42" s="582">
        <v>1.6747880133445807153766490600</v>
      </c>
      <c r="I42" s="582">
        <v>-5.4447104713689246815089985300</v>
      </c>
      <c r="J42" s="582">
        <v>-9.979573062659569879997281760</v>
      </c>
      <c r="K42" s="582">
        <v>-0.3997948067847078093280203400</v>
      </c>
      <c r="L42" s="582">
        <v>11.574722403784650264934771550</v>
      </c>
      <c r="M42" s="582">
        <v>11.317278380829001456571150330</v>
      </c>
      <c r="N42" s="582">
        <v>-23.823472220555738700287430030</v>
      </c>
      <c r="O42" s="582">
        <v>-25.698851071663579493326360190</v>
      </c>
      <c r="P42" s="582">
        <v>-8.553903719343308541279360650</v>
      </c>
      <c r="Q42" s="582">
        <v>11.740101294735420372328765230</v>
      </c>
      <c r="R42" s="582">
        <v>-8.998199183950592420123286260</v>
      </c>
      <c r="S42" s="582">
        <v>-8.832139307287598129302790640</v>
      </c>
      <c r="T42" s="582">
        <v>12.249332394095757213570379900</v>
      </c>
      <c r="U42" s="582">
        <v>-8.096306455721067071609779090</v>
      </c>
      <c r="V42" s="582">
        <v>3.2086367269190683839655421300</v>
      </c>
      <c r="W42" s="582">
        <v>1.7121298663307834268483298800</v>
      </c>
      <c r="X42" s="582">
        <v>3.0655476245931980709412398600</v>
      </c>
      <c r="Y42" s="582">
        <v>-11.358034629619078269482919210</v>
      </c>
      <c r="Z42" s="582">
        <v>15.523436987001216488692453170</v>
      </c>
      <c r="AA42" s="582">
        <v>9.380649131155247640471807880</v>
      </c>
      <c r="AB42" s="582">
        <v>-0.6656976197806268394859018100</v>
      </c>
      <c r="AC42" s="582">
        <v>6.244622011722989812218494100</v>
      </c>
      <c r="AD42" s="582">
        <v>10.481665180418044603246002110</v>
      </c>
      <c r="AE42" s="582">
        <v>14.032149622234084969542024050</v>
      </c>
      <c r="AF42" s="582">
        <v>0.7971628775027472222097587500</v>
      </c>
      <c r="AG42" s="583">
        <v>20.177463516516414992124177230</v>
      </c>
      <c r="AH42" s="342"/>
    </row>
    <row r="43" ht="30" customHeight="1">
      <c r="A43" s="8"/>
      <c r="B43" s="25"/>
      <c r="X43" s="1001"/>
      <c r="Y43" s="1001"/>
      <c r="Z43" s="1001"/>
      <c r="AA43" s="1001"/>
      <c r="AB43" s="1001"/>
      <c r="AC43" s="1001"/>
      <c r="AD43" s="1001"/>
      <c r="AE43"/>
      <c r="AF43"/>
      <c r="AG43" s="4"/>
      <c r="AH43" s="4"/>
    </row>
    <row r="44" s="35" customFormat="1" ht="20.1" customHeight="1">
      <c r="B44" s="964" t="s">
        <v>10</v>
      </c>
      <c r="C44" s="350" t="s">
        <v>296</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v>31</v>
      </c>
      <c r="AH45" s="529"/>
      <c r="AI45" s="236"/>
      <c r="AJ45" s="236"/>
      <c r="AK45" s="236"/>
      <c r="AL45" s="236"/>
      <c r="AM45" s="236"/>
      <c r="AN45" s="236"/>
      <c r="AO45" s="236"/>
      <c r="AP45" s="236"/>
      <c r="AQ45" s="236"/>
      <c r="AR45" s="236"/>
      <c r="AS45" s="236"/>
      <c r="AT45" s="236"/>
      <c r="AU45" s="236"/>
      <c r="AV45" s="236"/>
      <c r="AW45" s="236"/>
    </row>
    <row r="46" ht="24.95" customHeight="1">
      <c r="B46" s="263" t="s">
        <v>19</v>
      </c>
      <c r="C46" s="578">
        <v>526.59848484848484848484848485</v>
      </c>
      <c r="D46" s="579">
        <v>625.12121212121212121212121212</v>
      </c>
      <c r="E46" s="579">
        <v>649.76515151515151515151515152</v>
      </c>
      <c r="F46" s="579">
        <v>558.93181818181818181818181818</v>
      </c>
      <c r="G46" s="579">
        <v>259.32575757575757575757575758</v>
      </c>
      <c r="H46" s="579">
        <v>188.1969696969696969696969697</v>
      </c>
      <c r="I46" s="579">
        <v>167.56060606060606060606060606</v>
      </c>
      <c r="J46" s="579">
        <v>167.34848484848484848484848485</v>
      </c>
      <c r="K46" s="579">
        <v>200.4469696969696969696969697</v>
      </c>
      <c r="L46" s="579">
        <v>274.10606060606060606060606061</v>
      </c>
      <c r="M46" s="579">
        <v>293.750000000</v>
      </c>
      <c r="N46" s="579">
        <v>138.86363636363636363636363636</v>
      </c>
      <c r="O46" s="579">
        <v>142.20454545454545454545454545</v>
      </c>
      <c r="P46" s="579">
        <v>138.48484848484848484848484848</v>
      </c>
      <c r="Q46" s="579">
        <v>143.87878787878787878787878788</v>
      </c>
      <c r="R46" s="579">
        <v>157.74242424242424242424242424</v>
      </c>
      <c r="S46" s="579">
        <v>255.96212121212121212121212121</v>
      </c>
      <c r="T46" s="579">
        <v>291.93939393939393939393939394</v>
      </c>
      <c r="U46" s="579">
        <v>209.45454545454545454545454545</v>
      </c>
      <c r="V46" s="579">
        <v>188.84090909090909090909090909</v>
      </c>
      <c r="W46" s="579">
        <v>206.01515151515151515151515152</v>
      </c>
      <c r="X46" s="579">
        <v>196.77272727272727272727272727</v>
      </c>
      <c r="Y46" s="579">
        <v>210.06060606060606060606060606</v>
      </c>
      <c r="Z46" s="579">
        <v>323.18939393939393939393939394</v>
      </c>
      <c r="AA46" s="579">
        <v>318.09090909090909090909090909</v>
      </c>
      <c r="AB46" s="579">
        <v>388.42424242424242424242424242</v>
      </c>
      <c r="AC46" s="579">
        <v>414.13636363636363636363636364</v>
      </c>
      <c r="AD46" s="579">
        <v>429.97727272727272727272727273</v>
      </c>
      <c r="AE46" s="579">
        <v>453.95454545454545454545454545</v>
      </c>
      <c r="AF46" s="579">
        <v>560.61363636363636363636363636</v>
      </c>
      <c r="AG46" s="580">
        <v>690.32575757575757575757575758</v>
      </c>
      <c r="AH46" s="342"/>
    </row>
    <row r="47" ht="24.95" customHeight="1">
      <c r="B47" s="38" t="s">
        <v>35</v>
      </c>
      <c r="C47" s="276">
        <v>485.2450871632329635499207607</v>
      </c>
      <c r="D47" s="94">
        <v>527.3726624405705229793977813</v>
      </c>
      <c r="E47" s="94">
        <v>525.76890649762282091917591125</v>
      </c>
      <c r="F47" s="94">
        <v>463.39366085578446909667194929</v>
      </c>
      <c r="G47" s="94">
        <v>206.27465927099841521394611727</v>
      </c>
      <c r="H47" s="94">
        <v>137.53572107765451664025356577</v>
      </c>
      <c r="I47" s="94">
        <v>130.00137876386687797147385103</v>
      </c>
      <c r="J47" s="94">
        <v>145.30736925515055467511885895</v>
      </c>
      <c r="K47" s="94">
        <v>174.31721077654516640253565769</v>
      </c>
      <c r="L47" s="94">
        <v>221.05562599049128367670364501</v>
      </c>
      <c r="M47" s="94">
        <v>228.2744374009508716323296355</v>
      </c>
      <c r="N47" s="94">
        <v>147.34161648177496038034865293</v>
      </c>
      <c r="O47" s="94">
        <v>122.11648177496038034865293185</v>
      </c>
      <c r="P47" s="94">
        <v>116.29152139461172741679873217</v>
      </c>
      <c r="Q47" s="94">
        <v>118.77351822503961965134706815</v>
      </c>
      <c r="R47" s="94">
        <v>137.99657686212361331220285261</v>
      </c>
      <c r="S47" s="94">
        <v>195.19144215530903328050713154</v>
      </c>
      <c r="T47" s="94">
        <v>223.57263074484944532488114105</v>
      </c>
      <c r="U47" s="94">
        <v>171.76874801901743264659270998</v>
      </c>
      <c r="V47" s="94">
        <v>145.71638668779714738510301109</v>
      </c>
      <c r="W47" s="94">
        <v>152.46071315372424722662440571</v>
      </c>
      <c r="X47" s="94">
        <v>158.38012678288431061806656101</v>
      </c>
      <c r="Y47" s="94">
        <v>148.91608557844690966719492868</v>
      </c>
      <c r="Z47" s="94">
        <v>184.37874801901743264659270998</v>
      </c>
      <c r="AA47" s="94">
        <v>209.32833597464342313787638669</v>
      </c>
      <c r="AB47" s="94">
        <v>268.26624405705229793977812995</v>
      </c>
      <c r="AC47" s="94">
        <v>323.12990491283676703645007924</v>
      </c>
      <c r="AD47" s="94">
        <v>350.77234548335974643423137876</v>
      </c>
      <c r="AE47" s="94">
        <v>396.80012678288431061806656101</v>
      </c>
      <c r="AF47" s="94">
        <v>467.96347068145800316957210777</v>
      </c>
      <c r="AG47" s="277">
        <v>565.3755625990491283676703645</v>
      </c>
      <c r="AH47" s="342"/>
    </row>
    <row r="48" ht="24.95" customHeight="1">
      <c r="A48" s="23"/>
      <c r="B48" s="40" t="s">
        <v>99</v>
      </c>
      <c r="C48" s="581">
        <v>108.52216720564981193647120141</v>
      </c>
      <c r="D48" s="582">
        <v>118.53500506231812021674544725</v>
      </c>
      <c r="E48" s="582">
        <v>123.58379194454880210777738926</v>
      </c>
      <c r="F48" s="582">
        <v>120.61706177628673211799694778</v>
      </c>
      <c r="G48" s="582">
        <v>125.71866970584204103650388361</v>
      </c>
      <c r="H48" s="582">
        <v>136.83497510491195117024637873</v>
      </c>
      <c r="I48" s="582">
        <v>128.89140688650799905258135434</v>
      </c>
      <c r="J48" s="582">
        <v>115.16861512689799522618526436</v>
      </c>
      <c r="K48" s="582">
        <v>114.98977571062670853423380648</v>
      </c>
      <c r="L48" s="582">
        <v>123.99868104594238596121220985</v>
      </c>
      <c r="M48" s="582">
        <v>128.68282727778453896202037237</v>
      </c>
      <c r="N48" s="582">
        <v>94.24603834233944451410766203</v>
      </c>
      <c r="O48" s="582">
        <v>116.44992009891335701952724748</v>
      </c>
      <c r="P48" s="582">
        <v>119.08421768335818427158091467</v>
      </c>
      <c r="Q48" s="582">
        <v>121.13709354486024756615257067</v>
      </c>
      <c r="R48" s="582">
        <v>114.30893999640967801137143173</v>
      </c>
      <c r="S48" s="582">
        <v>131.13388496226102119946027914</v>
      </c>
      <c r="T48" s="582">
        <v>130.57921846997790154847856274</v>
      </c>
      <c r="U48" s="582">
        <v>121.93984521058255988055091409</v>
      </c>
      <c r="V48" s="582">
        <v>129.59483376122128168958605262</v>
      </c>
      <c r="W48" s="582">
        <v>135.12671379637913117063548481</v>
      </c>
      <c r="X48" s="582">
        <v>124.24079413856861562866074069</v>
      </c>
      <c r="Y48" s="582">
        <v>141.05971510374483575974965685</v>
      </c>
      <c r="Z48" s="582">
        <v>175.28559956707110222762519476</v>
      </c>
      <c r="AA48" s="582">
        <v>151.95788358506820044582738605</v>
      </c>
      <c r="AB48" s="582">
        <v>144.79057690971961157929635446</v>
      </c>
      <c r="AC48" s="582">
        <v>128.16404713394619521288560746</v>
      </c>
      <c r="AD48" s="582">
        <v>122.58015156091328052364000432</v>
      </c>
      <c r="AE48" s="582">
        <v>114.40383074850530991750720669</v>
      </c>
      <c r="AF48" s="582">
        <v>119.79858931024237620459337821</v>
      </c>
      <c r="AG48" s="583">
        <v>122.10038835111805975205247720</v>
      </c>
      <c r="AH48" s="342"/>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792.3106546847611311694502604</v>
      </c>
      <c r="D50" s="574">
        <v>697.02501690349781319816173039</v>
      </c>
      <c r="E50" s="574">
        <v>392.50071777210347411557008604</v>
      </c>
      <c r="F50" s="574">
        <v>318.81811989115082361031714946</v>
      </c>
      <c r="G50" s="574">
        <v>271.38982315264405088318815161</v>
      </c>
      <c r="H50" s="574">
        <v>301.71410090543282208896978241</v>
      </c>
      <c r="I50" s="574">
        <v>280.49200068792957550285116071</v>
      </c>
      <c r="J50" s="574">
        <v>230.68862275423359568288592595</v>
      </c>
      <c r="K50" s="574">
        <v>191.94527198495527592117599622</v>
      </c>
      <c r="L50" s="574">
        <v>128.60933847225988618670275604</v>
      </c>
      <c r="M50" s="574">
        <v>127.78006226873276062822959829</v>
      </c>
      <c r="N50" s="574">
        <v>67.626886145423059191895245320</v>
      </c>
      <c r="O50" s="574">
        <v>107.59787657597876575978765759</v>
      </c>
      <c r="P50" s="574">
        <v>193.37185042557538615030548102</v>
      </c>
      <c r="Q50" s="574">
        <v>225.98695502891096165737405208</v>
      </c>
      <c r="R50" s="574">
        <v>114.92568125527638455228400466</v>
      </c>
      <c r="S50" s="574">
        <v>98.50185065502649624566006075</v>
      </c>
      <c r="T50" s="574">
        <v>115.90005042298804638802346377</v>
      </c>
      <c r="U50" s="574">
        <v>109.86792166394712856282494219</v>
      </c>
      <c r="V50" s="574">
        <v>82.52178370070374613709906791</v>
      </c>
      <c r="W50" s="574">
        <v>103.91421715657480246602149295</v>
      </c>
      <c r="X50" s="574">
        <v>131.64184428779750580779887719</v>
      </c>
      <c r="Y50" s="574">
        <v>114.06623948117482390309813327</v>
      </c>
      <c r="Z50" s="574">
        <v>131.55123751621272867292168957</v>
      </c>
      <c r="AA50" s="574">
        <v>92.22634253533433984191149551</v>
      </c>
      <c r="AB50" s="574">
        <v>99.89863152560177468537644670</v>
      </c>
      <c r="AC50" s="574">
        <v>104.32832473650633131417237106</v>
      </c>
      <c r="AD50" s="574">
        <v>83.45400478375158295921992364</v>
      </c>
      <c r="AE50" s="574">
        <v>60.485296480817674471667146730</v>
      </c>
      <c r="AF50" s="574">
        <v>36.389774591289936941429573850</v>
      </c>
      <c r="AG50" s="575">
        <v>105.30134054297623070857271601</v>
      </c>
      <c r="AH50" s="342"/>
    </row>
    <row r="51" ht="24.95" customHeight="1">
      <c r="B51" s="38" t="s">
        <v>35</v>
      </c>
      <c r="C51" s="271">
        <v>654.09709491532548585804217846</v>
      </c>
      <c r="D51" s="92">
        <v>498.09104688689519812957759787</v>
      </c>
      <c r="E51" s="92">
        <v>286.64187247009087838411489958</v>
      </c>
      <c r="F51" s="92">
        <v>219.91986705921331958305445709</v>
      </c>
      <c r="G51" s="92">
        <v>165.31385925614779935785624597</v>
      </c>
      <c r="H51" s="92">
        <v>174.66200810590743300619245197</v>
      </c>
      <c r="I51" s="92">
        <v>191.12882948337036997967547589</v>
      </c>
      <c r="J51" s="92">
        <v>209.99761197128439680936727871</v>
      </c>
      <c r="K51" s="92">
        <v>179.32855419394132960096503451</v>
      </c>
      <c r="L51" s="92">
        <v>120.64448719453555105330844312</v>
      </c>
      <c r="M51" s="92">
        <v>98.33882580432481566153597491</v>
      </c>
      <c r="N51" s="92">
        <v>111.98022387915279624760405076</v>
      </c>
      <c r="O51" s="92">
        <v>159.69646309146553024810740091</v>
      </c>
      <c r="P51" s="92">
        <v>156.60745047105869663934793510</v>
      </c>
      <c r="Q51" s="92">
        <v>128.35605963994734340242170844</v>
      </c>
      <c r="R51" s="92">
        <v>130.66288283648229800834651319</v>
      </c>
      <c r="S51" s="92">
        <v>84.74186110873174057690713210</v>
      </c>
      <c r="T51" s="92">
        <v>62.518745804418493037235826410</v>
      </c>
      <c r="U51" s="92">
        <v>74.130140189364797876891578030</v>
      </c>
      <c r="V51" s="92">
        <v>62.772068665402455872107453850</v>
      </c>
      <c r="W51" s="92">
        <v>75.912005096113312657315426340</v>
      </c>
      <c r="X51" s="92">
        <v>85.14352397525197777128441976</v>
      </c>
      <c r="Y51" s="92">
        <v>59.270304106287805265291483850</v>
      </c>
      <c r="Z51" s="92">
        <v>40.193213943257507123584068190</v>
      </c>
      <c r="AA51" s="92">
        <v>12.774348070603326086128791830</v>
      </c>
      <c r="AB51" s="92">
        <v>33.190037292433538916011159990</v>
      </c>
      <c r="AC51" s="92">
        <v>43.032867840530376174514762300</v>
      </c>
      <c r="AD51" s="92">
        <v>31.221763173410553974718046370</v>
      </c>
      <c r="AE51" s="92">
        <v>20.296048328278028706544507600</v>
      </c>
      <c r="AF51" s="92">
        <v>13.478736032016377282474552030</v>
      </c>
      <c r="AG51" s="272">
        <v>57.998320210222034332479047170</v>
      </c>
      <c r="AH51" s="342"/>
    </row>
    <row r="52" ht="24.95" customHeight="1">
      <c r="A52" s="23"/>
      <c r="B52" s="40" t="s">
        <v>99</v>
      </c>
      <c r="C52" s="581">
        <v>18.328350646335575420225439730</v>
      </c>
      <c r="D52" s="582">
        <v>33.261486031547811560176187540</v>
      </c>
      <c r="E52" s="582">
        <v>27.379043202406577534035653730</v>
      </c>
      <c r="F52" s="582">
        <v>30.913445213952287830903145770</v>
      </c>
      <c r="G52" s="582">
        <v>39.981312771957830919033921450</v>
      </c>
      <c r="H52" s="582">
        <v>46.257614467963967295378307900</v>
      </c>
      <c r="I52" s="582">
        <v>30.695404286642479891703394900</v>
      </c>
      <c r="J52" s="582">
        <v>6.6745710238902618683225908600</v>
      </c>
      <c r="K52" s="582">
        <v>4.5168020246804064181830537600</v>
      </c>
      <c r="L52" s="582">
        <v>3.6098120461127537024568363700</v>
      </c>
      <c r="M52" s="582">
        <v>14.843909832070682305097817650</v>
      </c>
      <c r="N52" s="582">
        <v>-20.923337527453739591216483180</v>
      </c>
      <c r="O52" s="582">
        <v>-20.061338493106300059350876500</v>
      </c>
      <c r="P52" s="582">
        <v>14.327097629786698178114785830</v>
      </c>
      <c r="Q52" s="582">
        <v>42.753801034812094638177398450</v>
      </c>
      <c r="R52" s="582">
        <v>-6.8225981518025786016934686900</v>
      </c>
      <c r="S52" s="582">
        <v>7.4482250334174076239888998700</v>
      </c>
      <c r="T52" s="582">
        <v>32.846244508233776892342466430</v>
      </c>
      <c r="U52" s="582">
        <v>20.523604607256152585606274890</v>
      </c>
      <c r="V52" s="582">
        <v>12.13335629218256285166817800</v>
      </c>
      <c r="W52" s="582">
        <v>15.918306453962271149955407070</v>
      </c>
      <c r="X52" s="582">
        <v>25.114743045937524450385755500</v>
      </c>
      <c r="Y52" s="582">
        <v>34.404364129569387203413369130</v>
      </c>
      <c r="Z52" s="582">
        <v>65.165795835179586877192088520</v>
      </c>
      <c r="AA52" s="582">
        <v>70.452186888320407888547746450</v>
      </c>
      <c r="AB52" s="582">
        <v>50.085273335156024556385408490</v>
      </c>
      <c r="AC52" s="582">
        <v>42.854106067552994372835238870</v>
      </c>
      <c r="AD52" s="582">
        <v>39.804557069805754002471290780</v>
      </c>
      <c r="AE52" s="582">
        <v>33.408618746046445733650082770</v>
      </c>
      <c r="AF52" s="582">
        <v>20.189719554922422865970531390</v>
      </c>
      <c r="AG52" s="583">
        <v>29.938938761997165232210138010</v>
      </c>
      <c r="AH52" s="342"/>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1048" t="s">
        <v>126</v>
      </c>
      <c r="C56" s="1048"/>
      <c r="D56" s="1048"/>
      <c r="E56" s="1048"/>
      <c r="F56" s="1048"/>
      <c r="G56" s="1048"/>
      <c r="H56" s="1048"/>
      <c r="I56" s="1048"/>
      <c r="J56" s="1048"/>
      <c r="K56" s="1048"/>
      <c r="L56" s="1048"/>
      <c r="M56" s="1048"/>
      <c r="N56" s="1048"/>
      <c r="O56" s="1048"/>
      <c r="P56" s="1048"/>
      <c r="Q56" s="1048"/>
      <c r="R56" s="1048"/>
      <c r="S56" s="1048"/>
      <c r="T56" s="1048"/>
      <c r="U56" s="1048"/>
      <c r="V56" s="1048"/>
      <c r="W56" s="1048"/>
      <c r="X56" s="1048"/>
      <c r="Y56" s="1048"/>
      <c r="Z56" s="1048"/>
      <c r="AA56" s="1048"/>
      <c r="AB56" s="1048"/>
      <c r="AC56" s="1048"/>
      <c r="AD56" s="1048"/>
      <c r="AE56" s="1048"/>
      <c r="AF56" s="1048"/>
      <c r="AG56" s="1048"/>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9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177</v>
      </c>
      <c r="C1" s="12"/>
      <c r="D1" s="12"/>
      <c r="E1" s="12"/>
      <c r="F1" s="12"/>
      <c r="G1" s="12"/>
      <c r="H1" s="2"/>
      <c r="I1" s="2"/>
      <c r="J1" s="2"/>
      <c r="K1" s="2"/>
      <c r="L1" s="2"/>
      <c r="M1" s="2"/>
      <c r="N1" s="2"/>
      <c r="O1" s="2"/>
      <c r="P1" s="131"/>
      <c r="Q1" s="2"/>
      <c r="R1" s="2"/>
      <c r="S1" s="222"/>
      <c r="T1" s="2"/>
      <c r="U1" s="236"/>
    </row>
    <row r="2" ht="14.25" customHeight="1">
      <c r="B2" s="999" t="s">
        <v>208</v>
      </c>
      <c r="C2" s="999"/>
      <c r="D2" s="999"/>
      <c r="E2" s="999"/>
      <c r="F2" s="999"/>
      <c r="G2" s="999"/>
      <c r="H2" s="999"/>
      <c r="I2" s="999"/>
      <c r="J2" s="999"/>
      <c r="K2" s="999"/>
      <c r="L2" s="999"/>
      <c r="M2" s="999"/>
      <c r="N2" s="999"/>
      <c r="O2" s="999"/>
      <c r="P2" s="999"/>
      <c r="Q2" s="999"/>
      <c r="R2" s="999"/>
      <c r="S2" s="999"/>
      <c r="T2" s="2"/>
    </row>
    <row r="3" ht="14.25" customHeight="1">
      <c r="B3" s="1030" t="s">
        <v>209</v>
      </c>
      <c r="C3" s="1030"/>
      <c r="D3" s="1030"/>
      <c r="E3" s="1030"/>
      <c r="F3" s="1030"/>
      <c r="G3" s="1030"/>
      <c r="H3" s="1030"/>
      <c r="I3" s="1030"/>
      <c r="J3" s="1030"/>
      <c r="K3" s="1030"/>
      <c r="L3" s="1030"/>
      <c r="M3" s="1030"/>
      <c r="N3" s="1030"/>
      <c r="O3" s="1030"/>
      <c r="P3" s="1030"/>
      <c r="Q3" s="1030"/>
      <c r="R3" s="1030"/>
      <c r="S3" s="1030"/>
      <c r="T3" s="2"/>
    </row>
    <row r="4" ht="14.25" customHeight="1">
      <c r="B4" s="1030" t="s">
        <v>210</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211</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87.75659824046920821114369501</v>
      </c>
      <c r="F10" s="113">
        <v>27.115044247877603571148939890</v>
      </c>
      <c r="G10" s="659"/>
      <c r="H10" s="18" t="s">
        <v>19</v>
      </c>
      <c r="I10" s="667">
        <v>5.8651026392961876832844574800</v>
      </c>
      <c r="J10" s="113">
        <v>122.22222222081481481482372847</v>
      </c>
      <c r="K10" s="9"/>
      <c r="L10" s="18" t="s">
        <v>19</v>
      </c>
      <c r="M10" s="667">
        <v>0</v>
      </c>
      <c r="N10" s="113">
        <v>0</v>
      </c>
      <c r="O10" s="9"/>
      <c r="P10" s="18" t="s">
        <v>19</v>
      </c>
      <c r="Q10" s="667">
        <v>93.62170087976539589442815249</v>
      </c>
      <c r="R10" s="113">
        <v>30.617115581374664890591574850</v>
      </c>
      <c r="S10" s="674"/>
      <c r="T10" s="9"/>
    </row>
    <row r="11" ht="15" customHeight="1">
      <c r="A11" s="2"/>
      <c r="B11" s="44"/>
      <c r="C11" s="45"/>
      <c r="D11" s="133" t="s">
        <v>16</v>
      </c>
      <c r="E11" s="92">
        <v>69.132457440826133633249833850</v>
      </c>
      <c r="F11" s="92">
        <v>6.3188460621661821993405482200</v>
      </c>
      <c r="G11" s="661"/>
      <c r="H11" s="133" t="s">
        <v>16</v>
      </c>
      <c r="I11" s="668">
        <v>4.1817902970195797760850672300</v>
      </c>
      <c r="J11" s="92">
        <v>164.19386547893428249526319353</v>
      </c>
      <c r="K11" s="120"/>
      <c r="L11" s="133" t="s">
        <v>16</v>
      </c>
      <c r="M11" s="668">
        <v>0</v>
      </c>
      <c r="N11" s="92">
        <v>0</v>
      </c>
      <c r="O11" s="120"/>
      <c r="P11" s="133" t="s">
        <v>16</v>
      </c>
      <c r="Q11" s="668">
        <v>73.314247737845713409334901080</v>
      </c>
      <c r="R11" s="92">
        <v>10.070613795149851325484725810</v>
      </c>
      <c r="S11" s="674"/>
      <c r="T11" s="9"/>
    </row>
    <row r="12" ht="15" customHeight="1">
      <c r="A12" s="2"/>
      <c r="B12" s="44"/>
      <c r="C12" s="45"/>
      <c r="D12" s="19" t="s">
        <v>97</v>
      </c>
      <c r="E12" s="113">
        <v>126.93979281090129274703703455</v>
      </c>
      <c r="F12" s="113">
        <v>19.560218113608127538835692800</v>
      </c>
      <c r="G12" s="113"/>
      <c r="H12" s="19" t="s">
        <v>97</v>
      </c>
      <c r="I12" s="667">
        <v>140.25338964214269837741720372</v>
      </c>
      <c r="J12" s="113">
        <v>-15.886683506551450237182040900</v>
      </c>
      <c r="K12" s="9"/>
      <c r="L12" s="19" t="s">
        <v>97</v>
      </c>
      <c r="M12" s="667">
        <v>0</v>
      </c>
      <c r="N12" s="113">
        <v>0</v>
      </c>
      <c r="O12" s="9"/>
      <c r="P12" s="19" t="s">
        <v>97</v>
      </c>
      <c r="Q12" s="667">
        <v>127.69919049641523667044899873</v>
      </c>
      <c r="R12" s="113">
        <v>18.666655047880945941740962210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335.80813143971038707880813144</v>
      </c>
      <c r="F14" s="113">
        <v>107.67332336190679589339962781</v>
      </c>
      <c r="G14" s="664"/>
      <c r="H14" s="53" t="s">
        <v>19</v>
      </c>
      <c r="I14" s="670">
        <v>354.6</v>
      </c>
      <c r="J14" s="113">
        <v>37.981624932466478802006948390</v>
      </c>
      <c r="K14" s="671"/>
      <c r="L14" s="53" t="s">
        <v>19</v>
      </c>
      <c r="M14" s="670">
        <v>0</v>
      </c>
      <c r="N14" s="113">
        <v>0</v>
      </c>
      <c r="O14" s="671"/>
      <c r="P14" s="53" t="s">
        <v>19</v>
      </c>
      <c r="Q14" s="670">
        <v>336.98538240668232837379274341</v>
      </c>
      <c r="R14" s="113">
        <v>103.97519524991013283641442340</v>
      </c>
      <c r="S14" s="675"/>
      <c r="T14" s="9"/>
    </row>
    <row r="15" ht="15" customHeight="1">
      <c r="A15" s="2"/>
      <c r="B15" s="44"/>
      <c r="C15" s="45"/>
      <c r="D15" s="133" t="s">
        <v>16</v>
      </c>
      <c r="E15" s="665">
        <v>353.77793389040893292908378318</v>
      </c>
      <c r="F15" s="92">
        <v>99.61587850268839828360151843</v>
      </c>
      <c r="G15" s="666"/>
      <c r="H15" s="143" t="s">
        <v>16</v>
      </c>
      <c r="I15" s="672">
        <v>268.49022004889975550122249389</v>
      </c>
      <c r="J15" s="92">
        <v>31.192260585108167563357886750</v>
      </c>
      <c r="K15" s="673"/>
      <c r="L15" s="143" t="s">
        <v>16</v>
      </c>
      <c r="M15" s="672">
        <v>0</v>
      </c>
      <c r="N15" s="92">
        <v>0</v>
      </c>
      <c r="O15" s="673"/>
      <c r="P15" s="143" t="s">
        <v>16</v>
      </c>
      <c r="Q15" s="672">
        <v>348.91318597029495851056411687</v>
      </c>
      <c r="R15" s="92">
        <v>96.1496906260328225603953300</v>
      </c>
      <c r="S15" s="675"/>
      <c r="T15" s="9"/>
    </row>
    <row r="16" ht="15" customHeight="1">
      <c r="A16" s="2"/>
      <c r="B16" s="44"/>
      <c r="C16" s="45"/>
      <c r="D16" s="19" t="s">
        <v>98</v>
      </c>
      <c r="E16" s="113">
        <v>94.92059828234931226845044347</v>
      </c>
      <c r="F16" s="113">
        <v>4.0364749136478003236187145400</v>
      </c>
      <c r="G16" s="113"/>
      <c r="H16" s="19" t="s">
        <v>98</v>
      </c>
      <c r="I16" s="667">
        <v>132.07184974388161639157655094</v>
      </c>
      <c r="J16" s="113">
        <v>5.1751256644939277558197272200</v>
      </c>
      <c r="K16" s="9"/>
      <c r="L16" s="19" t="s">
        <v>98</v>
      </c>
      <c r="M16" s="667">
        <v>0</v>
      </c>
      <c r="N16" s="113">
        <v>0</v>
      </c>
      <c r="O16" s="9"/>
      <c r="P16" s="19" t="s">
        <v>98</v>
      </c>
      <c r="Q16" s="667">
        <v>96.58144087319528401436522053</v>
      </c>
      <c r="R16" s="113">
        <v>3.989557464414089393865880400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294.69379276637341153470185728</v>
      </c>
      <c r="F18" s="113">
        <v>163.98403688234256721753692299</v>
      </c>
      <c r="G18" s="664"/>
      <c r="H18" s="53" t="s">
        <v>19</v>
      </c>
      <c r="I18" s="670">
        <v>20.797653958944281524926686217</v>
      </c>
      <c r="J18" s="113">
        <v>206.62583318182707424556423168</v>
      </c>
      <c r="K18" s="671"/>
      <c r="L18" s="53" t="s">
        <v>19</v>
      </c>
      <c r="M18" s="670">
        <v>0</v>
      </c>
      <c r="N18" s="113">
        <v>0</v>
      </c>
      <c r="O18" s="671"/>
      <c r="P18" s="53" t="s">
        <v>19</v>
      </c>
      <c r="Q18" s="670">
        <v>315.4914467253176930596285435</v>
      </c>
      <c r="R18" s="113">
        <v>166.42651653680275745749143577</v>
      </c>
      <c r="S18" s="675"/>
      <c r="T18" s="9"/>
    </row>
    <row r="19" ht="15" customHeight="1">
      <c r="A19" s="2"/>
      <c r="B19" s="44"/>
      <c r="C19" s="45"/>
      <c r="D19" s="133" t="s">
        <v>16</v>
      </c>
      <c r="E19" s="665">
        <v>244.57537958182097029804202239</v>
      </c>
      <c r="F19" s="92">
        <v>112.22929858097464714454153786</v>
      </c>
      <c r="G19" s="666"/>
      <c r="H19" s="143" t="s">
        <v>16</v>
      </c>
      <c r="I19" s="672">
        <v>11.22769797045140841470272481</v>
      </c>
      <c r="J19" s="92">
        <v>246.60190443927915877636455432</v>
      </c>
      <c r="K19" s="673"/>
      <c r="L19" s="143" t="s">
        <v>16</v>
      </c>
      <c r="M19" s="672">
        <v>0</v>
      </c>
      <c r="N19" s="92">
        <v>0</v>
      </c>
      <c r="O19" s="673"/>
      <c r="P19" s="143" t="s">
        <v>16</v>
      </c>
      <c r="Q19" s="672">
        <v>255.8030775522723787127447472</v>
      </c>
      <c r="R19" s="92">
        <v>115.90316842936280909928418534</v>
      </c>
      <c r="S19" s="675"/>
      <c r="T19" s="9"/>
    </row>
    <row r="20" ht="15" customHeight="1">
      <c r="A20" s="2"/>
      <c r="B20" s="44"/>
      <c r="C20" s="45"/>
      <c r="D20" s="19" t="s">
        <v>99</v>
      </c>
      <c r="E20" s="113">
        <v>120.49201079448214826179387828</v>
      </c>
      <c r="F20" s="113">
        <v>24.386236324377371273875620720</v>
      </c>
      <c r="G20" s="113"/>
      <c r="H20" s="19" t="s">
        <v>99</v>
      </c>
      <c r="I20" s="667">
        <v>185.23524602887152687949500698</v>
      </c>
      <c r="J20" s="113">
        <v>-11.533713677463831567249818910</v>
      </c>
      <c r="K20" s="9"/>
      <c r="L20" s="19" t="s">
        <v>99</v>
      </c>
      <c r="M20" s="667">
        <v>0</v>
      </c>
      <c r="N20" s="113">
        <v>0</v>
      </c>
      <c r="O20" s="9"/>
      <c r="P20" s="19" t="s">
        <v>99</v>
      </c>
      <c r="Q20" s="667">
        <v>123.33371816484429309494600344</v>
      </c>
      <c r="R20" s="113">
        <v>23.400929442111377551893050360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80.38190120381901203819012038</v>
      </c>
      <c r="F27" s="113">
        <v>77.782527191387039969483467050</v>
      </c>
      <c r="G27" s="9"/>
      <c r="H27" s="18" t="s">
        <v>19</v>
      </c>
      <c r="I27" s="667">
        <v>2.9887920298879202988792029900</v>
      </c>
      <c r="J27" s="113">
        <v>-27.512790890176117972462714760</v>
      </c>
      <c r="K27" s="9"/>
      <c r="L27" s="18" t="s">
        <v>19</v>
      </c>
      <c r="M27" s="667">
        <v>0</v>
      </c>
      <c r="N27" s="113">
        <v>0</v>
      </c>
      <c r="O27" s="9"/>
      <c r="P27" s="18" t="s">
        <v>19</v>
      </c>
      <c r="Q27" s="667">
        <v>83.37069323370693233706932337</v>
      </c>
      <c r="R27" s="113">
        <v>68.982737229314182152003445530</v>
      </c>
      <c r="S27" s="674"/>
      <c r="T27" s="9"/>
    </row>
    <row r="28" ht="15" customHeight="1">
      <c r="A28" s="2"/>
      <c r="B28" s="44"/>
      <c r="C28" s="45"/>
      <c r="D28" s="133" t="s">
        <v>16</v>
      </c>
      <c r="E28" s="668">
        <v>67.589122400347593184602628690</v>
      </c>
      <c r="F28" s="92">
        <v>35.821422097642886264505885640</v>
      </c>
      <c r="G28" s="120"/>
      <c r="H28" s="133" t="s">
        <v>16</v>
      </c>
      <c r="I28" s="668">
        <v>3.202171515254938837656397600</v>
      </c>
      <c r="J28" s="92">
        <v>-35.628832588709082762482692380</v>
      </c>
      <c r="K28" s="120"/>
      <c r="L28" s="133" t="s">
        <v>16</v>
      </c>
      <c r="M28" s="668">
        <v>0.0099951435553967372591926100</v>
      </c>
      <c r="N28" s="92">
        <v>0</v>
      </c>
      <c r="O28" s="120"/>
      <c r="P28" s="133" t="s">
        <v>16</v>
      </c>
      <c r="Q28" s="668">
        <v>70.801289059157928759518218890</v>
      </c>
      <c r="R28" s="92">
        <v>29.346316110586173851607442170</v>
      </c>
      <c r="S28" s="674"/>
      <c r="T28" s="9"/>
    </row>
    <row r="29" ht="15" customHeight="1">
      <c r="A29" s="2"/>
      <c r="B29" s="44"/>
      <c r="C29" s="45"/>
      <c r="D29" s="19" t="s">
        <v>97</v>
      </c>
      <c r="E29" s="667">
        <v>118.92727461039741054103511566</v>
      </c>
      <c r="F29" s="113">
        <v>30.894320237462222357424296550</v>
      </c>
      <c r="G29" s="676"/>
      <c r="H29" s="19" t="s">
        <v>97</v>
      </c>
      <c r="I29" s="667">
        <v>93.33641298254973492609173085</v>
      </c>
      <c r="J29" s="113">
        <v>12.608194048885063479456383800</v>
      </c>
      <c r="K29" s="676"/>
      <c r="L29" s="19" t="s">
        <v>97</v>
      </c>
      <c r="M29" s="667">
        <v>0</v>
      </c>
      <c r="N29" s="113">
        <v>0</v>
      </c>
      <c r="O29" s="676"/>
      <c r="P29" s="19" t="s">
        <v>97</v>
      </c>
      <c r="Q29" s="667">
        <v>117.75307249568105122765559405</v>
      </c>
      <c r="R29" s="113">
        <v>30.643641280909509710115831130</v>
      </c>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233.25113612889898781243544722</v>
      </c>
      <c r="F31" s="113">
        <v>21.887214742018431323648295450</v>
      </c>
      <c r="G31" s="671"/>
      <c r="H31" s="53" t="s">
        <v>19</v>
      </c>
      <c r="I31" s="670">
        <v>247.15625</v>
      </c>
      <c r="J31" s="113">
        <v>-31.743988826942807710188508710</v>
      </c>
      <c r="K31" s="671"/>
      <c r="L31" s="53" t="s">
        <v>19</v>
      </c>
      <c r="M31" s="670">
        <v>0</v>
      </c>
      <c r="N31" s="113">
        <v>0</v>
      </c>
      <c r="O31" s="671"/>
      <c r="P31" s="53" t="s">
        <v>19</v>
      </c>
      <c r="Q31" s="670">
        <v>233.74962656841266679944234216</v>
      </c>
      <c r="R31" s="113">
        <v>13.672018464972760852009297750</v>
      </c>
      <c r="S31" s="675"/>
      <c r="T31" s="9"/>
    </row>
    <row r="32" ht="15" customHeight="1">
      <c r="A32" s="2"/>
      <c r="B32" s="44"/>
      <c r="C32" s="45"/>
      <c r="D32" s="133" t="s">
        <v>16</v>
      </c>
      <c r="E32" s="672">
        <v>245.06323555780388948188277812</v>
      </c>
      <c r="F32" s="92">
        <v>16.276648509835754581997038240</v>
      </c>
      <c r="G32" s="673"/>
      <c r="H32" s="143" t="s">
        <v>16</v>
      </c>
      <c r="I32" s="672">
        <v>224.93165156163175802497870009</v>
      </c>
      <c r="J32" s="92">
        <v>-35.271779433826929558402366130</v>
      </c>
      <c r="K32" s="673"/>
      <c r="L32" s="143" t="s">
        <v>16</v>
      </c>
      <c r="M32" s="672">
        <v>128.87105999607170523627129154</v>
      </c>
      <c r="N32" s="92">
        <v>0</v>
      </c>
      <c r="O32" s="673"/>
      <c r="P32" s="143" t="s">
        <v>16</v>
      </c>
      <c r="Q32" s="672">
        <v>244.13632952012674883858320578</v>
      </c>
      <c r="R32" s="92">
        <v>9.386984664219878367191158250</v>
      </c>
      <c r="S32" s="675"/>
      <c r="T32" s="9"/>
    </row>
    <row r="33" ht="15" customHeight="1">
      <c r="A33" s="2"/>
      <c r="B33" s="44"/>
      <c r="C33" s="45"/>
      <c r="D33" s="19" t="s">
        <v>98</v>
      </c>
      <c r="E33" s="667">
        <v>95.17997899520969066172522452</v>
      </c>
      <c r="F33" s="113">
        <v>4.8251874337374441394641182100</v>
      </c>
      <c r="G33" s="676"/>
      <c r="H33" s="19" t="s">
        <v>98</v>
      </c>
      <c r="I33" s="667">
        <v>109.88060074430149908576968572</v>
      </c>
      <c r="J33" s="113">
        <v>5.4501584873011553868513007100</v>
      </c>
      <c r="K33" s="676"/>
      <c r="L33" s="19" t="s">
        <v>98</v>
      </c>
      <c r="M33" s="667">
        <v>0</v>
      </c>
      <c r="N33" s="113">
        <v>0</v>
      </c>
      <c r="O33" s="676"/>
      <c r="P33" s="19" t="s">
        <v>98</v>
      </c>
      <c r="Q33" s="667">
        <v>95.74553161664626571965958626</v>
      </c>
      <c r="R33" s="113">
        <v>3.9173159530509375784403648800</v>
      </c>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187.49169779991697799916977999</v>
      </c>
      <c r="F35" s="113">
        <v>116.69417069154103083077492686</v>
      </c>
      <c r="G35" s="671"/>
      <c r="H35" s="53" t="s">
        <v>19</v>
      </c>
      <c r="I35" s="670">
        <v>7.386986301369863013698630137</v>
      </c>
      <c r="J35" s="113">
        <v>-50.523122450706638187318117750</v>
      </c>
      <c r="K35" s="671"/>
      <c r="L35" s="53" t="s">
        <v>19</v>
      </c>
      <c r="M35" s="670">
        <v>0</v>
      </c>
      <c r="N35" s="113">
        <v>0</v>
      </c>
      <c r="O35" s="671"/>
      <c r="P35" s="53" t="s">
        <v>19</v>
      </c>
      <c r="Q35" s="670">
        <v>194.87868410128684101286841013</v>
      </c>
      <c r="R35" s="113">
        <v>92.08608826616171883247526863</v>
      </c>
      <c r="S35" s="675"/>
      <c r="T35" s="9"/>
    </row>
    <row r="36" ht="15" customHeight="1">
      <c r="A36" s="2"/>
      <c r="B36" s="44"/>
      <c r="C36" s="45"/>
      <c r="D36" s="133" t="s">
        <v>16</v>
      </c>
      <c r="E36" s="672">
        <v>165.6360902394162167186360888</v>
      </c>
      <c r="F36" s="92">
        <v>57.928597573415092841243575810</v>
      </c>
      <c r="G36" s="673"/>
      <c r="H36" s="143" t="s">
        <v>16</v>
      </c>
      <c r="I36" s="672">
        <v>7.2026972750990629626821568151</v>
      </c>
      <c r="J36" s="92">
        <v>-58.333688776720443830737833220</v>
      </c>
      <c r="K36" s="673"/>
      <c r="L36" s="143" t="s">
        <v>16</v>
      </c>
      <c r="M36" s="672">
        <v>0.0128808474479688238104226409</v>
      </c>
      <c r="N36" s="92">
        <v>0</v>
      </c>
      <c r="O36" s="673"/>
      <c r="P36" s="143" t="s">
        <v>16</v>
      </c>
      <c r="Q36" s="672">
        <v>172.85166836196324850512866826</v>
      </c>
      <c r="R36" s="92">
        <v>41.488034967626444563805500030</v>
      </c>
      <c r="S36" s="675"/>
      <c r="T36" s="9"/>
    </row>
    <row r="37" ht="15" customHeight="1">
      <c r="A37" s="2"/>
      <c r="B37" s="44"/>
      <c r="C37" s="45"/>
      <c r="D37" s="19" t="s">
        <v>99</v>
      </c>
      <c r="E37" s="667">
        <v>113.19495499375160282808345619</v>
      </c>
      <c r="F37" s="113">
        <v>37.210216528978661724811152090</v>
      </c>
      <c r="G37" s="676"/>
      <c r="H37" s="19" t="s">
        <v>99</v>
      </c>
      <c r="I37" s="667">
        <v>102.55861129840786505720178404</v>
      </c>
      <c r="J37" s="113">
        <v>18.745519094323043330027815940</v>
      </c>
      <c r="K37" s="676"/>
      <c r="L37" s="19" t="s">
        <v>99</v>
      </c>
      <c r="M37" s="667">
        <v>0</v>
      </c>
      <c r="N37" s="113">
        <v>0</v>
      </c>
      <c r="O37" s="676"/>
      <c r="P37" s="19" t="s">
        <v>99</v>
      </c>
      <c r="Q37" s="667">
        <v>112.74330525592469887908163041</v>
      </c>
      <c r="R37" s="113">
        <v>35.761365482319995153541911790</v>
      </c>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9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179</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303</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2020</v>
      </c>
      <c r="C9" s="285" t="s">
        <v>218</v>
      </c>
      <c r="D9" s="415">
        <v>13.098729227761485826001955030</v>
      </c>
      <c r="E9" s="416">
        <v>18.975827507790785816558578290</v>
      </c>
      <c r="F9" s="417">
        <v>17.408364894908713398761530290</v>
      </c>
      <c r="G9" s="415">
        <v>0</v>
      </c>
      <c r="H9" s="416">
        <v>0</v>
      </c>
      <c r="I9" s="417">
        <v>3.5600484728098284087226561200</v>
      </c>
      <c r="J9" s="415">
        <v>0</v>
      </c>
      <c r="K9" s="416">
        <v>0</v>
      </c>
      <c r="L9" s="417">
        <v>3.0504098450135638832210111200</v>
      </c>
      <c r="M9" s="415">
        <v>13.098729227761485826001955030</v>
      </c>
      <c r="N9" s="416">
        <v>18.975827507790785816558578290</v>
      </c>
      <c r="O9" s="417">
        <v>24.018823212732105690705197530</v>
      </c>
      <c r="P9" s="5"/>
      <c r="Q9" s="415">
        <v>-77.933305887192597881946921420</v>
      </c>
      <c r="R9" s="416">
        <v>-75.143228964061342349009972430</v>
      </c>
      <c r="S9" s="417">
        <v>-70.027645745402645926078252010</v>
      </c>
      <c r="T9" s="415">
        <v>-100</v>
      </c>
      <c r="U9" s="416">
        <v>-100</v>
      </c>
      <c r="V9" s="417">
        <v>-73.748872652308629593522700020</v>
      </c>
      <c r="W9" s="415">
        <v>0</v>
      </c>
      <c r="X9" s="416">
        <v>0</v>
      </c>
      <c r="Y9" s="417">
        <v>-53.137298727570608299595755040</v>
      </c>
      <c r="Z9" s="415">
        <v>-78.559999999987616255999992850</v>
      </c>
      <c r="AA9" s="416">
        <v>-76.632913951534007626513892270</v>
      </c>
      <c r="AB9" s="417">
        <v>-69.266591598491477553423210080</v>
      </c>
    </row>
    <row r="10" ht="18" customHeight="1">
      <c r="A10" s="58"/>
      <c r="B10" s="286"/>
      <c r="C10" s="287" t="s">
        <v>219</v>
      </c>
      <c r="D10" s="271">
        <v>25.537634408602150537634408600</v>
      </c>
      <c r="E10" s="92">
        <v>32.359134169965467868272551170</v>
      </c>
      <c r="F10" s="272">
        <v>19.087647601016832445004480240</v>
      </c>
      <c r="G10" s="271">
        <v>0</v>
      </c>
      <c r="H10" s="92">
        <v>0</v>
      </c>
      <c r="I10" s="272">
        <v>7.2844910335195931038644348700</v>
      </c>
      <c r="J10" s="271">
        <v>0</v>
      </c>
      <c r="K10" s="92">
        <v>0</v>
      </c>
      <c r="L10" s="272">
        <v>3.3050839347935689903332180500</v>
      </c>
      <c r="M10" s="271">
        <v>25.537634408602150537634408600</v>
      </c>
      <c r="N10" s="92">
        <v>32.359134169965467868272551170</v>
      </c>
      <c r="O10" s="272">
        <v>29.677222569329994539202133150</v>
      </c>
      <c r="P10" s="5"/>
      <c r="Q10" s="271">
        <v>-62.531373252086712628274689990</v>
      </c>
      <c r="R10" s="92">
        <v>-57.994755889644027381702469730</v>
      </c>
      <c r="S10" s="272">
        <v>-69.227616147874074488257985430</v>
      </c>
      <c r="T10" s="271">
        <v>-100</v>
      </c>
      <c r="U10" s="92">
        <v>-100</v>
      </c>
      <c r="V10" s="272">
        <v>-0.7985959023036134168307847500</v>
      </c>
      <c r="W10" s="271">
        <v>0</v>
      </c>
      <c r="X10" s="92">
        <v>0</v>
      </c>
      <c r="Y10" s="272">
        <v>-48.174372957467933589194002080</v>
      </c>
      <c r="Z10" s="271">
        <v>-62.638541294263334905152082780</v>
      </c>
      <c r="AA10" s="92">
        <v>-58.948244146918598668142467590</v>
      </c>
      <c r="AB10" s="272">
        <v>-60.821603896479410276470710330</v>
      </c>
    </row>
    <row r="11" ht="18" customHeight="1">
      <c r="A11" s="58"/>
      <c r="B11" s="288"/>
      <c r="C11" s="289" t="s">
        <v>220</v>
      </c>
      <c r="D11" s="420">
        <v>47.424242424242424242424242420</v>
      </c>
      <c r="E11" s="91">
        <v>42.249827467218771566597653550</v>
      </c>
      <c r="F11" s="421">
        <v>27.073877838215636219463079890</v>
      </c>
      <c r="G11" s="420">
        <v>0</v>
      </c>
      <c r="H11" s="91">
        <v>0.1104209799861973775017253300</v>
      </c>
      <c r="I11" s="421">
        <v>1.1234122728494485575039263100</v>
      </c>
      <c r="J11" s="420">
        <v>0</v>
      </c>
      <c r="K11" s="91">
        <v>0</v>
      </c>
      <c r="L11" s="421">
        <v>2.6824855636632713394017284700</v>
      </c>
      <c r="M11" s="420">
        <v>47.424242424242424242424242420</v>
      </c>
      <c r="N11" s="91">
        <v>42.360248447204968944099378880</v>
      </c>
      <c r="O11" s="421">
        <v>30.879775674728356116368734670</v>
      </c>
      <c r="P11" s="5"/>
      <c r="Q11" s="420">
        <v>-10.100526567692724043354568090</v>
      </c>
      <c r="R11" s="91">
        <v>-32.762569654996557205638226220</v>
      </c>
      <c r="S11" s="421">
        <v>-45.671985383054803292805029730</v>
      </c>
      <c r="T11" s="420">
        <v>-100</v>
      </c>
      <c r="U11" s="91">
        <v>-97.00534505570187736052417454</v>
      </c>
      <c r="V11" s="421">
        <v>-90.04451408279679638185334420</v>
      </c>
      <c r="W11" s="420">
        <v>0</v>
      </c>
      <c r="X11" s="91">
        <v>0</v>
      </c>
      <c r="Y11" s="421">
        <v>-54.103610999254170915072464600</v>
      </c>
      <c r="Z11" s="420">
        <v>-11.163670766255898192793145210</v>
      </c>
      <c r="AA11" s="91">
        <v>-36.323393702390403569575839790</v>
      </c>
      <c r="AB11" s="421">
        <v>-53.885392166197741869413476430</v>
      </c>
    </row>
    <row r="12" ht="18" customHeight="1">
      <c r="A12" s="58"/>
      <c r="B12" s="286"/>
      <c r="C12" s="287" t="s">
        <v>221</v>
      </c>
      <c r="D12" s="271">
        <v>51.392961876832844574780058650</v>
      </c>
      <c r="E12" s="92">
        <v>46.483670607092766980565017030</v>
      </c>
      <c r="F12" s="272">
        <v>31.233688269692203683056537320</v>
      </c>
      <c r="G12" s="271">
        <v>1.5151515151515151515151515200</v>
      </c>
      <c r="H12" s="92">
        <v>0.0066786883056167768650237100</v>
      </c>
      <c r="I12" s="272">
        <v>2.8231030763339127458081845400</v>
      </c>
      <c r="J12" s="271">
        <v>0</v>
      </c>
      <c r="K12" s="92">
        <v>0</v>
      </c>
      <c r="L12" s="272">
        <v>3.5627892608693796871571661800</v>
      </c>
      <c r="M12" s="271">
        <v>52.908113391984359726295210170</v>
      </c>
      <c r="N12" s="92">
        <v>46.490349295398383757430040740</v>
      </c>
      <c r="O12" s="272">
        <v>37.619580606895496116021888030</v>
      </c>
      <c r="P12" s="5"/>
      <c r="Q12" s="271">
        <v>-16.712871287090054449563750320</v>
      </c>
      <c r="R12" s="92">
        <v>-35.763540745634500984020679790</v>
      </c>
      <c r="S12" s="272">
        <v>-41.263316164867105888200585360</v>
      </c>
      <c r="T12" s="271">
        <v>-69.902912621184484871334643810</v>
      </c>
      <c r="U12" s="92">
        <v>-99.90110384409870311529801946</v>
      </c>
      <c r="V12" s="272">
        <v>-80.14529241523802523020825185</v>
      </c>
      <c r="W12" s="271">
        <v>0</v>
      </c>
      <c r="X12" s="92">
        <v>0</v>
      </c>
      <c r="Y12" s="272">
        <v>-39.374864186600785074961816250</v>
      </c>
      <c r="Z12" s="271">
        <v>-20.725009154206030788801958550</v>
      </c>
      <c r="AA12" s="92">
        <v>-41.238193165731333735285633380</v>
      </c>
      <c r="AB12" s="272">
        <v>-48.657168329357281638173585280</v>
      </c>
    </row>
    <row r="13" ht="18" customHeight="1">
      <c r="A13" s="58"/>
      <c r="B13" s="288"/>
      <c r="C13" s="289" t="s">
        <v>222</v>
      </c>
      <c r="D13" s="420">
        <v>50.808080808080808080808080810</v>
      </c>
      <c r="E13" s="91">
        <v>59.040717736369910282953761210</v>
      </c>
      <c r="F13" s="421">
        <v>33.766445129978807601418398300</v>
      </c>
      <c r="G13" s="420">
        <v>1.0353535353535353535353535400</v>
      </c>
      <c r="H13" s="91">
        <v>0.4623878536922015182884748100</v>
      </c>
      <c r="I13" s="421">
        <v>2.3743378339227058433360818600</v>
      </c>
      <c r="J13" s="420">
        <v>0</v>
      </c>
      <c r="K13" s="91">
        <v>0</v>
      </c>
      <c r="L13" s="421">
        <v>3.7106509806212886238867986300</v>
      </c>
      <c r="M13" s="420">
        <v>51.843434343434343434343434340</v>
      </c>
      <c r="N13" s="91">
        <v>59.503105590062111801242236020</v>
      </c>
      <c r="O13" s="421">
        <v>39.851433944522802068641278800</v>
      </c>
      <c r="P13" s="5"/>
      <c r="Q13" s="420">
        <v>-26.029411764739604238754309880</v>
      </c>
      <c r="R13" s="91">
        <v>-24.945216120549427477151798120</v>
      </c>
      <c r="S13" s="421">
        <v>-43.469967371915178447096669760</v>
      </c>
      <c r="T13" s="420">
        <v>-83.33333333327642276422744787</v>
      </c>
      <c r="U13" s="91">
        <v>-95.78168574921230163945461874</v>
      </c>
      <c r="V13" s="421">
        <v>-86.23333275467380808794821153</v>
      </c>
      <c r="W13" s="420">
        <v>0</v>
      </c>
      <c r="X13" s="91">
        <v>0</v>
      </c>
      <c r="Y13" s="421">
        <v>-38.938053141076122706938274470</v>
      </c>
      <c r="Z13" s="420">
        <v>-30.782198246806367876163613440</v>
      </c>
      <c r="AA13" s="91">
        <v>-33.608759352795240291585155080</v>
      </c>
      <c r="AB13" s="421">
        <v>-52.018445629709088834573045820</v>
      </c>
    </row>
    <row r="14" ht="18" customHeight="1">
      <c r="A14" s="58"/>
      <c r="B14" s="286"/>
      <c r="C14" s="287" t="s">
        <v>223</v>
      </c>
      <c r="D14" s="271">
        <v>69.037145650048875855327468230</v>
      </c>
      <c r="E14" s="92">
        <v>65.023709343484939557870834170</v>
      </c>
      <c r="F14" s="272">
        <v>41.727837740784832129124425770</v>
      </c>
      <c r="G14" s="271">
        <v>2.6392961876832844574780058700</v>
      </c>
      <c r="H14" s="92">
        <v>1.5828491284311761170106191100</v>
      </c>
      <c r="I14" s="272">
        <v>1.0473550321730504242634701900</v>
      </c>
      <c r="J14" s="271">
        <v>0</v>
      </c>
      <c r="K14" s="92">
        <v>0</v>
      </c>
      <c r="L14" s="272">
        <v>4.1200253898338732134804783900</v>
      </c>
      <c r="M14" s="271">
        <v>71.676441837732160312805474100</v>
      </c>
      <c r="N14" s="92">
        <v>66.606558471916115674881453280</v>
      </c>
      <c r="O14" s="272">
        <v>46.895218162791755766868374360</v>
      </c>
      <c r="P14" s="5"/>
      <c r="Q14" s="271">
        <v>-15.190633443412118594093619930</v>
      </c>
      <c r="R14" s="92">
        <v>-17.299819345398620150430054260</v>
      </c>
      <c r="S14" s="272">
        <v>-38.518874244348300919803710380</v>
      </c>
      <c r="T14" s="271">
        <v>-29.870129869849350649349527140</v>
      </c>
      <c r="U14" s="92">
        <v>-80.22853652527378872596111652</v>
      </c>
      <c r="V14" s="272">
        <v>-88.81243496993307881877448136</v>
      </c>
      <c r="W14" s="271">
        <v>0</v>
      </c>
      <c r="X14" s="92">
        <v>0</v>
      </c>
      <c r="Y14" s="272">
        <v>-35.908820141359899967670445970</v>
      </c>
      <c r="Z14" s="271">
        <v>-15.839311334276579610505361130</v>
      </c>
      <c r="AA14" s="92">
        <v>-23.115136889548129603849605470</v>
      </c>
      <c r="AB14" s="272">
        <v>-43.946230199010748691674896780</v>
      </c>
    </row>
    <row r="15" ht="18" customHeight="1">
      <c r="A15" s="58"/>
      <c r="B15" s="288">
        <v>2021</v>
      </c>
      <c r="C15" s="289" t="s">
        <v>227</v>
      </c>
      <c r="D15" s="420">
        <v>83.94428152492668621700879765</v>
      </c>
      <c r="E15" s="91">
        <v>56.648167418198635680425482710</v>
      </c>
      <c r="F15" s="421">
        <v>42.682682261360403002212823950</v>
      </c>
      <c r="G15" s="420">
        <v>1.4173998044965786901270772200</v>
      </c>
      <c r="H15" s="91">
        <v>1.4510348017111804832928662300</v>
      </c>
      <c r="I15" s="421">
        <v>2.4765987620865680282914713600</v>
      </c>
      <c r="J15" s="420">
        <v>0</v>
      </c>
      <c r="K15" s="91">
        <v>0</v>
      </c>
      <c r="L15" s="421">
        <v>3.9970744321210829627465483300</v>
      </c>
      <c r="M15" s="420">
        <v>85.36168132942326490713587488</v>
      </c>
      <c r="N15" s="91">
        <v>58.099202219909816163718348940</v>
      </c>
      <c r="O15" s="421">
        <v>49.156355455568053993250843640</v>
      </c>
      <c r="P15" s="5"/>
      <c r="Q15" s="420">
        <v>26.706012541465446795784386480</v>
      </c>
      <c r="R15" s="91">
        <v>-20.691754733205266556288321360</v>
      </c>
      <c r="S15" s="421">
        <v>-17.115612792563802491269145830</v>
      </c>
      <c r="T15" s="420">
        <v>-93.17647058824383557093424538</v>
      </c>
      <c r="U15" s="91">
        <v>-92.55021213745121270656120189</v>
      </c>
      <c r="V15" s="421">
        <v>-90.96685776937722206491292756</v>
      </c>
      <c r="W15" s="420">
        <v>0</v>
      </c>
      <c r="X15" s="91">
        <v>0</v>
      </c>
      <c r="Y15" s="421">
        <v>-40.924837164163039463606776930</v>
      </c>
      <c r="Z15" s="420">
        <v>-1.9095759618567409219081232700</v>
      </c>
      <c r="AA15" s="91">
        <v>-36.088263714756179348651220010</v>
      </c>
      <c r="AB15" s="421">
        <v>-42.627658211064432185847565280</v>
      </c>
    </row>
    <row r="16" ht="18" customHeight="1">
      <c r="A16" s="58"/>
      <c r="B16" s="286"/>
      <c r="C16" s="287" t="s">
        <v>230</v>
      </c>
      <c r="D16" s="271">
        <v>89.04220779220779220779220779</v>
      </c>
      <c r="E16" s="92">
        <v>72.875064004096262160778289810</v>
      </c>
      <c r="F16" s="272">
        <v>55.295211410399884765819769310</v>
      </c>
      <c r="G16" s="271">
        <v>2.2186147186147186147186147200</v>
      </c>
      <c r="H16" s="92">
        <v>1.5937019969278033794162826400</v>
      </c>
      <c r="I16" s="272">
        <v>5.7998333456702971573877970800</v>
      </c>
      <c r="J16" s="271">
        <v>0</v>
      </c>
      <c r="K16" s="92">
        <v>0</v>
      </c>
      <c r="L16" s="272">
        <v>4.6374194894705540562235761500</v>
      </c>
      <c r="M16" s="271">
        <v>91.26082251082251082251082251</v>
      </c>
      <c r="N16" s="92">
        <v>74.468766001024065540194572450</v>
      </c>
      <c r="O16" s="272">
        <v>65.732464245540735979431142540</v>
      </c>
      <c r="P16" s="5"/>
      <c r="Q16" s="271">
        <v>23.676912709901242009592408630</v>
      </c>
      <c r="R16" s="92">
        <v>-5.8499861471697301286268871100</v>
      </c>
      <c r="S16" s="272">
        <v>1.2756428231059628602407186700</v>
      </c>
      <c r="T16" s="271">
        <v>-85.70226070225117043450376147</v>
      </c>
      <c r="U16" s="92">
        <v>-89.72042550520782585207466767</v>
      </c>
      <c r="V16" s="272">
        <v>-79.31731148973534346796581965</v>
      </c>
      <c r="W16" s="271">
        <v>0</v>
      </c>
      <c r="X16" s="92">
        <v>0</v>
      </c>
      <c r="Y16" s="272">
        <v>-26.205332788503858071306600640</v>
      </c>
      <c r="Z16" s="271">
        <v>4.2825159914624992012220355400</v>
      </c>
      <c r="AA16" s="92">
        <v>-19.845659134594988710796915600</v>
      </c>
      <c r="AB16" s="272">
        <v>-26.080938488313698498746001180</v>
      </c>
    </row>
    <row r="17" ht="18" customHeight="1">
      <c r="A17" s="58"/>
      <c r="B17" s="288"/>
      <c r="C17" s="289" t="s">
        <v>231</v>
      </c>
      <c r="D17" s="420">
        <v>88.88074291300097751710654936</v>
      </c>
      <c r="E17" s="91">
        <v>79.35599491270667129147878367</v>
      </c>
      <c r="F17" s="421">
        <v>60.317721069093799619196278830</v>
      </c>
      <c r="G17" s="420">
        <v>0.6842619745845552297165200400</v>
      </c>
      <c r="H17" s="91">
        <v>1.0637067869117817088680772300</v>
      </c>
      <c r="I17" s="421">
        <v>4.2553791626387747725183731400</v>
      </c>
      <c r="J17" s="420">
        <v>0</v>
      </c>
      <c r="K17" s="91">
        <v>0</v>
      </c>
      <c r="L17" s="421">
        <v>4.5274792026702622423768467800</v>
      </c>
      <c r="M17" s="420">
        <v>89.56500488758553274682306940</v>
      </c>
      <c r="N17" s="91">
        <v>80.41970169961845300034686091</v>
      </c>
      <c r="O17" s="421">
        <v>69.100579434402836634091498750</v>
      </c>
      <c r="P17" s="5"/>
      <c r="Q17" s="420">
        <v>124.64484249528536766722840707</v>
      </c>
      <c r="R17" s="91">
        <v>96.14387370325570206387559014</v>
      </c>
      <c r="S17" s="421">
        <v>132.60635375124552368518632443</v>
      </c>
      <c r="T17" s="420">
        <v>460.00000008556800001307479114</v>
      </c>
      <c r="U17" s="91">
        <v>-67.437921034479574374501870910</v>
      </c>
      <c r="V17" s="421">
        <v>-41.596813370952467876534410270</v>
      </c>
      <c r="W17" s="420">
        <v>0</v>
      </c>
      <c r="X17" s="91">
        <v>0</v>
      </c>
      <c r="Y17" s="421">
        <v>-10.268737457848196384696801430</v>
      </c>
      <c r="Z17" s="420">
        <v>125.67733990150173429954621815</v>
      </c>
      <c r="AA17" s="91">
        <v>83.92257511369014110067508875</v>
      </c>
      <c r="AB17" s="421">
        <v>80.59348119432188206419605250</v>
      </c>
    </row>
    <row r="18" ht="18" customHeight="1">
      <c r="A18" s="58"/>
      <c r="B18" s="286"/>
      <c r="C18" s="287" t="s">
        <v>232</v>
      </c>
      <c r="D18" s="271">
        <v>82.04545454545454545454545455</v>
      </c>
      <c r="E18" s="92">
        <v>77.604540023894862604540023890</v>
      </c>
      <c r="F18" s="272">
        <v>61.876727693347523180440771090</v>
      </c>
      <c r="G18" s="271">
        <v>8.181818181818181818181818180</v>
      </c>
      <c r="H18" s="92">
        <v>1.3679808841099163679808841100</v>
      </c>
      <c r="I18" s="272">
        <v>3.817467507705610461656542300</v>
      </c>
      <c r="J18" s="271">
        <v>0</v>
      </c>
      <c r="K18" s="92">
        <v>0</v>
      </c>
      <c r="L18" s="272">
        <v>4.9662822525277682146666123400</v>
      </c>
      <c r="M18" s="271">
        <v>90.22727272727272727272727273</v>
      </c>
      <c r="N18" s="92">
        <v>78.97252090800477897252090800</v>
      </c>
      <c r="O18" s="272">
        <v>70.660477453580901856763925730</v>
      </c>
      <c r="P18" s="5"/>
      <c r="Q18" s="271"/>
      <c r="R18" s="92"/>
      <c r="S18" s="272">
        <v>1580.9140473461960121103826380</v>
      </c>
      <c r="T18" s="271"/>
      <c r="U18" s="92"/>
      <c r="V18" s="272">
        <v>172.58971902745976129839987717</v>
      </c>
      <c r="W18" s="271"/>
      <c r="X18" s="92"/>
      <c r="Y18" s="272">
        <v>-3.349077942196572611250634500</v>
      </c>
      <c r="Z18" s="271"/>
      <c r="AA18" s="92"/>
      <c r="AB18" s="272">
        <v>591.39745747278733063552436914</v>
      </c>
    </row>
    <row r="19" ht="18" customHeight="1">
      <c r="A19" s="58"/>
      <c r="B19" s="288"/>
      <c r="C19" s="289" t="s">
        <v>233</v>
      </c>
      <c r="D19" s="420">
        <v>90.54252199413489736070381232</v>
      </c>
      <c r="E19" s="91">
        <v>83.22349404555439935252630362</v>
      </c>
      <c r="F19" s="421">
        <v>63.873154446592419999827208630</v>
      </c>
      <c r="G19" s="420">
        <v>1.5151515151515151515151515200</v>
      </c>
      <c r="H19" s="91">
        <v>1.8152387559255405249161752800</v>
      </c>
      <c r="I19" s="421">
        <v>5.8945000263797671569529753100</v>
      </c>
      <c r="J19" s="420">
        <v>0</v>
      </c>
      <c r="K19" s="91">
        <v>0</v>
      </c>
      <c r="L19" s="421">
        <v>5.2237176620691250907278856600</v>
      </c>
      <c r="M19" s="420">
        <v>92.05767350928641251221896383</v>
      </c>
      <c r="N19" s="91">
        <v>85.03873280147993987744247890</v>
      </c>
      <c r="O19" s="421">
        <v>74.991372135041312247508069590</v>
      </c>
      <c r="P19" s="5"/>
      <c r="Q19" s="420"/>
      <c r="R19" s="91"/>
      <c r="S19" s="421">
        <v>330.96994653137248448900734770</v>
      </c>
      <c r="T19" s="420"/>
      <c r="U19" s="91"/>
      <c r="V19" s="421">
        <v>453.09454249947125794214603994</v>
      </c>
      <c r="W19" s="420"/>
      <c r="X19" s="91"/>
      <c r="Y19" s="421">
        <v>-48.841018101302924149823409750</v>
      </c>
      <c r="Z19" s="420"/>
      <c r="AA19" s="91"/>
      <c r="AB19" s="421">
        <v>187.35325956490703339658669523</v>
      </c>
    </row>
    <row r="20" ht="18" customHeight="1">
      <c r="A20" s="58"/>
      <c r="B20" s="286"/>
      <c r="C20" s="287" t="s">
        <v>234</v>
      </c>
      <c r="D20" s="271">
        <v>89.46969696969696969696969697</v>
      </c>
      <c r="E20" s="92">
        <v>80.72879330943847072879330943</v>
      </c>
      <c r="F20" s="272">
        <v>58.240968088427000198856297070</v>
      </c>
      <c r="G20" s="271">
        <v>2.0707070707070707070707070700</v>
      </c>
      <c r="H20" s="92">
        <v>1.2903225806451612903225806500</v>
      </c>
      <c r="I20" s="272">
        <v>7.4588861173647669264118398500</v>
      </c>
      <c r="J20" s="271">
        <v>0</v>
      </c>
      <c r="K20" s="92">
        <v>0</v>
      </c>
      <c r="L20" s="272">
        <v>5.5341498266322134532612627500</v>
      </c>
      <c r="M20" s="271">
        <v>91.54040404040404040404040404</v>
      </c>
      <c r="N20" s="92">
        <v>82.01911589008363201911589008</v>
      </c>
      <c r="O20" s="272">
        <v>71.234004032423980578529399660</v>
      </c>
      <c r="P20" s="5"/>
      <c r="Q20" s="271">
        <v>393.45403899757186086389796291</v>
      </c>
      <c r="R20" s="92">
        <v>344.02768555507897238043320603</v>
      </c>
      <c r="S20" s="272">
        <v>171.44693294665341413608682262</v>
      </c>
      <c r="T20" s="271">
        <v>0</v>
      </c>
      <c r="U20" s="92">
        <v>0</v>
      </c>
      <c r="V20" s="272">
        <v>1873.7626368631664430519214461</v>
      </c>
      <c r="W20" s="271">
        <v>0</v>
      </c>
      <c r="X20" s="92">
        <v>0</v>
      </c>
      <c r="Y20" s="272">
        <v>71.664246556933805828302841600</v>
      </c>
      <c r="Z20" s="271">
        <v>404.87465181095060559741183052</v>
      </c>
      <c r="AA20" s="92">
        <v>351.12476858600224143727600409</v>
      </c>
      <c r="AB20" s="272">
        <v>184.28249315655625690475569703</v>
      </c>
    </row>
    <row r="21" ht="18" customHeight="1">
      <c r="A21" s="58"/>
      <c r="B21" s="288"/>
      <c r="C21" s="289" t="s">
        <v>218</v>
      </c>
      <c r="D21" s="420">
        <v>85.55718475073313782991202346</v>
      </c>
      <c r="E21" s="91">
        <v>74.372759856630824372759856630</v>
      </c>
      <c r="F21" s="421">
        <v>61.444748282903705822806550190</v>
      </c>
      <c r="G21" s="420">
        <v>1.3929618768328445747800586500</v>
      </c>
      <c r="H21" s="91">
        <v>5.3821251011677650595444560100</v>
      </c>
      <c r="I21" s="421">
        <v>7.3723465336893073857486781400</v>
      </c>
      <c r="J21" s="420">
        <v>0</v>
      </c>
      <c r="K21" s="91">
        <v>0</v>
      </c>
      <c r="L21" s="421">
        <v>4.4166673962843465760513533900</v>
      </c>
      <c r="M21" s="420">
        <v>86.95014662756598240469208211</v>
      </c>
      <c r="N21" s="91">
        <v>79.75488495779858943230431264</v>
      </c>
      <c r="O21" s="421">
        <v>73.233762212877359784606581730</v>
      </c>
      <c r="P21" s="5"/>
      <c r="Q21" s="420">
        <v>553.17164178912425651593347047</v>
      </c>
      <c r="R21" s="91">
        <v>291.93421117503284587250434613</v>
      </c>
      <c r="S21" s="421">
        <v>252.96105437739715345726585164</v>
      </c>
      <c r="T21" s="420">
        <v>0</v>
      </c>
      <c r="U21" s="91">
        <v>0</v>
      </c>
      <c r="V21" s="421">
        <v>107.08556611002859561257258564</v>
      </c>
      <c r="W21" s="420">
        <v>0</v>
      </c>
      <c r="X21" s="91">
        <v>0</v>
      </c>
      <c r="Y21" s="421">
        <v>44.789310968288806321084811150</v>
      </c>
      <c r="Z21" s="420">
        <v>563.80597014730194364001464950</v>
      </c>
      <c r="AA21" s="91">
        <v>320.29726990833681629670190124</v>
      </c>
      <c r="AB21" s="421">
        <v>204.90154144668862886203819455</v>
      </c>
    </row>
    <row r="22" ht="18" customHeight="1">
      <c r="A22" s="58"/>
      <c r="B22" s="286"/>
      <c r="C22" s="287" t="s">
        <v>219</v>
      </c>
      <c r="D22" s="271">
        <v>62.805474095796676441837732160</v>
      </c>
      <c r="E22" s="92">
        <v>57.041276448144294138050641690</v>
      </c>
      <c r="F22" s="272">
        <v>48.308306000349862648567844630</v>
      </c>
      <c r="G22" s="271">
        <v>0.6842619745845552297165200400</v>
      </c>
      <c r="H22" s="92">
        <v>0.8555902416464331136547577800</v>
      </c>
      <c r="I22" s="272">
        <v>5.5605484655254634105664091800</v>
      </c>
      <c r="J22" s="271">
        <v>0</v>
      </c>
      <c r="K22" s="92">
        <v>0</v>
      </c>
      <c r="L22" s="272">
        <v>4.5479882334400081808162088400</v>
      </c>
      <c r="M22" s="271">
        <v>63.489736070381231671554252200</v>
      </c>
      <c r="N22" s="92">
        <v>57.896866689790727251705399470</v>
      </c>
      <c r="O22" s="272">
        <v>58.416842699315334239950462650</v>
      </c>
      <c r="P22" s="5"/>
      <c r="Q22" s="271">
        <v>145.93301435408769579451020069</v>
      </c>
      <c r="R22" s="92">
        <v>76.275657279566495082308445120</v>
      </c>
      <c r="S22" s="272">
        <v>153.08674494713007588790849152</v>
      </c>
      <c r="T22" s="271">
        <v>0</v>
      </c>
      <c r="U22" s="92">
        <v>0</v>
      </c>
      <c r="V22" s="272">
        <v>-23.665930262614779144591431390</v>
      </c>
      <c r="W22" s="271">
        <v>0</v>
      </c>
      <c r="X22" s="92">
        <v>0</v>
      </c>
      <c r="Y22" s="272">
        <v>37.605831596383340987949085840</v>
      </c>
      <c r="Z22" s="271">
        <v>148.61244019140849559304961144</v>
      </c>
      <c r="AA22" s="92">
        <v>78.919702812897379978647925210</v>
      </c>
      <c r="AB22" s="272">
        <v>96.84066648388255459762062408</v>
      </c>
    </row>
    <row r="23" ht="18" customHeight="1">
      <c r="A23" s="58"/>
      <c r="B23" s="288"/>
      <c r="C23" s="289" t="s">
        <v>220</v>
      </c>
      <c r="D23" s="420">
        <v>57.449494949494949494949494950</v>
      </c>
      <c r="E23" s="91">
        <v>47.305854241338112305854241340</v>
      </c>
      <c r="F23" s="421">
        <v>42.463273428373736714162387980</v>
      </c>
      <c r="G23" s="420">
        <v>1.6919191919191919191919191900</v>
      </c>
      <c r="H23" s="91">
        <v>4.755077658303464755077658300</v>
      </c>
      <c r="I23" s="421">
        <v>6.5216758228717356124810590600</v>
      </c>
      <c r="J23" s="420">
        <v>0</v>
      </c>
      <c r="K23" s="91">
        <v>0</v>
      </c>
      <c r="L23" s="421">
        <v>5.2551187842301685432387057900</v>
      </c>
      <c r="M23" s="420">
        <v>59.141414141414141414141414140</v>
      </c>
      <c r="N23" s="91">
        <v>52.060931899641577060931899640</v>
      </c>
      <c r="O23" s="421">
        <v>54.240068035475640869882152840</v>
      </c>
      <c r="P23" s="5"/>
      <c r="Q23" s="420">
        <v>21.139510117254267506388172080</v>
      </c>
      <c r="R23" s="91">
        <v>11.966976144608591552914291470</v>
      </c>
      <c r="S23" s="421">
        <v>56.842228816073053659208292220</v>
      </c>
      <c r="T23" s="420">
        <v>0</v>
      </c>
      <c r="U23" s="91">
        <v>4206.3172037627856183468560956</v>
      </c>
      <c r="V23" s="421">
        <v>480.52381843907301245579369640</v>
      </c>
      <c r="W23" s="420">
        <v>0</v>
      </c>
      <c r="X23" s="91">
        <v>0</v>
      </c>
      <c r="Y23" s="421">
        <v>95.90483003314619266812741617</v>
      </c>
      <c r="Z23" s="420">
        <v>24.707135250377799780202680880</v>
      </c>
      <c r="AA23" s="91">
        <v>22.900440408259195166177447440</v>
      </c>
      <c r="AB23" s="421">
        <v>75.649164705282750937594047440</v>
      </c>
    </row>
    <row r="24" ht="18" customHeight="1">
      <c r="A24" s="59"/>
      <c r="B24" s="286"/>
      <c r="C24" s="287" t="s">
        <v>221</v>
      </c>
      <c r="D24" s="271">
        <v>71.114369501466275659824046920</v>
      </c>
      <c r="E24" s="92">
        <v>54.015643372015745616277286430</v>
      </c>
      <c r="F24" s="272">
        <v>48.656637352243000808998436310</v>
      </c>
      <c r="G24" s="271">
        <v>2.248289345063538611925708700</v>
      </c>
      <c r="H24" s="92">
        <v>6.022187004754358161648177500</v>
      </c>
      <c r="I24" s="272">
        <v>7.6951336970701310180393007700</v>
      </c>
      <c r="J24" s="271">
        <v>0</v>
      </c>
      <c r="K24" s="92">
        <v>0</v>
      </c>
      <c r="L24" s="272">
        <v>5.9568618305378245746239601800</v>
      </c>
      <c r="M24" s="271">
        <v>73.362658846529814271749755620</v>
      </c>
      <c r="N24" s="92">
        <v>60.037830376770103777925463930</v>
      </c>
      <c r="O24" s="272">
        <v>62.308632879850956401661697260</v>
      </c>
      <c r="P24" s="93"/>
      <c r="Q24" s="271">
        <v>38.373751783255337290725960610</v>
      </c>
      <c r="R24" s="92">
        <v>16.203481064520964187144674360</v>
      </c>
      <c r="S24" s="272">
        <v>55.782554183474753849647935200</v>
      </c>
      <c r="T24" s="271">
        <v>48.387096769445161290474529040</v>
      </c>
      <c r="U24" s="92">
        <v>90070.20609802014808279310625</v>
      </c>
      <c r="V24" s="272">
        <v>172.57714256595566085315100225</v>
      </c>
      <c r="W24" s="271">
        <v>0</v>
      </c>
      <c r="X24" s="92">
        <v>0</v>
      </c>
      <c r="Y24" s="272">
        <v>67.196580946049426064271770750</v>
      </c>
      <c r="Z24" s="271">
        <v>38.660508083099887886756035140</v>
      </c>
      <c r="AA24" s="92">
        <v>29.140415778099053567915482180</v>
      </c>
      <c r="AB24" s="272">
        <v>65.628196472829925289056604780</v>
      </c>
    </row>
    <row r="25" ht="18" customHeight="1">
      <c r="A25" s="60"/>
      <c r="B25" s="288"/>
      <c r="C25" s="289" t="s">
        <v>222</v>
      </c>
      <c r="D25" s="420">
        <v>76.287878787878787878787878790</v>
      </c>
      <c r="E25" s="91">
        <v>61.516381686187466441405633370</v>
      </c>
      <c r="F25" s="421">
        <v>55.143683814519731892266735920</v>
      </c>
      <c r="G25" s="420">
        <v>8.080808080808080808080808080</v>
      </c>
      <c r="H25" s="91">
        <v>7.5167488858122325567447894700</v>
      </c>
      <c r="I25" s="421">
        <v>10.008991770592776664112559980</v>
      </c>
      <c r="J25" s="420">
        <v>0</v>
      </c>
      <c r="K25" s="91">
        <v>0.1110849589036290525627308800</v>
      </c>
      <c r="L25" s="421">
        <v>7.0259684421504353632667641200</v>
      </c>
      <c r="M25" s="420">
        <v>84.36868686868686868686868687</v>
      </c>
      <c r="N25" s="91">
        <v>69.144215530903328050713153720</v>
      </c>
      <c r="O25" s="421">
        <v>72.178644027262943919646060030</v>
      </c>
      <c r="P25" s="93"/>
      <c r="Q25" s="420">
        <v>50.149105367736524194791511060</v>
      </c>
      <c r="R25" s="91">
        <v>4.1931467717594513870301293200</v>
      </c>
      <c r="S25" s="421">
        <v>63.309118274718816668832843520</v>
      </c>
      <c r="T25" s="420">
        <v>680.48780484302201070948389017</v>
      </c>
      <c r="U25" s="91">
        <v>1525.6371843818250705803065237</v>
      </c>
      <c r="V25" s="421">
        <v>321.54876309882047843455205871</v>
      </c>
      <c r="W25" s="420">
        <v>0</v>
      </c>
      <c r="X25" s="91">
        <v>0</v>
      </c>
      <c r="Y25" s="421">
        <v>89.34597942203552344700850791</v>
      </c>
      <c r="Z25" s="420">
        <v>62.737457379552519698994735230</v>
      </c>
      <c r="AA25" s="91">
        <v>16.202700422425338741534966630</v>
      </c>
      <c r="AB25" s="421">
        <v>81.11931462186320204884004216</v>
      </c>
    </row>
    <row r="26" ht="18" customHeight="1">
      <c r="A26" s="60"/>
      <c r="B26" s="290"/>
      <c r="C26" s="291" t="s">
        <v>223</v>
      </c>
      <c r="D26" s="273">
        <v>87.75659824046920821114369501</v>
      </c>
      <c r="E26" s="274">
        <v>69.132457440826133633249833850</v>
      </c>
      <c r="F26" s="275">
        <v>62.059776227963536799625112720</v>
      </c>
      <c r="G26" s="273">
        <v>5.8651026392961876832844574800</v>
      </c>
      <c r="H26" s="274">
        <v>4.1817902970195797760850672300</v>
      </c>
      <c r="I26" s="275">
        <v>8.641645727825766152785897150</v>
      </c>
      <c r="J26" s="273">
        <v>0</v>
      </c>
      <c r="K26" s="274">
        <v>0</v>
      </c>
      <c r="L26" s="275">
        <v>7.3620912918876766775257700400</v>
      </c>
      <c r="M26" s="273">
        <v>93.62170087976539589442815249</v>
      </c>
      <c r="N26" s="274">
        <v>73.314247737845713409334901080</v>
      </c>
      <c r="O26" s="275">
        <v>78.063513247676979629936779900</v>
      </c>
      <c r="P26" s="184"/>
      <c r="Q26" s="273">
        <v>27.115044247877603571148939890</v>
      </c>
      <c r="R26" s="274">
        <v>6.3188460621661821993405482200</v>
      </c>
      <c r="S26" s="275">
        <v>48.725118740776947455842213840</v>
      </c>
      <c r="T26" s="273">
        <v>122.22222222081481481482372847</v>
      </c>
      <c r="U26" s="274">
        <v>164.19386547893428249526319353</v>
      </c>
      <c r="V26" s="275">
        <v>725.09230033236538191580163107</v>
      </c>
      <c r="W26" s="273">
        <v>0</v>
      </c>
      <c r="X26" s="274">
        <v>0</v>
      </c>
      <c r="Y26" s="275">
        <v>78.690435018048700606718043580</v>
      </c>
      <c r="Z26" s="273">
        <v>30.617115581374664890591574850</v>
      </c>
      <c r="AA26" s="274">
        <v>10.070613795149851325484725810</v>
      </c>
      <c r="AB26" s="275">
        <v>66.463695672923586951695544610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2019</v>
      </c>
      <c r="C29" s="285"/>
      <c r="D29" s="427">
        <v>61.129099211290992112909921130</v>
      </c>
      <c r="E29" s="428">
        <v>76.143542539565377852072162040</v>
      </c>
      <c r="F29" s="429">
        <v>58.180639516255221984418647390</v>
      </c>
      <c r="G29" s="427">
        <v>6.4591116645911166459111664600</v>
      </c>
      <c r="H29" s="428">
        <v>8.258254998588889130104422200</v>
      </c>
      <c r="I29" s="429">
        <v>14.994985648234075464608014990</v>
      </c>
      <c r="J29" s="427">
        <v>0</v>
      </c>
      <c r="K29" s="428">
        <v>0.0086837591993574018192475500</v>
      </c>
      <c r="L29" s="429">
        <v>6.3030322761021631843276348700</v>
      </c>
      <c r="M29" s="427">
        <v>67.588210875882108758821087590</v>
      </c>
      <c r="N29" s="428">
        <v>84.41048129735362438399583180</v>
      </c>
      <c r="O29" s="429">
        <v>79.47865744059146063335429725</v>
      </c>
      <c r="P29" s="5"/>
      <c r="Q29" s="427">
        <v>75.216995592528904676152371180</v>
      </c>
      <c r="R29" s="428">
        <v>4.9302937833260402865172320600</v>
      </c>
      <c r="S29" s="429">
        <v>3.31540993367018588770923400</v>
      </c>
      <c r="T29" s="427">
        <v>51.326017997910770306440719960</v>
      </c>
      <c r="U29" s="428">
        <v>-8.947292833861594752899313240</v>
      </c>
      <c r="V29" s="429">
        <v>-2.8372631232873513996502285800</v>
      </c>
      <c r="W29" s="427">
        <v>-100</v>
      </c>
      <c r="X29" s="428">
        <v>-99.54802259887997803951588562</v>
      </c>
      <c r="Y29" s="429">
        <v>21.389720363192713496494843690</v>
      </c>
      <c r="Z29" s="427">
        <v>70.925216791275749300576486160</v>
      </c>
      <c r="AA29" s="428">
        <v>1.0215958927789218467955878400</v>
      </c>
      <c r="AB29" s="429">
        <v>3.3010559021016886859309954100</v>
      </c>
    </row>
    <row r="30" ht="18" customHeight="1">
      <c r="A30" s="58"/>
      <c r="B30" s="286">
        <v>2020</v>
      </c>
      <c r="C30" s="287"/>
      <c r="D30" s="271">
        <v>45.213611525086934923000496770</v>
      </c>
      <c r="E30" s="92">
        <v>49.763226858138048412740473790</v>
      </c>
      <c r="F30" s="272">
        <v>31.203786945204018015196607960</v>
      </c>
      <c r="G30" s="271">
        <v>4.1231992051664182811723795300</v>
      </c>
      <c r="H30" s="92">
        <v>4.9745431751769453004928719100</v>
      </c>
      <c r="I30" s="272">
        <v>8.068305742339274449535270860</v>
      </c>
      <c r="J30" s="271">
        <v>0</v>
      </c>
      <c r="K30" s="92">
        <v>0</v>
      </c>
      <c r="L30" s="272">
        <v>4.4489913680739641393109147900</v>
      </c>
      <c r="M30" s="271">
        <v>49.336810730253353204172876300</v>
      </c>
      <c r="N30" s="92">
        <v>54.737770033314993713233345700</v>
      </c>
      <c r="O30" s="272">
        <v>43.721084055617256604042793620</v>
      </c>
      <c r="P30" s="5"/>
      <c r="Q30" s="271">
        <v>-26.035861629825902477602968260</v>
      </c>
      <c r="R30" s="92">
        <v>-34.64550610807519385962604700</v>
      </c>
      <c r="S30" s="272">
        <v>-46.367404681995795219194999430</v>
      </c>
      <c r="T30" s="271">
        <v>-36.164608706733670529514760330</v>
      </c>
      <c r="U30" s="92">
        <v>-39.762780684051698925303855050</v>
      </c>
      <c r="V30" s="272">
        <v>-46.193308005547875229641122690</v>
      </c>
      <c r="W30" s="271">
        <v>0</v>
      </c>
      <c r="X30" s="92">
        <v>-100</v>
      </c>
      <c r="Y30" s="272">
        <v>-29.415062890542951708003315610</v>
      </c>
      <c r="Z30" s="271">
        <v>-27.003821981851820098190248650</v>
      </c>
      <c r="AA30" s="92">
        <v>-35.152875339663512907369129800</v>
      </c>
      <c r="AB30" s="272">
        <v>-44.990157781297321382218635590</v>
      </c>
    </row>
    <row r="31" ht="18" customHeight="1">
      <c r="A31" s="58"/>
      <c r="B31" s="425">
        <v>2021</v>
      </c>
      <c r="C31" s="426"/>
      <c r="D31" s="430">
        <v>80.38190120381901203819012038</v>
      </c>
      <c r="E31" s="431">
        <v>67.589122400347593184602628690</v>
      </c>
      <c r="F31" s="432">
        <v>55.056894445791646101668948400</v>
      </c>
      <c r="G31" s="430">
        <v>2.9887920298879202988792029900</v>
      </c>
      <c r="H31" s="431">
        <v>3.202171515254938837656397600</v>
      </c>
      <c r="I31" s="432">
        <v>6.3842815436408546895358939200</v>
      </c>
      <c r="J31" s="430">
        <v>0</v>
      </c>
      <c r="K31" s="431">
        <v>0.0099951435553967372591926100</v>
      </c>
      <c r="L31" s="432">
        <v>5.3256966542666379351388216700</v>
      </c>
      <c r="M31" s="430">
        <v>83.37069323370693233706932337</v>
      </c>
      <c r="N31" s="431">
        <v>70.801289059157928759518218890</v>
      </c>
      <c r="O31" s="432">
        <v>66.766872643699138726343663990</v>
      </c>
      <c r="P31" s="184"/>
      <c r="Q31" s="430">
        <v>77.782527191387039969483467050</v>
      </c>
      <c r="R31" s="431">
        <v>35.821422097642886264505885640</v>
      </c>
      <c r="S31" s="432">
        <v>76.442989251536693964457124040</v>
      </c>
      <c r="T31" s="430">
        <v>-27.512790890176117972462714760</v>
      </c>
      <c r="U31" s="431">
        <v>-35.628832588709082762482692380</v>
      </c>
      <c r="V31" s="432">
        <v>-20.872092015926595192434965790</v>
      </c>
      <c r="W31" s="430">
        <v>0</v>
      </c>
      <c r="X31" s="431">
        <v>0</v>
      </c>
      <c r="Y31" s="432">
        <v>19.705708859153089421765508370</v>
      </c>
      <c r="Z31" s="430">
        <v>68.982737229314182152003445530</v>
      </c>
      <c r="AA31" s="431">
        <v>29.346316110586173851607442170</v>
      </c>
      <c r="AB31" s="432">
        <v>52.710926743700735912325629490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2019</v>
      </c>
      <c r="C34" s="285"/>
      <c r="D34" s="427">
        <v>70.619235836627140974967061920</v>
      </c>
      <c r="E34" s="428">
        <v>76.527940467167367188038310480</v>
      </c>
      <c r="F34" s="429">
        <v>60.290427424438425563082537620</v>
      </c>
      <c r="G34" s="427">
        <v>4.9901185770750988142292490100</v>
      </c>
      <c r="H34" s="428">
        <v>8.547509129745745193964032250</v>
      </c>
      <c r="I34" s="429">
        <v>13.567353280314057872546380480</v>
      </c>
      <c r="J34" s="427">
        <v>0</v>
      </c>
      <c r="K34" s="428">
        <v>0</v>
      </c>
      <c r="L34" s="429">
        <v>6.1287718974620454762763206600</v>
      </c>
      <c r="M34" s="427">
        <v>75.609354413702239789196310940</v>
      </c>
      <c r="N34" s="428">
        <v>85.07544959691311238200234273</v>
      </c>
      <c r="O34" s="429">
        <v>79.98655260221452891190523876</v>
      </c>
      <c r="P34" s="5"/>
      <c r="Q34" s="427">
        <v>75.881870385628306530252164900</v>
      </c>
      <c r="R34" s="428">
        <v>2.6977045238973762077101566600</v>
      </c>
      <c r="S34" s="429">
        <v>7.7690484835533320647296526800</v>
      </c>
      <c r="T34" s="427">
        <v>-28.873239436824082523308280130</v>
      </c>
      <c r="U34" s="428">
        <v>-4.9607354914493150754279051500</v>
      </c>
      <c r="V34" s="429">
        <v>2.0616401990960430689401060400</v>
      </c>
      <c r="W34" s="427">
        <v>0</v>
      </c>
      <c r="X34" s="428">
        <v>-100</v>
      </c>
      <c r="Y34" s="429">
        <v>25.403422780760029258749735310</v>
      </c>
      <c r="Z34" s="427">
        <v>60.300279329591923434037641090</v>
      </c>
      <c r="AA34" s="428">
        <v>1.8687347882249060521192526100</v>
      </c>
      <c r="AB34" s="429">
        <v>7.9081823263132132161535022700</v>
      </c>
    </row>
    <row r="35" ht="18" customHeight="1">
      <c r="A35" s="58"/>
      <c r="B35" s="286">
        <v>2020</v>
      </c>
      <c r="C35" s="287"/>
      <c r="D35" s="271">
        <v>57.147562582345191040843214760</v>
      </c>
      <c r="E35" s="92">
        <v>56.825546853902241425870915470</v>
      </c>
      <c r="F35" s="272">
        <v>35.668586183873097979712514890</v>
      </c>
      <c r="G35" s="271">
        <v>1.7374835309617918313570487500</v>
      </c>
      <c r="H35" s="92">
        <v>0.6863804122783328832478170900</v>
      </c>
      <c r="I35" s="272">
        <v>2.0659664523132073370536151500</v>
      </c>
      <c r="J35" s="271">
        <v>0</v>
      </c>
      <c r="K35" s="92">
        <v>0</v>
      </c>
      <c r="L35" s="272">
        <v>3.8027146865955649544814968100</v>
      </c>
      <c r="M35" s="271">
        <v>58.885046113306982872200263500</v>
      </c>
      <c r="N35" s="92">
        <v>57.511927266180574309118732560</v>
      </c>
      <c r="O35" s="272">
        <v>41.537267322781870271247626860</v>
      </c>
      <c r="P35" s="5"/>
      <c r="Q35" s="271">
        <v>-19.076492537282331637057239100</v>
      </c>
      <c r="R35" s="92">
        <v>-25.745359790183085595135199810</v>
      </c>
      <c r="S35" s="272">
        <v>-40.838723977203474543373094950</v>
      </c>
      <c r="T35" s="271">
        <v>-65.181518151988929189947830790</v>
      </c>
      <c r="U35" s="92">
        <v>-91.96981948936013099315944577</v>
      </c>
      <c r="V35" s="272">
        <v>-84.77251671987474857577203595</v>
      </c>
      <c r="W35" s="271">
        <v>0</v>
      </c>
      <c r="X35" s="92">
        <v>0</v>
      </c>
      <c r="Y35" s="272">
        <v>-37.953071998865904040092449700</v>
      </c>
      <c r="Z35" s="271">
        <v>-22.119363972988326777063891620</v>
      </c>
      <c r="AA35" s="92">
        <v>-32.398914682578171230776770120</v>
      </c>
      <c r="AB35" s="272">
        <v>-48.069686751771067853489924810</v>
      </c>
    </row>
    <row r="36" ht="18" customHeight="1">
      <c r="A36" s="58"/>
      <c r="B36" s="425">
        <v>2021</v>
      </c>
      <c r="C36" s="426"/>
      <c r="D36" s="430">
        <v>78.409090909090909090909090910</v>
      </c>
      <c r="E36" s="431">
        <v>61.555245388953502717146844890</v>
      </c>
      <c r="F36" s="432">
        <v>55.288253645891245898210131490</v>
      </c>
      <c r="G36" s="430">
        <v>5.3689064558629776021080368900</v>
      </c>
      <c r="H36" s="431">
        <v>5.8894104666234679649138507700</v>
      </c>
      <c r="I36" s="432">
        <v>8.768586035756044698032151470</v>
      </c>
      <c r="J36" s="430">
        <v>0</v>
      </c>
      <c r="K36" s="431">
        <v>0.036223356164226864966107900</v>
      </c>
      <c r="L36" s="432">
        <v>6.7789847832576478229852669600</v>
      </c>
      <c r="M36" s="430">
        <v>83.77799736495388669301712780</v>
      </c>
      <c r="N36" s="431">
        <v>67.480879211741197547026803550</v>
      </c>
      <c r="O36" s="432">
        <v>70.835824464904938419227549920</v>
      </c>
      <c r="P36" s="184"/>
      <c r="Q36" s="430">
        <v>37.204610951117143934423592350</v>
      </c>
      <c r="R36" s="431">
        <v>8.323190531212456403188241540</v>
      </c>
      <c r="S36" s="432">
        <v>55.005453148146151795222155260</v>
      </c>
      <c r="T36" s="430">
        <v>209.00473932969771568488247674</v>
      </c>
      <c r="U36" s="431">
        <v>758.03883110366958892801882627</v>
      </c>
      <c r="V36" s="432">
        <v>324.43022373350494400146419406</v>
      </c>
      <c r="W36" s="430">
        <v>0</v>
      </c>
      <c r="X36" s="431">
        <v>0</v>
      </c>
      <c r="Y36" s="432">
        <v>78.266984034995412189998166140</v>
      </c>
      <c r="Z36" s="430">
        <v>42.273807859057565122229685470</v>
      </c>
      <c r="AA36" s="431">
        <v>17.333712187037057035376605830</v>
      </c>
      <c r="AB36" s="432">
        <v>70.535591362850255651020382920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2019</v>
      </c>
      <c r="C39" s="285"/>
      <c r="D39" s="427">
        <v>61.129099211290992112909921130</v>
      </c>
      <c r="E39" s="428">
        <v>76.143542539565377852072162040</v>
      </c>
      <c r="F39" s="429">
        <v>58.180639516255221984418647390</v>
      </c>
      <c r="G39" s="427">
        <v>6.4591116645911166459111664600</v>
      </c>
      <c r="H39" s="428">
        <v>8.258254998588889130104422200</v>
      </c>
      <c r="I39" s="429">
        <v>14.994985648234075464608014990</v>
      </c>
      <c r="J39" s="427">
        <v>0</v>
      </c>
      <c r="K39" s="428">
        <v>0.0086837591993574018192475500</v>
      </c>
      <c r="L39" s="429">
        <v>6.3030322761021631843276348700</v>
      </c>
      <c r="M39" s="427">
        <v>67.588210875882108758821087590</v>
      </c>
      <c r="N39" s="428">
        <v>84.41048129735362438399583180</v>
      </c>
      <c r="O39" s="429">
        <v>79.47865744059146063335429725</v>
      </c>
      <c r="P39" s="5"/>
      <c r="Q39" s="427">
        <v>75.216995592528904676152371180</v>
      </c>
      <c r="R39" s="428">
        <v>4.9302937833260402865172320600</v>
      </c>
      <c r="S39" s="429">
        <v>3.31540993367018588770923400</v>
      </c>
      <c r="T39" s="427">
        <v>51.326017997910770306440719960</v>
      </c>
      <c r="U39" s="428">
        <v>-8.947292833861594752899313240</v>
      </c>
      <c r="V39" s="429">
        <v>-2.8372631232873513996502285800</v>
      </c>
      <c r="W39" s="427">
        <v>-100</v>
      </c>
      <c r="X39" s="428">
        <v>-99.54802259887997803951588562</v>
      </c>
      <c r="Y39" s="429">
        <v>21.389720363192713496494843690</v>
      </c>
      <c r="Z39" s="427">
        <v>70.925216791275749300576486160</v>
      </c>
      <c r="AA39" s="428">
        <v>1.0215958927789218467955878400</v>
      </c>
      <c r="AB39" s="429">
        <v>3.3010559021016886859309954100</v>
      </c>
    </row>
    <row r="40" ht="18" customHeight="1">
      <c r="A40" s="58"/>
      <c r="B40" s="286">
        <v>2020</v>
      </c>
      <c r="C40" s="287"/>
      <c r="D40" s="271">
        <v>45.213611525086934923000496770</v>
      </c>
      <c r="E40" s="92">
        <v>49.763226858138048412740473790</v>
      </c>
      <c r="F40" s="272">
        <v>31.203786945204018015196607960</v>
      </c>
      <c r="G40" s="271">
        <v>4.1231992051664182811723795300</v>
      </c>
      <c r="H40" s="92">
        <v>4.9745431751769453004928719100</v>
      </c>
      <c r="I40" s="272">
        <v>8.068305742339274449535270860</v>
      </c>
      <c r="J40" s="271">
        <v>0</v>
      </c>
      <c r="K40" s="92">
        <v>0</v>
      </c>
      <c r="L40" s="272">
        <v>4.4489913680739641393109147900</v>
      </c>
      <c r="M40" s="271">
        <v>49.336810730253353204172876300</v>
      </c>
      <c r="N40" s="92">
        <v>54.737770033314993713233345700</v>
      </c>
      <c r="O40" s="272">
        <v>43.721084055617256604042793620</v>
      </c>
      <c r="P40" s="5"/>
      <c r="Q40" s="271">
        <v>-26.035861629825902477602968260</v>
      </c>
      <c r="R40" s="92">
        <v>-34.64550610807519385962604700</v>
      </c>
      <c r="S40" s="272">
        <v>-46.367404681995795219194999430</v>
      </c>
      <c r="T40" s="271">
        <v>-36.164608706733670529514760330</v>
      </c>
      <c r="U40" s="92">
        <v>-39.762780684051698925303855050</v>
      </c>
      <c r="V40" s="272">
        <v>-46.193308005547875229641122690</v>
      </c>
      <c r="W40" s="271">
        <v>0</v>
      </c>
      <c r="X40" s="92">
        <v>-100</v>
      </c>
      <c r="Y40" s="272">
        <v>-29.415062890542951708003315610</v>
      </c>
      <c r="Z40" s="271">
        <v>-27.003821981851820098190248650</v>
      </c>
      <c r="AA40" s="92">
        <v>-35.152875339663512907369129800</v>
      </c>
      <c r="AB40" s="272">
        <v>-44.990157781297321382218635590</v>
      </c>
    </row>
    <row r="41" ht="18" customHeight="1">
      <c r="A41" s="58"/>
      <c r="B41" s="425">
        <v>2021</v>
      </c>
      <c r="C41" s="426"/>
      <c r="D41" s="430">
        <v>80.38190120381901203819012038</v>
      </c>
      <c r="E41" s="431">
        <v>67.589122400347593184602628690</v>
      </c>
      <c r="F41" s="432">
        <v>55.056894445791646101668948400</v>
      </c>
      <c r="G41" s="430">
        <v>2.9887920298879202988792029900</v>
      </c>
      <c r="H41" s="431">
        <v>3.202171515254938837656397600</v>
      </c>
      <c r="I41" s="432">
        <v>6.3842815436408546895358939200</v>
      </c>
      <c r="J41" s="430">
        <v>0</v>
      </c>
      <c r="K41" s="431">
        <v>0.0099951435553967372591926100</v>
      </c>
      <c r="L41" s="432">
        <v>5.3256966542666379351388216700</v>
      </c>
      <c r="M41" s="430">
        <v>83.37069323370693233706932337</v>
      </c>
      <c r="N41" s="431">
        <v>70.801289059157928759518218890</v>
      </c>
      <c r="O41" s="432">
        <v>66.766872643699138726343663990</v>
      </c>
      <c r="P41" s="184"/>
      <c r="Q41" s="430">
        <v>77.782527191387039969483467050</v>
      </c>
      <c r="R41" s="431">
        <v>35.821422097642886264505885640</v>
      </c>
      <c r="S41" s="432">
        <v>76.442989251536693964457124040</v>
      </c>
      <c r="T41" s="430">
        <v>-27.512790890176117972462714760</v>
      </c>
      <c r="U41" s="431">
        <v>-35.628832588709082762482692380</v>
      </c>
      <c r="V41" s="432">
        <v>-20.872092015926595192434965790</v>
      </c>
      <c r="W41" s="430">
        <v>0</v>
      </c>
      <c r="X41" s="431">
        <v>0</v>
      </c>
      <c r="Y41" s="432">
        <v>19.705708859153089421765508370</v>
      </c>
      <c r="Z41" s="430">
        <v>68.982737229314182152003445530</v>
      </c>
      <c r="AA41" s="431">
        <v>29.346316110586173851607442170</v>
      </c>
      <c r="AB41" s="432">
        <v>52.710926743700735912325629490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10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181</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303</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2020</v>
      </c>
      <c r="C9" s="285" t="s">
        <v>218</v>
      </c>
      <c r="D9" s="434">
        <v>137.33955223880597014925373134</v>
      </c>
      <c r="E9" s="435">
        <v>124.91655570350643586329338657</v>
      </c>
      <c r="F9" s="436">
        <v>120.24854570642066551972131907</v>
      </c>
      <c r="G9" s="434">
        <v>0</v>
      </c>
      <c r="H9" s="435">
        <v>0</v>
      </c>
      <c r="I9" s="436">
        <v>97.87920029974823215842728008</v>
      </c>
      <c r="J9" s="434">
        <v>0</v>
      </c>
      <c r="K9" s="435">
        <v>0</v>
      </c>
      <c r="L9" s="436">
        <v>88.61808826918845733975241444</v>
      </c>
      <c r="M9" s="434">
        <v>137.33955223880597014925373134</v>
      </c>
      <c r="N9" s="435">
        <v>124.91655570350643586329338657</v>
      </c>
      <c r="O9" s="436">
        <v>112.91588785046728971962616822</v>
      </c>
      <c r="P9" s="5"/>
      <c r="Q9" s="415">
        <v>-12.713926254254958883656618800</v>
      </c>
      <c r="R9" s="416">
        <v>-23.808116750509322572593238720</v>
      </c>
      <c r="S9" s="417">
        <v>-19.236052990721889808415680850</v>
      </c>
      <c r="T9" s="415">
        <v>-100</v>
      </c>
      <c r="U9" s="416">
        <v>-100</v>
      </c>
      <c r="V9" s="417">
        <v>-26.297042895885761271176820100</v>
      </c>
      <c r="W9" s="415">
        <v>0</v>
      </c>
      <c r="X9" s="416">
        <v>0</v>
      </c>
      <c r="Y9" s="417">
        <v>-23.697361996816112795863815090</v>
      </c>
      <c r="Z9" s="415">
        <v>-12.777911134788879084378639770</v>
      </c>
      <c r="AA9" s="416">
        <v>-24.442484264193335128575138820</v>
      </c>
      <c r="AB9" s="417">
        <v>-21.241519568444252921197763550</v>
      </c>
    </row>
    <row r="10" ht="18" customHeight="1">
      <c r="A10" s="58"/>
      <c r="B10" s="286"/>
      <c r="C10" s="287" t="s">
        <v>219</v>
      </c>
      <c r="D10" s="276">
        <v>110.25358851674641148325358852</v>
      </c>
      <c r="E10" s="94">
        <v>103.23243102550754815200416449</v>
      </c>
      <c r="F10" s="277">
        <v>117.7523798021587226592754897</v>
      </c>
      <c r="G10" s="276">
        <v>0</v>
      </c>
      <c r="H10" s="94">
        <v>0</v>
      </c>
      <c r="I10" s="277">
        <v>98.90901793628866243673148227</v>
      </c>
      <c r="J10" s="276">
        <v>0</v>
      </c>
      <c r="K10" s="94">
        <v>0</v>
      </c>
      <c r="L10" s="277">
        <v>87.65158046967821802003917823</v>
      </c>
      <c r="M10" s="276">
        <v>110.25358851674641148325358852</v>
      </c>
      <c r="N10" s="94">
        <v>103.23243102550754815200416449</v>
      </c>
      <c r="O10" s="277">
        <v>109.77488230223459982759763941</v>
      </c>
      <c r="P10" s="5"/>
      <c r="Q10" s="271">
        <v>-18.804029898001120978197701310</v>
      </c>
      <c r="R10" s="92">
        <v>-30.474053846387375049456679070</v>
      </c>
      <c r="S10" s="272">
        <v>-14.784232943742753067563400590</v>
      </c>
      <c r="T10" s="271">
        <v>-100</v>
      </c>
      <c r="U10" s="92">
        <v>-100</v>
      </c>
      <c r="V10" s="272">
        <v>-26.695112392914191894489180470</v>
      </c>
      <c r="W10" s="271">
        <v>0</v>
      </c>
      <c r="X10" s="92">
        <v>0</v>
      </c>
      <c r="Y10" s="272">
        <v>-26.733158688220661934526508330</v>
      </c>
      <c r="Z10" s="271">
        <v>-18.810593485602468349968749560</v>
      </c>
      <c r="AA10" s="92">
        <v>-30.580448521034715515016937090</v>
      </c>
      <c r="AB10" s="272">
        <v>-19.46350305623297467379647100</v>
      </c>
    </row>
    <row r="11" ht="18" customHeight="1">
      <c r="A11" s="58"/>
      <c r="B11" s="288"/>
      <c r="C11" s="289" t="s">
        <v>220</v>
      </c>
      <c r="D11" s="439">
        <v>112.30937167199148029818956337</v>
      </c>
      <c r="E11" s="95">
        <v>124.29287814439725579875857563</v>
      </c>
      <c r="F11" s="440">
        <v>118.56219391626496515442769799</v>
      </c>
      <c r="G11" s="439">
        <v>0</v>
      </c>
      <c r="H11" s="95">
        <v>134.18750000000000000000000</v>
      </c>
      <c r="I11" s="440">
        <v>96.18638465349470749773841775</v>
      </c>
      <c r="J11" s="439">
        <v>0</v>
      </c>
      <c r="K11" s="95">
        <v>0</v>
      </c>
      <c r="L11" s="440">
        <v>85.79803649339338363183061235</v>
      </c>
      <c r="M11" s="439">
        <v>112.30937167199148029818956337</v>
      </c>
      <c r="N11" s="95">
        <v>124.3186705767350928641251222</v>
      </c>
      <c r="O11" s="440">
        <v>114.90197827144478676828279552</v>
      </c>
      <c r="P11" s="5"/>
      <c r="Q11" s="420">
        <v>-9.492216101109641851042836280</v>
      </c>
      <c r="R11" s="91">
        <v>-7.0790429480756576230533261800</v>
      </c>
      <c r="S11" s="421">
        <v>-12.128882245642992118997045510</v>
      </c>
      <c r="T11" s="420">
        <v>-100</v>
      </c>
      <c r="U11" s="91">
        <v>-11.181314858262544906064331520</v>
      </c>
      <c r="V11" s="421">
        <v>-31.614122471752353277438230800</v>
      </c>
      <c r="W11" s="420">
        <v>0</v>
      </c>
      <c r="X11" s="91">
        <v>0</v>
      </c>
      <c r="Y11" s="421">
        <v>-26.484777423217497756233759860</v>
      </c>
      <c r="Z11" s="420">
        <v>-9.261080772852987257930738320</v>
      </c>
      <c r="AA11" s="91">
        <v>-7.7219734598496942667989761500</v>
      </c>
      <c r="AB11" s="421">
        <v>-14.445012144246645265856050790</v>
      </c>
    </row>
    <row r="12" ht="18" customHeight="1">
      <c r="A12" s="58"/>
      <c r="B12" s="286"/>
      <c r="C12" s="287" t="s">
        <v>221</v>
      </c>
      <c r="D12" s="276">
        <v>118.99476937708036138849262958</v>
      </c>
      <c r="E12" s="94">
        <v>128.84870689655172413793103448</v>
      </c>
      <c r="F12" s="277">
        <v>122.28992704178265175332001573</v>
      </c>
      <c r="G12" s="276">
        <v>128</v>
      </c>
      <c r="H12" s="94">
        <v>146</v>
      </c>
      <c r="I12" s="277">
        <v>105.74987100124276187682015302</v>
      </c>
      <c r="J12" s="276">
        <v>0</v>
      </c>
      <c r="K12" s="94">
        <v>0</v>
      </c>
      <c r="L12" s="277">
        <v>92.23484975622747952557626476</v>
      </c>
      <c r="M12" s="276">
        <v>119.25265588914549653579676674</v>
      </c>
      <c r="N12" s="94">
        <v>128.85117080879184025283723603</v>
      </c>
      <c r="O12" s="277">
        <v>118.20231662195323526046103574</v>
      </c>
      <c r="P12" s="5"/>
      <c r="Q12" s="271">
        <v>-17.944503036282542642081259380</v>
      </c>
      <c r="R12" s="92">
        <v>-14.589582585737610366789541220</v>
      </c>
      <c r="S12" s="272">
        <v>-21.384335774735755476540239270</v>
      </c>
      <c r="T12" s="271">
        <v>0</v>
      </c>
      <c r="U12" s="92">
        <v>-16.065673592399093645508948040</v>
      </c>
      <c r="V12" s="272">
        <v>-39.300219506507710289963473250</v>
      </c>
      <c r="W12" s="271">
        <v>0</v>
      </c>
      <c r="X12" s="92">
        <v>0</v>
      </c>
      <c r="Y12" s="272">
        <v>-23.107599544411622680787461920</v>
      </c>
      <c r="Z12" s="271">
        <v>-17.032278935931160348737112620</v>
      </c>
      <c r="AA12" s="92">
        <v>-15.689308782595720996213757850</v>
      </c>
      <c r="AB12" s="272">
        <v>-24.384675520797153959161471180</v>
      </c>
    </row>
    <row r="13" ht="18" customHeight="1">
      <c r="A13" s="58"/>
      <c r="B13" s="288"/>
      <c r="C13" s="289" t="s">
        <v>222</v>
      </c>
      <c r="D13" s="439">
        <v>126.55467196819085487077534791</v>
      </c>
      <c r="E13" s="95">
        <v>125.62898889538281706604324958</v>
      </c>
      <c r="F13" s="440">
        <v>121.06846928830906488731300875</v>
      </c>
      <c r="G13" s="439">
        <v>115.90243902439024390243902439</v>
      </c>
      <c r="H13" s="95">
        <v>171.00000000000000000000000002</v>
      </c>
      <c r="I13" s="440">
        <v>112.2132263178985352367088974</v>
      </c>
      <c r="J13" s="439">
        <v>0</v>
      </c>
      <c r="K13" s="95">
        <v>0</v>
      </c>
      <c r="L13" s="440">
        <v>93.54533565493716988739335077</v>
      </c>
      <c r="M13" s="439">
        <v>126.34193862640038967364831953</v>
      </c>
      <c r="N13" s="95">
        <v>125.98155880306193458594293669</v>
      </c>
      <c r="O13" s="440">
        <v>117.9781393044216884526449908</v>
      </c>
      <c r="P13" s="5"/>
      <c r="Q13" s="420">
        <v>-25.969296002734196687807201490</v>
      </c>
      <c r="R13" s="91">
        <v>-29.146154040282316535412311660</v>
      </c>
      <c r="S13" s="421">
        <v>-29.432983817599243475262549610</v>
      </c>
      <c r="T13" s="420">
        <v>-25.695819868655001607214962420</v>
      </c>
      <c r="U13" s="91">
        <v>-12.706161110575432794912728790</v>
      </c>
      <c r="V13" s="421">
        <v>-39.270072435853176816331413760</v>
      </c>
      <c r="W13" s="420">
        <v>0</v>
      </c>
      <c r="X13" s="91">
        <v>0</v>
      </c>
      <c r="Y13" s="421">
        <v>-24.068791042219233218504901610</v>
      </c>
      <c r="Z13" s="420">
        <v>-25.553202232646594983966306910</v>
      </c>
      <c r="AA13" s="91">
        <v>-29.846544754773917631945125960</v>
      </c>
      <c r="AB13" s="421">
        <v>-30.913718916519196658100848170</v>
      </c>
    </row>
    <row r="14" ht="18" customHeight="1">
      <c r="A14" s="58"/>
      <c r="B14" s="286"/>
      <c r="C14" s="287" t="s">
        <v>223</v>
      </c>
      <c r="D14" s="276">
        <v>161.70017699115044247787610619</v>
      </c>
      <c r="E14" s="94">
        <v>177.22935497124075595727198028</v>
      </c>
      <c r="F14" s="277">
        <v>155.77302274160828012880947423</v>
      </c>
      <c r="G14" s="276">
        <v>256.99074074074074074074074074</v>
      </c>
      <c r="H14" s="94">
        <v>204.65400843881856540084388186</v>
      </c>
      <c r="I14" s="277">
        <v>148.47676613056559907416586711</v>
      </c>
      <c r="J14" s="276">
        <v>0</v>
      </c>
      <c r="K14" s="94">
        <v>0</v>
      </c>
      <c r="L14" s="277">
        <v>96.2905976627698932521550549</v>
      </c>
      <c r="M14" s="276">
        <v>165.20900102284350494374360723</v>
      </c>
      <c r="N14" s="94">
        <v>177.88107891306527624586383235</v>
      </c>
      <c r="O14" s="277">
        <v>150.38418177760960891036275965</v>
      </c>
      <c r="P14" s="5"/>
      <c r="Q14" s="271">
        <v>-36.019318152043647308711505070</v>
      </c>
      <c r="R14" s="92">
        <v>-39.082052203702079259477550110</v>
      </c>
      <c r="S14" s="272">
        <v>-30.100340459250489389506818810</v>
      </c>
      <c r="T14" s="271">
        <v>25.333546803259653310313981370</v>
      </c>
      <c r="U14" s="92">
        <v>-23.660025759646620574229191820</v>
      </c>
      <c r="V14" s="272">
        <v>-30.174055169319453064525501770</v>
      </c>
      <c r="W14" s="271">
        <v>0</v>
      </c>
      <c r="X14" s="92">
        <v>0</v>
      </c>
      <c r="Y14" s="272">
        <v>-23.133911120590178846608551760</v>
      </c>
      <c r="Z14" s="271">
        <v>-34.081338107853217295269365600</v>
      </c>
      <c r="AA14" s="92">
        <v>-38.411044588654464181722994810</v>
      </c>
      <c r="AB14" s="272">
        <v>-29.796356626057946116237446690</v>
      </c>
    </row>
    <row r="15" ht="18" customHeight="1">
      <c r="A15" s="58"/>
      <c r="B15" s="288">
        <v>2021</v>
      </c>
      <c r="C15" s="289" t="s">
        <v>227</v>
      </c>
      <c r="D15" s="439">
        <v>166.22154294032023289665211063</v>
      </c>
      <c r="E15" s="95">
        <v>182.93008503355693930985097104</v>
      </c>
      <c r="F15" s="440">
        <v>167.87055108290027224233448511</v>
      </c>
      <c r="G15" s="439">
        <v>254.32758620689655172413793103</v>
      </c>
      <c r="H15" s="95">
        <v>239.42628189711375180386587609</v>
      </c>
      <c r="I15" s="440">
        <v>132.47729210411567885231419212</v>
      </c>
      <c r="J15" s="439">
        <v>0</v>
      </c>
      <c r="K15" s="95">
        <v>0</v>
      </c>
      <c r="L15" s="440">
        <v>93.52892972329498967878054143</v>
      </c>
      <c r="M15" s="439">
        <v>167.68451188090466647580876038</v>
      </c>
      <c r="N15" s="95">
        <v>184.34108457711442786069651741</v>
      </c>
      <c r="O15" s="440">
        <v>160.04238945892079427179449325</v>
      </c>
      <c r="P15" s="5"/>
      <c r="Q15" s="420">
        <v>-40.726211922025037641439165100</v>
      </c>
      <c r="R15" s="91">
        <v>-36.320601073580699095762805970</v>
      </c>
      <c r="S15" s="421">
        <v>-31.573126132731739278208688020</v>
      </c>
      <c r="T15" s="420">
        <v>-37.866365373042055363906257390</v>
      </c>
      <c r="U15" s="91">
        <v>-30.165899473809672480171332030</v>
      </c>
      <c r="V15" s="421">
        <v>-55.619941794976381818658923220</v>
      </c>
      <c r="W15" s="420">
        <v>0</v>
      </c>
      <c r="X15" s="91">
        <v>0</v>
      </c>
      <c r="Y15" s="421">
        <v>-28.690287712763265878290278830</v>
      </c>
      <c r="Z15" s="420">
        <v>-46.116208887631862448077234380</v>
      </c>
      <c r="AA15" s="91">
        <v>-38.383846519955655874364739830</v>
      </c>
      <c r="AB15" s="421">
        <v>-36.824292283529379111811149840</v>
      </c>
    </row>
    <row r="16" ht="18" customHeight="1">
      <c r="A16" s="58"/>
      <c r="B16" s="286"/>
      <c r="C16" s="287" t="s">
        <v>230</v>
      </c>
      <c r="D16" s="276">
        <v>202.21725919173503494378608326</v>
      </c>
      <c r="E16" s="94">
        <v>211.77727033198665027226418409</v>
      </c>
      <c r="F16" s="277">
        <v>184.92738209369158374203807737</v>
      </c>
      <c r="G16" s="276">
        <v>248.67073170731707317073170732</v>
      </c>
      <c r="H16" s="94">
        <v>202.97590361445783132530120482</v>
      </c>
      <c r="I16" s="277">
        <v>140.41428932338854429129581381</v>
      </c>
      <c r="J16" s="276">
        <v>0</v>
      </c>
      <c r="K16" s="94">
        <v>0</v>
      </c>
      <c r="L16" s="277">
        <v>89.32132906852792478352951704</v>
      </c>
      <c r="M16" s="276">
        <v>203.34657574859175807886154758</v>
      </c>
      <c r="N16" s="94">
        <v>211.58891276321443919209282338</v>
      </c>
      <c r="O16" s="277">
        <v>174.25481867422477214909432607</v>
      </c>
      <c r="P16" s="5"/>
      <c r="Q16" s="271">
        <v>-38.822404384285116483740802510</v>
      </c>
      <c r="R16" s="92">
        <v>-34.825404664464215178840039620</v>
      </c>
      <c r="S16" s="272">
        <v>-34.422252218642391385852638460</v>
      </c>
      <c r="T16" s="271">
        <v>-29.996059471121869548114189840</v>
      </c>
      <c r="U16" s="92">
        <v>-47.796318960477940242635198250</v>
      </c>
      <c r="V16" s="272">
        <v>-53.945218362342850473355074850</v>
      </c>
      <c r="W16" s="271">
        <v>0</v>
      </c>
      <c r="X16" s="92">
        <v>0</v>
      </c>
      <c r="Y16" s="272">
        <v>-33.007417980937660878133092220</v>
      </c>
      <c r="Z16" s="271">
        <v>-39.284651729521294181115037140</v>
      </c>
      <c r="AA16" s="92">
        <v>-36.951616388661150588819537150</v>
      </c>
      <c r="AB16" s="272">
        <v>-37.477797149246269448539033610</v>
      </c>
    </row>
    <row r="17" ht="18" customHeight="1">
      <c r="A17" s="58"/>
      <c r="B17" s="288"/>
      <c r="C17" s="289" t="s">
        <v>231</v>
      </c>
      <c r="D17" s="439">
        <v>235.95958207313720098982678031</v>
      </c>
      <c r="E17" s="95">
        <v>265.34668900706636555693159467</v>
      </c>
      <c r="F17" s="440">
        <v>212.7795264340716941361884478</v>
      </c>
      <c r="G17" s="439">
        <v>296.42857142857142857142857143</v>
      </c>
      <c r="H17" s="95">
        <v>233.83152173913043478260869565</v>
      </c>
      <c r="I17" s="440">
        <v>181.48168145853884251350993199</v>
      </c>
      <c r="J17" s="439">
        <v>0</v>
      </c>
      <c r="K17" s="95">
        <v>0</v>
      </c>
      <c r="L17" s="440">
        <v>94.47076616106755002616639611</v>
      </c>
      <c r="M17" s="439">
        <v>236.42155525238744884038199181</v>
      </c>
      <c r="N17" s="95">
        <v>264.92983969520523326863633095</v>
      </c>
      <c r="O17" s="440">
        <v>203.10052439894369281986458242</v>
      </c>
      <c r="P17" s="5"/>
      <c r="Q17" s="420">
        <v>5.84108079450654515024062700</v>
      </c>
      <c r="R17" s="91">
        <v>5.191944483868836449637922700</v>
      </c>
      <c r="S17" s="421">
        <v>-1.9136160005946741935299030500</v>
      </c>
      <c r="T17" s="420">
        <v>-13.728588059205055712622650920</v>
      </c>
      <c r="U17" s="91">
        <v>-15.057829340207979015966793820</v>
      </c>
      <c r="V17" s="421">
        <v>-18.222110431749720065695426600</v>
      </c>
      <c r="W17" s="420">
        <v>0</v>
      </c>
      <c r="X17" s="91">
        <v>0</v>
      </c>
      <c r="Y17" s="421">
        <v>-19.333702081222017390539574270</v>
      </c>
      <c r="Z17" s="420">
        <v>5.8718794580687135096387704100</v>
      </c>
      <c r="AA17" s="91">
        <v>4.3150652902973028350434512900</v>
      </c>
      <c r="AB17" s="421">
        <v>-0.7902443771276508398451603200</v>
      </c>
    </row>
    <row r="18" ht="18" customHeight="1">
      <c r="A18" s="58"/>
      <c r="B18" s="286"/>
      <c r="C18" s="287" t="s">
        <v>232</v>
      </c>
      <c r="D18" s="276">
        <v>244.20437057556171129578331794</v>
      </c>
      <c r="E18" s="94">
        <v>256.64444615503040566546070358</v>
      </c>
      <c r="F18" s="277">
        <v>215.74647179792130167294906231</v>
      </c>
      <c r="G18" s="276">
        <v>201.25308641975308641975308642</v>
      </c>
      <c r="H18" s="94">
        <v>257.93886462882096069868995635</v>
      </c>
      <c r="I18" s="277">
        <v>171.23565302416769336167537453</v>
      </c>
      <c r="J18" s="276">
        <v>0</v>
      </c>
      <c r="K18" s="94">
        <v>0</v>
      </c>
      <c r="L18" s="277">
        <v>93.86196552181050954089029542</v>
      </c>
      <c r="M18" s="276">
        <v>240.30954380072767982087881332</v>
      </c>
      <c r="N18" s="94">
        <v>256.66686838124054462934947053</v>
      </c>
      <c r="O18" s="277">
        <v>204.77525432636360223732122077</v>
      </c>
      <c r="P18" s="5"/>
      <c r="Q18" s="271"/>
      <c r="R18" s="92"/>
      <c r="S18" s="272">
        <v>147.42329968064593275955041306</v>
      </c>
      <c r="T18" s="271"/>
      <c r="U18" s="92"/>
      <c r="V18" s="272">
        <v>76.936392860647033990010979390</v>
      </c>
      <c r="W18" s="271"/>
      <c r="X18" s="92"/>
      <c r="Y18" s="272">
        <v>-12.423892677664408147784154670</v>
      </c>
      <c r="Z18" s="271"/>
      <c r="AA18" s="92"/>
      <c r="AB18" s="272">
        <v>107.77590196374288357528821139</v>
      </c>
    </row>
    <row r="19" ht="18" customHeight="1">
      <c r="A19" s="58"/>
      <c r="B19" s="288"/>
      <c r="C19" s="289" t="s">
        <v>233</v>
      </c>
      <c r="D19" s="439">
        <v>271.61619433198380566801619433</v>
      </c>
      <c r="E19" s="95">
        <v>279.05112531258682967490969714</v>
      </c>
      <c r="F19" s="440">
        <v>231.41833521720979299789444934</v>
      </c>
      <c r="G19" s="439">
        <v>180.64516129032258064516129032</v>
      </c>
      <c r="H19" s="95">
        <v>209.83121019108280254777070064</v>
      </c>
      <c r="I19" s="440">
        <v>165.82705773207790571045487979</v>
      </c>
      <c r="J19" s="439">
        <v>0</v>
      </c>
      <c r="K19" s="95">
        <v>0</v>
      </c>
      <c r="L19" s="440">
        <v>97.57336838049895288553132437</v>
      </c>
      <c r="M19" s="439">
        <v>270.11892752853729758428457659</v>
      </c>
      <c r="N19" s="95">
        <v>277.573555404486743711760707</v>
      </c>
      <c r="O19" s="440">
        <v>216.93938819707634001082837033</v>
      </c>
      <c r="P19" s="5"/>
      <c r="Q19" s="420"/>
      <c r="R19" s="91"/>
      <c r="S19" s="421">
        <v>186.67518461665795977397374054</v>
      </c>
      <c r="T19" s="420"/>
      <c r="U19" s="91"/>
      <c r="V19" s="421">
        <v>43.866247510908314836636715030</v>
      </c>
      <c r="W19" s="420"/>
      <c r="X19" s="91"/>
      <c r="Y19" s="421">
        <v>-0.0197516247224967827937699400</v>
      </c>
      <c r="Z19" s="420"/>
      <c r="AA19" s="91"/>
      <c r="AB19" s="421">
        <v>144.47994255610171961486947321</v>
      </c>
    </row>
    <row r="20" ht="18" customHeight="1">
      <c r="A20" s="58"/>
      <c r="B20" s="286"/>
      <c r="C20" s="287" t="s">
        <v>234</v>
      </c>
      <c r="D20" s="276">
        <v>229.37115438893593000282246684</v>
      </c>
      <c r="E20" s="94">
        <v>247.91786295693355039218588133</v>
      </c>
      <c r="F20" s="277">
        <v>218.27940602998124258492421341</v>
      </c>
      <c r="G20" s="276">
        <v>259.78048780487804878048780488</v>
      </c>
      <c r="H20" s="94">
        <v>234.78703703703703703703703706</v>
      </c>
      <c r="I20" s="277">
        <v>166.08743212641828710026287588</v>
      </c>
      <c r="J20" s="276">
        <v>0</v>
      </c>
      <c r="K20" s="94">
        <v>0</v>
      </c>
      <c r="L20" s="277">
        <v>101.00027573793497439592722308</v>
      </c>
      <c r="M20" s="276">
        <v>230.05903448275862068965517241</v>
      </c>
      <c r="N20" s="94">
        <v>247.71128914785142024763292064</v>
      </c>
      <c r="O20" s="277">
        <v>203.70302102587800369685767098</v>
      </c>
      <c r="P20" s="5"/>
      <c r="Q20" s="271">
        <v>83.26210298924084784091586984</v>
      </c>
      <c r="R20" s="92">
        <v>113.87763504837478875167652946</v>
      </c>
      <c r="S20" s="272">
        <v>80.81493264675334821102617190</v>
      </c>
      <c r="T20" s="271">
        <v>0</v>
      </c>
      <c r="U20" s="92">
        <v>0</v>
      </c>
      <c r="V20" s="272">
        <v>51.441810339812485327803193760</v>
      </c>
      <c r="W20" s="271">
        <v>0</v>
      </c>
      <c r="X20" s="92">
        <v>0</v>
      </c>
      <c r="Y20" s="272">
        <v>4.1668029170504400208997563800</v>
      </c>
      <c r="Z20" s="271">
        <v>83.81170284164697676533084190</v>
      </c>
      <c r="AA20" s="92">
        <v>113.69942474427461439055638719</v>
      </c>
      <c r="AB20" s="272">
        <v>73.369722553811954247748560510</v>
      </c>
    </row>
    <row r="21" ht="18" customHeight="1">
      <c r="A21" s="58"/>
      <c r="B21" s="288"/>
      <c r="C21" s="289" t="s">
        <v>218</v>
      </c>
      <c r="D21" s="441">
        <v>266.72950585546986575264210226</v>
      </c>
      <c r="E21" s="154">
        <v>247.02401865526622619510299262</v>
      </c>
      <c r="F21" s="442">
        <v>217.95881523745420704067910775</v>
      </c>
      <c r="G21" s="441">
        <v>297.22807017543859649122807018</v>
      </c>
      <c r="H21" s="154">
        <v>200.18796992481203007518796992</v>
      </c>
      <c r="I21" s="442">
        <v>151.52200567007888053487185184</v>
      </c>
      <c r="J21" s="441">
        <v>0</v>
      </c>
      <c r="K21" s="154">
        <v>0</v>
      </c>
      <c r="L21" s="442">
        <v>101.40922299444507754007886444</v>
      </c>
      <c r="M21" s="441">
        <v>267.21810005621135469364811692</v>
      </c>
      <c r="N21" s="154">
        <v>243.863366193099449115685706</v>
      </c>
      <c r="O21" s="442">
        <v>204.24169984587721551502697149</v>
      </c>
      <c r="P21" s="5"/>
      <c r="Q21" s="420">
        <v>94.21171942638365367788438488</v>
      </c>
      <c r="R21" s="91">
        <v>97.75122461877559864024160463</v>
      </c>
      <c r="S21" s="421">
        <v>81.25692411251653407520424554</v>
      </c>
      <c r="T21" s="420">
        <v>0</v>
      </c>
      <c r="U21" s="91">
        <v>0</v>
      </c>
      <c r="V21" s="421">
        <v>54.805112021888163987111689070</v>
      </c>
      <c r="W21" s="420">
        <v>0</v>
      </c>
      <c r="X21" s="91">
        <v>0</v>
      </c>
      <c r="Y21" s="421">
        <v>14.433999847061414766463406310</v>
      </c>
      <c r="Z21" s="420">
        <v>94.56747579283222250525818635</v>
      </c>
      <c r="AA21" s="91">
        <v>95.22101359561158124362157758</v>
      </c>
      <c r="AB21" s="421">
        <v>80.87950573996466874198797539</v>
      </c>
    </row>
    <row r="22" ht="18" customHeight="1">
      <c r="A22" s="58"/>
      <c r="B22" s="286"/>
      <c r="C22" s="287" t="s">
        <v>219</v>
      </c>
      <c r="D22" s="276">
        <v>207.13852140077821011673151751</v>
      </c>
      <c r="E22" s="94">
        <v>200.59775007601094557616296747</v>
      </c>
      <c r="F22" s="277">
        <v>175.74033158696478984889072124</v>
      </c>
      <c r="G22" s="276">
        <v>169.39285714285714285714285714</v>
      </c>
      <c r="H22" s="94">
        <v>221.37837837837837837837837838</v>
      </c>
      <c r="I22" s="277">
        <v>136.01293824953816833320960372</v>
      </c>
      <c r="J22" s="276">
        <v>0</v>
      </c>
      <c r="K22" s="94">
        <v>0</v>
      </c>
      <c r="L22" s="277">
        <v>107.25300042549430281532906742</v>
      </c>
      <c r="M22" s="276">
        <v>206.73171670515781370284834488</v>
      </c>
      <c r="N22" s="94">
        <v>200.90484273589615576635047428</v>
      </c>
      <c r="O22" s="277">
        <v>166.62676694150559852942163065</v>
      </c>
      <c r="P22" s="5"/>
      <c r="Q22" s="271">
        <v>87.87462992136818015666041693</v>
      </c>
      <c r="R22" s="92">
        <v>94.31660000960377710538852302</v>
      </c>
      <c r="S22" s="272">
        <v>49.245672896100045567976300240</v>
      </c>
      <c r="T22" s="271">
        <v>0</v>
      </c>
      <c r="U22" s="92">
        <v>0</v>
      </c>
      <c r="V22" s="272">
        <v>37.513182404797574195980449910</v>
      </c>
      <c r="W22" s="271">
        <v>0</v>
      </c>
      <c r="X22" s="92">
        <v>0</v>
      </c>
      <c r="Y22" s="272">
        <v>22.362882506802323108013062380</v>
      </c>
      <c r="Z22" s="271">
        <v>87.50565808009448037464337649</v>
      </c>
      <c r="AA22" s="92">
        <v>94.61407693311956021689054908</v>
      </c>
      <c r="AB22" s="272">
        <v>51.789520013146239637673848250</v>
      </c>
    </row>
    <row r="23" ht="18" customHeight="1">
      <c r="A23" s="58"/>
      <c r="B23" s="288"/>
      <c r="C23" s="289" t="s">
        <v>220</v>
      </c>
      <c r="D23" s="439">
        <v>183.53538461538461538461538462</v>
      </c>
      <c r="E23" s="95">
        <v>188.1298607439305228751638596</v>
      </c>
      <c r="F23" s="440">
        <v>165.35537778952044613971327304</v>
      </c>
      <c r="G23" s="439">
        <v>161.35820895522388059701492537</v>
      </c>
      <c r="H23" s="95">
        <v>167.00757885529420772811230619</v>
      </c>
      <c r="I23" s="440">
        <v>141.66448864219562356870751817</v>
      </c>
      <c r="J23" s="439">
        <v>0</v>
      </c>
      <c r="K23" s="95">
        <v>0</v>
      </c>
      <c r="L23" s="440">
        <v>109.10831287242373012244951727</v>
      </c>
      <c r="M23" s="439">
        <v>182.90093936806148590947907771</v>
      </c>
      <c r="N23" s="95">
        <v>186.20061962134251290877796902</v>
      </c>
      <c r="O23" s="440">
        <v>157.05728151715384328218912159</v>
      </c>
      <c r="P23" s="5"/>
      <c r="Q23" s="420">
        <v>63.419474156974620621591704970</v>
      </c>
      <c r="R23" s="91">
        <v>51.360129037615893442298849550</v>
      </c>
      <c r="S23" s="421">
        <v>39.467204787265067435116909600</v>
      </c>
      <c r="T23" s="420">
        <v>0</v>
      </c>
      <c r="U23" s="91">
        <v>24.458372691416270314382715370</v>
      </c>
      <c r="V23" s="421">
        <v>47.281228161891185690844371150</v>
      </c>
      <c r="W23" s="420">
        <v>0</v>
      </c>
      <c r="X23" s="91">
        <v>0</v>
      </c>
      <c r="Y23" s="421">
        <v>27.168776036986428402578445420</v>
      </c>
      <c r="Z23" s="420">
        <v>62.854565603148828120779834780</v>
      </c>
      <c r="AA23" s="91">
        <v>49.776874831092768091764475470</v>
      </c>
      <c r="AB23" s="421">
        <v>36.688056968159814159686081260</v>
      </c>
    </row>
    <row r="24" ht="18" customHeight="1">
      <c r="A24" s="59"/>
      <c r="B24" s="286"/>
      <c r="C24" s="287" t="s">
        <v>221</v>
      </c>
      <c r="D24" s="276">
        <v>185.48419243986254295532646048</v>
      </c>
      <c r="E24" s="94">
        <v>197.92445769107214541154202633</v>
      </c>
      <c r="F24" s="277">
        <v>175.18856498289566763977001903</v>
      </c>
      <c r="G24" s="276">
        <v>174.94565217391304347826086957</v>
      </c>
      <c r="H24" s="94">
        <v>196.85651955529007774333357391</v>
      </c>
      <c r="I24" s="277">
        <v>169.08553935874080000487727697</v>
      </c>
      <c r="J24" s="276">
        <v>0</v>
      </c>
      <c r="K24" s="94">
        <v>0</v>
      </c>
      <c r="L24" s="277">
        <v>107.29674360284494517132906796</v>
      </c>
      <c r="M24" s="276">
        <v>185.16122584943371085942704863</v>
      </c>
      <c r="N24" s="94">
        <v>197.81733651226158038147138966</v>
      </c>
      <c r="O24" s="277">
        <v>167.94421092381312021394479283</v>
      </c>
      <c r="P24" s="93"/>
      <c r="Q24" s="271">
        <v>55.875920774344665281271925240</v>
      </c>
      <c r="R24" s="92">
        <v>53.609968200848808309127769610</v>
      </c>
      <c r="S24" s="272">
        <v>43.256741761743262454773838670</v>
      </c>
      <c r="T24" s="271">
        <v>36.676290760869565217391304350</v>
      </c>
      <c r="U24" s="92">
        <v>34.833232572116491605022995830</v>
      </c>
      <c r="V24" s="272">
        <v>59.891958030683646421194285160</v>
      </c>
      <c r="W24" s="271">
        <v>0</v>
      </c>
      <c r="X24" s="92">
        <v>0</v>
      </c>
      <c r="Y24" s="272">
        <v>16.329938072710406308024611670</v>
      </c>
      <c r="Z24" s="271">
        <v>55.268010149497998698846866090</v>
      </c>
      <c r="AA24" s="92">
        <v>53.523895258817064313935972400</v>
      </c>
      <c r="AB24" s="272">
        <v>42.081996126085299639724681090</v>
      </c>
    </row>
    <row r="25" ht="18" customHeight="1">
      <c r="A25" s="60"/>
      <c r="B25" s="288"/>
      <c r="C25" s="289" t="s">
        <v>222</v>
      </c>
      <c r="D25" s="439">
        <v>230.69248593181065872227739159</v>
      </c>
      <c r="E25" s="95">
        <v>238.48340191766858888749630026</v>
      </c>
      <c r="F25" s="440">
        <v>202.12666964669307561354174244</v>
      </c>
      <c r="G25" s="439">
        <v>253.3125</v>
      </c>
      <c r="H25" s="95">
        <v>268.75474921819030581068544879</v>
      </c>
      <c r="I25" s="440">
        <v>195.35044589814711365217306753</v>
      </c>
      <c r="J25" s="439">
        <v>0</v>
      </c>
      <c r="K25" s="95">
        <v>128.87105999607170523627129154</v>
      </c>
      <c r="L25" s="440">
        <v>109.8618367368975314027388629</v>
      </c>
      <c r="M25" s="439">
        <v>232.85902424423825202035318767</v>
      </c>
      <c r="N25" s="95">
        <v>241.59813583925433570173428071</v>
      </c>
      <c r="O25" s="440">
        <v>192.20582696905941277493387229</v>
      </c>
      <c r="P25" s="93"/>
      <c r="Q25" s="420">
        <v>82.28681908304251872320044616</v>
      </c>
      <c r="R25" s="91">
        <v>89.83150625866482491080120617</v>
      </c>
      <c r="S25" s="421">
        <v>66.952362439942487997587174860</v>
      </c>
      <c r="T25" s="420">
        <v>118.55666035351695651007125278</v>
      </c>
      <c r="U25" s="91">
        <v>57.166520010637605737242952510</v>
      </c>
      <c r="V25" s="421">
        <v>74.088609968952699533718454640</v>
      </c>
      <c r="W25" s="420">
        <v>0</v>
      </c>
      <c r="X25" s="91">
        <v>0</v>
      </c>
      <c r="Y25" s="421">
        <v>17.442345968152882938850593170</v>
      </c>
      <c r="Z25" s="420">
        <v>84.30857304858609216838980761</v>
      </c>
      <c r="AA25" s="91">
        <v>91.77261984577808263038825024</v>
      </c>
      <c r="AB25" s="421">
        <v>62.916475969451984595147776640</v>
      </c>
    </row>
    <row r="26" ht="18" customHeight="1">
      <c r="A26" s="60"/>
      <c r="B26" s="290"/>
      <c r="C26" s="291" t="s">
        <v>223</v>
      </c>
      <c r="D26" s="443">
        <v>335.80813143971038707880813144</v>
      </c>
      <c r="E26" s="444">
        <v>353.77793389040893292908378318</v>
      </c>
      <c r="F26" s="445">
        <v>272.19661601351735010923762141</v>
      </c>
      <c r="G26" s="443">
        <v>354.6</v>
      </c>
      <c r="H26" s="444">
        <v>268.49022004889975550122249389</v>
      </c>
      <c r="I26" s="445">
        <v>230.73993722873602546782923675</v>
      </c>
      <c r="J26" s="443">
        <v>0</v>
      </c>
      <c r="K26" s="444">
        <v>0</v>
      </c>
      <c r="L26" s="445">
        <v>114.14366967818534213154220941</v>
      </c>
      <c r="M26" s="443">
        <v>336.98538240668232837379274341</v>
      </c>
      <c r="N26" s="444">
        <v>348.91318597029495851056411687</v>
      </c>
      <c r="O26" s="445">
        <v>252.70153966261821703511181824</v>
      </c>
      <c r="P26" s="184"/>
      <c r="Q26" s="273">
        <v>107.67332336190679589339962781</v>
      </c>
      <c r="R26" s="274">
        <v>99.61587850268839828360151843</v>
      </c>
      <c r="S26" s="275">
        <v>74.739252806979023166592470430</v>
      </c>
      <c r="T26" s="273">
        <v>37.981624932466478802006948390</v>
      </c>
      <c r="U26" s="274">
        <v>31.192260585108167563357886750</v>
      </c>
      <c r="V26" s="275">
        <v>55.404743275306407704407481700</v>
      </c>
      <c r="W26" s="273">
        <v>0</v>
      </c>
      <c r="X26" s="274">
        <v>0</v>
      </c>
      <c r="Y26" s="275">
        <v>18.540825842524113177211256950</v>
      </c>
      <c r="Z26" s="273">
        <v>103.97519524991013283641442340</v>
      </c>
      <c r="AA26" s="274">
        <v>96.1496906260328225603953300</v>
      </c>
      <c r="AB26" s="275">
        <v>68.037313948572864702444482720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2019</v>
      </c>
      <c r="C29" s="285"/>
      <c r="D29" s="454">
        <v>193.27037213092489474399022138</v>
      </c>
      <c r="E29" s="455">
        <v>206.4777438990594408041620392</v>
      </c>
      <c r="F29" s="456">
        <v>186.39348725199162794440030403</v>
      </c>
      <c r="G29" s="454">
        <v>208.14428020565552699228791774</v>
      </c>
      <c r="H29" s="455">
        <v>240.86687239247982224825686512</v>
      </c>
      <c r="I29" s="456">
        <v>194.59228348703851962288038409</v>
      </c>
      <c r="J29" s="454">
        <v>0</v>
      </c>
      <c r="K29" s="455">
        <v>225.3499758489823506128805721</v>
      </c>
      <c r="L29" s="456">
        <v>122.06310765602195497062040348</v>
      </c>
      <c r="M29" s="454">
        <v>194.69180690332882938213978627</v>
      </c>
      <c r="N29" s="455">
        <v>209.84412766832981842497813898</v>
      </c>
      <c r="O29" s="456">
        <v>182.83862565583084342920941955</v>
      </c>
      <c r="P29" s="5"/>
      <c r="Q29" s="427">
        <v>6.6401237447260640386600913600</v>
      </c>
      <c r="R29" s="428">
        <v>-2.9112043862889876696640768100</v>
      </c>
      <c r="S29" s="429">
        <v>-0.4983577510636742127034542700</v>
      </c>
      <c r="T29" s="427">
        <v>19.987022571537440124851408770</v>
      </c>
      <c r="U29" s="428">
        <v>0.2499890047435826075796101800</v>
      </c>
      <c r="V29" s="429">
        <v>-2.3218225752231268505987308400</v>
      </c>
      <c r="W29" s="427">
        <v>-100</v>
      </c>
      <c r="X29" s="428">
        <v>39.749013534404999735826146170</v>
      </c>
      <c r="Y29" s="429">
        <v>1.4854623558842078053007123900</v>
      </c>
      <c r="Z29" s="427">
        <v>8.093746079949460543994557350</v>
      </c>
      <c r="AA29" s="428">
        <v>-2.1624990568413551918584142900</v>
      </c>
      <c r="AB29" s="429">
        <v>-1.2681608440530169250014441400</v>
      </c>
    </row>
    <row r="30" ht="18" customHeight="1">
      <c r="A30" s="58"/>
      <c r="B30" s="286">
        <v>2020</v>
      </c>
      <c r="C30" s="287"/>
      <c r="D30" s="276">
        <v>191.36636818106905455144756359</v>
      </c>
      <c r="E30" s="94">
        <v>210.75877117071146296422682382</v>
      </c>
      <c r="F30" s="277">
        <v>181.11607257630360967319407837</v>
      </c>
      <c r="G30" s="276">
        <v>362.10180722891566265060240964</v>
      </c>
      <c r="H30" s="94">
        <v>347.50167638495666902641362654</v>
      </c>
      <c r="I30" s="277">
        <v>250.58727806773657805636919987</v>
      </c>
      <c r="J30" s="276">
        <v>0</v>
      </c>
      <c r="K30" s="94">
        <v>0</v>
      </c>
      <c r="L30" s="277">
        <v>107.80531136033826050741667206</v>
      </c>
      <c r="M30" s="276">
        <v>205.63515078286260887076473846</v>
      </c>
      <c r="N30" s="94">
        <v>223.18590302999951209887041139</v>
      </c>
      <c r="O30" s="277">
        <v>186.47632352659744304361007674</v>
      </c>
      <c r="P30" s="5"/>
      <c r="Q30" s="271">
        <v>-0.9851504546912050768762679100</v>
      </c>
      <c r="R30" s="92">
        <v>2.0733601553218652761658350400</v>
      </c>
      <c r="S30" s="272">
        <v>-2.8313299748297743848930140900</v>
      </c>
      <c r="T30" s="271">
        <v>73.966734455093404381074164910</v>
      </c>
      <c r="U30" s="92">
        <v>44.271261935386434515586631220</v>
      </c>
      <c r="V30" s="272">
        <v>28.775547301944991670557198010</v>
      </c>
      <c r="W30" s="271">
        <v>0</v>
      </c>
      <c r="X30" s="92">
        <v>-100</v>
      </c>
      <c r="Y30" s="272">
        <v>-11.680676143231798935760931370</v>
      </c>
      <c r="Z30" s="271">
        <v>5.6208548544613259021366218100</v>
      </c>
      <c r="AA30" s="92">
        <v>6.3579455426976815210186014800</v>
      </c>
      <c r="AB30" s="272">
        <v>1.9895674985249202067033976100</v>
      </c>
    </row>
    <row r="31" ht="18" customHeight="1">
      <c r="A31" s="58"/>
      <c r="B31" s="425">
        <v>2021</v>
      </c>
      <c r="C31" s="426"/>
      <c r="D31" s="457">
        <v>233.25113612889898781243544722</v>
      </c>
      <c r="E31" s="458">
        <v>245.06323555780388948188277812</v>
      </c>
      <c r="F31" s="459">
        <v>207.41218109941419901022682529</v>
      </c>
      <c r="G31" s="457">
        <v>247.15625</v>
      </c>
      <c r="H31" s="458">
        <v>224.93165156163175802497870009</v>
      </c>
      <c r="I31" s="459">
        <v>170.75033572853943416821993488</v>
      </c>
      <c r="J31" s="457">
        <v>0</v>
      </c>
      <c r="K31" s="458">
        <v>128.87105999607170523627129154</v>
      </c>
      <c r="L31" s="459">
        <v>103.07946909670243011643727595</v>
      </c>
      <c r="M31" s="457">
        <v>233.74962656841266679944234216</v>
      </c>
      <c r="N31" s="458">
        <v>244.13632952012674883858320578</v>
      </c>
      <c r="O31" s="459">
        <v>195.58440054400694142088939026</v>
      </c>
      <c r="P31" s="93"/>
      <c r="Q31" s="430">
        <v>21.887214742018431323648295450</v>
      </c>
      <c r="R31" s="431">
        <v>16.276648509835754581997038240</v>
      </c>
      <c r="S31" s="432">
        <v>14.518925984349764698087716550</v>
      </c>
      <c r="T31" s="430">
        <v>-31.743988826942807710188508710</v>
      </c>
      <c r="U31" s="431">
        <v>-35.271779433826929558402366130</v>
      </c>
      <c r="V31" s="432">
        <v>-31.859934372882006508462471390</v>
      </c>
      <c r="W31" s="430">
        <v>0</v>
      </c>
      <c r="X31" s="431">
        <v>0</v>
      </c>
      <c r="Y31" s="432">
        <v>-4.3836822174773586562834560300</v>
      </c>
      <c r="Z31" s="430">
        <v>13.672018464972760852009297750</v>
      </c>
      <c r="AA31" s="431">
        <v>9.386984664219878367191158250</v>
      </c>
      <c r="AB31" s="432">
        <v>4.8843074794466953502311886200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2019</v>
      </c>
      <c r="C34" s="285"/>
      <c r="D34" s="454">
        <v>195.07964085820895522388059701</v>
      </c>
      <c r="E34" s="455">
        <v>208.21600008742800472569849338</v>
      </c>
      <c r="F34" s="456">
        <v>186.36347873506966346639924476</v>
      </c>
      <c r="G34" s="454">
        <v>158.93894389438943894389438944</v>
      </c>
      <c r="H34" s="455">
        <v>212.83172110357183838293404532</v>
      </c>
      <c r="I34" s="456">
        <v>187.57402084794237761609881314</v>
      </c>
      <c r="J34" s="454">
        <v>0</v>
      </c>
      <c r="K34" s="455">
        <v>0</v>
      </c>
      <c r="L34" s="456">
        <v>122.89184392008392390686562396</v>
      </c>
      <c r="M34" s="454">
        <v>192.69440209104770202570246134</v>
      </c>
      <c r="N34" s="455">
        <v>208.67974042277476310034826274</v>
      </c>
      <c r="O34" s="456">
        <v>181.70545426579530048898093797</v>
      </c>
      <c r="P34" s="5"/>
      <c r="Q34" s="427">
        <v>-5.4850082148844033211561812800</v>
      </c>
      <c r="R34" s="428">
        <v>-3.686215159083962717022031300</v>
      </c>
      <c r="S34" s="429">
        <v>-1.7968709632784355123511445200</v>
      </c>
      <c r="T34" s="427">
        <v>-16.921692169229969733743148580</v>
      </c>
      <c r="U34" s="428">
        <v>-11.216456328316064493024472210</v>
      </c>
      <c r="V34" s="429">
        <v>-3.8919223459792949398672539900</v>
      </c>
      <c r="W34" s="427">
        <v>0</v>
      </c>
      <c r="X34" s="428">
        <v>-100</v>
      </c>
      <c r="Y34" s="429">
        <v>3.1787014985042901120634930400</v>
      </c>
      <c r="Z34" s="427">
        <v>-5.6143334766350631587511650900</v>
      </c>
      <c r="AA34" s="428">
        <v>-4.5891566709531468718008098600</v>
      </c>
      <c r="AB34" s="429">
        <v>-2.3519058492445034351534754400</v>
      </c>
    </row>
    <row r="35" ht="18" customHeight="1">
      <c r="A35" s="58"/>
      <c r="B35" s="286">
        <v>2020</v>
      </c>
      <c r="C35" s="287"/>
      <c r="D35" s="276">
        <v>138.57017291066282420749279539</v>
      </c>
      <c r="E35" s="94">
        <v>146.41194408142251792008237298</v>
      </c>
      <c r="F35" s="277">
        <v>135.32618487975486856629848085</v>
      </c>
      <c r="G35" s="276">
        <v>191.67298578199052132701421801</v>
      </c>
      <c r="H35" s="94">
        <v>197.06885245901639344262295083</v>
      </c>
      <c r="I35" s="277">
        <v>115.63330251959218562492372178</v>
      </c>
      <c r="J35" s="276">
        <v>0</v>
      </c>
      <c r="K35" s="94">
        <v>0</v>
      </c>
      <c r="L35" s="277">
        <v>94.16420757265819695936240846</v>
      </c>
      <c r="M35" s="276">
        <v>140.13704377010208362466787862</v>
      </c>
      <c r="N35" s="94">
        <v>147.0165127562998904366880576</v>
      </c>
      <c r="O35" s="277">
        <v>130.5783499196949910688821843</v>
      </c>
      <c r="P35" s="5"/>
      <c r="Q35" s="271">
        <v>-28.967383628009099000250931870</v>
      </c>
      <c r="R35" s="92">
        <v>-29.682664146864234072097382740</v>
      </c>
      <c r="S35" s="272">
        <v>-27.385888158854530273341360970</v>
      </c>
      <c r="T35" s="271">
        <v>20.595356358564467146364263820</v>
      </c>
      <c r="U35" s="92">
        <v>-7.406259068360736585198841700</v>
      </c>
      <c r="V35" s="272">
        <v>-38.353242097765284674351186520</v>
      </c>
      <c r="W35" s="271">
        <v>0</v>
      </c>
      <c r="X35" s="92">
        <v>0</v>
      </c>
      <c r="Y35" s="272">
        <v>-23.376357153628122307601195460</v>
      </c>
      <c r="Z35" s="271">
        <v>-27.274979319885839337582836260</v>
      </c>
      <c r="AA35" s="92">
        <v>-29.549216201614025138658809960</v>
      </c>
      <c r="AB35" s="272">
        <v>-28.137352592243007598955120800</v>
      </c>
    </row>
    <row r="36" ht="18" customHeight="1">
      <c r="A36" s="58"/>
      <c r="B36" s="425">
        <v>2021</v>
      </c>
      <c r="C36" s="426"/>
      <c r="D36" s="457">
        <v>256.51837849191346355807603445</v>
      </c>
      <c r="E36" s="458">
        <v>270.12219231079012730027190202</v>
      </c>
      <c r="F36" s="459">
        <v>220.64071224825442033680840711</v>
      </c>
      <c r="G36" s="457">
        <v>279.53834355828220858895705521</v>
      </c>
      <c r="H36" s="458">
        <v>243.91869414999669406696077562</v>
      </c>
      <c r="I36" s="459">
        <v>199.33583865758153487417496831</v>
      </c>
      <c r="J36" s="457">
        <v>0</v>
      </c>
      <c r="K36" s="458">
        <v>128.87105999607170523627129154</v>
      </c>
      <c r="L36" s="459">
        <v>110.6692289051344787011773775</v>
      </c>
      <c r="M36" s="457">
        <v>257.99361116571653233733045017</v>
      </c>
      <c r="N36" s="458">
        <v>267.75945269821820595292796244</v>
      </c>
      <c r="O36" s="459">
        <v>207.47917094794938789889322726</v>
      </c>
      <c r="P36" s="93"/>
      <c r="Q36" s="430">
        <v>85.11803305407135998550117919</v>
      </c>
      <c r="R36" s="431">
        <v>84.49464215884701905397173642</v>
      </c>
      <c r="S36" s="432">
        <v>63.043621191444104486448221900</v>
      </c>
      <c r="T36" s="430">
        <v>45.841284006613330333036140700</v>
      </c>
      <c r="U36" s="431">
        <v>23.773336631542908124404574770</v>
      </c>
      <c r="V36" s="432">
        <v>72.386184874200788859101912870</v>
      </c>
      <c r="W36" s="430">
        <v>0</v>
      </c>
      <c r="X36" s="431">
        <v>0</v>
      </c>
      <c r="Y36" s="432">
        <v>17.527914010949102094038629570</v>
      </c>
      <c r="Z36" s="430">
        <v>84.10093735740892845007746608</v>
      </c>
      <c r="AA36" s="431">
        <v>82.12882871332022514184467911</v>
      </c>
      <c r="AB36" s="432">
        <v>58.892474193110913620796472690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2019</v>
      </c>
      <c r="C39" s="285"/>
      <c r="D39" s="454">
        <v>193.27037213092489474399022138</v>
      </c>
      <c r="E39" s="455">
        <v>206.4777438990594408041620392</v>
      </c>
      <c r="F39" s="456">
        <v>186.39348725199162794440030403</v>
      </c>
      <c r="G39" s="454">
        <v>208.14428020565552699228791774</v>
      </c>
      <c r="H39" s="455">
        <v>240.86687239247982224825686512</v>
      </c>
      <c r="I39" s="456">
        <v>194.59228348703851962288038409</v>
      </c>
      <c r="J39" s="454">
        <v>0</v>
      </c>
      <c r="K39" s="455">
        <v>225.3499758489823506128805721</v>
      </c>
      <c r="L39" s="456">
        <v>122.06310765602195497062040348</v>
      </c>
      <c r="M39" s="454">
        <v>194.69180690332882938213978627</v>
      </c>
      <c r="N39" s="455">
        <v>209.84412766832981842497813898</v>
      </c>
      <c r="O39" s="456">
        <v>182.83862565583084342920941955</v>
      </c>
      <c r="P39" s="5"/>
      <c r="Q39" s="427">
        <v>6.6401237447260640386600913600</v>
      </c>
      <c r="R39" s="428">
        <v>-2.9112043862889876696640768100</v>
      </c>
      <c r="S39" s="429">
        <v>-0.4983577510636742127034542700</v>
      </c>
      <c r="T39" s="427">
        <v>19.987022571537440124851408770</v>
      </c>
      <c r="U39" s="428">
        <v>0.2499890047435826075796101800</v>
      </c>
      <c r="V39" s="429">
        <v>-2.3218225752231268505987308400</v>
      </c>
      <c r="W39" s="427">
        <v>-100</v>
      </c>
      <c r="X39" s="428">
        <v>39.749013534404999735826146170</v>
      </c>
      <c r="Y39" s="429">
        <v>1.4854623558842078053007123900</v>
      </c>
      <c r="Z39" s="427">
        <v>8.093746079949460543994557350</v>
      </c>
      <c r="AA39" s="428">
        <v>-2.1624990568413551918584142900</v>
      </c>
      <c r="AB39" s="429">
        <v>-1.2681608440530169250014441400</v>
      </c>
    </row>
    <row r="40" ht="18" customHeight="1">
      <c r="A40" s="58"/>
      <c r="B40" s="286">
        <v>2020</v>
      </c>
      <c r="C40" s="287"/>
      <c r="D40" s="276">
        <v>191.36636818106905455144756359</v>
      </c>
      <c r="E40" s="94">
        <v>210.75877117071146296422682382</v>
      </c>
      <c r="F40" s="277">
        <v>181.11607257630360967319407837</v>
      </c>
      <c r="G40" s="276">
        <v>362.10180722891566265060240964</v>
      </c>
      <c r="H40" s="94">
        <v>347.50167638495666902641362654</v>
      </c>
      <c r="I40" s="277">
        <v>250.58727806773657805636919987</v>
      </c>
      <c r="J40" s="276">
        <v>0</v>
      </c>
      <c r="K40" s="94">
        <v>0</v>
      </c>
      <c r="L40" s="277">
        <v>107.80531136033826050741667206</v>
      </c>
      <c r="M40" s="276">
        <v>205.63515078286260887076473846</v>
      </c>
      <c r="N40" s="94">
        <v>223.18590302999951209887041139</v>
      </c>
      <c r="O40" s="277">
        <v>186.47632352659744304361007674</v>
      </c>
      <c r="P40" s="5"/>
      <c r="Q40" s="271">
        <v>-0.9851504546912050768762679100</v>
      </c>
      <c r="R40" s="92">
        <v>2.0733601553218652761658350400</v>
      </c>
      <c r="S40" s="272">
        <v>-2.8313299748297743848930140900</v>
      </c>
      <c r="T40" s="271">
        <v>73.966734455093404381074164910</v>
      </c>
      <c r="U40" s="92">
        <v>44.271261935386434515586631220</v>
      </c>
      <c r="V40" s="272">
        <v>28.775547301944991670557198010</v>
      </c>
      <c r="W40" s="271">
        <v>0</v>
      </c>
      <c r="X40" s="92">
        <v>-100</v>
      </c>
      <c r="Y40" s="272">
        <v>-11.680676143231798935760931370</v>
      </c>
      <c r="Z40" s="271">
        <v>5.6208548544613259021366218100</v>
      </c>
      <c r="AA40" s="92">
        <v>6.3579455426976815210186014800</v>
      </c>
      <c r="AB40" s="272">
        <v>1.9895674985249202067033976100</v>
      </c>
    </row>
    <row r="41" ht="18" customHeight="1">
      <c r="A41" s="58"/>
      <c r="B41" s="425">
        <v>2021</v>
      </c>
      <c r="C41" s="426"/>
      <c r="D41" s="457">
        <v>233.25113612889898781243544722</v>
      </c>
      <c r="E41" s="458">
        <v>245.06323555780388948188277812</v>
      </c>
      <c r="F41" s="459">
        <v>207.41218109941419901022682529</v>
      </c>
      <c r="G41" s="457">
        <v>247.15625</v>
      </c>
      <c r="H41" s="458">
        <v>224.93165156163175802497870009</v>
      </c>
      <c r="I41" s="459">
        <v>170.75033572853943416821993488</v>
      </c>
      <c r="J41" s="457">
        <v>0</v>
      </c>
      <c r="K41" s="458">
        <v>128.87105999607170523627129154</v>
      </c>
      <c r="L41" s="459">
        <v>103.07946909670243011643727595</v>
      </c>
      <c r="M41" s="457">
        <v>233.74962656841266679944234216</v>
      </c>
      <c r="N41" s="458">
        <v>244.13632952012674883858320578</v>
      </c>
      <c r="O41" s="459">
        <v>195.58440054400694142088939026</v>
      </c>
      <c r="P41" s="93"/>
      <c r="Q41" s="430">
        <v>21.887214742018431323648295450</v>
      </c>
      <c r="R41" s="431">
        <v>16.276648509835754581997038240</v>
      </c>
      <c r="S41" s="432">
        <v>14.518925984349764698087716550</v>
      </c>
      <c r="T41" s="430">
        <v>-31.743988826942807710188508710</v>
      </c>
      <c r="U41" s="431">
        <v>-35.271779433826929558402366130</v>
      </c>
      <c r="V41" s="432">
        <v>-31.859934372882006508462471390</v>
      </c>
      <c r="W41" s="430">
        <v>0</v>
      </c>
      <c r="X41" s="431">
        <v>0</v>
      </c>
      <c r="Y41" s="432">
        <v>-4.3836822174773586562834560300</v>
      </c>
      <c r="Z41" s="430">
        <v>13.672018464972760852009297750</v>
      </c>
      <c r="AA41" s="431">
        <v>9.386984664219878367191158250</v>
      </c>
      <c r="AB41" s="432">
        <v>4.8843074794466953502311886200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10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183</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303</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2020</v>
      </c>
      <c r="C9" s="285" t="s">
        <v>218</v>
      </c>
      <c r="D9" s="434">
        <v>17.989736070381231671554252199</v>
      </c>
      <c r="E9" s="435">
        <v>23.703950138970774025098964036</v>
      </c>
      <c r="F9" s="436">
        <v>20.933305617394794086946456187</v>
      </c>
      <c r="G9" s="434">
        <v>0</v>
      </c>
      <c r="H9" s="435">
        <v>0</v>
      </c>
      <c r="I9" s="436">
        <v>3.484546975469659929061015376</v>
      </c>
      <c r="J9" s="434">
        <v>0</v>
      </c>
      <c r="K9" s="435">
        <v>0</v>
      </c>
      <c r="L9" s="436">
        <v>2.7032148890261348583009580256</v>
      </c>
      <c r="M9" s="434">
        <v>17.989736070381231671554252199</v>
      </c>
      <c r="N9" s="435">
        <v>23.703950138970774025098964036</v>
      </c>
      <c r="O9" s="436">
        <v>27.121067481890588874308429588</v>
      </c>
      <c r="P9" s="5"/>
      <c r="Q9" s="415">
        <v>-80.73884910344399099472001397</v>
      </c>
      <c r="R9" s="416">
        <v>-81.06115803269288345243827475</v>
      </c>
      <c r="S9" s="417">
        <v>-75.793143692388359627965614110</v>
      </c>
      <c r="T9" s="415">
        <v>-100</v>
      </c>
      <c r="U9" s="416">
        <v>-100</v>
      </c>
      <c r="V9" s="417">
        <v>-80.65214287167650234302140826</v>
      </c>
      <c r="W9" s="415">
        <v>0</v>
      </c>
      <c r="X9" s="416">
        <v>0</v>
      </c>
      <c r="Y9" s="417">
        <v>-64.242522689825344826914771400</v>
      </c>
      <c r="Z9" s="415">
        <v>-81.29958414729626539982486785</v>
      </c>
      <c r="AA9" s="416">
        <v>-82.34441028192714591026205375</v>
      </c>
      <c r="AB9" s="417">
        <v>-75.794834558158101102445059740</v>
      </c>
    </row>
    <row r="10" ht="18" customHeight="1">
      <c r="A10" s="58"/>
      <c r="B10" s="286"/>
      <c r="C10" s="287" t="s">
        <v>219</v>
      </c>
      <c r="D10" s="276">
        <v>28.15615835777126099706744868</v>
      </c>
      <c r="E10" s="94">
        <v>33.405120862461046070917207109</v>
      </c>
      <c r="F10" s="277">
        <v>22.47615929844697857645710648</v>
      </c>
      <c r="G10" s="276">
        <v>0</v>
      </c>
      <c r="H10" s="94">
        <v>0</v>
      </c>
      <c r="I10" s="277">
        <v>7.2050185429112337044963369873</v>
      </c>
      <c r="J10" s="276">
        <v>0</v>
      </c>
      <c r="K10" s="94">
        <v>0</v>
      </c>
      <c r="L10" s="277">
        <v>2.8969583046959922874221413543</v>
      </c>
      <c r="M10" s="276">
        <v>28.15615835777126099706744868</v>
      </c>
      <c r="N10" s="94">
        <v>33.405120862461046070917207109</v>
      </c>
      <c r="O10" s="277">
        <v>32.578136146054204568375584822</v>
      </c>
      <c r="P10" s="5"/>
      <c r="Q10" s="271">
        <v>-69.576985028112752378118243180</v>
      </c>
      <c r="R10" s="92">
        <v>-70.795456598152734751711476070</v>
      </c>
      <c r="S10" s="272">
        <v>-73.777077058912804526386055110</v>
      </c>
      <c r="T10" s="271">
        <v>-100</v>
      </c>
      <c r="U10" s="92">
        <v>-100</v>
      </c>
      <c r="V10" s="272">
        <v>-27.280522222065063392361372950</v>
      </c>
      <c r="W10" s="271">
        <v>0</v>
      </c>
      <c r="X10" s="92">
        <v>0</v>
      </c>
      <c r="Y10" s="272">
        <v>-62.029000075479815260778536740</v>
      </c>
      <c r="Z10" s="271">
        <v>-69.666453411674539126018052980</v>
      </c>
      <c r="AA10" s="92">
        <v>-71.502055212540313384749233560</v>
      </c>
      <c r="AB10" s="272">
        <v>-68.447092219458316569363082730</v>
      </c>
    </row>
    <row r="11" ht="18" customHeight="1">
      <c r="A11" s="58"/>
      <c r="B11" s="288"/>
      <c r="C11" s="289" t="s">
        <v>220</v>
      </c>
      <c r="D11" s="439">
        <v>53.261868686868686868686868687</v>
      </c>
      <c r="E11" s="95">
        <v>52.513526570048309178743961353</v>
      </c>
      <c r="F11" s="440">
        <v>32.099383543197907710976542472</v>
      </c>
      <c r="G11" s="439">
        <v>0</v>
      </c>
      <c r="H11" s="95">
        <v>0.1481711525189786059351276743</v>
      </c>
      <c r="I11" s="440">
        <v>1.0805696500075380778543862524</v>
      </c>
      <c r="J11" s="439">
        <v>0</v>
      </c>
      <c r="K11" s="95">
        <v>0</v>
      </c>
      <c r="L11" s="440">
        <v>2.3015199428418227505511753268</v>
      </c>
      <c r="M11" s="439">
        <v>53.261868686868686868686868687</v>
      </c>
      <c r="N11" s="95">
        <v>52.661697722567287784679089027</v>
      </c>
      <c r="O11" s="440">
        <v>35.481473136047268539382104051</v>
      </c>
      <c r="P11" s="5"/>
      <c r="Q11" s="420">
        <v>-18.633978859660912955552215980</v>
      </c>
      <c r="R11" s="91">
        <v>-37.522336226289454284273765650</v>
      </c>
      <c r="S11" s="421">
        <v>-52.261366302366177899782704640</v>
      </c>
      <c r="T11" s="420">
        <v>-100</v>
      </c>
      <c r="U11" s="91">
        <v>-97.34018685391124972371519974</v>
      </c>
      <c r="V11" s="421">
        <v>-93.19185359330694005506640523</v>
      </c>
      <c r="W11" s="420">
        <v>0</v>
      </c>
      <c r="X11" s="91">
        <v>0</v>
      </c>
      <c r="Y11" s="421">
        <v>-66.259167471495424605289312730</v>
      </c>
      <c r="Z11" s="420">
        <v>-19.390874972239895690474199910</v>
      </c>
      <c r="AA11" s="91">
        <v>-41.240484340856423769366231630</v>
      </c>
      <c r="AB11" s="421">
        <v>-60.546652868071230111428273330</v>
      </c>
    </row>
    <row r="12" ht="18" customHeight="1">
      <c r="A12" s="58"/>
      <c r="B12" s="286"/>
      <c r="C12" s="287" t="s">
        <v>221</v>
      </c>
      <c r="D12" s="276">
        <v>61.154936461388074291300097752</v>
      </c>
      <c r="E12" s="94">
        <v>59.89360849529152474454017231</v>
      </c>
      <c r="F12" s="277">
        <v>38.195654597464422208144208486</v>
      </c>
      <c r="G12" s="276">
        <v>1.9393939393939393939393939394</v>
      </c>
      <c r="H12" s="94">
        <v>0.0097508849262004942229346156</v>
      </c>
      <c r="I12" s="277">
        <v>2.9854278614552287067207278667</v>
      </c>
      <c r="J12" s="276">
        <v>0</v>
      </c>
      <c r="K12" s="94">
        <v>0</v>
      </c>
      <c r="L12" s="277">
        <v>3.2861333218938798699665028239</v>
      </c>
      <c r="M12" s="276">
        <v>63.094330400782013685239491691</v>
      </c>
      <c r="N12" s="94">
        <v>59.903359380217725238763106926</v>
      </c>
      <c r="O12" s="277">
        <v>44.467215780813530784831439177</v>
      </c>
      <c r="P12" s="5"/>
      <c r="Q12" s="271">
        <v>-31.658332627816134171051383450</v>
      </c>
      <c r="R12" s="92">
        <v>-45.135372018722826086532100400</v>
      </c>
      <c r="S12" s="272">
        <v>-53.823765859073968614022633700</v>
      </c>
      <c r="T12" s="271">
        <v>-69.902912621483410311998733500</v>
      </c>
      <c r="U12" s="92">
        <v>-99.91699217770083402217371965</v>
      </c>
      <c r="V12" s="272">
        <v>-87.94823607843400554296766666</v>
      </c>
      <c r="W12" s="271">
        <v>0</v>
      </c>
      <c r="X12" s="92">
        <v>0</v>
      </c>
      <c r="Y12" s="272">
        <v>-53.383877794018270362100056600</v>
      </c>
      <c r="Z12" s="271">
        <v>-34.227346721461052953040187490</v>
      </c>
      <c r="AA12" s="92">
        <v>-50.457514486197235147520700990</v>
      </c>
      <c r="AB12" s="272">
        <v>-61.176951235420300815567069510</v>
      </c>
    </row>
    <row r="13" ht="18" customHeight="1">
      <c r="A13" s="58"/>
      <c r="B13" s="288"/>
      <c r="C13" s="289" t="s">
        <v>222</v>
      </c>
      <c r="D13" s="439">
        <v>64.3</v>
      </c>
      <c r="E13" s="95">
        <v>74.172256728778467908902691511</v>
      </c>
      <c r="F13" s="440">
        <v>40.880518251942124587422420931</v>
      </c>
      <c r="G13" s="439">
        <v>1.2</v>
      </c>
      <c r="H13" s="95">
        <v>0.7906832298136645962732919255</v>
      </c>
      <c r="I13" s="440">
        <v>2.664321087131175768909207294</v>
      </c>
      <c r="J13" s="439">
        <v>0</v>
      </c>
      <c r="K13" s="95">
        <v>0</v>
      </c>
      <c r="L13" s="440">
        <v>3.4711409148054020414116721996</v>
      </c>
      <c r="M13" s="439">
        <v>65.500000000</v>
      </c>
      <c r="N13" s="95">
        <v>74.962939958592132505175983437</v>
      </c>
      <c r="O13" s="440">
        <v>47.015980253878702397743300423</v>
      </c>
      <c r="P13" s="5"/>
      <c r="Q13" s="420">
        <v>-45.239052778479899336293337710</v>
      </c>
      <c r="R13" s="91">
        <v>-46.820799044604384254879347830</v>
      </c>
      <c r="S13" s="421">
        <v>-60.108442727415381447557075190</v>
      </c>
      <c r="T13" s="420">
        <v>-87.61596997811032878453266858</v>
      </c>
      <c r="U13" s="91">
        <v>-96.31767155406041317097905635</v>
      </c>
      <c r="V13" s="421">
        <v>-91.63951295388635992202365286</v>
      </c>
      <c r="W13" s="420">
        <v>0</v>
      </c>
      <c r="X13" s="91">
        <v>0</v>
      </c>
      <c r="Y13" s="421">
        <v>-53.634925536769788603955127070</v>
      </c>
      <c r="Z13" s="420">
        <v>-48.469563109768168193802123210</v>
      </c>
      <c r="AA13" s="91">
        <v>-53.424250705860627494507526560</v>
      </c>
      <c r="AB13" s="421">
        <v>-66.851328479509571077211508760</v>
      </c>
    </row>
    <row r="14" ht="18" customHeight="1">
      <c r="A14" s="58"/>
      <c r="B14" s="286"/>
      <c r="C14" s="287" t="s">
        <v>223</v>
      </c>
      <c r="D14" s="276">
        <v>111.63318670576735092864125122</v>
      </c>
      <c r="E14" s="94">
        <v>115.24110064783276564482735591</v>
      </c>
      <c r="F14" s="277">
        <v>65.000714173534159329538720624</v>
      </c>
      <c r="G14" s="276">
        <v>6.7827468230694037145650048876</v>
      </c>
      <c r="H14" s="94">
        <v>3.2393641888733052828424497429</v>
      </c>
      <c r="I14" s="277">
        <v>1.5550788816762901656858458024</v>
      </c>
      <c r="J14" s="276">
        <v>0</v>
      </c>
      <c r="K14" s="94">
        <v>0</v>
      </c>
      <c r="L14" s="277">
        <v>3.9671970717289017036470837809</v>
      </c>
      <c r="M14" s="276">
        <v>118.41593352883675464320625611</v>
      </c>
      <c r="N14" s="94">
        <v>118.48046483670607092766980565</v>
      </c>
      <c r="O14" s="277">
        <v>70.522990126939351198871650212</v>
      </c>
      <c r="P14" s="5"/>
      <c r="Q14" s="271">
        <v>-45.738389006163102300638453140</v>
      </c>
      <c r="R14" s="92">
        <v>-49.620747121381218538109439520</v>
      </c>
      <c r="S14" s="272">
        <v>-57.024902415018174092232396170</v>
      </c>
      <c r="T14" s="271">
        <v>-12.103746397952838215608511780</v>
      </c>
      <c r="U14" s="92">
        <v>-84.90646987655208621555682358</v>
      </c>
      <c r="V14" s="272">
        <v>-92.18817701426030447769262791</v>
      </c>
      <c r="W14" s="271">
        <v>0</v>
      </c>
      <c r="X14" s="92">
        <v>0</v>
      </c>
      <c r="Y14" s="272">
        <v>-50.735616725938113147386328760</v>
      </c>
      <c r="Z14" s="271">
        <v>-44.522400192357368170595140420</v>
      </c>
      <c r="AA14" s="92">
        <v>-52.647415940838918515249170290</v>
      </c>
      <c r="AB14" s="272">
        <v>-60.648211351237041315102212720</v>
      </c>
    </row>
    <row r="15" ht="18" customHeight="1">
      <c r="A15" s="58"/>
      <c r="B15" s="288">
        <v>2021</v>
      </c>
      <c r="C15" s="289" t="s">
        <v>227</v>
      </c>
      <c r="D15" s="439">
        <v>139.53347996089931573802541544</v>
      </c>
      <c r="E15" s="95">
        <v>103.62654082806246087971035179</v>
      </c>
      <c r="F15" s="440">
        <v>71.651653929109028410633593046</v>
      </c>
      <c r="G15" s="439">
        <v>3.6048387096774193548387096774</v>
      </c>
      <c r="H15" s="95">
        <v>3.4741586747702365419568929876</v>
      </c>
      <c r="I15" s="440">
        <v>3.2809309762963356332127751021</v>
      </c>
      <c r="J15" s="439">
        <v>0</v>
      </c>
      <c r="K15" s="95">
        <v>0</v>
      </c>
      <c r="L15" s="440">
        <v>3.7384209366063199795216785932</v>
      </c>
      <c r="M15" s="439">
        <v>143.13831867057673509286412512</v>
      </c>
      <c r="N15" s="95">
        <v>107.10069950283269742166724477</v>
      </c>
      <c r="O15" s="440">
        <v>78.671005842011684023368046736</v>
      </c>
      <c r="P15" s="5"/>
      <c r="Q15" s="420">
        <v>-24.896546644099602532495673600</v>
      </c>
      <c r="R15" s="91">
        <v>-49.496986115040572651613042160</v>
      </c>
      <c r="S15" s="421">
        <v>-43.284804909918723260047643990</v>
      </c>
      <c r="T15" s="420">
        <v>-95.76029316662839973065457398</v>
      </c>
      <c r="U15" s="91">
        <v>-94.79750765508404168388204852</v>
      </c>
      <c r="V15" s="421">
        <v>-95.99108622030505630059548870</v>
      </c>
      <c r="W15" s="420">
        <v>0</v>
      </c>
      <c r="X15" s="91">
        <v>0</v>
      </c>
      <c r="Y15" s="421">
        <v>-57.873671348274415779236304780</v>
      </c>
      <c r="Z15" s="420">
        <v>-47.145160810023494132376986930</v>
      </c>
      <c r="AA15" s="91">
        <v>-60.620046478740206992505725750</v>
      </c>
      <c r="AB15" s="421">
        <v>-63.754617041305029766602952290</v>
      </c>
    </row>
    <row r="16" ht="18" customHeight="1">
      <c r="A16" s="58"/>
      <c r="B16" s="286"/>
      <c r="C16" s="287" t="s">
        <v>230</v>
      </c>
      <c r="D16" s="276">
        <v>180.05871212121212121212121212</v>
      </c>
      <c r="E16" s="94">
        <v>154.33282130056323604710701485</v>
      </c>
      <c r="F16" s="277">
        <v>102.25598688442474193235913252</v>
      </c>
      <c r="G16" s="276">
        <v>5.5170454545454545454545454545</v>
      </c>
      <c r="H16" s="94">
        <v>3.2348310291858678955453149002</v>
      </c>
      <c r="I16" s="277">
        <v>8.143794774263856665617619004</v>
      </c>
      <c r="J16" s="276">
        <v>0</v>
      </c>
      <c r="K16" s="94">
        <v>0</v>
      </c>
      <c r="L16" s="277">
        <v>4.14220472247804128632342524</v>
      </c>
      <c r="M16" s="276">
        <v>185.57575757575757575757575758</v>
      </c>
      <c r="N16" s="94">
        <v>157.56765232974910394265232975</v>
      </c>
      <c r="O16" s="277">
        <v>114.54198638116663988430017676</v>
      </c>
      <c r="P16" s="5"/>
      <c r="Q16" s="271">
        <v>-24.337438472321528341432241750</v>
      </c>
      <c r="R16" s="92">
        <v>-38.638109463074485922686863460</v>
      </c>
      <c r="S16" s="272">
        <v>-33.585714385588444243265554550</v>
      </c>
      <c r="T16" s="271">
        <v>-89.99101908503810972277684617</v>
      </c>
      <c r="U16" s="92">
        <v>-94.63368371850830525556117359</v>
      </c>
      <c r="V16" s="272">
        <v>-90.47463296980450695230082553</v>
      </c>
      <c r="W16" s="271">
        <v>0</v>
      </c>
      <c r="X16" s="92">
        <v>0</v>
      </c>
      <c r="Y16" s="272">
        <v>-50.563047043218963569372768440</v>
      </c>
      <c r="Z16" s="271">
        <v>-36.684507230560669348828049140</v>
      </c>
      <c r="AA16" s="92">
        <v>-49.463983690041658512321609240</v>
      </c>
      <c r="AB16" s="272">
        <v>-53.784174416292579354811799990</v>
      </c>
    </row>
    <row r="17" ht="18" customHeight="1">
      <c r="A17" s="58"/>
      <c r="B17" s="288"/>
      <c r="C17" s="289" t="s">
        <v>231</v>
      </c>
      <c r="D17" s="439">
        <v>209.7226295210166177908113392</v>
      </c>
      <c r="E17" s="95">
        <v>210.56850502948317724592438432</v>
      </c>
      <c r="F17" s="440">
        <v>128.34376124664207303407178163</v>
      </c>
      <c r="G17" s="439">
        <v>2.0283479960899315738025415445</v>
      </c>
      <c r="H17" s="95">
        <v>2.4872817666782286969591860331</v>
      </c>
      <c r="I17" s="440">
        <v>7.7227336567931387718951987322</v>
      </c>
      <c r="J17" s="439">
        <v>0</v>
      </c>
      <c r="K17" s="95">
        <v>0</v>
      </c>
      <c r="L17" s="440">
        <v>4.2771442905455890242673878721</v>
      </c>
      <c r="M17" s="439">
        <v>211.75097751710654936461388074</v>
      </c>
      <c r="N17" s="95">
        <v>213.05578679616140594288357035</v>
      </c>
      <c r="O17" s="440">
        <v>140.34363919398080083023436824</v>
      </c>
      <c r="P17" s="5"/>
      <c r="Q17" s="420">
        <v>137.76652924611574665273619571</v>
      </c>
      <c r="R17" s="91">
        <v>106.32755473445051048311855210</v>
      </c>
      <c r="S17" s="421">
        <v>128.15516134735590455676167191</v>
      </c>
      <c r="T17" s="420">
        <v>383.11990682582015257578909481</v>
      </c>
      <c r="U17" s="91">
        <v>-72.341063315101059307468038090</v>
      </c>
      <c r="V17" s="421">
        <v>-52.239106534154350739364353610</v>
      </c>
      <c r="W17" s="420">
        <v>0</v>
      </c>
      <c r="X17" s="91">
        <v>0</v>
      </c>
      <c r="Y17" s="421">
        <v>-27.617112430964480492389734820</v>
      </c>
      <c r="Z17" s="420">
        <v>138.92884126477982882392119617</v>
      </c>
      <c r="AA17" s="91">
        <v>91.85895431323760570460245777</v>
      </c>
      <c r="AB17" s="421">
        <v>79.166351363541034108789032650</v>
      </c>
    </row>
    <row r="18" ht="18" customHeight="1">
      <c r="A18" s="58"/>
      <c r="B18" s="286"/>
      <c r="C18" s="287" t="s">
        <v>232</v>
      </c>
      <c r="D18" s="276">
        <v>200.35858585858585858585858586</v>
      </c>
      <c r="E18" s="94">
        <v>199.16774193548387096774193548</v>
      </c>
      <c r="F18" s="277">
        <v>133.49685686240457407109263209</v>
      </c>
      <c r="G18" s="276">
        <v>16.466161616161616161616161616</v>
      </c>
      <c r="H18" s="94">
        <v>3.5285543608124253285543608124</v>
      </c>
      <c r="I18" s="277">
        <v>6.5368654158051212330977780111</v>
      </c>
      <c r="J18" s="276">
        <v>0</v>
      </c>
      <c r="K18" s="94">
        <v>0</v>
      </c>
      <c r="L18" s="277">
        <v>4.6614501355834081440854519726</v>
      </c>
      <c r="M18" s="276">
        <v>216.82474747474747474747474747</v>
      </c>
      <c r="N18" s="94">
        <v>202.6962962962962962962962963</v>
      </c>
      <c r="O18" s="277">
        <v>144.69517241379310344827586207</v>
      </c>
      <c r="P18" s="5"/>
      <c r="Q18" s="271"/>
      <c r="R18" s="92"/>
      <c r="S18" s="272">
        <v>4058.9730006210595763769792190</v>
      </c>
      <c r="T18" s="271"/>
      <c r="U18" s="92"/>
      <c r="V18" s="272">
        <v>382.31041616433728633402181471</v>
      </c>
      <c r="W18" s="271"/>
      <c r="X18" s="92"/>
      <c r="Y18" s="272">
        <v>-15.356884769970421633241574160</v>
      </c>
      <c r="Z18" s="271"/>
      <c r="AA18" s="92"/>
      <c r="AB18" s="272">
        <v>1336.5573034139931481483148056</v>
      </c>
    </row>
    <row r="19" ht="18" customHeight="1">
      <c r="A19" s="58"/>
      <c r="B19" s="288"/>
      <c r="C19" s="289" t="s">
        <v>233</v>
      </c>
      <c r="D19" s="439">
        <v>245.9281524926686217008797654</v>
      </c>
      <c r="E19" s="95">
        <v>232.23609665857324546190311019</v>
      </c>
      <c r="F19" s="440">
        <v>147.81419067102138915447593849</v>
      </c>
      <c r="G19" s="439">
        <v>2.7370478983382209188660801564</v>
      </c>
      <c r="H19" s="95">
        <v>3.8089374494161174702277719968</v>
      </c>
      <c r="I19" s="440">
        <v>9.774675961762123865050899653</v>
      </c>
      <c r="J19" s="439">
        <v>0</v>
      </c>
      <c r="K19" s="95">
        <v>0</v>
      </c>
      <c r="L19" s="440">
        <v>5.0969572775678948450258324322</v>
      </c>
      <c r="M19" s="439">
        <v>248.66520039100684261974584555</v>
      </c>
      <c r="N19" s="95">
        <v>236.04503410798936293213088218</v>
      </c>
      <c r="O19" s="440">
        <v>162.68582391035140786455267058</v>
      </c>
      <c r="P19" s="5"/>
      <c r="Q19" s="420"/>
      <c r="R19" s="91"/>
      <c r="S19" s="421">
        <v>1135.4838898608830040144577427</v>
      </c>
      <c r="T19" s="420"/>
      <c r="U19" s="91"/>
      <c r="V19" s="421">
        <v>695.71636347998971589495362574</v>
      </c>
      <c r="W19" s="420"/>
      <c r="X19" s="91"/>
      <c r="Y19" s="421">
        <v>-48.851122831906782100182520370</v>
      </c>
      <c r="Z19" s="420"/>
      <c r="AA19" s="91"/>
      <c r="AB19" s="421">
        <v>602.52108391474758799573633926</v>
      </c>
    </row>
    <row r="20" ht="18" customHeight="1">
      <c r="A20" s="58"/>
      <c r="B20" s="286"/>
      <c r="C20" s="287" t="s">
        <v>234</v>
      </c>
      <c r="D20" s="276">
        <v>205.21767676767676767676767677</v>
      </c>
      <c r="E20" s="94">
        <v>200.14109916367980884109916368</v>
      </c>
      <c r="F20" s="277">
        <v>127.12803920952937670408194143</v>
      </c>
      <c r="G20" s="276">
        <v>5.3792929292929292929292929293</v>
      </c>
      <c r="H20" s="94">
        <v>3.0295101553166069295101553166</v>
      </c>
      <c r="I20" s="277">
        <v>12.388272417565043527194596164</v>
      </c>
      <c r="J20" s="276">
        <v>0</v>
      </c>
      <c r="K20" s="94">
        <v>0</v>
      </c>
      <c r="L20" s="277">
        <v>5.589506584648985932571547002</v>
      </c>
      <c r="M20" s="276">
        <v>210.5969696969696969696969697</v>
      </c>
      <c r="N20" s="94">
        <v>203.170609318996415770609319</v>
      </c>
      <c r="O20" s="277">
        <v>145.1058182117434061638480846</v>
      </c>
      <c r="P20" s="5"/>
      <c r="Q20" s="271">
        <v>804.3142491507804971241433684</v>
      </c>
      <c r="R20" s="92">
        <v>849.6759128282510733416523721</v>
      </c>
      <c r="S20" s="272">
        <v>390.81658898018384794038409436</v>
      </c>
      <c r="T20" s="271">
        <v>0</v>
      </c>
      <c r="U20" s="92">
        <v>0</v>
      </c>
      <c r="V20" s="272">
        <v>2889.1018696543488590778229428</v>
      </c>
      <c r="W20" s="271">
        <v>0</v>
      </c>
      <c r="X20" s="92">
        <v>0</v>
      </c>
      <c r="Y20" s="272">
        <v>78.817157391407968767144167810</v>
      </c>
      <c r="Z20" s="271">
        <v>828.0186947079862310574865075</v>
      </c>
      <c r="AA20" s="92">
        <v>864.0510353502865802311910424</v>
      </c>
      <c r="AB20" s="272">
        <v>392.85976965564123417472754785</v>
      </c>
    </row>
    <row r="21" ht="18" customHeight="1">
      <c r="A21" s="58"/>
      <c r="B21" s="288"/>
      <c r="C21" s="289" t="s">
        <v>218</v>
      </c>
      <c r="D21" s="439">
        <v>228.20625610948191593352883675</v>
      </c>
      <c r="E21" s="95">
        <v>183.71858018268007862180598913</v>
      </c>
      <c r="F21" s="440">
        <v>133.92424538305290460578544314</v>
      </c>
      <c r="G21" s="439">
        <v>4.140273704789833822091886608</v>
      </c>
      <c r="H21" s="95">
        <v>10.774366978841484564689559487</v>
      </c>
      <c r="I21" s="440">
        <v>11.170727332794576143596221423</v>
      </c>
      <c r="J21" s="439">
        <v>0</v>
      </c>
      <c r="K21" s="95">
        <v>0</v>
      </c>
      <c r="L21" s="440">
        <v>4.4789080888209442842245683615</v>
      </c>
      <c r="M21" s="439">
        <v>232.34652981427174975562072336</v>
      </c>
      <c r="N21" s="95">
        <v>194.49294716152156318649554862</v>
      </c>
      <c r="O21" s="440">
        <v>149.57388080466842503360623293</v>
      </c>
      <c r="P21" s="5"/>
      <c r="Q21" s="420">
        <v>1168.5358763265489777039438291</v>
      </c>
      <c r="R21" s="91">
        <v>675.05470229794630189340016958</v>
      </c>
      <c r="S21" s="421">
        <v>539.76635047898770284250559475</v>
      </c>
      <c r="T21" s="420">
        <v>0</v>
      </c>
      <c r="U21" s="91">
        <v>0</v>
      </c>
      <c r="V21" s="421">
        <v>220.57904259395673466638910069</v>
      </c>
      <c r="W21" s="420">
        <v>0</v>
      </c>
      <c r="X21" s="91">
        <v>0</v>
      </c>
      <c r="Y21" s="421">
        <v>65.688199892899608996810625420</v>
      </c>
      <c r="Z21" s="420">
        <v>1191.5505202801207504013161454</v>
      </c>
      <c r="AA21" s="91">
        <v>720.50859042908301143931776231</v>
      </c>
      <c r="AB21" s="421">
        <v>451.50440116153511156536920283</v>
      </c>
    </row>
    <row r="22" ht="18" customHeight="1">
      <c r="A22" s="58"/>
      <c r="B22" s="286"/>
      <c r="C22" s="287" t="s">
        <v>219</v>
      </c>
      <c r="D22" s="276">
        <v>130.09433040078201368523949169</v>
      </c>
      <c r="E22" s="94">
        <v>114.4235171696149843912591051</v>
      </c>
      <c r="F22" s="277">
        <v>84.8971771490604565711511347</v>
      </c>
      <c r="G22" s="276">
        <v>1.1590909090909090909090909091</v>
      </c>
      <c r="H22" s="94">
        <v>1.8940918025205226037692218754</v>
      </c>
      <c r="I22" s="277">
        <v>7.5630653507507907129790100411</v>
      </c>
      <c r="J22" s="276">
        <v>0</v>
      </c>
      <c r="K22" s="94">
        <v>0</v>
      </c>
      <c r="L22" s="277">
        <v>4.8778538393628428001695719126</v>
      </c>
      <c r="M22" s="276">
        <v>131.2534213098729227761485826</v>
      </c>
      <c r="N22" s="94">
        <v>116.31760897213550699502832697</v>
      </c>
      <c r="O22" s="277">
        <v>97.33809633917409008429971665</v>
      </c>
      <c r="P22" s="5"/>
      <c r="Q22" s="271">
        <v>362.04574057150252502633156536</v>
      </c>
      <c r="R22" s="92">
        <v>242.53286387017628887723981693</v>
      </c>
      <c r="S22" s="272">
        <v>277.72101550776957173139206149</v>
      </c>
      <c r="T22" s="271">
        <v>0</v>
      </c>
      <c r="U22" s="92">
        <v>0</v>
      </c>
      <c r="V22" s="272">
        <v>4.9694085548692823334192399400</v>
      </c>
      <c r="W22" s="271">
        <v>0</v>
      </c>
      <c r="X22" s="92">
        <v>0</v>
      </c>
      <c r="Y22" s="272">
        <v>68.378462038927349570064107680</v>
      </c>
      <c r="Z22" s="271">
        <v>366.16239204917050126020932647</v>
      </c>
      <c r="AA22" s="92">
        <v>248.20292808074107292126647958</v>
      </c>
      <c r="AB22" s="272">
        <v>198.78350284574719814130268277</v>
      </c>
    </row>
    <row r="23" ht="18" customHeight="1">
      <c r="A23" s="58"/>
      <c r="B23" s="288"/>
      <c r="C23" s="289" t="s">
        <v>220</v>
      </c>
      <c r="D23" s="439">
        <v>105.44015151515151515151515152</v>
      </c>
      <c r="E23" s="95">
        <v>88.99643770795614161579585449</v>
      </c>
      <c r="F23" s="440">
        <v>70.215306199284443129913274843</v>
      </c>
      <c r="G23" s="439">
        <v>2.7300505050505050505050505051</v>
      </c>
      <c r="H23" s="95">
        <v>7.941340069821636161981923281</v>
      </c>
      <c r="I23" s="440">
        <v>9.238898705372947869955736143</v>
      </c>
      <c r="J23" s="439">
        <v>0</v>
      </c>
      <c r="K23" s="95">
        <v>0</v>
      </c>
      <c r="L23" s="440">
        <v>5.7337714449153624120290977868</v>
      </c>
      <c r="M23" s="439">
        <v>108.17020202020202020202020202</v>
      </c>
      <c r="N23" s="95">
        <v>96.93777777777777777777777778</v>
      </c>
      <c r="O23" s="440">
        <v>85.18797634957275341189810878</v>
      </c>
      <c r="P23" s="5"/>
      <c r="Q23" s="420">
        <v>97.96555042967353163446626153</v>
      </c>
      <c r="R23" s="91">
        <v>69.473359572080518940847538070</v>
      </c>
      <c r="S23" s="421">
        <v>118.74347245574751623821793284</v>
      </c>
      <c r="T23" s="420">
        <v>0</v>
      </c>
      <c r="U23" s="91">
        <v>5259.5723160900946369988741776</v>
      </c>
      <c r="V23" s="421">
        <v>755.00260953775148783382321935</v>
      </c>
      <c r="W23" s="420">
        <v>0</v>
      </c>
      <c r="X23" s="91">
        <v>0</v>
      </c>
      <c r="Y23" s="421">
        <v>149.12977455844804561600072470</v>
      </c>
      <c r="Z23" s="420">
        <v>103.09126338784837961539329120</v>
      </c>
      <c r="AA23" s="91">
        <v>84.07643879695223462130536812</v>
      </c>
      <c r="AB23" s="421">
        <v>140.09143031645954546902020370</v>
      </c>
    </row>
    <row r="24" ht="18" customHeight="1">
      <c r="A24" s="59"/>
      <c r="B24" s="286"/>
      <c r="C24" s="287" t="s">
        <v>221</v>
      </c>
      <c r="D24" s="276">
        <v>131.90591397849462365591397849</v>
      </c>
      <c r="E24" s="94">
        <v>106.91016921240571997435473902</v>
      </c>
      <c r="F24" s="277">
        <v>85.24086474632611546218330367</v>
      </c>
      <c r="G24" s="276">
        <v>3.9332844574780058651026392962</v>
      </c>
      <c r="H24" s="94">
        <v>11.855067738670400878362402231</v>
      </c>
      <c r="I24" s="277">
        <v>13.011358316067242426172216495</v>
      </c>
      <c r="J24" s="276">
        <v>0</v>
      </c>
      <c r="K24" s="94">
        <v>0</v>
      </c>
      <c r="L24" s="277">
        <v>6.3915187650879055878626913849</v>
      </c>
      <c r="M24" s="276">
        <v>135.83919843597262952101661779</v>
      </c>
      <c r="N24" s="94">
        <v>118.76523695107612085271714125</v>
      </c>
      <c r="O24" s="277">
        <v>104.64374182748126347621821155</v>
      </c>
      <c r="P24" s="93"/>
      <c r="Q24" s="271">
        <v>115.69135970201111810636949983</v>
      </c>
      <c r="R24" s="92">
        <v>78.500130311559414722854829350</v>
      </c>
      <c r="S24" s="272">
        <v>123.16901135634769497075721290</v>
      </c>
      <c r="T24" s="271">
        <v>102.80997983807589623236085153</v>
      </c>
      <c r="U24" s="92">
        <v>121479.40392333418763216456622</v>
      </c>
      <c r="V24" s="272">
        <v>335.82893038084693396207244095</v>
      </c>
      <c r="W24" s="271">
        <v>0</v>
      </c>
      <c r="X24" s="92">
        <v>0</v>
      </c>
      <c r="Y24" s="272">
        <v>94.49967907547986170654129189</v>
      </c>
      <c r="Z24" s="271">
        <v>115.29541176373315822828155812</v>
      </c>
      <c r="AA24" s="92">
        <v>98.26139665604776981942451741</v>
      </c>
      <c r="AB24" s="272">
        <v>135.32784769642404783510558521</v>
      </c>
    </row>
    <row r="25" ht="18" customHeight="1">
      <c r="A25" s="60"/>
      <c r="B25" s="288"/>
      <c r="C25" s="289" t="s">
        <v>222</v>
      </c>
      <c r="D25" s="439">
        <v>175.99040404040404040404040404</v>
      </c>
      <c r="E25" s="95">
        <v>146.70635978187752895948055251</v>
      </c>
      <c r="F25" s="440">
        <v>111.46009161479125728829389109</v>
      </c>
      <c r="G25" s="439">
        <v>20.46969696969696969696969697</v>
      </c>
      <c r="H25" s="95">
        <v>20.201619617425779600150742896</v>
      </c>
      <c r="I25" s="440">
        <v>19.552610053761839044462596485</v>
      </c>
      <c r="J25" s="439">
        <v>0</v>
      </c>
      <c r="K25" s="95">
        <v>0.1431563640353073938816470008</v>
      </c>
      <c r="L25" s="440">
        <v>7.7188579791012541794201635522</v>
      </c>
      <c r="M25" s="439">
        <v>196.46010101010101010101010101</v>
      </c>
      <c r="N25" s="95">
        <v>167.05113576333861595351294242</v>
      </c>
      <c r="O25" s="440">
        <v>138.73155964765435051217665112</v>
      </c>
      <c r="P25" s="93"/>
      <c r="Q25" s="420">
        <v>173.70202805661592597828989742</v>
      </c>
      <c r="R25" s="91">
        <v>97.79141993520280746445475746</v>
      </c>
      <c r="S25" s="421">
        <v>172.64843103991456150029486092</v>
      </c>
      <c r="T25" s="420">
        <v>1605.8080808080808080808080808</v>
      </c>
      <c r="U25" s="91">
        <v>2454.9573907790727244472970983</v>
      </c>
      <c r="V25" s="421">
        <v>633.86838202162871154128908388</v>
      </c>
      <c r="W25" s="420">
        <v>0</v>
      </c>
      <c r="X25" s="91">
        <v>0</v>
      </c>
      <c r="Y25" s="421">
        <v>122.37236022859644981821074964</v>
      </c>
      <c r="Z25" s="420">
        <v>199.93908551160459557406122292</v>
      </c>
      <c r="AA25" s="91">
        <v>122.84496293181194681969929195</v>
      </c>
      <c r="AB25" s="421">
        <v>195.07320468160715532373478922</v>
      </c>
    </row>
    <row r="26" ht="18" customHeight="1">
      <c r="A26" s="60"/>
      <c r="B26" s="290"/>
      <c r="C26" s="291" t="s">
        <v>223</v>
      </c>
      <c r="D26" s="443">
        <v>294.69379276637341153470185728</v>
      </c>
      <c r="E26" s="444">
        <v>244.57537958182097029804202239</v>
      </c>
      <c r="F26" s="445">
        <v>168.92461079807803011223751005</v>
      </c>
      <c r="G26" s="443">
        <v>20.797653958944281524926686217</v>
      </c>
      <c r="H26" s="444">
        <v>11.22769797045140841470272481</v>
      </c>
      <c r="I26" s="445">
        <v>19.939727927914921263544624502</v>
      </c>
      <c r="J26" s="443">
        <v>0</v>
      </c>
      <c r="K26" s="444">
        <v>0</v>
      </c>
      <c r="L26" s="445">
        <v>8.403361165618717534510128218</v>
      </c>
      <c r="M26" s="443">
        <v>315.4914467253176930596285435</v>
      </c>
      <c r="N26" s="444">
        <v>255.8030775522723787127447472</v>
      </c>
      <c r="O26" s="445">
        <v>197.26769989161166891029226277</v>
      </c>
      <c r="P26" s="184"/>
      <c r="Q26" s="273">
        <v>163.98403688234256721753692299</v>
      </c>
      <c r="R26" s="274">
        <v>112.22929858097464714454153786</v>
      </c>
      <c r="S26" s="275">
        <v>159.88116122414319231685527544</v>
      </c>
      <c r="T26" s="273">
        <v>206.62583318182707424556423168</v>
      </c>
      <c r="U26" s="274">
        <v>246.60190443927915877636455432</v>
      </c>
      <c r="V26" s="275">
        <v>1182.2325711295730255395072350</v>
      </c>
      <c r="W26" s="273">
        <v>0</v>
      </c>
      <c r="X26" s="274">
        <v>0</v>
      </c>
      <c r="Y26" s="275">
        <v>111.82111737186170434403147117</v>
      </c>
      <c r="Z26" s="273">
        <v>166.42651653680275745749143577</v>
      </c>
      <c r="AA26" s="274">
        <v>115.90316842936280909928418534</v>
      </c>
      <c r="AB26" s="275">
        <v>179.72112290849489498305763984</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2019</v>
      </c>
      <c r="C29" s="285"/>
      <c r="D29" s="454">
        <v>118.14443752594437525944375259</v>
      </c>
      <c r="E29" s="455">
        <v>157.21946876051518196307620786</v>
      </c>
      <c r="F29" s="456">
        <v>108.44492289985838074182311338</v>
      </c>
      <c r="G29" s="454">
        <v>13.444271481942714819427148194</v>
      </c>
      <c r="H29" s="455">
        <v>19.89140052929668592649999164</v>
      </c>
      <c r="I29" s="456">
        <v>29.17908498145239274934620836</v>
      </c>
      <c r="J29" s="454">
        <v>0</v>
      </c>
      <c r="K29" s="455">
        <v>0.0195688492585356881325906321</v>
      </c>
      <c r="L29" s="456">
        <v>7.6936770727723944371150514497</v>
      </c>
      <c r="M29" s="454">
        <v>131.58870900788709007887090079</v>
      </c>
      <c r="N29" s="455">
        <v>177.13043813907040357770879014</v>
      </c>
      <c r="O29" s="456">
        <v>145.31768495408316792828437319</v>
      </c>
      <c r="P29" s="5"/>
      <c r="Q29" s="427">
        <v>86.85162092157549530445179952</v>
      </c>
      <c r="R29" s="428">
        <v>1.8755584681260782924117767200</v>
      </c>
      <c r="S29" s="429">
        <v>2.8005295802278210850886264100</v>
      </c>
      <c r="T29" s="427">
        <v>81.57158337267329831989619284</v>
      </c>
      <c r="U29" s="428">
        <v>-8.719671077151665953087958810</v>
      </c>
      <c r="V29" s="429">
        <v>-5.0932094830111241601291378800</v>
      </c>
      <c r="W29" s="427">
        <v>-100</v>
      </c>
      <c r="X29" s="428">
        <v>-99.36836604052185602799678368</v>
      </c>
      <c r="Y29" s="429">
        <v>23.192918963186586015543916720</v>
      </c>
      <c r="Z29" s="427">
        <v>84.75946982501326306113629962</v>
      </c>
      <c r="AA29" s="428">
        <v>-1.1629951655561955001917049200</v>
      </c>
      <c r="AB29" s="429">
        <v>1.9910323596219912219878415600</v>
      </c>
    </row>
    <row r="30" ht="18" customHeight="1">
      <c r="A30" s="58"/>
      <c r="B30" s="286">
        <v>2020</v>
      </c>
      <c r="C30" s="287"/>
      <c r="D30" s="276">
        <v>86.5236462990561351217088922</v>
      </c>
      <c r="E30" s="94">
        <v>104.88036542110519690581134017</v>
      </c>
      <c r="F30" s="277">
        <v>56.515073410230860335240113585</v>
      </c>
      <c r="G30" s="276">
        <v>14.930178837555886736214605067</v>
      </c>
      <c r="H30" s="94">
        <v>17.286620926233336591257926876</v>
      </c>
      <c r="I30" s="277">
        <v>20.218147745910875585026079961</v>
      </c>
      <c r="J30" s="276">
        <v>0</v>
      </c>
      <c r="K30" s="94">
        <v>0</v>
      </c>
      <c r="L30" s="277">
        <v>4.7962489967467098562554467841</v>
      </c>
      <c r="M30" s="276">
        <v>101.45382513661202185792349727</v>
      </c>
      <c r="N30" s="94">
        <v>122.16698634733853349706926705</v>
      </c>
      <c r="O30" s="277">
        <v>81.52947015288844577652164033</v>
      </c>
      <c r="P30" s="5"/>
      <c r="Q30" s="271">
        <v>-26.764519675259238745284952550</v>
      </c>
      <c r="R30" s="92">
        <v>-33.290472071957884367697357440</v>
      </c>
      <c r="S30" s="272">
        <v>-47.885920429491149175033788110</v>
      </c>
      <c r="T30" s="271">
        <v>11.052345660055744193240182380</v>
      </c>
      <c r="U30" s="92">
        <v>-13.095003537985308636827143940</v>
      </c>
      <c r="V30" s="272">
        <v>-30.710137899356679369332197090</v>
      </c>
      <c r="W30" s="271">
        <v>0</v>
      </c>
      <c r="X30" s="92">
        <v>-100</v>
      </c>
      <c r="Y30" s="272">
        <v>-37.659860800458759589342992110</v>
      </c>
      <c r="Z30" s="271">
        <v>-22.900812766146078637758322040</v>
      </c>
      <c r="AA30" s="92">
        <v>-31.029930467737472213729810290</v>
      </c>
      <c r="AB30" s="272">
        <v>-43.895699839534107944139431630</v>
      </c>
    </row>
    <row r="31" ht="18" customHeight="1">
      <c r="A31" s="58"/>
      <c r="B31" s="425">
        <v>2021</v>
      </c>
      <c r="C31" s="426"/>
      <c r="D31" s="457">
        <v>187.49169779991697799916977999</v>
      </c>
      <c r="E31" s="458">
        <v>165.6360902394162167186360888</v>
      </c>
      <c r="F31" s="459">
        <v>114.19470561561868650846286986</v>
      </c>
      <c r="G31" s="457">
        <v>7.386986301369863013698630137</v>
      </c>
      <c r="H31" s="458">
        <v>7.2026972750990629626821568151</v>
      </c>
      <c r="I31" s="459">
        <v>10.901182169621939212992928819</v>
      </c>
      <c r="J31" s="457">
        <v>0</v>
      </c>
      <c r="K31" s="458">
        <v>0.0128808474479688238104226409</v>
      </c>
      <c r="L31" s="459">
        <v>5.489699836918894312999295458</v>
      </c>
      <c r="M31" s="457">
        <v>194.87868410128684101286841013</v>
      </c>
      <c r="N31" s="458">
        <v>172.85166836196324850512866826</v>
      </c>
      <c r="O31" s="459">
        <v>130.58558762215952003445509414</v>
      </c>
      <c r="P31" s="93"/>
      <c r="Q31" s="430">
        <v>116.69417069154103083077492686</v>
      </c>
      <c r="R31" s="431">
        <v>57.928597573415092841243575810</v>
      </c>
      <c r="S31" s="432">
        <v>102.06061626562180780848007439</v>
      </c>
      <c r="T31" s="430">
        <v>-50.523122450706638187318117750</v>
      </c>
      <c r="U31" s="431">
        <v>-58.333688776720443830737833220</v>
      </c>
      <c r="V31" s="432">
        <v>-46.082191570528168889253102350</v>
      </c>
      <c r="W31" s="430">
        <v>0</v>
      </c>
      <c r="X31" s="431">
        <v>0</v>
      </c>
      <c r="Y31" s="432">
        <v>14.458190988333062266247780560</v>
      </c>
      <c r="Z31" s="430">
        <v>92.08608826616171883247526863</v>
      </c>
      <c r="AA31" s="431">
        <v>41.488034967626444563805500030</v>
      </c>
      <c r="AB31" s="432">
        <v>60.169797960491953342592436180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2019</v>
      </c>
      <c r="C34" s="285"/>
      <c r="D34" s="454">
        <v>137.76375164690382081686429513</v>
      </c>
      <c r="E34" s="455">
        <v>159.34341659002405667236066401</v>
      </c>
      <c r="F34" s="456">
        <v>112.35933789242591381907491372</v>
      </c>
      <c r="G34" s="454">
        <v>7.931241765480895915678524374</v>
      </c>
      <c r="H34" s="455">
        <v>18.191810792322804762215233461</v>
      </c>
      <c r="I34" s="456">
        <v>25.448830070530284961332520163</v>
      </c>
      <c r="J34" s="454">
        <v>0</v>
      </c>
      <c r="K34" s="455">
        <v>0</v>
      </c>
      <c r="L34" s="456">
        <v>7.5317607944470228727641491924</v>
      </c>
      <c r="M34" s="454">
        <v>145.6949934123847167325428195</v>
      </c>
      <c r="N34" s="455">
        <v>177.53522738234686143457589747</v>
      </c>
      <c r="O34" s="456">
        <v>145.33992875740322165317158307</v>
      </c>
      <c r="P34" s="5"/>
      <c r="Q34" s="427">
        <v>66.234735346459515719962236290</v>
      </c>
      <c r="R34" s="428">
        <v>-1.087953828244088973104211100</v>
      </c>
      <c r="S34" s="429">
        <v>5.8325777438639545937368816700</v>
      </c>
      <c r="T34" s="427">
        <v>-40.909090909199376679468260630</v>
      </c>
      <c r="U34" s="428">
        <v>-15.620773089715662820160967800</v>
      </c>
      <c r="V34" s="429">
        <v>-1.9105195826398814498975492200</v>
      </c>
      <c r="W34" s="427">
        <v>0</v>
      </c>
      <c r="X34" s="428">
        <v>-100</v>
      </c>
      <c r="Y34" s="429">
        <v>29.389623260312089925024809060</v>
      </c>
      <c r="Z34" s="427">
        <v>51.300487084047935453758297530</v>
      </c>
      <c r="AA34" s="428">
        <v>-2.8061810499764931156086405700</v>
      </c>
      <c r="AB34" s="429">
        <v>5.3702834742507229353546098400</v>
      </c>
    </row>
    <row r="35" ht="18" customHeight="1">
      <c r="A35" s="58"/>
      <c r="B35" s="286">
        <v>2020</v>
      </c>
      <c r="C35" s="287"/>
      <c r="D35" s="276">
        <v>79.189476284584980237154150198</v>
      </c>
      <c r="E35" s="94">
        <v>83.19938788369790260149428391</v>
      </c>
      <c r="F35" s="277">
        <v>48.268936883182810399915712693</v>
      </c>
      <c r="G35" s="276">
        <v>3.3302865612648221343873517787</v>
      </c>
      <c r="H35" s="94">
        <v>1.3526420019803762714915834008</v>
      </c>
      <c r="I35" s="277">
        <v>2.3889452377566172697932562046</v>
      </c>
      <c r="J35" s="276">
        <v>0</v>
      </c>
      <c r="K35" s="94">
        <v>0</v>
      </c>
      <c r="L35" s="277">
        <v>3.5807961508818063963244437217</v>
      </c>
      <c r="M35" s="276">
        <v>82.51976284584980237154150198</v>
      </c>
      <c r="N35" s="94">
        <v>84.55202988567827887298586731</v>
      </c>
      <c r="O35" s="277">
        <v>54.23867827182123406603341262</v>
      </c>
      <c r="P35" s="5"/>
      <c r="Q35" s="271">
        <v>-42.517915389271467433874333870</v>
      </c>
      <c r="R35" s="92">
        <v>-47.786115257102318794020353630</v>
      </c>
      <c r="S35" s="272">
        <v>-57.040564862168231528542206640</v>
      </c>
      <c r="T35" s="271">
        <v>-58.010527736637785204741634750</v>
      </c>
      <c r="U35" s="92">
        <v>-92.56455546166462163874633341</v>
      </c>
      <c r="V35" s="272">
        <v>-90.61275024769859284524764337</v>
      </c>
      <c r="W35" s="271">
        <v>0</v>
      </c>
      <c r="X35" s="92">
        <v>0</v>
      </c>
      <c r="Y35" s="272">
        <v>-52.457383490668039791611099850</v>
      </c>
      <c r="Z35" s="271">
        <v>-43.361291343572961445259553310</v>
      </c>
      <c r="AA35" s="92">
        <v>-52.374505537649711883140400160</v>
      </c>
      <c r="AB35" s="272">
        <v>-62.681502092686511502853468630</v>
      </c>
    </row>
    <row r="36" ht="18" customHeight="1">
      <c r="A36" s="58"/>
      <c r="B36" s="425">
        <v>2021</v>
      </c>
      <c r="C36" s="426"/>
      <c r="D36" s="457">
        <v>201.13372859025032938076416337</v>
      </c>
      <c r="E36" s="458">
        <v>166.27437832692775290465995847</v>
      </c>
      <c r="F36" s="459">
        <v>121.98839663391593729843328215</v>
      </c>
      <c r="G36" s="457">
        <v>15.008152173913043478260869565</v>
      </c>
      <c r="H36" s="458">
        <v>14.365373103321189957495013317</v>
      </c>
      <c r="I36" s="459">
        <v>17.478934512785893975164130059</v>
      </c>
      <c r="J36" s="457">
        <v>0</v>
      </c>
      <c r="K36" s="458">
        <v>0.0466814230549915414831457611</v>
      </c>
      <c r="L36" s="459">
        <v>7.5022501872276406758278512418</v>
      </c>
      <c r="M36" s="457">
        <v>216.14188076416337285902503294</v>
      </c>
      <c r="N36" s="458">
        <v>180.68643285330393440363811755</v>
      </c>
      <c r="O36" s="459">
        <v>146.96958133392947194942526345</v>
      </c>
      <c r="P36" s="93"/>
      <c r="Q36" s="430">
        <v>153.99047705201816424536066879</v>
      </c>
      <c r="R36" s="431">
        <v>99.85048274556282113246977183</v>
      </c>
      <c r="S36" s="432">
        <v>152.72650385712967700855054027</v>
      </c>
      <c r="T36" s="430">
        <v>350.65647948489181198140726993</v>
      </c>
      <c r="U36" s="431">
        <v>962.0232908693301065698397052</v>
      </c>
      <c r="V36" s="432">
        <v>631.65907012930918073320642691</v>
      </c>
      <c r="W36" s="430">
        <v>0</v>
      </c>
      <c r="X36" s="431">
        <v>0</v>
      </c>
      <c r="Y36" s="432">
        <v>109.51346770583462190315803497</v>
      </c>
      <c r="Z36" s="430">
        <v>161.92741388272703239124683003</v>
      </c>
      <c r="AA36" s="431">
        <v>113.69851569212630121327480823</v>
      </c>
      <c r="AB36" s="432">
        <v>170.96822049652067227723005380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2019</v>
      </c>
      <c r="C39" s="285"/>
      <c r="D39" s="454">
        <v>118.14443752594437525944375259</v>
      </c>
      <c r="E39" s="455">
        <v>157.21946876051518196307620786</v>
      </c>
      <c r="F39" s="456">
        <v>108.44492289985838074182311338</v>
      </c>
      <c r="G39" s="454">
        <v>13.444271481942714819427148194</v>
      </c>
      <c r="H39" s="455">
        <v>19.89140052929668592649999164</v>
      </c>
      <c r="I39" s="456">
        <v>29.17908498145239274934620836</v>
      </c>
      <c r="J39" s="454">
        <v>0</v>
      </c>
      <c r="K39" s="455">
        <v>0.0195688492585356881325906321</v>
      </c>
      <c r="L39" s="456">
        <v>7.6936770727723944371150514497</v>
      </c>
      <c r="M39" s="454">
        <v>131.58870900788709007887090079</v>
      </c>
      <c r="N39" s="455">
        <v>177.13043813907040357770879014</v>
      </c>
      <c r="O39" s="456">
        <v>145.31768495408316792828437319</v>
      </c>
      <c r="P39" s="5"/>
      <c r="Q39" s="427">
        <v>86.85162092157549530445179952</v>
      </c>
      <c r="R39" s="428">
        <v>1.8755584681260782924117767200</v>
      </c>
      <c r="S39" s="429">
        <v>2.8005295802278210850886264100</v>
      </c>
      <c r="T39" s="427">
        <v>81.57158337267329831989619284</v>
      </c>
      <c r="U39" s="428">
        <v>-8.719671077151665953087958810</v>
      </c>
      <c r="V39" s="429">
        <v>-5.0932094830111241601291378800</v>
      </c>
      <c r="W39" s="427">
        <v>-100</v>
      </c>
      <c r="X39" s="428">
        <v>-99.36836604052185602799678368</v>
      </c>
      <c r="Y39" s="429">
        <v>23.192918963186586015543916720</v>
      </c>
      <c r="Z39" s="427">
        <v>84.75946982501326306113629962</v>
      </c>
      <c r="AA39" s="428">
        <v>-1.1629951655561955001917049200</v>
      </c>
      <c r="AB39" s="429">
        <v>1.9910323596219912219878415600</v>
      </c>
    </row>
    <row r="40" ht="18" customHeight="1">
      <c r="A40" s="58"/>
      <c r="B40" s="286">
        <v>2020</v>
      </c>
      <c r="C40" s="287"/>
      <c r="D40" s="276">
        <v>86.5236462990561351217088922</v>
      </c>
      <c r="E40" s="94">
        <v>104.88036542110519690581134017</v>
      </c>
      <c r="F40" s="277">
        <v>56.515073410230860335240113585</v>
      </c>
      <c r="G40" s="276">
        <v>14.930178837555886736214605067</v>
      </c>
      <c r="H40" s="94">
        <v>17.286620926233336591257926876</v>
      </c>
      <c r="I40" s="277">
        <v>20.218147745910875585026079961</v>
      </c>
      <c r="J40" s="276">
        <v>0</v>
      </c>
      <c r="K40" s="94">
        <v>0</v>
      </c>
      <c r="L40" s="277">
        <v>4.7962489967467098562554467841</v>
      </c>
      <c r="M40" s="276">
        <v>101.45382513661202185792349727</v>
      </c>
      <c r="N40" s="94">
        <v>122.16698634733853349706926705</v>
      </c>
      <c r="O40" s="277">
        <v>81.52947015288844577652164033</v>
      </c>
      <c r="P40" s="5"/>
      <c r="Q40" s="271">
        <v>-26.764519675259238745284952550</v>
      </c>
      <c r="R40" s="92">
        <v>-33.290472071957884367697357440</v>
      </c>
      <c r="S40" s="272">
        <v>-47.885920429491149175033788110</v>
      </c>
      <c r="T40" s="271">
        <v>11.052345660055744193240182380</v>
      </c>
      <c r="U40" s="92">
        <v>-13.095003537985308636827143940</v>
      </c>
      <c r="V40" s="272">
        <v>-30.710137899356679369332197090</v>
      </c>
      <c r="W40" s="271">
        <v>0</v>
      </c>
      <c r="X40" s="92">
        <v>-100</v>
      </c>
      <c r="Y40" s="272">
        <v>-37.659860800458759589342992110</v>
      </c>
      <c r="Z40" s="271">
        <v>-22.900812766146078637758322040</v>
      </c>
      <c r="AA40" s="92">
        <v>-31.029930467737472213729810290</v>
      </c>
      <c r="AB40" s="272">
        <v>-43.895699839534107944139431630</v>
      </c>
    </row>
    <row r="41" ht="18" customHeight="1">
      <c r="A41" s="58"/>
      <c r="B41" s="425">
        <v>2021</v>
      </c>
      <c r="C41" s="426"/>
      <c r="D41" s="457">
        <v>187.49169779991697799916977999</v>
      </c>
      <c r="E41" s="458">
        <v>165.6360902394162167186360888</v>
      </c>
      <c r="F41" s="459">
        <v>114.19470561561868650846286986</v>
      </c>
      <c r="G41" s="457">
        <v>7.386986301369863013698630137</v>
      </c>
      <c r="H41" s="458">
        <v>7.2026972750990629626821568151</v>
      </c>
      <c r="I41" s="459">
        <v>10.901182169621939212992928819</v>
      </c>
      <c r="J41" s="457">
        <v>0</v>
      </c>
      <c r="K41" s="458">
        <v>0.0128808474479688238104226409</v>
      </c>
      <c r="L41" s="459">
        <v>5.489699836918894312999295458</v>
      </c>
      <c r="M41" s="457">
        <v>194.87868410128684101286841013</v>
      </c>
      <c r="N41" s="458">
        <v>172.85166836196324850512866826</v>
      </c>
      <c r="O41" s="459">
        <v>130.58558762215952003445509414</v>
      </c>
      <c r="P41" s="93"/>
      <c r="Q41" s="430">
        <v>116.69417069154103083077492686</v>
      </c>
      <c r="R41" s="431">
        <v>57.928597573415092841243575810</v>
      </c>
      <c r="S41" s="432">
        <v>102.06061626562180780848007439</v>
      </c>
      <c r="T41" s="430">
        <v>-50.523122450706638187318117750</v>
      </c>
      <c r="U41" s="431">
        <v>-58.333688776720443830737833220</v>
      </c>
      <c r="V41" s="432">
        <v>-46.082191570528168889253102350</v>
      </c>
      <c r="W41" s="430">
        <v>0</v>
      </c>
      <c r="X41" s="431">
        <v>0</v>
      </c>
      <c r="Y41" s="432">
        <v>14.458190988333062266247780560</v>
      </c>
      <c r="Z41" s="430">
        <v>92.08608826616171883247526863</v>
      </c>
      <c r="AA41" s="431">
        <v>41.488034967626444563805500030</v>
      </c>
      <c r="AB41" s="432">
        <v>60.169797960491953342592436180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10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185</v>
      </c>
      <c r="Y1" s="21"/>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2020</v>
      </c>
      <c r="C9" s="285" t="s">
        <v>218</v>
      </c>
      <c r="D9" s="415">
        <v>69.028500719579281496724905480</v>
      </c>
      <c r="E9" s="416">
        <v>109.94503608055438721499612943</v>
      </c>
      <c r="F9" s="417">
        <v>75.893410022007185848471820110</v>
      </c>
      <c r="G9" s="415">
        <v>0</v>
      </c>
      <c r="H9" s="416">
        <v>0</v>
      </c>
      <c r="I9" s="417">
        <v>0</v>
      </c>
      <c r="J9" s="415">
        <v>0</v>
      </c>
      <c r="K9" s="416">
        <v>0</v>
      </c>
      <c r="L9" s="417">
        <v>0</v>
      </c>
      <c r="M9" s="415">
        <v>69.028500719579281496724905480</v>
      </c>
      <c r="N9" s="416">
        <v>109.94503608055438721499612943</v>
      </c>
      <c r="O9" s="417">
        <v>75.893410022007185848471820110</v>
      </c>
      <c r="P9" s="5"/>
      <c r="Q9" s="415">
        <v>-11.224615293374896323929051700</v>
      </c>
      <c r="R9" s="416">
        <v>14.560856121524213272187549940</v>
      </c>
      <c r="S9" s="417">
        <v>1.7018407450818784092915778400</v>
      </c>
      <c r="T9" s="415">
        <v>-100</v>
      </c>
      <c r="U9" s="416">
        <v>-100</v>
      </c>
      <c r="V9" s="417">
        <v>-100</v>
      </c>
      <c r="W9" s="415">
        <v>0</v>
      </c>
      <c r="X9" s="416">
        <v>0</v>
      </c>
      <c r="Y9" s="417">
        <v>0</v>
      </c>
      <c r="Z9" s="415">
        <v>-8.247010536353649628920576410</v>
      </c>
      <c r="AA9" s="416">
        <v>15.438005095598101764877420170</v>
      </c>
      <c r="AB9" s="417">
        <v>5.9178206524269795812871728400</v>
      </c>
    </row>
    <row r="10" ht="18.95" customHeight="1">
      <c r="A10" s="58"/>
      <c r="B10" s="286"/>
      <c r="C10" s="287" t="s">
        <v>219</v>
      </c>
      <c r="D10" s="271">
        <v>78.919399618254381398577129950</v>
      </c>
      <c r="E10" s="92">
        <v>106.80130984177251037359790810</v>
      </c>
      <c r="F10" s="272">
        <v>84.28695251155849362188443271</v>
      </c>
      <c r="G10" s="271">
        <v>0</v>
      </c>
      <c r="H10" s="92">
        <v>0</v>
      </c>
      <c r="I10" s="272">
        <v>0</v>
      </c>
      <c r="J10" s="271">
        <v>0</v>
      </c>
      <c r="K10" s="92">
        <v>0</v>
      </c>
      <c r="L10" s="272">
        <v>0</v>
      </c>
      <c r="M10" s="271">
        <v>78.919399618254381398577129950</v>
      </c>
      <c r="N10" s="92">
        <v>106.80130984177251037359790810</v>
      </c>
      <c r="O10" s="272">
        <v>84.28695251155849362188443271</v>
      </c>
      <c r="P10" s="5"/>
      <c r="Q10" s="271">
        <v>-10.800121409825444668008631710</v>
      </c>
      <c r="R10" s="92">
        <v>16.785135038014014549507103220</v>
      </c>
      <c r="S10" s="272">
        <v>4.1721986653963612149859860400</v>
      </c>
      <c r="T10" s="271">
        <v>-100</v>
      </c>
      <c r="U10" s="92">
        <v>-100</v>
      </c>
      <c r="V10" s="272">
        <v>-100</v>
      </c>
      <c r="W10" s="271">
        <v>0</v>
      </c>
      <c r="X10" s="92">
        <v>0</v>
      </c>
      <c r="Y10" s="272">
        <v>0</v>
      </c>
      <c r="Z10" s="271">
        <v>-8.989377118305681990257025830</v>
      </c>
      <c r="AA10" s="92">
        <v>16.954668799505370383821021240</v>
      </c>
      <c r="AB10" s="272">
        <v>6.4411725636269962541703258800</v>
      </c>
    </row>
    <row r="11" ht="18.95" customHeight="1">
      <c r="A11" s="58"/>
      <c r="B11" s="288"/>
      <c r="C11" s="289" t="s">
        <v>220</v>
      </c>
      <c r="D11" s="420">
        <v>112.24718600576163464108580084</v>
      </c>
      <c r="E11" s="91">
        <v>90.35865397011409100097336083</v>
      </c>
      <c r="F11" s="421">
        <v>101.42504639413648364643277387</v>
      </c>
      <c r="G11" s="420">
        <v>0</v>
      </c>
      <c r="H11" s="91">
        <v>0</v>
      </c>
      <c r="I11" s="421">
        <v>0</v>
      </c>
      <c r="J11" s="420">
        <v>0</v>
      </c>
      <c r="K11" s="91">
        <v>0</v>
      </c>
      <c r="L11" s="421">
        <v>0</v>
      </c>
      <c r="M11" s="420">
        <v>111.95458988714120678930063094</v>
      </c>
      <c r="N11" s="91">
        <v>90.33990723273465878143069031</v>
      </c>
      <c r="O11" s="421">
        <v>101.13967264683190393612007413</v>
      </c>
      <c r="P11" s="5"/>
      <c r="Q11" s="420">
        <v>33.704505021892809075678328180</v>
      </c>
      <c r="R11" s="91">
        <v>-2.59701710959958618061590500</v>
      </c>
      <c r="S11" s="421">
        <v>30.232176150230405463469928730</v>
      </c>
      <c r="T11" s="420">
        <v>-100</v>
      </c>
      <c r="U11" s="91">
        <v>-100</v>
      </c>
      <c r="V11" s="421">
        <v>-100</v>
      </c>
      <c r="W11" s="420">
        <v>0</v>
      </c>
      <c r="X11" s="91">
        <v>0</v>
      </c>
      <c r="Y11" s="421">
        <v>0</v>
      </c>
      <c r="Z11" s="420">
        <v>39.511720864215190488166540240</v>
      </c>
      <c r="AA11" s="91">
        <v>-1.6679022847630227419108897900</v>
      </c>
      <c r="AB11" s="421">
        <v>37.184801684317485994772042550</v>
      </c>
    </row>
    <row r="12" ht="18.95" customHeight="1">
      <c r="A12" s="58"/>
      <c r="B12" s="286"/>
      <c r="C12" s="287" t="s">
        <v>221</v>
      </c>
      <c r="D12" s="271">
        <v>110.56132445141065830721003135</v>
      </c>
      <c r="E12" s="92">
        <v>92.35231943198098492327706600</v>
      </c>
      <c r="F12" s="272">
        <v>102.10594752559566946929832431</v>
      </c>
      <c r="G12" s="271">
        <v>22686.363636363636363636361479</v>
      </c>
      <c r="H12" s="92">
        <v>87.67123287671232876712328767</v>
      </c>
      <c r="I12" s="272">
        <v>19889.414694894146948941469574</v>
      </c>
      <c r="J12" s="271">
        <v>0</v>
      </c>
      <c r="K12" s="92">
        <v>0</v>
      </c>
      <c r="L12" s="272">
        <v>0</v>
      </c>
      <c r="M12" s="271">
        <v>113.80450823418787791722714867</v>
      </c>
      <c r="N12" s="92">
        <v>92.55069638917754184378111780</v>
      </c>
      <c r="O12" s="272">
        <v>105.32686489301977861323988627</v>
      </c>
      <c r="P12" s="5"/>
      <c r="Q12" s="271">
        <v>29.657097666424727686502234070</v>
      </c>
      <c r="R12" s="92">
        <v>-3.9279991271872089474923859600</v>
      </c>
      <c r="S12" s="272">
        <v>24.564168001825361290656613440</v>
      </c>
      <c r="T12" s="271">
        <v>30333.020479139531044535647540</v>
      </c>
      <c r="U12" s="92">
        <v>19.140766692272649970042664690</v>
      </c>
      <c r="V12" s="272">
        <v>36158.133926449662417674133020</v>
      </c>
      <c r="W12" s="271">
        <v>0</v>
      </c>
      <c r="X12" s="92">
        <v>0</v>
      </c>
      <c r="Y12" s="272">
        <v>0</v>
      </c>
      <c r="Z12" s="271">
        <v>34.909042312889604469612298640</v>
      </c>
      <c r="AA12" s="92">
        <v>-1.5928823900636988228534702100</v>
      </c>
      <c r="AB12" s="272">
        <v>32.760099935229900844244112200</v>
      </c>
    </row>
    <row r="13" ht="18.95" customHeight="1">
      <c r="A13" s="58"/>
      <c r="B13" s="288"/>
      <c r="C13" s="289" t="s">
        <v>222</v>
      </c>
      <c r="D13" s="420">
        <v>86.05600127517135115031082303</v>
      </c>
      <c r="E13" s="91">
        <v>100.73683875110934606733836343</v>
      </c>
      <c r="F13" s="421">
        <v>86.69009524022196666033964919</v>
      </c>
      <c r="G13" s="420">
        <v>223.91451831750339213025780301</v>
      </c>
      <c r="H13" s="91">
        <v>67.779204107830551989730423610</v>
      </c>
      <c r="I13" s="421">
        <v>151.76747839748625294579732914</v>
      </c>
      <c r="J13" s="420">
        <v>0</v>
      </c>
      <c r="K13" s="91">
        <v>0</v>
      </c>
      <c r="L13" s="421">
        <v>0</v>
      </c>
      <c r="M13" s="420">
        <v>87.12727483604310326648531242</v>
      </c>
      <c r="N13" s="91">
        <v>100.28605759982840932360373250</v>
      </c>
      <c r="O13" s="421">
        <v>87.37650902723498982243814059</v>
      </c>
      <c r="P13" s="5"/>
      <c r="Q13" s="420">
        <v>-1.4445390262253405898044167600</v>
      </c>
      <c r="R13" s="91">
        <v>4.4836776247445300271020557300</v>
      </c>
      <c r="S13" s="421">
        <v>2.9743701253830538355074011800</v>
      </c>
      <c r="T13" s="420">
        <v>295.10253802287741173399278539</v>
      </c>
      <c r="U13" s="91">
        <v>-14.880384369979624725334101540</v>
      </c>
      <c r="V13" s="421">
        <v>236.30976170952784777991505526</v>
      </c>
      <c r="W13" s="420">
        <v>0</v>
      </c>
      <c r="X13" s="91">
        <v>0</v>
      </c>
      <c r="Y13" s="421">
        <v>0</v>
      </c>
      <c r="Z13" s="420">
        <v>4.2574307671783579628425260900</v>
      </c>
      <c r="AA13" s="91">
        <v>6.1199302402390305515623848300</v>
      </c>
      <c r="AB13" s="421">
        <v>10.637912800425831958111264460</v>
      </c>
    </row>
    <row r="14" ht="18.95" customHeight="1">
      <c r="A14" s="58"/>
      <c r="B14" s="286"/>
      <c r="C14" s="287" t="s">
        <v>223</v>
      </c>
      <c r="D14" s="271">
        <v>106.17226600433256144020318219</v>
      </c>
      <c r="E14" s="92">
        <v>91.23780708753905134813296802</v>
      </c>
      <c r="F14" s="272">
        <v>96.86924723750174849997800380</v>
      </c>
      <c r="G14" s="271">
        <v>166.74338319907940161104718144</v>
      </c>
      <c r="H14" s="92">
        <v>125.57327496351886595789034813</v>
      </c>
      <c r="I14" s="272">
        <v>209.38512706805389732219000512</v>
      </c>
      <c r="J14" s="271">
        <v>0</v>
      </c>
      <c r="K14" s="92">
        <v>0</v>
      </c>
      <c r="L14" s="272">
        <v>0</v>
      </c>
      <c r="M14" s="271">
        <v>107.61168792102312607677091785</v>
      </c>
      <c r="N14" s="92">
        <v>92.87609566590558074168521195</v>
      </c>
      <c r="O14" s="272">
        <v>99.94553422122519894345049587</v>
      </c>
      <c r="P14" s="5"/>
      <c r="Q14" s="271">
        <v>2.5504005980059522445459502600</v>
      </c>
      <c r="R14" s="92">
        <v>5.0276382616793205184745304300</v>
      </c>
      <c r="S14" s="272">
        <v>7.7062637760210518610100277500</v>
      </c>
      <c r="T14" s="271">
        <v>254.70247419955553853812501826</v>
      </c>
      <c r="U14" s="92">
        <v>64.178136095009648026122968560</v>
      </c>
      <c r="V14" s="272">
        <v>482.34391082435449607044063786</v>
      </c>
      <c r="W14" s="271">
        <v>0</v>
      </c>
      <c r="X14" s="92">
        <v>0</v>
      </c>
      <c r="Y14" s="272">
        <v>0</v>
      </c>
      <c r="Z14" s="271">
        <v>9.463274383203371594609169830</v>
      </c>
      <c r="AA14" s="92">
        <v>7.0300047336025452274648196100</v>
      </c>
      <c r="AB14" s="272">
        <v>17.158547753855059680615444470</v>
      </c>
    </row>
    <row r="15" ht="18.95" customHeight="1">
      <c r="A15" s="58"/>
      <c r="B15" s="288">
        <v>2021</v>
      </c>
      <c r="C15" s="289" t="s">
        <v>227</v>
      </c>
      <c r="D15" s="420">
        <v>148.18534358793568917050905009</v>
      </c>
      <c r="E15" s="91">
        <v>90.86615955479839791341925137</v>
      </c>
      <c r="F15" s="421">
        <v>134.65033074143986030778347951</v>
      </c>
      <c r="G15" s="420">
        <v>97.68199927562477363274175979</v>
      </c>
      <c r="H15" s="91">
        <v>106.22375463199407137686908958</v>
      </c>
      <c r="I15" s="421">
        <v>103.76148723016588573104524976</v>
      </c>
      <c r="J15" s="420">
        <v>0</v>
      </c>
      <c r="K15" s="91">
        <v>0</v>
      </c>
      <c r="L15" s="421">
        <v>0</v>
      </c>
      <c r="M15" s="420">
        <v>146.92401628222523744911804614</v>
      </c>
      <c r="N15" s="91">
        <v>90.96426456727181416634598032</v>
      </c>
      <c r="O15" s="421">
        <v>133.64835088382488267807926439</v>
      </c>
      <c r="P15" s="5"/>
      <c r="Q15" s="420">
        <v>59.763984331457306032017934320</v>
      </c>
      <c r="R15" s="91">
        <v>-6.9184240472550338971259486800</v>
      </c>
      <c r="S15" s="421">
        <v>48.710834420651950989635942240</v>
      </c>
      <c r="T15" s="420">
        <v>-8.406393072271604610079976910</v>
      </c>
      <c r="U15" s="91">
        <v>-11.026799001053114195181843900</v>
      </c>
      <c r="V15" s="421">
        <v>-18.506236006037648244555718740</v>
      </c>
      <c r="W15" s="420">
        <v>0</v>
      </c>
      <c r="X15" s="91">
        <v>0</v>
      </c>
      <c r="Y15" s="421">
        <v>0</v>
      </c>
      <c r="Z15" s="420">
        <v>53.477952156457307282423915750</v>
      </c>
      <c r="AA15" s="91">
        <v>-12.549245499654727382465026910</v>
      </c>
      <c r="AB15" s="421">
        <v>34.217627152421481854898090730</v>
      </c>
    </row>
    <row r="16" ht="18.95" customHeight="1">
      <c r="A16" s="58"/>
      <c r="B16" s="286"/>
      <c r="C16" s="287" t="s">
        <v>230</v>
      </c>
      <c r="D16" s="271">
        <v>122.18474043083212238314996087</v>
      </c>
      <c r="E16" s="92">
        <v>95.48581813087630501895861578</v>
      </c>
      <c r="F16" s="272">
        <v>116.66909903146764983719053232</v>
      </c>
      <c r="G16" s="271">
        <v>139.21139101861993428258488526</v>
      </c>
      <c r="H16" s="92">
        <v>122.51243979169773296830730520</v>
      </c>
      <c r="I16" s="272">
        <v>170.55127160487165235785168117</v>
      </c>
      <c r="J16" s="271">
        <v>0</v>
      </c>
      <c r="K16" s="92">
        <v>0</v>
      </c>
      <c r="L16" s="272">
        <v>0</v>
      </c>
      <c r="M16" s="271">
        <v>122.54912685080282845645974138</v>
      </c>
      <c r="N16" s="92">
        <v>96.10455155377326383702715111</v>
      </c>
      <c r="O16" s="272">
        <v>117.77528879302879774885029498</v>
      </c>
      <c r="P16" s="5"/>
      <c r="Q16" s="271">
        <v>31.361544888614590230532571270</v>
      </c>
      <c r="R16" s="92">
        <v>-6.1327572488141593895962169700</v>
      </c>
      <c r="S16" s="272">
        <v>23.305460222416353979583195620</v>
      </c>
      <c r="T16" s="271">
        <v>39.088824201447053059671081310</v>
      </c>
      <c r="U16" s="92">
        <v>34.097709462002461374830711700</v>
      </c>
      <c r="V16" s="272">
        <v>86.51492737173052108230527779</v>
      </c>
      <c r="W16" s="271">
        <v>0</v>
      </c>
      <c r="X16" s="92">
        <v>0</v>
      </c>
      <c r="Y16" s="272">
        <v>0</v>
      </c>
      <c r="Z16" s="271">
        <v>30.102144020571363056758327690</v>
      </c>
      <c r="AA16" s="92">
        <v>-3.7003888239888439697301281600</v>
      </c>
      <c r="AB16" s="272">
        <v>25.287858823495667287686506230</v>
      </c>
    </row>
    <row r="17" ht="18.95" customHeight="1">
      <c r="A17" s="58"/>
      <c r="B17" s="288"/>
      <c r="C17" s="289" t="s">
        <v>231</v>
      </c>
      <c r="D17" s="420">
        <v>112.00255634217898368841765068</v>
      </c>
      <c r="E17" s="91">
        <v>88.92501465011814576781640454</v>
      </c>
      <c r="F17" s="421">
        <v>99.59828963578949165431097469</v>
      </c>
      <c r="G17" s="420">
        <v>64.328063241106719367588933150</v>
      </c>
      <c r="H17" s="91">
        <v>126.77015024487424255001245123</v>
      </c>
      <c r="I17" s="421">
        <v>81.54878242036870741112461043</v>
      </c>
      <c r="J17" s="420">
        <v>0</v>
      </c>
      <c r="K17" s="91">
        <v>0</v>
      </c>
      <c r="L17" s="421">
        <v>0</v>
      </c>
      <c r="M17" s="420">
        <v>111.37196855333581665261630756</v>
      </c>
      <c r="N17" s="91">
        <v>89.23930785765174246049260043</v>
      </c>
      <c r="O17" s="421">
        <v>99.38757388443843707382189501</v>
      </c>
      <c r="P17" s="5"/>
      <c r="Q17" s="420">
        <v>14.530644395857124793779507570</v>
      </c>
      <c r="R17" s="91">
        <v>0.6170969781418903636880014300</v>
      </c>
      <c r="S17" s="421">
        <v>15.237409541457272120273637640</v>
      </c>
      <c r="T17" s="420">
        <v>1619.7919107214125381303885116</v>
      </c>
      <c r="U17" s="91">
        <v>1.5648779288751181634529168600</v>
      </c>
      <c r="V17" s="421">
        <v>1646.7045547212348472649936685</v>
      </c>
      <c r="W17" s="420">
        <v>0</v>
      </c>
      <c r="X17" s="91">
        <v>0</v>
      </c>
      <c r="Y17" s="421">
        <v>0</v>
      </c>
      <c r="Z17" s="420">
        <v>22.702359817528454099980957860</v>
      </c>
      <c r="AA17" s="91">
        <v>1.4924154660868601177823137700</v>
      </c>
      <c r="AB17" s="421">
        <v>24.533588812611736464480562980</v>
      </c>
    </row>
    <row r="18" ht="18.95" customHeight="1">
      <c r="A18" s="58"/>
      <c r="B18" s="286"/>
      <c r="C18" s="287" t="s">
        <v>232</v>
      </c>
      <c r="D18" s="271">
        <v>105.72249319458926109684326913</v>
      </c>
      <c r="E18" s="92">
        <v>95.15279766780768093042856604</v>
      </c>
      <c r="F18" s="272">
        <v>100.59791003880926461989595675</v>
      </c>
      <c r="G18" s="271">
        <v>598.09448193727669710202461277</v>
      </c>
      <c r="H18" s="92">
        <v>78.023560625251332007387175440</v>
      </c>
      <c r="I18" s="272">
        <v>466.65461071061396110492067694</v>
      </c>
      <c r="J18" s="271">
        <v>0</v>
      </c>
      <c r="K18" s="92">
        <v>0</v>
      </c>
      <c r="L18" s="272">
        <v>0</v>
      </c>
      <c r="M18" s="271">
        <v>114.25147847613808279466373265</v>
      </c>
      <c r="N18" s="92">
        <v>93.62702140573262985132390543</v>
      </c>
      <c r="O18" s="272">
        <v>106.97025620921981103241152941</v>
      </c>
      <c r="P18" s="5"/>
      <c r="Q18" s="271"/>
      <c r="R18" s="92"/>
      <c r="S18" s="272"/>
      <c r="T18" s="271"/>
      <c r="U18" s="92"/>
      <c r="V18" s="272"/>
      <c r="W18" s="271"/>
      <c r="X18" s="92"/>
      <c r="Y18" s="272"/>
      <c r="Z18" s="271"/>
      <c r="AA18" s="92"/>
      <c r="AB18" s="272"/>
    </row>
    <row r="19" ht="18.95" customHeight="1">
      <c r="A19" s="58"/>
      <c r="B19" s="288"/>
      <c r="C19" s="289" t="s">
        <v>233</v>
      </c>
      <c r="D19" s="420">
        <v>108.79442521912652504483568668</v>
      </c>
      <c r="E19" s="91">
        <v>97.33563841669709068452216044</v>
      </c>
      <c r="F19" s="421">
        <v>105.89574834881290589466890491</v>
      </c>
      <c r="G19" s="420">
        <v>83.46844238563983786913723248</v>
      </c>
      <c r="H19" s="91">
        <v>86.09070172440889754060838278</v>
      </c>
      <c r="I19" s="421">
        <v>71.858567768231283036935138260</v>
      </c>
      <c r="J19" s="420">
        <v>0</v>
      </c>
      <c r="K19" s="91">
        <v>0</v>
      </c>
      <c r="L19" s="421">
        <v>0</v>
      </c>
      <c r="M19" s="420">
        <v>108.25381620419009949941289166</v>
      </c>
      <c r="N19" s="91">
        <v>97.31435948028752730371322921</v>
      </c>
      <c r="O19" s="421">
        <v>105.34650785207530352832692448</v>
      </c>
      <c r="P19" s="5"/>
      <c r="Q19" s="420"/>
      <c r="R19" s="91"/>
      <c r="S19" s="421"/>
      <c r="T19" s="420"/>
      <c r="U19" s="91"/>
      <c r="V19" s="421"/>
      <c r="W19" s="420"/>
      <c r="X19" s="91"/>
      <c r="Y19" s="421"/>
      <c r="Z19" s="420"/>
      <c r="AA19" s="91"/>
      <c r="AB19" s="421"/>
    </row>
    <row r="20" ht="18.95" customHeight="1">
      <c r="A20" s="58"/>
      <c r="B20" s="286"/>
      <c r="C20" s="287" t="s">
        <v>234</v>
      </c>
      <c r="D20" s="271">
        <v>110.82749202846879330525919250</v>
      </c>
      <c r="E20" s="92">
        <v>92.51901079382109031973687669</v>
      </c>
      <c r="F20" s="272">
        <v>102.53649931234025131938252968</v>
      </c>
      <c r="G20" s="271">
        <v>160.47979797979797979797979732</v>
      </c>
      <c r="H20" s="92">
        <v>110.64515787722060680795316056</v>
      </c>
      <c r="I20" s="272">
        <v>177.56312583579216067286422612</v>
      </c>
      <c r="J20" s="271">
        <v>0</v>
      </c>
      <c r="K20" s="92">
        <v>0</v>
      </c>
      <c r="L20" s="272">
        <v>0</v>
      </c>
      <c r="M20" s="271">
        <v>111.60862080381381182546513938</v>
      </c>
      <c r="N20" s="92">
        <v>92.87385943296403438408802146</v>
      </c>
      <c r="O20" s="272">
        <v>103.65523360040389356993866861</v>
      </c>
      <c r="P20" s="5"/>
      <c r="Q20" s="271">
        <v>11.131367491122660033489256440</v>
      </c>
      <c r="R20" s="92">
        <v>-14.314508411481268969026935280</v>
      </c>
      <c r="S20" s="272">
        <v>-4.7765414561194320913486810200</v>
      </c>
      <c r="T20" s="271">
        <v>0</v>
      </c>
      <c r="U20" s="92">
        <v>0</v>
      </c>
      <c r="V20" s="272">
        <v>0</v>
      </c>
      <c r="W20" s="271">
        <v>0</v>
      </c>
      <c r="X20" s="92">
        <v>0</v>
      </c>
      <c r="Y20" s="272">
        <v>0</v>
      </c>
      <c r="Z20" s="271">
        <v>11.914638026275247261571550070</v>
      </c>
      <c r="AA20" s="92">
        <v>-13.985869142388362881480987270</v>
      </c>
      <c r="AB20" s="272">
        <v>-3.737596799187642915956728700</v>
      </c>
    </row>
    <row r="21" ht="18.95" customHeight="1">
      <c r="A21" s="58"/>
      <c r="B21" s="288"/>
      <c r="C21" s="289" t="s">
        <v>218</v>
      </c>
      <c r="D21" s="420">
        <v>115.03833515881708652792990142</v>
      </c>
      <c r="E21" s="91">
        <v>107.97715432996156730874675250</v>
      </c>
      <c r="F21" s="421">
        <v>124.21512069305436379449804397</v>
      </c>
      <c r="G21" s="420">
        <v>25.881261595547309833024118700</v>
      </c>
      <c r="H21" s="91">
        <v>148.47449139280125195618153365</v>
      </c>
      <c r="I21" s="421">
        <v>38.427071520029266508139747570</v>
      </c>
      <c r="J21" s="420">
        <v>0</v>
      </c>
      <c r="K21" s="91">
        <v>0</v>
      </c>
      <c r="L21" s="421">
        <v>0</v>
      </c>
      <c r="M21" s="420">
        <v>109.02171907535781122327947494</v>
      </c>
      <c r="N21" s="91">
        <v>109.57697510195886470874574236</v>
      </c>
      <c r="O21" s="421">
        <v>119.46270196693236701987306489</v>
      </c>
      <c r="P21" s="5"/>
      <c r="Q21" s="420">
        <v>66.653388034767242848598509140</v>
      </c>
      <c r="R21" s="91">
        <v>-1.7898777614623648997800877400</v>
      </c>
      <c r="S21" s="421">
        <v>63.670496103741885694258340900</v>
      </c>
      <c r="T21" s="420">
        <v>0</v>
      </c>
      <c r="U21" s="91">
        <v>0</v>
      </c>
      <c r="V21" s="421">
        <v>0</v>
      </c>
      <c r="W21" s="420">
        <v>0</v>
      </c>
      <c r="X21" s="91">
        <v>0</v>
      </c>
      <c r="Y21" s="421">
        <v>0</v>
      </c>
      <c r="Z21" s="420">
        <v>57.937254813361619601076744080</v>
      </c>
      <c r="AA21" s="91">
        <v>-0.3347681639499505472085138100</v>
      </c>
      <c r="AB21" s="421">
        <v>57.408531165357427164617363900</v>
      </c>
    </row>
    <row r="22" ht="18.95" customHeight="1">
      <c r="A22" s="58"/>
      <c r="B22" s="286"/>
      <c r="C22" s="287" t="s">
        <v>219</v>
      </c>
      <c r="D22" s="271">
        <v>110.10530971005279305674562592</v>
      </c>
      <c r="E22" s="92">
        <v>103.26064042208291016419911925</v>
      </c>
      <c r="F22" s="272">
        <v>113.69544794531835391776643675</v>
      </c>
      <c r="G22" s="271">
        <v>79.97542997542997542997542966</v>
      </c>
      <c r="H22" s="92">
        <v>76.517344820970751870519908610</v>
      </c>
      <c r="I22" s="272">
        <v>61.195075526353758559838403570</v>
      </c>
      <c r="J22" s="271">
        <v>0</v>
      </c>
      <c r="K22" s="92">
        <v>0</v>
      </c>
      <c r="L22" s="272">
        <v>0</v>
      </c>
      <c r="M22" s="271">
        <v>109.66005537148822221213634094</v>
      </c>
      <c r="N22" s="92">
        <v>102.90031533830247299705606358</v>
      </c>
      <c r="O22" s="272">
        <v>112.84054277741848005587393340</v>
      </c>
      <c r="P22" s="5"/>
      <c r="Q22" s="271">
        <v>39.516152229472026037501994830</v>
      </c>
      <c r="R22" s="92">
        <v>-3.315192880088947384729265500</v>
      </c>
      <c r="S22" s="272">
        <v>34.890922684232778360797223580</v>
      </c>
      <c r="T22" s="271">
        <v>0</v>
      </c>
      <c r="U22" s="92">
        <v>0</v>
      </c>
      <c r="V22" s="272">
        <v>0</v>
      </c>
      <c r="W22" s="271">
        <v>0</v>
      </c>
      <c r="X22" s="92">
        <v>0</v>
      </c>
      <c r="Y22" s="272">
        <v>0</v>
      </c>
      <c r="Z22" s="271">
        <v>38.951963524643962049511709520</v>
      </c>
      <c r="AA22" s="92">
        <v>-3.6525717795745160412646818600</v>
      </c>
      <c r="AB22" s="272">
        <v>33.876643317824059935025343870</v>
      </c>
    </row>
    <row r="23" ht="18.95" customHeight="1">
      <c r="A23" s="58"/>
      <c r="B23" s="288"/>
      <c r="C23" s="289" t="s">
        <v>220</v>
      </c>
      <c r="D23" s="420">
        <v>121.44267526891595587137953598</v>
      </c>
      <c r="E23" s="91">
        <v>97.55781665367860256065170666</v>
      </c>
      <c r="F23" s="421">
        <v>118.47682247817131603376163678</v>
      </c>
      <c r="G23" s="420">
        <v>35.581315669255367747830059370</v>
      </c>
      <c r="H23" s="91">
        <v>96.61729728746903522775577207</v>
      </c>
      <c r="I23" s="421">
        <v>34.377705538957261221113877100</v>
      </c>
      <c r="J23" s="420">
        <v>0</v>
      </c>
      <c r="K23" s="91">
        <v>0</v>
      </c>
      <c r="L23" s="421">
        <v>0</v>
      </c>
      <c r="M23" s="420">
        <v>113.60037552808637145986543577</v>
      </c>
      <c r="N23" s="91">
        <v>98.22788975676275668962478254</v>
      </c>
      <c r="O23" s="421">
        <v>111.58725163699717823783662122</v>
      </c>
      <c r="P23" s="5"/>
      <c r="Q23" s="420">
        <v>8.192177987108567290165509430</v>
      </c>
      <c r="R23" s="91">
        <v>7.967319528642858159126541710</v>
      </c>
      <c r="S23" s="421">
        <v>16.812194512403235646923428650</v>
      </c>
      <c r="T23" s="420">
        <v>0</v>
      </c>
      <c r="U23" s="91">
        <v>0</v>
      </c>
      <c r="V23" s="421">
        <v>0</v>
      </c>
      <c r="W23" s="420">
        <v>0</v>
      </c>
      <c r="X23" s="91">
        <v>0</v>
      </c>
      <c r="Y23" s="421">
        <v>0</v>
      </c>
      <c r="Z23" s="420">
        <v>1.4700474921537876013007255600</v>
      </c>
      <c r="AA23" s="91">
        <v>8.731448554341190437214898170</v>
      </c>
      <c r="AB23" s="421">
        <v>10.329852486948635103595006090</v>
      </c>
    </row>
    <row r="24" ht="18.95" customHeight="1">
      <c r="A24" s="59"/>
      <c r="B24" s="286"/>
      <c r="C24" s="287" t="s">
        <v>221</v>
      </c>
      <c r="D24" s="271">
        <v>131.65513740471151033331612550</v>
      </c>
      <c r="E24" s="92">
        <v>93.71463971843902630406751280</v>
      </c>
      <c r="F24" s="272">
        <v>123.38013768964124815000645846</v>
      </c>
      <c r="G24" s="271">
        <v>37.333436229870864845397952340</v>
      </c>
      <c r="H24" s="92">
        <v>88.86962574017110889553783785</v>
      </c>
      <c r="I24" s="272">
        <v>33.178085053431684503805644920</v>
      </c>
      <c r="J24" s="271">
        <v>0</v>
      </c>
      <c r="K24" s="92">
        <v>0</v>
      </c>
      <c r="L24" s="272">
        <v>0</v>
      </c>
      <c r="M24" s="271">
        <v>122.19405395921063495995376105</v>
      </c>
      <c r="N24" s="92">
        <v>93.60212260160353102209928529</v>
      </c>
      <c r="O24" s="272">
        <v>114.37622819876991208985106281</v>
      </c>
      <c r="P24" s="93"/>
      <c r="Q24" s="271">
        <v>19.078835259959122748801963890</v>
      </c>
      <c r="R24" s="92">
        <v>1.475133808027547476516001400</v>
      </c>
      <c r="S24" s="272">
        <v>20.835407417092313698211190050</v>
      </c>
      <c r="T24" s="271">
        <v>-99.83543666658842710015920212</v>
      </c>
      <c r="U24" s="92">
        <v>1.366916859896925806656269300</v>
      </c>
      <c r="V24" s="272">
        <v>-99.83318722263883925099571104</v>
      </c>
      <c r="W24" s="271">
        <v>0</v>
      </c>
      <c r="X24" s="92">
        <v>0</v>
      </c>
      <c r="Y24" s="272">
        <v>0</v>
      </c>
      <c r="Z24" s="271">
        <v>7.3718922520588229296083752200</v>
      </c>
      <c r="AA24" s="92">
        <v>1.1360543501282880589034016200</v>
      </c>
      <c r="AB24" s="272">
        <v>8.591695304861704624032137250</v>
      </c>
    </row>
    <row r="25" ht="18.95" customHeight="1">
      <c r="A25" s="60"/>
      <c r="B25" s="288"/>
      <c r="C25" s="289" t="s">
        <v>222</v>
      </c>
      <c r="D25" s="420">
        <v>124.01229834525203910767395331</v>
      </c>
      <c r="E25" s="91">
        <v>96.73314120680499974220039792</v>
      </c>
      <c r="F25" s="421">
        <v>119.96099167211695506859665489</v>
      </c>
      <c r="G25" s="420">
        <v>107.50403137798713446598878168</v>
      </c>
      <c r="H25" s="91">
        <v>94.25414834040628822406796466</v>
      </c>
      <c r="I25" s="421">
        <v>101.32700920692491604557542453</v>
      </c>
      <c r="J25" s="420">
        <v>0</v>
      </c>
      <c r="K25" s="91">
        <v>0</v>
      </c>
      <c r="L25" s="421">
        <v>0</v>
      </c>
      <c r="M25" s="420">
        <v>122.01843092858449264591827050</v>
      </c>
      <c r="N25" s="91">
        <v>96.38279013840131957703917471</v>
      </c>
      <c r="O25" s="421">
        <v>117.60476821206776005183988290</v>
      </c>
      <c r="P25" s="93"/>
      <c r="Q25" s="420">
        <v>44.106507980391662802964894080</v>
      </c>
      <c r="R25" s="91">
        <v>-3.9744125326260366890267495900</v>
      </c>
      <c r="S25" s="421">
        <v>38.379120866957530437779156640</v>
      </c>
      <c r="T25" s="420">
        <v>-51.988807074335574378877822320</v>
      </c>
      <c r="U25" s="91">
        <v>39.060571131078778300147994730</v>
      </c>
      <c r="V25" s="421">
        <v>-33.235360910764112673821480770</v>
      </c>
      <c r="W25" s="420">
        <v>0</v>
      </c>
      <c r="X25" s="91">
        <v>0</v>
      </c>
      <c r="Y25" s="421">
        <v>0</v>
      </c>
      <c r="Z25" s="420">
        <v>40.046192375763213232790696370</v>
      </c>
      <c r="AA25" s="91">
        <v>-3.892133717106518992720916700</v>
      </c>
      <c r="AB25" s="421">
        <v>34.595407302731457565438928720</v>
      </c>
    </row>
    <row r="26" ht="18.95" customHeight="1">
      <c r="A26" s="60"/>
      <c r="B26" s="290"/>
      <c r="C26" s="291" t="s">
        <v>223</v>
      </c>
      <c r="D26" s="273">
        <v>126.93979281090129274703703455</v>
      </c>
      <c r="E26" s="274">
        <v>94.92059828234931226845044347</v>
      </c>
      <c r="F26" s="275">
        <v>120.49201079448214826179387828</v>
      </c>
      <c r="G26" s="273">
        <v>140.25338964214269837741720372</v>
      </c>
      <c r="H26" s="274">
        <v>132.07184974388161639157655094</v>
      </c>
      <c r="I26" s="275">
        <v>185.23524602887152687949500698</v>
      </c>
      <c r="J26" s="273">
        <v>0</v>
      </c>
      <c r="K26" s="274">
        <v>0</v>
      </c>
      <c r="L26" s="275">
        <v>0</v>
      </c>
      <c r="M26" s="273">
        <v>127.69919049641523667044899873</v>
      </c>
      <c r="N26" s="274">
        <v>96.58144087319528401436522053</v>
      </c>
      <c r="O26" s="275">
        <v>123.33371816484429309494600344</v>
      </c>
      <c r="P26" s="184"/>
      <c r="Q26" s="273">
        <v>19.560218113608127538835692800</v>
      </c>
      <c r="R26" s="274">
        <v>4.0364749136478003236187145400</v>
      </c>
      <c r="S26" s="275">
        <v>24.386236324377371273875620720</v>
      </c>
      <c r="T26" s="273">
        <v>-15.886683506551450237182040900</v>
      </c>
      <c r="U26" s="274">
        <v>5.1751256644939277558197272200</v>
      </c>
      <c r="V26" s="275">
        <v>-11.533713677463831567249818910</v>
      </c>
      <c r="W26" s="273">
        <v>0</v>
      </c>
      <c r="X26" s="274">
        <v>0</v>
      </c>
      <c r="Y26" s="275">
        <v>0</v>
      </c>
      <c r="Z26" s="273">
        <v>18.666655047880945941740962210</v>
      </c>
      <c r="AA26" s="274">
        <v>3.989557464414089393865880400</v>
      </c>
      <c r="AB26" s="275">
        <v>23.400929442111377551893050360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2019</v>
      </c>
      <c r="C29" s="285"/>
      <c r="D29" s="427">
        <v>80.28139638962470689676026963</v>
      </c>
      <c r="E29" s="428">
        <v>93.60348891908116735609285488</v>
      </c>
      <c r="F29" s="429">
        <v>75.146187973645990872679110780</v>
      </c>
      <c r="G29" s="427">
        <v>78.214001210846636714144600630</v>
      </c>
      <c r="H29" s="428">
        <v>86.41465641920879724868737427</v>
      </c>
      <c r="I29" s="429">
        <v>67.588360418068929560161725140</v>
      </c>
      <c r="J29" s="427">
        <v>0</v>
      </c>
      <c r="K29" s="428">
        <v>0</v>
      </c>
      <c r="L29" s="429">
        <v>0</v>
      </c>
      <c r="M29" s="427">
        <v>80.07087489264332019334334030</v>
      </c>
      <c r="N29" s="428">
        <v>92.77924956329963870739255331</v>
      </c>
      <c r="O29" s="429">
        <v>74.289156844162977704157416760</v>
      </c>
      <c r="P29" s="5"/>
      <c r="Q29" s="427">
        <v>66.984184714514796974774623630</v>
      </c>
      <c r="R29" s="428">
        <v>9.837724395119127993370394190</v>
      </c>
      <c r="S29" s="429">
        <v>83.41162858979436486392763897</v>
      </c>
      <c r="T29" s="427">
        <v>66.196066770450579614551357050</v>
      </c>
      <c r="U29" s="428">
        <v>19.687816191006756062298289430</v>
      </c>
      <c r="V29" s="429">
        <v>98.91644291250068806039476572</v>
      </c>
      <c r="W29" s="427">
        <v>-100</v>
      </c>
      <c r="X29" s="428">
        <v>-100</v>
      </c>
      <c r="Y29" s="429">
        <v>-100</v>
      </c>
      <c r="Z29" s="427">
        <v>69.196710149635095246218370390</v>
      </c>
      <c r="AA29" s="428">
        <v>10.482938584865657803943691510</v>
      </c>
      <c r="AB29" s="429">
        <v>86.93349736213898122252674707</v>
      </c>
    </row>
    <row r="30" ht="18.95" customHeight="1">
      <c r="A30" s="58"/>
      <c r="B30" s="286">
        <v>2020</v>
      </c>
      <c r="C30" s="287"/>
      <c r="D30" s="271">
        <v>90.85747524769469325671233060</v>
      </c>
      <c r="E30" s="92">
        <v>90.79876824014368015801370242</v>
      </c>
      <c r="F30" s="272">
        <v>82.49746837900021463694428560</v>
      </c>
      <c r="G30" s="271">
        <v>82.88598691315520490104932231</v>
      </c>
      <c r="H30" s="92">
        <v>104.20145623349028326906313086</v>
      </c>
      <c r="I30" s="272">
        <v>86.36840537700790468056143684</v>
      </c>
      <c r="J30" s="271">
        <v>0</v>
      </c>
      <c r="K30" s="92">
        <v>0</v>
      </c>
      <c r="L30" s="272">
        <v>0</v>
      </c>
      <c r="M30" s="271">
        <v>90.13303008183479140429523387</v>
      </c>
      <c r="N30" s="92">
        <v>92.13626308433206889385548109</v>
      </c>
      <c r="O30" s="272">
        <v>83.04520572207946765849525158</v>
      </c>
      <c r="P30" s="5"/>
      <c r="Q30" s="271">
        <v>13.173760464715539433545212600</v>
      </c>
      <c r="R30" s="92">
        <v>-2.9963847623034597724127532600</v>
      </c>
      <c r="S30" s="272">
        <v>9.782639151280476626282535360</v>
      </c>
      <c r="T30" s="271">
        <v>5.9733367811773380143633027700</v>
      </c>
      <c r="U30" s="92">
        <v>20.583082258646036201103371980</v>
      </c>
      <c r="V30" s="272">
        <v>27.785915862931117810295194730</v>
      </c>
      <c r="W30" s="271">
        <v>0</v>
      </c>
      <c r="X30" s="92">
        <v>0</v>
      </c>
      <c r="Y30" s="272">
        <v>0</v>
      </c>
      <c r="Z30" s="271">
        <v>12.566560815941224222435571840</v>
      </c>
      <c r="AA30" s="92">
        <v>-0.6930283247540649448508373600</v>
      </c>
      <c r="AB30" s="272">
        <v>11.786442665169488100166911360</v>
      </c>
    </row>
    <row r="31" ht="18.95" customHeight="1">
      <c r="A31" s="58"/>
      <c r="B31" s="425">
        <v>2021</v>
      </c>
      <c r="C31" s="426"/>
      <c r="D31" s="430">
        <v>118.92727461039741054103511566</v>
      </c>
      <c r="E31" s="431">
        <v>95.17997899520969066172522452</v>
      </c>
      <c r="F31" s="432">
        <v>113.19495499375160282808345619</v>
      </c>
      <c r="G31" s="430">
        <v>93.33641298254973492609173085</v>
      </c>
      <c r="H31" s="431">
        <v>109.88060074430149908576968572</v>
      </c>
      <c r="I31" s="432">
        <v>102.55861129840786505720178404</v>
      </c>
      <c r="J31" s="430">
        <v>0</v>
      </c>
      <c r="K31" s="431">
        <v>0</v>
      </c>
      <c r="L31" s="432">
        <v>0</v>
      </c>
      <c r="M31" s="430">
        <v>117.75307249568105122765559405</v>
      </c>
      <c r="N31" s="431">
        <v>95.74553161664626571965958626</v>
      </c>
      <c r="O31" s="432">
        <v>112.74330525592469887908163041</v>
      </c>
      <c r="P31" s="184"/>
      <c r="Q31" s="430">
        <v>30.894320237462222357424296550</v>
      </c>
      <c r="R31" s="431">
        <v>4.8251874337374441394641182100</v>
      </c>
      <c r="S31" s="432">
        <v>37.210216528978661724811152090</v>
      </c>
      <c r="T31" s="430">
        <v>12.608194048885063479456383800</v>
      </c>
      <c r="U31" s="431">
        <v>5.4501584873011553868513007100</v>
      </c>
      <c r="V31" s="432">
        <v>18.745519094323043330027815940</v>
      </c>
      <c r="W31" s="430">
        <v>0</v>
      </c>
      <c r="X31" s="431">
        <v>0</v>
      </c>
      <c r="Y31" s="432">
        <v>0</v>
      </c>
      <c r="Z31" s="430">
        <v>30.643641280909509710115831130</v>
      </c>
      <c r="AA31" s="431">
        <v>3.9173159530509375784403648800</v>
      </c>
      <c r="AB31" s="432">
        <v>35.761365482319995153541911790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2019</v>
      </c>
      <c r="C34" s="285"/>
      <c r="D34" s="427">
        <v>92.27902306730020231123188850</v>
      </c>
      <c r="E34" s="428">
        <v>93.69099434063510405741932908</v>
      </c>
      <c r="F34" s="429">
        <v>86.45713427957759475787216006</v>
      </c>
      <c r="G34" s="427">
        <v>58.380968084716573229269722580</v>
      </c>
      <c r="H34" s="428">
        <v>74.678221399639874250046454360</v>
      </c>
      <c r="I34" s="429">
        <v>43.597868601557737219501947370</v>
      </c>
      <c r="J34" s="427">
        <v>0</v>
      </c>
      <c r="K34" s="428">
        <v>0</v>
      </c>
      <c r="L34" s="429">
        <v>0</v>
      </c>
      <c r="M34" s="427">
        <v>88.87329396663647898765741157</v>
      </c>
      <c r="N34" s="428">
        <v>92.33977467130179403698265720</v>
      </c>
      <c r="O34" s="429">
        <v>82.06539939175577691655249229</v>
      </c>
      <c r="P34" s="5"/>
      <c r="Q34" s="427">
        <v>71.261734817767392112300618020</v>
      </c>
      <c r="R34" s="428">
        <v>-1.8676382189460020403520645200</v>
      </c>
      <c r="S34" s="429">
        <v>68.063185203850279687862138590</v>
      </c>
      <c r="T34" s="427">
        <v>-25.160657617601085314847277410</v>
      </c>
      <c r="U34" s="428">
        <v>-6.4260059972223883582879731300</v>
      </c>
      <c r="V34" s="429">
        <v>-29.969838247397475436084995750</v>
      </c>
      <c r="W34" s="427">
        <v>0</v>
      </c>
      <c r="X34" s="428">
        <v>0</v>
      </c>
      <c r="Y34" s="429">
        <v>0</v>
      </c>
      <c r="Z34" s="427">
        <v>57.359644902804591259959290650</v>
      </c>
      <c r="AA34" s="428">
        <v>-1.0744866829581485246095941100</v>
      </c>
      <c r="AB34" s="429">
        <v>55.668836473956257728766892170</v>
      </c>
    </row>
    <row r="35" ht="18.95" customHeight="1">
      <c r="A35" s="58"/>
      <c r="B35" s="286">
        <v>2020</v>
      </c>
      <c r="C35" s="287"/>
      <c r="D35" s="271">
        <v>100.56667422712331824842220471</v>
      </c>
      <c r="E35" s="92">
        <v>94.64403589477731893292704277</v>
      </c>
      <c r="F35" s="272">
        <v>95.18035925370236420566305383</v>
      </c>
      <c r="G35" s="271">
        <v>253.13710879284649776453054990</v>
      </c>
      <c r="H35" s="92">
        <v>97.26193834809687719152719610</v>
      </c>
      <c r="I35" s="272">
        <v>246.20605869025327981172655582</v>
      </c>
      <c r="J35" s="271">
        <v>0</v>
      </c>
      <c r="K35" s="92">
        <v>0</v>
      </c>
      <c r="L35" s="272">
        <v>0</v>
      </c>
      <c r="M35" s="271">
        <v>102.38753752899159066008338194</v>
      </c>
      <c r="N35" s="92">
        <v>95.32061476821894575287604144</v>
      </c>
      <c r="O35" s="272">
        <v>97.59643021867567361310763898</v>
      </c>
      <c r="P35" s="5"/>
      <c r="Q35" s="271">
        <v>8.981078130594265899989278990</v>
      </c>
      <c r="R35" s="92">
        <v>1.0172178883198472686816013200</v>
      </c>
      <c r="S35" s="272">
        <v>10.089653152152480548620450700</v>
      </c>
      <c r="T35" s="271">
        <v>333.59525732014466566290579163</v>
      </c>
      <c r="U35" s="92">
        <v>30.241369605808317590636176250</v>
      </c>
      <c r="V35" s="272">
        <v>464.72040167857598750795202869</v>
      </c>
      <c r="W35" s="271">
        <v>0</v>
      </c>
      <c r="X35" s="92">
        <v>0</v>
      </c>
      <c r="Y35" s="272">
        <v>0</v>
      </c>
      <c r="Z35" s="271">
        <v>15.206191825713648837941958870</v>
      </c>
      <c r="AA35" s="92">
        <v>3.2281214758534781398443131200</v>
      </c>
      <c r="AB35" s="272">
        <v>18.925187645437254765902588020</v>
      </c>
    </row>
    <row r="36" ht="18.95" customHeight="1">
      <c r="A36" s="58"/>
      <c r="B36" s="425">
        <v>2021</v>
      </c>
      <c r="C36" s="426"/>
      <c r="D36" s="430">
        <v>127.38003140697728547952199758</v>
      </c>
      <c r="E36" s="431">
        <v>94.96382962743588892902020836</v>
      </c>
      <c r="F36" s="432">
        <v>120.96495600469623582804815808</v>
      </c>
      <c r="G36" s="430">
        <v>91.16203542425347255587941626</v>
      </c>
      <c r="H36" s="431">
        <v>114.60308302010725457556840839</v>
      </c>
      <c r="I36" s="432">
        <v>104.47450314007679182262120856</v>
      </c>
      <c r="J36" s="430">
        <v>0</v>
      </c>
      <c r="K36" s="431">
        <v>0</v>
      </c>
      <c r="L36" s="432">
        <v>0</v>
      </c>
      <c r="M36" s="430">
        <v>124.15071994257168096959795536</v>
      </c>
      <c r="N36" s="431">
        <v>96.35275564164362366189700652</v>
      </c>
      <c r="O36" s="432">
        <v>119.62263981360741070586869443</v>
      </c>
      <c r="P36" s="184"/>
      <c r="Q36" s="430">
        <v>26.662268973245821614107210800</v>
      </c>
      <c r="R36" s="431">
        <v>0.3378910563274692979879958400</v>
      </c>
      <c r="S36" s="432">
        <v>27.090249451852007585619229320</v>
      </c>
      <c r="T36" s="430">
        <v>-63.987091478210640774511267500</v>
      </c>
      <c r="U36" s="431">
        <v>17.829322514572332398252355730</v>
      </c>
      <c r="V36" s="432">
        <v>-57.566233870997396727696993480</v>
      </c>
      <c r="W36" s="430">
        <v>0</v>
      </c>
      <c r="X36" s="431">
        <v>0</v>
      </c>
      <c r="Y36" s="432">
        <v>0</v>
      </c>
      <c r="Z36" s="430">
        <v>21.255694724963503980509873290</v>
      </c>
      <c r="AA36" s="431">
        <v>1.082809711155951493133465500</v>
      </c>
      <c r="AB36" s="432">
        <v>22.568663162730178111000366410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2019</v>
      </c>
      <c r="C39" s="285"/>
      <c r="D39" s="427">
        <v>80.28139638962470689676026963</v>
      </c>
      <c r="E39" s="428">
        <v>93.60348891908116735609285488</v>
      </c>
      <c r="F39" s="429">
        <v>75.146187973645990872679110780</v>
      </c>
      <c r="G39" s="427">
        <v>78.214001210846636714144600630</v>
      </c>
      <c r="H39" s="428">
        <v>86.41465641920879724868737427</v>
      </c>
      <c r="I39" s="429">
        <v>67.588360418068929560161725140</v>
      </c>
      <c r="J39" s="427">
        <v>0</v>
      </c>
      <c r="K39" s="428">
        <v>0</v>
      </c>
      <c r="L39" s="429">
        <v>0</v>
      </c>
      <c r="M39" s="427">
        <v>80.07087489264332019334334030</v>
      </c>
      <c r="N39" s="428">
        <v>92.77924956329963870739255331</v>
      </c>
      <c r="O39" s="429">
        <v>74.289156844162977704157416760</v>
      </c>
      <c r="P39" s="5"/>
      <c r="Q39" s="427">
        <v>66.984184714514796974774623630</v>
      </c>
      <c r="R39" s="428">
        <v>9.837724395119127993370394190</v>
      </c>
      <c r="S39" s="429">
        <v>83.41162858979436486392763897</v>
      </c>
      <c r="T39" s="427">
        <v>66.196066770450579614551357050</v>
      </c>
      <c r="U39" s="428">
        <v>19.687816191006756062298289430</v>
      </c>
      <c r="V39" s="429">
        <v>98.91644291250068806039476572</v>
      </c>
      <c r="W39" s="427">
        <v>-100</v>
      </c>
      <c r="X39" s="428">
        <v>-100</v>
      </c>
      <c r="Y39" s="429">
        <v>-100</v>
      </c>
      <c r="Z39" s="427">
        <v>69.196710149635095246218370390</v>
      </c>
      <c r="AA39" s="428">
        <v>10.482938584865657803943691510</v>
      </c>
      <c r="AB39" s="429">
        <v>86.93349736213898122252674707</v>
      </c>
    </row>
    <row r="40" ht="18.95" customHeight="1">
      <c r="A40" s="58"/>
      <c r="B40" s="286">
        <v>2020</v>
      </c>
      <c r="C40" s="287"/>
      <c r="D40" s="271">
        <v>90.85747524769469325671233060</v>
      </c>
      <c r="E40" s="92">
        <v>90.79876824014368015801370242</v>
      </c>
      <c r="F40" s="272">
        <v>82.49746837900021463694428560</v>
      </c>
      <c r="G40" s="271">
        <v>82.88598691315520490104932231</v>
      </c>
      <c r="H40" s="92">
        <v>104.20145623349028326906313086</v>
      </c>
      <c r="I40" s="272">
        <v>86.36840537700790468056143684</v>
      </c>
      <c r="J40" s="271">
        <v>0</v>
      </c>
      <c r="K40" s="92">
        <v>0</v>
      </c>
      <c r="L40" s="272">
        <v>0</v>
      </c>
      <c r="M40" s="271">
        <v>90.13303008183479140429523387</v>
      </c>
      <c r="N40" s="92">
        <v>92.13626308433206889385548109</v>
      </c>
      <c r="O40" s="272">
        <v>83.04520572207946765849525158</v>
      </c>
      <c r="P40" s="5"/>
      <c r="Q40" s="271">
        <v>13.173760464715539433545212600</v>
      </c>
      <c r="R40" s="92">
        <v>-2.9963847623034597724127532600</v>
      </c>
      <c r="S40" s="272">
        <v>9.782639151280476626282535360</v>
      </c>
      <c r="T40" s="271">
        <v>5.9733367811773380143633027700</v>
      </c>
      <c r="U40" s="92">
        <v>20.583082258646036201103371980</v>
      </c>
      <c r="V40" s="272">
        <v>27.785915862931117810295194730</v>
      </c>
      <c r="W40" s="271">
        <v>0</v>
      </c>
      <c r="X40" s="92">
        <v>0</v>
      </c>
      <c r="Y40" s="272">
        <v>0</v>
      </c>
      <c r="Z40" s="271">
        <v>12.566560815941224222435571840</v>
      </c>
      <c r="AA40" s="92">
        <v>-0.6930283247540649448508373600</v>
      </c>
      <c r="AB40" s="272">
        <v>11.786442665169488100166911360</v>
      </c>
    </row>
    <row r="41" ht="18.95" customHeight="1">
      <c r="A41" s="58"/>
      <c r="B41" s="425">
        <v>2021</v>
      </c>
      <c r="C41" s="426"/>
      <c r="D41" s="430">
        <v>118.92727461039741054103511566</v>
      </c>
      <c r="E41" s="431">
        <v>95.17997899520969066172522452</v>
      </c>
      <c r="F41" s="432">
        <v>113.19495499375160282808345619</v>
      </c>
      <c r="G41" s="430">
        <v>93.33641298254973492609173085</v>
      </c>
      <c r="H41" s="431">
        <v>109.88060074430149908576968572</v>
      </c>
      <c r="I41" s="432">
        <v>102.55861129840786505720178404</v>
      </c>
      <c r="J41" s="430">
        <v>0</v>
      </c>
      <c r="K41" s="431">
        <v>0</v>
      </c>
      <c r="L41" s="432">
        <v>0</v>
      </c>
      <c r="M41" s="430">
        <v>117.75307249568105122765559405</v>
      </c>
      <c r="N41" s="431">
        <v>95.74553161664626571965958626</v>
      </c>
      <c r="O41" s="432">
        <v>112.74330525592469887908163041</v>
      </c>
      <c r="P41" s="184"/>
      <c r="Q41" s="430">
        <v>30.894320237462222357424296550</v>
      </c>
      <c r="R41" s="431">
        <v>4.8251874337374441394641182100</v>
      </c>
      <c r="S41" s="432">
        <v>37.210216528978661724811152090</v>
      </c>
      <c r="T41" s="430">
        <v>12.608194048885063479456383800</v>
      </c>
      <c r="U41" s="431">
        <v>5.4501584873011553868513007100</v>
      </c>
      <c r="V41" s="432">
        <v>18.745519094323043330027815940</v>
      </c>
      <c r="W41" s="430">
        <v>0</v>
      </c>
      <c r="X41" s="431">
        <v>0</v>
      </c>
      <c r="Y41" s="432">
        <v>0</v>
      </c>
      <c r="Z41" s="430">
        <v>30.643641280909509710115831130</v>
      </c>
      <c r="AA41" s="431">
        <v>3.9173159530509375784403648800</v>
      </c>
      <c r="AB41" s="432">
        <v>35.761365482319995153541911790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187</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2020</v>
      </c>
      <c r="C9" s="285" t="s">
        <v>218</v>
      </c>
      <c r="D9" s="415" t="s">
        <v>311</v>
      </c>
      <c r="E9" s="416" t="s">
        <v>226</v>
      </c>
      <c r="F9" s="417" t="s">
        <v>225</v>
      </c>
      <c r="G9" s="415" t="s">
        <v>267</v>
      </c>
      <c r="H9" s="416" t="s">
        <v>267</v>
      </c>
      <c r="I9" s="417" t="s">
        <v>267</v>
      </c>
      <c r="J9" s="415" t="s">
        <v>267</v>
      </c>
      <c r="K9" s="416" t="s">
        <v>267</v>
      </c>
      <c r="L9" s="417" t="s">
        <v>267</v>
      </c>
      <c r="M9" s="415" t="s">
        <v>311</v>
      </c>
      <c r="N9" s="416" t="s">
        <v>226</v>
      </c>
      <c r="O9" s="417" t="s">
        <v>225</v>
      </c>
      <c r="P9" s="5"/>
      <c r="Q9" s="415" t="s">
        <v>226</v>
      </c>
      <c r="R9" s="416" t="s">
        <v>226</v>
      </c>
      <c r="S9" s="417" t="s">
        <v>225</v>
      </c>
      <c r="T9" s="415"/>
      <c r="U9" s="416"/>
      <c r="V9" s="417"/>
      <c r="W9" s="415"/>
      <c r="X9" s="416"/>
      <c r="Y9" s="417"/>
      <c r="Z9" s="415" t="s">
        <v>226</v>
      </c>
      <c r="AA9" s="416" t="s">
        <v>226</v>
      </c>
      <c r="AB9" s="417" t="s">
        <v>226</v>
      </c>
    </row>
    <row r="10" ht="18.95" customHeight="1">
      <c r="A10" s="58"/>
      <c r="B10" s="286"/>
      <c r="C10" s="287" t="s">
        <v>219</v>
      </c>
      <c r="D10" s="271" t="s">
        <v>225</v>
      </c>
      <c r="E10" s="92" t="s">
        <v>224</v>
      </c>
      <c r="F10" s="272" t="s">
        <v>225</v>
      </c>
      <c r="G10" s="271" t="s">
        <v>267</v>
      </c>
      <c r="H10" s="92" t="s">
        <v>267</v>
      </c>
      <c r="I10" s="272" t="s">
        <v>267</v>
      </c>
      <c r="J10" s="271" t="s">
        <v>267</v>
      </c>
      <c r="K10" s="92" t="s">
        <v>267</v>
      </c>
      <c r="L10" s="272" t="s">
        <v>267</v>
      </c>
      <c r="M10" s="271" t="s">
        <v>225</v>
      </c>
      <c r="N10" s="92" t="s">
        <v>224</v>
      </c>
      <c r="O10" s="272" t="s">
        <v>225</v>
      </c>
      <c r="P10" s="5"/>
      <c r="Q10" s="271" t="s">
        <v>226</v>
      </c>
      <c r="R10" s="92" t="s">
        <v>224</v>
      </c>
      <c r="S10" s="272" t="s">
        <v>226</v>
      </c>
      <c r="T10" s="271"/>
      <c r="U10" s="92"/>
      <c r="V10" s="272"/>
      <c r="W10" s="271"/>
      <c r="X10" s="92"/>
      <c r="Y10" s="272"/>
      <c r="Z10" s="271" t="s">
        <v>226</v>
      </c>
      <c r="AA10" s="92" t="s">
        <v>224</v>
      </c>
      <c r="AB10" s="272" t="s">
        <v>226</v>
      </c>
    </row>
    <row r="11" ht="18.95" customHeight="1">
      <c r="A11" s="58"/>
      <c r="B11" s="288"/>
      <c r="C11" s="289" t="s">
        <v>220</v>
      </c>
      <c r="D11" s="420" t="s">
        <v>229</v>
      </c>
      <c r="E11" s="91" t="s">
        <v>235</v>
      </c>
      <c r="F11" s="421" t="s">
        <v>229</v>
      </c>
      <c r="G11" s="420" t="s">
        <v>267</v>
      </c>
      <c r="H11" s="91" t="s">
        <v>267</v>
      </c>
      <c r="I11" s="421" t="s">
        <v>267</v>
      </c>
      <c r="J11" s="420" t="s">
        <v>267</v>
      </c>
      <c r="K11" s="91" t="s">
        <v>267</v>
      </c>
      <c r="L11" s="421" t="s">
        <v>267</v>
      </c>
      <c r="M11" s="420" t="s">
        <v>229</v>
      </c>
      <c r="N11" s="91" t="s">
        <v>235</v>
      </c>
      <c r="O11" s="421" t="s">
        <v>229</v>
      </c>
      <c r="P11" s="5"/>
      <c r="Q11" s="420" t="s">
        <v>228</v>
      </c>
      <c r="R11" s="91" t="s">
        <v>235</v>
      </c>
      <c r="S11" s="421" t="s">
        <v>228</v>
      </c>
      <c r="T11" s="420"/>
      <c r="U11" s="91"/>
      <c r="V11" s="421"/>
      <c r="W11" s="420"/>
      <c r="X11" s="91"/>
      <c r="Y11" s="421"/>
      <c r="Z11" s="420" t="s">
        <v>228</v>
      </c>
      <c r="AA11" s="91" t="s">
        <v>235</v>
      </c>
      <c r="AB11" s="421" t="s">
        <v>228</v>
      </c>
    </row>
    <row r="12" ht="18.95" customHeight="1">
      <c r="A12" s="58"/>
      <c r="B12" s="286"/>
      <c r="C12" s="287" t="s">
        <v>221</v>
      </c>
      <c r="D12" s="271" t="s">
        <v>229</v>
      </c>
      <c r="E12" s="92" t="s">
        <v>235</v>
      </c>
      <c r="F12" s="272" t="s">
        <v>229</v>
      </c>
      <c r="G12" s="271" t="s">
        <v>228</v>
      </c>
      <c r="H12" s="92" t="s">
        <v>235</v>
      </c>
      <c r="I12" s="272" t="s">
        <v>228</v>
      </c>
      <c r="J12" s="271" t="s">
        <v>267</v>
      </c>
      <c r="K12" s="92" t="s">
        <v>267</v>
      </c>
      <c r="L12" s="272" t="s">
        <v>267</v>
      </c>
      <c r="M12" s="271" t="s">
        <v>229</v>
      </c>
      <c r="N12" s="92" t="s">
        <v>235</v>
      </c>
      <c r="O12" s="272" t="s">
        <v>235</v>
      </c>
      <c r="P12" s="5"/>
      <c r="Q12" s="271" t="s">
        <v>228</v>
      </c>
      <c r="R12" s="92" t="s">
        <v>235</v>
      </c>
      <c r="S12" s="272" t="s">
        <v>235</v>
      </c>
      <c r="T12" s="271" t="s">
        <v>228</v>
      </c>
      <c r="U12" s="92" t="s">
        <v>228</v>
      </c>
      <c r="V12" s="272" t="s">
        <v>228</v>
      </c>
      <c r="W12" s="271"/>
      <c r="X12" s="92"/>
      <c r="Y12" s="272"/>
      <c r="Z12" s="271" t="s">
        <v>228</v>
      </c>
      <c r="AA12" s="92" t="s">
        <v>235</v>
      </c>
      <c r="AB12" s="272" t="s">
        <v>235</v>
      </c>
    </row>
    <row r="13" ht="18.95" customHeight="1">
      <c r="A13" s="58"/>
      <c r="B13" s="288"/>
      <c r="C13" s="289" t="s">
        <v>222</v>
      </c>
      <c r="D13" s="420" t="s">
        <v>239</v>
      </c>
      <c r="E13" s="91" t="s">
        <v>235</v>
      </c>
      <c r="F13" s="421" t="s">
        <v>229</v>
      </c>
      <c r="G13" s="420" t="s">
        <v>235</v>
      </c>
      <c r="H13" s="91" t="s">
        <v>229</v>
      </c>
      <c r="I13" s="421" t="s">
        <v>235</v>
      </c>
      <c r="J13" s="420" t="s">
        <v>267</v>
      </c>
      <c r="K13" s="91" t="s">
        <v>267</v>
      </c>
      <c r="L13" s="421" t="s">
        <v>267</v>
      </c>
      <c r="M13" s="420" t="s">
        <v>239</v>
      </c>
      <c r="N13" s="91" t="s">
        <v>235</v>
      </c>
      <c r="O13" s="421" t="s">
        <v>229</v>
      </c>
      <c r="P13" s="5"/>
      <c r="Q13" s="420" t="s">
        <v>229</v>
      </c>
      <c r="R13" s="91" t="s">
        <v>235</v>
      </c>
      <c r="S13" s="421" t="s">
        <v>228</v>
      </c>
      <c r="T13" s="420" t="s">
        <v>228</v>
      </c>
      <c r="U13" s="91" t="s">
        <v>235</v>
      </c>
      <c r="V13" s="421" t="s">
        <v>228</v>
      </c>
      <c r="W13" s="420"/>
      <c r="X13" s="91"/>
      <c r="Y13" s="421"/>
      <c r="Z13" s="420" t="s">
        <v>235</v>
      </c>
      <c r="AA13" s="91" t="s">
        <v>235</v>
      </c>
      <c r="AB13" s="421" t="s">
        <v>228</v>
      </c>
    </row>
    <row r="14" ht="18.95" customHeight="1">
      <c r="A14" s="58"/>
      <c r="B14" s="286"/>
      <c r="C14" s="287" t="s">
        <v>223</v>
      </c>
      <c r="D14" s="271" t="s">
        <v>235</v>
      </c>
      <c r="E14" s="92" t="s">
        <v>229</v>
      </c>
      <c r="F14" s="272" t="s">
        <v>235</v>
      </c>
      <c r="G14" s="271" t="s">
        <v>235</v>
      </c>
      <c r="H14" s="92" t="s">
        <v>228</v>
      </c>
      <c r="I14" s="272" t="s">
        <v>235</v>
      </c>
      <c r="J14" s="271" t="s">
        <v>267</v>
      </c>
      <c r="K14" s="92" t="s">
        <v>267</v>
      </c>
      <c r="L14" s="272" t="s">
        <v>267</v>
      </c>
      <c r="M14" s="271" t="s">
        <v>228</v>
      </c>
      <c r="N14" s="92" t="s">
        <v>235</v>
      </c>
      <c r="O14" s="272" t="s">
        <v>235</v>
      </c>
      <c r="P14" s="5"/>
      <c r="Q14" s="271" t="s">
        <v>235</v>
      </c>
      <c r="R14" s="92" t="s">
        <v>235</v>
      </c>
      <c r="S14" s="272" t="s">
        <v>228</v>
      </c>
      <c r="T14" s="271" t="s">
        <v>235</v>
      </c>
      <c r="U14" s="92" t="s">
        <v>228</v>
      </c>
      <c r="V14" s="272" t="s">
        <v>228</v>
      </c>
      <c r="W14" s="271"/>
      <c r="X14" s="92"/>
      <c r="Y14" s="272"/>
      <c r="Z14" s="271" t="s">
        <v>228</v>
      </c>
      <c r="AA14" s="92" t="s">
        <v>235</v>
      </c>
      <c r="AB14" s="272" t="s">
        <v>228</v>
      </c>
    </row>
    <row r="15" ht="18.95" customHeight="1">
      <c r="A15" s="58"/>
      <c r="B15" s="288">
        <v>2021</v>
      </c>
      <c r="C15" s="289" t="s">
        <v>227</v>
      </c>
      <c r="D15" s="420" t="s">
        <v>238</v>
      </c>
      <c r="E15" s="91" t="s">
        <v>236</v>
      </c>
      <c r="F15" s="421" t="s">
        <v>236</v>
      </c>
      <c r="G15" s="420" t="s">
        <v>236</v>
      </c>
      <c r="H15" s="91" t="s">
        <v>238</v>
      </c>
      <c r="I15" s="421" t="s">
        <v>236</v>
      </c>
      <c r="J15" s="420" t="s">
        <v>267</v>
      </c>
      <c r="K15" s="91" t="s">
        <v>267</v>
      </c>
      <c r="L15" s="421" t="s">
        <v>267</v>
      </c>
      <c r="M15" s="420" t="s">
        <v>238</v>
      </c>
      <c r="N15" s="91" t="s">
        <v>236</v>
      </c>
      <c r="O15" s="421" t="s">
        <v>236</v>
      </c>
      <c r="P15" s="5"/>
      <c r="Q15" s="420" t="s">
        <v>238</v>
      </c>
      <c r="R15" s="91" t="s">
        <v>242</v>
      </c>
      <c r="S15" s="421" t="s">
        <v>238</v>
      </c>
      <c r="T15" s="420" t="s">
        <v>236</v>
      </c>
      <c r="U15" s="91" t="s">
        <v>237</v>
      </c>
      <c r="V15" s="421" t="s">
        <v>236</v>
      </c>
      <c r="W15" s="420"/>
      <c r="X15" s="91"/>
      <c r="Y15" s="421"/>
      <c r="Z15" s="420" t="s">
        <v>238</v>
      </c>
      <c r="AA15" s="91" t="s">
        <v>242</v>
      </c>
      <c r="AB15" s="421" t="s">
        <v>238</v>
      </c>
    </row>
    <row r="16" ht="18.95" customHeight="1">
      <c r="A16" s="58"/>
      <c r="B16" s="286"/>
      <c r="C16" s="287" t="s">
        <v>230</v>
      </c>
      <c r="D16" s="271" t="s">
        <v>238</v>
      </c>
      <c r="E16" s="92" t="s">
        <v>236</v>
      </c>
      <c r="F16" s="272" t="s">
        <v>236</v>
      </c>
      <c r="G16" s="271" t="s">
        <v>237</v>
      </c>
      <c r="H16" s="92" t="s">
        <v>238</v>
      </c>
      <c r="I16" s="272" t="s">
        <v>236</v>
      </c>
      <c r="J16" s="271" t="s">
        <v>267</v>
      </c>
      <c r="K16" s="92" t="s">
        <v>267</v>
      </c>
      <c r="L16" s="272" t="s">
        <v>267</v>
      </c>
      <c r="M16" s="271" t="s">
        <v>238</v>
      </c>
      <c r="N16" s="92" t="s">
        <v>236</v>
      </c>
      <c r="O16" s="272" t="s">
        <v>236</v>
      </c>
      <c r="P16" s="5"/>
      <c r="Q16" s="271" t="s">
        <v>238</v>
      </c>
      <c r="R16" s="92" t="s">
        <v>237</v>
      </c>
      <c r="S16" s="272" t="s">
        <v>238</v>
      </c>
      <c r="T16" s="271" t="s">
        <v>236</v>
      </c>
      <c r="U16" s="92" t="s">
        <v>238</v>
      </c>
      <c r="V16" s="272" t="s">
        <v>236</v>
      </c>
      <c r="W16" s="271"/>
      <c r="X16" s="92"/>
      <c r="Y16" s="272"/>
      <c r="Z16" s="271" t="s">
        <v>238</v>
      </c>
      <c r="AA16" s="92" t="s">
        <v>237</v>
      </c>
      <c r="AB16" s="272" t="s">
        <v>238</v>
      </c>
    </row>
    <row r="17" ht="18.95" customHeight="1">
      <c r="A17" s="58"/>
      <c r="B17" s="288"/>
      <c r="C17" s="289" t="s">
        <v>231</v>
      </c>
      <c r="D17" s="420" t="s">
        <v>238</v>
      </c>
      <c r="E17" s="91" t="s">
        <v>237</v>
      </c>
      <c r="F17" s="421" t="s">
        <v>237</v>
      </c>
      <c r="G17" s="420" t="s">
        <v>237</v>
      </c>
      <c r="H17" s="91" t="s">
        <v>238</v>
      </c>
      <c r="I17" s="421" t="s">
        <v>236</v>
      </c>
      <c r="J17" s="420" t="s">
        <v>267</v>
      </c>
      <c r="K17" s="91" t="s">
        <v>267</v>
      </c>
      <c r="L17" s="421" t="s">
        <v>267</v>
      </c>
      <c r="M17" s="420" t="s">
        <v>238</v>
      </c>
      <c r="N17" s="91" t="s">
        <v>237</v>
      </c>
      <c r="O17" s="421" t="s">
        <v>237</v>
      </c>
      <c r="P17" s="5"/>
      <c r="Q17" s="420" t="s">
        <v>237</v>
      </c>
      <c r="R17" s="91" t="s">
        <v>237</v>
      </c>
      <c r="S17" s="421" t="s">
        <v>236</v>
      </c>
      <c r="T17" s="420" t="s">
        <v>238</v>
      </c>
      <c r="U17" s="91" t="s">
        <v>236</v>
      </c>
      <c r="V17" s="421" t="s">
        <v>238</v>
      </c>
      <c r="W17" s="420"/>
      <c r="X17" s="91"/>
      <c r="Y17" s="421"/>
      <c r="Z17" s="420" t="s">
        <v>238</v>
      </c>
      <c r="AA17" s="91" t="s">
        <v>237</v>
      </c>
      <c r="AB17" s="421" t="s">
        <v>238</v>
      </c>
    </row>
    <row r="18" ht="18.95" customHeight="1">
      <c r="A18" s="58"/>
      <c r="B18" s="286"/>
      <c r="C18" s="287" t="s">
        <v>232</v>
      </c>
      <c r="D18" s="271" t="s">
        <v>237</v>
      </c>
      <c r="E18" s="92" t="s">
        <v>237</v>
      </c>
      <c r="F18" s="272" t="s">
        <v>237</v>
      </c>
      <c r="G18" s="271" t="s">
        <v>238</v>
      </c>
      <c r="H18" s="92" t="s">
        <v>237</v>
      </c>
      <c r="I18" s="272" t="s">
        <v>238</v>
      </c>
      <c r="J18" s="271" t="s">
        <v>267</v>
      </c>
      <c r="K18" s="92" t="s">
        <v>267</v>
      </c>
      <c r="L18" s="272" t="s">
        <v>267</v>
      </c>
      <c r="M18" s="271" t="s">
        <v>238</v>
      </c>
      <c r="N18" s="92" t="s">
        <v>237</v>
      </c>
      <c r="O18" s="272" t="s">
        <v>237</v>
      </c>
      <c r="P18" s="5"/>
      <c r="Q18" s="271"/>
      <c r="R18" s="92"/>
      <c r="S18" s="272"/>
      <c r="T18" s="271"/>
      <c r="U18" s="92"/>
      <c r="V18" s="272"/>
      <c r="W18" s="271"/>
      <c r="X18" s="92"/>
      <c r="Y18" s="272"/>
      <c r="Z18" s="271"/>
      <c r="AA18" s="92"/>
      <c r="AB18" s="272"/>
    </row>
    <row r="19" ht="18.95" customHeight="1">
      <c r="A19" s="58"/>
      <c r="B19" s="288"/>
      <c r="C19" s="289" t="s">
        <v>233</v>
      </c>
      <c r="D19" s="420" t="s">
        <v>238</v>
      </c>
      <c r="E19" s="91" t="s">
        <v>237</v>
      </c>
      <c r="F19" s="421" t="s">
        <v>237</v>
      </c>
      <c r="G19" s="420" t="s">
        <v>237</v>
      </c>
      <c r="H19" s="91" t="s">
        <v>242</v>
      </c>
      <c r="I19" s="421" t="s">
        <v>237</v>
      </c>
      <c r="J19" s="420" t="s">
        <v>267</v>
      </c>
      <c r="K19" s="91" t="s">
        <v>267</v>
      </c>
      <c r="L19" s="421" t="s">
        <v>267</v>
      </c>
      <c r="M19" s="420" t="s">
        <v>238</v>
      </c>
      <c r="N19" s="91" t="s">
        <v>237</v>
      </c>
      <c r="O19" s="421" t="s">
        <v>237</v>
      </c>
      <c r="P19" s="5"/>
      <c r="Q19" s="420"/>
      <c r="R19" s="91"/>
      <c r="S19" s="421"/>
      <c r="T19" s="420"/>
      <c r="U19" s="91"/>
      <c r="V19" s="421"/>
      <c r="W19" s="420"/>
      <c r="X19" s="91"/>
      <c r="Y19" s="421"/>
      <c r="Z19" s="420"/>
      <c r="AA19" s="91"/>
      <c r="AB19" s="421"/>
    </row>
    <row r="20" ht="18.95" customHeight="1">
      <c r="A20" s="58"/>
      <c r="B20" s="286"/>
      <c r="C20" s="287" t="s">
        <v>234</v>
      </c>
      <c r="D20" s="271" t="s">
        <v>238</v>
      </c>
      <c r="E20" s="92" t="s">
        <v>242</v>
      </c>
      <c r="F20" s="272" t="s">
        <v>237</v>
      </c>
      <c r="G20" s="271" t="s">
        <v>236</v>
      </c>
      <c r="H20" s="92" t="s">
        <v>236</v>
      </c>
      <c r="I20" s="272" t="s">
        <v>236</v>
      </c>
      <c r="J20" s="271" t="s">
        <v>267</v>
      </c>
      <c r="K20" s="92" t="s">
        <v>267</v>
      </c>
      <c r="L20" s="272" t="s">
        <v>267</v>
      </c>
      <c r="M20" s="271" t="s">
        <v>238</v>
      </c>
      <c r="N20" s="92" t="s">
        <v>242</v>
      </c>
      <c r="O20" s="272" t="s">
        <v>237</v>
      </c>
      <c r="P20" s="5"/>
      <c r="Q20" s="271" t="s">
        <v>226</v>
      </c>
      <c r="R20" s="92" t="s">
        <v>225</v>
      </c>
      <c r="S20" s="272" t="s">
        <v>311</v>
      </c>
      <c r="T20" s="271" t="s">
        <v>224</v>
      </c>
      <c r="U20" s="92" t="s">
        <v>224</v>
      </c>
      <c r="V20" s="272" t="s">
        <v>224</v>
      </c>
      <c r="W20" s="271"/>
      <c r="X20" s="92"/>
      <c r="Y20" s="272"/>
      <c r="Z20" s="271" t="s">
        <v>226</v>
      </c>
      <c r="AA20" s="92" t="s">
        <v>225</v>
      </c>
      <c r="AB20" s="272" t="s">
        <v>311</v>
      </c>
    </row>
    <row r="21" ht="18.95" customHeight="1">
      <c r="A21" s="58"/>
      <c r="B21" s="288"/>
      <c r="C21" s="289" t="s">
        <v>218</v>
      </c>
      <c r="D21" s="420" t="s">
        <v>238</v>
      </c>
      <c r="E21" s="91" t="s">
        <v>236</v>
      </c>
      <c r="F21" s="421" t="s">
        <v>236</v>
      </c>
      <c r="G21" s="420" t="s">
        <v>242</v>
      </c>
      <c r="H21" s="91" t="s">
        <v>238</v>
      </c>
      <c r="I21" s="421" t="s">
        <v>242</v>
      </c>
      <c r="J21" s="420" t="s">
        <v>267</v>
      </c>
      <c r="K21" s="91" t="s">
        <v>267</v>
      </c>
      <c r="L21" s="421" t="s">
        <v>267</v>
      </c>
      <c r="M21" s="420" t="s">
        <v>238</v>
      </c>
      <c r="N21" s="91" t="s">
        <v>236</v>
      </c>
      <c r="O21" s="421" t="s">
        <v>236</v>
      </c>
      <c r="P21" s="5"/>
      <c r="Q21" s="420" t="s">
        <v>224</v>
      </c>
      <c r="R21" s="91" t="s">
        <v>226</v>
      </c>
      <c r="S21" s="421" t="s">
        <v>224</v>
      </c>
      <c r="T21" s="420" t="s">
        <v>224</v>
      </c>
      <c r="U21" s="91" t="s">
        <v>224</v>
      </c>
      <c r="V21" s="421" t="s">
        <v>224</v>
      </c>
      <c r="W21" s="420"/>
      <c r="X21" s="91"/>
      <c r="Y21" s="421"/>
      <c r="Z21" s="420" t="s">
        <v>224</v>
      </c>
      <c r="AA21" s="91" t="s">
        <v>226</v>
      </c>
      <c r="AB21" s="421" t="s">
        <v>224</v>
      </c>
    </row>
    <row r="22" ht="18.95" customHeight="1">
      <c r="A22" s="58"/>
      <c r="B22" s="286"/>
      <c r="C22" s="287" t="s">
        <v>219</v>
      </c>
      <c r="D22" s="271" t="s">
        <v>242</v>
      </c>
      <c r="E22" s="92" t="s">
        <v>236</v>
      </c>
      <c r="F22" s="272" t="s">
        <v>236</v>
      </c>
      <c r="G22" s="271" t="s">
        <v>242</v>
      </c>
      <c r="H22" s="92" t="s">
        <v>242</v>
      </c>
      <c r="I22" s="272" t="s">
        <v>242</v>
      </c>
      <c r="J22" s="271" t="s">
        <v>267</v>
      </c>
      <c r="K22" s="92" t="s">
        <v>267</v>
      </c>
      <c r="L22" s="272" t="s">
        <v>267</v>
      </c>
      <c r="M22" s="271" t="s">
        <v>242</v>
      </c>
      <c r="N22" s="92" t="s">
        <v>236</v>
      </c>
      <c r="O22" s="272" t="s">
        <v>236</v>
      </c>
      <c r="P22" s="5"/>
      <c r="Q22" s="271" t="s">
        <v>226</v>
      </c>
      <c r="R22" s="92" t="s">
        <v>226</v>
      </c>
      <c r="S22" s="272" t="s">
        <v>224</v>
      </c>
      <c r="T22" s="271" t="s">
        <v>224</v>
      </c>
      <c r="U22" s="92" t="s">
        <v>224</v>
      </c>
      <c r="V22" s="272" t="s">
        <v>224</v>
      </c>
      <c r="W22" s="271"/>
      <c r="X22" s="92"/>
      <c r="Y22" s="272"/>
      <c r="Z22" s="271" t="s">
        <v>226</v>
      </c>
      <c r="AA22" s="92" t="s">
        <v>226</v>
      </c>
      <c r="AB22" s="272" t="s">
        <v>224</v>
      </c>
    </row>
    <row r="23" ht="18.95" customHeight="1">
      <c r="A23" s="58"/>
      <c r="B23" s="288"/>
      <c r="C23" s="289" t="s">
        <v>220</v>
      </c>
      <c r="D23" s="420" t="s">
        <v>236</v>
      </c>
      <c r="E23" s="91" t="s">
        <v>236</v>
      </c>
      <c r="F23" s="421" t="s">
        <v>236</v>
      </c>
      <c r="G23" s="420" t="s">
        <v>242</v>
      </c>
      <c r="H23" s="91" t="s">
        <v>242</v>
      </c>
      <c r="I23" s="421" t="s">
        <v>241</v>
      </c>
      <c r="J23" s="420" t="s">
        <v>267</v>
      </c>
      <c r="K23" s="91" t="s">
        <v>267</v>
      </c>
      <c r="L23" s="421" t="s">
        <v>267</v>
      </c>
      <c r="M23" s="420" t="s">
        <v>236</v>
      </c>
      <c r="N23" s="91" t="s">
        <v>236</v>
      </c>
      <c r="O23" s="421" t="s">
        <v>236</v>
      </c>
      <c r="P23" s="5"/>
      <c r="Q23" s="420" t="s">
        <v>229</v>
      </c>
      <c r="R23" s="91" t="s">
        <v>229</v>
      </c>
      <c r="S23" s="421" t="s">
        <v>229</v>
      </c>
      <c r="T23" s="420" t="s">
        <v>235</v>
      </c>
      <c r="U23" s="91" t="s">
        <v>235</v>
      </c>
      <c r="V23" s="421" t="s">
        <v>235</v>
      </c>
      <c r="W23" s="420"/>
      <c r="X23" s="91"/>
      <c r="Y23" s="421"/>
      <c r="Z23" s="420" t="s">
        <v>239</v>
      </c>
      <c r="AA23" s="91" t="s">
        <v>229</v>
      </c>
      <c r="AB23" s="421" t="s">
        <v>239</v>
      </c>
    </row>
    <row r="24" ht="18.95" customHeight="1">
      <c r="A24" s="59"/>
      <c r="B24" s="286"/>
      <c r="C24" s="287" t="s">
        <v>221</v>
      </c>
      <c r="D24" s="271" t="s">
        <v>314</v>
      </c>
      <c r="E24" s="92" t="s">
        <v>313</v>
      </c>
      <c r="F24" s="272" t="s">
        <v>313</v>
      </c>
      <c r="G24" s="271" t="s">
        <v>313</v>
      </c>
      <c r="H24" s="92" t="s">
        <v>312</v>
      </c>
      <c r="I24" s="272" t="s">
        <v>314</v>
      </c>
      <c r="J24" s="271" t="s">
        <v>267</v>
      </c>
      <c r="K24" s="92" t="s">
        <v>267</v>
      </c>
      <c r="L24" s="272" t="s">
        <v>267</v>
      </c>
      <c r="M24" s="271" t="s">
        <v>312</v>
      </c>
      <c r="N24" s="92" t="s">
        <v>313</v>
      </c>
      <c r="O24" s="272" t="s">
        <v>314</v>
      </c>
      <c r="P24" s="93"/>
      <c r="Q24" s="271" t="s">
        <v>239</v>
      </c>
      <c r="R24" s="92" t="s">
        <v>229</v>
      </c>
      <c r="S24" s="272" t="s">
        <v>229</v>
      </c>
      <c r="T24" s="271" t="s">
        <v>235</v>
      </c>
      <c r="U24" s="92" t="s">
        <v>228</v>
      </c>
      <c r="V24" s="272" t="s">
        <v>235</v>
      </c>
      <c r="W24" s="271"/>
      <c r="X24" s="92"/>
      <c r="Y24" s="272"/>
      <c r="Z24" s="271" t="s">
        <v>239</v>
      </c>
      <c r="AA24" s="92" t="s">
        <v>229</v>
      </c>
      <c r="AB24" s="272" t="s">
        <v>229</v>
      </c>
    </row>
    <row r="25" ht="18.95" customHeight="1">
      <c r="A25" s="60"/>
      <c r="B25" s="288"/>
      <c r="C25" s="289" t="s">
        <v>222</v>
      </c>
      <c r="D25" s="420" t="s">
        <v>237</v>
      </c>
      <c r="E25" s="91" t="s">
        <v>236</v>
      </c>
      <c r="F25" s="421" t="s">
        <v>236</v>
      </c>
      <c r="G25" s="420" t="s">
        <v>236</v>
      </c>
      <c r="H25" s="91" t="s">
        <v>236</v>
      </c>
      <c r="I25" s="421" t="s">
        <v>237</v>
      </c>
      <c r="J25" s="420" t="s">
        <v>267</v>
      </c>
      <c r="K25" s="91" t="s">
        <v>267</v>
      </c>
      <c r="L25" s="421" t="s">
        <v>267</v>
      </c>
      <c r="M25" s="420" t="s">
        <v>314</v>
      </c>
      <c r="N25" s="91" t="s">
        <v>313</v>
      </c>
      <c r="O25" s="421" t="s">
        <v>313</v>
      </c>
      <c r="P25" s="93"/>
      <c r="Q25" s="420" t="s">
        <v>226</v>
      </c>
      <c r="R25" s="91" t="s">
        <v>225</v>
      </c>
      <c r="S25" s="421" t="s">
        <v>226</v>
      </c>
      <c r="T25" s="420" t="s">
        <v>226</v>
      </c>
      <c r="U25" s="91" t="s">
        <v>226</v>
      </c>
      <c r="V25" s="421" t="s">
        <v>225</v>
      </c>
      <c r="W25" s="420"/>
      <c r="X25" s="91"/>
      <c r="Y25" s="421"/>
      <c r="Z25" s="420" t="s">
        <v>235</v>
      </c>
      <c r="AA25" s="91" t="s">
        <v>229</v>
      </c>
      <c r="AB25" s="421" t="s">
        <v>235</v>
      </c>
    </row>
    <row r="26" ht="18.95" customHeight="1">
      <c r="A26" s="60"/>
      <c r="B26" s="290"/>
      <c r="C26" s="291" t="s">
        <v>223</v>
      </c>
      <c r="D26" s="273" t="s">
        <v>313</v>
      </c>
      <c r="E26" s="274" t="s">
        <v>314</v>
      </c>
      <c r="F26" s="275" t="s">
        <v>314</v>
      </c>
      <c r="G26" s="273" t="s">
        <v>313</v>
      </c>
      <c r="H26" s="274" t="s">
        <v>313</v>
      </c>
      <c r="I26" s="275" t="s">
        <v>313</v>
      </c>
      <c r="J26" s="273" t="s">
        <v>267</v>
      </c>
      <c r="K26" s="274" t="s">
        <v>267</v>
      </c>
      <c r="L26" s="275" t="s">
        <v>267</v>
      </c>
      <c r="M26" s="273" t="s">
        <v>313</v>
      </c>
      <c r="N26" s="274" t="s">
        <v>314</v>
      </c>
      <c r="O26" s="275" t="s">
        <v>314</v>
      </c>
      <c r="P26" s="184"/>
      <c r="Q26" s="273" t="s">
        <v>229</v>
      </c>
      <c r="R26" s="274" t="s">
        <v>229</v>
      </c>
      <c r="S26" s="275" t="s">
        <v>239</v>
      </c>
      <c r="T26" s="273" t="s">
        <v>235</v>
      </c>
      <c r="U26" s="274" t="s">
        <v>229</v>
      </c>
      <c r="V26" s="275" t="s">
        <v>235</v>
      </c>
      <c r="W26" s="273"/>
      <c r="X26" s="274"/>
      <c r="Y26" s="275"/>
      <c r="Z26" s="273" t="s">
        <v>229</v>
      </c>
      <c r="AA26" s="274" t="s">
        <v>229</v>
      </c>
      <c r="AB26" s="275" t="s">
        <v>229</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2019</v>
      </c>
      <c r="C29" s="285"/>
      <c r="D29" s="427" t="s">
        <v>315</v>
      </c>
      <c r="E29" s="428" t="s">
        <v>314</v>
      </c>
      <c r="F29" s="429" t="s">
        <v>315</v>
      </c>
      <c r="G29" s="427" t="s">
        <v>312</v>
      </c>
      <c r="H29" s="428" t="s">
        <v>317</v>
      </c>
      <c r="I29" s="429" t="s">
        <v>312</v>
      </c>
      <c r="J29" s="427" t="s">
        <v>267</v>
      </c>
      <c r="K29" s="428" t="s">
        <v>267</v>
      </c>
      <c r="L29" s="429" t="s">
        <v>267</v>
      </c>
      <c r="M29" s="427" t="s">
        <v>315</v>
      </c>
      <c r="N29" s="428" t="s">
        <v>314</v>
      </c>
      <c r="O29" s="429" t="s">
        <v>315</v>
      </c>
      <c r="P29" s="5"/>
      <c r="Q29" s="427" t="s">
        <v>318</v>
      </c>
      <c r="R29" s="428" t="s">
        <v>318</v>
      </c>
      <c r="S29" s="429" t="s">
        <v>318</v>
      </c>
      <c r="T29" s="427" t="s">
        <v>318</v>
      </c>
      <c r="U29" s="428" t="s">
        <v>318</v>
      </c>
      <c r="V29" s="429" t="s">
        <v>318</v>
      </c>
      <c r="W29" s="427"/>
      <c r="X29" s="428"/>
      <c r="Y29" s="429"/>
      <c r="Z29" s="427" t="s">
        <v>318</v>
      </c>
      <c r="AA29" s="428" t="s">
        <v>318</v>
      </c>
      <c r="AB29" s="429" t="s">
        <v>318</v>
      </c>
    </row>
    <row r="30" ht="18.95" customHeight="1">
      <c r="A30" s="58"/>
      <c r="B30" s="286">
        <v>2020</v>
      </c>
      <c r="C30" s="287"/>
      <c r="D30" s="271" t="s">
        <v>317</v>
      </c>
      <c r="E30" s="92" t="s">
        <v>312</v>
      </c>
      <c r="F30" s="272" t="s">
        <v>317</v>
      </c>
      <c r="G30" s="271" t="s">
        <v>317</v>
      </c>
      <c r="H30" s="92" t="s">
        <v>313</v>
      </c>
      <c r="I30" s="272" t="s">
        <v>312</v>
      </c>
      <c r="J30" s="271" t="s">
        <v>267</v>
      </c>
      <c r="K30" s="92" t="s">
        <v>267</v>
      </c>
      <c r="L30" s="272" t="s">
        <v>267</v>
      </c>
      <c r="M30" s="271" t="s">
        <v>316</v>
      </c>
      <c r="N30" s="92" t="s">
        <v>317</v>
      </c>
      <c r="O30" s="272" t="s">
        <v>317</v>
      </c>
      <c r="P30" s="5"/>
      <c r="Q30" s="271" t="s">
        <v>312</v>
      </c>
      <c r="R30" s="92" t="s">
        <v>312</v>
      </c>
      <c r="S30" s="272" t="s">
        <v>312</v>
      </c>
      <c r="T30" s="271" t="s">
        <v>317</v>
      </c>
      <c r="U30" s="92" t="s">
        <v>313</v>
      </c>
      <c r="V30" s="272" t="s">
        <v>312</v>
      </c>
      <c r="W30" s="271"/>
      <c r="X30" s="92"/>
      <c r="Y30" s="272"/>
      <c r="Z30" s="271" t="s">
        <v>312</v>
      </c>
      <c r="AA30" s="92" t="s">
        <v>314</v>
      </c>
      <c r="AB30" s="272" t="s">
        <v>312</v>
      </c>
    </row>
    <row r="31" ht="18.95" customHeight="1">
      <c r="A31" s="58"/>
      <c r="B31" s="425">
        <v>2021</v>
      </c>
      <c r="C31" s="426"/>
      <c r="D31" s="430" t="s">
        <v>318</v>
      </c>
      <c r="E31" s="431" t="s">
        <v>314</v>
      </c>
      <c r="F31" s="432" t="s">
        <v>313</v>
      </c>
      <c r="G31" s="430" t="s">
        <v>314</v>
      </c>
      <c r="H31" s="431" t="s">
        <v>313</v>
      </c>
      <c r="I31" s="432" t="s">
        <v>314</v>
      </c>
      <c r="J31" s="430" t="s">
        <v>267</v>
      </c>
      <c r="K31" s="431" t="s">
        <v>267</v>
      </c>
      <c r="L31" s="432" t="s">
        <v>267</v>
      </c>
      <c r="M31" s="430" t="s">
        <v>318</v>
      </c>
      <c r="N31" s="431" t="s">
        <v>314</v>
      </c>
      <c r="O31" s="432" t="s">
        <v>313</v>
      </c>
      <c r="P31" s="184"/>
      <c r="Q31" s="430" t="s">
        <v>318</v>
      </c>
      <c r="R31" s="431" t="s">
        <v>314</v>
      </c>
      <c r="S31" s="432" t="s">
        <v>318</v>
      </c>
      <c r="T31" s="430" t="s">
        <v>313</v>
      </c>
      <c r="U31" s="431" t="s">
        <v>314</v>
      </c>
      <c r="V31" s="432" t="s">
        <v>314</v>
      </c>
      <c r="W31" s="430"/>
      <c r="X31" s="431"/>
      <c r="Y31" s="432"/>
      <c r="Z31" s="430" t="s">
        <v>318</v>
      </c>
      <c r="AA31" s="431" t="s">
        <v>314</v>
      </c>
      <c r="AB31" s="432" t="s">
        <v>318</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2019</v>
      </c>
      <c r="C34" s="285"/>
      <c r="D34" s="427" t="s">
        <v>316</v>
      </c>
      <c r="E34" s="428" t="s">
        <v>314</v>
      </c>
      <c r="F34" s="429" t="s">
        <v>312</v>
      </c>
      <c r="G34" s="427" t="s">
        <v>314</v>
      </c>
      <c r="H34" s="428" t="s">
        <v>316</v>
      </c>
      <c r="I34" s="429" t="s">
        <v>317</v>
      </c>
      <c r="J34" s="427" t="s">
        <v>267</v>
      </c>
      <c r="K34" s="428" t="s">
        <v>267</v>
      </c>
      <c r="L34" s="429" t="s">
        <v>267</v>
      </c>
      <c r="M34" s="427" t="s">
        <v>315</v>
      </c>
      <c r="N34" s="428" t="s">
        <v>314</v>
      </c>
      <c r="O34" s="429" t="s">
        <v>312</v>
      </c>
      <c r="P34" s="5"/>
      <c r="Q34" s="427" t="s">
        <v>318</v>
      </c>
      <c r="R34" s="428" t="s">
        <v>312</v>
      </c>
      <c r="S34" s="429" t="s">
        <v>318</v>
      </c>
      <c r="T34" s="427" t="s">
        <v>317</v>
      </c>
      <c r="U34" s="428" t="s">
        <v>316</v>
      </c>
      <c r="V34" s="429" t="s">
        <v>317</v>
      </c>
      <c r="W34" s="427"/>
      <c r="X34" s="428"/>
      <c r="Y34" s="429"/>
      <c r="Z34" s="427" t="s">
        <v>318</v>
      </c>
      <c r="AA34" s="428" t="s">
        <v>312</v>
      </c>
      <c r="AB34" s="429" t="s">
        <v>318</v>
      </c>
    </row>
    <row r="35" ht="18.95" customHeight="1">
      <c r="A35" s="58"/>
      <c r="B35" s="286">
        <v>2020</v>
      </c>
      <c r="C35" s="287"/>
      <c r="D35" s="271" t="s">
        <v>229</v>
      </c>
      <c r="E35" s="92" t="s">
        <v>235</v>
      </c>
      <c r="F35" s="272" t="s">
        <v>235</v>
      </c>
      <c r="G35" s="271" t="s">
        <v>235</v>
      </c>
      <c r="H35" s="92" t="s">
        <v>235</v>
      </c>
      <c r="I35" s="272" t="s">
        <v>235</v>
      </c>
      <c r="J35" s="271" t="s">
        <v>267</v>
      </c>
      <c r="K35" s="92" t="s">
        <v>267</v>
      </c>
      <c r="L35" s="272" t="s">
        <v>267</v>
      </c>
      <c r="M35" s="271" t="s">
        <v>229</v>
      </c>
      <c r="N35" s="92" t="s">
        <v>235</v>
      </c>
      <c r="O35" s="272" t="s">
        <v>235</v>
      </c>
      <c r="P35" s="5"/>
      <c r="Q35" s="271" t="s">
        <v>228</v>
      </c>
      <c r="R35" s="92" t="s">
        <v>235</v>
      </c>
      <c r="S35" s="272" t="s">
        <v>228</v>
      </c>
      <c r="T35" s="271" t="s">
        <v>235</v>
      </c>
      <c r="U35" s="92" t="s">
        <v>228</v>
      </c>
      <c r="V35" s="272" t="s">
        <v>228</v>
      </c>
      <c r="W35" s="271"/>
      <c r="X35" s="92"/>
      <c r="Y35" s="272"/>
      <c r="Z35" s="271" t="s">
        <v>228</v>
      </c>
      <c r="AA35" s="92" t="s">
        <v>235</v>
      </c>
      <c r="AB35" s="272" t="s">
        <v>228</v>
      </c>
    </row>
    <row r="36" ht="18.95" customHeight="1">
      <c r="A36" s="58"/>
      <c r="B36" s="425">
        <v>2021</v>
      </c>
      <c r="C36" s="426"/>
      <c r="D36" s="430" t="s">
        <v>313</v>
      </c>
      <c r="E36" s="431" t="s">
        <v>314</v>
      </c>
      <c r="F36" s="432" t="s">
        <v>313</v>
      </c>
      <c r="G36" s="430" t="s">
        <v>313</v>
      </c>
      <c r="H36" s="431" t="s">
        <v>313</v>
      </c>
      <c r="I36" s="432" t="s">
        <v>314</v>
      </c>
      <c r="J36" s="430" t="s">
        <v>267</v>
      </c>
      <c r="K36" s="431" t="s">
        <v>267</v>
      </c>
      <c r="L36" s="432" t="s">
        <v>267</v>
      </c>
      <c r="M36" s="430" t="s">
        <v>313</v>
      </c>
      <c r="N36" s="431" t="s">
        <v>314</v>
      </c>
      <c r="O36" s="432" t="s">
        <v>314</v>
      </c>
      <c r="P36" s="184"/>
      <c r="Q36" s="430" t="s">
        <v>229</v>
      </c>
      <c r="R36" s="431" t="s">
        <v>229</v>
      </c>
      <c r="S36" s="432" t="s">
        <v>229</v>
      </c>
      <c r="T36" s="430" t="s">
        <v>229</v>
      </c>
      <c r="U36" s="431" t="s">
        <v>235</v>
      </c>
      <c r="V36" s="432" t="s">
        <v>229</v>
      </c>
      <c r="W36" s="430"/>
      <c r="X36" s="431"/>
      <c r="Y36" s="432"/>
      <c r="Z36" s="430" t="s">
        <v>239</v>
      </c>
      <c r="AA36" s="431" t="s">
        <v>229</v>
      </c>
      <c r="AB36" s="432" t="s">
        <v>229</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2019</v>
      </c>
      <c r="C39" s="285"/>
      <c r="D39" s="427" t="s">
        <v>315</v>
      </c>
      <c r="E39" s="428" t="s">
        <v>314</v>
      </c>
      <c r="F39" s="429" t="s">
        <v>315</v>
      </c>
      <c r="G39" s="427" t="s">
        <v>312</v>
      </c>
      <c r="H39" s="428" t="s">
        <v>317</v>
      </c>
      <c r="I39" s="429" t="s">
        <v>312</v>
      </c>
      <c r="J39" s="427" t="s">
        <v>267</v>
      </c>
      <c r="K39" s="428" t="s">
        <v>267</v>
      </c>
      <c r="L39" s="429" t="s">
        <v>267</v>
      </c>
      <c r="M39" s="427" t="s">
        <v>315</v>
      </c>
      <c r="N39" s="428" t="s">
        <v>314</v>
      </c>
      <c r="O39" s="429" t="s">
        <v>315</v>
      </c>
      <c r="P39" s="5"/>
      <c r="Q39" s="427" t="s">
        <v>318</v>
      </c>
      <c r="R39" s="428" t="s">
        <v>318</v>
      </c>
      <c r="S39" s="429" t="s">
        <v>318</v>
      </c>
      <c r="T39" s="427" t="s">
        <v>318</v>
      </c>
      <c r="U39" s="428" t="s">
        <v>318</v>
      </c>
      <c r="V39" s="429" t="s">
        <v>318</v>
      </c>
      <c r="W39" s="427"/>
      <c r="X39" s="428"/>
      <c r="Y39" s="429"/>
      <c r="Z39" s="427" t="s">
        <v>318</v>
      </c>
      <c r="AA39" s="428" t="s">
        <v>318</v>
      </c>
      <c r="AB39" s="429" t="s">
        <v>318</v>
      </c>
    </row>
    <row r="40" ht="18.95" customHeight="1">
      <c r="A40" s="58"/>
      <c r="B40" s="286">
        <v>2020</v>
      </c>
      <c r="C40" s="287"/>
      <c r="D40" s="271" t="s">
        <v>317</v>
      </c>
      <c r="E40" s="92" t="s">
        <v>312</v>
      </c>
      <c r="F40" s="272" t="s">
        <v>317</v>
      </c>
      <c r="G40" s="271" t="s">
        <v>317</v>
      </c>
      <c r="H40" s="92" t="s">
        <v>313</v>
      </c>
      <c r="I40" s="272" t="s">
        <v>312</v>
      </c>
      <c r="J40" s="271" t="s">
        <v>267</v>
      </c>
      <c r="K40" s="92" t="s">
        <v>267</v>
      </c>
      <c r="L40" s="272" t="s">
        <v>267</v>
      </c>
      <c r="M40" s="271" t="s">
        <v>316</v>
      </c>
      <c r="N40" s="92" t="s">
        <v>317</v>
      </c>
      <c r="O40" s="272" t="s">
        <v>317</v>
      </c>
      <c r="P40" s="5"/>
      <c r="Q40" s="271" t="s">
        <v>312</v>
      </c>
      <c r="R40" s="92" t="s">
        <v>312</v>
      </c>
      <c r="S40" s="272" t="s">
        <v>312</v>
      </c>
      <c r="T40" s="271" t="s">
        <v>317</v>
      </c>
      <c r="U40" s="92" t="s">
        <v>313</v>
      </c>
      <c r="V40" s="272" t="s">
        <v>312</v>
      </c>
      <c r="W40" s="271"/>
      <c r="X40" s="92"/>
      <c r="Y40" s="272"/>
      <c r="Z40" s="271" t="s">
        <v>312</v>
      </c>
      <c r="AA40" s="92" t="s">
        <v>314</v>
      </c>
      <c r="AB40" s="272" t="s">
        <v>312</v>
      </c>
    </row>
    <row r="41" ht="18.95" customHeight="1">
      <c r="A41" s="58"/>
      <c r="B41" s="425">
        <v>2021</v>
      </c>
      <c r="C41" s="426"/>
      <c r="D41" s="430" t="s">
        <v>318</v>
      </c>
      <c r="E41" s="431" t="s">
        <v>314</v>
      </c>
      <c r="F41" s="432" t="s">
        <v>313</v>
      </c>
      <c r="G41" s="430" t="s">
        <v>314</v>
      </c>
      <c r="H41" s="431" t="s">
        <v>313</v>
      </c>
      <c r="I41" s="432" t="s">
        <v>314</v>
      </c>
      <c r="J41" s="430" t="s">
        <v>267</v>
      </c>
      <c r="K41" s="431" t="s">
        <v>267</v>
      </c>
      <c r="L41" s="432" t="s">
        <v>267</v>
      </c>
      <c r="M41" s="430" t="s">
        <v>318</v>
      </c>
      <c r="N41" s="431" t="s">
        <v>314</v>
      </c>
      <c r="O41" s="432" t="s">
        <v>313</v>
      </c>
      <c r="P41" s="184"/>
      <c r="Q41" s="430" t="s">
        <v>318</v>
      </c>
      <c r="R41" s="431" t="s">
        <v>314</v>
      </c>
      <c r="S41" s="432" t="s">
        <v>318</v>
      </c>
      <c r="T41" s="430" t="s">
        <v>313</v>
      </c>
      <c r="U41" s="431" t="s">
        <v>314</v>
      </c>
      <c r="V41" s="432" t="s">
        <v>314</v>
      </c>
      <c r="W41" s="430"/>
      <c r="X41" s="431"/>
      <c r="Y41" s="432"/>
      <c r="Z41" s="430" t="s">
        <v>318</v>
      </c>
      <c r="AA41" s="431" t="s">
        <v>314</v>
      </c>
      <c r="AB41" s="432" t="s">
        <v>318</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1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189</v>
      </c>
      <c r="Y1" s="5"/>
      <c r="AB1" s="685"/>
      <c r="AD1" s="236"/>
    </row>
    <row r="2" ht="15" customHeight="1">
      <c r="A2" s="11"/>
      <c r="B2" s="11" t="s">
        <v>208</v>
      </c>
    </row>
    <row r="3" ht="17.1" customHeight="1">
      <c r="A3" s="11"/>
      <c r="B3" s="11" t="s">
        <v>209</v>
      </c>
      <c r="R3" s="1040" t="s">
        <v>303</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91.47727272727272727272727281</v>
      </c>
      <c r="E11" s="428">
        <v>66.283676703645007923930269470</v>
      </c>
      <c r="F11" s="429">
        <v>60.929092430945832835107019070</v>
      </c>
      <c r="G11" s="427">
        <v>2.4621212121212121212121212100</v>
      </c>
      <c r="H11" s="428">
        <v>4.080824088748019017432646600</v>
      </c>
      <c r="I11" s="429">
        <v>6.4749491809159392562477579900</v>
      </c>
      <c r="J11" s="427">
        <v>0</v>
      </c>
      <c r="K11" s="428">
        <v>0</v>
      </c>
      <c r="L11" s="429">
        <v>7.5690541671648929809876838500</v>
      </c>
      <c r="M11" s="427">
        <v>93.93939393939393939393939394</v>
      </c>
      <c r="N11" s="428">
        <v>70.364500792393026941362916010</v>
      </c>
      <c r="O11" s="429">
        <v>74.970106421140738969269400930</v>
      </c>
      <c r="P11" s="5"/>
      <c r="Q11" s="427">
        <v>21.969696969696969696969697080</v>
      </c>
      <c r="R11" s="428">
        <v>-5.0703755437150842045666513600</v>
      </c>
      <c r="S11" s="429">
        <v>46.535707372961650444771059350</v>
      </c>
      <c r="T11" s="427">
        <v>0.0000000008615384615458839400</v>
      </c>
      <c r="U11" s="428">
        <v>48.757587538743442376488569160</v>
      </c>
      <c r="V11" s="429">
        <v>750.13684615344340075264724661</v>
      </c>
      <c r="W11" s="427">
        <v>0</v>
      </c>
      <c r="X11" s="428">
        <v>0</v>
      </c>
      <c r="Y11" s="429">
        <v>82.06817317971865181160921333</v>
      </c>
      <c r="Z11" s="427">
        <v>21.271393643064993633467049580</v>
      </c>
      <c r="AA11" s="428">
        <v>-3.0355096070869084189768781400</v>
      </c>
      <c r="AB11" s="429">
        <v>61.243153200548730058268801240</v>
      </c>
    </row>
    <row r="12" ht="18" customHeight="1">
      <c r="A12" s="58"/>
      <c r="B12" s="1043" t="s">
        <v>46</v>
      </c>
      <c r="C12" s="1043"/>
      <c r="D12" s="420">
        <v>90.71969696969696969696969705</v>
      </c>
      <c r="E12" s="91">
        <v>65.372424722662440570522979460</v>
      </c>
      <c r="F12" s="421">
        <v>57.918809039818247040535692990</v>
      </c>
      <c r="G12" s="420">
        <v>2.6515151515151515151515151500</v>
      </c>
      <c r="H12" s="91">
        <v>3.5261489698890649762282091900</v>
      </c>
      <c r="I12" s="421">
        <v>6.926342221690780820279803900</v>
      </c>
      <c r="J12" s="420">
        <v>0</v>
      </c>
      <c r="K12" s="91">
        <v>0</v>
      </c>
      <c r="L12" s="421">
        <v>6.9412890111204113356451034400</v>
      </c>
      <c r="M12" s="420">
        <v>93.37121212121212121212121212</v>
      </c>
      <c r="N12" s="91">
        <v>68.898573692551505546751188590</v>
      </c>
      <c r="O12" s="421">
        <v>71.783450914743513093387540360</v>
      </c>
      <c r="P12" s="5"/>
      <c r="Q12" s="420">
        <v>38.840579710164244486452428770</v>
      </c>
      <c r="R12" s="91">
        <v>7.948311593284088060340662590</v>
      </c>
      <c r="S12" s="421">
        <v>55.194390057430908594016947750</v>
      </c>
      <c r="T12" s="420">
        <v>0.0000000005714285714318366800</v>
      </c>
      <c r="U12" s="91">
        <v>196.19651346475752773387442141</v>
      </c>
      <c r="V12" s="421">
        <v>1218.3292981343711311818184226</v>
      </c>
      <c r="W12" s="420">
        <v>0</v>
      </c>
      <c r="X12" s="91">
        <v>0</v>
      </c>
      <c r="Y12" s="421">
        <v>79.44845611138605803879670517</v>
      </c>
      <c r="Z12" s="420">
        <v>37.325905292528071631970594970</v>
      </c>
      <c r="AA12" s="91">
        <v>11.577572819711095762668449450</v>
      </c>
      <c r="AB12" s="421">
        <v>72.071563514566726061480997840</v>
      </c>
    </row>
    <row r="13" ht="18" customHeight="1">
      <c r="A13" s="58"/>
      <c r="B13" s="1043" t="s">
        <v>47</v>
      </c>
      <c r="C13" s="1043"/>
      <c r="D13" s="420">
        <v>88.44696969696969696969696978</v>
      </c>
      <c r="E13" s="91">
        <v>64.104595879556259904912836830</v>
      </c>
      <c r="F13" s="421">
        <v>58.663159153413846705727609770</v>
      </c>
      <c r="G13" s="420">
        <v>5.4924242424242424242424242500</v>
      </c>
      <c r="H13" s="91">
        <v>4.1600633914421553090332805100</v>
      </c>
      <c r="I13" s="421">
        <v>7.1774482841085734784168360700</v>
      </c>
      <c r="J13" s="420">
        <v>0</v>
      </c>
      <c r="K13" s="91">
        <v>0</v>
      </c>
      <c r="L13" s="421">
        <v>7.3119693889752481167045318700</v>
      </c>
      <c r="M13" s="420">
        <v>93.93939393939393939393939394</v>
      </c>
      <c r="N13" s="91">
        <v>68.264659270998415213946117270</v>
      </c>
      <c r="O13" s="421">
        <v>73.152576826497668300848977640</v>
      </c>
      <c r="P13" s="184"/>
      <c r="Q13" s="420">
        <v>48.536895674186867509663470720</v>
      </c>
      <c r="R13" s="91">
        <v>13.665638068276041780236835310</v>
      </c>
      <c r="S13" s="421">
        <v>64.565086016408318382719524280</v>
      </c>
      <c r="T13" s="420">
        <v>90.78947368340720221606986467</v>
      </c>
      <c r="U13" s="91">
        <v>171.52846190239103800014493498</v>
      </c>
      <c r="V13" s="421">
        <v>786.55241000759881970690382569</v>
      </c>
      <c r="W13" s="420">
        <v>0</v>
      </c>
      <c r="X13" s="91">
        <v>0</v>
      </c>
      <c r="Y13" s="421">
        <v>75.854351993199956678169535340</v>
      </c>
      <c r="Z13" s="420">
        <v>50.485436893306155151286712920</v>
      </c>
      <c r="AA13" s="91">
        <v>17.840709177515311819905822350</v>
      </c>
      <c r="AB13" s="421">
        <v>80.11243565072476815975121016</v>
      </c>
    </row>
    <row r="14" ht="18" customHeight="1">
      <c r="A14" s="58"/>
      <c r="B14" s="1043" t="s">
        <v>48</v>
      </c>
      <c r="C14" s="1043"/>
      <c r="D14" s="420">
        <v>84.84848484848484848484848493</v>
      </c>
      <c r="E14" s="91">
        <v>69.730586370839936608557844760</v>
      </c>
      <c r="F14" s="421">
        <v>61.963410259476264498385746800</v>
      </c>
      <c r="G14" s="420">
        <v>9.090909090909090909090909100</v>
      </c>
      <c r="H14" s="91">
        <v>5.7052297939778129952456418400</v>
      </c>
      <c r="I14" s="421">
        <v>9.484634700466339830204472090</v>
      </c>
      <c r="J14" s="420">
        <v>0</v>
      </c>
      <c r="K14" s="91">
        <v>0</v>
      </c>
      <c r="L14" s="421">
        <v>7.1457610905177567858424010600</v>
      </c>
      <c r="M14" s="420">
        <v>93.93939393939393939393939394</v>
      </c>
      <c r="N14" s="91">
        <v>75.435816164817749603803486530</v>
      </c>
      <c r="O14" s="421">
        <v>78.596197536769101996891067800</v>
      </c>
      <c r="P14" s="5"/>
      <c r="Q14" s="420">
        <v>44.329896907164417047507724320</v>
      </c>
      <c r="R14" s="91">
        <v>22.561401808983636761391291670</v>
      </c>
      <c r="S14" s="421">
        <v>57.666013041687758393062099580</v>
      </c>
      <c r="T14" s="420">
        <v>233.33333333000000000003333367</v>
      </c>
      <c r="U14" s="91">
        <v>293.66085578958668779721391390</v>
      </c>
      <c r="V14" s="421">
        <v>1020.7676671392892371169101070</v>
      </c>
      <c r="W14" s="420">
        <v>0</v>
      </c>
      <c r="X14" s="91">
        <v>0</v>
      </c>
      <c r="Y14" s="421">
        <v>77.021125548824604249864128540</v>
      </c>
      <c r="Z14" s="420">
        <v>52.709359605790967992428933230</v>
      </c>
      <c r="AA14" s="91">
        <v>29.295596904227711529211595940</v>
      </c>
      <c r="AB14" s="421">
        <v>77.852368356989588549091805730</v>
      </c>
    </row>
    <row r="15" ht="18" customHeight="1">
      <c r="A15" s="58"/>
      <c r="B15" s="1043" t="s">
        <v>49</v>
      </c>
      <c r="C15" s="1043"/>
      <c r="D15" s="420">
        <v>89.09090909090909090909090917</v>
      </c>
      <c r="E15" s="91">
        <v>71.410459587955625990491283740</v>
      </c>
      <c r="F15" s="421">
        <v>61.836661485112997728088006760</v>
      </c>
      <c r="G15" s="420">
        <v>5.6060606060606060606060606100</v>
      </c>
      <c r="H15" s="91">
        <v>4.6592709984152139461172741700</v>
      </c>
      <c r="I15" s="421">
        <v>9.912710749730957790266650730</v>
      </c>
      <c r="J15" s="420">
        <v>0</v>
      </c>
      <c r="K15" s="91">
        <v>0</v>
      </c>
      <c r="L15" s="421">
        <v>7.0309697476981944278369006400</v>
      </c>
      <c r="M15" s="420">
        <v>94.69696969696969696969696970</v>
      </c>
      <c r="N15" s="91">
        <v>76.069730586370839936608557840</v>
      </c>
      <c r="O15" s="421">
        <v>78.785124955159631711108453900</v>
      </c>
      <c r="P15" s="184"/>
      <c r="Q15" s="420">
        <v>32.731376975193269774623059850</v>
      </c>
      <c r="R15" s="91">
        <v>12.790228845568664544950266110</v>
      </c>
      <c r="S15" s="421">
        <v>39.767256417235377705221991050</v>
      </c>
      <c r="T15" s="420">
        <v>68.181818183500000000016818300</v>
      </c>
      <c r="U15" s="91">
        <v>155.73044229548641553489184596</v>
      </c>
      <c r="V15" s="421">
        <v>635.15815077933532081419599792</v>
      </c>
      <c r="W15" s="420">
        <v>0</v>
      </c>
      <c r="X15" s="91">
        <v>0</v>
      </c>
      <c r="Y15" s="421">
        <v>68.070045554368107754123408550</v>
      </c>
      <c r="Z15" s="420">
        <v>34.408602150624349635796101740</v>
      </c>
      <c r="AA15" s="91">
        <v>16.788556494575729182994371070</v>
      </c>
      <c r="AB15" s="421">
        <v>58.284651723499289758532670020</v>
      </c>
    </row>
    <row r="16" ht="18" customHeight="1">
      <c r="A16" s="58"/>
      <c r="B16" s="1044" t="s">
        <v>75</v>
      </c>
      <c r="C16" s="1044"/>
      <c r="D16" s="430">
        <v>88.73966942148760330578512404</v>
      </c>
      <c r="E16" s="431">
        <v>67.67036450079239302694136300</v>
      </c>
      <c r="F16" s="432">
        <v>60.411118237257182611720457060</v>
      </c>
      <c r="G16" s="430">
        <v>5.2685950413223140495867768600</v>
      </c>
      <c r="H16" s="431">
        <v>4.4950295346491859962541420600</v>
      </c>
      <c r="I16" s="432">
        <v>8.150076636265802832824236640</v>
      </c>
      <c r="J16" s="430">
        <v>0</v>
      </c>
      <c r="K16" s="431">
        <v>0</v>
      </c>
      <c r="L16" s="432">
        <v>7.1896774754600893546248084200</v>
      </c>
      <c r="M16" s="430">
        <v>94.00826446280991735537190083</v>
      </c>
      <c r="N16" s="431">
        <v>72.165394035441579023195504970</v>
      </c>
      <c r="O16" s="432">
        <v>75.751415868598697727000967460</v>
      </c>
      <c r="P16" s="5"/>
      <c r="Q16" s="430">
        <v>37.106176266487471020442759050</v>
      </c>
      <c r="R16" s="431">
        <v>10.812216869074409647865284650</v>
      </c>
      <c r="S16" s="432">
        <v>52.427564265950211980733362220</v>
      </c>
      <c r="T16" s="430">
        <v>85.99365750561414523821288252</v>
      </c>
      <c r="U16" s="431">
        <v>160.07959948023740770422599177</v>
      </c>
      <c r="V16" s="432">
        <v>829.3937042057791980656567997</v>
      </c>
      <c r="W16" s="430">
        <v>0</v>
      </c>
      <c r="X16" s="431">
        <v>0</v>
      </c>
      <c r="Y16" s="432">
        <v>75.933479279804420295911894690</v>
      </c>
      <c r="Z16" s="629">
        <v>39.156065777242198889533164350</v>
      </c>
      <c r="AA16" s="214">
        <v>14.920493454722375840610491450</v>
      </c>
      <c r="AB16" s="630">
        <v>69.853743993676905592855851050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83.18181818181818181818181826</v>
      </c>
      <c r="E18" s="480">
        <v>71.568938193343898573692551570</v>
      </c>
      <c r="F18" s="481">
        <v>64.866674638287695802941528220</v>
      </c>
      <c r="G18" s="479">
        <v>8.484848484848484848484848490</v>
      </c>
      <c r="H18" s="480">
        <v>4.0570522979397781299524564200</v>
      </c>
      <c r="I18" s="481">
        <v>11.086930527322731077364582100</v>
      </c>
      <c r="J18" s="479">
        <v>0</v>
      </c>
      <c r="K18" s="480">
        <v>0</v>
      </c>
      <c r="L18" s="481">
        <v>6.9209613774961138347482960700</v>
      </c>
      <c r="M18" s="479">
        <v>91.66666666666666666666666667</v>
      </c>
      <c r="N18" s="480">
        <v>75.625990491283676703645007920</v>
      </c>
      <c r="O18" s="481">
        <v>82.87695802941528159751285424</v>
      </c>
      <c r="P18" s="184"/>
      <c r="Q18" s="479">
        <v>6.8613138686256188395758979800</v>
      </c>
      <c r="R18" s="480">
        <v>4.7509004465596260166861311600</v>
      </c>
      <c r="S18" s="481">
        <v>44.487817526173694200265170330</v>
      </c>
      <c r="T18" s="479">
        <v>307.27272727924363636374062570</v>
      </c>
      <c r="U18" s="480">
        <v>70.396196510062757527801914490</v>
      </c>
      <c r="V18" s="481">
        <v>542.99662524744233113628802492</v>
      </c>
      <c r="W18" s="479">
        <v>0</v>
      </c>
      <c r="X18" s="480">
        <v>0</v>
      </c>
      <c r="Y18" s="481">
        <v>60.096626971922077251605486890</v>
      </c>
      <c r="Z18" s="479">
        <v>14.691943128022964443745680440</v>
      </c>
      <c r="AA18" s="480">
        <v>6.9615033888615508493619115500</v>
      </c>
      <c r="AB18" s="481">
        <v>62.690560650333580347121818230</v>
      </c>
    </row>
    <row r="19" ht="18" customHeight="1">
      <c r="A19" s="58"/>
      <c r="B19" s="1046" t="s">
        <v>51</v>
      </c>
      <c r="C19" s="1046"/>
      <c r="D19" s="271">
        <v>88.06818181818181818181818190</v>
      </c>
      <c r="E19" s="92">
        <v>72.028526148969889064976228270</v>
      </c>
      <c r="F19" s="272">
        <v>67.795647494918091593925624840</v>
      </c>
      <c r="G19" s="271">
        <v>5.8712121212121212121212121300</v>
      </c>
      <c r="H19" s="92">
        <v>4.7147385103011093502377179100</v>
      </c>
      <c r="I19" s="272">
        <v>9.607796245366495276814540250</v>
      </c>
      <c r="J19" s="271">
        <v>0</v>
      </c>
      <c r="K19" s="92">
        <v>0</v>
      </c>
      <c r="L19" s="272">
        <v>7.3807246203515484873849097300</v>
      </c>
      <c r="M19" s="271">
        <v>93.93939393939393939393939394</v>
      </c>
      <c r="N19" s="92">
        <v>76.743264659270998415213946120</v>
      </c>
      <c r="O19" s="272">
        <v>84.78715771852206146119813464</v>
      </c>
      <c r="P19" s="5"/>
      <c r="Q19" s="271">
        <v>3.5634743875020064384601332300</v>
      </c>
      <c r="R19" s="92">
        <v>-12.202452668868207494070314100</v>
      </c>
      <c r="S19" s="272">
        <v>34.340732459264213168564381510</v>
      </c>
      <c r="T19" s="271">
        <v>181.81818182269090909098123679</v>
      </c>
      <c r="U19" s="92">
        <v>98.01901742868621236141042797</v>
      </c>
      <c r="V19" s="272">
        <v>602.26057091226517083102941073</v>
      </c>
      <c r="W19" s="271">
        <v>0</v>
      </c>
      <c r="X19" s="92">
        <v>0</v>
      </c>
      <c r="Y19" s="272">
        <v>74.722329074089104308024716450</v>
      </c>
      <c r="Z19" s="271">
        <v>7.8260869565367410207939529400</v>
      </c>
      <c r="AA19" s="92">
        <v>-9.093815253425379001895667560</v>
      </c>
      <c r="AB19" s="272">
        <v>51.239939172228686171705883990</v>
      </c>
    </row>
    <row r="20" ht="18" customHeight="1">
      <c r="A20" s="58"/>
      <c r="B20" s="1047" t="s">
        <v>76</v>
      </c>
      <c r="C20" s="1047"/>
      <c r="D20" s="273">
        <v>85.35353535353535353535353543</v>
      </c>
      <c r="E20" s="274">
        <v>71.773199506955449903151963440</v>
      </c>
      <c r="F20" s="275">
        <v>66.168440352345649487823348940</v>
      </c>
      <c r="G20" s="273">
        <v>7.3232323232323232323232323300</v>
      </c>
      <c r="H20" s="274">
        <v>4.3493572812114808945236837500</v>
      </c>
      <c r="I20" s="275">
        <v>10.429537513119959610453452390</v>
      </c>
      <c r="J20" s="273">
        <v>0</v>
      </c>
      <c r="K20" s="274">
        <v>0</v>
      </c>
      <c r="L20" s="275">
        <v>7.1253005965429736803645688100</v>
      </c>
      <c r="M20" s="273">
        <v>92.67676767676767676767676768</v>
      </c>
      <c r="N20" s="274">
        <v>76.122556788166930797675647120</v>
      </c>
      <c r="O20" s="275">
        <v>83.72593566901829487026186775</v>
      </c>
      <c r="P20" s="184"/>
      <c r="Q20" s="273">
        <v>4.806201550379797367946638500</v>
      </c>
      <c r="R20" s="274">
        <v>-4.5329972823275609773790502100</v>
      </c>
      <c r="S20" s="275">
        <v>38.776583966408194699775761700</v>
      </c>
      <c r="T20" s="273">
        <v>251.51515152077575757584756396</v>
      </c>
      <c r="U20" s="274">
        <v>82.67300580722873745385014275</v>
      </c>
      <c r="V20" s="275">
        <v>574.53063595256976525825244738</v>
      </c>
      <c r="W20" s="273">
        <v>0</v>
      </c>
      <c r="X20" s="274">
        <v>0</v>
      </c>
      <c r="Y20" s="275">
        <v>66.727330790213410477307004740</v>
      </c>
      <c r="Z20" s="273">
        <v>10.959939531404334613664071560</v>
      </c>
      <c r="AA20" s="274">
        <v>-1.8560028596472500481976122300</v>
      </c>
      <c r="AB20" s="275">
        <v>56.492950344357496306603683710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87.75659824046920821114369501</v>
      </c>
      <c r="E22" s="469">
        <v>69.132457440826133633249833850</v>
      </c>
      <c r="F22" s="470">
        <v>62.059776227963536799625112720</v>
      </c>
      <c r="G22" s="468">
        <v>5.8651026392961876832844574800</v>
      </c>
      <c r="H22" s="469">
        <v>4.1817902970195797760850672300</v>
      </c>
      <c r="I22" s="470">
        <v>8.641645727825766152785897150</v>
      </c>
      <c r="J22" s="468">
        <v>0</v>
      </c>
      <c r="K22" s="469">
        <v>0</v>
      </c>
      <c r="L22" s="470">
        <v>7.3620912918876766775257700400</v>
      </c>
      <c r="M22" s="468">
        <v>93.62170087976539589442815249</v>
      </c>
      <c r="N22" s="469">
        <v>73.314247737845713409334901080</v>
      </c>
      <c r="O22" s="470">
        <v>78.063513247676979629936779900</v>
      </c>
      <c r="P22" s="184"/>
      <c r="Q22" s="468">
        <v>27.115044247877603571148939890</v>
      </c>
      <c r="R22" s="469">
        <v>6.3188460621661821993405482200</v>
      </c>
      <c r="S22" s="470">
        <v>48.725118740776947455842213840</v>
      </c>
      <c r="T22" s="468">
        <v>122.22222222081481481482372847</v>
      </c>
      <c r="U22" s="469">
        <v>164.19386547893428249526319353</v>
      </c>
      <c r="V22" s="470">
        <v>725.09230033236538191580163107</v>
      </c>
      <c r="W22" s="468">
        <v>0</v>
      </c>
      <c r="X22" s="469">
        <v>0</v>
      </c>
      <c r="Y22" s="470">
        <v>78.690435018048700606718043580</v>
      </c>
      <c r="Z22" s="468">
        <v>30.617115581374664890591574850</v>
      </c>
      <c r="AA22" s="469">
        <v>10.070613795149851325484725810</v>
      </c>
      <c r="AB22" s="470">
        <v>66.463695672923586951695544610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265.1986616604877837871341035</v>
      </c>
      <c r="E25" s="455">
        <v>283.77030976587484731224438304</v>
      </c>
      <c r="F25" s="456">
        <v>229.44484298765970782586588849</v>
      </c>
      <c r="G25" s="454">
        <v>271.28158005537932355342646993</v>
      </c>
      <c r="H25" s="455">
        <v>302.93210463423126775859126397</v>
      </c>
      <c r="I25" s="456">
        <v>209.39788728386427596915343115</v>
      </c>
      <c r="J25" s="454">
        <v>0</v>
      </c>
      <c r="K25" s="455">
        <v>0</v>
      </c>
      <c r="L25" s="456">
        <v>115.1480020480843014473115088</v>
      </c>
      <c r="M25" s="454">
        <v>265.35809298938615075681515343</v>
      </c>
      <c r="N25" s="455">
        <v>284.88160755384822079533769877</v>
      </c>
      <c r="O25" s="456">
        <v>216.18307567355475249892649673</v>
      </c>
      <c r="P25" s="5"/>
      <c r="Q25" s="427">
        <v>88.97920383861441601170726882</v>
      </c>
      <c r="R25" s="428">
        <v>87.82781782070460715601549268</v>
      </c>
      <c r="S25" s="429">
        <v>60.884131421616439403794398800</v>
      </c>
      <c r="T25" s="427">
        <v>7.6894590600101038014778759900</v>
      </c>
      <c r="U25" s="428">
        <v>66.938793804389204077561487730</v>
      </c>
      <c r="V25" s="429">
        <v>38.161448649766941436995221250</v>
      </c>
      <c r="W25" s="427">
        <v>0</v>
      </c>
      <c r="X25" s="428">
        <v>0</v>
      </c>
      <c r="Y25" s="429">
        <v>18.773750448998413466016727380</v>
      </c>
      <c r="Z25" s="427">
        <v>84.43180195096016917695955828</v>
      </c>
      <c r="AA25" s="428">
        <v>87.14066827432297572141948628</v>
      </c>
      <c r="AB25" s="429">
        <v>55.876115248226955993014320780</v>
      </c>
    </row>
    <row r="26" ht="18" customHeight="1">
      <c r="A26" s="58"/>
      <c r="B26" s="1043" t="s">
        <v>46</v>
      </c>
      <c r="C26" s="1043"/>
      <c r="D26" s="439">
        <v>250.34544412493698085485991121</v>
      </c>
      <c r="E26" s="95">
        <v>269.61412370824481170848218234</v>
      </c>
      <c r="F26" s="440">
        <v>224.7356011674967549536299234</v>
      </c>
      <c r="G26" s="439">
        <v>244.18202316529266998812635574</v>
      </c>
      <c r="H26" s="95">
        <v>219.68292019224457867215347609</v>
      </c>
      <c r="I26" s="440">
        <v>201.56783168962042909561445203</v>
      </c>
      <c r="J26" s="439">
        <v>0</v>
      </c>
      <c r="K26" s="95">
        <v>0</v>
      </c>
      <c r="L26" s="440">
        <v>115.01109784645780999973948848</v>
      </c>
      <c r="M26" s="439">
        <v>250.17041797192476918724475953</v>
      </c>
      <c r="N26" s="95">
        <v>267.05870271173876182910710766</v>
      </c>
      <c r="O26" s="440">
        <v>211.89941730914817791448438527</v>
      </c>
      <c r="P26" s="5"/>
      <c r="Q26" s="420">
        <v>66.020173376142309269106120990</v>
      </c>
      <c r="R26" s="91">
        <v>63.346301862615298795134312600</v>
      </c>
      <c r="S26" s="421">
        <v>49.851951479885366143876841420</v>
      </c>
      <c r="T26" s="420">
        <v>-2.1137271134042919293420969500</v>
      </c>
      <c r="U26" s="91">
        <v>36.101269524526462722935961370</v>
      </c>
      <c r="V26" s="421">
        <v>47.094558688583565055192202690</v>
      </c>
      <c r="W26" s="420">
        <v>0</v>
      </c>
      <c r="X26" s="91">
        <v>0</v>
      </c>
      <c r="Y26" s="421">
        <v>19.676787976033501639528657710</v>
      </c>
      <c r="Z26" s="420">
        <v>61.776267782659422208034553630</v>
      </c>
      <c r="AA26" s="91">
        <v>61.867016444651276290368228920</v>
      </c>
      <c r="AB26" s="421">
        <v>46.338231433172621981130485190</v>
      </c>
    </row>
    <row r="27" ht="18" customHeight="1">
      <c r="A27" s="58"/>
      <c r="B27" s="1043" t="s">
        <v>47</v>
      </c>
      <c r="C27" s="1043"/>
      <c r="D27" s="439">
        <v>254.24462438891950810582077758</v>
      </c>
      <c r="E27" s="95">
        <v>283.32935936862300807286910784</v>
      </c>
      <c r="F27" s="440">
        <v>233.75817969552493332623930004</v>
      </c>
      <c r="G27" s="439">
        <v>198.13669290213479032913448712</v>
      </c>
      <c r="H27" s="95">
        <v>184.69629489037759950775360526</v>
      </c>
      <c r="I27" s="440">
        <v>195.4909379627003401565161463</v>
      </c>
      <c r="J27" s="439">
        <v>0</v>
      </c>
      <c r="K27" s="95">
        <v>0</v>
      </c>
      <c r="L27" s="440">
        <v>114.5815833995527646070458385</v>
      </c>
      <c r="M27" s="439">
        <v>250.96412033021636936484516784</v>
      </c>
      <c r="N27" s="95">
        <v>277.31863866623428613477443126</v>
      </c>
      <c r="O27" s="440">
        <v>218.09124324256184342849697243</v>
      </c>
      <c r="P27" s="93"/>
      <c r="Q27" s="420">
        <v>72.965260930255078130064119400</v>
      </c>
      <c r="R27" s="91">
        <v>63.614214322176795172290825010</v>
      </c>
      <c r="S27" s="421">
        <v>53.920899364494816651256826940</v>
      </c>
      <c r="T27" s="420">
        <v>-23.503149218965405659501212120</v>
      </c>
      <c r="U27" s="91">
        <v>13.972431591356861824794368280</v>
      </c>
      <c r="V27" s="421">
        <v>40.114701737678164299660819490</v>
      </c>
      <c r="W27" s="420">
        <v>0</v>
      </c>
      <c r="X27" s="91">
        <v>0</v>
      </c>
      <c r="Y27" s="421">
        <v>22.810518086572870773575078150</v>
      </c>
      <c r="Z27" s="420">
        <v>64.936796665533106364406439260</v>
      </c>
      <c r="AA27" s="91">
        <v>60.415533425444372372769105920</v>
      </c>
      <c r="AB27" s="421">
        <v>49.760335407885690788490318770</v>
      </c>
    </row>
    <row r="28" ht="18" customHeight="1">
      <c r="A28" s="58"/>
      <c r="B28" s="1043" t="s">
        <v>48</v>
      </c>
      <c r="C28" s="1043"/>
      <c r="D28" s="439">
        <v>315.97976079658095761677273271</v>
      </c>
      <c r="E28" s="95">
        <v>356.08296037518034620122350789</v>
      </c>
      <c r="F28" s="440">
        <v>263.21239437648239650684826231</v>
      </c>
      <c r="G28" s="439">
        <v>329.07490067726333196603835735</v>
      </c>
      <c r="H28" s="95">
        <v>267.97423182400146914004019943</v>
      </c>
      <c r="I28" s="440">
        <v>242.86925243406593362634363038</v>
      </c>
      <c r="J28" s="439">
        <v>0</v>
      </c>
      <c r="K28" s="95">
        <v>0</v>
      </c>
      <c r="L28" s="440">
        <v>115.54991372035227682492589573</v>
      </c>
      <c r="M28" s="439">
        <v>317.24703239793731642476618024</v>
      </c>
      <c r="N28" s="95">
        <v>349.41927502257017902852897193</v>
      </c>
      <c r="O28" s="440">
        <v>247.32437960275603193085032378</v>
      </c>
      <c r="P28" s="5"/>
      <c r="Q28" s="420">
        <v>91.60118113890324516358051916</v>
      </c>
      <c r="R28" s="91">
        <v>80.95808842326452731823636861</v>
      </c>
      <c r="S28" s="421">
        <v>59.311320451574408319060854990</v>
      </c>
      <c r="T28" s="420">
        <v>25.768933713174209617663794150</v>
      </c>
      <c r="U28" s="91">
        <v>64.316168475630639448659045930</v>
      </c>
      <c r="V28" s="421">
        <v>75.570891177601568312540830570</v>
      </c>
      <c r="W28" s="420">
        <v>0</v>
      </c>
      <c r="X28" s="91">
        <v>0</v>
      </c>
      <c r="Y28" s="421">
        <v>16.461365658513043575321881500</v>
      </c>
      <c r="Z28" s="420">
        <v>87.49370657912444341152017173</v>
      </c>
      <c r="AA28" s="91">
        <v>78.330128645817753460640934830</v>
      </c>
      <c r="AB28" s="421">
        <v>55.899477916211934492410303050</v>
      </c>
    </row>
    <row r="29" ht="18" customHeight="1">
      <c r="A29" s="58"/>
      <c r="B29" s="1043" t="s">
        <v>49</v>
      </c>
      <c r="C29" s="1043"/>
      <c r="D29" s="439">
        <v>367.54135802241535608824234099</v>
      </c>
      <c r="E29" s="95">
        <v>394.07387463730560702298024993</v>
      </c>
      <c r="F29" s="440">
        <v>297.7410066774873344110245852</v>
      </c>
      <c r="G29" s="439">
        <v>423.03368761802244969396392541</v>
      </c>
      <c r="H29" s="95">
        <v>276.91822236658214342630227454</v>
      </c>
      <c r="I29" s="440">
        <v>248.27831656731570111089709054</v>
      </c>
      <c r="J29" s="439">
        <v>0</v>
      </c>
      <c r="K29" s="95">
        <v>0</v>
      </c>
      <c r="L29" s="440">
        <v>116.89404116160129479486267425</v>
      </c>
      <c r="M29" s="439">
        <v>370.82650393447529602970105878</v>
      </c>
      <c r="N29" s="95">
        <v>386.89809093572379487768372392</v>
      </c>
      <c r="O29" s="440">
        <v>275.3603482529875362332269124</v>
      </c>
      <c r="P29" s="93"/>
      <c r="Q29" s="420">
        <v>80.16237468811399306677612985</v>
      </c>
      <c r="R29" s="91">
        <v>80.81050690413955089501742737</v>
      </c>
      <c r="S29" s="421">
        <v>61.406075511239688491905661120</v>
      </c>
      <c r="T29" s="420">
        <v>62.436102078532829589246787160</v>
      </c>
      <c r="U29" s="91">
        <v>43.108437862905087434316888610</v>
      </c>
      <c r="V29" s="421">
        <v>63.082478785904557318032917350</v>
      </c>
      <c r="W29" s="420">
        <v>0</v>
      </c>
      <c r="X29" s="91">
        <v>0</v>
      </c>
      <c r="Y29" s="421">
        <v>22.185792644258840154729511510</v>
      </c>
      <c r="Z29" s="420">
        <v>79.42477626132134556407987503</v>
      </c>
      <c r="AA29" s="91">
        <v>78.076798245695309330944321170</v>
      </c>
      <c r="AB29" s="421">
        <v>56.338479913599864319808590030</v>
      </c>
    </row>
    <row r="30" ht="18" customHeight="1">
      <c r="A30" s="58"/>
      <c r="B30" s="1044" t="s">
        <v>75</v>
      </c>
      <c r="C30" s="1044"/>
      <c r="D30" s="457">
        <v>294.83959855287209519959689539</v>
      </c>
      <c r="E30" s="458">
        <v>324.59749714696517779431007992</v>
      </c>
      <c r="F30" s="459">
        <v>253.14526513022420541157555246</v>
      </c>
      <c r="G30" s="457">
        <v>314.30008785423900694256326729</v>
      </c>
      <c r="H30" s="458">
        <v>254.95070200982864672779544609</v>
      </c>
      <c r="I30" s="459">
        <v>225.56154113072178369765038767</v>
      </c>
      <c r="J30" s="457">
        <v>0</v>
      </c>
      <c r="K30" s="458">
        <v>0</v>
      </c>
      <c r="L30" s="459">
        <v>115.49808637678038691885370367</v>
      </c>
      <c r="M30" s="457">
        <v>295.93024135987177926431259315</v>
      </c>
      <c r="N30" s="458">
        <v>320.25934580282730642422571861</v>
      </c>
      <c r="O30" s="459">
        <v>237.11142786600884028208437751</v>
      </c>
      <c r="P30" s="5"/>
      <c r="Q30" s="430">
        <v>81.20609326399725467791674858</v>
      </c>
      <c r="R30" s="431">
        <v>78.104185154670171134951339670</v>
      </c>
      <c r="S30" s="432">
        <v>57.567332583338608791325833080</v>
      </c>
      <c r="T30" s="430">
        <v>22.154045435145080126649163340</v>
      </c>
      <c r="U30" s="431">
        <v>45.911754888846514204182535880</v>
      </c>
      <c r="V30" s="432">
        <v>55.471003794071386590047923620</v>
      </c>
      <c r="W30" s="430">
        <v>0</v>
      </c>
      <c r="X30" s="431">
        <v>0</v>
      </c>
      <c r="Y30" s="432">
        <v>20.055106232943613177626816640</v>
      </c>
      <c r="Z30" s="430">
        <v>77.548509702811944846300732270</v>
      </c>
      <c r="AA30" s="431">
        <v>75.923716418854346174559994560</v>
      </c>
      <c r="AB30" s="432">
        <v>53.530267428439256005187442630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482.40053142037061666811288625</v>
      </c>
      <c r="E32" s="494">
        <v>461.30313568414456259416130908</v>
      </c>
      <c r="F32" s="495">
        <v>338.27863213852583949957828292</v>
      </c>
      <c r="G32" s="493">
        <v>446.15952534279207541973980343</v>
      </c>
      <c r="H32" s="494">
        <v>288.08431215711388586133925677</v>
      </c>
      <c r="I32" s="495">
        <v>249.29684756778273300691689989</v>
      </c>
      <c r="J32" s="493">
        <v>0</v>
      </c>
      <c r="K32" s="494">
        <v>0</v>
      </c>
      <c r="L32" s="495">
        <v>116.0241717006825282324781504</v>
      </c>
      <c r="M32" s="493">
        <v>479.045992014842685577354386</v>
      </c>
      <c r="N32" s="494">
        <v>452.0105919241026821994416013</v>
      </c>
      <c r="O32" s="495">
        <v>307.80504274567568482214456387</v>
      </c>
      <c r="P32" s="93"/>
      <c r="Q32" s="479">
        <v>201.39385910304305984553171904</v>
      </c>
      <c r="R32" s="480">
        <v>183.55897382434668218157413489</v>
      </c>
      <c r="S32" s="481">
        <v>139.75282193710559380446612219</v>
      </c>
      <c r="T32" s="479">
        <v>78.205821070904899817468091370</v>
      </c>
      <c r="U32" s="480">
        <v>19.369490103139944444979758030</v>
      </c>
      <c r="V32" s="481">
        <v>58.613512661423303922457887910</v>
      </c>
      <c r="W32" s="479">
        <v>0</v>
      </c>
      <c r="X32" s="480">
        <v>0</v>
      </c>
      <c r="Y32" s="481">
        <v>22.895926992315436976283600300</v>
      </c>
      <c r="Z32" s="479">
        <v>194.96006961622464342950952771</v>
      </c>
      <c r="AA32" s="480">
        <v>173.39567798144609147520658336</v>
      </c>
      <c r="AB32" s="481">
        <v>123.57032433400707634352937162</v>
      </c>
    </row>
    <row r="33" ht="18" customHeight="1">
      <c r="A33" s="58"/>
      <c r="B33" s="1046" t="s">
        <v>51</v>
      </c>
      <c r="C33" s="1046"/>
      <c r="D33" s="276">
        <v>390.09092117886723759215244181</v>
      </c>
      <c r="E33" s="94">
        <v>374.74657583906141036961849972</v>
      </c>
      <c r="F33" s="277">
        <v>284.36718172738802963129503447</v>
      </c>
      <c r="G33" s="276">
        <v>383.43024420635330173472037826</v>
      </c>
      <c r="H33" s="94">
        <v>299.3220717727176509434677088</v>
      </c>
      <c r="I33" s="277">
        <v>217.19032393692593623301291887</v>
      </c>
      <c r="J33" s="276">
        <v>0</v>
      </c>
      <c r="K33" s="94">
        <v>0</v>
      </c>
      <c r="L33" s="277">
        <v>113.95395041657025987560659389</v>
      </c>
      <c r="M33" s="276">
        <v>389.67462886808511660106293782</v>
      </c>
      <c r="N33" s="94">
        <v>370.11285566152144786486272062</v>
      </c>
      <c r="O33" s="277">
        <v>261.91042270236664156450009831</v>
      </c>
      <c r="P33" s="5"/>
      <c r="Q33" s="271">
        <v>145.29571714489366943431260183</v>
      </c>
      <c r="R33" s="92">
        <v>121.67450244174758638046400402</v>
      </c>
      <c r="S33" s="272">
        <v>93.25938363333612745633082205</v>
      </c>
      <c r="T33" s="271">
        <v>52.542422516117832578834240420</v>
      </c>
      <c r="U33" s="92">
        <v>34.015772353002785469565602070</v>
      </c>
      <c r="V33" s="272">
        <v>45.334330960975561730390320100</v>
      </c>
      <c r="W33" s="271">
        <v>0</v>
      </c>
      <c r="X33" s="92">
        <v>0</v>
      </c>
      <c r="Y33" s="272">
        <v>18.127319387692002497556414440</v>
      </c>
      <c r="Z33" s="271">
        <v>141.67854638809794583647353944</v>
      </c>
      <c r="AA33" s="92">
        <v>116.96814196558018006877165930</v>
      </c>
      <c r="AB33" s="272">
        <v>82.67999005536546086194382147</v>
      </c>
    </row>
    <row r="34" ht="18" customHeight="1">
      <c r="A34" s="58"/>
      <c r="B34" s="1047" t="s">
        <v>76</v>
      </c>
      <c r="C34" s="1047"/>
      <c r="D34" s="443">
        <v>440.06920128003622685517244574</v>
      </c>
      <c r="E34" s="444">
        <v>422.69670148435035976191920226</v>
      </c>
      <c r="F34" s="445">
        <v>313.72874992512113717235309987</v>
      </c>
      <c r="G34" s="443">
        <v>423.80771252406101812967541055</v>
      </c>
      <c r="H34" s="444">
        <v>293.49845545370031519240519115</v>
      </c>
      <c r="I34" s="445">
        <v>236.15157789267779735961404703</v>
      </c>
      <c r="J34" s="443">
        <v>0</v>
      </c>
      <c r="K34" s="444">
        <v>0</v>
      </c>
      <c r="L34" s="445">
        <v>115.07109015108842221474257833</v>
      </c>
      <c r="M34" s="633">
        <v>438.78423350367851281419311598</v>
      </c>
      <c r="N34" s="634">
        <v>415.31479846108629290819031936</v>
      </c>
      <c r="O34" s="635">
        <v>287.14889516421682554516703402</v>
      </c>
      <c r="P34" s="93"/>
      <c r="Q34" s="273">
        <v>175.87090793179258522555611288</v>
      </c>
      <c r="R34" s="274">
        <v>154.39369349107186768519753445</v>
      </c>
      <c r="S34" s="275">
        <v>117.42113837954623170874234198</v>
      </c>
      <c r="T34" s="273">
        <v>68.941362233213597784249382240</v>
      </c>
      <c r="U34" s="274">
        <v>26.321004438219430568953815120</v>
      </c>
      <c r="V34" s="275">
        <v>53.592186214618240813925903720</v>
      </c>
      <c r="W34" s="273">
        <v>0</v>
      </c>
      <c r="X34" s="274">
        <v>0</v>
      </c>
      <c r="Y34" s="275">
        <v>20.586881491052186290715685160</v>
      </c>
      <c r="Z34" s="273">
        <v>171.19208635294280639131173613</v>
      </c>
      <c r="AA34" s="274">
        <v>146.93165142858873657637336593</v>
      </c>
      <c r="AB34" s="275">
        <v>104.14347430220241377820245554</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335.80813143971038707880813144</v>
      </c>
      <c r="E36" s="483">
        <v>353.77793389040893292908378318</v>
      </c>
      <c r="F36" s="484">
        <v>272.19661601351735010923762141</v>
      </c>
      <c r="G36" s="482">
        <v>354.6</v>
      </c>
      <c r="H36" s="483">
        <v>268.49022004889975550122249389</v>
      </c>
      <c r="I36" s="484">
        <v>230.73993722873602546782923675</v>
      </c>
      <c r="J36" s="482">
        <v>0</v>
      </c>
      <c r="K36" s="483">
        <v>0</v>
      </c>
      <c r="L36" s="484">
        <v>114.14366967818534213154220941</v>
      </c>
      <c r="M36" s="482">
        <v>336.98538240668232837379274341</v>
      </c>
      <c r="N36" s="483">
        <v>348.91318597029495851056411687</v>
      </c>
      <c r="O36" s="484">
        <v>252.70153966261821703511181824</v>
      </c>
      <c r="P36" s="93"/>
      <c r="Q36" s="468">
        <v>107.67332336190679589339962781</v>
      </c>
      <c r="R36" s="469">
        <v>99.61587850268839828360151843</v>
      </c>
      <c r="S36" s="470">
        <v>74.739252806979023166592470430</v>
      </c>
      <c r="T36" s="468">
        <v>37.981624932466478802006948390</v>
      </c>
      <c r="U36" s="469">
        <v>31.192260585108167563357886750</v>
      </c>
      <c r="V36" s="470">
        <v>55.404743275306407704407481700</v>
      </c>
      <c r="W36" s="468">
        <v>0</v>
      </c>
      <c r="X36" s="469">
        <v>0</v>
      </c>
      <c r="Y36" s="470">
        <v>18.540825842524113177211256950</v>
      </c>
      <c r="Z36" s="468">
        <v>103.97519524991013283641442340</v>
      </c>
      <c r="AA36" s="469">
        <v>96.1496906260328225603953300</v>
      </c>
      <c r="AB36" s="470">
        <v>68.037313948572864702444482720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242.59650299624166585073062899</v>
      </c>
      <c r="E39" s="455">
        <v>188.09339470614446099579431587</v>
      </c>
      <c r="F39" s="456">
        <v>139.7986604619897215385268009</v>
      </c>
      <c r="G39" s="454">
        <v>6.6792813271210818299139093036</v>
      </c>
      <c r="H39" s="455">
        <v>12.362126298465063620893383604</v>
      </c>
      <c r="I39" s="456">
        <v>13.558406787541851660563982193</v>
      </c>
      <c r="J39" s="454">
        <v>0</v>
      </c>
      <c r="K39" s="455">
        <v>0</v>
      </c>
      <c r="L39" s="456">
        <v>8.715614647427641135495418527</v>
      </c>
      <c r="M39" s="454">
        <v>249.27578432336274768064453807</v>
      </c>
      <c r="N39" s="455">
        <v>200.45552100460952461668769929</v>
      </c>
      <c r="O39" s="456">
        <v>162.07268189695921433458620146</v>
      </c>
      <c r="P39" s="5"/>
      <c r="Q39" s="427">
        <v>130.49736225759444597804986260</v>
      </c>
      <c r="R39" s="428">
        <v>78.304242081521061409369169980</v>
      </c>
      <c r="S39" s="429">
        <v>135.75270002943806225357116277</v>
      </c>
      <c r="T39" s="427">
        <v>7.6894590591353932428634618800</v>
      </c>
      <c r="U39" s="428">
        <v>148.33412232568941691077773693</v>
      </c>
      <c r="V39" s="429">
        <v>1074.5613821365068666340116860</v>
      </c>
      <c r="W39" s="427">
        <v>0</v>
      </c>
      <c r="X39" s="428">
        <v>0</v>
      </c>
      <c r="Y39" s="429">
        <v>116.24919765975539222961797490</v>
      </c>
      <c r="Z39" s="427">
        <v>123.66301654689670423872955084</v>
      </c>
      <c r="AA39" s="428">
        <v>81.45999531011859293224830129</v>
      </c>
      <c r="AB39" s="429">
        <v>151.33956331293405729328960103</v>
      </c>
    </row>
    <row r="40" ht="18" customHeight="1">
      <c r="A40" s="58"/>
      <c r="B40" s="1043" t="s">
        <v>46</v>
      </c>
      <c r="C40" s="1043"/>
      <c r="D40" s="439">
        <v>227.11262828758487467704147269</v>
      </c>
      <c r="E40" s="95">
        <v>176.25329006283832778090158529</v>
      </c>
      <c r="F40" s="440">
        <v>130.16418368468999244369782883</v>
      </c>
      <c r="G40" s="439">
        <v>6.4745233415039723102912291352</v>
      </c>
      <c r="H40" s="95">
        <v>7.7463470273810489309911487281</v>
      </c>
      <c r="I40" s="440">
        <v>13.961277831664789376256686769</v>
      </c>
      <c r="J40" s="439">
        <v>0</v>
      </c>
      <c r="K40" s="95">
        <v>0</v>
      </c>
      <c r="L40" s="440">
        <v>7.983252696385120017320192888</v>
      </c>
      <c r="M40" s="439">
        <v>233.58715162908884698733270161</v>
      </c>
      <c r="N40" s="95">
        <v>183.99963709021937671189273384</v>
      </c>
      <c r="O40" s="440">
        <v>152.10871421273990183727470834</v>
      </c>
      <c r="P40" s="5"/>
      <c r="Q40" s="420">
        <v>130.50337115138450697747193037</v>
      </c>
      <c r="R40" s="91">
        <v>76.329574910736424942311308680</v>
      </c>
      <c r="S40" s="421">
        <v>132.56182208851920641926637816</v>
      </c>
      <c r="T40" s="420">
        <v>-2.1137271134547434623295205300</v>
      </c>
      <c r="U40" s="91">
        <v>303.12721511124219592956129299</v>
      </c>
      <c r="V40" s="421">
        <v>1839.1906630518555273247380163</v>
      </c>
      <c r="W40" s="420">
        <v>0</v>
      </c>
      <c r="X40" s="91">
        <v>0</v>
      </c>
      <c r="Y40" s="421">
        <v>114.75814834811799136152545057</v>
      </c>
      <c r="Z40" s="420">
        <v>122.16072428100390663553880211</v>
      </c>
      <c r="AA40" s="91">
        <v>80.60728814482229635354996924</v>
      </c>
      <c r="AB40" s="421">
        <v>151.80648284678480242187428956</v>
      </c>
    </row>
    <row r="41" ht="18" customHeight="1">
      <c r="A41" s="58"/>
      <c r="B41" s="1043" t="s">
        <v>47</v>
      </c>
      <c r="C41" s="1043"/>
      <c r="D41" s="439">
        <v>224.87166588944206493450436219</v>
      </c>
      <c r="E41" s="95">
        <v>181.6271408313914528771403395</v>
      </c>
      <c r="F41" s="440">
        <v>137.1299329889089229820076536</v>
      </c>
      <c r="G41" s="439">
        <v>10.882507754094524468835038128</v>
      </c>
      <c r="H41" s="95">
        <v>7.6834829490846465722322220957</v>
      </c>
      <c r="I41" s="440">
        <v>14.031260972391591435961833903</v>
      </c>
      <c r="J41" s="439">
        <v>0</v>
      </c>
      <c r="K41" s="95">
        <v>0</v>
      </c>
      <c r="L41" s="440">
        <v>8.378170303578442611169261068</v>
      </c>
      <c r="M41" s="439">
        <v>235.75417364353658940333940009</v>
      </c>
      <c r="N41" s="95">
        <v>189.31062378047609944937256143</v>
      </c>
      <c r="O41" s="440">
        <v>159.53936426487895702913874842</v>
      </c>
      <c r="P41" s="93"/>
      <c r="Q41" s="420">
        <v>156.91722918081157487275074237</v>
      </c>
      <c r="R41" s="91">
        <v>85.97314067979490205066444275</v>
      </c>
      <c r="S41" s="421">
        <v>153.30006043656119098695499976</v>
      </c>
      <c r="T41" s="420">
        <v>45.947938990499535073137162320</v>
      </c>
      <c r="U41" s="91">
        <v>209.46759049446307436823334306</v>
      </c>
      <c r="V41" s="421">
        <v>1142.1902650470555979169340528</v>
      </c>
      <c r="W41" s="420">
        <v>0</v>
      </c>
      <c r="X41" s="91">
        <v>0</v>
      </c>
      <c r="Y41" s="421">
        <v>115.96764076338199214060116795</v>
      </c>
      <c r="Z41" s="420">
        <v>148.20585905961812220494048667</v>
      </c>
      <c r="AA41" s="91">
        <v>89.03480221965522217110936044</v>
      </c>
      <c r="AB41" s="421">
        <v>169.73698774178640009215735798</v>
      </c>
    </row>
    <row r="42" ht="18" customHeight="1">
      <c r="A42" s="58"/>
      <c r="B42" s="1043" t="s">
        <v>48</v>
      </c>
      <c r="C42" s="1043"/>
      <c r="D42" s="439">
        <v>268.10403946376566100817080376</v>
      </c>
      <c r="E42" s="95">
        <v>248.29873623625887849213683616</v>
      </c>
      <c r="F42" s="440">
        <v>163.09537578129041955021974131</v>
      </c>
      <c r="G42" s="439">
        <v>29.91590006156939381509439615</v>
      </c>
      <c r="H42" s="95">
        <v>15.288545714206106004820043088</v>
      </c>
      <c r="I42" s="440">
        <v>23.035261393124608221023050078</v>
      </c>
      <c r="J42" s="439">
        <v>0</v>
      </c>
      <c r="K42" s="95">
        <v>0</v>
      </c>
      <c r="L42" s="440">
        <v>8.256920774755771927606805614</v>
      </c>
      <c r="M42" s="439">
        <v>298.01993952533505482326519962</v>
      </c>
      <c r="N42" s="95">
        <v>263.58728195046498449695687899</v>
      </c>
      <c r="O42" s="440">
        <v>194.38755794917079969884959682</v>
      </c>
      <c r="P42" s="5"/>
      <c r="Q42" s="420">
        <v>176.53778721075015731784561091</v>
      </c>
      <c r="R42" s="91">
        <v>121.78476985841296959295370782</v>
      </c>
      <c r="S42" s="421">
        <v>151.17980728015265887125021199</v>
      </c>
      <c r="T42" s="420">
        <v>319.22977904423448240123412988</v>
      </c>
      <c r="U42" s="91">
        <v>546.84843500548492703752715386</v>
      </c>
      <c r="V42" s="421">
        <v>1867.7417810992810562805842392</v>
      </c>
      <c r="W42" s="420">
        <v>0</v>
      </c>
      <c r="X42" s="91">
        <v>0</v>
      </c>
      <c r="Y42" s="421">
        <v>106.16122031708770932431123236</v>
      </c>
      <c r="Z42" s="420">
        <v>186.32043861826901461657203690</v>
      </c>
      <c r="AA42" s="91">
        <v>130.57300429261398202538205965</v>
      </c>
      <c r="AB42" s="421">
        <v>177.27091372999752661226018841</v>
      </c>
    </row>
    <row r="43" ht="18" customHeight="1">
      <c r="A43" s="58"/>
      <c r="B43" s="1043" t="s">
        <v>49</v>
      </c>
      <c r="C43" s="1043"/>
      <c r="D43" s="439">
        <v>327.44593714724277178770681318</v>
      </c>
      <c r="E43" s="95">
        <v>281.40996499456403569660047668</v>
      </c>
      <c r="F43" s="440">
        <v>184.11309840152552925662711245</v>
      </c>
      <c r="G43" s="439">
        <v>23.715524911919440361631310991</v>
      </c>
      <c r="H43" s="95">
        <v>12.902370424053114131114559238</v>
      </c>
      <c r="I43" s="440">
        <v>24.611111375619361021276298967</v>
      </c>
      <c r="J43" s="439">
        <v>0</v>
      </c>
      <c r="K43" s="95">
        <v>0</v>
      </c>
      <c r="L43" s="440">
        <v>8.21878467093406209965075362</v>
      </c>
      <c r="M43" s="439">
        <v>351.16146205916221214933812385</v>
      </c>
      <c r="N43" s="95">
        <v>294.31233541861714982771503563</v>
      </c>
      <c r="O43" s="440">
        <v>216.94299444807895237755416482</v>
      </c>
      <c r="P43" s="93"/>
      <c r="Q43" s="420">
        <v>139.13200071457559879675876763</v>
      </c>
      <c r="R43" s="91">
        <v>103.93658451399025069053649328</v>
      </c>
      <c r="S43" s="421">
        <v>125.59284343266951046560715747</v>
      </c>
      <c r="T43" s="420">
        <v>173.18798986008495732851250846</v>
      </c>
      <c r="U43" s="91">
        <v>265.97184111720200161445374929</v>
      </c>
      <c r="V43" s="421">
        <v>1098.9141352832871319391278216</v>
      </c>
      <c r="W43" s="420">
        <v>0</v>
      </c>
      <c r="X43" s="91">
        <v>0</v>
      </c>
      <c r="Y43" s="421">
        <v>105.35771735829695941204264245</v>
      </c>
      <c r="Z43" s="420">
        <v>141.16233368457922919713715059</v>
      </c>
      <c r="AA43" s="91">
        <v>107.97332212307519126622542756</v>
      </c>
      <c r="AB43" s="421">
        <v>147.45981844089813470481943690</v>
      </c>
    </row>
    <row r="44" ht="18" customHeight="1">
      <c r="A44" s="58"/>
      <c r="B44" s="1044" t="s">
        <v>75</v>
      </c>
      <c r="C44" s="1044"/>
      <c r="D44" s="457">
        <v>261.63968507945984481038608816</v>
      </c>
      <c r="E44" s="458">
        <v>219.65630947980052443450143312</v>
      </c>
      <c r="F44" s="459">
        <v>152.92788542983792235868924557</v>
      </c>
      <c r="G44" s="457">
        <v>16.559198843560112969081329178</v>
      </c>
      <c r="H44" s="458">
        <v>11.460109354137233508006364973</v>
      </c>
      <c r="I44" s="459">
        <v>18.383438464096035277392125307</v>
      </c>
      <c r="J44" s="457">
        <v>0</v>
      </c>
      <c r="K44" s="458">
        <v>0</v>
      </c>
      <c r="L44" s="459">
        <v>8.303939900818817508737603915</v>
      </c>
      <c r="M44" s="457">
        <v>278.19888392301995777946741711</v>
      </c>
      <c r="N44" s="458">
        <v>231.1164188339377579425077978</v>
      </c>
      <c r="O44" s="459">
        <v>179.61526379475277514481897461</v>
      </c>
      <c r="P44" s="5"/>
      <c r="Q44" s="430">
        <v>148.44474563612971259535176473</v>
      </c>
      <c r="R44" s="431">
        <v>97.36119590638523192360887932</v>
      </c>
      <c r="S44" s="432">
        <v>140.17604713578084891242412550</v>
      </c>
      <c r="T44" s="430">
        <v>127.19877689677587208380172285</v>
      </c>
      <c r="U44" s="431">
        <v>279.48670770799869795797788355</v>
      </c>
      <c r="V44" s="432">
        <v>1344.9377212474196151302348269</v>
      </c>
      <c r="W44" s="430">
        <v>0</v>
      </c>
      <c r="X44" s="431">
        <v>0</v>
      </c>
      <c r="Y44" s="432">
        <v>111.21712544990980901628661141</v>
      </c>
      <c r="Z44" s="430">
        <v>147.06952094848803416455681236</v>
      </c>
      <c r="AA44" s="431">
        <v>102.17240301225342076827246439</v>
      </c>
      <c r="AB44" s="432">
        <v>160.77690739078032657787997340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401.26953295421737659211208302</v>
      </c>
      <c r="E46" s="494">
        <v>330.14975606174276460780229377</v>
      </c>
      <c r="F46" s="495">
        <v>219.43009968014767118466008262</v>
      </c>
      <c r="G46" s="493">
        <v>37.855959726055085187129437901</v>
      </c>
      <c r="H46" s="494">
        <v>11.687731206374192516719944501</v>
      </c>
      <c r="I46" s="495">
        <v>27.639368296645719244770219993</v>
      </c>
      <c r="J46" s="493">
        <v>0</v>
      </c>
      <c r="K46" s="494">
        <v>0</v>
      </c>
      <c r="L46" s="495">
        <v>8.029988111964013791816136974</v>
      </c>
      <c r="M46" s="493">
        <v>439.1254926802724617792415205</v>
      </c>
      <c r="N46" s="494">
        <v>341.83748726811695712452223794</v>
      </c>
      <c r="O46" s="495">
        <v>255.09945608875740422124643934</v>
      </c>
      <c r="P46" s="93"/>
      <c r="Q46" s="479">
        <v>222.07343775674477479629799439</v>
      </c>
      <c r="R46" s="480">
        <v>197.03057837830588972074220324</v>
      </c>
      <c r="S46" s="481">
        <v>246.41361987432372065041902376</v>
      </c>
      <c r="T46" s="479">
        <v>625.78370763220160809026538271</v>
      </c>
      <c r="U46" s="480">
        <v>103.40107093377995901494738453</v>
      </c>
      <c r="V46" s="481">
        <v>919.8795336327271528252631343</v>
      </c>
      <c r="W46" s="479">
        <v>0</v>
      </c>
      <c r="X46" s="480">
        <v>0</v>
      </c>
      <c r="Y46" s="481">
        <v>96.75223379916000265640354624</v>
      </c>
      <c r="Z46" s="479">
        <v>238.29543529451178177234666840</v>
      </c>
      <c r="AA46" s="480">
        <v>192.42812736910118683895132568</v>
      </c>
      <c r="AB46" s="481">
        <v>263.72781410684079238887890902</v>
      </c>
    </row>
    <row r="47" ht="18" customHeight="1">
      <c r="A47" s="58"/>
      <c r="B47" s="1046" t="s">
        <v>51</v>
      </c>
      <c r="C47" s="1046"/>
      <c r="D47" s="276">
        <v>343.54598172002512401581607122</v>
      </c>
      <c r="E47" s="94">
        <v>269.92443537060762442629414941</v>
      </c>
      <c r="F47" s="277">
        <v>192.78857211513311981370740443</v>
      </c>
      <c r="G47" s="276">
        <v>22.512002974236652185182446471</v>
      </c>
      <c r="H47" s="94">
        <v>14.112252987699445508031956173</v>
      </c>
      <c r="I47" s="277">
        <v>20.867203788511298548753543044</v>
      </c>
      <c r="J47" s="276">
        <v>0</v>
      </c>
      <c r="K47" s="94">
        <v>0</v>
      </c>
      <c r="L47" s="277">
        <v>8.410627274258997119241680037</v>
      </c>
      <c r="M47" s="276">
        <v>366.05798469426177620099851735</v>
      </c>
      <c r="N47" s="94">
        <v>284.03668835830706993432610532</v>
      </c>
      <c r="O47" s="277">
        <v>222.0664031779034154817026273</v>
      </c>
      <c r="P47" s="5"/>
      <c r="Q47" s="271">
        <v>154.03676719899847875053067025</v>
      </c>
      <c r="R47" s="92">
        <v>94.62477620232041940902230754</v>
      </c>
      <c r="S47" s="272">
        <v>159.62607151915285716892242353</v>
      </c>
      <c r="T47" s="271">
        <v>329.89228163838439405364627367</v>
      </c>
      <c r="U47" s="92">
        <v>165.37671561604984563871511369</v>
      </c>
      <c r="V47" s="272">
        <v>920.6257023542462430745367449</v>
      </c>
      <c r="W47" s="271">
        <v>0</v>
      </c>
      <c r="X47" s="92">
        <v>0</v>
      </c>
      <c r="Y47" s="272">
        <v>106.39480371026894769795677998</v>
      </c>
      <c r="Z47" s="271">
        <v>160.59251958372616566938813647</v>
      </c>
      <c r="AA47" s="92">
        <v>97.23745997658038278235872773</v>
      </c>
      <c r="AB47" s="272">
        <v>176.28510583945564489756599132</v>
      </c>
    </row>
    <row r="48" ht="18" customHeight="1">
      <c r="A48" s="58"/>
      <c r="B48" s="1047" t="s">
        <v>76</v>
      </c>
      <c r="C48" s="1047"/>
      <c r="D48" s="443">
        <v>375.6146212945763754470916333</v>
      </c>
      <c r="E48" s="444">
        <v>303.38294686568270230490978517</v>
      </c>
      <c r="F48" s="445">
        <v>207.58942076236342613090333676</v>
      </c>
      <c r="G48" s="443">
        <v>31.036423391913559408486330597</v>
      </c>
      <c r="H48" s="444">
        <v>12.765296442518749401747505244</v>
      </c>
      <c r="I48" s="445">
        <v>24.629517404141532268762808016</v>
      </c>
      <c r="J48" s="443">
        <v>0</v>
      </c>
      <c r="K48" s="444">
        <v>0</v>
      </c>
      <c r="L48" s="445">
        <v>8.199161072984006381783045002</v>
      </c>
      <c r="M48" s="443">
        <v>406.65104468648993485557796354</v>
      </c>
      <c r="N48" s="444">
        <v>316.14824330820145170665729012</v>
      </c>
      <c r="O48" s="445">
        <v>240.41809923948896478144918955</v>
      </c>
      <c r="P48" s="93"/>
      <c r="Q48" s="273">
        <v>189.12981978577589169474923565</v>
      </c>
      <c r="R48" s="274">
        <v>142.86203427880363343772617802</v>
      </c>
      <c r="S48" s="275">
        <v>201.72962866372045531512194411</v>
      </c>
      <c r="T48" s="273">
        <v>493.85448542655191765623926749</v>
      </c>
      <c r="U48" s="274">
        <v>130.75437577719744244267989230</v>
      </c>
      <c r="V48" s="275">
        <v>936.0263504513448064513838333</v>
      </c>
      <c r="W48" s="273">
        <v>0</v>
      </c>
      <c r="X48" s="274">
        <v>0</v>
      </c>
      <c r="Y48" s="275">
        <v>101.05128879148068839836841047</v>
      </c>
      <c r="Z48" s="273">
        <v>200.91457503096830595674186195</v>
      </c>
      <c r="AA48" s="274">
        <v>142.34859291647350571302740952</v>
      </c>
      <c r="AB48" s="275">
        <v>219.47014587057693045411340013</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294.69379276637341153470185728</v>
      </c>
      <c r="E50" s="483">
        <v>244.57537958182097029804202239</v>
      </c>
      <c r="F50" s="484">
        <v>168.92461079807803011223751005</v>
      </c>
      <c r="G50" s="482">
        <v>20.797653958944281524926686217</v>
      </c>
      <c r="H50" s="483">
        <v>11.22769797045140841470272481</v>
      </c>
      <c r="I50" s="484">
        <v>19.939727927914921263544624502</v>
      </c>
      <c r="J50" s="482">
        <v>0</v>
      </c>
      <c r="K50" s="483">
        <v>0</v>
      </c>
      <c r="L50" s="484">
        <v>8.403361165618717534510128218</v>
      </c>
      <c r="M50" s="482">
        <v>315.4914467253176930596285435</v>
      </c>
      <c r="N50" s="483">
        <v>255.8030775522723787127447472</v>
      </c>
      <c r="O50" s="484">
        <v>197.26769989161166891029226277</v>
      </c>
      <c r="P50" s="93"/>
      <c r="Q50" s="468">
        <v>163.98403688234256721753692299</v>
      </c>
      <c r="R50" s="469">
        <v>112.22929858097464714454153786</v>
      </c>
      <c r="S50" s="470">
        <v>159.88116122414319231685527544</v>
      </c>
      <c r="T50" s="468">
        <v>206.62583318182707424556423168</v>
      </c>
      <c r="U50" s="469">
        <v>246.60190443927915877636455432</v>
      </c>
      <c r="V50" s="470">
        <v>1182.2325711295730255395072350</v>
      </c>
      <c r="W50" s="468">
        <v>0</v>
      </c>
      <c r="X50" s="469">
        <v>0</v>
      </c>
      <c r="Y50" s="470">
        <v>111.82111737186170434403147117</v>
      </c>
      <c r="Z50" s="468">
        <v>166.42651653680275745749143577</v>
      </c>
      <c r="AA50" s="469">
        <v>115.90316842936280909928418534</v>
      </c>
      <c r="AB50" s="470">
        <v>179.72112290849489498305763984</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191</v>
      </c>
      <c r="Y1" s="5"/>
      <c r="AB1" s="685"/>
      <c r="AD1" s="236"/>
    </row>
    <row r="2" ht="15" customHeight="1">
      <c r="A2" s="11"/>
      <c r="B2" s="11" t="s">
        <v>208</v>
      </c>
    </row>
    <row r="3" ht="17.1" customHeight="1">
      <c r="A3" s="11"/>
      <c r="B3" s="11" t="s">
        <v>209</v>
      </c>
      <c r="R3" s="1040" t="s">
        <v>303</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84.32400932400932400932400939</v>
      </c>
      <c r="E11" s="428">
        <v>70.385449691306524278324712230</v>
      </c>
      <c r="F11" s="429">
        <v>55.362879043556168494557603510</v>
      </c>
      <c r="G11" s="427">
        <v>1.9376456876456876456876456900</v>
      </c>
      <c r="H11" s="428">
        <v>2.9868179542799933255464708900</v>
      </c>
      <c r="I11" s="429">
        <v>5.1371950109139292816230797500</v>
      </c>
      <c r="J11" s="427">
        <v>0</v>
      </c>
      <c r="K11" s="428">
        <v>0</v>
      </c>
      <c r="L11" s="429">
        <v>5.0988323673878681781871951400</v>
      </c>
      <c r="M11" s="427">
        <v>86.26165501165501165501165501</v>
      </c>
      <c r="N11" s="428">
        <v>73.388953779409310862673118640</v>
      </c>
      <c r="O11" s="429">
        <v>65.600606032647095243760607390</v>
      </c>
      <c r="P11" s="5"/>
      <c r="Q11" s="427">
        <v>86.01644690932228532223213126</v>
      </c>
      <c r="R11" s="428">
        <v>37.204708777446089940279660680</v>
      </c>
      <c r="S11" s="429">
        <v>81.91592812273629949926413894</v>
      </c>
      <c r="T11" s="427">
        <v>-48.039408507538819502789702710</v>
      </c>
      <c r="U11" s="428">
        <v>-30.897956802485955798478505580</v>
      </c>
      <c r="V11" s="429">
        <v>-31.438090940073434273706784860</v>
      </c>
      <c r="W11" s="427">
        <v>0</v>
      </c>
      <c r="X11" s="428">
        <v>0</v>
      </c>
      <c r="Y11" s="429">
        <v>10.843098340980269627424122160</v>
      </c>
      <c r="Z11" s="427">
        <v>71.469196112713583074618603430</v>
      </c>
      <c r="AA11" s="428">
        <v>31.186071009958428822318635680</v>
      </c>
      <c r="AB11" s="429">
        <v>54.259148055549270176840586190</v>
      </c>
    </row>
    <row r="12" ht="18" customHeight="1">
      <c r="A12" s="58"/>
      <c r="B12" s="1043" t="s">
        <v>46</v>
      </c>
      <c r="C12" s="1043"/>
      <c r="D12" s="420">
        <v>75.728438228438228438228438280</v>
      </c>
      <c r="E12" s="91">
        <v>61.595194393459035541465042610</v>
      </c>
      <c r="F12" s="421">
        <v>48.379576280849184996858374610</v>
      </c>
      <c r="G12" s="420">
        <v>2.7534965034965034965034965100</v>
      </c>
      <c r="H12" s="91">
        <v>2.4261638578341398298014350100</v>
      </c>
      <c r="I12" s="421">
        <v>5.0037966361561060341042243400</v>
      </c>
      <c r="J12" s="420">
        <v>0</v>
      </c>
      <c r="K12" s="91">
        <v>0</v>
      </c>
      <c r="L12" s="421">
        <v>4.9099117676313114527409772300</v>
      </c>
      <c r="M12" s="420">
        <v>78.481934731934731934731934730</v>
      </c>
      <c r="N12" s="91">
        <v>64.034707158351409978308026030</v>
      </c>
      <c r="O12" s="421">
        <v>58.294255070874584856637563170</v>
      </c>
      <c r="P12" s="5"/>
      <c r="Q12" s="420">
        <v>96.20232880498771111950358369</v>
      </c>
      <c r="R12" s="91">
        <v>44.253816593059423650496360370</v>
      </c>
      <c r="S12" s="421">
        <v>83.12518214251428592909453859</v>
      </c>
      <c r="T12" s="420">
        <v>-29.532129277618782963462398510</v>
      </c>
      <c r="U12" s="91">
        <v>-55.422054698413085234081698580</v>
      </c>
      <c r="V12" s="421">
        <v>-33.436917495824749037644800080</v>
      </c>
      <c r="W12" s="420">
        <v>0</v>
      </c>
      <c r="X12" s="91">
        <v>0</v>
      </c>
      <c r="Y12" s="421">
        <v>11.976331689428020791250491930</v>
      </c>
      <c r="Z12" s="420">
        <v>82.74848867747492239460314265</v>
      </c>
      <c r="AA12" s="91">
        <v>34.395780469923365087993159190</v>
      </c>
      <c r="AB12" s="421">
        <v>52.121339139403819355558579290</v>
      </c>
    </row>
    <row r="13" ht="18" customHeight="1">
      <c r="A13" s="58"/>
      <c r="B13" s="1043" t="s">
        <v>47</v>
      </c>
      <c r="C13" s="1043"/>
      <c r="D13" s="420">
        <v>71.955128205128205128205128260</v>
      </c>
      <c r="E13" s="91">
        <v>58.338061071249791423327215140</v>
      </c>
      <c r="F13" s="421">
        <v>47.011492301685650749461033170</v>
      </c>
      <c r="G13" s="420">
        <v>3.4090909090909090909090909100</v>
      </c>
      <c r="H13" s="91">
        <v>2.8232938428166193892875020900</v>
      </c>
      <c r="I13" s="421">
        <v>5.3874862681666395869658529100</v>
      </c>
      <c r="J13" s="420">
        <v>0</v>
      </c>
      <c r="K13" s="91">
        <v>0</v>
      </c>
      <c r="L13" s="421">
        <v>4.9543727250020006644631065400</v>
      </c>
      <c r="M13" s="420">
        <v>75.364219114219114219114219110</v>
      </c>
      <c r="N13" s="91">
        <v>61.161354914066410812614717170</v>
      </c>
      <c r="O13" s="421">
        <v>57.355048828338138969791179130</v>
      </c>
      <c r="P13" s="184"/>
      <c r="Q13" s="420">
        <v>114.20349443608694507347675529</v>
      </c>
      <c r="R13" s="91">
        <v>45.484021120101587976078431080</v>
      </c>
      <c r="S13" s="421">
        <v>80.38271822794071570486360890</v>
      </c>
      <c r="T13" s="420">
        <v>-20.517001332876364856134235850</v>
      </c>
      <c r="U13" s="91">
        <v>-56.089003517381895467698777680</v>
      </c>
      <c r="V13" s="421">
        <v>-36.830958713779367104359195180</v>
      </c>
      <c r="W13" s="420">
        <v>0</v>
      </c>
      <c r="X13" s="91">
        <v>0</v>
      </c>
      <c r="Y13" s="421">
        <v>13.816095912689342776070846080</v>
      </c>
      <c r="Z13" s="420">
        <v>96.19610761138876031804067831</v>
      </c>
      <c r="AA13" s="91">
        <v>30.533582818719442602883229320</v>
      </c>
      <c r="AB13" s="421">
        <v>47.282990335951541331857045430</v>
      </c>
    </row>
    <row r="14" ht="18" customHeight="1">
      <c r="A14" s="58"/>
      <c r="B14" s="1043" t="s">
        <v>48</v>
      </c>
      <c r="C14" s="1043"/>
      <c r="D14" s="420">
        <v>74.300699300699300699300699350</v>
      </c>
      <c r="E14" s="91">
        <v>60.273652594693809444351743770</v>
      </c>
      <c r="F14" s="421">
        <v>49.395071817791605939427155260</v>
      </c>
      <c r="G14" s="420">
        <v>4.0064102564102564102564102600</v>
      </c>
      <c r="H14" s="91">
        <v>3.2938428166193892875020857700</v>
      </c>
      <c r="I14" s="421">
        <v>6.2340704670399623632576152600</v>
      </c>
      <c r="J14" s="420">
        <v>0</v>
      </c>
      <c r="K14" s="91">
        <v>0</v>
      </c>
      <c r="L14" s="421">
        <v>5.2053651758280932091385502600</v>
      </c>
      <c r="M14" s="420">
        <v>78.307109557109557109557109560</v>
      </c>
      <c r="N14" s="91">
        <v>63.560820957784081428333055230</v>
      </c>
      <c r="O14" s="421">
        <v>60.836447498926916333424676800</v>
      </c>
      <c r="P14" s="5"/>
      <c r="Q14" s="420">
        <v>102.62950122858943075908098231</v>
      </c>
      <c r="R14" s="91">
        <v>44.437919918226119134405813500</v>
      </c>
      <c r="S14" s="421">
        <v>73.662547348696337956954186170</v>
      </c>
      <c r="T14" s="420">
        <v>-4.8255373008136294242197205400</v>
      </c>
      <c r="U14" s="91">
        <v>-47.692914215726189886068382230</v>
      </c>
      <c r="V14" s="421">
        <v>-27.390420790155206398434901570</v>
      </c>
      <c r="W14" s="420">
        <v>0</v>
      </c>
      <c r="X14" s="91">
        <v>0</v>
      </c>
      <c r="Y14" s="421">
        <v>15.606814080691692088967050100</v>
      </c>
      <c r="Z14" s="420">
        <v>88.47688496196044025030020746</v>
      </c>
      <c r="AA14" s="91">
        <v>31.816747841163734723102735050</v>
      </c>
      <c r="AB14" s="421">
        <v>46.481947289235476508824401490</v>
      </c>
    </row>
    <row r="15" ht="18" customHeight="1">
      <c r="A15" s="58"/>
      <c r="B15" s="1043" t="s">
        <v>49</v>
      </c>
      <c r="C15" s="1043"/>
      <c r="D15" s="420">
        <v>82.29895104895104895104895111</v>
      </c>
      <c r="E15" s="91">
        <v>67.678958785249457700650759290</v>
      </c>
      <c r="F15" s="421">
        <v>54.973301694488005758980834970</v>
      </c>
      <c r="G15" s="420">
        <v>2.4475524475524475524475524500</v>
      </c>
      <c r="H15" s="91">
        <v>3.9212414483564158184548640100</v>
      </c>
      <c r="I15" s="421">
        <v>7.29689048968303791086668300</v>
      </c>
      <c r="J15" s="420">
        <v>0</v>
      </c>
      <c r="K15" s="91">
        <v>0</v>
      </c>
      <c r="L15" s="421">
        <v>5.1910813359090391276210513100</v>
      </c>
      <c r="M15" s="420">
        <v>84.74650349650349650349650350</v>
      </c>
      <c r="N15" s="91">
        <v>71.616886367428666777907558820</v>
      </c>
      <c r="O15" s="421">
        <v>67.460303994687000845910905460</v>
      </c>
      <c r="P15" s="184"/>
      <c r="Q15" s="420">
        <v>87.11527829130324900034352746</v>
      </c>
      <c r="R15" s="91">
        <v>36.546113404330144152469337200</v>
      </c>
      <c r="S15" s="421">
        <v>79.40238383643785687232201357</v>
      </c>
      <c r="T15" s="420">
        <v>-52.253162680693243615449306060</v>
      </c>
      <c r="U15" s="91">
        <v>-19.598853744144501159900928570</v>
      </c>
      <c r="V15" s="421">
        <v>-16.997956522674984866659254040</v>
      </c>
      <c r="W15" s="420">
        <v>0</v>
      </c>
      <c r="X15" s="91">
        <v>0</v>
      </c>
      <c r="Y15" s="421">
        <v>14.340280826006720701226543260</v>
      </c>
      <c r="Z15" s="420">
        <v>69.908431029914472983763791720</v>
      </c>
      <c r="AA15" s="91">
        <v>30.934299152886389185439550130</v>
      </c>
      <c r="AB15" s="421">
        <v>53.413121129646356174554002650</v>
      </c>
    </row>
    <row r="16" ht="18" customHeight="1">
      <c r="A16" s="58"/>
      <c r="B16" s="1044" t="s">
        <v>75</v>
      </c>
      <c r="C16" s="1044"/>
      <c r="D16" s="430">
        <v>77.721445221445221445221445230</v>
      </c>
      <c r="E16" s="431">
        <v>63.654263307191723677623894560</v>
      </c>
      <c r="F16" s="432">
        <v>51.024005937813051060826200130</v>
      </c>
      <c r="G16" s="430">
        <v>2.9108391608391608391608391600</v>
      </c>
      <c r="H16" s="431">
        <v>3.0902719839813115301184715500</v>
      </c>
      <c r="I16" s="432">
        <v>5.8122651738047361820929335700</v>
      </c>
      <c r="J16" s="430">
        <v>0</v>
      </c>
      <c r="K16" s="431">
        <v>0</v>
      </c>
      <c r="L16" s="432">
        <v>5.0719304926589905232697751300</v>
      </c>
      <c r="M16" s="430">
        <v>80.63228438228438228438228438</v>
      </c>
      <c r="N16" s="431">
        <v>66.752544635407975971967295180</v>
      </c>
      <c r="O16" s="432">
        <v>61.909268858256543600963439270</v>
      </c>
      <c r="P16" s="5"/>
      <c r="Q16" s="430">
        <v>95.79005478043266430357007661</v>
      </c>
      <c r="R16" s="431">
        <v>41.024668064031493210709599860</v>
      </c>
      <c r="S16" s="432">
        <v>79.65380924208216111232081429</v>
      </c>
      <c r="T16" s="430">
        <v>-31.470965760524141587367320810</v>
      </c>
      <c r="U16" s="431">
        <v>-43.478913747337084273721835710</v>
      </c>
      <c r="V16" s="432">
        <v>-29.010079122961533802198325970</v>
      </c>
      <c r="W16" s="430">
        <v>0</v>
      </c>
      <c r="X16" s="431">
        <v>0</v>
      </c>
      <c r="Y16" s="432">
        <v>13.312834994680569515921655750</v>
      </c>
      <c r="Z16" s="629">
        <v>80.54976418526406567970272505</v>
      </c>
      <c r="AA16" s="214">
        <v>31.617833063923292820382949240</v>
      </c>
      <c r="AB16" s="630">
        <v>50.761562405576706887724979480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85.44882790165809033733562042</v>
      </c>
      <c r="E18" s="480">
        <v>74.846385148385409857497712200</v>
      </c>
      <c r="F18" s="481">
        <v>64.063865922532913150253562930</v>
      </c>
      <c r="G18" s="479">
        <v>3.2018296169239565465980560300</v>
      </c>
      <c r="H18" s="480">
        <v>4.0658909661393646228265132700</v>
      </c>
      <c r="I18" s="481">
        <v>8.471548317481188232015378140</v>
      </c>
      <c r="J18" s="479">
        <v>0</v>
      </c>
      <c r="K18" s="480">
        <v>0</v>
      </c>
      <c r="L18" s="481">
        <v>5.1946443331261001817458559400</v>
      </c>
      <c r="M18" s="479">
        <v>88.65065751858204688393367639</v>
      </c>
      <c r="N18" s="480">
        <v>78.925349718917505556281866910</v>
      </c>
      <c r="O18" s="481">
        <v>77.729820374115388371600006670</v>
      </c>
      <c r="P18" s="184"/>
      <c r="Q18" s="479">
        <v>64.383291705447486904139813430</v>
      </c>
      <c r="R18" s="480">
        <v>26.945046504318175630711147940</v>
      </c>
      <c r="S18" s="481">
        <v>77.108771974245684490318872790</v>
      </c>
      <c r="T18" s="479">
        <v>-6.6540712971946971360061381300</v>
      </c>
      <c r="U18" s="480">
        <v>3.734607204907226771672304300</v>
      </c>
      <c r="V18" s="481">
        <v>1.6221682669776150002844037600</v>
      </c>
      <c r="W18" s="479">
        <v>0</v>
      </c>
      <c r="X18" s="480">
        <v>0</v>
      </c>
      <c r="Y18" s="481">
        <v>11.526193007177990054759050370</v>
      </c>
      <c r="Z18" s="479">
        <v>53.491827789664231360751149160</v>
      </c>
      <c r="AA18" s="480">
        <v>24.946249831072032441375973660</v>
      </c>
      <c r="AB18" s="481">
        <v>58.105724550051146359715089840</v>
      </c>
    </row>
    <row r="19" ht="18" customHeight="1">
      <c r="A19" s="58"/>
      <c r="B19" s="1046" t="s">
        <v>51</v>
      </c>
      <c r="C19" s="1046"/>
      <c r="D19" s="271">
        <v>88.73834498834498834498834505</v>
      </c>
      <c r="E19" s="92">
        <v>78.862005673285499749707992730</v>
      </c>
      <c r="F19" s="272">
        <v>67.022451858524397912877951020</v>
      </c>
      <c r="G19" s="271">
        <v>3.0740093240093240093240093300</v>
      </c>
      <c r="H19" s="92">
        <v>3.9579509427665609878191223100</v>
      </c>
      <c r="I19" s="272">
        <v>7.6941380423882930808844774600</v>
      </c>
      <c r="J19" s="271">
        <v>0</v>
      </c>
      <c r="K19" s="92">
        <v>0</v>
      </c>
      <c r="L19" s="272">
        <v>5.1918253577073707263893711300</v>
      </c>
      <c r="M19" s="271">
        <v>91.81235431235431235431235431</v>
      </c>
      <c r="N19" s="92">
        <v>82.83664274987485399632905056</v>
      </c>
      <c r="O19" s="272">
        <v>79.90890086170267008854972211</v>
      </c>
      <c r="P19" s="5"/>
      <c r="Q19" s="271">
        <v>48.569684018005200174365778020</v>
      </c>
      <c r="R19" s="92">
        <v>26.175954995137962903632868120</v>
      </c>
      <c r="S19" s="272">
        <v>70.567615855730101454846109590</v>
      </c>
      <c r="T19" s="271">
        <v>16.287224269634958037818444500</v>
      </c>
      <c r="U19" s="92">
        <v>7.6295022924832969392220604100</v>
      </c>
      <c r="V19" s="272">
        <v>-1.4129223773307349112273990200</v>
      </c>
      <c r="W19" s="271">
        <v>0</v>
      </c>
      <c r="X19" s="92">
        <v>0</v>
      </c>
      <c r="Y19" s="272">
        <v>10.974329856332152585248789610</v>
      </c>
      <c r="Z19" s="271">
        <v>43.428992924058347381759134810</v>
      </c>
      <c r="AA19" s="92">
        <v>24.495515567910337145576304530</v>
      </c>
      <c r="AB19" s="272">
        <v>54.332776575852913438170166210</v>
      </c>
    </row>
    <row r="20" ht="18" customHeight="1">
      <c r="A20" s="58"/>
      <c r="B20" s="1047" t="s">
        <v>76</v>
      </c>
      <c r="C20" s="1047"/>
      <c r="D20" s="273">
        <v>87.07792207792207792207792212</v>
      </c>
      <c r="E20" s="274">
        <v>76.833275540364260827925562730</v>
      </c>
      <c r="F20" s="275">
        <v>65.529004083320908623069560810</v>
      </c>
      <c r="G20" s="273">
        <v>3.1385281385281385281385281400</v>
      </c>
      <c r="H20" s="274">
        <v>4.0124832813196611680784663400</v>
      </c>
      <c r="I20" s="275">
        <v>8.086562555610598358014419090</v>
      </c>
      <c r="J20" s="273">
        <v>0</v>
      </c>
      <c r="K20" s="274">
        <v>0</v>
      </c>
      <c r="L20" s="275">
        <v>5.1932483322832449174919079100</v>
      </c>
      <c r="M20" s="273">
        <v>90.21645021645021645021645022</v>
      </c>
      <c r="N20" s="274">
        <v>80.86061987087399481514506035</v>
      </c>
      <c r="O20" s="275">
        <v>78.808935210346336794617134560</v>
      </c>
      <c r="P20" s="184"/>
      <c r="Q20" s="273">
        <v>55.775505456789768197931911720</v>
      </c>
      <c r="R20" s="274">
        <v>26.516702733335292131153405770</v>
      </c>
      <c r="S20" s="275">
        <v>73.669021345628518804992247060</v>
      </c>
      <c r="T20" s="273">
        <v>3.5056399190575373035593327700</v>
      </c>
      <c r="U20" s="274">
        <v>5.6330901314474067511891610600</v>
      </c>
      <c r="V20" s="275">
        <v>0.1990506106674508889663294900</v>
      </c>
      <c r="W20" s="273">
        <v>0</v>
      </c>
      <c r="X20" s="274">
        <v>0</v>
      </c>
      <c r="Y20" s="275">
        <v>11.250065075032196795475082300</v>
      </c>
      <c r="Z20" s="273">
        <v>48.177167489269651778389463490</v>
      </c>
      <c r="AA20" s="274">
        <v>24.685265528500204966533782420</v>
      </c>
      <c r="AB20" s="275">
        <v>56.151786760036079663953283340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80.38190120381901203819012038</v>
      </c>
      <c r="E22" s="469">
        <v>67.589122400347593184602628690</v>
      </c>
      <c r="F22" s="470">
        <v>55.056894445791646101668948400</v>
      </c>
      <c r="G22" s="468">
        <v>2.9887920298879202988792029900</v>
      </c>
      <c r="H22" s="469">
        <v>3.202171515254938837656397600</v>
      </c>
      <c r="I22" s="470">
        <v>6.3842815436408546895358939200</v>
      </c>
      <c r="J22" s="468">
        <v>0</v>
      </c>
      <c r="K22" s="469">
        <v>0.0099951435553967372591926100</v>
      </c>
      <c r="L22" s="470">
        <v>5.3256966542666379351388216700</v>
      </c>
      <c r="M22" s="468">
        <v>83.37069323370693233706932337</v>
      </c>
      <c r="N22" s="469">
        <v>70.801289059157928759518218890</v>
      </c>
      <c r="O22" s="470">
        <v>66.766872643699138726343663990</v>
      </c>
      <c r="P22" s="184"/>
      <c r="Q22" s="468">
        <v>77.782527191387039969483467050</v>
      </c>
      <c r="R22" s="469">
        <v>35.821422097642886264505885640</v>
      </c>
      <c r="S22" s="470">
        <v>76.442989251536693964457124040</v>
      </c>
      <c r="T22" s="468">
        <v>-27.512790890176117972462714760</v>
      </c>
      <c r="U22" s="469">
        <v>-35.628832588709082762482692380</v>
      </c>
      <c r="V22" s="470">
        <v>-20.872092015926595192434965790</v>
      </c>
      <c r="W22" s="468">
        <v>0</v>
      </c>
      <c r="X22" s="469">
        <v>0</v>
      </c>
      <c r="Y22" s="470">
        <v>19.705708859153089421765508370</v>
      </c>
      <c r="Z22" s="468">
        <v>68.982737229314182152003445530</v>
      </c>
      <c r="AA22" s="469">
        <v>29.346316110586173851607442170</v>
      </c>
      <c r="AB22" s="470">
        <v>52.710926743700735912325629490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205.57159321115806952615751532</v>
      </c>
      <c r="E25" s="455">
        <v>216.66956876959339247374405759</v>
      </c>
      <c r="F25" s="456">
        <v>192.98847482519137512186782207</v>
      </c>
      <c r="G25" s="454">
        <v>259.93846617261688711512492571</v>
      </c>
      <c r="H25" s="455">
        <v>221.71558887778090863186614448</v>
      </c>
      <c r="I25" s="456">
        <v>162.57237949923206702605246537</v>
      </c>
      <c r="J25" s="454">
        <v>0</v>
      </c>
      <c r="K25" s="455">
        <v>0</v>
      </c>
      <c r="L25" s="456">
        <v>104.6217559388017125234232336</v>
      </c>
      <c r="M25" s="454">
        <v>206.7928048483602351636060317</v>
      </c>
      <c r="N25" s="455">
        <v>216.82567081829421826607503606</v>
      </c>
      <c r="O25" s="456">
        <v>183.73324775290452294487434824</v>
      </c>
      <c r="P25" s="5"/>
      <c r="Q25" s="427">
        <v>15.737581273232588570826130870</v>
      </c>
      <c r="R25" s="428">
        <v>7.94655365179774982204420800</v>
      </c>
      <c r="S25" s="429">
        <v>11.808465804943142718388777300</v>
      </c>
      <c r="T25" s="427">
        <v>-46.822970408832114948770529940</v>
      </c>
      <c r="U25" s="428">
        <v>-45.412615122537992202640524120</v>
      </c>
      <c r="V25" s="429">
        <v>-40.203476878877687718035946050</v>
      </c>
      <c r="W25" s="427">
        <v>0</v>
      </c>
      <c r="X25" s="428">
        <v>0</v>
      </c>
      <c r="Y25" s="429">
        <v>-5.0450940080660493632084838600</v>
      </c>
      <c r="Z25" s="427">
        <v>2.7077122639671807399255854400</v>
      </c>
      <c r="AA25" s="428">
        <v>0.1844743095570052151880810200</v>
      </c>
      <c r="AB25" s="429">
        <v>0.2128711956425255366190097400</v>
      </c>
    </row>
    <row r="26" ht="18" customHeight="1">
      <c r="A26" s="58"/>
      <c r="B26" s="1043" t="s">
        <v>46</v>
      </c>
      <c r="C26" s="1043"/>
      <c r="D26" s="439">
        <v>177.53040582110282616777740827</v>
      </c>
      <c r="E26" s="95">
        <v>188.03072919820877828500529775</v>
      </c>
      <c r="F26" s="440">
        <v>178.84384042862470906072874728</v>
      </c>
      <c r="G26" s="439">
        <v>238.9412362535324927323291563</v>
      </c>
      <c r="H26" s="95">
        <v>214.1115415636119935098982816</v>
      </c>
      <c r="I26" s="440">
        <v>161.37166875591193007914141513</v>
      </c>
      <c r="J26" s="439">
        <v>0</v>
      </c>
      <c r="K26" s="95">
        <v>0</v>
      </c>
      <c r="L26" s="440">
        <v>105.13427689271772718915236789</v>
      </c>
      <c r="M26" s="439">
        <v>179.6849718043456713470423573</v>
      </c>
      <c r="N26" s="95">
        <v>188.97968832228920888513856742</v>
      </c>
      <c r="O26" s="440">
        <v>171.13281994660355287137118143</v>
      </c>
      <c r="P26" s="5"/>
      <c r="Q26" s="420">
        <v>4.6278826405352807795145490100</v>
      </c>
      <c r="R26" s="91">
        <v>-0.1444878663267854469801764400</v>
      </c>
      <c r="S26" s="421">
        <v>5.1938753645033809797399731300</v>
      </c>
      <c r="T26" s="420">
        <v>1.3368942156399868936505786100</v>
      </c>
      <c r="U26" s="91">
        <v>-17.144694180958319546248765490</v>
      </c>
      <c r="V26" s="421">
        <v>-25.330580402158756041435067100</v>
      </c>
      <c r="W26" s="420">
        <v>0</v>
      </c>
      <c r="X26" s="91">
        <v>0</v>
      </c>
      <c r="Y26" s="421">
        <v>-3.5674973891317599616521384800</v>
      </c>
      <c r="Z26" s="420">
        <v>2.8408183725154362549814479700</v>
      </c>
      <c r="AA26" s="91">
        <v>-3.4758780226066838423040553600</v>
      </c>
      <c r="AB26" s="421">
        <v>-0.5496013597797175758063910200</v>
      </c>
    </row>
    <row r="27" ht="18" customHeight="1">
      <c r="A27" s="58"/>
      <c r="B27" s="1043" t="s">
        <v>47</v>
      </c>
      <c r="C27" s="1043"/>
      <c r="D27" s="439">
        <v>174.33469081313805874239894491</v>
      </c>
      <c r="E27" s="95">
        <v>190.07888527615927226272312645</v>
      </c>
      <c r="F27" s="440">
        <v>179.51285781282929140778340462</v>
      </c>
      <c r="G27" s="439">
        <v>217.90547638320963202893846236</v>
      </c>
      <c r="H27" s="95">
        <v>220.29693079179790350326916355</v>
      </c>
      <c r="I27" s="440">
        <v>163.95483756876259175692888868</v>
      </c>
      <c r="J27" s="439">
        <v>0</v>
      </c>
      <c r="K27" s="95">
        <v>0</v>
      </c>
      <c r="L27" s="440">
        <v>102.84153136147817050233368133</v>
      </c>
      <c r="M27" s="439">
        <v>176.30560978151168104068818656</v>
      </c>
      <c r="N27" s="95">
        <v>191.47379259902882440052538253</v>
      </c>
      <c r="O27" s="440">
        <v>171.42321814639526083592173114</v>
      </c>
      <c r="P27" s="93"/>
      <c r="Q27" s="420">
        <v>3.1203005826073448918096133700</v>
      </c>
      <c r="R27" s="91">
        <v>3.0509119120923507034676967900</v>
      </c>
      <c r="S27" s="421">
        <v>3.258762004983131430105887900</v>
      </c>
      <c r="T27" s="420">
        <v>-11.689377989569242838540074500</v>
      </c>
      <c r="U27" s="91">
        <v>-16.541887041053809231716768890</v>
      </c>
      <c r="V27" s="421">
        <v>-25.581367601230915234466857090</v>
      </c>
      <c r="W27" s="420">
        <v>0</v>
      </c>
      <c r="X27" s="91">
        <v>0</v>
      </c>
      <c r="Y27" s="421">
        <v>-5.0546224317083454079657040800</v>
      </c>
      <c r="Z27" s="420">
        <v>-0.4438029903658252318608670200</v>
      </c>
      <c r="AA27" s="91">
        <v>-1.8541423072304919401463171400</v>
      </c>
      <c r="AB27" s="421">
        <v>-2.9895784645279768618924490200</v>
      </c>
    </row>
    <row r="28" ht="18" customHeight="1">
      <c r="A28" s="58"/>
      <c r="B28" s="1043" t="s">
        <v>48</v>
      </c>
      <c r="C28" s="1043"/>
      <c r="D28" s="439">
        <v>180.64799098235397182632633557</v>
      </c>
      <c r="E28" s="95">
        <v>196.11922093991505421029216123</v>
      </c>
      <c r="F28" s="440">
        <v>184.40672335866537675009162582</v>
      </c>
      <c r="G28" s="439">
        <v>222.31570606400797285538958257</v>
      </c>
      <c r="H28" s="95">
        <v>201.45029071494055771848480978</v>
      </c>
      <c r="I28" s="440">
        <v>171.0654958795573826837963606</v>
      </c>
      <c r="J28" s="439">
        <v>0</v>
      </c>
      <c r="K28" s="95">
        <v>0</v>
      </c>
      <c r="L28" s="440">
        <v>103.52353331102457269624504193</v>
      </c>
      <c r="M28" s="439">
        <v>182.77982756792696722781329239</v>
      </c>
      <c r="N28" s="95">
        <v>196.41608139932017875460628116</v>
      </c>
      <c r="O28" s="440">
        <v>176.11310218503589026724585482</v>
      </c>
      <c r="P28" s="5"/>
      <c r="Q28" s="420">
        <v>-7.506485476434364030135586800</v>
      </c>
      <c r="R28" s="91">
        <v>0.2171284351242381278376539600</v>
      </c>
      <c r="S28" s="421">
        <v>2.2928124974871583931845853700</v>
      </c>
      <c r="T28" s="420">
        <v>-23.963582741937155198939167650</v>
      </c>
      <c r="U28" s="91">
        <v>-26.293176768837228204583772150</v>
      </c>
      <c r="V28" s="421">
        <v>-25.752193197014591820656520150</v>
      </c>
      <c r="W28" s="420">
        <v>0</v>
      </c>
      <c r="X28" s="91">
        <v>0</v>
      </c>
      <c r="Y28" s="421">
        <v>-3.3061626132789612185477941300</v>
      </c>
      <c r="Z28" s="420">
        <v>-10.428316966580317807447941060</v>
      </c>
      <c r="AA28" s="91">
        <v>-4.5393798622731832518397530300</v>
      </c>
      <c r="AB28" s="421">
        <v>-3.6038040608272262456975194600</v>
      </c>
    </row>
    <row r="29" ht="18" customHeight="1">
      <c r="A29" s="58"/>
      <c r="B29" s="1043" t="s">
        <v>49</v>
      </c>
      <c r="C29" s="1043"/>
      <c r="D29" s="439">
        <v>211.15326261112092249799625058</v>
      </c>
      <c r="E29" s="95">
        <v>232.99109913281445494509748569</v>
      </c>
      <c r="F29" s="440">
        <v>202.38468337162733979490915926</v>
      </c>
      <c r="G29" s="439">
        <v>276.38000212878129549034171464</v>
      </c>
      <c r="H29" s="95">
        <v>217.94531928422178109622128591</v>
      </c>
      <c r="I29" s="440">
        <v>174.06322399793690171704176462</v>
      </c>
      <c r="J29" s="439">
        <v>0</v>
      </c>
      <c r="K29" s="95">
        <v>0</v>
      </c>
      <c r="L29" s="440">
        <v>104.01250603785061117218721521</v>
      </c>
      <c r="M29" s="439">
        <v>213.03706736253349644723366471</v>
      </c>
      <c r="N29" s="95">
        <v>232.11301214223847805566808113</v>
      </c>
      <c r="O29" s="440">
        <v>191.75442673574399445195204054</v>
      </c>
      <c r="P29" s="93"/>
      <c r="Q29" s="420">
        <v>12.548653360297372875631120520</v>
      </c>
      <c r="R29" s="91">
        <v>10.469126238675241256180201850</v>
      </c>
      <c r="S29" s="421">
        <v>9.249146533734570658748118940</v>
      </c>
      <c r="T29" s="420">
        <v>-41.437313492400576691414298590</v>
      </c>
      <c r="U29" s="91">
        <v>-41.144999564143248202233289500</v>
      </c>
      <c r="V29" s="421">
        <v>-34.841601105430108703690509370</v>
      </c>
      <c r="W29" s="420">
        <v>0</v>
      </c>
      <c r="X29" s="91">
        <v>0</v>
      </c>
      <c r="Y29" s="421">
        <v>-5.7130877050911911343365129200</v>
      </c>
      <c r="Z29" s="420">
        <v>-1.0869314655131626857357156200</v>
      </c>
      <c r="AA29" s="91">
        <v>3.1908188346436352153802078200</v>
      </c>
      <c r="AB29" s="421">
        <v>-1.1002262801330801402349101700</v>
      </c>
    </row>
    <row r="30" ht="18" customHeight="1">
      <c r="A30" s="58"/>
      <c r="B30" s="1044" t="s">
        <v>75</v>
      </c>
      <c r="C30" s="1044"/>
      <c r="D30" s="457">
        <v>190.74004661432824535021594763</v>
      </c>
      <c r="E30" s="458">
        <v>205.8320098254446559743462872</v>
      </c>
      <c r="F30" s="459">
        <v>188.18712183370231341673399467</v>
      </c>
      <c r="G30" s="457">
        <v>238.52877943121540659169466374</v>
      </c>
      <c r="H30" s="458">
        <v>214.98551475309455337520226367</v>
      </c>
      <c r="I30" s="459">
        <v>167.33159598091587942163903824</v>
      </c>
      <c r="J30" s="457">
        <v>0</v>
      </c>
      <c r="K30" s="458">
        <v>0</v>
      </c>
      <c r="L30" s="459">
        <v>104.0228259394490541394673719</v>
      </c>
      <c r="M30" s="457">
        <v>192.46522798548678522952925798</v>
      </c>
      <c r="N30" s="458">
        <v>206.23106937526981384634435755</v>
      </c>
      <c r="O30" s="459">
        <v>179.33070729511636430672645045</v>
      </c>
      <c r="P30" s="5"/>
      <c r="Q30" s="430">
        <v>5.8906033817515069944337671900</v>
      </c>
      <c r="R30" s="431">
        <v>4.5043670351743007923495052100</v>
      </c>
      <c r="S30" s="432">
        <v>6.524818468856865915475924700</v>
      </c>
      <c r="T30" s="430">
        <v>-32.235716432689206274803470030</v>
      </c>
      <c r="U30" s="431">
        <v>-30.021922192138448311709772150</v>
      </c>
      <c r="V30" s="432">
        <v>-30.608497055936666493101209820</v>
      </c>
      <c r="W30" s="430">
        <v>0</v>
      </c>
      <c r="X30" s="431">
        <v>0</v>
      </c>
      <c r="Y30" s="432">
        <v>-4.5549050519862791605948228500</v>
      </c>
      <c r="Z30" s="430">
        <v>-1.6959259088497099819697993200</v>
      </c>
      <c r="AA30" s="431">
        <v>-1.1267278987196707889597250400</v>
      </c>
      <c r="AB30" s="432">
        <v>-1.5431953433035122409378797300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325.0271899010909807758589649</v>
      </c>
      <c r="E32" s="494">
        <v>327.45883043473692184608483849</v>
      </c>
      <c r="F32" s="495">
        <v>244.5127333217186954135183701</v>
      </c>
      <c r="G32" s="493">
        <v>291.66123209292925727546259877</v>
      </c>
      <c r="H32" s="494">
        <v>248.34722476441860965021320599</v>
      </c>
      <c r="I32" s="495">
        <v>177.26856192663879196085656775</v>
      </c>
      <c r="J32" s="493">
        <v>0</v>
      </c>
      <c r="K32" s="494">
        <v>0</v>
      </c>
      <c r="L32" s="495">
        <v>104.95192105165095223900521914</v>
      </c>
      <c r="M32" s="493">
        <v>323.82209887415963184582207588</v>
      </c>
      <c r="N32" s="494">
        <v>323.32910239201640966871823878</v>
      </c>
      <c r="O32" s="495">
        <v>227.85795680606294209319376448</v>
      </c>
      <c r="P32" s="93"/>
      <c r="Q32" s="479">
        <v>69.914831790338280057084556980</v>
      </c>
      <c r="R32" s="480">
        <v>38.055952775137173559263509620</v>
      </c>
      <c r="S32" s="481">
        <v>30.415592637643305606334903660</v>
      </c>
      <c r="T32" s="479">
        <v>19.828511066699335998120820480</v>
      </c>
      <c r="U32" s="480">
        <v>-49.756054311357794836313759640</v>
      </c>
      <c r="V32" s="481">
        <v>-37.194353594250354848060925450</v>
      </c>
      <c r="W32" s="479">
        <v>0</v>
      </c>
      <c r="X32" s="480">
        <v>0</v>
      </c>
      <c r="Y32" s="481">
        <v>-6.0774934632249758440605263100</v>
      </c>
      <c r="Z32" s="479">
        <v>41.910835523902638812322788460</v>
      </c>
      <c r="AA32" s="480">
        <v>27.808767255755060631771021690</v>
      </c>
      <c r="AB32" s="481">
        <v>16.0230957273508770721935800</v>
      </c>
    </row>
    <row r="33" ht="18" customHeight="1">
      <c r="A33" s="58"/>
      <c r="B33" s="1046" t="s">
        <v>51</v>
      </c>
      <c r="C33" s="1046"/>
      <c r="D33" s="276">
        <v>328.37177098158614802044589516</v>
      </c>
      <c r="E33" s="94">
        <v>323.18989274567014417001355949</v>
      </c>
      <c r="F33" s="277">
        <v>242.12825013219597598367571767</v>
      </c>
      <c r="G33" s="276">
        <v>259.27787531395700494271271223</v>
      </c>
      <c r="H33" s="94">
        <v>248.68285801447884190831133852</v>
      </c>
      <c r="I33" s="277">
        <v>173.12938910662217236077591095</v>
      </c>
      <c r="J33" s="276">
        <v>0</v>
      </c>
      <c r="K33" s="94">
        <v>0</v>
      </c>
      <c r="L33" s="277">
        <v>105.39807916250471745308380355</v>
      </c>
      <c r="M33" s="276">
        <v>326.05840824184166227157225162</v>
      </c>
      <c r="N33" s="94">
        <v>319.56483059697458236180999404</v>
      </c>
      <c r="O33" s="277">
        <v>226.59952310496943658031854373</v>
      </c>
      <c r="P33" s="5"/>
      <c r="Q33" s="271">
        <v>47.299313868035617595641523210</v>
      </c>
      <c r="R33" s="92">
        <v>36.610430674050533358939085050</v>
      </c>
      <c r="S33" s="272">
        <v>28.568227918537847298666258850</v>
      </c>
      <c r="T33" s="271">
        <v>23.556596952141518429269079350</v>
      </c>
      <c r="U33" s="92">
        <v>-50.085771439592978939680953240</v>
      </c>
      <c r="V33" s="272">
        <v>-36.708023516157805277686877510</v>
      </c>
      <c r="W33" s="271">
        <v>0</v>
      </c>
      <c r="X33" s="92">
        <v>0</v>
      </c>
      <c r="Y33" s="272">
        <v>-8.250462936097741628974987120</v>
      </c>
      <c r="Z33" s="271">
        <v>48.587481009076105964992416890</v>
      </c>
      <c r="AA33" s="92">
        <v>27.382093921290497184264165410</v>
      </c>
      <c r="AB33" s="272">
        <v>16.484433868334249160085837710</v>
      </c>
    </row>
    <row r="34" ht="18" customHeight="1">
      <c r="A34" s="58"/>
      <c r="B34" s="1047" t="s">
        <v>76</v>
      </c>
      <c r="C34" s="1047"/>
      <c r="D34" s="443">
        <v>326.71513781403290336155612226</v>
      </c>
      <c r="E34" s="444">
        <v>325.29082917685858217439842744</v>
      </c>
      <c r="F34" s="445">
        <v>243.30498789810560886319367343</v>
      </c>
      <c r="G34" s="443">
        <v>275.95344294266915327038161931</v>
      </c>
      <c r="H34" s="444">
        <v>248.51103588975664893338373488</v>
      </c>
      <c r="I34" s="445">
        <v>175.31825045827249912315240241</v>
      </c>
      <c r="J34" s="443">
        <v>0</v>
      </c>
      <c r="K34" s="444">
        <v>0</v>
      </c>
      <c r="L34" s="445">
        <v>105.17280500628006621119021995</v>
      </c>
      <c r="M34" s="633">
        <v>324.94919593391108384062994592</v>
      </c>
      <c r="N34" s="634">
        <v>321.42106166306953939279264256</v>
      </c>
      <c r="O34" s="635">
        <v>227.22606251870525477659732146</v>
      </c>
      <c r="P34" s="93"/>
      <c r="Q34" s="273">
        <v>56.783009412864254122681551710</v>
      </c>
      <c r="R34" s="274">
        <v>37.325083528719153721132654350</v>
      </c>
      <c r="S34" s="275">
        <v>29.469781592020275198392913820</v>
      </c>
      <c r="T34" s="273">
        <v>20.712213108125355067275620020</v>
      </c>
      <c r="U34" s="274">
        <v>-49.915941045991435647330393400</v>
      </c>
      <c r="V34" s="275">
        <v>-36.945135731853664849676630370</v>
      </c>
      <c r="W34" s="273">
        <v>0</v>
      </c>
      <c r="X34" s="274">
        <v>0</v>
      </c>
      <c r="Y34" s="275">
        <v>-7.1831205343136171294403878100</v>
      </c>
      <c r="Z34" s="273">
        <v>45.333849093268934283277452180</v>
      </c>
      <c r="AA34" s="274">
        <v>27.599637639548949092533769260</v>
      </c>
      <c r="AB34" s="275">
        <v>16.265330009336855357622499820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233.25113612889898781243544722</v>
      </c>
      <c r="E36" s="483">
        <v>245.06323555780388948188277812</v>
      </c>
      <c r="F36" s="484">
        <v>207.41218109941419901022682529</v>
      </c>
      <c r="G36" s="482">
        <v>247.15625</v>
      </c>
      <c r="H36" s="483">
        <v>224.93165156163175802497870009</v>
      </c>
      <c r="I36" s="484">
        <v>170.75033572853943416821993488</v>
      </c>
      <c r="J36" s="482">
        <v>0</v>
      </c>
      <c r="K36" s="483">
        <v>128.87105999607170523627129154</v>
      </c>
      <c r="L36" s="484">
        <v>103.07946909670243011643727595</v>
      </c>
      <c r="M36" s="482">
        <v>233.74962656841266679944234216</v>
      </c>
      <c r="N36" s="483">
        <v>244.13632952012674883858320578</v>
      </c>
      <c r="O36" s="484">
        <v>195.58440054400694142088939026</v>
      </c>
      <c r="P36" s="93"/>
      <c r="Q36" s="468">
        <v>21.887214742018431323648295450</v>
      </c>
      <c r="R36" s="469">
        <v>16.276648509835754581997038240</v>
      </c>
      <c r="S36" s="470">
        <v>14.518925984349764698087716550</v>
      </c>
      <c r="T36" s="468">
        <v>-31.743988826942807710188508710</v>
      </c>
      <c r="U36" s="469">
        <v>-35.271779433826929558402366130</v>
      </c>
      <c r="V36" s="470">
        <v>-31.859934372882006508462471390</v>
      </c>
      <c r="W36" s="468">
        <v>0</v>
      </c>
      <c r="X36" s="469">
        <v>0</v>
      </c>
      <c r="Y36" s="470">
        <v>-4.3836822174773586562834560300</v>
      </c>
      <c r="Z36" s="468">
        <v>13.672018464972760852009297750</v>
      </c>
      <c r="AA36" s="469">
        <v>9.386984664219878367191158250</v>
      </c>
      <c r="AB36" s="470">
        <v>4.8843074794466953502311886200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173.34620942689144907013398887</v>
      </c>
      <c r="E39" s="455">
        <v>152.50385032269294979688756626</v>
      </c>
      <c r="F39" s="456">
        <v>106.84397588547454779709302269</v>
      </c>
      <c r="G39" s="454">
        <v>5.036686480326055650686424118</v>
      </c>
      <c r="H39" s="455">
        <v>6.6222410160391761463547538629</v>
      </c>
      <c r="I39" s="456">
        <v>8.351660168758609315657101256</v>
      </c>
      <c r="J39" s="454">
        <v>0</v>
      </c>
      <c r="K39" s="455">
        <v>0</v>
      </c>
      <c r="L39" s="456">
        <v>5.334487955137160928841880129</v>
      </c>
      <c r="M39" s="454">
        <v>178.38289590721750472082041284</v>
      </c>
      <c r="N39" s="455">
        <v>159.12609133873212594324231997</v>
      </c>
      <c r="O39" s="456">
        <v>120.53012400937031804159200395</v>
      </c>
      <c r="P39" s="5"/>
      <c r="Q39" s="427">
        <v>115.29093642349976311211778672</v>
      </c>
      <c r="R39" s="428">
        <v>48.107754573213763418894596080</v>
      </c>
      <c r="S39" s="429">
        <v>103.39740828903646783016689313</v>
      </c>
      <c r="T39" s="427">
        <v>-72.368900886561839903879521830</v>
      </c>
      <c r="U39" s="428">
        <v>-62.279001721554115088058058820</v>
      </c>
      <c r="V39" s="429">
        <v>-59.002362196876978487636523800</v>
      </c>
      <c r="W39" s="427">
        <v>0</v>
      </c>
      <c r="X39" s="428">
        <v>0</v>
      </c>
      <c r="Y39" s="429">
        <v>5.2509598272249339523615267900</v>
      </c>
      <c r="Z39" s="427">
        <v>76.112088564816346318501017860</v>
      </c>
      <c r="AA39" s="428">
        <v>31.428075608626237589834670460</v>
      </c>
      <c r="AB39" s="429">
        <v>54.587521348384351933534202220</v>
      </c>
    </row>
    <row r="40" ht="18" customHeight="1">
      <c r="A40" s="58"/>
      <c r="B40" s="1043" t="s">
        <v>46</v>
      </c>
      <c r="C40" s="1043"/>
      <c r="D40" s="439">
        <v>134.44100370892955862763796167</v>
      </c>
      <c r="E40" s="95">
        <v>115.81789316907523513453505036</v>
      </c>
      <c r="F40" s="440">
        <v>86.52389220376668513568854905</v>
      </c>
      <c r="G40" s="439">
        <v>6.5792385856523369939408814939</v>
      </c>
      <c r="H40" s="95">
        <v>5.1946968368678764986382796887</v>
      </c>
      <c r="I40" s="440">
        <v>8.074710132917295120685410078</v>
      </c>
      <c r="J40" s="439">
        <v>0</v>
      </c>
      <c r="K40" s="95">
        <v>0</v>
      </c>
      <c r="L40" s="440">
        <v>5.1620002329696343841352882802</v>
      </c>
      <c r="M40" s="439">
        <v>141.02024229458189562157884307</v>
      </c>
      <c r="N40" s="95">
        <v>121.01259000594311163317332994</v>
      </c>
      <c r="O40" s="440">
        <v>99.7606025696536146405092473</v>
      </c>
      <c r="P40" s="5"/>
      <c r="Q40" s="420">
        <v>105.28234232000921592705741903</v>
      </c>
      <c r="R40" s="91">
        <v>44.045387331255847359476902790</v>
      </c>
      <c r="S40" s="421">
        <v>92.63647586388899855428177680</v>
      </c>
      <c r="T40" s="420">
        <v>-28.590048390238716920736203240</v>
      </c>
      <c r="U40" s="91">
        <v>-63.064807092689122945680962130</v>
      </c>
      <c r="V40" s="421">
        <v>-50.297732627729878671169710620</v>
      </c>
      <c r="W40" s="420">
        <v>0</v>
      </c>
      <c r="X40" s="91">
        <v>0</v>
      </c>
      <c r="Y40" s="421">
        <v>7.981578979583052403299524310</v>
      </c>
      <c r="Z40" s="420">
        <v>87.94004131955088876171222913</v>
      </c>
      <c r="AA40" s="91">
        <v>29.724347073293746136395615780</v>
      </c>
      <c r="AB40" s="421">
        <v>51.285278190935385266574408030</v>
      </c>
    </row>
    <row r="41" ht="18" customHeight="1">
      <c r="A41" s="58"/>
      <c r="B41" s="1043" t="s">
        <v>47</v>
      </c>
      <c r="C41" s="1043"/>
      <c r="D41" s="439">
        <v>125.4427502806073531656043691</v>
      </c>
      <c r="E41" s="95">
        <v>110.8883361759566240088324037</v>
      </c>
      <c r="F41" s="440">
        <v>84.39167333121415057541553265</v>
      </c>
      <c r="G41" s="439">
        <v>7.4285957857912374555319930404</v>
      </c>
      <c r="H41" s="95">
        <v>6.2196296829588195015439917421</v>
      </c>
      <c r="I41" s="440">
        <v>8.83304436001200335256056483</v>
      </c>
      <c r="J41" s="439">
        <v>0</v>
      </c>
      <c r="K41" s="95">
        <v>0</v>
      </c>
      <c r="L41" s="440">
        <v>5.0951527797474531501678790578</v>
      </c>
      <c r="M41" s="439">
        <v>132.87134606639859062113636205</v>
      </c>
      <c r="N41" s="95">
        <v>117.10796585891544351037639531</v>
      </c>
      <c r="O41" s="440">
        <v>98.31987047097360707814397643</v>
      </c>
      <c r="P41" s="93"/>
      <c r="Q41" s="420">
        <v>120.88728732131195943743665465</v>
      </c>
      <c r="R41" s="91">
        <v>49.922610450610848876368849700</v>
      </c>
      <c r="S41" s="421">
        <v>86.26096171344093376675382406</v>
      </c>
      <c r="T41" s="420">
        <v>-29.808069485014703109578783270</v>
      </c>
      <c r="U41" s="91">
        <v>-63.352710953869837547603795570</v>
      </c>
      <c r="V41" s="421">
        <v>-52.990463375541903658588183140</v>
      </c>
      <c r="W41" s="420">
        <v>0</v>
      </c>
      <c r="X41" s="91">
        <v>0</v>
      </c>
      <c r="Y41" s="421">
        <v>8.063121998155249338745763140</v>
      </c>
      <c r="Z41" s="420">
        <v>95.32538341874407036317322751</v>
      </c>
      <c r="AA41" s="91">
        <v>28.113304434418031897527592420</v>
      </c>
      <c r="AB41" s="421">
        <v>42.879849774841276531712588260</v>
      </c>
    </row>
    <row r="42" ht="18" customHeight="1">
      <c r="A42" s="58"/>
      <c r="B42" s="1043" t="s">
        <v>48</v>
      </c>
      <c r="C42" s="1043"/>
      <c r="D42" s="439">
        <v>134.22272057255321333249771446</v>
      </c>
      <c r="E42" s="95">
        <v>118.20821790074439493048846079</v>
      </c>
      <c r="F42" s="440">
        <v>91.08783343984905191323157759</v>
      </c>
      <c r="G42" s="439">
        <v>8.906879249359293784270415975</v>
      </c>
      <c r="H42" s="95">
        <v>6.6354559297729461194107961776</v>
      </c>
      <c r="I42" s="440">
        <v>10.664343557922950499080550503</v>
      </c>
      <c r="J42" s="439">
        <v>0</v>
      </c>
      <c r="K42" s="95">
        <v>0</v>
      </c>
      <c r="L42" s="440">
        <v>5.3887779517588688920317774088</v>
      </c>
      <c r="M42" s="439">
        <v>143.12959982191250711676813033</v>
      </c>
      <c r="N42" s="95">
        <v>124.84367383051734104989925683</v>
      </c>
      <c r="O42" s="440">
        <v>107.14095494953087130434390539</v>
      </c>
      <c r="P42" s="5"/>
      <c r="Q42" s="420">
        <v>87.41914714815850578357804855</v>
      </c>
      <c r="R42" s="91">
        <v>44.751535713381013959350411700</v>
      </c>
      <c r="S42" s="421">
        <v>77.644303937677784092777925720</v>
      </c>
      <c r="T42" s="420">
        <v>-27.632748419459381286544941480</v>
      </c>
      <c r="U42" s="91">
        <v>-61.446108743602965846407078460</v>
      </c>
      <c r="V42" s="421">
        <v>-46.088979907933345900228194760</v>
      </c>
      <c r="W42" s="420">
        <v>0</v>
      </c>
      <c r="X42" s="91">
        <v>0</v>
      </c>
      <c r="Y42" s="421">
        <v>11.784664816865133468543399230</v>
      </c>
      <c r="Z42" s="420">
        <v>68.821917989169372686190388520</v>
      </c>
      <c r="AA42" s="91">
        <v>25.833084934360562471642784110</v>
      </c>
      <c r="AB42" s="421">
        <v>41.203024924510907407971719130</v>
      </c>
    </row>
    <row r="43" ht="18" customHeight="1">
      <c r="A43" s="58"/>
      <c r="B43" s="1043" t="s">
        <v>49</v>
      </c>
      <c r="C43" s="1043"/>
      <c r="D43" s="439">
        <v>173.77692023458946549988065565</v>
      </c>
      <c r="E43" s="95">
        <v>157.68594995539720161143257183</v>
      </c>
      <c r="F43" s="440">
        <v>111.25754257331899761299060268</v>
      </c>
      <c r="G43" s="439">
        <v>6.7645455066484932462671049088</v>
      </c>
      <c r="H43" s="95">
        <v>8.546162194525632998099783454</v>
      </c>
      <c r="I43" s="440">
        <v>12.701202837941141146394801235</v>
      </c>
      <c r="J43" s="439">
        <v>0</v>
      </c>
      <c r="K43" s="95">
        <v>0</v>
      </c>
      <c r="L43" s="440">
        <v>5.3993737879421254892461057574</v>
      </c>
      <c r="M43" s="439">
        <v>180.54146574123795874614776043</v>
      </c>
      <c r="N43" s="95">
        <v>166.23211214992283460953235511</v>
      </c>
      <c r="O43" s="440">
        <v>129.35811919920226424863150953</v>
      </c>
      <c r="P43" s="93"/>
      <c r="Q43" s="420">
        <v>110.59572594839755715926535939</v>
      </c>
      <c r="R43" s="91">
        <v>50.841298390775699014779664360</v>
      </c>
      <c r="S43" s="421">
        <v>95.99557320224613653818193608</v>
      </c>
      <c r="T43" s="420">
        <v>-72.038169343381368637375068330</v>
      </c>
      <c r="U43" s="91">
        <v>-52.679905021044215289525831610</v>
      </c>
      <c r="V43" s="421">
        <v>-45.917197420415025746483842840</v>
      </c>
      <c r="W43" s="420">
        <v>0</v>
      </c>
      <c r="X43" s="91">
        <v>0</v>
      </c>
      <c r="Y43" s="421">
        <v>7.8079202984248953317509132900</v>
      </c>
      <c r="Z43" s="420">
        <v>68.061642830379092273227185220</v>
      </c>
      <c r="AA43" s="91">
        <v>35.112175431371221087380254440</v>
      </c>
      <c r="AB43" s="421">
        <v>51.725229653698336465631875610</v>
      </c>
    </row>
    <row r="44" ht="18" customHeight="1">
      <c r="A44" s="58"/>
      <c r="B44" s="1044" t="s">
        <v>75</v>
      </c>
      <c r="C44" s="1044"/>
      <c r="D44" s="457">
        <v>148.24592084471420793915093787</v>
      </c>
      <c r="E44" s="458">
        <v>131.02084950477328109643521052</v>
      </c>
      <c r="F44" s="459">
        <v>96.02060821862774905506791134</v>
      </c>
      <c r="G44" s="457">
        <v>6.9431891215554834261393639017</v>
      </c>
      <c r="H44" s="458">
        <v>6.643637132032890252809520982</v>
      </c>
      <c r="I44" s="459">
        <v>9.725756077970419282982594765</v>
      </c>
      <c r="J44" s="457">
        <v>0</v>
      </c>
      <c r="K44" s="458">
        <v>0</v>
      </c>
      <c r="L44" s="459">
        <v>5.2759654281485025986836165372</v>
      </c>
      <c r="M44" s="457">
        <v>155.18910996626969136529030175</v>
      </c>
      <c r="N44" s="458">
        <v>137.66448663680617134924473143</v>
      </c>
      <c r="O44" s="459">
        <v>111.0223297247466709367341226</v>
      </c>
      <c r="P44" s="5"/>
      <c r="Q44" s="430">
        <v>107.32327036840518347013500668</v>
      </c>
      <c r="R44" s="431">
        <v>47.376936723685867250181554060</v>
      </c>
      <c r="S44" s="432">
        <v>91.37589416745328028821393503</v>
      </c>
      <c r="T44" s="430">
        <v>-53.561790911711954866029972850</v>
      </c>
      <c r="U44" s="431">
        <v>-60.44763028412778682564070600</v>
      </c>
      <c r="V44" s="432">
        <v>-50.739026964673866974937962030</v>
      </c>
      <c r="W44" s="430">
        <v>0</v>
      </c>
      <c r="X44" s="431">
        <v>0</v>
      </c>
      <c r="Y44" s="432">
        <v>8.151542948939442164909783660</v>
      </c>
      <c r="Z44" s="430">
        <v>77.487773955996792975642901660</v>
      </c>
      <c r="AA44" s="431">
        <v>30.134858219110961209173988820</v>
      </c>
      <c r="AB44" s="432">
        <v>48.435016995075572317585329260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277.73192413217865681504929869</v>
      </c>
      <c r="E46" s="494">
        <v>245.09109742958149791722260456</v>
      </c>
      <c r="F46" s="495">
        <v>156.64430963874632244563983648</v>
      </c>
      <c r="G46" s="493">
        <v>9.338495710236728649185766463</v>
      </c>
      <c r="H46" s="494">
        <v>10.097527376354319205283868106</v>
      </c>
      <c r="I46" s="495">
        <v>15.017391875319266814082954809</v>
      </c>
      <c r="J46" s="493">
        <v>0</v>
      </c>
      <c r="K46" s="494">
        <v>0</v>
      </c>
      <c r="L46" s="495">
        <v>5.4518790194165647566159203211</v>
      </c>
      <c r="M46" s="493">
        <v>287.07041984241538546423506498</v>
      </c>
      <c r="N46" s="494">
        <v>255.18862480593581712250647242</v>
      </c>
      <c r="O46" s="495">
        <v>177.11358053348215401633871141</v>
      </c>
      <c r="P46" s="93"/>
      <c r="Q46" s="479">
        <v>179.31159359268861556504794975</v>
      </c>
      <c r="R46" s="480">
        <v>75.255193452521395800801128110</v>
      </c>
      <c r="S46" s="481">
        <v>130.97745458334167862873525781</v>
      </c>
      <c r="T46" s="479">
        <v>11.855036504990233679253822020</v>
      </c>
      <c r="U46" s="480">
        <v>-47.879640295439543166789290800</v>
      </c>
      <c r="V46" s="481">
        <v>-36.175540327989007562031963540</v>
      </c>
      <c r="W46" s="479">
        <v>0</v>
      </c>
      <c r="X46" s="480">
        <v>0</v>
      </c>
      <c r="Y46" s="481">
        <v>4.7481959182031998895323361500</v>
      </c>
      <c r="Z46" s="479">
        <v>117.82153527707458798350403672</v>
      </c>
      <c r="AA46" s="480">
        <v>59.692261641531833212769961030</v>
      </c>
      <c r="AB46" s="481">
        <v>83.43915614522021890463742437</v>
      </c>
    </row>
    <row r="47" ht="18" customHeight="1">
      <c r="A47" s="58"/>
      <c r="B47" s="1046" t="s">
        <v>51</v>
      </c>
      <c r="C47" s="1046"/>
      <c r="D47" s="276">
        <v>291.39167497797803432292190398</v>
      </c>
      <c r="E47" s="94">
        <v>254.87403155257571089209379048</v>
      </c>
      <c r="F47" s="277">
        <v>162.2802898807385848520534402</v>
      </c>
      <c r="G47" s="276">
        <v>7.970226062244307698559496259</v>
      </c>
      <c r="H47" s="94">
        <v>9.842745523282893592633313792</v>
      </c>
      <c r="I47" s="277">
        <v>13.320814189807069943695846996</v>
      </c>
      <c r="J47" s="276">
        <v>0</v>
      </c>
      <c r="K47" s="94">
        <v>0</v>
      </c>
      <c r="L47" s="277">
        <v>5.4720842004954083152226635179</v>
      </c>
      <c r="M47" s="276">
        <v>299.36190104022234202148140001</v>
      </c>
      <c r="N47" s="94">
        <v>264.71677707585860448472710402</v>
      </c>
      <c r="O47" s="277">
        <v>181.07318827104106311097195051</v>
      </c>
      <c r="P47" s="5"/>
      <c r="Q47" s="271">
        <v>118.84212517459329187610790328</v>
      </c>
      <c r="R47" s="92">
        <v>72.369515525883176714315751680</v>
      </c>
      <c r="S47" s="272">
        <v>119.29576110890013689531249734</v>
      </c>
      <c r="T47" s="271">
        <v>43.680536998165938410443954170</v>
      </c>
      <c r="U47" s="92">
        <v>-46.277564226843165404964685430</v>
      </c>
      <c r="V47" s="272">
        <v>-37.602290015121321099029734580</v>
      </c>
      <c r="W47" s="271">
        <v>0</v>
      </c>
      <c r="X47" s="92">
        <v>0</v>
      </c>
      <c r="Y47" s="272">
        <v>1.8184339029039921882284243600</v>
      </c>
      <c r="Z47" s="271">
        <v>113.11752762263246411322973897</v>
      </c>
      <c r="AA47" s="92">
        <v>58.584994568600500583095779890</v>
      </c>
      <c r="AB47" s="272">
        <v>79.77366106775102144390774097</v>
      </c>
    </row>
    <row r="48" ht="18" customHeight="1">
      <c r="A48" s="58"/>
      <c r="B48" s="1047" t="s">
        <v>76</v>
      </c>
      <c r="C48" s="1047"/>
      <c r="D48" s="443">
        <v>284.49675312247930091418620789</v>
      </c>
      <c r="E48" s="444">
        <v>249.93159908899137542571842013</v>
      </c>
      <c r="F48" s="445">
        <v>159.43533545467306699813756443</v>
      </c>
      <c r="G48" s="443">
        <v>8.660876455992863035542280263</v>
      </c>
      <c r="H48" s="444">
        <v>9.971463767310788410166980009</v>
      </c>
      <c r="I48" s="445">
        <v>14.177219994710270172553364152</v>
      </c>
      <c r="J48" s="443">
        <v>0</v>
      </c>
      <c r="K48" s="444">
        <v>0</v>
      </c>
      <c r="L48" s="445">
        <v>5.4618849420041486585250948624</v>
      </c>
      <c r="M48" s="443">
        <v>293.15762957847216394972848801</v>
      </c>
      <c r="N48" s="444">
        <v>259.90306285630216383588539994</v>
      </c>
      <c r="O48" s="445">
        <v>179.0744403913874858292160233</v>
      </c>
      <c r="P48" s="93"/>
      <c r="Q48" s="273">
        <v>144.22952538339867069459871040</v>
      </c>
      <c r="R48" s="274">
        <v>73.739167706272308185783259200</v>
      </c>
      <c r="S48" s="275">
        <v>124.84890262916636653001078440</v>
      </c>
      <c r="T48" s="273">
        <v>24.943948637762136871331157430</v>
      </c>
      <c r="U48" s="274">
        <v>-47.094660863743066268562179010</v>
      </c>
      <c r="V48" s="275">
        <v>-36.819624639580074862995785170</v>
      </c>
      <c r="W48" s="273">
        <v>0</v>
      </c>
      <c r="X48" s="274">
        <v>0</v>
      </c>
      <c r="Y48" s="275">
        <v>3.2588388068972794905046391600</v>
      </c>
      <c r="Z48" s="273">
        <v>115.35158098944328784932170737</v>
      </c>
      <c r="AA48" s="274">
        <v>59.097947004346657574886249340</v>
      </c>
      <c r="AB48" s="275">
        <v>81.55039019214482931205926378</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187.49169779991697799916977999</v>
      </c>
      <c r="E50" s="483">
        <v>165.6360902394162167186360888</v>
      </c>
      <c r="F50" s="484">
        <v>114.19470561561868650846286986</v>
      </c>
      <c r="G50" s="482">
        <v>7.386986301369863013698630137</v>
      </c>
      <c r="H50" s="483">
        <v>7.2026972750990629626821568151</v>
      </c>
      <c r="I50" s="484">
        <v>10.901182169621939212992928819</v>
      </c>
      <c r="J50" s="482">
        <v>0</v>
      </c>
      <c r="K50" s="483">
        <v>0.0128808474479688238104226409</v>
      </c>
      <c r="L50" s="484">
        <v>5.489699836918894312999295458</v>
      </c>
      <c r="M50" s="482">
        <v>194.87868410128684101286841013</v>
      </c>
      <c r="N50" s="483">
        <v>172.85166836196324850512866826</v>
      </c>
      <c r="O50" s="484">
        <v>130.58558762215952003445509414</v>
      </c>
      <c r="P50" s="93"/>
      <c r="Q50" s="468">
        <v>116.69417069154103083077492686</v>
      </c>
      <c r="R50" s="469">
        <v>57.928597573415092841243575810</v>
      </c>
      <c r="S50" s="470">
        <v>102.06061626562180780848007439</v>
      </c>
      <c r="T50" s="468">
        <v>-50.523122450706638187318117750</v>
      </c>
      <c r="U50" s="469">
        <v>-58.333688776720443830737833220</v>
      </c>
      <c r="V50" s="470">
        <v>-46.082191570528168889253102350</v>
      </c>
      <c r="W50" s="468">
        <v>0</v>
      </c>
      <c r="X50" s="469">
        <v>0</v>
      </c>
      <c r="Y50" s="470">
        <v>14.458190988333062266247780560</v>
      </c>
      <c r="Z50" s="468">
        <v>92.08608826616171883247526863</v>
      </c>
      <c r="AA50" s="469">
        <v>41.488034967626444563805500030</v>
      </c>
      <c r="AB50" s="470">
        <v>60.169797960491953342592436180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193</v>
      </c>
      <c r="Y1" s="5"/>
      <c r="AB1" s="685"/>
      <c r="AD1" s="236"/>
    </row>
    <row r="2" ht="15" customHeight="1">
      <c r="A2" s="11"/>
      <c r="B2" s="11" t="s">
        <v>208</v>
      </c>
    </row>
    <row r="3" ht="17.1" customHeight="1">
      <c r="A3" s="11"/>
      <c r="B3" s="11" t="s">
        <v>209</v>
      </c>
      <c r="R3" s="1040" t="s">
        <v>303</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81.35198135198135198135198142</v>
      </c>
      <c r="E11" s="428">
        <v>61.745702791661587224186273370</v>
      </c>
      <c r="F11" s="429">
        <v>53.525142799326704623846797760</v>
      </c>
      <c r="G11" s="427">
        <v>3.0303030303030303030303030300</v>
      </c>
      <c r="H11" s="428">
        <v>6.2172375960014628794343532900</v>
      </c>
      <c r="I11" s="429">
        <v>5.9198484165601228856041722300</v>
      </c>
      <c r="J11" s="427">
        <v>0</v>
      </c>
      <c r="K11" s="428">
        <v>0</v>
      </c>
      <c r="L11" s="429">
        <v>6.5683091271994775522217827700</v>
      </c>
      <c r="M11" s="427">
        <v>84.38228438228438228438228438</v>
      </c>
      <c r="N11" s="428">
        <v>67.962940387663050103620626600</v>
      </c>
      <c r="O11" s="429">
        <v>66.013300343086305061672752690</v>
      </c>
      <c r="P11" s="5"/>
      <c r="Q11" s="427">
        <v>41.010101010119811447811450440</v>
      </c>
      <c r="R11" s="428">
        <v>3.4421739137391283064044129900</v>
      </c>
      <c r="S11" s="429">
        <v>53.664535755031189347113992720</v>
      </c>
      <c r="T11" s="427">
        <v>73.333333328549333333465371720</v>
      </c>
      <c r="U11" s="428">
        <v>413.65835348198789213592134099</v>
      </c>
      <c r="V11" s="429">
        <v>162.16554066030675046411209188</v>
      </c>
      <c r="W11" s="427">
        <v>0</v>
      </c>
      <c r="X11" s="428">
        <v>0</v>
      </c>
      <c r="Y11" s="429">
        <v>69.310196597450770404758985200</v>
      </c>
      <c r="Z11" s="427">
        <v>41.960784313628622837370308310</v>
      </c>
      <c r="AA11" s="428">
        <v>11.595005934579461408065999390</v>
      </c>
      <c r="AB11" s="429">
        <v>61.139048315623669733182402560</v>
      </c>
    </row>
    <row r="12" ht="18" customHeight="1">
      <c r="A12" s="58"/>
      <c r="B12" s="1043" t="s">
        <v>46</v>
      </c>
      <c r="C12" s="1043"/>
      <c r="D12" s="420">
        <v>71.969696969696969696969697030</v>
      </c>
      <c r="E12" s="91">
        <v>55.479702547848348165305376140</v>
      </c>
      <c r="F12" s="421">
        <v>49.969186618714300168323844090</v>
      </c>
      <c r="G12" s="420">
        <v>4.3706293706293706293706293700</v>
      </c>
      <c r="H12" s="91">
        <v>4.7421674996952334511763988800</v>
      </c>
      <c r="I12" s="421">
        <v>6.3760704200737681546003918400</v>
      </c>
      <c r="J12" s="420">
        <v>0</v>
      </c>
      <c r="K12" s="91">
        <v>0</v>
      </c>
      <c r="L12" s="421">
        <v>6.2059069711825899796723663800</v>
      </c>
      <c r="M12" s="420">
        <v>76.340326340326340326340326340</v>
      </c>
      <c r="N12" s="91">
        <v>60.258442033402413751066682920</v>
      </c>
      <c r="O12" s="421">
        <v>62.551164009970658302596602250</v>
      </c>
      <c r="P12" s="5"/>
      <c r="Q12" s="420">
        <v>60.389610389592059369202228570</v>
      </c>
      <c r="R12" s="91">
        <v>19.587041640175445763508938310</v>
      </c>
      <c r="S12" s="421">
        <v>70.455496218944416729618382880</v>
      </c>
      <c r="T12" s="420">
        <v>294.73684211457063711933303391</v>
      </c>
      <c r="U12" s="91">
        <v>388.13229068549980242430650934</v>
      </c>
      <c r="V12" s="421">
        <v>213.91427829080829800838340207</v>
      </c>
      <c r="W12" s="420">
        <v>0</v>
      </c>
      <c r="X12" s="91">
        <v>0</v>
      </c>
      <c r="Y12" s="421">
        <v>70.111555037635770210744202880</v>
      </c>
      <c r="Z12" s="420">
        <v>66.032953105272207684560073500</v>
      </c>
      <c r="AA12" s="91">
        <v>27.223523042346489102731283640</v>
      </c>
      <c r="AB12" s="421">
        <v>78.740674697240800713112130320</v>
      </c>
    </row>
    <row r="13" ht="18" customHeight="1">
      <c r="A13" s="58"/>
      <c r="B13" s="1043" t="s">
        <v>47</v>
      </c>
      <c r="C13" s="1043"/>
      <c r="D13" s="420">
        <v>67.948717948717948717948718010</v>
      </c>
      <c r="E13" s="91">
        <v>54.065585761306838961355601660</v>
      </c>
      <c r="F13" s="421">
        <v>50.149467894296305153652995390</v>
      </c>
      <c r="G13" s="420">
        <v>7.2843822843822843822843822900</v>
      </c>
      <c r="H13" s="91">
        <v>5.7783737656954772644154577600</v>
      </c>
      <c r="I13" s="421">
        <v>7.7714107009814291890102006200</v>
      </c>
      <c r="J13" s="420">
        <v>0</v>
      </c>
      <c r="K13" s="91">
        <v>0</v>
      </c>
      <c r="L13" s="421">
        <v>6.4450556020566782255171589200</v>
      </c>
      <c r="M13" s="420">
        <v>75.233100233100233100233100230</v>
      </c>
      <c r="N13" s="91">
        <v>59.831768865049372180909423380</v>
      </c>
      <c r="O13" s="421">
        <v>64.367773802187290170071468650</v>
      </c>
      <c r="P13" s="184"/>
      <c r="Q13" s="420">
        <v>62.849162011336033519553235620</v>
      </c>
      <c r="R13" s="91">
        <v>21.285392281167961141006485380</v>
      </c>
      <c r="S13" s="421">
        <v>72.313586868998872171562472420</v>
      </c>
      <c r="T13" s="420">
        <v>257.14285714759183673475664634</v>
      </c>
      <c r="U13" s="91">
        <v>655.88351819140280309182964349</v>
      </c>
      <c r="V13" s="421">
        <v>381.59405590228778578380398798</v>
      </c>
      <c r="W13" s="420">
        <v>0</v>
      </c>
      <c r="X13" s="91">
        <v>0</v>
      </c>
      <c r="Y13" s="421">
        <v>66.085954551699864585546940360</v>
      </c>
      <c r="Z13" s="420">
        <v>71.904127829437895322880720750</v>
      </c>
      <c r="AA13" s="91">
        <v>31.957736812052201690967724370</v>
      </c>
      <c r="AB13" s="421">
        <v>86.05153657866683152563956932</v>
      </c>
    </row>
    <row r="14" ht="18" customHeight="1">
      <c r="A14" s="58"/>
      <c r="B14" s="1043" t="s">
        <v>48</v>
      </c>
      <c r="C14" s="1043"/>
      <c r="D14" s="420">
        <v>72.610722610722610722610722670</v>
      </c>
      <c r="E14" s="91">
        <v>57.698403023284164330123125740</v>
      </c>
      <c r="F14" s="421">
        <v>52.371710556572448238118452210</v>
      </c>
      <c r="G14" s="420">
        <v>7.4592074592074592074592074700</v>
      </c>
      <c r="H14" s="91">
        <v>6.5220041448250640009752529600</v>
      </c>
      <c r="I14" s="421">
        <v>9.257811422106531517030141930</v>
      </c>
      <c r="J14" s="420">
        <v>0</v>
      </c>
      <c r="K14" s="91">
        <v>0</v>
      </c>
      <c r="L14" s="421">
        <v>6.6087804339627847938262861200</v>
      </c>
      <c r="M14" s="420">
        <v>80.06993006993006993006993007</v>
      </c>
      <c r="N14" s="91">
        <v>64.220407168109228331098378640</v>
      </c>
      <c r="O14" s="421">
        <v>68.240142017494642150865993980</v>
      </c>
      <c r="P14" s="5"/>
      <c r="Q14" s="420">
        <v>64.597093791352692003650678710</v>
      </c>
      <c r="R14" s="91">
        <v>24.198927865384371597626219810</v>
      </c>
      <c r="S14" s="421">
        <v>64.987789388433244720089126950</v>
      </c>
      <c r="T14" s="420">
        <v>456.52173914137164461269130443</v>
      </c>
      <c r="U14" s="91">
        <v>1070.0475435645337876389181877</v>
      </c>
      <c r="V14" s="421">
        <v>476.46067746623017059015008283</v>
      </c>
      <c r="W14" s="420">
        <v>0</v>
      </c>
      <c r="X14" s="91">
        <v>0</v>
      </c>
      <c r="Y14" s="421">
        <v>76.206972239933507710397152110</v>
      </c>
      <c r="Z14" s="420">
        <v>76.153846154022307692307868460</v>
      </c>
      <c r="AA14" s="91">
        <v>36.598894515117026132707216260</v>
      </c>
      <c r="AB14" s="421">
        <v>83.92262003304998256758876421</v>
      </c>
    </row>
    <row r="15" ht="18" customHeight="1">
      <c r="A15" s="58"/>
      <c r="B15" s="1043" t="s">
        <v>49</v>
      </c>
      <c r="C15" s="1043"/>
      <c r="D15" s="420">
        <v>83.10023310023310023310023317</v>
      </c>
      <c r="E15" s="91">
        <v>62.745337071802998902840424300</v>
      </c>
      <c r="F15" s="421">
        <v>56.082193544826571252494964140</v>
      </c>
      <c r="G15" s="420">
        <v>4.4289044289044289044289044300</v>
      </c>
      <c r="H15" s="91">
        <v>6.9364866512251615262708765200</v>
      </c>
      <c r="I15" s="421">
        <v>10.185892070383281671097048360</v>
      </c>
      <c r="J15" s="420">
        <v>0</v>
      </c>
      <c r="K15" s="91">
        <v>0</v>
      </c>
      <c r="L15" s="421">
        <v>6.530597227715486713453950100</v>
      </c>
      <c r="M15" s="420">
        <v>87.52913752913752913752913753</v>
      </c>
      <c r="N15" s="91">
        <v>69.706205046934048518834572720</v>
      </c>
      <c r="O15" s="421">
        <v>72.80328185505753364177374700</v>
      </c>
      <c r="P15" s="184"/>
      <c r="Q15" s="420">
        <v>48.663340531601113107356026960</v>
      </c>
      <c r="R15" s="91">
        <v>14.362255870580942059463329390</v>
      </c>
      <c r="S15" s="421">
        <v>55.694296673330842111313806160</v>
      </c>
      <c r="T15" s="420">
        <v>99.62476547974835491695382778</v>
      </c>
      <c r="U15" s="91">
        <v>966.0118804081731070498426525</v>
      </c>
      <c r="V15" s="421">
        <v>405.30521548264888762741884351</v>
      </c>
      <c r="W15" s="420">
        <v>0</v>
      </c>
      <c r="X15" s="91">
        <v>0</v>
      </c>
      <c r="Y15" s="421">
        <v>69.216032842221073096346813040</v>
      </c>
      <c r="Z15" s="420">
        <v>50.608795301488979424599424200</v>
      </c>
      <c r="AA15" s="91">
        <v>25.560297956087861005872747690</v>
      </c>
      <c r="AB15" s="421">
        <v>73.772156318543732006248608020</v>
      </c>
    </row>
    <row r="16" ht="18" customHeight="1">
      <c r="A16" s="58"/>
      <c r="B16" s="1044" t="s">
        <v>75</v>
      </c>
      <c r="C16" s="1044"/>
      <c r="D16" s="430">
        <v>75.396270396270396270396270450</v>
      </c>
      <c r="E16" s="431">
        <v>58.346946239180787516762160270</v>
      </c>
      <c r="F16" s="432">
        <v>52.419540282747265887287410720</v>
      </c>
      <c r="G16" s="430">
        <v>5.3146853146853146853146853200</v>
      </c>
      <c r="H16" s="431">
        <v>6.0392539314884798244544678900</v>
      </c>
      <c r="I16" s="432">
        <v>7.90220660602102668346839100</v>
      </c>
      <c r="J16" s="430">
        <v>0</v>
      </c>
      <c r="K16" s="431">
        <v>0</v>
      </c>
      <c r="L16" s="432">
        <v>6.4717298724234034529383088600</v>
      </c>
      <c r="M16" s="430">
        <v>80.71095571095571095571095571</v>
      </c>
      <c r="N16" s="431">
        <v>64.395952700231622577105936850</v>
      </c>
      <c r="O16" s="432">
        <v>66.795132405559285865396112910</v>
      </c>
      <c r="P16" s="5"/>
      <c r="Q16" s="430">
        <v>53.973818024326197560384490580</v>
      </c>
      <c r="R16" s="431">
        <v>15.620311569101852863178469990</v>
      </c>
      <c r="S16" s="432">
        <v>62.496765316926394077136526390</v>
      </c>
      <c r="T16" s="430">
        <v>212.84823284101197280457190276</v>
      </c>
      <c r="U16" s="431">
        <v>629.23991222413466917592442537</v>
      </c>
      <c r="V16" s="432">
        <v>314.47581987207749476366613333</v>
      </c>
      <c r="W16" s="430">
        <v>0</v>
      </c>
      <c r="X16" s="431">
        <v>0</v>
      </c>
      <c r="Y16" s="432">
        <v>70.110560724716833094756194110</v>
      </c>
      <c r="Z16" s="629">
        <v>59.300826043076408555974876920</v>
      </c>
      <c r="AA16" s="214">
        <v>25.546705411127108973201220140</v>
      </c>
      <c r="AB16" s="630">
        <v>75.916467957826087190924338200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84.09090909090909090909090916</v>
      </c>
      <c r="E18" s="480">
        <v>66.617613764998868009961512410</v>
      </c>
      <c r="F18" s="481">
        <v>61.457781725628192207171042580</v>
      </c>
      <c r="G18" s="479">
        <v>5.8441558441558441558441558500</v>
      </c>
      <c r="H18" s="480">
        <v>6.9504188363142404346841747900</v>
      </c>
      <c r="I18" s="481">
        <v>12.229890162450248543755658440</v>
      </c>
      <c r="J18" s="479">
        <v>0</v>
      </c>
      <c r="K18" s="480">
        <v>0</v>
      </c>
      <c r="L18" s="481">
        <v>6.3946635691224953451427204900</v>
      </c>
      <c r="M18" s="479">
        <v>89.93506493506493506493506494</v>
      </c>
      <c r="N18" s="480">
        <v>73.579352501697985057731491960</v>
      </c>
      <c r="O18" s="481">
        <v>80.08148135494781435233426146</v>
      </c>
      <c r="P18" s="184"/>
      <c r="Q18" s="479">
        <v>13.801261829612789459542849830</v>
      </c>
      <c r="R18" s="480">
        <v>-3.1731488817914008984046062600</v>
      </c>
      <c r="S18" s="481">
        <v>45.759362737478058368382233870</v>
      </c>
      <c r="T18" s="479">
        <v>245.81280787700356718199206937</v>
      </c>
      <c r="U18" s="480">
        <v>828.5463802605698877023327228</v>
      </c>
      <c r="V18" s="481">
        <v>382.15835497024414867814327860</v>
      </c>
      <c r="W18" s="479">
        <v>0</v>
      </c>
      <c r="X18" s="480">
        <v>0</v>
      </c>
      <c r="Y18" s="481">
        <v>69.549508410607817441534155810</v>
      </c>
      <c r="Z18" s="479">
        <v>19.080687830649239724181866320</v>
      </c>
      <c r="AA18" s="480">
        <v>5.7945395828500004418335345600</v>
      </c>
      <c r="AB18" s="481">
        <v>65.223432730507077271678465130</v>
      </c>
    </row>
    <row r="19" ht="18" customHeight="1">
      <c r="A19" s="58"/>
      <c r="B19" s="1046" t="s">
        <v>51</v>
      </c>
      <c r="C19" s="1046"/>
      <c r="D19" s="271">
        <v>87.52913752913752913752913761</v>
      </c>
      <c r="E19" s="92">
        <v>68.974765329757405827136413570</v>
      </c>
      <c r="F19" s="272">
        <v>63.996173621906014588066483380</v>
      </c>
      <c r="G19" s="271">
        <v>4.9533799533799533799533799600</v>
      </c>
      <c r="H19" s="92">
        <v>7.3997318054370352310130440200</v>
      </c>
      <c r="I19" s="272">
        <v>10.487587266255208381239709720</v>
      </c>
      <c r="J19" s="271">
        <v>0</v>
      </c>
      <c r="K19" s="92">
        <v>0</v>
      </c>
      <c r="L19" s="272">
        <v>6.6087804339627847938262861200</v>
      </c>
      <c r="M19" s="271">
        <v>92.48251748251748251748251748</v>
      </c>
      <c r="N19" s="92">
        <v>76.398878459100329147872729490</v>
      </c>
      <c r="O19" s="272">
        <v>81.09714033425620176786026362</v>
      </c>
      <c r="P19" s="5"/>
      <c r="Q19" s="271">
        <v>6.6004258338690859379604488900</v>
      </c>
      <c r="R19" s="92">
        <v>-9.546250729827748169740389900</v>
      </c>
      <c r="S19" s="272">
        <v>38.305628521383361034229417440</v>
      </c>
      <c r="T19" s="271">
        <v>193.10344827181926278245766573</v>
      </c>
      <c r="U19" s="92">
        <v>829.2583201632283956274198857</v>
      </c>
      <c r="V19" s="272">
        <v>302.24656164348700460008257908</v>
      </c>
      <c r="W19" s="271">
        <v>0</v>
      </c>
      <c r="X19" s="92">
        <v>0</v>
      </c>
      <c r="Y19" s="272">
        <v>69.607861080883238199663793010</v>
      </c>
      <c r="Z19" s="271">
        <v>10.361613351922120817624558290</v>
      </c>
      <c r="AA19" s="92">
        <v>-0.8456887463978807080223862900</v>
      </c>
      <c r="AB19" s="272">
        <v>53.664893606264837847028942830</v>
      </c>
    </row>
    <row r="20" ht="18" customHeight="1">
      <c r="A20" s="58"/>
      <c r="B20" s="1047" t="s">
        <v>76</v>
      </c>
      <c r="C20" s="1047"/>
      <c r="D20" s="273">
        <v>85.74635241301907968574635248</v>
      </c>
      <c r="E20" s="274">
        <v>67.752538592475201033045724100</v>
      </c>
      <c r="F20" s="275">
        <v>62.679970416428625205379958530</v>
      </c>
      <c r="G20" s="273">
        <v>5.4152637485970819304152637500</v>
      </c>
      <c r="H20" s="274">
        <v>7.1667547103363268181017784900</v>
      </c>
      <c r="I20" s="275">
        <v>11.391003582800784761803534980</v>
      </c>
      <c r="J20" s="273">
        <v>0</v>
      </c>
      <c r="K20" s="274">
        <v>0</v>
      </c>
      <c r="L20" s="275">
        <v>6.4977568744159680426570298700</v>
      </c>
      <c r="M20" s="273">
        <v>91.16161616161616161616161616</v>
      </c>
      <c r="N20" s="274">
        <v>74.936902036743558138169865590</v>
      </c>
      <c r="O20" s="275">
        <v>80.57050234498518607092085509</v>
      </c>
      <c r="P20" s="184"/>
      <c r="Q20" s="273">
        <v>9.929578439055407120138079980</v>
      </c>
      <c r="R20" s="274">
        <v>-6.5836210316226078101067960900</v>
      </c>
      <c r="S20" s="275">
        <v>41.753079468078829538098845710</v>
      </c>
      <c r="T20" s="273">
        <v>220.43422732635927247110513400</v>
      </c>
      <c r="U20" s="274">
        <v>827.8361407551906194500400916</v>
      </c>
      <c r="V20" s="275">
        <v>342.90729322026890292231643260</v>
      </c>
      <c r="W20" s="273">
        <v>0</v>
      </c>
      <c r="X20" s="274">
        <v>0</v>
      </c>
      <c r="Y20" s="275">
        <v>69.475740945677125936932190540</v>
      </c>
      <c r="Z20" s="273">
        <v>14.435503535729691421811405780</v>
      </c>
      <c r="AA20" s="274">
        <v>2.2333096987687717427876688800</v>
      </c>
      <c r="AB20" s="275">
        <v>59.161169269615901935188954440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78.409090909090909090909090910</v>
      </c>
      <c r="E22" s="469">
        <v>61.555245388953502717146844890</v>
      </c>
      <c r="F22" s="470">
        <v>55.288253645891245898210131490</v>
      </c>
      <c r="G22" s="468">
        <v>5.3689064558629776021080368900</v>
      </c>
      <c r="H22" s="469">
        <v>5.8894104666234679649138507700</v>
      </c>
      <c r="I22" s="470">
        <v>8.768586035756044698032151470</v>
      </c>
      <c r="J22" s="468">
        <v>0</v>
      </c>
      <c r="K22" s="469">
        <v>0.036223356164226864966107900</v>
      </c>
      <c r="L22" s="470">
        <v>6.7789847832576478229852669600</v>
      </c>
      <c r="M22" s="468">
        <v>83.77799736495388669301712780</v>
      </c>
      <c r="N22" s="469">
        <v>67.480879211741197547026803550</v>
      </c>
      <c r="O22" s="470">
        <v>70.835824464904938419227549920</v>
      </c>
      <c r="P22" s="184"/>
      <c r="Q22" s="468">
        <v>37.204610951117143934423592350</v>
      </c>
      <c r="R22" s="469">
        <v>8.323190531212456403188241540</v>
      </c>
      <c r="S22" s="470">
        <v>55.005453148146151795222155260</v>
      </c>
      <c r="T22" s="468">
        <v>209.00473932969771568488247674</v>
      </c>
      <c r="U22" s="469">
        <v>758.03883110366958892801882627</v>
      </c>
      <c r="V22" s="470">
        <v>324.43022373350494400146419406</v>
      </c>
      <c r="W22" s="468">
        <v>0</v>
      </c>
      <c r="X22" s="469">
        <v>0</v>
      </c>
      <c r="Y22" s="470">
        <v>78.266984034995412189998166140</v>
      </c>
      <c r="Z22" s="468">
        <v>42.273807859057565122229685470</v>
      </c>
      <c r="AA22" s="469">
        <v>17.333712187037057035376605830</v>
      </c>
      <c r="AB22" s="470">
        <v>70.535591362850255651020382920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204.98656132686171659933021462</v>
      </c>
      <c r="E25" s="455">
        <v>219.01245550662526119235801048</v>
      </c>
      <c r="F25" s="456">
        <v>192.25692358155424949300212438</v>
      </c>
      <c r="G25" s="454">
        <v>293.33056750347834006604056227</v>
      </c>
      <c r="H25" s="455">
        <v>246.9376345365257244622149071</v>
      </c>
      <c r="I25" s="456">
        <v>191.75237681013109995551103787</v>
      </c>
      <c r="J25" s="454">
        <v>0</v>
      </c>
      <c r="K25" s="455">
        <v>0</v>
      </c>
      <c r="L25" s="456">
        <v>112.40243118409896702121304198</v>
      </c>
      <c r="M25" s="454">
        <v>208.15913613430927490062091771</v>
      </c>
      <c r="N25" s="455">
        <v>221.56704587527983272018348443</v>
      </c>
      <c r="O25" s="456">
        <v>184.26617279456951287197719064</v>
      </c>
      <c r="P25" s="5"/>
      <c r="Q25" s="427">
        <v>65.346722685564809152836381960</v>
      </c>
      <c r="R25" s="428">
        <v>70.910373274749983415138850670</v>
      </c>
      <c r="S25" s="429">
        <v>52.946390003132941188251191840</v>
      </c>
      <c r="T25" s="427">
        <v>61.516172684172509610121691260</v>
      </c>
      <c r="U25" s="428">
        <v>39.691922702718589898806277480</v>
      </c>
      <c r="V25" s="429">
        <v>74.176874800226844297079744050</v>
      </c>
      <c r="W25" s="427">
        <v>0</v>
      </c>
      <c r="X25" s="428">
        <v>0</v>
      </c>
      <c r="Y25" s="429">
        <v>19.543804734821796850946529320</v>
      </c>
      <c r="Z25" s="427">
        <v>65.640839247512875858020635800</v>
      </c>
      <c r="AA25" s="428">
        <v>71.609618525898816434996537280</v>
      </c>
      <c r="AB25" s="429">
        <v>51.221101609317812648898831740</v>
      </c>
    </row>
    <row r="26" ht="18" customHeight="1">
      <c r="A26" s="58"/>
      <c r="B26" s="1043" t="s">
        <v>46</v>
      </c>
      <c r="C26" s="1043"/>
      <c r="D26" s="439">
        <v>197.17549168700549786745960963</v>
      </c>
      <c r="E26" s="95">
        <v>218.76034260489209753329679007</v>
      </c>
      <c r="F26" s="440">
        <v>190.71235511548403853870132051</v>
      </c>
      <c r="G26" s="439">
        <v>296.29286772239453185236889789</v>
      </c>
      <c r="H26" s="95">
        <v>243.42117799521288193271418679</v>
      </c>
      <c r="I26" s="440">
        <v>192.09719828180206701148552771</v>
      </c>
      <c r="J26" s="439">
        <v>0</v>
      </c>
      <c r="K26" s="95">
        <v>0</v>
      </c>
      <c r="L26" s="440">
        <v>112.30635541549705956793929905</v>
      </c>
      <c r="M26" s="439">
        <v>202.85015062032929752308418719</v>
      </c>
      <c r="N26" s="95">
        <v>220.56831022354880577500698165</v>
      </c>
      <c r="O26" s="440">
        <v>183.074599845328967974148843</v>
      </c>
      <c r="P26" s="5"/>
      <c r="Q26" s="420">
        <v>46.698537573146260677979579220</v>
      </c>
      <c r="R26" s="91">
        <v>64.066184750448086862174274760</v>
      </c>
      <c r="S26" s="421">
        <v>47.664750003473359426445048430</v>
      </c>
      <c r="T26" s="420">
        <v>35.941077380067297887354187220</v>
      </c>
      <c r="U26" s="91">
        <v>47.789497060455470969794363230</v>
      </c>
      <c r="V26" s="421">
        <v>81.88330442964614944547371370</v>
      </c>
      <c r="W26" s="420">
        <v>0</v>
      </c>
      <c r="X26" s="91">
        <v>0</v>
      </c>
      <c r="Y26" s="421">
        <v>21.364557714029441937315648040</v>
      </c>
      <c r="Z26" s="420">
        <v>48.694703824318038251341035710</v>
      </c>
      <c r="AA26" s="91">
        <v>64.627659619986019476341311490</v>
      </c>
      <c r="AB26" s="421">
        <v>47.682423827977383726814888230</v>
      </c>
    </row>
    <row r="27" ht="18" customHeight="1">
      <c r="A27" s="58"/>
      <c r="B27" s="1043" t="s">
        <v>47</v>
      </c>
      <c r="C27" s="1043"/>
      <c r="D27" s="439">
        <v>208.26828689134707698716482172</v>
      </c>
      <c r="E27" s="95">
        <v>236.99440500303821430292910395</v>
      </c>
      <c r="F27" s="440">
        <v>200.51050890543979454112097278</v>
      </c>
      <c r="G27" s="439">
        <v>235.59999656392873510552457698</v>
      </c>
      <c r="H27" s="95">
        <v>252.36643189210474250631030842</v>
      </c>
      <c r="I27" s="440">
        <v>195.8483681463233353278944103</v>
      </c>
      <c r="J27" s="439">
        <v>0</v>
      </c>
      <c r="K27" s="95">
        <v>0</v>
      </c>
      <c r="L27" s="440">
        <v>111.28551009578525452331118565</v>
      </c>
      <c r="M27" s="439">
        <v>210.91465692161253575152963149</v>
      </c>
      <c r="N27" s="95">
        <v>238.52727687557704327251052612</v>
      </c>
      <c r="O27" s="440">
        <v>191.00792223852302967421004613</v>
      </c>
      <c r="P27" s="93"/>
      <c r="Q27" s="420">
        <v>63.257308471935067599003196970</v>
      </c>
      <c r="R27" s="91">
        <v>68.946244952002200527312690410</v>
      </c>
      <c r="S27" s="421">
        <v>50.453890268865088854975141940</v>
      </c>
      <c r="T27" s="420">
        <v>24.303758021372432509489778620</v>
      </c>
      <c r="U27" s="91">
        <v>53.829811591138526584646722650</v>
      </c>
      <c r="V27" s="421">
        <v>78.954814231477903269096327600</v>
      </c>
      <c r="W27" s="420">
        <v>0</v>
      </c>
      <c r="X27" s="91">
        <v>0</v>
      </c>
      <c r="Y27" s="421">
        <v>21.099735950576991372955358380</v>
      </c>
      <c r="Z27" s="420">
        <v>61.671926193110530410169998760</v>
      </c>
      <c r="AA27" s="91">
        <v>69.554430246934113123973614580</v>
      </c>
      <c r="AB27" s="421">
        <v>49.783891746588745655438851960</v>
      </c>
    </row>
    <row r="28" ht="18" customHeight="1">
      <c r="A28" s="58"/>
      <c r="B28" s="1043" t="s">
        <v>48</v>
      </c>
      <c r="C28" s="1043"/>
      <c r="D28" s="439">
        <v>226.22694428469753328303828162</v>
      </c>
      <c r="E28" s="95">
        <v>258.34911749480880385719038257</v>
      </c>
      <c r="F28" s="440">
        <v>211.43755099813826877555514688</v>
      </c>
      <c r="G28" s="439">
        <v>234.55114951147067590291256356</v>
      </c>
      <c r="H28" s="95">
        <v>215.30038030485401476767826555</v>
      </c>
      <c r="I28" s="440">
        <v>205.60423652579368569088867255</v>
      </c>
      <c r="J28" s="439">
        <v>0</v>
      </c>
      <c r="K28" s="95">
        <v>0</v>
      </c>
      <c r="L28" s="440">
        <v>112.23011362058821085208406987</v>
      </c>
      <c r="M28" s="439">
        <v>227.00241609621642866538464849</v>
      </c>
      <c r="N28" s="95">
        <v>253.97723549089350162429573893</v>
      </c>
      <c r="O28" s="440">
        <v>201.03263628154787018457443704</v>
      </c>
      <c r="P28" s="5"/>
      <c r="Q28" s="420">
        <v>63.112541344997052649681653970</v>
      </c>
      <c r="R28" s="91">
        <v>72.787138724403460084843830790</v>
      </c>
      <c r="S28" s="421">
        <v>51.992332052190276869742191530</v>
      </c>
      <c r="T28" s="420">
        <v>1.1086150632409123181011754500</v>
      </c>
      <c r="U28" s="91">
        <v>32.017669468587774282732953490</v>
      </c>
      <c r="V28" s="421">
        <v>83.70266665340430942529259044</v>
      </c>
      <c r="W28" s="420">
        <v>0</v>
      </c>
      <c r="X28" s="91">
        <v>0</v>
      </c>
      <c r="Y28" s="421">
        <v>18.308781300391910093662517990</v>
      </c>
      <c r="Z28" s="420">
        <v>60.488676121320261219450283140</v>
      </c>
      <c r="AA28" s="91">
        <v>69.680639259176189674360682210</v>
      </c>
      <c r="AB28" s="421">
        <v>50.644360624202601335589928660</v>
      </c>
    </row>
    <row r="29" ht="18" customHeight="1">
      <c r="A29" s="58"/>
      <c r="B29" s="1043" t="s">
        <v>49</v>
      </c>
      <c r="C29" s="1043"/>
      <c r="D29" s="439">
        <v>257.2166879794166833241347638</v>
      </c>
      <c r="E29" s="95">
        <v>285.43507622073157216650418706</v>
      </c>
      <c r="F29" s="440">
        <v>229.58588585840305640997506746</v>
      </c>
      <c r="G29" s="439">
        <v>304.07579596939294943479796541</v>
      </c>
      <c r="H29" s="95">
        <v>227.63953517767672297654192337</v>
      </c>
      <c r="I29" s="440">
        <v>207.54888034875011547141752695</v>
      </c>
      <c r="J29" s="439">
        <v>0</v>
      </c>
      <c r="K29" s="95">
        <v>0</v>
      </c>
      <c r="L29" s="440">
        <v>113.57455176731599303806545624</v>
      </c>
      <c r="M29" s="439">
        <v>259.58772140633958360669828132</v>
      </c>
      <c r="N29" s="95">
        <v>279.58398615323600162900479279</v>
      </c>
      <c r="O29" s="440">
        <v>216.08174566447111830210284451</v>
      </c>
      <c r="P29" s="93"/>
      <c r="Q29" s="420">
        <v>73.529361389029505720821244170</v>
      </c>
      <c r="R29" s="91">
        <v>81.59106514786974201831551593</v>
      </c>
      <c r="S29" s="421">
        <v>55.446492115013672313319823100</v>
      </c>
      <c r="T29" s="420">
        <v>53.913241034252721084394736460</v>
      </c>
      <c r="U29" s="91">
        <v>17.641728293307434309324656440</v>
      </c>
      <c r="V29" s="421">
        <v>67.093645923692667681834182390</v>
      </c>
      <c r="W29" s="420">
        <v>0</v>
      </c>
      <c r="X29" s="91">
        <v>0</v>
      </c>
      <c r="Y29" s="421">
        <v>19.816009847078988756233896250</v>
      </c>
      <c r="Z29" s="420">
        <v>72.931626985701979712349220720</v>
      </c>
      <c r="AA29" s="91">
        <v>77.388286088467885591532179260</v>
      </c>
      <c r="AB29" s="421">
        <v>52.501822958899453556282850670</v>
      </c>
    </row>
    <row r="30" ht="18" customHeight="1">
      <c r="A30" s="58"/>
      <c r="B30" s="1044" t="s">
        <v>75</v>
      </c>
      <c r="C30" s="1044"/>
      <c r="D30" s="457">
        <v>219.69138413950266732058952727</v>
      </c>
      <c r="E30" s="458">
        <v>244.36284747546825602122338065</v>
      </c>
      <c r="F30" s="459">
        <v>205.36174830284094453445454992</v>
      </c>
      <c r="G30" s="457">
        <v>263.28390743638961871309167151</v>
      </c>
      <c r="H30" s="458">
        <v>236.15798124740352513924373593</v>
      </c>
      <c r="I30" s="459">
        <v>199.9316016324125564119549952</v>
      </c>
      <c r="J30" s="457">
        <v>0</v>
      </c>
      <c r="K30" s="458">
        <v>0</v>
      </c>
      <c r="L30" s="459">
        <v>112.36290489559540956198689717</v>
      </c>
      <c r="M30" s="457">
        <v>222.56188098042403191769869372</v>
      </c>
      <c r="N30" s="458">
        <v>243.55636159644288075926864517</v>
      </c>
      <c r="O30" s="459">
        <v>195.70365621350744963911775657</v>
      </c>
      <c r="P30" s="5"/>
      <c r="Q30" s="430">
        <v>62.799805014750195172651767040</v>
      </c>
      <c r="R30" s="431">
        <v>72.366857384682417144165059520</v>
      </c>
      <c r="S30" s="432">
        <v>51.597857647157975903707815960</v>
      </c>
      <c r="T30" s="430">
        <v>31.380690294057115326760195050</v>
      </c>
      <c r="U30" s="431">
        <v>36.787020839975580504136250430</v>
      </c>
      <c r="V30" s="432">
        <v>77.705289384871549301226645290</v>
      </c>
      <c r="W30" s="430">
        <v>0</v>
      </c>
      <c r="X30" s="431">
        <v>0</v>
      </c>
      <c r="Y30" s="432">
        <v>19.990727261195094975928108660</v>
      </c>
      <c r="Z30" s="430">
        <v>62.28771494432774474807104300</v>
      </c>
      <c r="AA30" s="431">
        <v>71.195961492139320820750426140</v>
      </c>
      <c r="AB30" s="432">
        <v>50.400499286170350133898117270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352.31590875182986759723121188</v>
      </c>
      <c r="E32" s="494">
        <v>343.3775429332383674627392801</v>
      </c>
      <c r="F32" s="495">
        <v>261.20731107280951003426262957</v>
      </c>
      <c r="G32" s="493">
        <v>341.2471850310881836003632083</v>
      </c>
      <c r="H32" s="494">
        <v>246.4752020633428945093411341</v>
      </c>
      <c r="I32" s="495">
        <v>199.23990736655784703017986487</v>
      </c>
      <c r="J32" s="493">
        <v>0</v>
      </c>
      <c r="K32" s="494">
        <v>0</v>
      </c>
      <c r="L32" s="495">
        <v>113.05195965623436818231900367</v>
      </c>
      <c r="M32" s="493">
        <v>351.59664150643871123642390477</v>
      </c>
      <c r="N32" s="494">
        <v>334.17117141984620457645478762</v>
      </c>
      <c r="O32" s="495">
        <v>239.91605818072599087287432557</v>
      </c>
      <c r="P32" s="93"/>
      <c r="Q32" s="479">
        <v>144.22913973067218244521577916</v>
      </c>
      <c r="R32" s="480">
        <v>125.99139807215541240420924409</v>
      </c>
      <c r="S32" s="481">
        <v>95.59844206445691651897507454</v>
      </c>
      <c r="T32" s="479">
        <v>100.24632203742456527417974203</v>
      </c>
      <c r="U32" s="480">
        <v>3.0793607609188523820197971500</v>
      </c>
      <c r="V32" s="481">
        <v>57.859032018915507997518666810</v>
      </c>
      <c r="W32" s="479">
        <v>0</v>
      </c>
      <c r="X32" s="480">
        <v>0</v>
      </c>
      <c r="Y32" s="481">
        <v>22.286737388091294763426600450</v>
      </c>
      <c r="Z32" s="479">
        <v>142.55920462620997415762107966</v>
      </c>
      <c r="AA32" s="480">
        <v>118.58266445680700318204197198</v>
      </c>
      <c r="AB32" s="481">
        <v>84.59270593791826302848682652</v>
      </c>
    </row>
    <row r="33" ht="18" customHeight="1">
      <c r="A33" s="58"/>
      <c r="B33" s="1046" t="s">
        <v>51</v>
      </c>
      <c r="C33" s="1046"/>
      <c r="D33" s="276">
        <v>316.16167971150550328338816083</v>
      </c>
      <c r="E33" s="94">
        <v>306.10872285801692727549826796</v>
      </c>
      <c r="F33" s="277">
        <v>237.50101822811688358830651709</v>
      </c>
      <c r="G33" s="276">
        <v>286.55897764919029368648234179</v>
      </c>
      <c r="H33" s="94">
        <v>250.94301376456424360383073489</v>
      </c>
      <c r="I33" s="277">
        <v>192.98868599252772145477660995</v>
      </c>
      <c r="J33" s="276">
        <v>0</v>
      </c>
      <c r="K33" s="94">
        <v>0</v>
      </c>
      <c r="L33" s="277">
        <v>111.23056007615888246146018308</v>
      </c>
      <c r="M33" s="276">
        <v>314.57615376613890415563958198</v>
      </c>
      <c r="N33" s="94">
        <v>300.66787350977345945305480393</v>
      </c>
      <c r="O33" s="277">
        <v>221.44110579885517356697405585</v>
      </c>
      <c r="P33" s="5"/>
      <c r="Q33" s="271">
        <v>118.45571806018812429829497621</v>
      </c>
      <c r="R33" s="92">
        <v>94.77620316759160807620143710</v>
      </c>
      <c r="S33" s="272">
        <v>73.976215288756539640151239830</v>
      </c>
      <c r="T33" s="271">
        <v>66.035096227844642701000262220</v>
      </c>
      <c r="U33" s="92">
        <v>15.882154771421017331474037830</v>
      </c>
      <c r="V33" s="272">
        <v>57.975546813844783684581632850</v>
      </c>
      <c r="W33" s="271">
        <v>0</v>
      </c>
      <c r="X33" s="92">
        <v>0</v>
      </c>
      <c r="Y33" s="272">
        <v>15.828326442905587872898857470</v>
      </c>
      <c r="Z33" s="271">
        <v>116.51950446642493155111443241</v>
      </c>
      <c r="AA33" s="92">
        <v>90.56991971281146070211832849</v>
      </c>
      <c r="AB33" s="272">
        <v>66.728188350453027833375039250</v>
      </c>
    </row>
    <row r="34" ht="18" customHeight="1">
      <c r="A34" s="58"/>
      <c r="B34" s="1047" t="s">
        <v>76</v>
      </c>
      <c r="C34" s="1047"/>
      <c r="D34" s="443">
        <v>334.54638911224636131470756577</v>
      </c>
      <c r="E34" s="444">
        <v>325.10958971608486243116952814</v>
      </c>
      <c r="F34" s="445">
        <v>249.55348698382373877685199113</v>
      </c>
      <c r="G34" s="443">
        <v>317.1617050960554341564260391</v>
      </c>
      <c r="H34" s="444">
        <v>248.69630091890502301086053432</v>
      </c>
      <c r="I34" s="445">
        <v>196.46876992607374875209005838</v>
      </c>
      <c r="J34" s="443">
        <v>0</v>
      </c>
      <c r="K34" s="444">
        <v>0</v>
      </c>
      <c r="L34" s="445">
        <v>112.160005186302364031257756</v>
      </c>
      <c r="M34" s="633">
        <v>333.51368858435320990148862616</v>
      </c>
      <c r="N34" s="634">
        <v>317.72524301047627478180078138</v>
      </c>
      <c r="O34" s="635">
        <v>230.96256752445466403533542314</v>
      </c>
      <c r="P34" s="93"/>
      <c r="Q34" s="273">
        <v>131.51456637005043166423362371</v>
      </c>
      <c r="R34" s="274">
        <v>110.17526079406600671238542169</v>
      </c>
      <c r="S34" s="275">
        <v>84.72162361813867665236701313</v>
      </c>
      <c r="T34" s="273">
        <v>84.93226202632932851890287354</v>
      </c>
      <c r="U34" s="274">
        <v>9.325593078780553984941357500</v>
      </c>
      <c r="V34" s="275">
        <v>58.237269046190343066200420350</v>
      </c>
      <c r="W34" s="273">
        <v>0</v>
      </c>
      <c r="X34" s="274">
        <v>0</v>
      </c>
      <c r="Y34" s="275">
        <v>18.979201235333305881602839920</v>
      </c>
      <c r="Z34" s="273">
        <v>129.80501035079551701058528818</v>
      </c>
      <c r="AA34" s="274">
        <v>104.38785701283407873143311622</v>
      </c>
      <c r="AB34" s="275">
        <v>75.698954879858859711290936280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256.51837849191346355807603445</v>
      </c>
      <c r="E36" s="483">
        <v>270.12219231079012730027190202</v>
      </c>
      <c r="F36" s="484">
        <v>220.64071224825442033680840711</v>
      </c>
      <c r="G36" s="482">
        <v>279.53834355828220858895705521</v>
      </c>
      <c r="H36" s="483">
        <v>243.91869414999669406696077562</v>
      </c>
      <c r="I36" s="484">
        <v>199.33583865758153487417496831</v>
      </c>
      <c r="J36" s="482">
        <v>0</v>
      </c>
      <c r="K36" s="483">
        <v>128.87105999607170523627129154</v>
      </c>
      <c r="L36" s="484">
        <v>110.6692289051344787011773775</v>
      </c>
      <c r="M36" s="482">
        <v>257.99361116571653233733045017</v>
      </c>
      <c r="N36" s="483">
        <v>267.75945269821820595292796244</v>
      </c>
      <c r="O36" s="484">
        <v>207.47917094794938789889322726</v>
      </c>
      <c r="P36" s="93"/>
      <c r="Q36" s="468">
        <v>85.11803305407135998550117919</v>
      </c>
      <c r="R36" s="469">
        <v>84.49464215884701905397173642</v>
      </c>
      <c r="S36" s="470">
        <v>63.043621191444104486448221900</v>
      </c>
      <c r="T36" s="468">
        <v>45.841284006613330333036140700</v>
      </c>
      <c r="U36" s="469">
        <v>23.773336631542908124404574770</v>
      </c>
      <c r="V36" s="470">
        <v>72.386184874200788859101912870</v>
      </c>
      <c r="W36" s="468">
        <v>0</v>
      </c>
      <c r="X36" s="469">
        <v>0</v>
      </c>
      <c r="Y36" s="470">
        <v>17.527914010949102094038629570</v>
      </c>
      <c r="Z36" s="468">
        <v>84.10093735740892845007746608</v>
      </c>
      <c r="AA36" s="469">
        <v>82.12882871332022514184467911</v>
      </c>
      <c r="AB36" s="470">
        <v>58.892474193110913620796472690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166.76062914469636152253203955</v>
      </c>
      <c r="E39" s="455">
        <v>135.23077985384090551496931905</v>
      </c>
      <c r="F39" s="456">
        <v>102.90579288861932952378866282</v>
      </c>
      <c r="G39" s="454">
        <v>8.888805075862980002001229167</v>
      </c>
      <c r="H39" s="455">
        <v>15.352699453081570093347507344</v>
      </c>
      <c r="I39" s="456">
        <v>11.35145004231094619444318878</v>
      </c>
      <c r="J39" s="454">
        <v>0</v>
      </c>
      <c r="K39" s="455">
        <v>0</v>
      </c>
      <c r="L39" s="456">
        <v>7.3829391466592842419308707182</v>
      </c>
      <c r="M39" s="454">
        <v>175.64943422055934152453326856</v>
      </c>
      <c r="N39" s="455">
        <v>150.58347930692247560831682625</v>
      </c>
      <c r="O39" s="456">
        <v>121.6401820775895599601627222</v>
      </c>
      <c r="P39" s="5"/>
      <c r="Q39" s="427">
        <v>133.15558067585669056186753600</v>
      </c>
      <c r="R39" s="428">
        <v>76.793405559513549215865754150</v>
      </c>
      <c r="S39" s="429">
        <v>135.02436015217453921290791678</v>
      </c>
      <c r="T39" s="427">
        <v>179.96136598293924624090246106</v>
      </c>
      <c r="U39" s="428">
        <v>617.53923012103097371828873674</v>
      </c>
      <c r="V39" s="429">
        <v>356.63174552006046712057426071</v>
      </c>
      <c r="W39" s="427">
        <v>0</v>
      </c>
      <c r="X39" s="428">
        <v>0</v>
      </c>
      <c r="Y39" s="429">
        <v>102.39985082022995860107485306</v>
      </c>
      <c r="Z39" s="427">
        <v>135.14503453941719797908430213</v>
      </c>
      <c r="AA39" s="428">
        <v>91.50776397839806415133308413</v>
      </c>
      <c r="AB39" s="429">
        <v>143.67624398531479080431376007</v>
      </c>
    </row>
    <row r="40" ht="18" customHeight="1">
      <c r="A40" s="58"/>
      <c r="B40" s="1043" t="s">
        <v>46</v>
      </c>
      <c r="C40" s="1043"/>
      <c r="D40" s="439">
        <v>141.90660386564789619248987069</v>
      </c>
      <c r="E40" s="95">
        <v>121.3675873698480965346865406</v>
      </c>
      <c r="F40" s="440">
        <v>95.29741263260134730501097277</v>
      </c>
      <c r="G40" s="439">
        <v>12.949863099755005762778360933</v>
      </c>
      <c r="H40" s="95">
        <v>11.543439990264270519544778587</v>
      </c>
      <c r="I40" s="440">
        <v>12.248252637436436395879447746</v>
      </c>
      <c r="J40" s="439">
        <v>0</v>
      </c>
      <c r="K40" s="95">
        <v>0</v>
      </c>
      <c r="L40" s="440">
        <v>6.9696279398114281855506990633</v>
      </c>
      <c r="M40" s="439">
        <v>154.85646696540290195526823148</v>
      </c>
      <c r="N40" s="95">
        <v>132.91102736011236705423131907</v>
      </c>
      <c r="O40" s="440">
        <v>114.51529320984921188644111947</v>
      </c>
      <c r="P40" s="5"/>
      <c r="Q40" s="420">
        <v>135.28921286061042827822549655</v>
      </c>
      <c r="R40" s="91">
        <v>96.20189667503690893135874920</v>
      </c>
      <c r="S40" s="421">
        <v>151.70268235876621118266480599</v>
      </c>
      <c r="T40" s="420">
        <v>436.60951597686538526641005794</v>
      </c>
      <c r="U40" s="91">
        <v>621.40825738573636107093680769</v>
      </c>
      <c r="V40" s="421">
        <v>470.95766241995021096795184138</v>
      </c>
      <c r="W40" s="420">
        <v>0</v>
      </c>
      <c r="X40" s="91">
        <v>0</v>
      </c>
      <c r="Y40" s="421">
        <v>106.45513639536446951958047200</v>
      </c>
      <c r="Z40" s="420">
        <v>146.88220787036938462567907495</v>
      </c>
      <c r="AA40" s="91">
        <v>109.44510847055334688641187402</v>
      </c>
      <c r="AB40" s="421">
        <v>163.96856075915589120669773570</v>
      </c>
    </row>
    <row r="41" ht="18" customHeight="1">
      <c r="A41" s="58"/>
      <c r="B41" s="1043" t="s">
        <v>47</v>
      </c>
      <c r="C41" s="1043"/>
      <c r="D41" s="439">
        <v>141.51563083642814205538122514</v>
      </c>
      <c r="E41" s="95">
        <v>128.13241328641649158033531355</v>
      </c>
      <c r="F41" s="440">
        <v>100.55495328822366355440169326</v>
      </c>
      <c r="G41" s="439">
        <v>17.162004411708095505938561858</v>
      </c>
      <c r="H41" s="95">
        <v>14.582675693875124704131547764</v>
      </c>
      <c r="I41" s="440">
        <v>15.220181039820876389457039471</v>
      </c>
      <c r="J41" s="439">
        <v>0</v>
      </c>
      <c r="K41" s="95">
        <v>0</v>
      </c>
      <c r="L41" s="440">
        <v>7.1724130027057577649246357916</v>
      </c>
      <c r="M41" s="439">
        <v>158.67763524813623756131978686</v>
      </c>
      <c r="N41" s="95">
        <v>142.71508898029161628446686117</v>
      </c>
      <c r="O41" s="440">
        <v>122.94754733075029770878336839</v>
      </c>
      <c r="P41" s="93"/>
      <c r="Q41" s="420">
        <v>165.86315876824308480497235686</v>
      </c>
      <c r="R41" s="91">
        <v>104.90711593452885287363563466</v>
      </c>
      <c r="S41" s="421">
        <v>159.25249490597052087396989471</v>
      </c>
      <c r="T41" s="420">
        <v>343.94199292807238960671471892</v>
      </c>
      <c r="U41" s="91">
        <v>1062.7741919707707530954241705</v>
      </c>
      <c r="V41" s="421">
        <v>761.83574808446964044293275832</v>
      </c>
      <c r="W41" s="420">
        <v>0</v>
      </c>
      <c r="X41" s="91">
        <v>0</v>
      </c>
      <c r="Y41" s="421">
        <v>101.12965241209634557084866968</v>
      </c>
      <c r="Z41" s="420">
        <v>177.92071466764011373537030890</v>
      </c>
      <c r="AA41" s="91">
        <v>123.74018881809899318518120331</v>
      </c>
      <c r="AB41" s="421">
        <v>178.67523214225204060167446842</v>
      </c>
    </row>
    <row r="42" ht="18" customHeight="1">
      <c r="A42" s="58"/>
      <c r="B42" s="1043" t="s">
        <v>48</v>
      </c>
      <c r="C42" s="1043"/>
      <c r="D42" s="439">
        <v>164.26501898527571472649516267</v>
      </c>
      <c r="E42" s="95">
        <v>149.06331501925272079191540679</v>
      </c>
      <c r="F42" s="440">
        <v>110.73346221665023360721271319</v>
      </c>
      <c r="G42" s="439">
        <v>17.495656840016460673410727367</v>
      </c>
      <c r="H42" s="95">
        <v>14.041899727306704608156512518</v>
      </c>
      <c r="I42" s="440">
        <v>19.034452493419857122295040345</v>
      </c>
      <c r="J42" s="439">
        <v>0</v>
      </c>
      <c r="K42" s="95">
        <v>0</v>
      </c>
      <c r="L42" s="440">
        <v>7.4170417899716360063303014452</v>
      </c>
      <c r="M42" s="439">
        <v>181.76067582529217539990588988</v>
      </c>
      <c r="N42" s="95">
        <v>163.10521474655942540007191914</v>
      </c>
      <c r="O42" s="440">
        <v>137.18495650004172673583805484</v>
      </c>
      <c r="P42" s="5"/>
      <c r="Q42" s="420">
        <v>168.47850266273598534460387144</v>
      </c>
      <c r="R42" s="91">
        <v>114.59977378501816000657248278</v>
      </c>
      <c r="S42" s="421">
        <v>150.76878869262974721711644707</v>
      </c>
      <c r="T42" s="420">
        <v>462.69142296456823701917293984</v>
      </c>
      <c r="U42" s="91">
        <v>1444.6694986658241715369483798</v>
      </c>
      <c r="V42" s="421">
        <v>958.9736367525439203253274575</v>
      </c>
      <c r="W42" s="420">
        <v>0</v>
      </c>
      <c r="X42" s="91">
        <v>0</v>
      </c>
      <c r="Y42" s="421">
        <v>108.46832142559849325913588158</v>
      </c>
      <c r="Z42" s="420">
        <v>182.70697562905494742635806559</v>
      </c>
      <c r="AA42" s="91">
        <v>131.78187743420826432332498722</v>
      </c>
      <c r="AB42" s="421">
        <v>177.06905499219965873979372102</v>
      </c>
    </row>
    <row r="43" ht="18" customHeight="1">
      <c r="A43" s="58"/>
      <c r="B43" s="1043" t="s">
        <v>49</v>
      </c>
      <c r="C43" s="1043"/>
      <c r="D43" s="439">
        <v>213.74766728359451656189753701</v>
      </c>
      <c r="E43" s="95">
        <v>179.09720069585583346836487288</v>
      </c>
      <c r="F43" s="440">
        <v>128.75680085871421881574517635</v>
      </c>
      <c r="G43" s="439">
        <v>13.467226394914839252357019459</v>
      </c>
      <c r="H43" s="95">
        <v>15.790185970510551673004066138</v>
      </c>
      <c r="I43" s="440">
        <v>21.140704945612623172862863858</v>
      </c>
      <c r="J43" s="439">
        <v>0</v>
      </c>
      <c r="K43" s="95">
        <v>0</v>
      </c>
      <c r="L43" s="440">
        <v>7.4170965291066285614314401357</v>
      </c>
      <c r="M43" s="439">
        <v>227.21489367850935581425455626</v>
      </c>
      <c r="N43" s="95">
        <v>194.88738666636638514136893883</v>
      </c>
      <c r="O43" s="440">
        <v>157.31460233343347055003948018</v>
      </c>
      <c r="P43" s="93"/>
      <c r="Q43" s="420">
        <v>157.97454544425527356554134990</v>
      </c>
      <c r="R43" s="91">
        <v>107.67163856242564227943886159</v>
      </c>
      <c r="S43" s="421">
        <v>142.02132260174567940758438974</v>
      </c>
      <c r="T43" s="420">
        <v>207.24894645493295500591072513</v>
      </c>
      <c r="U43" s="91">
        <v>1154.0747998626618003244510573</v>
      </c>
      <c r="V43" s="421">
        <v>744.33290758907874510429195494</v>
      </c>
      <c r="W43" s="420">
        <v>0</v>
      </c>
      <c r="X43" s="91">
        <v>0</v>
      </c>
      <c r="Y43" s="421">
        <v>102.74789857576740328549336469</v>
      </c>
      <c r="Z43" s="420">
        <v>160.45024009851960307844774860</v>
      </c>
      <c r="AA43" s="91">
        <v>122.72926055205230423955191280</v>
      </c>
      <c r="AB43" s="421">
        <v>165.00570618042429666522803476</v>
      </c>
    </row>
    <row r="44" ht="18" customHeight="1">
      <c r="A44" s="58"/>
      <c r="B44" s="1044" t="s">
        <v>75</v>
      </c>
      <c r="C44" s="1044"/>
      <c r="D44" s="457">
        <v>165.639110023128526211759167</v>
      </c>
      <c r="E44" s="458">
        <v>142.57825924504280957805429065</v>
      </c>
      <c r="F44" s="459">
        <v>107.64968437696175856123184369</v>
      </c>
      <c r="G44" s="457">
        <v>13.992711164451476239297179755</v>
      </c>
      <c r="H44" s="458">
        <v>14.262180167007644319636882476</v>
      </c>
      <c r="I44" s="459">
        <v>15.799008231720147854987516044</v>
      </c>
      <c r="J44" s="457">
        <v>0</v>
      </c>
      <c r="K44" s="458">
        <v>0</v>
      </c>
      <c r="L44" s="459">
        <v>7.2718236816509469520335894314</v>
      </c>
      <c r="M44" s="457">
        <v>179.63182118758000245105634662</v>
      </c>
      <c r="N44" s="458">
        <v>156.84043941205045389769117289</v>
      </c>
      <c r="O44" s="459">
        <v>130.72051629033285336825294902</v>
      </c>
      <c r="P44" s="5"/>
      <c r="Q44" s="430">
        <v>150.66907551770957576006371976</v>
      </c>
      <c r="R44" s="431">
        <v>99.29109755011980610600923943</v>
      </c>
      <c r="S44" s="432">
        <v>146.34161496644662962211311809</v>
      </c>
      <c r="T44" s="430">
        <v>311.02216789061338662348038724</v>
      </c>
      <c r="U44" s="431">
        <v>897.5055507349415008461958164</v>
      </c>
      <c r="V44" s="432">
        <v>636.54545516578352969281346704</v>
      </c>
      <c r="W44" s="430">
        <v>0</v>
      </c>
      <c r="X44" s="431">
        <v>0</v>
      </c>
      <c r="Y44" s="432">
        <v>104.11689896368611921560290384</v>
      </c>
      <c r="Z44" s="430">
        <v>158.52567047278367002204548245</v>
      </c>
      <c r="AA44" s="431">
        <v>114.93088945016136224086213347</v>
      </c>
      <c r="AB44" s="432">
        <v>164.57924613553333326414200952</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296.26565054131147957039897388</v>
      </c>
      <c r="E46" s="494">
        <v>228.74992530700790044353867619</v>
      </c>
      <c r="F46" s="495">
        <v>160.53221909050990847461951275</v>
      </c>
      <c r="G46" s="493">
        <v>19.943017307011647093527719983</v>
      </c>
      <c r="H46" s="494">
        <v>17.131058871054169937597402818</v>
      </c>
      <c r="I46" s="495">
        <v>24.366821830697646193481026016</v>
      </c>
      <c r="J46" s="493">
        <v>0</v>
      </c>
      <c r="K46" s="494">
        <v>0</v>
      </c>
      <c r="L46" s="495">
        <v>7.2292924783162801675835942448</v>
      </c>
      <c r="M46" s="493">
        <v>316.20866784832312666392669358</v>
      </c>
      <c r="N46" s="494">
        <v>245.88098417806207038113607873</v>
      </c>
      <c r="O46" s="495">
        <v>192.12833339952383483568413283</v>
      </c>
      <c r="P46" s="93"/>
      <c r="Q46" s="479">
        <v>177.93584276929033649300233283</v>
      </c>
      <c r="R46" s="480">
        <v>118.82035455106582664609496199</v>
      </c>
      <c r="S46" s="481">
        <v>185.10304267742453339836627883</v>
      </c>
      <c r="T46" s="479">
        <v>592.47742892662006954642875245</v>
      </c>
      <c r="U46" s="480">
        <v>857.1396731463028321406357728</v>
      </c>
      <c r="V46" s="481">
        <v>661.13051194706400648609416069</v>
      </c>
      <c r="W46" s="479">
        <v>0</v>
      </c>
      <c r="X46" s="480">
        <v>0</v>
      </c>
      <c r="Y46" s="481">
        <v>107.33656209494325960840710647</v>
      </c>
      <c r="Z46" s="479">
        <v>188.84116926568217336340893523</v>
      </c>
      <c r="AA46" s="480">
        <v>131.24852346998578856269109532</v>
      </c>
      <c r="AB46" s="481">
        <v>204.99040532081514950717679217</v>
      </c>
    </row>
    <row r="47" ht="18" customHeight="1">
      <c r="A47" s="58"/>
      <c r="B47" s="1046" t="s">
        <v>51</v>
      </c>
      <c r="C47" s="1046"/>
      <c r="D47" s="276">
        <v>276.73359144911495683662530186</v>
      </c>
      <c r="E47" s="94">
        <v>211.13777324523464275567099863</v>
      </c>
      <c r="F47" s="277">
        <v>151.99156397906033253194027033</v>
      </c>
      <c r="G47" s="276">
        <v>14.194354953485533195425990136</v>
      </c>
      <c r="H47" s="94">
        <v>18.569110003058697533527399272</v>
      </c>
      <c r="I47" s="277">
        <v>20.239856857465586328308418114</v>
      </c>
      <c r="J47" s="276">
        <v>0</v>
      </c>
      <c r="K47" s="94">
        <v>0</v>
      </c>
      <c r="L47" s="277">
        <v>7.3509834909004090406055189636</v>
      </c>
      <c r="M47" s="276">
        <v>290.92794640260049003205129173</v>
      </c>
      <c r="N47" s="94">
        <v>229.70688324829334028919839768</v>
      </c>
      <c r="O47" s="277">
        <v>179.58240432742632790085420723</v>
      </c>
      <c r="P47" s="5"/>
      <c r="Q47" s="271">
        <v>132.87472571070173766644523996</v>
      </c>
      <c r="R47" s="92">
        <v>76.182378451173912626033521500</v>
      </c>
      <c r="S47" s="272">
        <v>140.61889803292465702735145366</v>
      </c>
      <c r="T47" s="271">
        <v>386.65459239201677463418599955</v>
      </c>
      <c r="U47" s="92">
        <v>976.8445647715581360136110653</v>
      </c>
      <c r="V47" s="272">
        <v>535.45120529614702734241286016</v>
      </c>
      <c r="W47" s="271">
        <v>0</v>
      </c>
      <c r="X47" s="92">
        <v>0</v>
      </c>
      <c r="Y47" s="272">
        <v>96.45394700518498051671472642</v>
      </c>
      <c r="Z47" s="271">
        <v>138.95441835053134025883371371</v>
      </c>
      <c r="AA47" s="92">
        <v>88.95829134771913240143537361</v>
      </c>
      <c r="AB47" s="272">
        <v>156.20269324044564874043629054</v>
      </c>
    </row>
    <row r="48" ht="18" customHeight="1">
      <c r="A48" s="58"/>
      <c r="B48" s="1047" t="s">
        <v>76</v>
      </c>
      <c r="C48" s="1047"/>
      <c r="D48" s="443">
        <v>286.86132579321685751339683552</v>
      </c>
      <c r="E48" s="444">
        <v>220.27000024022818377900979446</v>
      </c>
      <c r="F48" s="445">
        <v>156.42005181462677931703321087</v>
      </c>
      <c r="G48" s="443">
        <v>17.175142840499073735182442647</v>
      </c>
      <c r="H48" s="444">
        <v>17.823453860537831372674808523</v>
      </c>
      <c r="I48" s="445">
        <v>22.379764621363691443583103694</v>
      </c>
      <c r="J48" s="443">
        <v>0</v>
      </c>
      <c r="K48" s="444">
        <v>0</v>
      </c>
      <c r="L48" s="445">
        <v>7.2878844473382681434830394813</v>
      </c>
      <c r="M48" s="443">
        <v>304.03646863371593124857927789</v>
      </c>
      <c r="N48" s="444">
        <v>238.09345410076601515168460268</v>
      </c>
      <c r="O48" s="445">
        <v>186.08770088332873890409935384</v>
      </c>
      <c r="P48" s="93"/>
      <c r="Q48" s="273">
        <v>154.50298683572561688207024917</v>
      </c>
      <c r="R48" s="274">
        <v>96.33811812124227499350293588</v>
      </c>
      <c r="S48" s="275">
        <v>161.84858992161093064819310976</v>
      </c>
      <c r="T48" s="273">
        <v>492.58626490304953855079222884</v>
      </c>
      <c r="U48" s="274">
        <v>914.3623636689922044842494688</v>
      </c>
      <c r="V48" s="275">
        <v>600.84440520585591484407954804</v>
      </c>
      <c r="W48" s="273">
        <v>0</v>
      </c>
      <c r="X48" s="274">
        <v>0</v>
      </c>
      <c r="Y48" s="275">
        <v>101.64088286028036291804230395</v>
      </c>
      <c r="Z48" s="273">
        <v>162.97852074526525965183180363</v>
      </c>
      <c r="AA48" s="274">
        <v>108.95247084662112384629157371</v>
      </c>
      <c r="AB48" s="275">
        <v>179.64451098099966180612115094</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201.13372859025032938076416337</v>
      </c>
      <c r="E50" s="483">
        <v>166.27437832692775290465995847</v>
      </c>
      <c r="F50" s="484">
        <v>121.98839663391593729843328215</v>
      </c>
      <c r="G50" s="482">
        <v>15.008152173913043478260869565</v>
      </c>
      <c r="H50" s="483">
        <v>14.365373103321189957495013317</v>
      </c>
      <c r="I50" s="484">
        <v>17.478934512785893975164130059</v>
      </c>
      <c r="J50" s="482">
        <v>0</v>
      </c>
      <c r="K50" s="483">
        <v>0.0466814230549915414831457611</v>
      </c>
      <c r="L50" s="484">
        <v>7.5022501872276406758278512418</v>
      </c>
      <c r="M50" s="482">
        <v>216.14188076416337285902503294</v>
      </c>
      <c r="N50" s="483">
        <v>180.68643285330393440363811755</v>
      </c>
      <c r="O50" s="484">
        <v>146.96958133392947194942526345</v>
      </c>
      <c r="P50" s="93"/>
      <c r="Q50" s="468">
        <v>153.99047705201816424536066879</v>
      </c>
      <c r="R50" s="469">
        <v>99.85048274556282113246977183</v>
      </c>
      <c r="S50" s="470">
        <v>152.72650385712967700855054027</v>
      </c>
      <c r="T50" s="468">
        <v>350.65647948489181198140726993</v>
      </c>
      <c r="U50" s="469">
        <v>962.0232908693301065698397052</v>
      </c>
      <c r="V50" s="470">
        <v>631.65907012930918073320642691</v>
      </c>
      <c r="W50" s="468">
        <v>0</v>
      </c>
      <c r="X50" s="469">
        <v>0</v>
      </c>
      <c r="Y50" s="470">
        <v>109.51346770583462190315803497</v>
      </c>
      <c r="Z50" s="468">
        <v>161.92741388272703239124683003</v>
      </c>
      <c r="AA50" s="469">
        <v>113.69851569212630121327480823</v>
      </c>
      <c r="AB50" s="470">
        <v>170.96822049652067227723005380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195</v>
      </c>
      <c r="Y1" s="5"/>
      <c r="AB1" s="685"/>
      <c r="AD1" s="236"/>
    </row>
    <row r="2" ht="15" customHeight="1">
      <c r="A2" s="11"/>
      <c r="B2" s="11" t="s">
        <v>208</v>
      </c>
    </row>
    <row r="3" ht="17.1" customHeight="1">
      <c r="A3" s="11"/>
      <c r="B3" s="11" t="s">
        <v>209</v>
      </c>
      <c r="R3" s="1040" t="s">
        <v>303</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84.32400932400932400932400939</v>
      </c>
      <c r="E11" s="428">
        <v>70.385449691306524278324712230</v>
      </c>
      <c r="F11" s="429">
        <v>55.362879043556168494557603510</v>
      </c>
      <c r="G11" s="427">
        <v>1.9376456876456876456876456900</v>
      </c>
      <c r="H11" s="428">
        <v>2.9868179542799933255464708900</v>
      </c>
      <c r="I11" s="429">
        <v>5.1371950109139292816230797500</v>
      </c>
      <c r="J11" s="427">
        <v>0</v>
      </c>
      <c r="K11" s="428">
        <v>0</v>
      </c>
      <c r="L11" s="429">
        <v>5.0988323673878681781871951400</v>
      </c>
      <c r="M11" s="427">
        <v>86.26165501165501165501165501</v>
      </c>
      <c r="N11" s="428">
        <v>73.388953779409310862673118640</v>
      </c>
      <c r="O11" s="429">
        <v>65.600606032647095243760607390</v>
      </c>
      <c r="P11" s="5"/>
      <c r="Q11" s="427">
        <v>86.01644690932228532223213126</v>
      </c>
      <c r="R11" s="428">
        <v>37.204708777446089940279660680</v>
      </c>
      <c r="S11" s="429">
        <v>81.91592812273629949926413894</v>
      </c>
      <c r="T11" s="427">
        <v>-48.039408507538819502789702710</v>
      </c>
      <c r="U11" s="428">
        <v>-30.897956802485955798478505580</v>
      </c>
      <c r="V11" s="429">
        <v>-31.438090940073434273706784860</v>
      </c>
      <c r="W11" s="427">
        <v>0</v>
      </c>
      <c r="X11" s="428">
        <v>0</v>
      </c>
      <c r="Y11" s="429">
        <v>10.843098340980269627424122160</v>
      </c>
      <c r="Z11" s="427">
        <v>71.469196112713583074618603430</v>
      </c>
      <c r="AA11" s="428">
        <v>31.186071009958428822318635680</v>
      </c>
      <c r="AB11" s="429">
        <v>54.259148055549270176840586190</v>
      </c>
    </row>
    <row r="12" ht="18" customHeight="1">
      <c r="A12" s="58"/>
      <c r="B12" s="1043" t="s">
        <v>46</v>
      </c>
      <c r="C12" s="1043"/>
      <c r="D12" s="420">
        <v>75.728438228438228438228438280</v>
      </c>
      <c r="E12" s="91">
        <v>61.595194393459035541465042610</v>
      </c>
      <c r="F12" s="421">
        <v>48.379576280849184996858374610</v>
      </c>
      <c r="G12" s="420">
        <v>2.7534965034965034965034965100</v>
      </c>
      <c r="H12" s="91">
        <v>2.4261638578341398298014350100</v>
      </c>
      <c r="I12" s="421">
        <v>5.0037966361561060341042243400</v>
      </c>
      <c r="J12" s="420">
        <v>0</v>
      </c>
      <c r="K12" s="91">
        <v>0</v>
      </c>
      <c r="L12" s="421">
        <v>4.9099117676313114527409772300</v>
      </c>
      <c r="M12" s="420">
        <v>78.481934731934731934731934730</v>
      </c>
      <c r="N12" s="91">
        <v>64.034707158351409978308026030</v>
      </c>
      <c r="O12" s="421">
        <v>58.294255070874584856637563170</v>
      </c>
      <c r="P12" s="5"/>
      <c r="Q12" s="420">
        <v>96.20232880498771111950358369</v>
      </c>
      <c r="R12" s="91">
        <v>44.253816593059423650496360370</v>
      </c>
      <c r="S12" s="421">
        <v>83.12518214251428592909453859</v>
      </c>
      <c r="T12" s="420">
        <v>-29.532129277618782963462398510</v>
      </c>
      <c r="U12" s="91">
        <v>-55.422054698413085234081698580</v>
      </c>
      <c r="V12" s="421">
        <v>-33.436917495824749037644800080</v>
      </c>
      <c r="W12" s="420">
        <v>0</v>
      </c>
      <c r="X12" s="91">
        <v>0</v>
      </c>
      <c r="Y12" s="421">
        <v>11.976331689428020791250491930</v>
      </c>
      <c r="Z12" s="420">
        <v>82.74848867747492239460314265</v>
      </c>
      <c r="AA12" s="91">
        <v>34.395780469923365087993159190</v>
      </c>
      <c r="AB12" s="421">
        <v>52.121339139403819355558579290</v>
      </c>
    </row>
    <row r="13" ht="18" customHeight="1">
      <c r="A13" s="58"/>
      <c r="B13" s="1043" t="s">
        <v>47</v>
      </c>
      <c r="C13" s="1043"/>
      <c r="D13" s="420">
        <v>71.955128205128205128205128260</v>
      </c>
      <c r="E13" s="91">
        <v>58.338061071249791423327215140</v>
      </c>
      <c r="F13" s="421">
        <v>47.011492301685650749461033170</v>
      </c>
      <c r="G13" s="420">
        <v>3.4090909090909090909090909100</v>
      </c>
      <c r="H13" s="91">
        <v>2.8232938428166193892875020900</v>
      </c>
      <c r="I13" s="421">
        <v>5.3874862681666395869658529100</v>
      </c>
      <c r="J13" s="420">
        <v>0</v>
      </c>
      <c r="K13" s="91">
        <v>0</v>
      </c>
      <c r="L13" s="421">
        <v>4.9543727250020006644631065400</v>
      </c>
      <c r="M13" s="420">
        <v>75.364219114219114219114219110</v>
      </c>
      <c r="N13" s="91">
        <v>61.161354914066410812614717170</v>
      </c>
      <c r="O13" s="421">
        <v>57.355048828338138969791179130</v>
      </c>
      <c r="P13" s="184"/>
      <c r="Q13" s="420">
        <v>114.20349443608694507347675529</v>
      </c>
      <c r="R13" s="91">
        <v>45.484021120101587976078431080</v>
      </c>
      <c r="S13" s="421">
        <v>80.38271822794071570486360890</v>
      </c>
      <c r="T13" s="420">
        <v>-20.517001332876364856134235850</v>
      </c>
      <c r="U13" s="91">
        <v>-56.089003517381895467698777680</v>
      </c>
      <c r="V13" s="421">
        <v>-36.830958713779367104359195180</v>
      </c>
      <c r="W13" s="420">
        <v>0</v>
      </c>
      <c r="X13" s="91">
        <v>0</v>
      </c>
      <c r="Y13" s="421">
        <v>13.816095912689342776070846080</v>
      </c>
      <c r="Z13" s="420">
        <v>96.19610761138876031804067831</v>
      </c>
      <c r="AA13" s="91">
        <v>30.533582818719442602883229320</v>
      </c>
      <c r="AB13" s="421">
        <v>47.282990335951541331857045430</v>
      </c>
    </row>
    <row r="14" ht="18" customHeight="1">
      <c r="A14" s="58"/>
      <c r="B14" s="1043" t="s">
        <v>48</v>
      </c>
      <c r="C14" s="1043"/>
      <c r="D14" s="420">
        <v>74.300699300699300699300699350</v>
      </c>
      <c r="E14" s="91">
        <v>60.273652594693809444351743770</v>
      </c>
      <c r="F14" s="421">
        <v>49.395071817791605939427155260</v>
      </c>
      <c r="G14" s="420">
        <v>4.0064102564102564102564102600</v>
      </c>
      <c r="H14" s="91">
        <v>3.2938428166193892875020857700</v>
      </c>
      <c r="I14" s="421">
        <v>6.2340704670399623632576152600</v>
      </c>
      <c r="J14" s="420">
        <v>0</v>
      </c>
      <c r="K14" s="91">
        <v>0</v>
      </c>
      <c r="L14" s="421">
        <v>5.2053651758280932091385502600</v>
      </c>
      <c r="M14" s="420">
        <v>78.307109557109557109557109560</v>
      </c>
      <c r="N14" s="91">
        <v>63.560820957784081428333055230</v>
      </c>
      <c r="O14" s="421">
        <v>60.836447498926916333424676800</v>
      </c>
      <c r="P14" s="5"/>
      <c r="Q14" s="420">
        <v>102.62950122858943075908098231</v>
      </c>
      <c r="R14" s="91">
        <v>44.437919918226119134405813500</v>
      </c>
      <c r="S14" s="421">
        <v>73.662547348696337956954186170</v>
      </c>
      <c r="T14" s="420">
        <v>-4.8255373008136294242197205400</v>
      </c>
      <c r="U14" s="91">
        <v>-47.692914215726189886068382230</v>
      </c>
      <c r="V14" s="421">
        <v>-27.390420790155206398434901570</v>
      </c>
      <c r="W14" s="420">
        <v>0</v>
      </c>
      <c r="X14" s="91">
        <v>0</v>
      </c>
      <c r="Y14" s="421">
        <v>15.606814080691692088967050100</v>
      </c>
      <c r="Z14" s="420">
        <v>88.47688496196044025030020746</v>
      </c>
      <c r="AA14" s="91">
        <v>31.816747841163734723102735050</v>
      </c>
      <c r="AB14" s="421">
        <v>46.481947289235476508824401490</v>
      </c>
    </row>
    <row r="15" ht="18" customHeight="1">
      <c r="A15" s="58"/>
      <c r="B15" s="1043" t="s">
        <v>49</v>
      </c>
      <c r="C15" s="1043"/>
      <c r="D15" s="420">
        <v>82.29895104895104895104895111</v>
      </c>
      <c r="E15" s="91">
        <v>67.678958785249457700650759290</v>
      </c>
      <c r="F15" s="421">
        <v>54.973301694488005758980834970</v>
      </c>
      <c r="G15" s="420">
        <v>2.4475524475524475524475524500</v>
      </c>
      <c r="H15" s="91">
        <v>3.9212414483564158184548640100</v>
      </c>
      <c r="I15" s="421">
        <v>7.29689048968303791086668300</v>
      </c>
      <c r="J15" s="420">
        <v>0</v>
      </c>
      <c r="K15" s="91">
        <v>0</v>
      </c>
      <c r="L15" s="421">
        <v>5.1910813359090391276210513100</v>
      </c>
      <c r="M15" s="420">
        <v>84.74650349650349650349650350</v>
      </c>
      <c r="N15" s="91">
        <v>71.616886367428666777907558820</v>
      </c>
      <c r="O15" s="421">
        <v>67.460303994687000845910905460</v>
      </c>
      <c r="P15" s="184"/>
      <c r="Q15" s="420">
        <v>87.11527829130324900034352746</v>
      </c>
      <c r="R15" s="91">
        <v>36.546113404330144152469337200</v>
      </c>
      <c r="S15" s="421">
        <v>79.40238383643785687232201357</v>
      </c>
      <c r="T15" s="420">
        <v>-52.253162680693243615449306060</v>
      </c>
      <c r="U15" s="91">
        <v>-19.598853744144501159900928570</v>
      </c>
      <c r="V15" s="421">
        <v>-16.997956522674984866659254040</v>
      </c>
      <c r="W15" s="420">
        <v>0</v>
      </c>
      <c r="X15" s="91">
        <v>0</v>
      </c>
      <c r="Y15" s="421">
        <v>14.340280826006720701226543260</v>
      </c>
      <c r="Z15" s="420">
        <v>69.908431029914472983763791720</v>
      </c>
      <c r="AA15" s="91">
        <v>30.934299152886389185439550130</v>
      </c>
      <c r="AB15" s="421">
        <v>53.413121129646356174554002650</v>
      </c>
    </row>
    <row r="16" ht="18" customHeight="1">
      <c r="A16" s="58"/>
      <c r="B16" s="1044" t="s">
        <v>75</v>
      </c>
      <c r="C16" s="1044"/>
      <c r="D16" s="430">
        <v>77.721445221445221445221445230</v>
      </c>
      <c r="E16" s="431">
        <v>63.654263307191723677623894560</v>
      </c>
      <c r="F16" s="432">
        <v>51.024005937813051060826200130</v>
      </c>
      <c r="G16" s="430">
        <v>2.9108391608391608391608391600</v>
      </c>
      <c r="H16" s="431">
        <v>3.0902719839813115301184715500</v>
      </c>
      <c r="I16" s="432">
        <v>5.8122651738047361820929335700</v>
      </c>
      <c r="J16" s="430">
        <v>0</v>
      </c>
      <c r="K16" s="431">
        <v>0</v>
      </c>
      <c r="L16" s="432">
        <v>5.0719304926589905232697751300</v>
      </c>
      <c r="M16" s="430">
        <v>80.63228438228438228438228438</v>
      </c>
      <c r="N16" s="431">
        <v>66.752544635407975971967295180</v>
      </c>
      <c r="O16" s="432">
        <v>61.909268858256543600963439270</v>
      </c>
      <c r="P16" s="5"/>
      <c r="Q16" s="430">
        <v>95.79005478043266430357007661</v>
      </c>
      <c r="R16" s="431">
        <v>41.024668064031493210709599860</v>
      </c>
      <c r="S16" s="432">
        <v>79.65380924208216111232081429</v>
      </c>
      <c r="T16" s="430">
        <v>-31.470965760524141587367320810</v>
      </c>
      <c r="U16" s="431">
        <v>-43.478913747337084273721835710</v>
      </c>
      <c r="V16" s="432">
        <v>-29.010079122961533802198325970</v>
      </c>
      <c r="W16" s="430">
        <v>0</v>
      </c>
      <c r="X16" s="431">
        <v>0</v>
      </c>
      <c r="Y16" s="432">
        <v>13.312834994680569515921655750</v>
      </c>
      <c r="Z16" s="629">
        <v>80.54976418526406567970272505</v>
      </c>
      <c r="AA16" s="214">
        <v>31.617833063923292820382949240</v>
      </c>
      <c r="AB16" s="630">
        <v>50.761562405576706887724979480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85.44882790165809033733562042</v>
      </c>
      <c r="E18" s="480">
        <v>74.846385148385409857497712200</v>
      </c>
      <c r="F18" s="481">
        <v>64.063865922532913150253562930</v>
      </c>
      <c r="G18" s="479">
        <v>3.2018296169239565465980560300</v>
      </c>
      <c r="H18" s="480">
        <v>4.0658909661393646228265132700</v>
      </c>
      <c r="I18" s="481">
        <v>8.471548317481188232015378140</v>
      </c>
      <c r="J18" s="479">
        <v>0</v>
      </c>
      <c r="K18" s="480">
        <v>0</v>
      </c>
      <c r="L18" s="481">
        <v>5.1946443331261001817458559400</v>
      </c>
      <c r="M18" s="479">
        <v>88.65065751858204688393367639</v>
      </c>
      <c r="N18" s="480">
        <v>78.925349718917505556281866910</v>
      </c>
      <c r="O18" s="481">
        <v>77.729820374115388371600006670</v>
      </c>
      <c r="P18" s="184"/>
      <c r="Q18" s="479">
        <v>64.383291705447486904139813430</v>
      </c>
      <c r="R18" s="480">
        <v>26.945046504318175630711147940</v>
      </c>
      <c r="S18" s="481">
        <v>77.108771974245684490318872790</v>
      </c>
      <c r="T18" s="479">
        <v>-6.6540712971946971360061381300</v>
      </c>
      <c r="U18" s="480">
        <v>3.734607204907226771672304300</v>
      </c>
      <c r="V18" s="481">
        <v>1.6221682669776150002844037600</v>
      </c>
      <c r="W18" s="479">
        <v>0</v>
      </c>
      <c r="X18" s="480">
        <v>0</v>
      </c>
      <c r="Y18" s="481">
        <v>11.526193007177990054759050370</v>
      </c>
      <c r="Z18" s="479">
        <v>53.491827789664231360751149160</v>
      </c>
      <c r="AA18" s="480">
        <v>24.946249831072032441375973660</v>
      </c>
      <c r="AB18" s="481">
        <v>58.105724550051146359715089840</v>
      </c>
    </row>
    <row r="19" ht="18" customHeight="1">
      <c r="A19" s="58"/>
      <c r="B19" s="1046" t="s">
        <v>51</v>
      </c>
      <c r="C19" s="1046"/>
      <c r="D19" s="271">
        <v>88.73834498834498834498834505</v>
      </c>
      <c r="E19" s="92">
        <v>78.862005673285499749707992730</v>
      </c>
      <c r="F19" s="272">
        <v>67.022451858524397912877951020</v>
      </c>
      <c r="G19" s="271">
        <v>3.0740093240093240093240093300</v>
      </c>
      <c r="H19" s="92">
        <v>3.9579509427665609878191223100</v>
      </c>
      <c r="I19" s="272">
        <v>7.6941380423882930808844774600</v>
      </c>
      <c r="J19" s="271">
        <v>0</v>
      </c>
      <c r="K19" s="92">
        <v>0</v>
      </c>
      <c r="L19" s="272">
        <v>5.1918253577073707263893711300</v>
      </c>
      <c r="M19" s="271">
        <v>91.81235431235431235431235431</v>
      </c>
      <c r="N19" s="92">
        <v>82.83664274987485399632905056</v>
      </c>
      <c r="O19" s="272">
        <v>79.90890086170267008854972211</v>
      </c>
      <c r="P19" s="5"/>
      <c r="Q19" s="271">
        <v>48.569684018005200174365778020</v>
      </c>
      <c r="R19" s="92">
        <v>26.175954995137962903632868120</v>
      </c>
      <c r="S19" s="272">
        <v>70.567615855730101454846109590</v>
      </c>
      <c r="T19" s="271">
        <v>16.287224269634958037818444500</v>
      </c>
      <c r="U19" s="92">
        <v>7.6295022924832969392220604100</v>
      </c>
      <c r="V19" s="272">
        <v>-1.4129223773307349112273990200</v>
      </c>
      <c r="W19" s="271">
        <v>0</v>
      </c>
      <c r="X19" s="92">
        <v>0</v>
      </c>
      <c r="Y19" s="272">
        <v>10.974329856332152585248789610</v>
      </c>
      <c r="Z19" s="271">
        <v>43.428992924058347381759134810</v>
      </c>
      <c r="AA19" s="92">
        <v>24.495515567910337145576304530</v>
      </c>
      <c r="AB19" s="272">
        <v>54.332776575852913438170166210</v>
      </c>
    </row>
    <row r="20" ht="18" customHeight="1">
      <c r="A20" s="58"/>
      <c r="B20" s="1047" t="s">
        <v>76</v>
      </c>
      <c r="C20" s="1047"/>
      <c r="D20" s="273">
        <v>87.07792207792207792207792212</v>
      </c>
      <c r="E20" s="274">
        <v>76.833275540364260827925562730</v>
      </c>
      <c r="F20" s="275">
        <v>65.529004083320908623069560810</v>
      </c>
      <c r="G20" s="273">
        <v>3.1385281385281385281385281400</v>
      </c>
      <c r="H20" s="274">
        <v>4.0124832813196611680784663400</v>
      </c>
      <c r="I20" s="275">
        <v>8.086562555610598358014419090</v>
      </c>
      <c r="J20" s="273">
        <v>0</v>
      </c>
      <c r="K20" s="274">
        <v>0</v>
      </c>
      <c r="L20" s="275">
        <v>5.1932483322832449174919079100</v>
      </c>
      <c r="M20" s="273">
        <v>90.21645021645021645021645022</v>
      </c>
      <c r="N20" s="274">
        <v>80.86061987087399481514506035</v>
      </c>
      <c r="O20" s="275">
        <v>78.808935210346336794617134560</v>
      </c>
      <c r="P20" s="184"/>
      <c r="Q20" s="273">
        <v>55.775505456789768197931911720</v>
      </c>
      <c r="R20" s="274">
        <v>26.516702733335292131153405770</v>
      </c>
      <c r="S20" s="275">
        <v>73.669021345628518804992247060</v>
      </c>
      <c r="T20" s="273">
        <v>3.5056399190575373035593327700</v>
      </c>
      <c r="U20" s="274">
        <v>5.6330901314474067511891610600</v>
      </c>
      <c r="V20" s="275">
        <v>0.1990506106674508889663294900</v>
      </c>
      <c r="W20" s="273">
        <v>0</v>
      </c>
      <c r="X20" s="274">
        <v>0</v>
      </c>
      <c r="Y20" s="275">
        <v>11.250065075032196795475082300</v>
      </c>
      <c r="Z20" s="273">
        <v>48.177167489269651778389463490</v>
      </c>
      <c r="AA20" s="274">
        <v>24.685265528500204966533782420</v>
      </c>
      <c r="AB20" s="275">
        <v>56.151786760036079663953283340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80.38190120381901203819012038</v>
      </c>
      <c r="E22" s="469">
        <v>67.589122400347593184602628690</v>
      </c>
      <c r="F22" s="470">
        <v>55.056894445791646101668948400</v>
      </c>
      <c r="G22" s="468">
        <v>2.9887920298879202988792029900</v>
      </c>
      <c r="H22" s="469">
        <v>3.202171515254938837656397600</v>
      </c>
      <c r="I22" s="470">
        <v>6.3842815436408546895358939200</v>
      </c>
      <c r="J22" s="468">
        <v>0</v>
      </c>
      <c r="K22" s="469">
        <v>0.0099951435553967372591926100</v>
      </c>
      <c r="L22" s="470">
        <v>5.3256966542666379351388216700</v>
      </c>
      <c r="M22" s="468">
        <v>83.37069323370693233706932337</v>
      </c>
      <c r="N22" s="469">
        <v>70.801289059157928759518218890</v>
      </c>
      <c r="O22" s="470">
        <v>66.766872643699138726343663990</v>
      </c>
      <c r="P22" s="184"/>
      <c r="Q22" s="468">
        <v>77.782527191387039969483467050</v>
      </c>
      <c r="R22" s="469">
        <v>35.821422097642886264505885640</v>
      </c>
      <c r="S22" s="470">
        <v>76.442989251536693964457124040</v>
      </c>
      <c r="T22" s="468">
        <v>-27.512790890176117972462714760</v>
      </c>
      <c r="U22" s="469">
        <v>-35.628832588709082762482692380</v>
      </c>
      <c r="V22" s="470">
        <v>-20.872092015926595192434965790</v>
      </c>
      <c r="W22" s="468">
        <v>0</v>
      </c>
      <c r="X22" s="469">
        <v>0</v>
      </c>
      <c r="Y22" s="470">
        <v>19.705708859153089421765508370</v>
      </c>
      <c r="Z22" s="468">
        <v>68.982737229314182152003445530</v>
      </c>
      <c r="AA22" s="469">
        <v>29.346316110586173851607442170</v>
      </c>
      <c r="AB22" s="470">
        <v>52.710926743700735912325629490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205.57159321115806952615751532</v>
      </c>
      <c r="E25" s="455">
        <v>216.66956876959339247374405759</v>
      </c>
      <c r="F25" s="456">
        <v>192.98847482519137512186782207</v>
      </c>
      <c r="G25" s="454">
        <v>259.93846617261688711512492571</v>
      </c>
      <c r="H25" s="455">
        <v>221.71558887778090863186614448</v>
      </c>
      <c r="I25" s="456">
        <v>162.57237949923206702605246537</v>
      </c>
      <c r="J25" s="454">
        <v>0</v>
      </c>
      <c r="K25" s="455">
        <v>0</v>
      </c>
      <c r="L25" s="456">
        <v>104.6217559388017125234232336</v>
      </c>
      <c r="M25" s="454">
        <v>206.7928048483602351636060317</v>
      </c>
      <c r="N25" s="455">
        <v>216.82567081829421826607503606</v>
      </c>
      <c r="O25" s="456">
        <v>183.73324775290452294487434824</v>
      </c>
      <c r="P25" s="5"/>
      <c r="Q25" s="427">
        <v>15.737581273232588570826130870</v>
      </c>
      <c r="R25" s="428">
        <v>7.94655365179774982204420800</v>
      </c>
      <c r="S25" s="429">
        <v>11.808465804943142718388777300</v>
      </c>
      <c r="T25" s="427">
        <v>-46.822970408832114948770529940</v>
      </c>
      <c r="U25" s="428">
        <v>-45.412615122537992202640524120</v>
      </c>
      <c r="V25" s="429">
        <v>-40.203476878877687718035946050</v>
      </c>
      <c r="W25" s="427">
        <v>0</v>
      </c>
      <c r="X25" s="428">
        <v>0</v>
      </c>
      <c r="Y25" s="429">
        <v>-5.0450940080660493632084838600</v>
      </c>
      <c r="Z25" s="427">
        <v>2.7077122639671807399255854400</v>
      </c>
      <c r="AA25" s="428">
        <v>0.1844743095570052151880810200</v>
      </c>
      <c r="AB25" s="429">
        <v>0.2128711956425255366190097400</v>
      </c>
    </row>
    <row r="26" ht="18" customHeight="1">
      <c r="A26" s="58"/>
      <c r="B26" s="1043" t="s">
        <v>46</v>
      </c>
      <c r="C26" s="1043"/>
      <c r="D26" s="439">
        <v>177.53040582110282616777740827</v>
      </c>
      <c r="E26" s="95">
        <v>188.03072919820877828500529775</v>
      </c>
      <c r="F26" s="440">
        <v>178.84384042862470906072874728</v>
      </c>
      <c r="G26" s="439">
        <v>238.9412362535324927323291563</v>
      </c>
      <c r="H26" s="95">
        <v>214.1115415636119935098982816</v>
      </c>
      <c r="I26" s="440">
        <v>161.37166875591193007914141513</v>
      </c>
      <c r="J26" s="439">
        <v>0</v>
      </c>
      <c r="K26" s="95">
        <v>0</v>
      </c>
      <c r="L26" s="440">
        <v>105.13427689271772718915236789</v>
      </c>
      <c r="M26" s="439">
        <v>179.6849718043456713470423573</v>
      </c>
      <c r="N26" s="95">
        <v>188.97968832228920888513856742</v>
      </c>
      <c r="O26" s="440">
        <v>171.13281994660355287137118143</v>
      </c>
      <c r="P26" s="5"/>
      <c r="Q26" s="420">
        <v>4.6278826405352807795145490100</v>
      </c>
      <c r="R26" s="91">
        <v>-0.1444878663267854469801764400</v>
      </c>
      <c r="S26" s="421">
        <v>5.1938753645033809797399731300</v>
      </c>
      <c r="T26" s="420">
        <v>1.3368942156399868936505786100</v>
      </c>
      <c r="U26" s="91">
        <v>-17.144694180958319546248765490</v>
      </c>
      <c r="V26" s="421">
        <v>-25.330580402158756041435067100</v>
      </c>
      <c r="W26" s="420">
        <v>0</v>
      </c>
      <c r="X26" s="91">
        <v>0</v>
      </c>
      <c r="Y26" s="421">
        <v>-3.5674973891317599616521384800</v>
      </c>
      <c r="Z26" s="420">
        <v>2.8408183725154362549814479700</v>
      </c>
      <c r="AA26" s="91">
        <v>-3.4758780226066838423040553600</v>
      </c>
      <c r="AB26" s="421">
        <v>-0.5496013597797175758063910200</v>
      </c>
    </row>
    <row r="27" ht="18" customHeight="1">
      <c r="A27" s="58"/>
      <c r="B27" s="1043" t="s">
        <v>47</v>
      </c>
      <c r="C27" s="1043"/>
      <c r="D27" s="439">
        <v>174.33469081313805874239894491</v>
      </c>
      <c r="E27" s="95">
        <v>190.07888527615927226272312645</v>
      </c>
      <c r="F27" s="440">
        <v>179.51285781282929140778340462</v>
      </c>
      <c r="G27" s="439">
        <v>217.90547638320963202893846236</v>
      </c>
      <c r="H27" s="95">
        <v>220.29693079179790350326916355</v>
      </c>
      <c r="I27" s="440">
        <v>163.95483756876259175692888868</v>
      </c>
      <c r="J27" s="439">
        <v>0</v>
      </c>
      <c r="K27" s="95">
        <v>0</v>
      </c>
      <c r="L27" s="440">
        <v>102.84153136147817050233368133</v>
      </c>
      <c r="M27" s="439">
        <v>176.30560978151168104068818656</v>
      </c>
      <c r="N27" s="95">
        <v>191.47379259902882440052538253</v>
      </c>
      <c r="O27" s="440">
        <v>171.42321814639526083592173114</v>
      </c>
      <c r="P27" s="93"/>
      <c r="Q27" s="420">
        <v>3.1203005826073448918096133700</v>
      </c>
      <c r="R27" s="91">
        <v>3.0509119120923507034676967900</v>
      </c>
      <c r="S27" s="421">
        <v>3.258762004983131430105887900</v>
      </c>
      <c r="T27" s="420">
        <v>-11.689377989569242838540074500</v>
      </c>
      <c r="U27" s="91">
        <v>-16.541887041053809231716768890</v>
      </c>
      <c r="V27" s="421">
        <v>-25.581367601230915234466857090</v>
      </c>
      <c r="W27" s="420">
        <v>0</v>
      </c>
      <c r="X27" s="91">
        <v>0</v>
      </c>
      <c r="Y27" s="421">
        <v>-5.0546224317083454079657040800</v>
      </c>
      <c r="Z27" s="420">
        <v>-0.4438029903658252318608670200</v>
      </c>
      <c r="AA27" s="91">
        <v>-1.8541423072304919401463171400</v>
      </c>
      <c r="AB27" s="421">
        <v>-2.9895784645279768618924490200</v>
      </c>
    </row>
    <row r="28" ht="18" customHeight="1">
      <c r="A28" s="58"/>
      <c r="B28" s="1043" t="s">
        <v>48</v>
      </c>
      <c r="C28" s="1043"/>
      <c r="D28" s="439">
        <v>180.64799098235397182632633557</v>
      </c>
      <c r="E28" s="95">
        <v>196.11922093991505421029216123</v>
      </c>
      <c r="F28" s="440">
        <v>184.40672335866537675009162582</v>
      </c>
      <c r="G28" s="439">
        <v>222.31570606400797285538958257</v>
      </c>
      <c r="H28" s="95">
        <v>201.45029071494055771848480978</v>
      </c>
      <c r="I28" s="440">
        <v>171.0654958795573826837963606</v>
      </c>
      <c r="J28" s="439">
        <v>0</v>
      </c>
      <c r="K28" s="95">
        <v>0</v>
      </c>
      <c r="L28" s="440">
        <v>103.52353331102457269624504193</v>
      </c>
      <c r="M28" s="439">
        <v>182.77982756792696722781329239</v>
      </c>
      <c r="N28" s="95">
        <v>196.41608139932017875460628116</v>
      </c>
      <c r="O28" s="440">
        <v>176.11310218503589026724585482</v>
      </c>
      <c r="P28" s="5"/>
      <c r="Q28" s="420">
        <v>-7.506485476434364030135586800</v>
      </c>
      <c r="R28" s="91">
        <v>0.2171284351242381278376539600</v>
      </c>
      <c r="S28" s="421">
        <v>2.2928124974871583931845853700</v>
      </c>
      <c r="T28" s="420">
        <v>-23.963582741937155198939167650</v>
      </c>
      <c r="U28" s="91">
        <v>-26.293176768837228204583772150</v>
      </c>
      <c r="V28" s="421">
        <v>-25.752193197014591820656520150</v>
      </c>
      <c r="W28" s="420">
        <v>0</v>
      </c>
      <c r="X28" s="91">
        <v>0</v>
      </c>
      <c r="Y28" s="421">
        <v>-3.3061626132789612185477941300</v>
      </c>
      <c r="Z28" s="420">
        <v>-10.428316966580317807447941060</v>
      </c>
      <c r="AA28" s="91">
        <v>-4.5393798622731832518397530300</v>
      </c>
      <c r="AB28" s="421">
        <v>-3.6038040608272262456975194600</v>
      </c>
    </row>
    <row r="29" ht="18" customHeight="1">
      <c r="A29" s="58"/>
      <c r="B29" s="1043" t="s">
        <v>49</v>
      </c>
      <c r="C29" s="1043"/>
      <c r="D29" s="439">
        <v>211.15326261112092249799625058</v>
      </c>
      <c r="E29" s="95">
        <v>232.99109913281445494509748569</v>
      </c>
      <c r="F29" s="440">
        <v>202.38468337162733979490915926</v>
      </c>
      <c r="G29" s="439">
        <v>276.38000212878129549034171464</v>
      </c>
      <c r="H29" s="95">
        <v>217.94531928422178109622128591</v>
      </c>
      <c r="I29" s="440">
        <v>174.06322399793690171704176462</v>
      </c>
      <c r="J29" s="439">
        <v>0</v>
      </c>
      <c r="K29" s="95">
        <v>0</v>
      </c>
      <c r="L29" s="440">
        <v>104.01250603785061117218721521</v>
      </c>
      <c r="M29" s="439">
        <v>213.03706736253349644723366471</v>
      </c>
      <c r="N29" s="95">
        <v>232.11301214223847805566808113</v>
      </c>
      <c r="O29" s="440">
        <v>191.75442673574399445195204054</v>
      </c>
      <c r="P29" s="93"/>
      <c r="Q29" s="420">
        <v>12.548653360297372875631120520</v>
      </c>
      <c r="R29" s="91">
        <v>10.469126238675241256180201850</v>
      </c>
      <c r="S29" s="421">
        <v>9.249146533734570658748118940</v>
      </c>
      <c r="T29" s="420">
        <v>-41.437313492400576691414298590</v>
      </c>
      <c r="U29" s="91">
        <v>-41.144999564143248202233289500</v>
      </c>
      <c r="V29" s="421">
        <v>-34.841601105430108703690509370</v>
      </c>
      <c r="W29" s="420">
        <v>0</v>
      </c>
      <c r="X29" s="91">
        <v>0</v>
      </c>
      <c r="Y29" s="421">
        <v>-5.7130877050911911343365129200</v>
      </c>
      <c r="Z29" s="420">
        <v>-1.0869314655131626857357156200</v>
      </c>
      <c r="AA29" s="91">
        <v>3.1908188346436352153802078200</v>
      </c>
      <c r="AB29" s="421">
        <v>-1.1002262801330801402349101700</v>
      </c>
    </row>
    <row r="30" ht="18" customHeight="1">
      <c r="A30" s="58"/>
      <c r="B30" s="1044" t="s">
        <v>75</v>
      </c>
      <c r="C30" s="1044"/>
      <c r="D30" s="457">
        <v>190.74004661432824535021594763</v>
      </c>
      <c r="E30" s="458">
        <v>205.8320098254446559743462872</v>
      </c>
      <c r="F30" s="459">
        <v>188.18712183370231341673399467</v>
      </c>
      <c r="G30" s="457">
        <v>238.52877943121540659169466374</v>
      </c>
      <c r="H30" s="458">
        <v>214.98551475309455337520226367</v>
      </c>
      <c r="I30" s="459">
        <v>167.33159598091587942163903824</v>
      </c>
      <c r="J30" s="457">
        <v>0</v>
      </c>
      <c r="K30" s="458">
        <v>0</v>
      </c>
      <c r="L30" s="459">
        <v>104.0228259394490541394673719</v>
      </c>
      <c r="M30" s="457">
        <v>192.46522798548678522952925798</v>
      </c>
      <c r="N30" s="458">
        <v>206.23106937526981384634435755</v>
      </c>
      <c r="O30" s="459">
        <v>179.33070729511636430672645045</v>
      </c>
      <c r="P30" s="5"/>
      <c r="Q30" s="430">
        <v>5.8906033817515069944337671900</v>
      </c>
      <c r="R30" s="431">
        <v>4.5043670351743007923495052100</v>
      </c>
      <c r="S30" s="432">
        <v>6.524818468856865915475924700</v>
      </c>
      <c r="T30" s="430">
        <v>-32.235716432689206274803470030</v>
      </c>
      <c r="U30" s="431">
        <v>-30.021922192138448311709772150</v>
      </c>
      <c r="V30" s="432">
        <v>-30.608497055936666493101209820</v>
      </c>
      <c r="W30" s="430">
        <v>0</v>
      </c>
      <c r="X30" s="431">
        <v>0</v>
      </c>
      <c r="Y30" s="432">
        <v>-4.5549050519862791605948228500</v>
      </c>
      <c r="Z30" s="430">
        <v>-1.6959259088497099819697993200</v>
      </c>
      <c r="AA30" s="431">
        <v>-1.1267278987196707889597250400</v>
      </c>
      <c r="AB30" s="432">
        <v>-1.5431953433035122409378797300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325.0271899010909807758589649</v>
      </c>
      <c r="E32" s="494">
        <v>327.45883043473692184608483849</v>
      </c>
      <c r="F32" s="495">
        <v>244.5127333217186954135183701</v>
      </c>
      <c r="G32" s="493">
        <v>291.66123209292925727546259877</v>
      </c>
      <c r="H32" s="494">
        <v>248.34722476441860965021320599</v>
      </c>
      <c r="I32" s="495">
        <v>177.26856192663879196085656775</v>
      </c>
      <c r="J32" s="493">
        <v>0</v>
      </c>
      <c r="K32" s="494">
        <v>0</v>
      </c>
      <c r="L32" s="495">
        <v>104.95192105165095223900521914</v>
      </c>
      <c r="M32" s="493">
        <v>323.82209887415963184582207588</v>
      </c>
      <c r="N32" s="494">
        <v>323.32910239201640966871823878</v>
      </c>
      <c r="O32" s="495">
        <v>227.85795680606294209319376448</v>
      </c>
      <c r="P32" s="93"/>
      <c r="Q32" s="479">
        <v>69.914831790338280057084556980</v>
      </c>
      <c r="R32" s="480">
        <v>38.055952775137173559263509620</v>
      </c>
      <c r="S32" s="481">
        <v>30.415592637643305606334903660</v>
      </c>
      <c r="T32" s="479">
        <v>19.828511066699335998120820480</v>
      </c>
      <c r="U32" s="480">
        <v>-49.756054311357794836313759640</v>
      </c>
      <c r="V32" s="481">
        <v>-37.194353594250354848060925450</v>
      </c>
      <c r="W32" s="479">
        <v>0</v>
      </c>
      <c r="X32" s="480">
        <v>0</v>
      </c>
      <c r="Y32" s="481">
        <v>-6.0774934632249758440605263100</v>
      </c>
      <c r="Z32" s="479">
        <v>41.910835523902638812322788460</v>
      </c>
      <c r="AA32" s="480">
        <v>27.808767255755060631771021690</v>
      </c>
      <c r="AB32" s="481">
        <v>16.0230957273508770721935800</v>
      </c>
    </row>
    <row r="33" ht="18" customHeight="1">
      <c r="A33" s="58"/>
      <c r="B33" s="1046" t="s">
        <v>51</v>
      </c>
      <c r="C33" s="1046"/>
      <c r="D33" s="276">
        <v>328.37177098158614802044589516</v>
      </c>
      <c r="E33" s="94">
        <v>323.18989274567014417001355949</v>
      </c>
      <c r="F33" s="277">
        <v>242.12825013219597598367571767</v>
      </c>
      <c r="G33" s="276">
        <v>259.27787531395700494271271223</v>
      </c>
      <c r="H33" s="94">
        <v>248.68285801447884190831133852</v>
      </c>
      <c r="I33" s="277">
        <v>173.12938910662217236077591095</v>
      </c>
      <c r="J33" s="276">
        <v>0</v>
      </c>
      <c r="K33" s="94">
        <v>0</v>
      </c>
      <c r="L33" s="277">
        <v>105.39807916250471745308380355</v>
      </c>
      <c r="M33" s="276">
        <v>326.05840824184166227157225162</v>
      </c>
      <c r="N33" s="94">
        <v>319.56483059697458236180999404</v>
      </c>
      <c r="O33" s="277">
        <v>226.59952310496943658031854373</v>
      </c>
      <c r="P33" s="5"/>
      <c r="Q33" s="271">
        <v>47.299313868035617595641523210</v>
      </c>
      <c r="R33" s="92">
        <v>36.610430674050533358939085050</v>
      </c>
      <c r="S33" s="272">
        <v>28.568227918537847298666258850</v>
      </c>
      <c r="T33" s="271">
        <v>23.556596952141518429269079350</v>
      </c>
      <c r="U33" s="92">
        <v>-50.085771439592978939680953240</v>
      </c>
      <c r="V33" s="272">
        <v>-36.708023516157805277686877510</v>
      </c>
      <c r="W33" s="271">
        <v>0</v>
      </c>
      <c r="X33" s="92">
        <v>0</v>
      </c>
      <c r="Y33" s="272">
        <v>-8.250462936097741628974987120</v>
      </c>
      <c r="Z33" s="271">
        <v>48.587481009076105964992416890</v>
      </c>
      <c r="AA33" s="92">
        <v>27.382093921290497184264165410</v>
      </c>
      <c r="AB33" s="272">
        <v>16.484433868334249160085837710</v>
      </c>
    </row>
    <row r="34" ht="18" customHeight="1">
      <c r="A34" s="58"/>
      <c r="B34" s="1047" t="s">
        <v>76</v>
      </c>
      <c r="C34" s="1047"/>
      <c r="D34" s="443">
        <v>326.71513781403290336155612226</v>
      </c>
      <c r="E34" s="444">
        <v>325.29082917685858217439842744</v>
      </c>
      <c r="F34" s="445">
        <v>243.30498789810560886319367343</v>
      </c>
      <c r="G34" s="443">
        <v>275.95344294266915327038161931</v>
      </c>
      <c r="H34" s="444">
        <v>248.51103588975664893338373488</v>
      </c>
      <c r="I34" s="445">
        <v>175.31825045827249912315240241</v>
      </c>
      <c r="J34" s="443">
        <v>0</v>
      </c>
      <c r="K34" s="444">
        <v>0</v>
      </c>
      <c r="L34" s="445">
        <v>105.17280500628006621119021995</v>
      </c>
      <c r="M34" s="633">
        <v>324.94919593391108384062994592</v>
      </c>
      <c r="N34" s="634">
        <v>321.42106166306953939279264256</v>
      </c>
      <c r="O34" s="635">
        <v>227.22606251870525477659732146</v>
      </c>
      <c r="P34" s="93"/>
      <c r="Q34" s="273">
        <v>56.783009412864254122681551710</v>
      </c>
      <c r="R34" s="274">
        <v>37.325083528719153721132654350</v>
      </c>
      <c r="S34" s="275">
        <v>29.469781592020275198392913820</v>
      </c>
      <c r="T34" s="273">
        <v>20.712213108125355067275620020</v>
      </c>
      <c r="U34" s="274">
        <v>-49.915941045991435647330393400</v>
      </c>
      <c r="V34" s="275">
        <v>-36.945135731853664849676630370</v>
      </c>
      <c r="W34" s="273">
        <v>0</v>
      </c>
      <c r="X34" s="274">
        <v>0</v>
      </c>
      <c r="Y34" s="275">
        <v>-7.1831205343136171294403878100</v>
      </c>
      <c r="Z34" s="273">
        <v>45.333849093268934283277452180</v>
      </c>
      <c r="AA34" s="274">
        <v>27.599637639548949092533769260</v>
      </c>
      <c r="AB34" s="275">
        <v>16.265330009336855357622499820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233.25113612889898781243544722</v>
      </c>
      <c r="E36" s="483">
        <v>245.06323555780388948188277812</v>
      </c>
      <c r="F36" s="484">
        <v>207.41218109941419901022682529</v>
      </c>
      <c r="G36" s="482">
        <v>247.15625</v>
      </c>
      <c r="H36" s="483">
        <v>224.93165156163175802497870009</v>
      </c>
      <c r="I36" s="484">
        <v>170.75033572853943416821993488</v>
      </c>
      <c r="J36" s="482">
        <v>0</v>
      </c>
      <c r="K36" s="483">
        <v>128.87105999607170523627129154</v>
      </c>
      <c r="L36" s="484">
        <v>103.07946909670243011643727595</v>
      </c>
      <c r="M36" s="482">
        <v>233.74962656841266679944234216</v>
      </c>
      <c r="N36" s="483">
        <v>244.13632952012674883858320578</v>
      </c>
      <c r="O36" s="484">
        <v>195.58440054400694142088939026</v>
      </c>
      <c r="P36" s="93"/>
      <c r="Q36" s="468">
        <v>21.887214742018431323648295450</v>
      </c>
      <c r="R36" s="469">
        <v>16.276648509835754581997038240</v>
      </c>
      <c r="S36" s="470">
        <v>14.518925984349764698087716550</v>
      </c>
      <c r="T36" s="468">
        <v>-31.743988826942807710188508710</v>
      </c>
      <c r="U36" s="469">
        <v>-35.271779433826929558402366130</v>
      </c>
      <c r="V36" s="470">
        <v>-31.859934372882006508462471390</v>
      </c>
      <c r="W36" s="468">
        <v>0</v>
      </c>
      <c r="X36" s="469">
        <v>0</v>
      </c>
      <c r="Y36" s="470">
        <v>-4.3836822174773586562834560300</v>
      </c>
      <c r="Z36" s="468">
        <v>13.672018464972760852009297750</v>
      </c>
      <c r="AA36" s="469">
        <v>9.386984664219878367191158250</v>
      </c>
      <c r="AB36" s="470">
        <v>4.8843074794466953502311886200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173.34620942689144907013398887</v>
      </c>
      <c r="E39" s="455">
        <v>152.50385032269294979688756626</v>
      </c>
      <c r="F39" s="456">
        <v>106.84397588547454779709302269</v>
      </c>
      <c r="G39" s="454">
        <v>5.036686480326055650686424118</v>
      </c>
      <c r="H39" s="455">
        <v>6.6222410160391761463547538629</v>
      </c>
      <c r="I39" s="456">
        <v>8.351660168758609315657101256</v>
      </c>
      <c r="J39" s="454">
        <v>0</v>
      </c>
      <c r="K39" s="455">
        <v>0</v>
      </c>
      <c r="L39" s="456">
        <v>5.334487955137160928841880129</v>
      </c>
      <c r="M39" s="454">
        <v>178.38289590721750472082041284</v>
      </c>
      <c r="N39" s="455">
        <v>159.12609133873212594324231997</v>
      </c>
      <c r="O39" s="456">
        <v>120.53012400937031804159200395</v>
      </c>
      <c r="P39" s="5"/>
      <c r="Q39" s="427">
        <v>115.29093642349976311211778672</v>
      </c>
      <c r="R39" s="428">
        <v>48.107754573213763418894596080</v>
      </c>
      <c r="S39" s="429">
        <v>103.39740828903646783016689313</v>
      </c>
      <c r="T39" s="427">
        <v>-72.368900886561839903879521830</v>
      </c>
      <c r="U39" s="428">
        <v>-62.279001721554115088058058820</v>
      </c>
      <c r="V39" s="429">
        <v>-59.002362196876978487636523800</v>
      </c>
      <c r="W39" s="427">
        <v>0</v>
      </c>
      <c r="X39" s="428">
        <v>0</v>
      </c>
      <c r="Y39" s="429">
        <v>5.2509598272249339523615267900</v>
      </c>
      <c r="Z39" s="427">
        <v>76.112088564816346318501017860</v>
      </c>
      <c r="AA39" s="428">
        <v>31.428075608626237589834670460</v>
      </c>
      <c r="AB39" s="429">
        <v>54.587521348384351933534202220</v>
      </c>
    </row>
    <row r="40" ht="18" customHeight="1">
      <c r="A40" s="58"/>
      <c r="B40" s="1043" t="s">
        <v>46</v>
      </c>
      <c r="C40" s="1043"/>
      <c r="D40" s="439">
        <v>134.44100370892955862763796167</v>
      </c>
      <c r="E40" s="95">
        <v>115.81789316907523513453505036</v>
      </c>
      <c r="F40" s="440">
        <v>86.52389220376668513568854905</v>
      </c>
      <c r="G40" s="439">
        <v>6.5792385856523369939408814939</v>
      </c>
      <c r="H40" s="95">
        <v>5.1946968368678764986382796887</v>
      </c>
      <c r="I40" s="440">
        <v>8.074710132917295120685410078</v>
      </c>
      <c r="J40" s="439">
        <v>0</v>
      </c>
      <c r="K40" s="95">
        <v>0</v>
      </c>
      <c r="L40" s="440">
        <v>5.1620002329696343841352882802</v>
      </c>
      <c r="M40" s="439">
        <v>141.02024229458189562157884307</v>
      </c>
      <c r="N40" s="95">
        <v>121.01259000594311163317332994</v>
      </c>
      <c r="O40" s="440">
        <v>99.7606025696536146405092473</v>
      </c>
      <c r="P40" s="5"/>
      <c r="Q40" s="420">
        <v>105.28234232000921592705741903</v>
      </c>
      <c r="R40" s="91">
        <v>44.045387331255847359476902790</v>
      </c>
      <c r="S40" s="421">
        <v>92.63647586388899855428177680</v>
      </c>
      <c r="T40" s="420">
        <v>-28.590048390238716920736203240</v>
      </c>
      <c r="U40" s="91">
        <v>-63.064807092689122945680962130</v>
      </c>
      <c r="V40" s="421">
        <v>-50.297732627729878671169710620</v>
      </c>
      <c r="W40" s="420">
        <v>0</v>
      </c>
      <c r="X40" s="91">
        <v>0</v>
      </c>
      <c r="Y40" s="421">
        <v>7.981578979583052403299524310</v>
      </c>
      <c r="Z40" s="420">
        <v>87.94004131955088876171222913</v>
      </c>
      <c r="AA40" s="91">
        <v>29.724347073293746136395615780</v>
      </c>
      <c r="AB40" s="421">
        <v>51.285278190935385266574408030</v>
      </c>
    </row>
    <row r="41" ht="18" customHeight="1">
      <c r="A41" s="58"/>
      <c r="B41" s="1043" t="s">
        <v>47</v>
      </c>
      <c r="C41" s="1043"/>
      <c r="D41" s="439">
        <v>125.4427502806073531656043691</v>
      </c>
      <c r="E41" s="95">
        <v>110.8883361759566240088324037</v>
      </c>
      <c r="F41" s="440">
        <v>84.39167333121415057541553265</v>
      </c>
      <c r="G41" s="439">
        <v>7.4285957857912374555319930404</v>
      </c>
      <c r="H41" s="95">
        <v>6.2196296829588195015439917421</v>
      </c>
      <c r="I41" s="440">
        <v>8.83304436001200335256056483</v>
      </c>
      <c r="J41" s="439">
        <v>0</v>
      </c>
      <c r="K41" s="95">
        <v>0</v>
      </c>
      <c r="L41" s="440">
        <v>5.0951527797474531501678790578</v>
      </c>
      <c r="M41" s="439">
        <v>132.87134606639859062113636205</v>
      </c>
      <c r="N41" s="95">
        <v>117.10796585891544351037639531</v>
      </c>
      <c r="O41" s="440">
        <v>98.31987047097360707814397643</v>
      </c>
      <c r="P41" s="93"/>
      <c r="Q41" s="420">
        <v>120.88728732131195943743665465</v>
      </c>
      <c r="R41" s="91">
        <v>49.922610450610848876368849700</v>
      </c>
      <c r="S41" s="421">
        <v>86.26096171344093376675382406</v>
      </c>
      <c r="T41" s="420">
        <v>-29.808069485014703109578783270</v>
      </c>
      <c r="U41" s="91">
        <v>-63.352710953869837547603795570</v>
      </c>
      <c r="V41" s="421">
        <v>-52.990463375541903658588183140</v>
      </c>
      <c r="W41" s="420">
        <v>0</v>
      </c>
      <c r="X41" s="91">
        <v>0</v>
      </c>
      <c r="Y41" s="421">
        <v>8.063121998155249338745763140</v>
      </c>
      <c r="Z41" s="420">
        <v>95.32538341874407036317322751</v>
      </c>
      <c r="AA41" s="91">
        <v>28.113304434418031897527592420</v>
      </c>
      <c r="AB41" s="421">
        <v>42.879849774841276531712588260</v>
      </c>
    </row>
    <row r="42" ht="18" customHeight="1">
      <c r="A42" s="58"/>
      <c r="B42" s="1043" t="s">
        <v>48</v>
      </c>
      <c r="C42" s="1043"/>
      <c r="D42" s="439">
        <v>134.22272057255321333249771446</v>
      </c>
      <c r="E42" s="95">
        <v>118.20821790074439493048846079</v>
      </c>
      <c r="F42" s="440">
        <v>91.08783343984905191323157759</v>
      </c>
      <c r="G42" s="439">
        <v>8.906879249359293784270415975</v>
      </c>
      <c r="H42" s="95">
        <v>6.6354559297729461194107961776</v>
      </c>
      <c r="I42" s="440">
        <v>10.664343557922950499080550503</v>
      </c>
      <c r="J42" s="439">
        <v>0</v>
      </c>
      <c r="K42" s="95">
        <v>0</v>
      </c>
      <c r="L42" s="440">
        <v>5.3887779517588688920317774088</v>
      </c>
      <c r="M42" s="439">
        <v>143.12959982191250711676813033</v>
      </c>
      <c r="N42" s="95">
        <v>124.84367383051734104989925683</v>
      </c>
      <c r="O42" s="440">
        <v>107.14095494953087130434390539</v>
      </c>
      <c r="P42" s="5"/>
      <c r="Q42" s="420">
        <v>87.41914714815850578357804855</v>
      </c>
      <c r="R42" s="91">
        <v>44.751535713381013959350411700</v>
      </c>
      <c r="S42" s="421">
        <v>77.644303937677784092777925720</v>
      </c>
      <c r="T42" s="420">
        <v>-27.632748419459381286544941480</v>
      </c>
      <c r="U42" s="91">
        <v>-61.446108743602965846407078460</v>
      </c>
      <c r="V42" s="421">
        <v>-46.088979907933345900228194760</v>
      </c>
      <c r="W42" s="420">
        <v>0</v>
      </c>
      <c r="X42" s="91">
        <v>0</v>
      </c>
      <c r="Y42" s="421">
        <v>11.784664816865133468543399230</v>
      </c>
      <c r="Z42" s="420">
        <v>68.821917989169372686190388520</v>
      </c>
      <c r="AA42" s="91">
        <v>25.833084934360562471642784110</v>
      </c>
      <c r="AB42" s="421">
        <v>41.203024924510907407971719130</v>
      </c>
    </row>
    <row r="43" ht="18" customHeight="1">
      <c r="A43" s="58"/>
      <c r="B43" s="1043" t="s">
        <v>49</v>
      </c>
      <c r="C43" s="1043"/>
      <c r="D43" s="439">
        <v>173.77692023458946549988065565</v>
      </c>
      <c r="E43" s="95">
        <v>157.68594995539720161143257183</v>
      </c>
      <c r="F43" s="440">
        <v>111.25754257331899761299060268</v>
      </c>
      <c r="G43" s="439">
        <v>6.7645455066484932462671049088</v>
      </c>
      <c r="H43" s="95">
        <v>8.546162194525632998099783454</v>
      </c>
      <c r="I43" s="440">
        <v>12.701202837941141146394801235</v>
      </c>
      <c r="J43" s="439">
        <v>0</v>
      </c>
      <c r="K43" s="95">
        <v>0</v>
      </c>
      <c r="L43" s="440">
        <v>5.3993737879421254892461057574</v>
      </c>
      <c r="M43" s="439">
        <v>180.54146574123795874614776043</v>
      </c>
      <c r="N43" s="95">
        <v>166.23211214992283460953235511</v>
      </c>
      <c r="O43" s="440">
        <v>129.35811919920226424863150953</v>
      </c>
      <c r="P43" s="93"/>
      <c r="Q43" s="420">
        <v>110.59572594839755715926535939</v>
      </c>
      <c r="R43" s="91">
        <v>50.841298390775699014779664360</v>
      </c>
      <c r="S43" s="421">
        <v>95.99557320224613653818193608</v>
      </c>
      <c r="T43" s="420">
        <v>-72.038169343381368637375068330</v>
      </c>
      <c r="U43" s="91">
        <v>-52.679905021044215289525831610</v>
      </c>
      <c r="V43" s="421">
        <v>-45.917197420415025746483842840</v>
      </c>
      <c r="W43" s="420">
        <v>0</v>
      </c>
      <c r="X43" s="91">
        <v>0</v>
      </c>
      <c r="Y43" s="421">
        <v>7.8079202984248953317509132900</v>
      </c>
      <c r="Z43" s="420">
        <v>68.061642830379092273227185220</v>
      </c>
      <c r="AA43" s="91">
        <v>35.112175431371221087380254440</v>
      </c>
      <c r="AB43" s="421">
        <v>51.725229653698336465631875610</v>
      </c>
    </row>
    <row r="44" ht="18" customHeight="1">
      <c r="A44" s="58"/>
      <c r="B44" s="1044" t="s">
        <v>75</v>
      </c>
      <c r="C44" s="1044"/>
      <c r="D44" s="457">
        <v>148.24592084471420793915093787</v>
      </c>
      <c r="E44" s="458">
        <v>131.02084950477328109643521052</v>
      </c>
      <c r="F44" s="459">
        <v>96.02060821862774905506791134</v>
      </c>
      <c r="G44" s="457">
        <v>6.9431891215554834261393639017</v>
      </c>
      <c r="H44" s="458">
        <v>6.643637132032890252809520982</v>
      </c>
      <c r="I44" s="459">
        <v>9.725756077970419282982594765</v>
      </c>
      <c r="J44" s="457">
        <v>0</v>
      </c>
      <c r="K44" s="458">
        <v>0</v>
      </c>
      <c r="L44" s="459">
        <v>5.2759654281485025986836165372</v>
      </c>
      <c r="M44" s="457">
        <v>155.18910996626969136529030175</v>
      </c>
      <c r="N44" s="458">
        <v>137.66448663680617134924473143</v>
      </c>
      <c r="O44" s="459">
        <v>111.0223297247466709367341226</v>
      </c>
      <c r="P44" s="5"/>
      <c r="Q44" s="430">
        <v>107.32327036840518347013500668</v>
      </c>
      <c r="R44" s="431">
        <v>47.376936723685867250181554060</v>
      </c>
      <c r="S44" s="432">
        <v>91.37589416745328028821393503</v>
      </c>
      <c r="T44" s="430">
        <v>-53.561790911711954866029972850</v>
      </c>
      <c r="U44" s="431">
        <v>-60.44763028412778682564070600</v>
      </c>
      <c r="V44" s="432">
        <v>-50.739026964673866974937962030</v>
      </c>
      <c r="W44" s="430">
        <v>0</v>
      </c>
      <c r="X44" s="431">
        <v>0</v>
      </c>
      <c r="Y44" s="432">
        <v>8.151542948939442164909783660</v>
      </c>
      <c r="Z44" s="430">
        <v>77.487773955996792975642901660</v>
      </c>
      <c r="AA44" s="431">
        <v>30.134858219110961209173988820</v>
      </c>
      <c r="AB44" s="432">
        <v>48.435016995075572317585329260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277.73192413217865681504929869</v>
      </c>
      <c r="E46" s="494">
        <v>245.09109742958149791722260456</v>
      </c>
      <c r="F46" s="495">
        <v>156.64430963874632244563983648</v>
      </c>
      <c r="G46" s="493">
        <v>9.338495710236728649185766463</v>
      </c>
      <c r="H46" s="494">
        <v>10.097527376354319205283868106</v>
      </c>
      <c r="I46" s="495">
        <v>15.017391875319266814082954809</v>
      </c>
      <c r="J46" s="493">
        <v>0</v>
      </c>
      <c r="K46" s="494">
        <v>0</v>
      </c>
      <c r="L46" s="495">
        <v>5.4518790194165647566159203211</v>
      </c>
      <c r="M46" s="493">
        <v>287.07041984241538546423506498</v>
      </c>
      <c r="N46" s="494">
        <v>255.18862480593581712250647242</v>
      </c>
      <c r="O46" s="495">
        <v>177.11358053348215401633871141</v>
      </c>
      <c r="P46" s="93"/>
      <c r="Q46" s="479">
        <v>179.31159359268861556504794975</v>
      </c>
      <c r="R46" s="480">
        <v>75.255193452521395800801128110</v>
      </c>
      <c r="S46" s="481">
        <v>130.97745458334167862873525781</v>
      </c>
      <c r="T46" s="479">
        <v>11.855036504990233679253822020</v>
      </c>
      <c r="U46" s="480">
        <v>-47.879640295439543166789290800</v>
      </c>
      <c r="V46" s="481">
        <v>-36.175540327989007562031963540</v>
      </c>
      <c r="W46" s="479">
        <v>0</v>
      </c>
      <c r="X46" s="480">
        <v>0</v>
      </c>
      <c r="Y46" s="481">
        <v>4.7481959182031998895323361500</v>
      </c>
      <c r="Z46" s="479">
        <v>117.82153527707458798350403672</v>
      </c>
      <c r="AA46" s="480">
        <v>59.692261641531833212769961030</v>
      </c>
      <c r="AB46" s="481">
        <v>83.43915614522021890463742437</v>
      </c>
    </row>
    <row r="47" ht="18" customHeight="1">
      <c r="A47" s="58"/>
      <c r="B47" s="1046" t="s">
        <v>51</v>
      </c>
      <c r="C47" s="1046"/>
      <c r="D47" s="276">
        <v>291.39167497797803432292190398</v>
      </c>
      <c r="E47" s="94">
        <v>254.87403155257571089209379048</v>
      </c>
      <c r="F47" s="277">
        <v>162.2802898807385848520534402</v>
      </c>
      <c r="G47" s="276">
        <v>7.970226062244307698559496259</v>
      </c>
      <c r="H47" s="94">
        <v>9.842745523282893592633313792</v>
      </c>
      <c r="I47" s="277">
        <v>13.320814189807069943695846996</v>
      </c>
      <c r="J47" s="276">
        <v>0</v>
      </c>
      <c r="K47" s="94">
        <v>0</v>
      </c>
      <c r="L47" s="277">
        <v>5.4720842004954083152226635179</v>
      </c>
      <c r="M47" s="276">
        <v>299.36190104022234202148140001</v>
      </c>
      <c r="N47" s="94">
        <v>264.71677707585860448472710402</v>
      </c>
      <c r="O47" s="277">
        <v>181.07318827104106311097195051</v>
      </c>
      <c r="P47" s="5"/>
      <c r="Q47" s="271">
        <v>118.84212517459329187610790328</v>
      </c>
      <c r="R47" s="92">
        <v>72.369515525883176714315751680</v>
      </c>
      <c r="S47" s="272">
        <v>119.29576110890013689531249734</v>
      </c>
      <c r="T47" s="271">
        <v>43.680536998165938410443954170</v>
      </c>
      <c r="U47" s="92">
        <v>-46.277564226843165404964685430</v>
      </c>
      <c r="V47" s="272">
        <v>-37.602290015121321099029734580</v>
      </c>
      <c r="W47" s="271">
        <v>0</v>
      </c>
      <c r="X47" s="92">
        <v>0</v>
      </c>
      <c r="Y47" s="272">
        <v>1.8184339029039921882284243600</v>
      </c>
      <c r="Z47" s="271">
        <v>113.11752762263246411322973897</v>
      </c>
      <c r="AA47" s="92">
        <v>58.584994568600500583095779890</v>
      </c>
      <c r="AB47" s="272">
        <v>79.77366106775102144390774097</v>
      </c>
    </row>
    <row r="48" ht="18" customHeight="1">
      <c r="A48" s="58"/>
      <c r="B48" s="1047" t="s">
        <v>76</v>
      </c>
      <c r="C48" s="1047"/>
      <c r="D48" s="443">
        <v>284.49675312247930091418620789</v>
      </c>
      <c r="E48" s="444">
        <v>249.93159908899137542571842013</v>
      </c>
      <c r="F48" s="445">
        <v>159.43533545467306699813756443</v>
      </c>
      <c r="G48" s="443">
        <v>8.660876455992863035542280263</v>
      </c>
      <c r="H48" s="444">
        <v>9.971463767310788410166980009</v>
      </c>
      <c r="I48" s="445">
        <v>14.177219994710270172553364152</v>
      </c>
      <c r="J48" s="443">
        <v>0</v>
      </c>
      <c r="K48" s="444">
        <v>0</v>
      </c>
      <c r="L48" s="445">
        <v>5.4618849420041486585250948624</v>
      </c>
      <c r="M48" s="443">
        <v>293.15762957847216394972848801</v>
      </c>
      <c r="N48" s="444">
        <v>259.90306285630216383588539994</v>
      </c>
      <c r="O48" s="445">
        <v>179.0744403913874858292160233</v>
      </c>
      <c r="P48" s="93"/>
      <c r="Q48" s="273">
        <v>144.22952538339867069459871040</v>
      </c>
      <c r="R48" s="274">
        <v>73.739167706272308185783259200</v>
      </c>
      <c r="S48" s="275">
        <v>124.84890262916636653001078440</v>
      </c>
      <c r="T48" s="273">
        <v>24.943948637762136871331157430</v>
      </c>
      <c r="U48" s="274">
        <v>-47.094660863743066268562179010</v>
      </c>
      <c r="V48" s="275">
        <v>-36.819624639580074862995785170</v>
      </c>
      <c r="W48" s="273">
        <v>0</v>
      </c>
      <c r="X48" s="274">
        <v>0</v>
      </c>
      <c r="Y48" s="275">
        <v>3.2588388068972794905046391600</v>
      </c>
      <c r="Z48" s="273">
        <v>115.35158098944328784932170737</v>
      </c>
      <c r="AA48" s="274">
        <v>59.097947004346657574886249340</v>
      </c>
      <c r="AB48" s="275">
        <v>81.55039019214482931205926378</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187.49169779991697799916977999</v>
      </c>
      <c r="E50" s="483">
        <v>165.6360902394162167186360888</v>
      </c>
      <c r="F50" s="484">
        <v>114.19470561561868650846286986</v>
      </c>
      <c r="G50" s="482">
        <v>7.386986301369863013698630137</v>
      </c>
      <c r="H50" s="483">
        <v>7.2026972750990629626821568151</v>
      </c>
      <c r="I50" s="484">
        <v>10.901182169621939212992928819</v>
      </c>
      <c r="J50" s="482">
        <v>0</v>
      </c>
      <c r="K50" s="483">
        <v>0.0128808474479688238104226409</v>
      </c>
      <c r="L50" s="484">
        <v>5.489699836918894312999295458</v>
      </c>
      <c r="M50" s="482">
        <v>194.87868410128684101286841013</v>
      </c>
      <c r="N50" s="483">
        <v>172.85166836196324850512866826</v>
      </c>
      <c r="O50" s="484">
        <v>130.58558762215952003445509414</v>
      </c>
      <c r="P50" s="93"/>
      <c r="Q50" s="468">
        <v>116.69417069154103083077492686</v>
      </c>
      <c r="R50" s="469">
        <v>57.928597573415092841243575810</v>
      </c>
      <c r="S50" s="470">
        <v>102.06061626562180780848007439</v>
      </c>
      <c r="T50" s="468">
        <v>-50.523122450706638187318117750</v>
      </c>
      <c r="U50" s="469">
        <v>-58.333688776720443830737833220</v>
      </c>
      <c r="V50" s="470">
        <v>-46.082191570528168889253102350</v>
      </c>
      <c r="W50" s="468">
        <v>0</v>
      </c>
      <c r="X50" s="469">
        <v>0</v>
      </c>
      <c r="Y50" s="470">
        <v>14.458190988333062266247780560</v>
      </c>
      <c r="Z50" s="468">
        <v>92.08608826616171883247526863</v>
      </c>
      <c r="AA50" s="469">
        <v>41.488034967626444563805500030</v>
      </c>
      <c r="AB50" s="470">
        <v>60.169797960491953342592436180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197</v>
      </c>
      <c r="AD1" s="5"/>
      <c r="AG1" s="685"/>
      <c r="AI1" s="236"/>
    </row>
    <row r="2" ht="21" customHeight="1">
      <c r="B2" s="11" t="s">
        <v>208</v>
      </c>
    </row>
    <row r="3" ht="21" customHeight="1">
      <c r="B3" s="11" t="s">
        <v>209</v>
      </c>
      <c r="U3" s="1040" t="s">
        <v>303</v>
      </c>
      <c r="V3" s="1040"/>
      <c r="W3" s="1040"/>
      <c r="X3" s="1040"/>
      <c r="Y3" s="1040"/>
      <c r="Z3" s="1040"/>
      <c r="AA3" s="1040"/>
      <c r="AB3" s="1040"/>
      <c r="AC3" s="1040"/>
      <c r="AD3" s="1040"/>
      <c r="AE3" s="1040"/>
      <c r="AF3" s="1040"/>
      <c r="AG3" s="1040"/>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60" t="s">
        <v>91</v>
      </c>
      <c r="E6" s="960"/>
      <c r="F6" s="960"/>
      <c r="G6" s="960"/>
      <c r="H6" s="960"/>
      <c r="I6" s="960"/>
      <c r="J6" s="960"/>
      <c r="K6" s="960"/>
      <c r="L6" s="960"/>
      <c r="M6" s="960"/>
      <c r="N6" s="960"/>
      <c r="O6" s="960"/>
      <c r="Q6" s="960" t="s">
        <v>70</v>
      </c>
      <c r="R6" s="960"/>
      <c r="S6" s="960"/>
      <c r="T6" s="960"/>
      <c r="U6" s="960"/>
      <c r="V6" s="960"/>
      <c r="W6" s="960"/>
      <c r="X6" s="960"/>
      <c r="Y6" s="960"/>
      <c r="Z6" s="960"/>
      <c r="AA6" s="960"/>
      <c r="AB6" s="960"/>
      <c r="AD6" s="960" t="s">
        <v>77</v>
      </c>
      <c r="AE6" s="960"/>
      <c r="AF6" s="960"/>
      <c r="AG6" s="960"/>
    </row>
    <row r="7" ht="24.95" customHeight="1">
      <c r="D7" s="283" t="s">
        <v>20</v>
      </c>
      <c r="E7" s="283"/>
      <c r="F7" s="283"/>
      <c r="G7" s="283" t="s">
        <v>18</v>
      </c>
      <c r="H7" s="283"/>
      <c r="I7" s="283"/>
      <c r="J7" s="283" t="s">
        <v>17</v>
      </c>
      <c r="K7" s="283"/>
      <c r="L7" s="283"/>
      <c r="M7" s="283" t="s">
        <v>101</v>
      </c>
      <c r="N7" s="283"/>
      <c r="O7" s="283"/>
      <c r="Q7" s="283" t="s">
        <v>20</v>
      </c>
      <c r="R7" s="283"/>
      <c r="S7" s="283"/>
      <c r="T7" s="283" t="s">
        <v>18</v>
      </c>
      <c r="U7" s="283"/>
      <c r="V7" s="283"/>
      <c r="W7" s="283" t="s">
        <v>17</v>
      </c>
      <c r="X7" s="283"/>
      <c r="Y7" s="283"/>
      <c r="Z7" s="283" t="s">
        <v>101</v>
      </c>
      <c r="AA7" s="283"/>
      <c r="AB7" s="283"/>
      <c r="AD7" s="283" t="s">
        <v>78</v>
      </c>
      <c r="AE7" s="283"/>
      <c r="AF7" s="283"/>
      <c r="AG7" s="283"/>
    </row>
    <row r="8" ht="30"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2020</v>
      </c>
      <c r="C9" s="285" t="s">
        <v>218</v>
      </c>
      <c r="D9" s="434">
        <v>137.33955223880597014925373134</v>
      </c>
      <c r="E9" s="435">
        <v>124.91655570350643586329338657</v>
      </c>
      <c r="F9" s="436">
        <v>112.91588785046728971962616822</v>
      </c>
      <c r="G9" s="434">
        <v>9.031716417910447761194029851</v>
      </c>
      <c r="H9" s="435"/>
      <c r="I9" s="436">
        <v>19.762553188019105902243996946</v>
      </c>
      <c r="J9" s="434">
        <v>15.979477611940298507462686567</v>
      </c>
      <c r="K9" s="435"/>
      <c r="L9" s="436">
        <v>23.708100022113903461427451666</v>
      </c>
      <c r="M9" s="434">
        <v>162.35074626865671641791044776</v>
      </c>
      <c r="N9" s="435"/>
      <c r="O9" s="436">
        <v>156.38654106060029908329761684</v>
      </c>
      <c r="P9" s="5"/>
      <c r="Q9" s="415">
        <v>-12.777911134788879084378639770</v>
      </c>
      <c r="R9" s="416">
        <v>-24.442484264193335128575138820</v>
      </c>
      <c r="S9" s="417">
        <v>-21.241519568444252921197763550</v>
      </c>
      <c r="T9" s="415">
        <v>-68.823468677819342479033090370</v>
      </c>
      <c r="U9" s="416"/>
      <c r="V9" s="417">
        <v>-47.465746370744394786485309890</v>
      </c>
      <c r="W9" s="415">
        <v>-47.687853194025160059900064930</v>
      </c>
      <c r="X9" s="416"/>
      <c r="Y9" s="417">
        <v>63.202705627275892223610288670</v>
      </c>
      <c r="Z9" s="415">
        <v>-25.175574456917406188571227470</v>
      </c>
      <c r="AA9" s="416"/>
      <c r="AB9" s="417">
        <v>-20.013025876847600183856541430</v>
      </c>
      <c r="AC9" s="5"/>
      <c r="AD9" s="427" t="s">
        <v>226</v>
      </c>
      <c r="AE9" s="428"/>
      <c r="AF9" s="428"/>
      <c r="AG9" s="429"/>
    </row>
    <row r="10" ht="20.1" customHeight="1">
      <c r="A10" s="58"/>
      <c r="B10" s="286"/>
      <c r="C10" s="287" t="s">
        <v>219</v>
      </c>
      <c r="D10" s="276">
        <v>110.25358851674641148325358852</v>
      </c>
      <c r="E10" s="94">
        <v>103.23243102550754815200416449</v>
      </c>
      <c r="F10" s="277">
        <v>109.77488230223459982759763941</v>
      </c>
      <c r="G10" s="276">
        <v>8.983732057416267942583732057</v>
      </c>
      <c r="H10" s="94"/>
      <c r="I10" s="277">
        <v>19.613572557329374933587221966</v>
      </c>
      <c r="J10" s="276">
        <v>25</v>
      </c>
      <c r="K10" s="94"/>
      <c r="L10" s="277">
        <v>18.240893789896183114991030731</v>
      </c>
      <c r="M10" s="276">
        <v>144.23732057416267942583732057</v>
      </c>
      <c r="N10" s="94"/>
      <c r="O10" s="277">
        <v>147.62934864946015787617589212</v>
      </c>
      <c r="P10" s="5"/>
      <c r="Q10" s="271">
        <v>-18.810593485602468349968749560</v>
      </c>
      <c r="R10" s="92">
        <v>-30.580448521034715515016937090</v>
      </c>
      <c r="S10" s="272">
        <v>-19.46350305623297467379647100</v>
      </c>
      <c r="T10" s="271">
        <v>-57.949831707915126204558697210</v>
      </c>
      <c r="U10" s="92"/>
      <c r="V10" s="272">
        <v>-46.854126210465520605953384750</v>
      </c>
      <c r="W10" s="271">
        <v>-22.999416370352630863435882640</v>
      </c>
      <c r="X10" s="92"/>
      <c r="Y10" s="272">
        <v>21.493896051667901083293522110</v>
      </c>
      <c r="Z10" s="271">
        <v>-23.937339855655833285267095750</v>
      </c>
      <c r="AA10" s="92"/>
      <c r="AB10" s="272">
        <v>-21.567001202038281343353241810</v>
      </c>
      <c r="AC10" s="5"/>
      <c r="AD10" s="271" t="s">
        <v>224</v>
      </c>
      <c r="AE10" s="92"/>
      <c r="AF10" s="92"/>
      <c r="AG10" s="272"/>
    </row>
    <row r="11" ht="20.1" customHeight="1">
      <c r="A11" s="58"/>
      <c r="B11" s="288"/>
      <c r="C11" s="289" t="s">
        <v>220</v>
      </c>
      <c r="D11" s="439">
        <v>112.30937167199148029818956337</v>
      </c>
      <c r="E11" s="95">
        <v>124.3186705767350928641251222</v>
      </c>
      <c r="F11" s="442">
        <v>114.90197827144478676828279552</v>
      </c>
      <c r="G11" s="439">
        <v>8.092651757188498402555910543</v>
      </c>
      <c r="H11" s="95"/>
      <c r="I11" s="442">
        <v>22.818099130778341354326985398</v>
      </c>
      <c r="J11" s="439">
        <v>24.009584664536741214057507987</v>
      </c>
      <c r="K11" s="95"/>
      <c r="L11" s="442">
        <v>28.010602715438615333605834193</v>
      </c>
      <c r="M11" s="439">
        <v>144.4116080937167199148029819</v>
      </c>
      <c r="N11" s="95"/>
      <c r="O11" s="442">
        <v>165.73068011766174345621561513</v>
      </c>
      <c r="P11" s="5"/>
      <c r="Q11" s="497">
        <v>-9.261080772852987257930738320</v>
      </c>
      <c r="R11" s="216">
        <v>-7.7219734598496942667989761500</v>
      </c>
      <c r="S11" s="498">
        <v>-14.445012144246645265856050790</v>
      </c>
      <c r="T11" s="497">
        <v>-55.084497322897021874753589980</v>
      </c>
      <c r="U11" s="216"/>
      <c r="V11" s="498">
        <v>-51.816417192805428437076495870</v>
      </c>
      <c r="W11" s="497">
        <v>-24.522637469695323321208704730</v>
      </c>
      <c r="X11" s="216"/>
      <c r="Y11" s="498">
        <v>90.02642358491524645279133559</v>
      </c>
      <c r="Z11" s="497">
        <v>-16.813499138889428995709857990</v>
      </c>
      <c r="AA11" s="216"/>
      <c r="AB11" s="498">
        <v>-15.615254277358783056456968110</v>
      </c>
      <c r="AC11" s="5"/>
      <c r="AD11" s="420" t="s">
        <v>235</v>
      </c>
      <c r="AE11" s="91"/>
      <c r="AF11" s="91"/>
      <c r="AG11" s="421"/>
    </row>
    <row r="12" ht="20.1" customHeight="1">
      <c r="A12" s="58"/>
      <c r="B12" s="286"/>
      <c r="C12" s="287" t="s">
        <v>221</v>
      </c>
      <c r="D12" s="276">
        <v>119.25265588914549653579676674</v>
      </c>
      <c r="E12" s="94">
        <v>128.85117080879184025283723603</v>
      </c>
      <c r="F12" s="277">
        <v>118.20231662195323526046103574</v>
      </c>
      <c r="G12" s="276">
        <v>11.55889145496535796766743649</v>
      </c>
      <c r="H12" s="94"/>
      <c r="I12" s="277">
        <v>26.178324522152679466262869213</v>
      </c>
      <c r="J12" s="276">
        <v>24.08267898383371824480369515</v>
      </c>
      <c r="K12" s="94"/>
      <c r="L12" s="277">
        <v>24.429353156356042109435888653</v>
      </c>
      <c r="M12" s="276">
        <v>154.89422632794457274826789838</v>
      </c>
      <c r="N12" s="94"/>
      <c r="O12" s="277">
        <v>168.80999430046195683615979361</v>
      </c>
      <c r="P12" s="5"/>
      <c r="Q12" s="271">
        <v>-17.032278935931160348737112620</v>
      </c>
      <c r="R12" s="92">
        <v>-15.689308782595720996213757850</v>
      </c>
      <c r="S12" s="272">
        <v>-24.384675520797153959161471180</v>
      </c>
      <c r="T12" s="271">
        <v>-58.473871236348409312556017820</v>
      </c>
      <c r="U12" s="92"/>
      <c r="V12" s="272">
        <v>-50.924048687707179087022015790</v>
      </c>
      <c r="W12" s="271">
        <v>-18.330854436884585398745306870</v>
      </c>
      <c r="X12" s="92"/>
      <c r="Y12" s="272">
        <v>65.264862082388156093876153740</v>
      </c>
      <c r="Z12" s="271">
        <v>-22.960089730493032230034836110</v>
      </c>
      <c r="AA12" s="92"/>
      <c r="AB12" s="272">
        <v>-24.787810396737052452186252510</v>
      </c>
      <c r="AC12" s="5"/>
      <c r="AD12" s="271" t="s">
        <v>235</v>
      </c>
      <c r="AE12" s="92"/>
      <c r="AF12" s="92"/>
      <c r="AG12" s="272"/>
    </row>
    <row r="13" ht="20.1" customHeight="1">
      <c r="A13" s="58"/>
      <c r="B13" s="288"/>
      <c r="C13" s="289" t="s">
        <v>222</v>
      </c>
      <c r="D13" s="439">
        <v>126.34193862640038967364831953</v>
      </c>
      <c r="E13" s="95">
        <v>125.98155880306193458594293669</v>
      </c>
      <c r="F13" s="442">
        <v>117.9781393044216884526449908</v>
      </c>
      <c r="G13" s="439">
        <v>13.439357038480272771553823673</v>
      </c>
      <c r="H13" s="95"/>
      <c r="I13" s="442">
        <v>20.547714321788238021509313188</v>
      </c>
      <c r="J13" s="439">
        <v>23.780808572820263029712615684</v>
      </c>
      <c r="K13" s="95"/>
      <c r="L13" s="442">
        <v>19.415553593756741866178233736</v>
      </c>
      <c r="M13" s="439">
        <v>163.56210423770092547491475889</v>
      </c>
      <c r="N13" s="95"/>
      <c r="O13" s="442">
        <v>157.94140721996666834033253772</v>
      </c>
      <c r="P13" s="5"/>
      <c r="Q13" s="420">
        <v>-25.553202232646594983966306910</v>
      </c>
      <c r="R13" s="91">
        <v>-29.846544754773917631945125960</v>
      </c>
      <c r="S13" s="498">
        <v>-30.913718916519196658100848170</v>
      </c>
      <c r="T13" s="420">
        <v>-69.897269250833124827125771140</v>
      </c>
      <c r="U13" s="91"/>
      <c r="V13" s="498">
        <v>-63.040337478868083444433485550</v>
      </c>
      <c r="W13" s="420">
        <v>-41.746053661222807575059827250</v>
      </c>
      <c r="X13" s="91"/>
      <c r="Y13" s="498">
        <v>-48.809609656474777498826719620</v>
      </c>
      <c r="Z13" s="420">
        <v>-35.902067626476431920347809340</v>
      </c>
      <c r="AA13" s="91"/>
      <c r="AB13" s="498">
        <v>-40.239890684487117346635215600</v>
      </c>
      <c r="AC13" s="5"/>
      <c r="AD13" s="420" t="s">
        <v>235</v>
      </c>
      <c r="AE13" s="91"/>
      <c r="AF13" s="91"/>
      <c r="AG13" s="421"/>
    </row>
    <row r="14" ht="20.1" customHeight="1">
      <c r="A14" s="58"/>
      <c r="B14" s="286"/>
      <c r="C14" s="287" t="s">
        <v>223</v>
      </c>
      <c r="D14" s="276">
        <v>165.20900102284350494374360723</v>
      </c>
      <c r="E14" s="94">
        <v>177.88107891306527624586383235</v>
      </c>
      <c r="F14" s="277">
        <v>150.38418177760960891036275965</v>
      </c>
      <c r="G14" s="276">
        <v>17.378793044664166382543470849</v>
      </c>
      <c r="H14" s="94"/>
      <c r="I14" s="277">
        <v>22.798393991354267507732045449</v>
      </c>
      <c r="J14" s="276">
        <v>22.25946130242072962836685987</v>
      </c>
      <c r="K14" s="94"/>
      <c r="L14" s="277">
        <v>21.167856335430077432456319767</v>
      </c>
      <c r="M14" s="276">
        <v>204.84725536992840095465393795</v>
      </c>
      <c r="N14" s="94"/>
      <c r="O14" s="277">
        <v>194.35043210439395385055112487</v>
      </c>
      <c r="P14" s="5"/>
      <c r="Q14" s="271">
        <v>-34.081338107853217295269365600</v>
      </c>
      <c r="R14" s="92">
        <v>-38.411044588654464181722994810</v>
      </c>
      <c r="S14" s="272">
        <v>-29.796356626057946116237446690</v>
      </c>
      <c r="T14" s="271">
        <v>-66.072256340961639483392598450</v>
      </c>
      <c r="U14" s="92"/>
      <c r="V14" s="272">
        <v>-54.858530591782642927498691030</v>
      </c>
      <c r="W14" s="271">
        <v>-24.077843486772604825020735300</v>
      </c>
      <c r="X14" s="92"/>
      <c r="Y14" s="272">
        <v>31.623232615601495059478753260</v>
      </c>
      <c r="Z14" s="271">
        <v>-38.143873939742081217153023400</v>
      </c>
      <c r="AA14" s="92"/>
      <c r="AB14" s="272">
        <v>-30.786352156261903847093483290</v>
      </c>
      <c r="AC14" s="5"/>
      <c r="AD14" s="271" t="s">
        <v>235</v>
      </c>
      <c r="AE14" s="92"/>
      <c r="AF14" s="92"/>
      <c r="AG14" s="272"/>
    </row>
    <row r="15" ht="20.1" customHeight="1">
      <c r="A15" s="58"/>
      <c r="B15" s="288">
        <v>2021</v>
      </c>
      <c r="C15" s="289" t="s">
        <v>227</v>
      </c>
      <c r="D15" s="439">
        <v>167.68451188090466647580876038</v>
      </c>
      <c r="E15" s="95">
        <v>184.34108457711442786069651741</v>
      </c>
      <c r="F15" s="442">
        <v>160.04238945892079427179449325</v>
      </c>
      <c r="G15" s="439">
        <v>18.720011451474377326080732894</v>
      </c>
      <c r="H15" s="95">
        <v>76.08705267567654262183293674</v>
      </c>
      <c r="I15" s="442">
        <v>25.000421728791329329443536786</v>
      </c>
      <c r="J15" s="439">
        <v>23.673346693386773547094188377</v>
      </c>
      <c r="K15" s="95">
        <v>36.216968848283437265614218157</v>
      </c>
      <c r="L15" s="442">
        <v>22.790100409266834373282766568</v>
      </c>
      <c r="M15" s="439">
        <v>210.07787002576581734898368165</v>
      </c>
      <c r="N15" s="95">
        <v>296.64510610107440774814367231</v>
      </c>
      <c r="O15" s="442">
        <v>207.83291159697895797452079661</v>
      </c>
      <c r="P15" s="5"/>
      <c r="Q15" s="420">
        <v>-46.116208887631862448077234380</v>
      </c>
      <c r="R15" s="91">
        <v>-38.383846519955655874364739830</v>
      </c>
      <c r="S15" s="498">
        <v>-36.824292283529379111811149840</v>
      </c>
      <c r="T15" s="420">
        <v>-65.424832197242237631325373060</v>
      </c>
      <c r="U15" s="91">
        <v>-1.7190109517615620310082049300</v>
      </c>
      <c r="V15" s="498">
        <v>-55.296558774164673232309553740</v>
      </c>
      <c r="W15" s="420">
        <v>-17.184915048918722411561638160</v>
      </c>
      <c r="X15" s="91">
        <v>239.35852804992454130315779213</v>
      </c>
      <c r="Y15" s="498">
        <v>62.307367450277810843182334730</v>
      </c>
      <c r="Z15" s="420">
        <v>-46.670632979812726711343461640</v>
      </c>
      <c r="AA15" s="91">
        <v>-23.400289049616170956747127370</v>
      </c>
      <c r="AB15" s="498">
        <v>-35.714232623255827215698507830</v>
      </c>
      <c r="AC15" s="5"/>
      <c r="AD15" s="420" t="s">
        <v>236</v>
      </c>
      <c r="AE15" s="91" t="s">
        <v>226</v>
      </c>
      <c r="AF15" s="91" t="s">
        <v>225</v>
      </c>
      <c r="AG15" s="421" t="s">
        <v>225</v>
      </c>
    </row>
    <row r="16" ht="20.1" customHeight="1">
      <c r="A16" s="58"/>
      <c r="B16" s="286"/>
      <c r="C16" s="287" t="s">
        <v>230</v>
      </c>
      <c r="D16" s="276">
        <v>203.34657574859175807886154758</v>
      </c>
      <c r="E16" s="94">
        <v>211.58891276321443919209282338</v>
      </c>
      <c r="F16" s="277">
        <v>174.25481867422477214909432607</v>
      </c>
      <c r="G16" s="276">
        <v>33.957604506374147643047731989</v>
      </c>
      <c r="H16" s="94">
        <v>84.4075347473430092481516969</v>
      </c>
      <c r="I16" s="277">
        <v>26.221923117554991221713332147</v>
      </c>
      <c r="J16" s="276">
        <v>18.31663207826860361695819745</v>
      </c>
      <c r="K16" s="94">
        <v>21.500042220632793307314796565</v>
      </c>
      <c r="L16" s="277">
        <v>20.502687544625138265194755447</v>
      </c>
      <c r="M16" s="276">
        <v>255.62081233323450933886747702</v>
      </c>
      <c r="N16" s="94">
        <v>317.49648973119024174755931684</v>
      </c>
      <c r="O16" s="277">
        <v>220.97942933640490163600241367</v>
      </c>
      <c r="P16" s="5"/>
      <c r="Q16" s="271">
        <v>-39.284651729521294181115037140</v>
      </c>
      <c r="R16" s="92">
        <v>-36.951616388661150588819537150</v>
      </c>
      <c r="S16" s="272">
        <v>-37.477797149246269448539033610</v>
      </c>
      <c r="T16" s="271">
        <v>-48.815078989601995494639228810</v>
      </c>
      <c r="U16" s="92">
        <v>33.079827397757389811647969460</v>
      </c>
      <c r="V16" s="272">
        <v>-60.470847642149544439656426040</v>
      </c>
      <c r="W16" s="271">
        <v>-30.840902729580792089471841470</v>
      </c>
      <c r="X16" s="92">
        <v>57.664020383504604230204263980</v>
      </c>
      <c r="Y16" s="272">
        <v>30.600943570608117217122800110</v>
      </c>
      <c r="Z16" s="271">
        <v>-40.240000243112961650717333640</v>
      </c>
      <c r="AA16" s="92">
        <v>-23.061098150917539218019991540</v>
      </c>
      <c r="AB16" s="272">
        <v>-38.743266878846575668017382260</v>
      </c>
      <c r="AC16" s="5"/>
      <c r="AD16" s="271" t="s">
        <v>236</v>
      </c>
      <c r="AE16" s="92" t="s">
        <v>226</v>
      </c>
      <c r="AF16" s="92" t="s">
        <v>225</v>
      </c>
      <c r="AG16" s="272" t="s">
        <v>225</v>
      </c>
    </row>
    <row r="17" ht="20.1" customHeight="1">
      <c r="A17" s="58"/>
      <c r="B17" s="288"/>
      <c r="C17" s="289" t="s">
        <v>231</v>
      </c>
      <c r="D17" s="439">
        <v>236.42155525238744884038199181</v>
      </c>
      <c r="E17" s="95">
        <v>264.92983969520523326863633095</v>
      </c>
      <c r="F17" s="442">
        <v>203.10052439894369281986458242</v>
      </c>
      <c r="G17" s="439">
        <v>38.942974079126875852660300136</v>
      </c>
      <c r="H17" s="95"/>
      <c r="I17" s="442">
        <v>27.321269230616830241535990999</v>
      </c>
      <c r="J17" s="439">
        <v>21.99236016371077762619372442</v>
      </c>
      <c r="K17" s="95"/>
      <c r="L17" s="442">
        <v>19.181842255275728234356882448</v>
      </c>
      <c r="M17" s="439">
        <v>297.35688949522510231923601637</v>
      </c>
      <c r="N17" s="95"/>
      <c r="O17" s="442">
        <v>249.60363588483625129575745587</v>
      </c>
      <c r="P17" s="5"/>
      <c r="Q17" s="420">
        <v>5.8718794580687135096387704100</v>
      </c>
      <c r="R17" s="91">
        <v>4.3150652902973028350434512900</v>
      </c>
      <c r="S17" s="498">
        <v>-0.7902443771276508398451603200</v>
      </c>
      <c r="T17" s="420">
        <v>-20.329310660650655222338899620</v>
      </c>
      <c r="U17" s="91"/>
      <c r="V17" s="498">
        <v>-49.507651862448707910034124620</v>
      </c>
      <c r="W17" s="420">
        <v>-56.904781956308525189977343720</v>
      </c>
      <c r="X17" s="91"/>
      <c r="Y17" s="498">
        <v>-28.233637721558036267049667360</v>
      </c>
      <c r="Z17" s="420">
        <v>-8.002006332455158655393270300</v>
      </c>
      <c r="AA17" s="91"/>
      <c r="AB17" s="498">
        <v>-12.590363984078715306465959360</v>
      </c>
      <c r="AC17" s="5"/>
      <c r="AD17" s="420" t="s">
        <v>237</v>
      </c>
      <c r="AE17" s="91"/>
      <c r="AF17" s="91"/>
      <c r="AG17" s="421"/>
    </row>
    <row r="18" ht="20.1" customHeight="1">
      <c r="A18" s="58"/>
      <c r="B18" s="286"/>
      <c r="C18" s="287" t="s">
        <v>232</v>
      </c>
      <c r="D18" s="276">
        <v>240.30954380072767982087881332</v>
      </c>
      <c r="E18" s="94">
        <v>256.66686838124054462934947053</v>
      </c>
      <c r="F18" s="277">
        <v>204.77525432636360223732122077</v>
      </c>
      <c r="G18" s="276">
        <v>44.104394066610691295829834873</v>
      </c>
      <c r="H18" s="94">
        <v>70.0144041434066227821835426</v>
      </c>
      <c r="I18" s="277">
        <v>32.303450764421533241174118425</v>
      </c>
      <c r="J18" s="276">
        <v>23.582143856703050657710607333</v>
      </c>
      <c r="K18" s="94">
        <v>20.702749163876420037856258921</v>
      </c>
      <c r="L18" s="277">
        <v>18.606380713465910421632760065</v>
      </c>
      <c r="M18" s="276">
        <v>307.99608172404142177441925553</v>
      </c>
      <c r="N18" s="94">
        <v>347.38402168852358744938927205</v>
      </c>
      <c r="O18" s="277">
        <v>255.68508580425104590012809925</v>
      </c>
      <c r="P18" s="5"/>
      <c r="Q18" s="271"/>
      <c r="R18" s="92"/>
      <c r="S18" s="272">
        <v>107.77590196374288357528821139</v>
      </c>
      <c r="T18" s="271"/>
      <c r="U18" s="92"/>
      <c r="V18" s="272">
        <v>33.674694994100283498428790410</v>
      </c>
      <c r="W18" s="271"/>
      <c r="X18" s="92"/>
      <c r="Y18" s="272">
        <v>104.98347617033271532108583576</v>
      </c>
      <c r="Z18" s="271"/>
      <c r="AA18" s="92"/>
      <c r="AB18" s="272">
        <v>93.99687560285620570882086927</v>
      </c>
      <c r="AC18" s="5"/>
      <c r="AD18" s="271" t="s">
        <v>237</v>
      </c>
      <c r="AE18" s="92" t="s">
        <v>235</v>
      </c>
      <c r="AF18" s="92" t="s">
        <v>235</v>
      </c>
      <c r="AG18" s="272" t="s">
        <v>229</v>
      </c>
    </row>
    <row r="19" ht="20.1" customHeight="1">
      <c r="A19" s="58"/>
      <c r="B19" s="288"/>
      <c r="C19" s="289" t="s">
        <v>233</v>
      </c>
      <c r="D19" s="439">
        <v>270.11892752853729758428457659</v>
      </c>
      <c r="E19" s="95">
        <v>277.573555404486743711760707</v>
      </c>
      <c r="F19" s="442">
        <v>216.93938819707634001082837033</v>
      </c>
      <c r="G19" s="439">
        <v>38.057074595168569153172285638</v>
      </c>
      <c r="H19" s="95">
        <v>69.298379547297293265151479075</v>
      </c>
      <c r="I19" s="442">
        <v>33.850188705478739895206065833</v>
      </c>
      <c r="J19" s="439">
        <v>22.606848951420228298380674277</v>
      </c>
      <c r="K19" s="95">
        <v>20.269287262069175958955887103</v>
      </c>
      <c r="L19" s="442">
        <v>19.279238823134638190881929522</v>
      </c>
      <c r="M19" s="439">
        <v>330.7828510751260950358375365</v>
      </c>
      <c r="N19" s="95">
        <v>367.14122221385321293586807317</v>
      </c>
      <c r="O19" s="442">
        <v>270.06881572568971809691636568</v>
      </c>
      <c r="P19" s="5"/>
      <c r="Q19" s="420"/>
      <c r="R19" s="91"/>
      <c r="S19" s="498">
        <v>144.47994255610171961486947321</v>
      </c>
      <c r="T19" s="420"/>
      <c r="U19" s="91"/>
      <c r="V19" s="498">
        <v>153.60557115703017854238700715</v>
      </c>
      <c r="W19" s="420"/>
      <c r="X19" s="91"/>
      <c r="Y19" s="498">
        <v>232.09347644003773692988058916</v>
      </c>
      <c r="Z19" s="420"/>
      <c r="AA19" s="91"/>
      <c r="AB19" s="498">
        <v>150.32335093158210931990784945</v>
      </c>
      <c r="AC19" s="5"/>
      <c r="AD19" s="420" t="s">
        <v>237</v>
      </c>
      <c r="AE19" s="91" t="s">
        <v>235</v>
      </c>
      <c r="AF19" s="91" t="s">
        <v>235</v>
      </c>
      <c r="AG19" s="421" t="s">
        <v>229</v>
      </c>
    </row>
    <row r="20" ht="20.1" customHeight="1">
      <c r="A20" s="58"/>
      <c r="B20" s="286"/>
      <c r="C20" s="287" t="s">
        <v>234</v>
      </c>
      <c r="D20" s="276">
        <v>230.05903448275862068965517241</v>
      </c>
      <c r="E20" s="94">
        <v>247.71128914785142024763292064</v>
      </c>
      <c r="F20" s="277">
        <v>203.70302102587800369685767098</v>
      </c>
      <c r="G20" s="276">
        <v>38.003310344827586206896551724</v>
      </c>
      <c r="H20" s="94">
        <v>56.913470882736107543324327773</v>
      </c>
      <c r="I20" s="277">
        <v>36.15097519920971309162246537</v>
      </c>
      <c r="J20" s="276">
        <v>27.542896551724137931034482759</v>
      </c>
      <c r="K20" s="94">
        <v>19.910863380745017298754288345</v>
      </c>
      <c r="L20" s="277">
        <v>19.507200350713096322579604675</v>
      </c>
      <c r="M20" s="276">
        <v>295.6052413793103448275862069</v>
      </c>
      <c r="N20" s="94">
        <v>324.53562341133254508971153676</v>
      </c>
      <c r="O20" s="277">
        <v>259.36119657580081311105974102</v>
      </c>
      <c r="P20" s="5"/>
      <c r="Q20" s="271">
        <v>83.81170284164697676533084190</v>
      </c>
      <c r="R20" s="92">
        <v>113.69942474427461439055638719</v>
      </c>
      <c r="S20" s="272">
        <v>73.369722553811954247748560510</v>
      </c>
      <c r="T20" s="271">
        <v>2895.2115068989885300942738890</v>
      </c>
      <c r="U20" s="92"/>
      <c r="V20" s="272">
        <v>117.92028331920667362611193834</v>
      </c>
      <c r="W20" s="271">
        <v>85.68826032029288192485104644</v>
      </c>
      <c r="X20" s="92"/>
      <c r="Y20" s="272">
        <v>-19.405890166936774728981326950</v>
      </c>
      <c r="Z20" s="271">
        <v>109.26050845972629005176246141</v>
      </c>
      <c r="AA20" s="92"/>
      <c r="AB20" s="272">
        <v>63.852288142042480487266231840</v>
      </c>
      <c r="AC20" s="5"/>
      <c r="AD20" s="271" t="s">
        <v>242</v>
      </c>
      <c r="AE20" s="92" t="s">
        <v>235</v>
      </c>
      <c r="AF20" s="92" t="s">
        <v>235</v>
      </c>
      <c r="AG20" s="272" t="s">
        <v>229</v>
      </c>
    </row>
    <row r="21" ht="20.1" customHeight="1">
      <c r="A21" s="58"/>
      <c r="B21" s="288"/>
      <c r="C21" s="289" t="s">
        <v>218</v>
      </c>
      <c r="D21" s="439">
        <v>267.21810005621135469364811692</v>
      </c>
      <c r="E21" s="95">
        <v>243.863366193099449115685706</v>
      </c>
      <c r="F21" s="442">
        <v>204.24169984587721551502697149</v>
      </c>
      <c r="G21" s="439">
        <v>42.230747611017425519955030916</v>
      </c>
      <c r="H21" s="95">
        <v>58.817629709759420624816861728</v>
      </c>
      <c r="I21" s="442">
        <v>33.303141585603500708227577267</v>
      </c>
      <c r="J21" s="439">
        <v>25.591905564924114671163575042</v>
      </c>
      <c r="K21" s="95">
        <v>19.201786334433000454806920811</v>
      </c>
      <c r="L21" s="442">
        <v>19.796347232749102225998883268</v>
      </c>
      <c r="M21" s="439">
        <v>335.04075323215289488476672288</v>
      </c>
      <c r="N21" s="95">
        <v>321.88278223729187019530948854</v>
      </c>
      <c r="O21" s="442">
        <v>257.34118866422981844925343202</v>
      </c>
      <c r="P21" s="5"/>
      <c r="Q21" s="420">
        <v>94.56747579283222250525818635</v>
      </c>
      <c r="R21" s="91">
        <v>95.22101359561158124362157758</v>
      </c>
      <c r="S21" s="498">
        <v>80.87950573996466874198797539</v>
      </c>
      <c r="T21" s="420">
        <v>367.58274570401827540705064231</v>
      </c>
      <c r="U21" s="91"/>
      <c r="V21" s="498">
        <v>68.516391929689872965353292620</v>
      </c>
      <c r="W21" s="420">
        <v>60.154832257255328750860985100</v>
      </c>
      <c r="X21" s="91"/>
      <c r="Y21" s="498">
        <v>-16.499646895805550887789784870</v>
      </c>
      <c r="Z21" s="420">
        <v>106.36847130818900732347904345</v>
      </c>
      <c r="AA21" s="91"/>
      <c r="AB21" s="498">
        <v>64.554562636249978501465765550</v>
      </c>
      <c r="AC21" s="5"/>
      <c r="AD21" s="420" t="s">
        <v>236</v>
      </c>
      <c r="AE21" s="91" t="s">
        <v>235</v>
      </c>
      <c r="AF21" s="91" t="s">
        <v>229</v>
      </c>
      <c r="AG21" s="421" t="s">
        <v>235</v>
      </c>
    </row>
    <row r="22" ht="20.1" customHeight="1">
      <c r="A22" s="58"/>
      <c r="B22" s="286"/>
      <c r="C22" s="287" t="s">
        <v>219</v>
      </c>
      <c r="D22" s="276">
        <v>206.73171670515781370284834488</v>
      </c>
      <c r="E22" s="94">
        <v>200.90484273589615576635047428</v>
      </c>
      <c r="F22" s="277">
        <v>166.62676694150559852942163065</v>
      </c>
      <c r="G22" s="276">
        <v>38.190531177829099307159353349</v>
      </c>
      <c r="H22" s="94">
        <v>81.565211723257236555507396</v>
      </c>
      <c r="I22" s="277">
        <v>34.704125377654554754817173442</v>
      </c>
      <c r="J22" s="276">
        <v>24.960739030023094688221709007</v>
      </c>
      <c r="K22" s="94">
        <v>31.203075743470023015323874476</v>
      </c>
      <c r="L22" s="277">
        <v>20.40171350374998559065101607</v>
      </c>
      <c r="M22" s="276">
        <v>269.88298691301000769822940724</v>
      </c>
      <c r="N22" s="94">
        <v>313.67313020262341533718174475</v>
      </c>
      <c r="O22" s="277">
        <v>221.73260582291013887488982016</v>
      </c>
      <c r="P22" s="5"/>
      <c r="Q22" s="271">
        <v>87.50565808009448037464337649</v>
      </c>
      <c r="R22" s="92">
        <v>94.61407693311956021689054908</v>
      </c>
      <c r="S22" s="272">
        <v>51.789520013146239637673848250</v>
      </c>
      <c r="T22" s="271">
        <v>325.10763827123644092977880746</v>
      </c>
      <c r="U22" s="92"/>
      <c r="V22" s="272">
        <v>76.939337676847572088070720600</v>
      </c>
      <c r="W22" s="271">
        <v>-0.1570438799076212471131639700</v>
      </c>
      <c r="X22" s="92"/>
      <c r="Y22" s="272">
        <v>11.846018834046572284137304010</v>
      </c>
      <c r="Z22" s="271">
        <v>87.11037187783456623826852017</v>
      </c>
      <c r="AA22" s="92"/>
      <c r="AB22" s="272">
        <v>50.195477966474870215260679820</v>
      </c>
      <c r="AC22" s="5"/>
      <c r="AD22" s="271" t="s">
        <v>236</v>
      </c>
      <c r="AE22" s="92" t="s">
        <v>226</v>
      </c>
      <c r="AF22" s="92" t="s">
        <v>226</v>
      </c>
      <c r="AG22" s="272" t="s">
        <v>225</v>
      </c>
    </row>
    <row r="23" ht="20.1" customHeight="1">
      <c r="A23" s="58"/>
      <c r="B23" s="288"/>
      <c r="C23" s="289" t="s">
        <v>220</v>
      </c>
      <c r="D23" s="439">
        <v>182.90093936806148590947907771</v>
      </c>
      <c r="E23" s="95">
        <v>186.20061962134251290877796902</v>
      </c>
      <c r="F23" s="442">
        <v>157.05728151715384328218912159</v>
      </c>
      <c r="G23" s="439">
        <v>38.356105892399658411614005124</v>
      </c>
      <c r="H23" s="95">
        <v>72.74430070301429062557309964</v>
      </c>
      <c r="I23" s="442">
        <v>36.474422613808620706938891776</v>
      </c>
      <c r="J23" s="439">
        <v>23.562339880444064901793339026</v>
      </c>
      <c r="K23" s="95">
        <v>18.89730231616948933328328428</v>
      </c>
      <c r="L23" s="442">
        <v>23.196199934447733095602047476</v>
      </c>
      <c r="M23" s="439">
        <v>244.81938514090520922288642186</v>
      </c>
      <c r="N23" s="95">
        <v>277.84222264052629286763435294</v>
      </c>
      <c r="O23" s="442">
        <v>216.72790406541019708473006084</v>
      </c>
      <c r="P23" s="5"/>
      <c r="Q23" s="420">
        <v>62.854565603148828120779834780</v>
      </c>
      <c r="R23" s="91">
        <v>49.776874831092768091764475470</v>
      </c>
      <c r="S23" s="498">
        <v>36.688056968159814159686081260</v>
      </c>
      <c r="T23" s="420">
        <v>373.96214545219227973150038222</v>
      </c>
      <c r="U23" s="91"/>
      <c r="V23" s="498">
        <v>59.848646483331460288349795130</v>
      </c>
      <c r="W23" s="420">
        <v>-1.8627760134360865599498341300</v>
      </c>
      <c r="X23" s="91"/>
      <c r="Y23" s="498">
        <v>-17.187787174266506159686848060</v>
      </c>
      <c r="Z23" s="420">
        <v>69.528882319527005397993780250</v>
      </c>
      <c r="AA23" s="91"/>
      <c r="AB23" s="498">
        <v>30.771142622170235600575399520</v>
      </c>
      <c r="AC23" s="5"/>
      <c r="AD23" s="420" t="s">
        <v>236</v>
      </c>
      <c r="AE23" s="91" t="s">
        <v>226</v>
      </c>
      <c r="AF23" s="91" t="s">
        <v>226</v>
      </c>
      <c r="AG23" s="421" t="s">
        <v>226</v>
      </c>
    </row>
    <row r="24" ht="20.1" customHeight="1">
      <c r="A24" s="59"/>
      <c r="B24" s="286"/>
      <c r="C24" s="287" t="s">
        <v>221</v>
      </c>
      <c r="D24" s="276">
        <v>185.16122584943371085942704863</v>
      </c>
      <c r="E24" s="94">
        <v>197.81733651226158038147138966</v>
      </c>
      <c r="F24" s="277">
        <v>167.94421092381312021394479283</v>
      </c>
      <c r="G24" s="276">
        <v>39.429380413057961359093937375</v>
      </c>
      <c r="H24" s="94">
        <v>58.71137652271561575798899981</v>
      </c>
      <c r="I24" s="277">
        <v>41.797738828095756341710276083</v>
      </c>
      <c r="J24" s="276">
        <v>22.919720186542305129913391073</v>
      </c>
      <c r="K24" s="94">
        <v>15.282217807171933272745857606</v>
      </c>
      <c r="L24" s="277">
        <v>18.908571563240130961974650559</v>
      </c>
      <c r="M24" s="276">
        <v>247.51032644903397734843437708</v>
      </c>
      <c r="N24" s="94">
        <v>271.81093084214912941220624708</v>
      </c>
      <c r="O24" s="277">
        <v>228.65052131514900751762971948</v>
      </c>
      <c r="P24" s="93"/>
      <c r="Q24" s="271">
        <v>55.268010149497998698846866090</v>
      </c>
      <c r="R24" s="92">
        <v>53.523895258817064313935972400</v>
      </c>
      <c r="S24" s="272">
        <v>42.081996126085299639724681090</v>
      </c>
      <c r="T24" s="271">
        <v>241.11731705899959382475174714</v>
      </c>
      <c r="U24" s="92"/>
      <c r="V24" s="272">
        <v>59.665446857189149517243874370</v>
      </c>
      <c r="W24" s="271">
        <v>-4.8290258656023985550536030200</v>
      </c>
      <c r="X24" s="92"/>
      <c r="Y24" s="272">
        <v>-22.598967552743143813653486920</v>
      </c>
      <c r="Z24" s="271">
        <v>59.793126133102157570413504250</v>
      </c>
      <c r="AA24" s="92"/>
      <c r="AB24" s="272">
        <v>35.448450349525167459757501840</v>
      </c>
      <c r="AC24" s="93"/>
      <c r="AD24" s="271" t="s">
        <v>313</v>
      </c>
      <c r="AE24" s="92" t="s">
        <v>235</v>
      </c>
      <c r="AF24" s="92" t="s">
        <v>229</v>
      </c>
      <c r="AG24" s="272" t="s">
        <v>229</v>
      </c>
    </row>
    <row r="25" ht="20.1" customHeight="1">
      <c r="A25" s="60"/>
      <c r="B25" s="288"/>
      <c r="C25" s="289" t="s">
        <v>222</v>
      </c>
      <c r="D25" s="439">
        <v>232.85902424423825202035318767</v>
      </c>
      <c r="E25" s="95">
        <v>241.59813583925433570173428071</v>
      </c>
      <c r="F25" s="442">
        <v>192.20582696905941277493387229</v>
      </c>
      <c r="G25" s="439">
        <v>45.228674049685722837473810236</v>
      </c>
      <c r="H25" s="95">
        <v>56.40942383137255862412747202</v>
      </c>
      <c r="I25" s="442">
        <v>44.672680035631378608420396435</v>
      </c>
      <c r="J25" s="439">
        <v>20.830888955402574079616881173</v>
      </c>
      <c r="K25" s="95">
        <v>27.33220703691293360190515424</v>
      </c>
      <c r="L25" s="442">
        <v>18.980393170993228679122660973</v>
      </c>
      <c r="M25" s="439">
        <v>298.91858724932654893744387908</v>
      </c>
      <c r="N25" s="95">
        <v>325.33976670753982792776690697</v>
      </c>
      <c r="O25" s="442">
        <v>255.8589001756840200624769297</v>
      </c>
      <c r="P25" s="93"/>
      <c r="Q25" s="420">
        <v>84.30857304858609216838980761</v>
      </c>
      <c r="R25" s="91">
        <v>91.77261984577808263038825024</v>
      </c>
      <c r="S25" s="498">
        <v>62.916475969451984595147776640</v>
      </c>
      <c r="T25" s="420">
        <v>236.53897221510090501100582272</v>
      </c>
      <c r="U25" s="91"/>
      <c r="V25" s="498">
        <v>117.40948572677064484970182721</v>
      </c>
      <c r="W25" s="420">
        <v>-12.404622863713235298959173440</v>
      </c>
      <c r="X25" s="91"/>
      <c r="Y25" s="498">
        <v>-2.2412980433673124806810164900</v>
      </c>
      <c r="Z25" s="420">
        <v>82.75540574784789358958688622</v>
      </c>
      <c r="AA25" s="91"/>
      <c r="AB25" s="498">
        <v>61.996087460011438071114413930</v>
      </c>
      <c r="AC25" s="93"/>
      <c r="AD25" s="420" t="s">
        <v>313</v>
      </c>
      <c r="AE25" s="91" t="s">
        <v>235</v>
      </c>
      <c r="AF25" s="91" t="s">
        <v>239</v>
      </c>
      <c r="AG25" s="421" t="s">
        <v>229</v>
      </c>
    </row>
    <row r="26" ht="20.1" customHeight="1">
      <c r="A26" s="60"/>
      <c r="B26" s="290"/>
      <c r="C26" s="291" t="s">
        <v>223</v>
      </c>
      <c r="D26" s="443">
        <v>336.98538240668232837379274341</v>
      </c>
      <c r="E26" s="444">
        <v>348.91318597029495851056411687</v>
      </c>
      <c r="F26" s="445">
        <v>252.70153966261821703511181824</v>
      </c>
      <c r="G26" s="443">
        <v>55.808144087705559906029757244</v>
      </c>
      <c r="H26" s="444">
        <v>75.961749839601938272211855693</v>
      </c>
      <c r="I26" s="445">
        <v>46.911396179782930414312620228</v>
      </c>
      <c r="J26" s="443">
        <v>23.361785434612372748629600626</v>
      </c>
      <c r="K26" s="444">
        <v>17.272937834639626892973595537</v>
      </c>
      <c r="L26" s="445">
        <v>19.569627718842415118159432039</v>
      </c>
      <c r="M26" s="443">
        <v>416.15531192900026102845210128</v>
      </c>
      <c r="N26" s="444">
        <v>442.1478736445365236757495681</v>
      </c>
      <c r="O26" s="445">
        <v>319.18256356124356256758387051</v>
      </c>
      <c r="P26" s="184"/>
      <c r="Q26" s="273">
        <v>103.97519524991013283641442340</v>
      </c>
      <c r="R26" s="274">
        <v>96.1496906260328225603953300</v>
      </c>
      <c r="S26" s="275">
        <v>68.037313948572864702444482720</v>
      </c>
      <c r="T26" s="273">
        <v>221.12784785549498123732471312</v>
      </c>
      <c r="U26" s="274"/>
      <c r="V26" s="275">
        <v>105.76623159279915213016034073</v>
      </c>
      <c r="W26" s="273">
        <v>4.9521599702573256314312728300</v>
      </c>
      <c r="X26" s="274"/>
      <c r="Y26" s="275">
        <v>-7.5502620163043724369426115100</v>
      </c>
      <c r="Z26" s="273">
        <v>103.15396033866002340902672808</v>
      </c>
      <c r="AA26" s="274"/>
      <c r="AB26" s="275">
        <v>64.230436796655531258029565830</v>
      </c>
      <c r="AC26" s="184"/>
      <c r="AD26" s="273" t="s">
        <v>314</v>
      </c>
      <c r="AE26" s="274" t="s">
        <v>236</v>
      </c>
      <c r="AF26" s="274" t="s">
        <v>236</v>
      </c>
      <c r="AG26" s="275" t="s">
        <v>237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73" t="s">
        <v>58</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411"/>
      <c r="AD28" s="971"/>
      <c r="AE28" s="971"/>
      <c r="AF28" s="971"/>
      <c r="AG28" s="971"/>
      <c r="AH28" s="9"/>
    </row>
    <row r="29" ht="20.1" customHeight="1">
      <c r="A29" s="58"/>
      <c r="B29" s="284">
        <v>2019</v>
      </c>
      <c r="C29" s="285"/>
      <c r="D29" s="454">
        <v>194.69180690332882938213978627</v>
      </c>
      <c r="E29" s="455">
        <v>209.84412766832981842497813898</v>
      </c>
      <c r="F29" s="436">
        <v>182.83862565583084342920941955</v>
      </c>
      <c r="G29" s="454">
        <v>31.572165581623879130327969537</v>
      </c>
      <c r="H29" s="455">
        <v>67.321800172009492063815603786</v>
      </c>
      <c r="I29" s="436">
        <v>50.36503441927793516388656034</v>
      </c>
      <c r="J29" s="454">
        <v>31.259335462473897555582852229</v>
      </c>
      <c r="K29" s="455">
        <v>20.163985781366696114096643111</v>
      </c>
      <c r="L29" s="436">
        <v>16.958555322949367628307613911</v>
      </c>
      <c r="M29" s="454">
        <v>257.52330794742660606805060803</v>
      </c>
      <c r="N29" s="455">
        <v>297.32991362170600660289038588</v>
      </c>
      <c r="O29" s="436">
        <v>250.1622153980581462214035938</v>
      </c>
      <c r="P29" s="217"/>
      <c r="Q29" s="427">
        <v>8.093746079949460543994557350</v>
      </c>
      <c r="R29" s="428">
        <v>-2.1624990568413551918584142900</v>
      </c>
      <c r="S29" s="417">
        <v>-1.2681608440530169250014441400</v>
      </c>
      <c r="T29" s="427">
        <v>67.314133229534021993445620830</v>
      </c>
      <c r="U29" s="428">
        <v>1.0212053700326612014147059700</v>
      </c>
      <c r="V29" s="417">
        <v>-16.785106467286613888810703060</v>
      </c>
      <c r="W29" s="427">
        <v>40.537491831350323386808640090</v>
      </c>
      <c r="X29" s="428">
        <v>8.704949371935883374827492020</v>
      </c>
      <c r="Y29" s="417">
        <v>-17.206444623088311503817786530</v>
      </c>
      <c r="Z29" s="427">
        <v>16.407056200131773769984443070</v>
      </c>
      <c r="AA29" s="428">
        <v>-0.7818287009166432338060937900</v>
      </c>
      <c r="AB29" s="417">
        <v>-6.0226295648244674671978285400</v>
      </c>
      <c r="AC29" s="5"/>
      <c r="AD29" s="427" t="s">
        <v>314</v>
      </c>
      <c r="AE29" s="428" t="s">
        <v>226</v>
      </c>
      <c r="AF29" s="428" t="s">
        <v>224</v>
      </c>
      <c r="AG29" s="429" t="s">
        <v>226</v>
      </c>
    </row>
    <row r="30" ht="20.1" customHeight="1">
      <c r="A30" s="58"/>
      <c r="B30" s="286">
        <v>2020</v>
      </c>
      <c r="C30" s="287"/>
      <c r="D30" s="276">
        <v>205.63515078286260887076473846</v>
      </c>
      <c r="E30" s="94">
        <v>223.18590302999951209887041139</v>
      </c>
      <c r="F30" s="277">
        <v>186.47632352659744304361007674</v>
      </c>
      <c r="G30" s="276">
        <v>31.634647334239540854855761969</v>
      </c>
      <c r="H30" s="94"/>
      <c r="I30" s="277">
        <v>40.20418984634480678546002059</v>
      </c>
      <c r="J30" s="276">
        <v>26.686401852690932890298545033</v>
      </c>
      <c r="K30" s="94"/>
      <c r="L30" s="277">
        <v>19.419708584773696469664982463</v>
      </c>
      <c r="M30" s="276">
        <v>263.95619996979308261591904546</v>
      </c>
      <c r="N30" s="94"/>
      <c r="O30" s="277">
        <v>246.10022195771594629873507979</v>
      </c>
      <c r="P30" s="217"/>
      <c r="Q30" s="271">
        <v>5.6208548544613259021366218100</v>
      </c>
      <c r="R30" s="92">
        <v>6.3579455426976815210186014800</v>
      </c>
      <c r="S30" s="272">
        <v>1.9895674985249202067033976100</v>
      </c>
      <c r="T30" s="271">
        <v>0.1979013839834753353400674900</v>
      </c>
      <c r="U30" s="92"/>
      <c r="V30" s="272">
        <v>-20.174402122639141103953311660</v>
      </c>
      <c r="W30" s="271">
        <v>-14.629017354815327465157417590</v>
      </c>
      <c r="X30" s="92"/>
      <c r="Y30" s="272">
        <v>14.512753091357233783612309990</v>
      </c>
      <c r="Z30" s="271">
        <v>2.4979843858277179333469982800</v>
      </c>
      <c r="AA30" s="92"/>
      <c r="AB30" s="272">
        <v>-1.62374379117163224214762100</v>
      </c>
      <c r="AC30" s="5"/>
      <c r="AD30" s="271" t="s">
        <v>317</v>
      </c>
      <c r="AE30" s="92"/>
      <c r="AF30" s="92"/>
      <c r="AG30" s="272"/>
    </row>
    <row r="31" ht="20.1" customHeight="1">
      <c r="A31" s="58"/>
      <c r="B31" s="425">
        <v>2021</v>
      </c>
      <c r="C31" s="426"/>
      <c r="D31" s="457">
        <v>233.74962656841266679944234216</v>
      </c>
      <c r="E31" s="458">
        <v>244.13632952012674883858320578</v>
      </c>
      <c r="F31" s="499">
        <v>195.58440054400694142088939026</v>
      </c>
      <c r="G31" s="457">
        <v>39.433006373232423819956184027</v>
      </c>
      <c r="H31" s="458">
        <v>75.899413615784371988264432906</v>
      </c>
      <c r="I31" s="499">
        <v>35.617479460327245288042447584</v>
      </c>
      <c r="J31" s="457">
        <v>23.235510854411471818362875921</v>
      </c>
      <c r="K31" s="458">
        <v>23.989312630362792478133018795</v>
      </c>
      <c r="L31" s="499">
        <v>19.895480972266221081264315292</v>
      </c>
      <c r="M31" s="457">
        <v>296.41814379605656243776140211</v>
      </c>
      <c r="N31" s="458">
        <v>344.02505576627391330498065748</v>
      </c>
      <c r="O31" s="499">
        <v>251.09736097660040779019615314</v>
      </c>
      <c r="P31" s="496"/>
      <c r="Q31" s="430">
        <v>13.672018464972760852009297750</v>
      </c>
      <c r="R31" s="431">
        <v>9.386984664219878367191158250</v>
      </c>
      <c r="S31" s="500">
        <v>4.8843074794466953502311886200</v>
      </c>
      <c r="T31" s="430">
        <v>24.651322825406279821767560300</v>
      </c>
      <c r="U31" s="431"/>
      <c r="V31" s="500">
        <v>-11.408538273019996268024021080</v>
      </c>
      <c r="W31" s="430">
        <v>-12.931271204474438576725225460</v>
      </c>
      <c r="X31" s="431"/>
      <c r="Y31" s="500">
        <v>2.4499460709653124457853233900</v>
      </c>
      <c r="Z31" s="430">
        <v>12.298231233049509073907850560</v>
      </c>
      <c r="AA31" s="431"/>
      <c r="AB31" s="500">
        <v>2.0305300739465899431312015200</v>
      </c>
      <c r="AC31" s="184"/>
      <c r="AD31" s="430" t="s">
        <v>314</v>
      </c>
      <c r="AE31" s="431" t="s">
        <v>235</v>
      </c>
      <c r="AF31" s="431" t="s">
        <v>229</v>
      </c>
      <c r="AG31" s="432" t="s">
        <v>229</v>
      </c>
    </row>
    <row r="32" ht="21" customHeight="1"/>
    <row r="33" ht="24.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411"/>
      <c r="AD33" s="971"/>
      <c r="AE33" s="971"/>
      <c r="AF33" s="971"/>
      <c r="AG33" s="971"/>
      <c r="AH33" s="9"/>
    </row>
    <row r="34" ht="20.1" customHeight="1">
      <c r="A34" s="58"/>
      <c r="B34" s="284">
        <v>2019</v>
      </c>
      <c r="C34" s="285"/>
      <c r="D34" s="454">
        <v>192.69440209104770202570246134</v>
      </c>
      <c r="E34" s="455">
        <v>208.67974042277476310034826274</v>
      </c>
      <c r="F34" s="436">
        <v>181.70545426579530048898093797</v>
      </c>
      <c r="G34" s="454">
        <v>42.141908081028098453495970377</v>
      </c>
      <c r="H34" s="455">
        <v>59.622272985753466146750662183</v>
      </c>
      <c r="I34" s="436">
        <v>53.104057384798271534151804855</v>
      </c>
      <c r="J34" s="454">
        <v>33.085166630363755173164887824</v>
      </c>
      <c r="K34" s="455">
        <v>18.591367384987789611811411061</v>
      </c>
      <c r="L34" s="436">
        <v>23.106896709672648582682554357</v>
      </c>
      <c r="M34" s="454">
        <v>267.92147680243955565236331954</v>
      </c>
      <c r="N34" s="455">
        <v>286.89338079351601885891033599</v>
      </c>
      <c r="O34" s="436">
        <v>257.91640836026622060581529718</v>
      </c>
      <c r="P34" s="5"/>
      <c r="Q34" s="427">
        <v>-5.6143334766350631587511650900</v>
      </c>
      <c r="R34" s="428">
        <v>-4.5891566709531468718008098600</v>
      </c>
      <c r="S34" s="417">
        <v>-2.3519058492445034351534754400</v>
      </c>
      <c r="T34" s="427">
        <v>50.920853228937101728964117040</v>
      </c>
      <c r="U34" s="428">
        <v>-8.594234359565506432897882500</v>
      </c>
      <c r="V34" s="417">
        <v>-2.7017897860795243963431936100</v>
      </c>
      <c r="W34" s="427">
        <v>22.834701688335822150681858960</v>
      </c>
      <c r="X34" s="428">
        <v>-10.881427010459140900186368990</v>
      </c>
      <c r="Y34" s="417">
        <v>37.777056445252340312980921420</v>
      </c>
      <c r="Z34" s="427">
        <v>3.4388682872005846113561574400</v>
      </c>
      <c r="AA34" s="428">
        <v>-5.8768889587154319755550261400</v>
      </c>
      <c r="AB34" s="417">
        <v>0.1882447604691859164896610200</v>
      </c>
      <c r="AC34" s="5"/>
      <c r="AD34" s="427" t="s">
        <v>314</v>
      </c>
      <c r="AE34" s="428" t="s">
        <v>226</v>
      </c>
      <c r="AF34" s="428" t="s">
        <v>224</v>
      </c>
      <c r="AG34" s="429" t="s">
        <v>226</v>
      </c>
    </row>
    <row r="35" ht="20.1" customHeight="1">
      <c r="A35" s="58"/>
      <c r="B35" s="286">
        <v>2020</v>
      </c>
      <c r="C35" s="287"/>
      <c r="D35" s="276">
        <v>140.13704377010208362466787862</v>
      </c>
      <c r="E35" s="94">
        <v>147.0165127562998904366880576</v>
      </c>
      <c r="F35" s="277">
        <v>130.5783499196949910688821843</v>
      </c>
      <c r="G35" s="276">
        <v>14.485806180953712767445112572</v>
      </c>
      <c r="H35" s="94"/>
      <c r="I35" s="277">
        <v>23.080030205181999674602503266</v>
      </c>
      <c r="J35" s="276">
        <v>23.248217032582855544679065865</v>
      </c>
      <c r="K35" s="94"/>
      <c r="L35" s="277">
        <v>21.573063679487535215812057556</v>
      </c>
      <c r="M35" s="276">
        <v>177.87106698363865193679205705</v>
      </c>
      <c r="N35" s="94"/>
      <c r="O35" s="277">
        <v>175.23144380436452595929674512</v>
      </c>
      <c r="P35" s="5"/>
      <c r="Q35" s="271">
        <v>-27.274979319885839337582836260</v>
      </c>
      <c r="R35" s="92">
        <v>-29.549216201614025138658809960</v>
      </c>
      <c r="S35" s="272">
        <v>-28.137352592243007598955120800</v>
      </c>
      <c r="T35" s="271">
        <v>-65.626126484090669982102957330</v>
      </c>
      <c r="U35" s="92"/>
      <c r="V35" s="272">
        <v>-56.538103975858899492919065460</v>
      </c>
      <c r="W35" s="271">
        <v>-29.732205092715338199734110820</v>
      </c>
      <c r="X35" s="92"/>
      <c r="Y35" s="272">
        <v>-6.6379879976205543361378712200</v>
      </c>
      <c r="Z35" s="271">
        <v>-33.610747034354466552560983700</v>
      </c>
      <c r="AA35" s="92"/>
      <c r="AB35" s="272">
        <v>-32.058822888238865041257330220</v>
      </c>
      <c r="AC35" s="5"/>
      <c r="AD35" s="271" t="s">
        <v>235</v>
      </c>
      <c r="AE35" s="92"/>
      <c r="AF35" s="92"/>
      <c r="AG35" s="272"/>
    </row>
    <row r="36" ht="20.1" customHeight="1">
      <c r="A36" s="58"/>
      <c r="B36" s="425">
        <v>2021</v>
      </c>
      <c r="C36" s="426"/>
      <c r="D36" s="457">
        <v>257.99361116571653233733045017</v>
      </c>
      <c r="E36" s="458">
        <v>267.75945269821820595292796244</v>
      </c>
      <c r="F36" s="499">
        <v>207.47917094794938789889322726</v>
      </c>
      <c r="G36" s="457">
        <v>47.5011794770984863377236092</v>
      </c>
      <c r="H36" s="458">
        <v>64.257334172189181805657260365</v>
      </c>
      <c r="I36" s="499">
        <v>44.651884878209831665040716366</v>
      </c>
      <c r="J36" s="457">
        <v>22.40023589541969726754472184</v>
      </c>
      <c r="K36" s="458">
        <v>20.037188577121240147613168152</v>
      </c>
      <c r="L36" s="499">
        <v>19.177910673876125634709004005</v>
      </c>
      <c r="M36" s="457">
        <v>327.89502653823471594259878121</v>
      </c>
      <c r="N36" s="458">
        <v>352.05397544752862790619839094</v>
      </c>
      <c r="O36" s="499">
        <v>271.30896650003534519864294763</v>
      </c>
      <c r="P36" s="184"/>
      <c r="Q36" s="430">
        <v>84.10093735740892845007746608</v>
      </c>
      <c r="R36" s="431">
        <v>82.12882871332022514184467911</v>
      </c>
      <c r="S36" s="500">
        <v>58.892474193110913620796472690</v>
      </c>
      <c r="T36" s="430">
        <v>227.91533231614267680725093363</v>
      </c>
      <c r="U36" s="431"/>
      <c r="V36" s="500">
        <v>93.46545251985687667777903852</v>
      </c>
      <c r="W36" s="430">
        <v>-3.6475104133414374861778412500</v>
      </c>
      <c r="X36" s="431"/>
      <c r="Y36" s="500">
        <v>-11.102516736646405472318283270</v>
      </c>
      <c r="Z36" s="430">
        <v>84.34421747099946705095252721</v>
      </c>
      <c r="AA36" s="431"/>
      <c r="AB36" s="500">
        <v>54.828928307456468239814196540</v>
      </c>
      <c r="AC36" s="184"/>
      <c r="AD36" s="430" t="s">
        <v>314</v>
      </c>
      <c r="AE36" s="431" t="s">
        <v>235</v>
      </c>
      <c r="AF36" s="431" t="s">
        <v>239</v>
      </c>
      <c r="AG36" s="432" t="s">
        <v>229</v>
      </c>
    </row>
    <row r="37" ht="21" customHeight="1"/>
    <row r="38" ht="24.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411"/>
      <c r="AD38" s="971"/>
      <c r="AE38" s="971"/>
      <c r="AF38" s="971"/>
      <c r="AG38" s="971"/>
      <c r="AH38" s="9"/>
    </row>
    <row r="39" ht="20.1" customHeight="1">
      <c r="A39" s="58"/>
      <c r="B39" s="284">
        <v>2019</v>
      </c>
      <c r="C39" s="285"/>
      <c r="D39" s="454">
        <v>194.69180690332882938213978627</v>
      </c>
      <c r="E39" s="455">
        <v>209.84412766832981842497813898</v>
      </c>
      <c r="F39" s="436">
        <v>182.83862565583084342920941955</v>
      </c>
      <c r="G39" s="454">
        <v>31.572165581623879130327969537</v>
      </c>
      <c r="H39" s="455">
        <v>67.321800172009492063815603786</v>
      </c>
      <c r="I39" s="436">
        <v>50.36503441927793516388656034</v>
      </c>
      <c r="J39" s="454">
        <v>31.259335462473897555582852229</v>
      </c>
      <c r="K39" s="455">
        <v>20.163985781366696114096643111</v>
      </c>
      <c r="L39" s="436">
        <v>16.958555322949367628307613911</v>
      </c>
      <c r="M39" s="454">
        <v>257.52330794742660606805060803</v>
      </c>
      <c r="N39" s="455">
        <v>297.32991362170600660289038588</v>
      </c>
      <c r="O39" s="436">
        <v>250.1622153980581462214035938</v>
      </c>
      <c r="P39" s="5"/>
      <c r="Q39" s="427">
        <v>8.093746079949460543994557350</v>
      </c>
      <c r="R39" s="428">
        <v>-2.1624990568413551918584142900</v>
      </c>
      <c r="S39" s="417">
        <v>-1.2681608440530169250014441400</v>
      </c>
      <c r="T39" s="427">
        <v>67.314133229534021993445620830</v>
      </c>
      <c r="U39" s="428">
        <v>1.0212053700326612014147059700</v>
      </c>
      <c r="V39" s="417">
        <v>-16.785106467286613888810703060</v>
      </c>
      <c r="W39" s="427">
        <v>40.537491831350323386808640090</v>
      </c>
      <c r="X39" s="428">
        <v>8.704949371935883374827492020</v>
      </c>
      <c r="Y39" s="417">
        <v>-17.206444623088311503817786530</v>
      </c>
      <c r="Z39" s="427">
        <v>16.407056200131773769984443070</v>
      </c>
      <c r="AA39" s="428">
        <v>-0.7818287009166432338060937900</v>
      </c>
      <c r="AB39" s="417">
        <v>-6.0226295648244674671978285400</v>
      </c>
      <c r="AC39" s="5"/>
      <c r="AD39" s="427" t="s">
        <v>314</v>
      </c>
      <c r="AE39" s="428" t="s">
        <v>226</v>
      </c>
      <c r="AF39" s="428" t="s">
        <v>224</v>
      </c>
      <c r="AG39" s="429" t="s">
        <v>226</v>
      </c>
    </row>
    <row r="40" ht="20.1" customHeight="1">
      <c r="A40" s="58"/>
      <c r="B40" s="286">
        <v>2020</v>
      </c>
      <c r="C40" s="287"/>
      <c r="D40" s="276">
        <v>205.63515078286260887076473846</v>
      </c>
      <c r="E40" s="94">
        <v>223.18590302999951209887041139</v>
      </c>
      <c r="F40" s="277">
        <v>186.47632352659744304361007674</v>
      </c>
      <c r="G40" s="276">
        <v>31.634647334239540854855761969</v>
      </c>
      <c r="H40" s="94"/>
      <c r="I40" s="277">
        <v>40.20418984634480678546002059</v>
      </c>
      <c r="J40" s="276">
        <v>26.686401852690932890298545033</v>
      </c>
      <c r="K40" s="94"/>
      <c r="L40" s="277">
        <v>19.419708584773696469664982463</v>
      </c>
      <c r="M40" s="276">
        <v>263.95619996979308261591904546</v>
      </c>
      <c r="N40" s="94"/>
      <c r="O40" s="277">
        <v>246.10022195771594629873507979</v>
      </c>
      <c r="P40" s="5"/>
      <c r="Q40" s="271">
        <v>5.6208548544613259021366218100</v>
      </c>
      <c r="R40" s="92">
        <v>6.3579455426976815210186014800</v>
      </c>
      <c r="S40" s="272">
        <v>1.9895674985249202067033976100</v>
      </c>
      <c r="T40" s="271">
        <v>0.1979013839834753353400674900</v>
      </c>
      <c r="U40" s="92"/>
      <c r="V40" s="272">
        <v>-20.174402122639141103953311660</v>
      </c>
      <c r="W40" s="271">
        <v>-14.629017354815327465157417590</v>
      </c>
      <c r="X40" s="92"/>
      <c r="Y40" s="272">
        <v>14.512753091357233783612309990</v>
      </c>
      <c r="Z40" s="271">
        <v>2.4979843858277179333469982800</v>
      </c>
      <c r="AA40" s="92"/>
      <c r="AB40" s="272">
        <v>-1.62374379117163224214762100</v>
      </c>
      <c r="AC40" s="5"/>
      <c r="AD40" s="271" t="s">
        <v>317</v>
      </c>
      <c r="AE40" s="92"/>
      <c r="AF40" s="92"/>
      <c r="AG40" s="272"/>
    </row>
    <row r="41" ht="20.1" customHeight="1">
      <c r="A41" s="58"/>
      <c r="B41" s="425">
        <v>2021</v>
      </c>
      <c r="C41" s="426"/>
      <c r="D41" s="457">
        <v>233.74962656841266679944234216</v>
      </c>
      <c r="E41" s="458">
        <v>244.13632952012674883858320578</v>
      </c>
      <c r="F41" s="499">
        <v>195.58440054400694142088939026</v>
      </c>
      <c r="G41" s="457">
        <v>39.433006373232423819956184027</v>
      </c>
      <c r="H41" s="458">
        <v>75.899413615784371988264432906</v>
      </c>
      <c r="I41" s="499">
        <v>35.617479460327245288042447584</v>
      </c>
      <c r="J41" s="457">
        <v>23.235510854411471818362875921</v>
      </c>
      <c r="K41" s="458">
        <v>23.989312630362792478133018795</v>
      </c>
      <c r="L41" s="499">
        <v>19.895480972266221081264315292</v>
      </c>
      <c r="M41" s="457">
        <v>296.41814379605656243776140211</v>
      </c>
      <c r="N41" s="458">
        <v>344.02505576627391330498065748</v>
      </c>
      <c r="O41" s="499">
        <v>251.09736097660040779019615314</v>
      </c>
      <c r="P41" s="184"/>
      <c r="Q41" s="430">
        <v>13.672018464972760852009297750</v>
      </c>
      <c r="R41" s="431">
        <v>9.386984664219878367191158250</v>
      </c>
      <c r="S41" s="500">
        <v>4.8843074794466953502311886200</v>
      </c>
      <c r="T41" s="430">
        <v>24.651322825406279821767560300</v>
      </c>
      <c r="U41" s="431"/>
      <c r="V41" s="500">
        <v>-11.408538273019996268024021080</v>
      </c>
      <c r="W41" s="430">
        <v>-12.931271204474438576725225460</v>
      </c>
      <c r="X41" s="431"/>
      <c r="Y41" s="500">
        <v>2.4499460709653124457853233900</v>
      </c>
      <c r="Z41" s="430">
        <v>12.298231233049509073907850560</v>
      </c>
      <c r="AA41" s="431"/>
      <c r="AB41" s="500">
        <v>2.0305300739465899431312015200</v>
      </c>
      <c r="AC41" s="184"/>
      <c r="AD41" s="430" t="s">
        <v>314</v>
      </c>
      <c r="AE41" s="431" t="s">
        <v>235</v>
      </c>
      <c r="AF41" s="431" t="s">
        <v>229</v>
      </c>
      <c r="AG41" s="432" t="s">
        <v>229</v>
      </c>
    </row>
    <row r="42" ht="14.1" customHeight="1"/>
    <row r="43" ht="20.1" customHeight="1">
      <c r="B43" s="7" t="s">
        <v>102</v>
      </c>
    </row>
    <row r="44" ht="14.1" customHeight="1">
      <c r="B44" s="7"/>
    </row>
    <row r="45" ht="24" customHeight="1">
      <c r="B45" s="1048" t="s">
        <v>126</v>
      </c>
      <c r="C45" s="1048"/>
      <c r="D45" s="1048"/>
      <c r="E45" s="1048"/>
      <c r="F45" s="1048"/>
      <c r="G45" s="1048"/>
      <c r="H45" s="1048"/>
      <c r="I45" s="1048"/>
      <c r="J45" s="1048"/>
      <c r="K45" s="1048"/>
      <c r="L45" s="1048"/>
      <c r="M45" s="1048"/>
      <c r="N45" s="1048"/>
      <c r="O45" s="1048"/>
      <c r="P45" s="1048"/>
      <c r="Q45" s="1048"/>
      <c r="R45" s="1048"/>
      <c r="S45" s="1048"/>
      <c r="T45" s="1048"/>
      <c r="U45" s="1048"/>
      <c r="V45" s="1048"/>
      <c r="W45" s="1048"/>
      <c r="X45" s="1048"/>
      <c r="Y45" s="1048"/>
      <c r="Z45" s="1048"/>
      <c r="AA45" s="1048"/>
      <c r="AB45" s="1048"/>
      <c r="AC45" s="1048"/>
      <c r="AD45" s="1048"/>
      <c r="AE45" s="1048"/>
      <c r="AF45" s="1048"/>
      <c r="AG45" s="1048"/>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1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199</v>
      </c>
      <c r="AD1" s="5"/>
      <c r="AG1" s="685"/>
      <c r="AI1" s="236"/>
    </row>
    <row r="2" ht="21" customHeight="1">
      <c r="B2" s="11" t="s">
        <v>208</v>
      </c>
    </row>
    <row r="3" ht="21" customHeight="1">
      <c r="B3" s="11" t="s">
        <v>209</v>
      </c>
      <c r="U3" s="1040" t="s">
        <v>303</v>
      </c>
      <c r="V3" s="1040"/>
      <c r="W3" s="1040"/>
      <c r="X3" s="1040"/>
      <c r="Y3" s="1040"/>
      <c r="Z3" s="1040"/>
      <c r="AA3" s="1040"/>
      <c r="AB3" s="1040"/>
      <c r="AC3" s="1040"/>
      <c r="AD3" s="1040"/>
      <c r="AE3" s="1040"/>
      <c r="AF3" s="1040"/>
      <c r="AG3" s="1040"/>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60" t="s">
        <v>92</v>
      </c>
      <c r="E6" s="960"/>
      <c r="F6" s="960"/>
      <c r="G6" s="960"/>
      <c r="H6" s="960"/>
      <c r="I6" s="960"/>
      <c r="J6" s="960"/>
      <c r="K6" s="960"/>
      <c r="L6" s="960"/>
      <c r="M6" s="960"/>
      <c r="N6" s="960"/>
      <c r="O6" s="960"/>
      <c r="Q6" s="960" t="s">
        <v>70</v>
      </c>
      <c r="R6" s="960"/>
      <c r="S6" s="960"/>
      <c r="T6" s="960"/>
      <c r="U6" s="960"/>
      <c r="V6" s="960"/>
      <c r="W6" s="960"/>
      <c r="X6" s="960"/>
      <c r="Y6" s="960"/>
      <c r="Z6" s="960"/>
      <c r="AA6" s="960"/>
      <c r="AB6" s="960"/>
      <c r="AD6" s="960" t="s">
        <v>77</v>
      </c>
      <c r="AE6" s="960"/>
      <c r="AF6" s="960"/>
      <c r="AG6" s="960"/>
    </row>
    <row r="7" ht="24.95" customHeight="1">
      <c r="D7" s="283" t="s">
        <v>20</v>
      </c>
      <c r="E7" s="283"/>
      <c r="F7" s="283"/>
      <c r="G7" s="283" t="s">
        <v>18</v>
      </c>
      <c r="H7" s="283"/>
      <c r="I7" s="283"/>
      <c r="J7" s="283" t="s">
        <v>17</v>
      </c>
      <c r="K7" s="283"/>
      <c r="L7" s="283"/>
      <c r="M7" s="283" t="s">
        <v>103</v>
      </c>
      <c r="N7" s="283"/>
      <c r="O7" s="283"/>
      <c r="Q7" s="283" t="s">
        <v>20</v>
      </c>
      <c r="R7" s="283"/>
      <c r="S7" s="283"/>
      <c r="T7" s="283" t="s">
        <v>18</v>
      </c>
      <c r="U7" s="283"/>
      <c r="V7" s="283"/>
      <c r="W7" s="283" t="s">
        <v>17</v>
      </c>
      <c r="X7" s="283"/>
      <c r="Y7" s="283"/>
      <c r="Z7" s="283" t="s">
        <v>103</v>
      </c>
      <c r="AA7" s="283"/>
      <c r="AB7" s="283"/>
      <c r="AD7" s="283" t="s">
        <v>78</v>
      </c>
      <c r="AE7" s="283"/>
      <c r="AF7" s="283"/>
      <c r="AG7" s="283"/>
    </row>
    <row r="8" ht="30"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2020</v>
      </c>
      <c r="C9" s="285" t="s">
        <v>218</v>
      </c>
      <c r="D9" s="434">
        <v>17.989736070381231671554252199</v>
      </c>
      <c r="E9" s="435">
        <v>23.703950138970774025098964036</v>
      </c>
      <c r="F9" s="436">
        <v>27.121067481890588874308429588</v>
      </c>
      <c r="G9" s="434">
        <v>1.1830400782013685239491691105</v>
      </c>
      <c r="H9" s="435"/>
      <c r="I9" s="436">
        <v>4.7467327125524617879611724775</v>
      </c>
      <c r="J9" s="434">
        <v>2.0931085043988269794721407625</v>
      </c>
      <c r="K9" s="435"/>
      <c r="L9" s="436">
        <v>5.6944066314092397270925843093</v>
      </c>
      <c r="M9" s="434">
        <v>21.265884652981427174975562072</v>
      </c>
      <c r="N9" s="435"/>
      <c r="O9" s="436">
        <v>37.562206825852290389362186375</v>
      </c>
      <c r="P9" s="5"/>
      <c r="Q9" s="415">
        <v>-81.29958414729626539982486785</v>
      </c>
      <c r="R9" s="416">
        <v>-82.34441028192714591026205375</v>
      </c>
      <c r="S9" s="417">
        <v>-75.794834558158101102445059740</v>
      </c>
      <c r="T9" s="415">
        <v>-93.31575168453096447422690020</v>
      </c>
      <c r="U9" s="416"/>
      <c r="V9" s="417">
        <v>-83.85443328145431024785000201</v>
      </c>
      <c r="W9" s="415">
        <v>-88.78427572480669020181782638</v>
      </c>
      <c r="X9" s="416"/>
      <c r="Y9" s="417">
        <v>-49.842245957220301262695024870</v>
      </c>
      <c r="Z9" s="415">
        <v>-83.95764316356518576072889225</v>
      </c>
      <c r="AA9" s="416"/>
      <c r="AB9" s="417">
        <v>-75.417276574750234346588105770</v>
      </c>
      <c r="AC9" s="5"/>
      <c r="AD9" s="427" t="s">
        <v>225</v>
      </c>
      <c r="AE9" s="428"/>
      <c r="AF9" s="428"/>
      <c r="AG9" s="429"/>
    </row>
    <row r="10" ht="20.1" customHeight="1">
      <c r="A10" s="58"/>
      <c r="B10" s="286"/>
      <c r="C10" s="287" t="s">
        <v>219</v>
      </c>
      <c r="D10" s="276">
        <v>28.15615835777126099706744868</v>
      </c>
      <c r="E10" s="94">
        <v>33.405120862461046070917207109</v>
      </c>
      <c r="F10" s="277">
        <v>32.578136146054204568375584822</v>
      </c>
      <c r="G10" s="276">
        <v>2.2942326490713587487781036168</v>
      </c>
      <c r="H10" s="94"/>
      <c r="I10" s="277">
        <v>5.8207635816356674398388109132</v>
      </c>
      <c r="J10" s="276">
        <v>6.3844086021505376344086021505</v>
      </c>
      <c r="K10" s="94"/>
      <c r="L10" s="277">
        <v>5.4133906486625834504800038265</v>
      </c>
      <c r="M10" s="276">
        <v>36.834799608993157380254154448</v>
      </c>
      <c r="N10" s="94"/>
      <c r="O10" s="277">
        <v>43.812290376352455458694399563</v>
      </c>
      <c r="P10" s="5"/>
      <c r="Q10" s="271">
        <v>-69.666453411674539126018052980</v>
      </c>
      <c r="R10" s="92">
        <v>-71.502055212540313384749233560</v>
      </c>
      <c r="S10" s="272">
        <v>-68.447092219458316569363082730</v>
      </c>
      <c r="T10" s="271">
        <v>-84.28944373782326311618011880</v>
      </c>
      <c r="U10" s="92"/>
      <c r="V10" s="272">
        <v>-79.178299054043123155915192640</v>
      </c>
      <c r="W10" s="271">
        <v>-71.231458743967145710389320390</v>
      </c>
      <c r="X10" s="92"/>
      <c r="Y10" s="272">
        <v>-52.400640163394610125349066450</v>
      </c>
      <c r="Z10" s="271">
        <v>-71.581880639678497274997746050</v>
      </c>
      <c r="AA10" s="92"/>
      <c r="AB10" s="272">
        <v>-69.271209055040998575424989480</v>
      </c>
      <c r="AC10" s="5"/>
      <c r="AD10" s="271" t="s">
        <v>225</v>
      </c>
      <c r="AE10" s="92"/>
      <c r="AF10" s="92"/>
      <c r="AG10" s="272"/>
    </row>
    <row r="11" ht="20.1" customHeight="1">
      <c r="A11" s="58"/>
      <c r="B11" s="288"/>
      <c r="C11" s="289" t="s">
        <v>220</v>
      </c>
      <c r="D11" s="439">
        <v>53.261868686868686868686868687</v>
      </c>
      <c r="E11" s="95">
        <v>52.661697722567287784679089027</v>
      </c>
      <c r="F11" s="442">
        <v>35.481473136047268539382104051</v>
      </c>
      <c r="G11" s="439">
        <v>3.8378787878787878787878787879</v>
      </c>
      <c r="H11" s="95"/>
      <c r="I11" s="442">
        <v>7.0461778248214927210522517125</v>
      </c>
      <c r="J11" s="439">
        <v>11.386363636363636363636363636</v>
      </c>
      <c r="K11" s="95"/>
      <c r="L11" s="442">
        <v>8.649611283666813918298892367</v>
      </c>
      <c r="M11" s="439">
        <v>68.486111111111111111111111111</v>
      </c>
      <c r="N11" s="95"/>
      <c r="O11" s="442">
        <v>51.177262244535575178733248135</v>
      </c>
      <c r="P11" s="5"/>
      <c r="Q11" s="497">
        <v>-19.390874972239895690474199910</v>
      </c>
      <c r="R11" s="216">
        <v>-41.240484340856423769366231630</v>
      </c>
      <c r="S11" s="498">
        <v>-60.546652868071230111428273330</v>
      </c>
      <c r="T11" s="497">
        <v>-60.098716164629510499051947110</v>
      </c>
      <c r="U11" s="216"/>
      <c r="V11" s="498">
        <v>-77.780329748145415259907090340</v>
      </c>
      <c r="W11" s="497">
        <v>-32.948681725714440484858846290</v>
      </c>
      <c r="X11" s="216"/>
      <c r="Y11" s="498">
        <v>-12.370059983215007582386284930</v>
      </c>
      <c r="Z11" s="497">
        <v>-26.100166217029305506756208410</v>
      </c>
      <c r="AA11" s="216"/>
      <c r="AB11" s="498">
        <v>-61.086305438470915760874129140</v>
      </c>
      <c r="AC11" s="5"/>
      <c r="AD11" s="420" t="s">
        <v>229</v>
      </c>
      <c r="AE11" s="91"/>
      <c r="AF11" s="91"/>
      <c r="AG11" s="421"/>
    </row>
    <row r="12" ht="20.1" customHeight="1">
      <c r="A12" s="58"/>
      <c r="B12" s="286"/>
      <c r="C12" s="287" t="s">
        <v>221</v>
      </c>
      <c r="D12" s="276">
        <v>63.094330400782013685239491691</v>
      </c>
      <c r="E12" s="94">
        <v>59.903359380217725238763106926</v>
      </c>
      <c r="F12" s="277">
        <v>44.467215780813530784831439177</v>
      </c>
      <c r="G12" s="276">
        <v>6.1155913978494623655913978495</v>
      </c>
      <c r="H12" s="94"/>
      <c r="I12" s="277">
        <v>9.848175895145917457535053384</v>
      </c>
      <c r="J12" s="276">
        <v>12.741691104594330400782013685</v>
      </c>
      <c r="K12" s="94"/>
      <c r="L12" s="277">
        <v>9.190220202398530382394975733</v>
      </c>
      <c r="M12" s="276">
        <v>81.95161290322580645161290323</v>
      </c>
      <c r="N12" s="94"/>
      <c r="O12" s="277">
        <v>63.505611878357978624761468297</v>
      </c>
      <c r="P12" s="5"/>
      <c r="Q12" s="271">
        <v>-34.227346721461052953040187490</v>
      </c>
      <c r="R12" s="92">
        <v>-50.457514486197235147520700990</v>
      </c>
      <c r="S12" s="272">
        <v>-61.176951235420300815567069510</v>
      </c>
      <c r="T12" s="271">
        <v>-67.080165223995055220657586990</v>
      </c>
      <c r="U12" s="92"/>
      <c r="V12" s="272">
        <v>-74.803016926964975258729428560</v>
      </c>
      <c r="W12" s="271">
        <v>-35.256792331135849632280018520</v>
      </c>
      <c r="X12" s="92"/>
      <c r="Y12" s="272">
        <v>-15.148340050009741479067170580</v>
      </c>
      <c r="Z12" s="271">
        <v>-38.926618186203755846340235890</v>
      </c>
      <c r="AA12" s="92"/>
      <c r="AB12" s="272">
        <v>-61.383932096215698754300245710</v>
      </c>
      <c r="AC12" s="5"/>
      <c r="AD12" s="271" t="s">
        <v>235</v>
      </c>
      <c r="AE12" s="92"/>
      <c r="AF12" s="92"/>
      <c r="AG12" s="272"/>
    </row>
    <row r="13" ht="20.1" customHeight="1">
      <c r="A13" s="58"/>
      <c r="B13" s="288"/>
      <c r="C13" s="289" t="s">
        <v>222</v>
      </c>
      <c r="D13" s="439">
        <v>65.500000000</v>
      </c>
      <c r="E13" s="95">
        <v>74.962939958592132505175983437</v>
      </c>
      <c r="F13" s="442">
        <v>47.015980253878702397743300423</v>
      </c>
      <c r="G13" s="439">
        <v>6.9674242424242424242424242424</v>
      </c>
      <c r="H13" s="95"/>
      <c r="I13" s="442">
        <v>8.188558800056691150236085675</v>
      </c>
      <c r="J13" s="439">
        <v>12.328787878787878787878787879</v>
      </c>
      <c r="K13" s="95"/>
      <c r="L13" s="442">
        <v>7.7373765153793910086729280884</v>
      </c>
      <c r="M13" s="439">
        <v>84.79621212121212121212121212</v>
      </c>
      <c r="N13" s="95"/>
      <c r="O13" s="442">
        <v>62.941915569314784556652314184</v>
      </c>
      <c r="P13" s="5"/>
      <c r="Q13" s="420">
        <v>-48.469563109768168193802123210</v>
      </c>
      <c r="R13" s="91">
        <v>-53.424250705860627494507526560</v>
      </c>
      <c r="S13" s="498">
        <v>-66.851328479509571077211508760</v>
      </c>
      <c r="T13" s="420">
        <v>-79.163551507714262907459849220</v>
      </c>
      <c r="U13" s="91"/>
      <c r="V13" s="498">
        <v>-82.26617943233793236763480202</v>
      </c>
      <c r="W13" s="420">
        <v>-59.677898909867642162067577110</v>
      </c>
      <c r="X13" s="91"/>
      <c r="Y13" s="498">
        <v>-75.438055024983132313718915230</v>
      </c>
      <c r="Z13" s="420">
        <v>-55.632820241782960503925195060</v>
      </c>
      <c r="AA13" s="91"/>
      <c r="AB13" s="498">
        <v>-71.326170657039459207673622570</v>
      </c>
      <c r="AC13" s="5"/>
      <c r="AD13" s="420" t="s">
        <v>229</v>
      </c>
      <c r="AE13" s="91"/>
      <c r="AF13" s="91"/>
      <c r="AG13" s="421"/>
    </row>
    <row r="14" ht="20.1" customHeight="1">
      <c r="A14" s="58"/>
      <c r="B14" s="286"/>
      <c r="C14" s="287" t="s">
        <v>223</v>
      </c>
      <c r="D14" s="276">
        <v>118.41593352883675464320625611</v>
      </c>
      <c r="E14" s="94">
        <v>118.48046483670607092766980565</v>
      </c>
      <c r="F14" s="277">
        <v>70.522990126939351198871650212</v>
      </c>
      <c r="G14" s="276">
        <v>12.45650048875855327468230694</v>
      </c>
      <c r="H14" s="94"/>
      <c r="I14" s="277">
        <v>10.691356599858390765227943294</v>
      </c>
      <c r="J14" s="276">
        <v>15.95478983382209188660801564</v>
      </c>
      <c r="K14" s="94"/>
      <c r="L14" s="277">
        <v>9.926712408886271036174099525</v>
      </c>
      <c r="M14" s="276">
        <v>146.82722385141739980449657869</v>
      </c>
      <c r="N14" s="94"/>
      <c r="O14" s="277">
        <v>91.14105913568401300027369303</v>
      </c>
      <c r="P14" s="5"/>
      <c r="Q14" s="271">
        <v>-44.522400192357368170595140420</v>
      </c>
      <c r="R14" s="92">
        <v>-52.647415940838918515249170290</v>
      </c>
      <c r="S14" s="272">
        <v>-60.648211351237041315102212720</v>
      </c>
      <c r="T14" s="271">
        <v>-71.446177287811169523337288010</v>
      </c>
      <c r="U14" s="92"/>
      <c r="V14" s="272">
        <v>-74.696504653153904286559741850</v>
      </c>
      <c r="W14" s="271">
        <v>-36.103390228632871887343064440</v>
      </c>
      <c r="X14" s="92"/>
      <c r="Y14" s="272">
        <v>-26.220216185088100846656957940</v>
      </c>
      <c r="Z14" s="271">
        <v>-47.941458325745344964941987250</v>
      </c>
      <c r="AA14" s="92"/>
      <c r="AB14" s="272">
        <v>-61.203141166791378952985428830</v>
      </c>
      <c r="AC14" s="5"/>
      <c r="AD14" s="271" t="s">
        <v>235</v>
      </c>
      <c r="AE14" s="92"/>
      <c r="AF14" s="92"/>
      <c r="AG14" s="272"/>
    </row>
    <row r="15" ht="20.1" customHeight="1">
      <c r="A15" s="58"/>
      <c r="B15" s="288">
        <v>2021</v>
      </c>
      <c r="C15" s="289" t="s">
        <v>227</v>
      </c>
      <c r="D15" s="439">
        <v>143.13831867057673509286412512</v>
      </c>
      <c r="E15" s="95">
        <v>107.10069950283269742166724477</v>
      </c>
      <c r="F15" s="442">
        <v>78.671005842011684023368046736</v>
      </c>
      <c r="G15" s="439">
        <v>15.979716520039100684261974585</v>
      </c>
      <c r="H15" s="95">
        <v>44.205970597210617027946642053</v>
      </c>
      <c r="I15" s="442">
        <v>12.289296170395737814360883662</v>
      </c>
      <c r="J15" s="439">
        <v>20.207966764418377321603128055</v>
      </c>
      <c r="K15" s="95">
        <v>21.041769969085937363823730632</v>
      </c>
      <c r="L15" s="442">
        <v>11.2027827658600749393977154</v>
      </c>
      <c r="M15" s="439">
        <v>179.32600195503421309872922776</v>
      </c>
      <c r="N15" s="95">
        <v>172.34844006912925181343761745</v>
      </c>
      <c r="O15" s="442">
        <v>102.1630847782674967771266458</v>
      </c>
      <c r="P15" s="5"/>
      <c r="Q15" s="420">
        <v>-47.145160810023494132376986930</v>
      </c>
      <c r="R15" s="91">
        <v>-60.620046478740206992505725750</v>
      </c>
      <c r="S15" s="498">
        <v>-63.754617041305029766602952290</v>
      </c>
      <c r="T15" s="420">
        <v>-66.085071290377801344942943610</v>
      </c>
      <c r="U15" s="91">
        <v>-37.186913460998878543660541570</v>
      </c>
      <c r="V15" s="498">
        <v>-74.352588908490342108264119680</v>
      </c>
      <c r="W15" s="420">
        <v>-18.766332003780688814825360050</v>
      </c>
      <c r="X15" s="91">
        <v>116.88992750790127829824451701</v>
      </c>
      <c r="Y15" s="498">
        <v>-6.8804623983649536184256808700</v>
      </c>
      <c r="Z15" s="420">
        <v>-47.688997753012549159882546870</v>
      </c>
      <c r="AA15" s="91">
        <v>-51.043794742158217233870473750</v>
      </c>
      <c r="AB15" s="498">
        <v>-63.117749818950839553347893250</v>
      </c>
      <c r="AC15" s="5"/>
      <c r="AD15" s="420" t="s">
        <v>236</v>
      </c>
      <c r="AE15" s="91" t="s">
        <v>226</v>
      </c>
      <c r="AF15" s="91" t="s">
        <v>225</v>
      </c>
      <c r="AG15" s="421" t="s">
        <v>225</v>
      </c>
    </row>
    <row r="16" ht="20.1" customHeight="1">
      <c r="A16" s="58"/>
      <c r="B16" s="286"/>
      <c r="C16" s="287" t="s">
        <v>230</v>
      </c>
      <c r="D16" s="276">
        <v>185.57575757575757575757575758</v>
      </c>
      <c r="E16" s="94">
        <v>157.56765232974910394265232975</v>
      </c>
      <c r="F16" s="277">
        <v>114.54198638116663988430017676</v>
      </c>
      <c r="G16" s="276">
        <v>30.989989177489177489177489177</v>
      </c>
      <c r="H16" s="94">
        <v>62.857249538231945251039746121</v>
      </c>
      <c r="I16" s="277">
        <v>17.236316237740015295820996897</v>
      </c>
      <c r="J16" s="276">
        <v>16.715909090909090909090909091</v>
      </c>
      <c r="K16" s="94">
        <v>16.010816131404413090796701103</v>
      </c>
      <c r="L16" s="277">
        <v>13.476921759645652837755091514</v>
      </c>
      <c r="M16" s="276">
        <v>233.28165584415584415584415584</v>
      </c>
      <c r="N16" s="94">
        <v>236.43571799938546228448877697</v>
      </c>
      <c r="O16" s="277">
        <v>145.25522437855230801787626518</v>
      </c>
      <c r="P16" s="5"/>
      <c r="Q16" s="271">
        <v>-36.684507230560669348828049140</v>
      </c>
      <c r="R16" s="92">
        <v>-49.463983690041658512321609240</v>
      </c>
      <c r="S16" s="272">
        <v>-53.784174416292579354811799990</v>
      </c>
      <c r="T16" s="271">
        <v>-46.623076562161667091847543850</v>
      </c>
      <c r="U16" s="92">
        <v>6.6692584754609859782349457600</v>
      </c>
      <c r="V16" s="272">
        <v>-70.780421553564522070836678490</v>
      </c>
      <c r="W16" s="271">
        <v>-27.879153329424459653607353690</v>
      </c>
      <c r="X16" s="92">
        <v>26.374556320103764056144687580</v>
      </c>
      <c r="Y16" s="272">
        <v>-3.4610081874378179329118909700</v>
      </c>
      <c r="Z16" s="271">
        <v>-37.680768697014260757004857230</v>
      </c>
      <c r="AA16" s="92">
        <v>-38.330130353779066918085702730</v>
      </c>
      <c r="AB16" s="272">
        <v>-54.719597764122777106233124010</v>
      </c>
      <c r="AC16" s="5"/>
      <c r="AD16" s="271" t="s">
        <v>236</v>
      </c>
      <c r="AE16" s="92" t="s">
        <v>226</v>
      </c>
      <c r="AF16" s="92" t="s">
        <v>226</v>
      </c>
      <c r="AG16" s="272" t="s">
        <v>226</v>
      </c>
    </row>
    <row r="17" ht="20.1" customHeight="1">
      <c r="A17" s="58"/>
      <c r="B17" s="288"/>
      <c r="C17" s="289" t="s">
        <v>231</v>
      </c>
      <c r="D17" s="439">
        <v>211.75097751710654936461388074</v>
      </c>
      <c r="E17" s="95">
        <v>213.05578679616140594288357035</v>
      </c>
      <c r="F17" s="442">
        <v>140.34363919398080083023436824</v>
      </c>
      <c r="G17" s="439">
        <v>34.87927663734115347018572825</v>
      </c>
      <c r="H17" s="95"/>
      <c r="I17" s="442">
        <v>18.879155347189443510585204677</v>
      </c>
      <c r="J17" s="439">
        <v>19.697458455522971652003910068</v>
      </c>
      <c r="K17" s="95"/>
      <c r="L17" s="442">
        <v>13.254764144588653132001636811</v>
      </c>
      <c r="M17" s="439">
        <v>266.32771260997067448680351906</v>
      </c>
      <c r="N17" s="95"/>
      <c r="O17" s="442">
        <v>172.47755868575889747282120973</v>
      </c>
      <c r="P17" s="5"/>
      <c r="Q17" s="420">
        <v>138.92884126477982882392119617</v>
      </c>
      <c r="R17" s="91">
        <v>91.85895431323760570460245777</v>
      </c>
      <c r="S17" s="498">
        <v>79.166351363541034108789032650</v>
      </c>
      <c r="T17" s="420">
        <v>79.79869238276020482230759170</v>
      </c>
      <c r="U17" s="91"/>
      <c r="V17" s="498">
        <v>-8.814110761594667845009614810</v>
      </c>
      <c r="W17" s="420">
        <v>-2.7438582943370613127313827500</v>
      </c>
      <c r="X17" s="91"/>
      <c r="Y17" s="498">
        <v>29.605371965776331752645526400</v>
      </c>
      <c r="Z17" s="420">
        <v>107.61862487161801130764782977</v>
      </c>
      <c r="AA17" s="91"/>
      <c r="AB17" s="498">
        <v>57.856104580261806135713850080</v>
      </c>
      <c r="AC17" s="5"/>
      <c r="AD17" s="420" t="s">
        <v>237</v>
      </c>
      <c r="AE17" s="91"/>
      <c r="AF17" s="91"/>
      <c r="AG17" s="421"/>
    </row>
    <row r="18" ht="20.1" customHeight="1">
      <c r="A18" s="58"/>
      <c r="B18" s="286"/>
      <c r="C18" s="287" t="s">
        <v>232</v>
      </c>
      <c r="D18" s="276">
        <v>216.82474747474747474747474747</v>
      </c>
      <c r="E18" s="94">
        <v>202.6962962962962962962962963</v>
      </c>
      <c r="F18" s="277">
        <v>144.69517241379310344827586207</v>
      </c>
      <c r="G18" s="276">
        <v>39.794191919191919191919191919</v>
      </c>
      <c r="H18" s="94">
        <v>55.292139950766759449251280352</v>
      </c>
      <c r="I18" s="277">
        <v>22.825772544122684987046083309</v>
      </c>
      <c r="J18" s="276">
        <v>21.277525252525252525252525253</v>
      </c>
      <c r="K18" s="94">
        <v>16.349482911974090376371549756</v>
      </c>
      <c r="L18" s="277">
        <v>13.147357448966004979360082106</v>
      </c>
      <c r="M18" s="276">
        <v>277.89646464646464646464646465</v>
      </c>
      <c r="N18" s="94">
        <v>274.33791915903714612191912641</v>
      </c>
      <c r="O18" s="277">
        <v>180.66830240688179341468202748</v>
      </c>
      <c r="P18" s="5"/>
      <c r="Q18" s="271"/>
      <c r="R18" s="92"/>
      <c r="S18" s="272">
        <v>1336.5573034139931481483148056</v>
      </c>
      <c r="T18" s="271"/>
      <c r="U18" s="92"/>
      <c r="V18" s="272">
        <v>824.2234424796374841221441510</v>
      </c>
      <c r="W18" s="271"/>
      <c r="X18" s="92"/>
      <c r="Y18" s="272">
        <v>1317.2505424525310080770570151</v>
      </c>
      <c r="Z18" s="271"/>
      <c r="AA18" s="92"/>
      <c r="AB18" s="272">
        <v>1241.2894654913883916782813670</v>
      </c>
      <c r="AC18" s="5"/>
      <c r="AD18" s="271" t="s">
        <v>237</v>
      </c>
      <c r="AE18" s="92" t="s">
        <v>235</v>
      </c>
      <c r="AF18" s="92" t="s">
        <v>235</v>
      </c>
      <c r="AG18" s="272" t="s">
        <v>229</v>
      </c>
    </row>
    <row r="19" ht="20.1" customHeight="1">
      <c r="A19" s="58"/>
      <c r="B19" s="288"/>
      <c r="C19" s="289" t="s">
        <v>233</v>
      </c>
      <c r="D19" s="439">
        <v>248.66520039100684261974584555</v>
      </c>
      <c r="E19" s="95">
        <v>236.04503410798936293213088218</v>
      </c>
      <c r="F19" s="442">
        <v>162.68582391035140786455267058</v>
      </c>
      <c r="G19" s="439">
        <v>35.034457478005865102639296188</v>
      </c>
      <c r="H19" s="95">
        <v>58.930463818981569194726457232</v>
      </c>
      <c r="I19" s="442">
        <v>25.384720980539285241862645849</v>
      </c>
      <c r="J19" s="439">
        <v>20.811339198435972629521016618</v>
      </c>
      <c r="K19" s="95">
        <v>17.236745035555415559963065053</v>
      </c>
      <c r="L19" s="442">
        <v>14.457765730660255684670384631</v>
      </c>
      <c r="M19" s="439">
        <v>304.51099706744868035190615836</v>
      </c>
      <c r="N19" s="95">
        <v>312.21224296252634768682040446</v>
      </c>
      <c r="O19" s="442">
        <v>202.52831062155094879108570106</v>
      </c>
      <c r="P19" s="5"/>
      <c r="Q19" s="420"/>
      <c r="R19" s="91"/>
      <c r="S19" s="498">
        <v>602.52108391474758799573633926</v>
      </c>
      <c r="T19" s="420"/>
      <c r="U19" s="91"/>
      <c r="V19" s="498">
        <v>628.74387516471229417268749945</v>
      </c>
      <c r="W19" s="420"/>
      <c r="X19" s="91"/>
      <c r="Y19" s="498">
        <v>854.2814293516233730052822415</v>
      </c>
      <c r="Z19" s="420"/>
      <c r="AA19" s="91"/>
      <c r="AB19" s="498">
        <v>619.31230835257171704725981121</v>
      </c>
      <c r="AC19" s="5"/>
      <c r="AD19" s="420" t="s">
        <v>237</v>
      </c>
      <c r="AE19" s="91" t="s">
        <v>235</v>
      </c>
      <c r="AF19" s="91" t="s">
        <v>235</v>
      </c>
      <c r="AG19" s="421" t="s">
        <v>229</v>
      </c>
    </row>
    <row r="20" ht="20.1" customHeight="1">
      <c r="A20" s="58"/>
      <c r="B20" s="286"/>
      <c r="C20" s="287" t="s">
        <v>234</v>
      </c>
      <c r="D20" s="276">
        <v>210.5969696969696969696969697</v>
      </c>
      <c r="E20" s="94">
        <v>203.170609318996415770609319</v>
      </c>
      <c r="F20" s="277">
        <v>145.1058182117434061638480846</v>
      </c>
      <c r="G20" s="276">
        <v>34.788383838383838383838383838</v>
      </c>
      <c r="H20" s="94">
        <v>46.679925640380331933682378749</v>
      </c>
      <c r="I20" s="277">
        <v>25.75178713116564016961560797</v>
      </c>
      <c r="J20" s="276">
        <v>25.212878787878787878787878788</v>
      </c>
      <c r="K20" s="94">
        <v>16.330714110969479540734550714</v>
      </c>
      <c r="L20" s="277">
        <v>13.895759884439991916080241787</v>
      </c>
      <c r="M20" s="276">
        <v>270.59823232323232323232323232</v>
      </c>
      <c r="N20" s="94">
        <v>266.18124907034622724502624847</v>
      </c>
      <c r="O20" s="277">
        <v>184.75336522734903824954393435</v>
      </c>
      <c r="P20" s="5"/>
      <c r="Q20" s="271">
        <v>828.0186947079862310574865075</v>
      </c>
      <c r="R20" s="92">
        <v>864.0510353502865802311910424</v>
      </c>
      <c r="S20" s="272">
        <v>392.85976965564123417472754785</v>
      </c>
      <c r="T20" s="271">
        <v>15022.063663047283778312549264</v>
      </c>
      <c r="U20" s="92"/>
      <c r="V20" s="272">
        <v>519.50921451570081092175286127</v>
      </c>
      <c r="W20" s="271">
        <v>837.4929577443662130529704423</v>
      </c>
      <c r="X20" s="92"/>
      <c r="Y20" s="272">
        <v>129.11494477210178988917091987</v>
      </c>
      <c r="Z20" s="271">
        <v>956.5032634641006875889837563</v>
      </c>
      <c r="AA20" s="92"/>
      <c r="AB20" s="272">
        <v>365.80336982528759395991559168</v>
      </c>
      <c r="AC20" s="5"/>
      <c r="AD20" s="271" t="s">
        <v>237</v>
      </c>
      <c r="AE20" s="92" t="s">
        <v>235</v>
      </c>
      <c r="AF20" s="92" t="s">
        <v>235</v>
      </c>
      <c r="AG20" s="272" t="s">
        <v>235</v>
      </c>
    </row>
    <row r="21" ht="20.1" customHeight="1">
      <c r="A21" s="58"/>
      <c r="B21" s="288"/>
      <c r="C21" s="289" t="s">
        <v>218</v>
      </c>
      <c r="D21" s="439">
        <v>232.34652981427174975562072336</v>
      </c>
      <c r="E21" s="95">
        <v>194.49294716152156318649554862</v>
      </c>
      <c r="F21" s="442">
        <v>149.57388080466842503360623293</v>
      </c>
      <c r="G21" s="439">
        <v>36.71969696969696969696969697</v>
      </c>
      <c r="H21" s="95">
        <v>46.909932909922590295986439149</v>
      </c>
      <c r="I21" s="442">
        <v>24.389143518218742505093795676</v>
      </c>
      <c r="J21" s="439">
        <v>22.252199413489736070381231672</v>
      </c>
      <c r="K21" s="95">
        <v>15.314362600869330227454982051</v>
      </c>
      <c r="L21" s="442">
        <v>14.49760985926700490419403954</v>
      </c>
      <c r="M21" s="439">
        <v>291.318426197458455522971652</v>
      </c>
      <c r="N21" s="95">
        <v>256.71724267231348370993696982</v>
      </c>
      <c r="O21" s="442">
        <v>188.46063418215417244289406814</v>
      </c>
      <c r="P21" s="5"/>
      <c r="Q21" s="420">
        <v>1191.5505202801207504013161454</v>
      </c>
      <c r="R21" s="91">
        <v>720.50859042908301143931776231</v>
      </c>
      <c r="S21" s="498">
        <v>451.50440116153511156536920283</v>
      </c>
      <c r="T21" s="420">
        <v>3003.8421813710765371236682563</v>
      </c>
      <c r="U21" s="91"/>
      <c r="V21" s="498">
        <v>413.80907657763831648475524647</v>
      </c>
      <c r="W21" s="420">
        <v>963.1173380029068344165307703</v>
      </c>
      <c r="X21" s="91"/>
      <c r="Y21" s="498">
        <v>154.59386372804027892194055757</v>
      </c>
      <c r="Z21" s="420">
        <v>1269.8862330486771850872017988</v>
      </c>
      <c r="AA21" s="91"/>
      <c r="AB21" s="498">
        <v>401.72939799747404181148454598</v>
      </c>
      <c r="AC21" s="5"/>
      <c r="AD21" s="420" t="s">
        <v>236</v>
      </c>
      <c r="AE21" s="91" t="s">
        <v>235</v>
      </c>
      <c r="AF21" s="91" t="s">
        <v>235</v>
      </c>
      <c r="AG21" s="421" t="s">
        <v>235</v>
      </c>
    </row>
    <row r="22" ht="20.1" customHeight="1">
      <c r="A22" s="58"/>
      <c r="B22" s="286"/>
      <c r="C22" s="287" t="s">
        <v>219</v>
      </c>
      <c r="D22" s="276">
        <v>131.2534213098729227761485826</v>
      </c>
      <c r="E22" s="94">
        <v>116.31760897213550699502832697</v>
      </c>
      <c r="F22" s="277">
        <v>97.33809633917409008429971665</v>
      </c>
      <c r="G22" s="276">
        <v>24.247067448680351906158357771</v>
      </c>
      <c r="H22" s="94">
        <v>47.223701896659800214094494791</v>
      </c>
      <c r="I22" s="277">
        <v>20.273054332037634936721455951</v>
      </c>
      <c r="J22" s="276">
        <v>15.847507331378299120234604106</v>
      </c>
      <c r="K22" s="94">
        <v>18.065603166311266071133576302</v>
      </c>
      <c r="L22" s="277">
        <v>11.918036885450604136939691028</v>
      </c>
      <c r="M22" s="276">
        <v>171.34799608993157380254154448</v>
      </c>
      <c r="N22" s="94">
        <v>181.60691403510657328025639806</v>
      </c>
      <c r="O22" s="277">
        <v>129.52918755666232915796086363</v>
      </c>
      <c r="P22" s="5"/>
      <c r="Q22" s="271">
        <v>366.16239204917050126020932647</v>
      </c>
      <c r="R22" s="92">
        <v>248.20292808074107292126647958</v>
      </c>
      <c r="S22" s="272">
        <v>198.78350284574719814130268277</v>
      </c>
      <c r="T22" s="271">
        <v>956.8704729309900703634946702</v>
      </c>
      <c r="U22" s="92"/>
      <c r="V22" s="272">
        <v>248.28857155653481792532963286</v>
      </c>
      <c r="W22" s="271">
        <v>148.22200956745492307228888512</v>
      </c>
      <c r="X22" s="92"/>
      <c r="Y22" s="272">
        <v>120.15844890692793383994473349</v>
      </c>
      <c r="Z22" s="271">
        <v>365.17966137669825758639040158</v>
      </c>
      <c r="AA22" s="92"/>
      <c r="AB22" s="272">
        <v>195.64577985732225769298953712</v>
      </c>
      <c r="AC22" s="5"/>
      <c r="AD22" s="271" t="s">
        <v>236</v>
      </c>
      <c r="AE22" s="92" t="s">
        <v>226</v>
      </c>
      <c r="AF22" s="92" t="s">
        <v>226</v>
      </c>
      <c r="AG22" s="272" t="s">
        <v>225</v>
      </c>
    </row>
    <row r="23" ht="20.1" customHeight="1">
      <c r="A23" s="58"/>
      <c r="B23" s="288"/>
      <c r="C23" s="289" t="s">
        <v>220</v>
      </c>
      <c r="D23" s="439">
        <v>108.17020202020202020202020202</v>
      </c>
      <c r="E23" s="95">
        <v>96.93777777777777777777777778</v>
      </c>
      <c r="F23" s="442">
        <v>85.18797634957275341189810878</v>
      </c>
      <c r="G23" s="439">
        <v>22.684343434343434343434343434</v>
      </c>
      <c r="H23" s="95">
        <v>37.871360849866758829263414777</v>
      </c>
      <c r="I23" s="442">
        <v>19.783751641276708437143564856</v>
      </c>
      <c r="J23" s="439">
        <v>13.93510101010101010101010101</v>
      </c>
      <c r="K23" s="95">
        <v>9.838111689690388264012175777</v>
      </c>
      <c r="L23" s="442">
        <v>12.581634626089406439717572708</v>
      </c>
      <c r="M23" s="439">
        <v>144.78964646464646464646464646</v>
      </c>
      <c r="N23" s="95">
        <v>144.64725031733492487105336833</v>
      </c>
      <c r="O23" s="442">
        <v>117.55336261693886828875924634</v>
      </c>
      <c r="P23" s="5"/>
      <c r="Q23" s="420">
        <v>103.09126338784837961539329120</v>
      </c>
      <c r="R23" s="91">
        <v>84.07643879695223462130536812</v>
      </c>
      <c r="S23" s="498">
        <v>140.09143031645954546902020370</v>
      </c>
      <c r="T23" s="420">
        <v>491.06461376170223532333313673</v>
      </c>
      <c r="U23" s="91"/>
      <c r="V23" s="498">
        <v>180.77281234153715190727022504</v>
      </c>
      <c r="W23" s="420">
        <v>22.384120647202853994828183390</v>
      </c>
      <c r="X23" s="91"/>
      <c r="Y23" s="498">
        <v>45.458960101469726579009835280</v>
      </c>
      <c r="Z23" s="420">
        <v>111.41461256248705681293762810</v>
      </c>
      <c r="AA23" s="91"/>
      <c r="AB23" s="498">
        <v>129.69841969139777767574138672</v>
      </c>
      <c r="AC23" s="5"/>
      <c r="AD23" s="420" t="s">
        <v>236</v>
      </c>
      <c r="AE23" s="91" t="s">
        <v>226</v>
      </c>
      <c r="AF23" s="91" t="s">
        <v>226</v>
      </c>
      <c r="AG23" s="421" t="s">
        <v>225</v>
      </c>
    </row>
    <row r="24" ht="20.1" customHeight="1">
      <c r="A24" s="59"/>
      <c r="B24" s="286"/>
      <c r="C24" s="287" t="s">
        <v>221</v>
      </c>
      <c r="D24" s="276">
        <v>135.83919843597262952101661779</v>
      </c>
      <c r="E24" s="94">
        <v>118.76523695107612085271714125</v>
      </c>
      <c r="F24" s="277">
        <v>104.64374182748126347621821155</v>
      </c>
      <c r="G24" s="276">
        <v>28.926441837732160312805474096</v>
      </c>
      <c r="H24" s="94">
        <v>35.249036648574827026318839206</v>
      </c>
      <c r="I24" s="277">
        <v>26.043599638477102259842134393</v>
      </c>
      <c r="J24" s="276">
        <v>16.814516129032258064516129032</v>
      </c>
      <c r="K24" s="94">
        <v>9.175112004878440997654892475</v>
      </c>
      <c r="L24" s="277">
        <v>11.781672438163188218475771264</v>
      </c>
      <c r="M24" s="276">
        <v>181.58015640273704789833822092</v>
      </c>
      <c r="N24" s="94">
        <v>163.18938560452938887669087293</v>
      </c>
      <c r="O24" s="277">
        <v>142.46901390412155395453611721</v>
      </c>
      <c r="P24" s="93"/>
      <c r="Q24" s="271">
        <v>115.29541176373315822828155812</v>
      </c>
      <c r="R24" s="92">
        <v>98.26139665604776981942451741</v>
      </c>
      <c r="S24" s="272">
        <v>135.32784769642404783510558521</v>
      </c>
      <c r="T24" s="271">
        <v>372.99500499883053702344708495</v>
      </c>
      <c r="U24" s="92"/>
      <c r="V24" s="272">
        <v>164.45100002158979777057022797</v>
      </c>
      <c r="W24" s="271">
        <v>31.964556282186816438640044220</v>
      </c>
      <c r="X24" s="92"/>
      <c r="Y24" s="272">
        <v>28.197934093966951958567482600</v>
      </c>
      <c r="Z24" s="271">
        <v>121.56996057809962781078959439</v>
      </c>
      <c r="AA24" s="92"/>
      <c r="AB24" s="272">
        <v>124.34082546424400684313825608</v>
      </c>
      <c r="AC24" s="93"/>
      <c r="AD24" s="271" t="s">
        <v>314</v>
      </c>
      <c r="AE24" s="92" t="s">
        <v>235</v>
      </c>
      <c r="AF24" s="92" t="s">
        <v>235</v>
      </c>
      <c r="AG24" s="272" t="s">
        <v>229</v>
      </c>
    </row>
    <row r="25" ht="20.1" customHeight="1">
      <c r="A25" s="60"/>
      <c r="B25" s="288"/>
      <c r="C25" s="289" t="s">
        <v>222</v>
      </c>
      <c r="D25" s="439">
        <v>196.46010101010101010101010101</v>
      </c>
      <c r="E25" s="95">
        <v>167.05113576333861595351294242</v>
      </c>
      <c r="F25" s="442">
        <v>138.73155964765435051217665112</v>
      </c>
      <c r="G25" s="439">
        <v>38.158838383838383838383838384</v>
      </c>
      <c r="H25" s="95">
        <v>39.003853593704987841056760761</v>
      </c>
      <c r="I25" s="442">
        <v>32.244134700356533623581016262</v>
      </c>
      <c r="J25" s="439">
        <v>17.574747474747474747474747475</v>
      </c>
      <c r="K25" s="95">
        <v>18.898640142955804961190521068</v>
      </c>
      <c r="L25" s="442">
        <v>13.69979042186612773834606223</v>
      </c>
      <c r="M25" s="439">
        <v>252.19368686868686868686868687</v>
      </c>
      <c r="N25" s="95">
        <v>224.95362949999940875576022425</v>
      </c>
      <c r="O25" s="442">
        <v>184.67548476987701187410372961</v>
      </c>
      <c r="P25" s="93"/>
      <c r="Q25" s="420">
        <v>199.93908551160459557406122292</v>
      </c>
      <c r="R25" s="91">
        <v>122.84496293181194681969929195</v>
      </c>
      <c r="S25" s="498">
        <v>195.07320468160715532373478922</v>
      </c>
      <c r="T25" s="420">
        <v>447.67496647648062037554790111</v>
      </c>
      <c r="U25" s="91"/>
      <c r="V25" s="498">
        <v>293.77057046916196111471843251</v>
      </c>
      <c r="W25" s="420">
        <v>42.550489533266920169235246160</v>
      </c>
      <c r="X25" s="91"/>
      <c r="Y25" s="498">
        <v>77.059890966904667614956353970</v>
      </c>
      <c r="Z25" s="420">
        <v>197.41150053757605355688118469</v>
      </c>
      <c r="AA25" s="91"/>
      <c r="AB25" s="498">
        <v>193.40620332176975607314856608</v>
      </c>
      <c r="AC25" s="93"/>
      <c r="AD25" s="420" t="s">
        <v>313</v>
      </c>
      <c r="AE25" s="91" t="s">
        <v>235</v>
      </c>
      <c r="AF25" s="91" t="s">
        <v>229</v>
      </c>
      <c r="AG25" s="421" t="s">
        <v>229</v>
      </c>
    </row>
    <row r="26" ht="20.1" customHeight="1">
      <c r="A26" s="60"/>
      <c r="B26" s="290"/>
      <c r="C26" s="291" t="s">
        <v>223</v>
      </c>
      <c r="D26" s="443">
        <v>315.4914467253176930596285435</v>
      </c>
      <c r="E26" s="444">
        <v>255.8030775522723787127447472</v>
      </c>
      <c r="F26" s="445">
        <v>197.26769989161166891029226277</v>
      </c>
      <c r="G26" s="443">
        <v>52.248533724340175953079178886</v>
      </c>
      <c r="H26" s="444">
        <v>55.690785463408383863902163616</v>
      </c>
      <c r="I26" s="445">
        <v>36.620683971475080416077795462</v>
      </c>
      <c r="J26" s="443">
        <v>21.871700879765395894428152493</v>
      </c>
      <c r="K26" s="444">
        <v>12.663524435691779012940766505</v>
      </c>
      <c r="L26" s="445">
        <v>15.276738926819615034130143817</v>
      </c>
      <c r="M26" s="443">
        <v>389.61168132942326490713587488</v>
      </c>
      <c r="N26" s="444">
        <v>324.15738745137254158958767732</v>
      </c>
      <c r="O26" s="445">
        <v>249.16512278990636436050020205</v>
      </c>
      <c r="P26" s="453"/>
      <c r="Q26" s="273">
        <v>166.42651653680275745749143577</v>
      </c>
      <c r="R26" s="274">
        <v>115.90316842936280909928418534</v>
      </c>
      <c r="S26" s="275">
        <v>179.72112290849489498305763984</v>
      </c>
      <c r="T26" s="273">
        <v>319.44793219667389215058157632</v>
      </c>
      <c r="U26" s="274"/>
      <c r="V26" s="275">
        <v>242.52607355569457377965944973</v>
      </c>
      <c r="W26" s="273">
        <v>37.085484093500888810361212500</v>
      </c>
      <c r="X26" s="274"/>
      <c r="Y26" s="275">
        <v>53.895250487189875076568602260</v>
      </c>
      <c r="Z26" s="273">
        <v>165.35384318356320342739081900</v>
      </c>
      <c r="AA26" s="274"/>
      <c r="AB26" s="275">
        <v>173.38405451150639185395687393</v>
      </c>
      <c r="AC26" s="453"/>
      <c r="AD26" s="273" t="s">
        <v>314</v>
      </c>
      <c r="AE26" s="274" t="s">
        <v>236</v>
      </c>
      <c r="AF26" s="274" t="s">
        <v>236</v>
      </c>
      <c r="AG26" s="275" t="s">
        <v>237</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73" t="s">
        <v>58</v>
      </c>
      <c r="C28" s="973"/>
      <c r="D28" s="973"/>
      <c r="E28" s="973"/>
      <c r="F28" s="973"/>
      <c r="G28" s="973"/>
      <c r="H28" s="973"/>
      <c r="I28" s="973"/>
      <c r="J28" s="973"/>
      <c r="K28" s="973"/>
      <c r="L28" s="973"/>
      <c r="M28" s="973"/>
      <c r="N28" s="973"/>
      <c r="O28" s="973"/>
      <c r="P28" s="501"/>
      <c r="Q28" s="971"/>
      <c r="R28" s="971"/>
      <c r="S28" s="971"/>
      <c r="T28" s="971"/>
      <c r="U28" s="971"/>
      <c r="V28" s="971"/>
      <c r="W28" s="971"/>
      <c r="X28" s="971"/>
      <c r="Y28" s="971"/>
      <c r="Z28" s="971"/>
      <c r="AA28" s="971"/>
      <c r="AB28" s="971"/>
      <c r="AC28" s="501"/>
      <c r="AD28" s="971"/>
      <c r="AE28" s="971"/>
      <c r="AF28" s="971"/>
      <c r="AG28" s="971"/>
      <c r="AH28" s="9"/>
    </row>
    <row r="29" ht="20.1" customHeight="1">
      <c r="A29" s="58"/>
      <c r="B29" s="284">
        <v>2019</v>
      </c>
      <c r="C29" s="285"/>
      <c r="D29" s="454">
        <v>131.58870900788709007887090079</v>
      </c>
      <c r="E29" s="455">
        <v>177.13043813907040357770879014</v>
      </c>
      <c r="F29" s="436">
        <v>145.31768495408316792828437319</v>
      </c>
      <c r="G29" s="454">
        <v>21.339061851390618513906185139</v>
      </c>
      <c r="H29" s="455">
        <v>56.826655543235852428744942935</v>
      </c>
      <c r="I29" s="436">
        <v>40.029453175933892761976072963</v>
      </c>
      <c r="J29" s="454">
        <v>21.127625570776255707762557078</v>
      </c>
      <c r="K29" s="455">
        <v>17.020517446781579104884737804</v>
      </c>
      <c r="L29" s="436">
        <v>13.478432092000116780669716148</v>
      </c>
      <c r="M29" s="454">
        <v>174.05539643005396430053964301</v>
      </c>
      <c r="N29" s="455">
        <v>250.97761112908783511133847087</v>
      </c>
      <c r="O29" s="436">
        <v>198.82557022201717747093016231</v>
      </c>
      <c r="P29" s="5"/>
      <c r="Q29" s="427">
        <v>84.75946982501326306113629962</v>
      </c>
      <c r="R29" s="428">
        <v>-1.1629951655561955001917049200</v>
      </c>
      <c r="S29" s="417">
        <v>1.9910323596219912219878415600</v>
      </c>
      <c r="T29" s="427">
        <v>185.98204494488800648457304112</v>
      </c>
      <c r="U29" s="428">
        <v>2.0532338550148635315776777900</v>
      </c>
      <c r="V29" s="417">
        <v>-14.038136312899931465689937460</v>
      </c>
      <c r="W29" s="427">
        <v>140.21401258735524113182211066</v>
      </c>
      <c r="X29" s="428">
        <v>9.815474670094079914672991260</v>
      </c>
      <c r="Y29" s="417">
        <v>-14.473383076652094734827117780</v>
      </c>
      <c r="Z29" s="427">
        <v>98.96901317058494402455394623</v>
      </c>
      <c r="AA29" s="428">
        <v>0.2317800619956744875068518900</v>
      </c>
      <c r="AB29" s="417">
        <v>-2.9203840314966611927753157700</v>
      </c>
      <c r="AC29" s="5"/>
      <c r="AD29" s="427" t="s">
        <v>315</v>
      </c>
      <c r="AE29" s="428" t="s">
        <v>226</v>
      </c>
      <c r="AF29" s="428" t="s">
        <v>226</v>
      </c>
      <c r="AG29" s="429" t="s">
        <v>226</v>
      </c>
    </row>
    <row r="30" ht="20.1" customHeight="1">
      <c r="A30" s="58"/>
      <c r="B30" s="286">
        <v>2020</v>
      </c>
      <c r="C30" s="287"/>
      <c r="D30" s="276">
        <v>101.45382513661202185792349727</v>
      </c>
      <c r="E30" s="94">
        <v>122.16698634733853349706926705</v>
      </c>
      <c r="F30" s="277">
        <v>81.52947015288844577652164033</v>
      </c>
      <c r="G30" s="276">
        <v>15.607526080476900149031296572</v>
      </c>
      <c r="H30" s="94"/>
      <c r="I30" s="277">
        <v>17.57770763660035133672678472</v>
      </c>
      <c r="J30" s="276">
        <v>13.166219572776949826130153999</v>
      </c>
      <c r="K30" s="94"/>
      <c r="L30" s="277">
        <v>8.490507113704828198758175535</v>
      </c>
      <c r="M30" s="276">
        <v>130.22757078986587183308494784</v>
      </c>
      <c r="N30" s="94"/>
      <c r="O30" s="277">
        <v>107.59768490319362531200660059</v>
      </c>
      <c r="P30" s="5"/>
      <c r="Q30" s="271">
        <v>-22.900812766146078637758322040</v>
      </c>
      <c r="R30" s="92">
        <v>-31.029930467737472213729810290</v>
      </c>
      <c r="S30" s="272">
        <v>-43.895699839534107944139431630</v>
      </c>
      <c r="T30" s="271">
        <v>-26.859361535366976732735632210</v>
      </c>
      <c r="U30" s="92"/>
      <c r="V30" s="272">
        <v>-56.088064557466581186331721730</v>
      </c>
      <c r="W30" s="271">
        <v>-37.682445532480111107961125760</v>
      </c>
      <c r="X30" s="92"/>
      <c r="Y30" s="272">
        <v>-37.006715204327875922512192930</v>
      </c>
      <c r="Z30" s="271">
        <v>-25.180388852715187130071527520</v>
      </c>
      <c r="AA30" s="92"/>
      <c r="AB30" s="272">
        <v>-45.883376678837273526224344370</v>
      </c>
      <c r="AC30" s="5"/>
      <c r="AD30" s="271" t="s">
        <v>317</v>
      </c>
      <c r="AE30" s="92"/>
      <c r="AF30" s="92"/>
      <c r="AG30" s="272"/>
    </row>
    <row r="31" ht="20.1" customHeight="1">
      <c r="A31" s="58"/>
      <c r="B31" s="425">
        <v>2021</v>
      </c>
      <c r="C31" s="426"/>
      <c r="D31" s="457">
        <v>194.87868410128684101286841013</v>
      </c>
      <c r="E31" s="458">
        <v>172.85166836196324850512866826</v>
      </c>
      <c r="F31" s="499">
        <v>130.58558762215952003445509414</v>
      </c>
      <c r="G31" s="457">
        <v>32.875570776255707762557077626</v>
      </c>
      <c r="H31" s="458">
        <v>53.737763228317363863963937087</v>
      </c>
      <c r="I31" s="499">
        <v>23.780677150172391164752167514</v>
      </c>
      <c r="J31" s="457">
        <v>19.371606475716064757160647572</v>
      </c>
      <c r="K31" s="458">
        <v>16.984742578728242926681347369</v>
      </c>
      <c r="L31" s="499">
        <v>13.283590442604382992506010999</v>
      </c>
      <c r="M31" s="457">
        <v>247.12586135325861353258613533</v>
      </c>
      <c r="N31" s="458">
        <v>243.57417416900885529577395272</v>
      </c>
      <c r="O31" s="499">
        <v>167.64985521493629419171327265</v>
      </c>
      <c r="P31" s="453"/>
      <c r="Q31" s="430">
        <v>92.08608826616171883247526863</v>
      </c>
      <c r="R31" s="431">
        <v>41.488034967626444563805500030</v>
      </c>
      <c r="S31" s="500">
        <v>60.169797960491953342592436180</v>
      </c>
      <c r="T31" s="430">
        <v>110.63921730254454058899996356</v>
      </c>
      <c r="U31" s="431"/>
      <c r="V31" s="500">
        <v>35.288842218860637507982976040</v>
      </c>
      <c r="W31" s="430">
        <v>47.131121189378686351788103700</v>
      </c>
      <c r="X31" s="431"/>
      <c r="Y31" s="500">
        <v>56.452262093631876071082302930</v>
      </c>
      <c r="Z31" s="430">
        <v>89.7646249978463398146781800</v>
      </c>
      <c r="AA31" s="431"/>
      <c r="AB31" s="500">
        <v>55.811768037353299610369188400</v>
      </c>
      <c r="AC31" s="453"/>
      <c r="AD31" s="430" t="s">
        <v>313</v>
      </c>
      <c r="AE31" s="431" t="s">
        <v>235</v>
      </c>
      <c r="AF31" s="431" t="s">
        <v>235</v>
      </c>
      <c r="AG31" s="432" t="s">
        <v>229</v>
      </c>
    </row>
    <row r="32" ht="21" customHeight="1"/>
    <row r="33" ht="24.95" customHeight="1">
      <c r="A33" s="112"/>
      <c r="B33" s="972" t="s">
        <v>44</v>
      </c>
      <c r="C33" s="972"/>
      <c r="D33" s="972"/>
      <c r="E33" s="972"/>
      <c r="F33" s="972"/>
      <c r="G33" s="972"/>
      <c r="H33" s="972"/>
      <c r="I33" s="972"/>
      <c r="J33" s="972"/>
      <c r="K33" s="972"/>
      <c r="L33" s="972"/>
      <c r="M33" s="972"/>
      <c r="N33" s="972"/>
      <c r="O33" s="972"/>
      <c r="P33" s="501"/>
      <c r="Q33" s="971"/>
      <c r="R33" s="971"/>
      <c r="S33" s="971"/>
      <c r="T33" s="971"/>
      <c r="U33" s="971"/>
      <c r="V33" s="971"/>
      <c r="W33" s="971"/>
      <c r="X33" s="971"/>
      <c r="Y33" s="971"/>
      <c r="Z33" s="971"/>
      <c r="AA33" s="971"/>
      <c r="AB33" s="971"/>
      <c r="AC33" s="501"/>
      <c r="AD33" s="971"/>
      <c r="AE33" s="971"/>
      <c r="AF33" s="971"/>
      <c r="AG33" s="971"/>
      <c r="AH33" s="9"/>
    </row>
    <row r="34" ht="20.1" customHeight="1">
      <c r="A34" s="58"/>
      <c r="B34" s="284">
        <v>2019</v>
      </c>
      <c r="C34" s="285"/>
      <c r="D34" s="454">
        <v>145.6949934123847167325428195</v>
      </c>
      <c r="E34" s="455">
        <v>177.53522738234686143457589747</v>
      </c>
      <c r="F34" s="436">
        <v>145.33992875740322165317158307</v>
      </c>
      <c r="G34" s="454">
        <v>31.863224637681159420289855072</v>
      </c>
      <c r="H34" s="455">
        <v>50.72391680252863270956593578</v>
      </c>
      <c r="I34" s="436">
        <v>42.476104794001858568736267108</v>
      </c>
      <c r="J34" s="454">
        <v>25.015480895915678524374176548</v>
      </c>
      <c r="K34" s="455">
        <v>15.816689388992230299527009741</v>
      </c>
      <c r="L34" s="436">
        <v>18.482410091421691254680316954</v>
      </c>
      <c r="M34" s="454">
        <v>202.57369894598155467720685112</v>
      </c>
      <c r="N34" s="455">
        <v>244.075833573867724443668843</v>
      </c>
      <c r="O34" s="436">
        <v>206.29844364282677147658816713</v>
      </c>
      <c r="P34" s="5"/>
      <c r="Q34" s="427">
        <v>51.300487084047935453758297530</v>
      </c>
      <c r="R34" s="428">
        <v>-2.8061810499764931156086405700</v>
      </c>
      <c r="S34" s="417">
        <v>5.3702834742507229353546098400</v>
      </c>
      <c r="T34" s="427">
        <v>141.92654929292507958488904288</v>
      </c>
      <c r="U34" s="428">
        <v>-6.8861030186135648886025626600</v>
      </c>
      <c r="V34" s="417">
        <v>4.992730077972236831117950300</v>
      </c>
      <c r="W34" s="427">
        <v>96.90436991944891131991955720</v>
      </c>
      <c r="X34" s="428">
        <v>-9.216037234291343096295515510</v>
      </c>
      <c r="Y34" s="417">
        <v>48.672717272113664460804872020</v>
      </c>
      <c r="Z34" s="427">
        <v>65.812794799782583214975786070</v>
      </c>
      <c r="AA34" s="428">
        <v>-4.1179776390029327448068833800</v>
      </c>
      <c r="AB34" s="417">
        <v>8.111313825563349153801453280</v>
      </c>
      <c r="AC34" s="5"/>
      <c r="AD34" s="427" t="s">
        <v>312</v>
      </c>
      <c r="AE34" s="428" t="s">
        <v>226</v>
      </c>
      <c r="AF34" s="428" t="s">
        <v>224</v>
      </c>
      <c r="AG34" s="429" t="s">
        <v>226</v>
      </c>
    </row>
    <row r="35" ht="20.1" customHeight="1">
      <c r="A35" s="58"/>
      <c r="B35" s="286">
        <v>2020</v>
      </c>
      <c r="C35" s="287"/>
      <c r="D35" s="276">
        <v>82.51976284584980237154150198</v>
      </c>
      <c r="E35" s="94">
        <v>84.55202988567827887298586731</v>
      </c>
      <c r="F35" s="277">
        <v>54.23867827182123406603341262</v>
      </c>
      <c r="G35" s="276">
        <v>8.529973649538866930171277997</v>
      </c>
      <c r="H35" s="94"/>
      <c r="I35" s="277">
        <v>9.586813844505248196234102633</v>
      </c>
      <c r="J35" s="276">
        <v>13.689723320158102766798418972</v>
      </c>
      <c r="K35" s="94"/>
      <c r="L35" s="277">
        <v>8.960861130262700153767976423</v>
      </c>
      <c r="M35" s="276">
        <v>104.73945981554677206851119895</v>
      </c>
      <c r="N35" s="94"/>
      <c r="O35" s="277">
        <v>72.786353246589182416035491675</v>
      </c>
      <c r="P35" s="5"/>
      <c r="Q35" s="271">
        <v>-43.361291343572961445259553310</v>
      </c>
      <c r="R35" s="92">
        <v>-52.374505537649711883140400160</v>
      </c>
      <c r="S35" s="272">
        <v>-62.681502092686511502853468630</v>
      </c>
      <c r="T35" s="271">
        <v>-73.229408678723766074667352380</v>
      </c>
      <c r="U35" s="92"/>
      <c r="V35" s="272">
        <v>-77.430101251046348013598173080</v>
      </c>
      <c r="W35" s="271">
        <v>-45.274994403957958704539065390</v>
      </c>
      <c r="X35" s="92"/>
      <c r="Y35" s="272">
        <v>-51.516814712209777833476730780</v>
      </c>
      <c r="Z35" s="271">
        <v>-48.29562753678742214276988100</v>
      </c>
      <c r="AA35" s="92"/>
      <c r="AB35" s="272">
        <v>-64.717933901325633594938637310</v>
      </c>
      <c r="AC35" s="5"/>
      <c r="AD35" s="271" t="s">
        <v>235</v>
      </c>
      <c r="AE35" s="92"/>
      <c r="AF35" s="92"/>
      <c r="AG35" s="272"/>
    </row>
    <row r="36" ht="20.1" customHeight="1">
      <c r="A36" s="58"/>
      <c r="B36" s="425">
        <v>2021</v>
      </c>
      <c r="C36" s="426"/>
      <c r="D36" s="457">
        <v>216.14188076416337285902503294</v>
      </c>
      <c r="E36" s="458">
        <v>180.68643285330393440363811755</v>
      </c>
      <c r="F36" s="499">
        <v>146.96958133392947194942526345</v>
      </c>
      <c r="G36" s="457">
        <v>39.795536890645586297760210804</v>
      </c>
      <c r="H36" s="458">
        <v>43.361414057419882313353846851</v>
      </c>
      <c r="I36" s="499">
        <v>31.629530792600148605010307754</v>
      </c>
      <c r="J36" s="457">
        <v>18.766469038208168642951251647</v>
      </c>
      <c r="K36" s="458">
        <v>13.521271021155988795262837613</v>
      </c>
      <c r="L36" s="499">
        <v>13.584831140983160141099622113</v>
      </c>
      <c r="M36" s="457">
        <v>274.70388669301712779973649539</v>
      </c>
      <c r="N36" s="458">
        <v>237.56911793187980551225480201</v>
      </c>
      <c r="O36" s="499">
        <v>192.18394326751278069553519332</v>
      </c>
      <c r="P36" s="453"/>
      <c r="Q36" s="430">
        <v>161.92741388272703239124683003</v>
      </c>
      <c r="R36" s="431">
        <v>113.69851569212630121327480823</v>
      </c>
      <c r="S36" s="500">
        <v>170.96822049652067227723005380</v>
      </c>
      <c r="T36" s="430">
        <v>366.53762984342014288610740923</v>
      </c>
      <c r="U36" s="431"/>
      <c r="V36" s="500">
        <v>229.92745353813413775221770193</v>
      </c>
      <c r="W36" s="430">
        <v>37.084355901606344014467919570</v>
      </c>
      <c r="X36" s="431"/>
      <c r="Y36" s="500">
        <v>51.601848789373601136607518320</v>
      </c>
      <c r="Z36" s="430">
        <v>162.27353776400203416584375022</v>
      </c>
      <c r="AA36" s="431"/>
      <c r="AB36" s="500">
        <v>164.03842849001380250383084360</v>
      </c>
      <c r="AC36" s="453"/>
      <c r="AD36" s="430" t="s">
        <v>314</v>
      </c>
      <c r="AE36" s="431" t="s">
        <v>235</v>
      </c>
      <c r="AF36" s="431" t="s">
        <v>235</v>
      </c>
      <c r="AG36" s="432" t="s">
        <v>229</v>
      </c>
    </row>
    <row r="37" ht="21" customHeight="1"/>
    <row r="38" ht="24.95" customHeight="1">
      <c r="A38" s="112"/>
      <c r="B38" s="972" t="s">
        <v>45</v>
      </c>
      <c r="C38" s="972"/>
      <c r="D38" s="972"/>
      <c r="E38" s="972"/>
      <c r="F38" s="972"/>
      <c r="G38" s="972"/>
      <c r="H38" s="972"/>
      <c r="I38" s="972"/>
      <c r="J38" s="972"/>
      <c r="K38" s="972"/>
      <c r="L38" s="972"/>
      <c r="M38" s="972"/>
      <c r="N38" s="972"/>
      <c r="O38" s="972"/>
      <c r="P38" s="501"/>
      <c r="Q38" s="971"/>
      <c r="R38" s="971"/>
      <c r="S38" s="971"/>
      <c r="T38" s="971"/>
      <c r="U38" s="971"/>
      <c r="V38" s="971"/>
      <c r="W38" s="971"/>
      <c r="X38" s="971"/>
      <c r="Y38" s="971"/>
      <c r="Z38" s="971"/>
      <c r="AA38" s="971"/>
      <c r="AB38" s="971"/>
      <c r="AC38" s="501"/>
      <c r="AD38" s="971"/>
      <c r="AE38" s="971"/>
      <c r="AF38" s="971"/>
      <c r="AG38" s="971"/>
      <c r="AH38" s="9"/>
    </row>
    <row r="39" ht="20.1" customHeight="1">
      <c r="A39" s="58"/>
      <c r="B39" s="284">
        <v>2019</v>
      </c>
      <c r="C39" s="285"/>
      <c r="D39" s="454">
        <v>131.58870900788709007887090079</v>
      </c>
      <c r="E39" s="455">
        <v>177.13043813907040357770879014</v>
      </c>
      <c r="F39" s="436">
        <v>145.31768495408316792828437319</v>
      </c>
      <c r="G39" s="454">
        <v>21.339061851390618513906185139</v>
      </c>
      <c r="H39" s="455">
        <v>56.826655543235852428744942935</v>
      </c>
      <c r="I39" s="436">
        <v>40.029453175933892761976072963</v>
      </c>
      <c r="J39" s="454">
        <v>21.127625570776255707762557078</v>
      </c>
      <c r="K39" s="455">
        <v>17.020517446781579104884737804</v>
      </c>
      <c r="L39" s="436">
        <v>13.478432092000116780669716148</v>
      </c>
      <c r="M39" s="454">
        <v>174.05539643005396430053964301</v>
      </c>
      <c r="N39" s="455">
        <v>250.97761112908783511133847087</v>
      </c>
      <c r="O39" s="436">
        <v>198.82557022201717747093016231</v>
      </c>
      <c r="P39" s="5"/>
      <c r="Q39" s="427">
        <v>84.75946982501326306113629962</v>
      </c>
      <c r="R39" s="428">
        <v>-1.1629951655561955001917049200</v>
      </c>
      <c r="S39" s="417">
        <v>1.9910323596219912219878415600</v>
      </c>
      <c r="T39" s="427">
        <v>185.98204494488800648457304112</v>
      </c>
      <c r="U39" s="428">
        <v>2.0532338550148635315776777900</v>
      </c>
      <c r="V39" s="417">
        <v>-14.038136312899931465689937460</v>
      </c>
      <c r="W39" s="427">
        <v>140.21401258735524113182211066</v>
      </c>
      <c r="X39" s="428">
        <v>9.815474670094079914672991260</v>
      </c>
      <c r="Y39" s="417">
        <v>-14.473383076652094734827117780</v>
      </c>
      <c r="Z39" s="427">
        <v>98.96901317058494402455394623</v>
      </c>
      <c r="AA39" s="428">
        <v>0.2317800619956744875068518900</v>
      </c>
      <c r="AB39" s="417">
        <v>-2.9203840314966611927753157700</v>
      </c>
      <c r="AC39" s="5"/>
      <c r="AD39" s="427" t="s">
        <v>315</v>
      </c>
      <c r="AE39" s="428" t="s">
        <v>226</v>
      </c>
      <c r="AF39" s="428" t="s">
        <v>226</v>
      </c>
      <c r="AG39" s="429" t="s">
        <v>226</v>
      </c>
    </row>
    <row r="40" ht="20.1" customHeight="1">
      <c r="A40" s="58"/>
      <c r="B40" s="286">
        <v>2020</v>
      </c>
      <c r="C40" s="287"/>
      <c r="D40" s="276">
        <v>101.45382513661202185792349727</v>
      </c>
      <c r="E40" s="94">
        <v>122.16698634733853349706926705</v>
      </c>
      <c r="F40" s="277">
        <v>81.52947015288844577652164033</v>
      </c>
      <c r="G40" s="276">
        <v>15.607526080476900149031296572</v>
      </c>
      <c r="H40" s="94"/>
      <c r="I40" s="277">
        <v>17.57770763660035133672678472</v>
      </c>
      <c r="J40" s="276">
        <v>13.166219572776949826130153999</v>
      </c>
      <c r="K40" s="94"/>
      <c r="L40" s="277">
        <v>8.490507113704828198758175535</v>
      </c>
      <c r="M40" s="276">
        <v>130.22757078986587183308494784</v>
      </c>
      <c r="N40" s="94"/>
      <c r="O40" s="277">
        <v>107.59768490319362531200660059</v>
      </c>
      <c r="P40" s="5"/>
      <c r="Q40" s="271">
        <v>-22.900812766146078637758322040</v>
      </c>
      <c r="R40" s="92">
        <v>-31.029930467737472213729810290</v>
      </c>
      <c r="S40" s="272">
        <v>-43.895699839534107944139431630</v>
      </c>
      <c r="T40" s="271">
        <v>-26.859361535366976732735632210</v>
      </c>
      <c r="U40" s="92"/>
      <c r="V40" s="272">
        <v>-56.088064557466581186331721730</v>
      </c>
      <c r="W40" s="271">
        <v>-37.682445532480111107961125760</v>
      </c>
      <c r="X40" s="92"/>
      <c r="Y40" s="272">
        <v>-37.006715204327875922512192930</v>
      </c>
      <c r="Z40" s="271">
        <v>-25.180388852715187130071527520</v>
      </c>
      <c r="AA40" s="92"/>
      <c r="AB40" s="272">
        <v>-45.883376678837273526224344370</v>
      </c>
      <c r="AC40" s="5"/>
      <c r="AD40" s="271" t="s">
        <v>317</v>
      </c>
      <c r="AE40" s="92"/>
      <c r="AF40" s="92"/>
      <c r="AG40" s="272"/>
    </row>
    <row r="41" ht="20.1" customHeight="1">
      <c r="A41" s="58"/>
      <c r="B41" s="425">
        <v>2021</v>
      </c>
      <c r="C41" s="426"/>
      <c r="D41" s="457">
        <v>194.87868410128684101286841013</v>
      </c>
      <c r="E41" s="458">
        <v>172.85166836196324850512866826</v>
      </c>
      <c r="F41" s="499">
        <v>130.58558762215952003445509414</v>
      </c>
      <c r="G41" s="457">
        <v>32.875570776255707762557077626</v>
      </c>
      <c r="H41" s="458">
        <v>53.737763228317363863963937087</v>
      </c>
      <c r="I41" s="499">
        <v>23.780677150172391164752167514</v>
      </c>
      <c r="J41" s="457">
        <v>19.371606475716064757160647572</v>
      </c>
      <c r="K41" s="458">
        <v>16.984742578728242926681347369</v>
      </c>
      <c r="L41" s="499">
        <v>13.283590442604382992506010999</v>
      </c>
      <c r="M41" s="457">
        <v>247.12586135325861353258613533</v>
      </c>
      <c r="N41" s="458">
        <v>243.57417416900885529577395272</v>
      </c>
      <c r="O41" s="499">
        <v>167.64985521493629419171327265</v>
      </c>
      <c r="P41" s="453"/>
      <c r="Q41" s="430">
        <v>92.08608826616171883247526863</v>
      </c>
      <c r="R41" s="431">
        <v>41.488034967626444563805500030</v>
      </c>
      <c r="S41" s="500">
        <v>60.169797960491953342592436180</v>
      </c>
      <c r="T41" s="430">
        <v>110.63921730254454058899996356</v>
      </c>
      <c r="U41" s="431"/>
      <c r="V41" s="500">
        <v>35.288842218860637507982976040</v>
      </c>
      <c r="W41" s="430">
        <v>47.131121189378686351788103700</v>
      </c>
      <c r="X41" s="431"/>
      <c r="Y41" s="500">
        <v>56.452262093631876071082302930</v>
      </c>
      <c r="Z41" s="430">
        <v>89.7646249978463398146781800</v>
      </c>
      <c r="AA41" s="431"/>
      <c r="AB41" s="500">
        <v>55.811768037353299610369188400</v>
      </c>
      <c r="AC41" s="453"/>
      <c r="AD41" s="430" t="s">
        <v>313</v>
      </c>
      <c r="AE41" s="431" t="s">
        <v>235</v>
      </c>
      <c r="AF41" s="431" t="s">
        <v>235</v>
      </c>
      <c r="AG41" s="432" t="s">
        <v>229</v>
      </c>
    </row>
    <row r="42" ht="12.75" customHeight="1"/>
    <row r="43" ht="20.1" customHeight="1">
      <c r="B43" s="7" t="s">
        <v>104</v>
      </c>
    </row>
    <row r="44" ht="14.1" customHeight="1">
      <c r="B44" s="7"/>
      <c r="AW44" s="236"/>
    </row>
    <row r="45" ht="24" customHeight="1">
      <c r="B45" s="1048" t="s">
        <v>126</v>
      </c>
      <c r="C45" s="1048"/>
      <c r="D45" s="1048"/>
      <c r="E45" s="1048"/>
      <c r="F45" s="1048"/>
      <c r="G45" s="1048"/>
      <c r="H45" s="1048"/>
      <c r="I45" s="1048"/>
      <c r="J45" s="1048"/>
      <c r="K45" s="1048"/>
      <c r="L45" s="1048"/>
      <c r="M45" s="1048"/>
      <c r="N45" s="1048"/>
      <c r="O45" s="1048"/>
      <c r="P45" s="1048"/>
      <c r="Q45" s="1048"/>
      <c r="R45" s="1048"/>
      <c r="S45" s="1048"/>
      <c r="T45" s="1048"/>
      <c r="U45" s="1048"/>
      <c r="V45" s="1048"/>
      <c r="W45" s="1048"/>
      <c r="X45" s="1048"/>
      <c r="Y45" s="1048"/>
      <c r="Z45" s="1048"/>
      <c r="AA45" s="1048"/>
      <c r="AB45" s="1048"/>
      <c r="AC45" s="1048"/>
      <c r="AD45" s="1048"/>
      <c r="AE45" s="1048"/>
      <c r="AF45" s="1048"/>
      <c r="AG45" s="1048"/>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1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201</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243</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245</v>
      </c>
      <c r="I6" s="1050"/>
      <c r="J6" s="1050"/>
      <c r="K6" s="1050"/>
      <c r="L6" s="1050"/>
      <c r="M6" s="1050"/>
      <c r="N6" s="1050"/>
      <c r="O6" s="1050"/>
      <c r="P6" s="1050"/>
      <c r="Q6" s="1050"/>
      <c r="R6" s="1050"/>
      <c r="S6" s="1050"/>
      <c r="T6" s="1050"/>
      <c r="U6" s="1050"/>
      <c r="Z6" s="1050" t="s">
        <v>246</v>
      </c>
      <c r="AA6" s="1050"/>
      <c r="AB6" s="1050"/>
      <c r="AC6" s="1050"/>
      <c r="AD6" s="1050"/>
      <c r="AE6" s="1050"/>
      <c r="AF6" s="1050"/>
      <c r="AG6" s="1050"/>
      <c r="AH6" s="1050"/>
      <c r="AI6" s="1050"/>
      <c r="AJ6" s="1050"/>
      <c r="AK6" s="1050"/>
      <c r="AL6" s="1050"/>
      <c r="AM6" s="1050"/>
    </row>
    <row r="7" ht="15" customHeight="1">
      <c r="D7" s="93" t="s">
        <v>248</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250</v>
      </c>
      <c r="E8" s="71"/>
      <c r="F8" s="71"/>
      <c r="G8" s="71"/>
      <c r="H8" s="1052"/>
      <c r="I8" s="1052"/>
      <c r="J8" s="1053"/>
      <c r="K8" s="1053"/>
      <c r="L8" s="1053"/>
      <c r="M8" s="1053"/>
      <c r="N8" s="1053">
        <v>1</v>
      </c>
      <c r="O8" s="1053"/>
      <c r="P8" s="1053">
        <v>2</v>
      </c>
      <c r="Q8" s="1053"/>
      <c r="R8" s="1053">
        <v>3</v>
      </c>
      <c r="S8" s="1053"/>
      <c r="T8" s="1054">
        <v>4</v>
      </c>
      <c r="U8" s="1054"/>
      <c r="Z8" s="1052"/>
      <c r="AA8" s="1052"/>
      <c r="AB8" s="1053"/>
      <c r="AC8" s="1053"/>
      <c r="AD8" s="1053">
        <v>1</v>
      </c>
      <c r="AE8" s="1053"/>
      <c r="AF8" s="1053">
        <v>2</v>
      </c>
      <c r="AG8" s="1053"/>
      <c r="AH8" s="1053">
        <v>3</v>
      </c>
      <c r="AI8" s="1053"/>
      <c r="AJ8" s="1053">
        <v>4</v>
      </c>
      <c r="AK8" s="1053"/>
      <c r="AL8" s="1054">
        <v>5</v>
      </c>
      <c r="AM8" s="1054"/>
    </row>
    <row r="9" ht="15" customHeight="1">
      <c r="D9" s="175" t="s">
        <v>252</v>
      </c>
      <c r="H9" s="1055">
        <v>5</v>
      </c>
      <c r="I9" s="1055"/>
      <c r="J9" s="1056">
        <v>6</v>
      </c>
      <c r="K9" s="1056"/>
      <c r="L9" s="1056">
        <v>7</v>
      </c>
      <c r="M9" s="1056"/>
      <c r="N9" s="1056">
        <v>8</v>
      </c>
      <c r="O9" s="1056"/>
      <c r="P9" s="1056">
        <v>9</v>
      </c>
      <c r="Q9" s="1056"/>
      <c r="R9" s="1056">
        <v>10</v>
      </c>
      <c r="S9" s="1056"/>
      <c r="T9" s="1057">
        <v>11</v>
      </c>
      <c r="U9" s="1057"/>
      <c r="Z9" s="1055">
        <v>6</v>
      </c>
      <c r="AA9" s="1055"/>
      <c r="AB9" s="1056">
        <v>7</v>
      </c>
      <c r="AC9" s="1056"/>
      <c r="AD9" s="1056">
        <v>8</v>
      </c>
      <c r="AE9" s="1056"/>
      <c r="AF9" s="1056">
        <v>9</v>
      </c>
      <c r="AG9" s="1056"/>
      <c r="AH9" s="1056">
        <v>10</v>
      </c>
      <c r="AI9" s="1056"/>
      <c r="AJ9" s="1056">
        <v>11</v>
      </c>
      <c r="AK9" s="1056"/>
      <c r="AL9" s="1057">
        <v>12</v>
      </c>
      <c r="AM9" s="1057"/>
    </row>
    <row r="10" ht="15" customHeight="1">
      <c r="D10" t="s">
        <v>254</v>
      </c>
      <c r="H10" s="1058">
        <v>12</v>
      </c>
      <c r="I10" s="1058"/>
      <c r="J10" s="1059">
        <v>13</v>
      </c>
      <c r="K10" s="1059"/>
      <c r="L10" s="1059">
        <v>14</v>
      </c>
      <c r="M10" s="1059"/>
      <c r="N10" s="1059">
        <v>15</v>
      </c>
      <c r="O10" s="1059"/>
      <c r="P10" s="1059">
        <v>16</v>
      </c>
      <c r="Q10" s="1059"/>
      <c r="R10" s="1059">
        <v>17</v>
      </c>
      <c r="S10" s="1059"/>
      <c r="T10" s="1060">
        <v>18</v>
      </c>
      <c r="U10" s="1060"/>
      <c r="Z10" s="1058">
        <v>13</v>
      </c>
      <c r="AA10" s="1058"/>
      <c r="AB10" s="1059">
        <v>14</v>
      </c>
      <c r="AC10" s="1059"/>
      <c r="AD10" s="1059">
        <v>15</v>
      </c>
      <c r="AE10" s="1059"/>
      <c r="AF10" s="1059">
        <v>16</v>
      </c>
      <c r="AG10" s="1059"/>
      <c r="AH10" s="1059">
        <v>17</v>
      </c>
      <c r="AI10" s="1059"/>
      <c r="AJ10" s="1059">
        <v>18</v>
      </c>
      <c r="AK10" s="1059"/>
      <c r="AL10" s="1060">
        <v>19</v>
      </c>
      <c r="AM10" s="1060"/>
    </row>
    <row r="11" ht="15" customHeight="1">
      <c r="H11" s="1055">
        <v>19</v>
      </c>
      <c r="I11" s="1055"/>
      <c r="J11" s="1056">
        <v>20</v>
      </c>
      <c r="K11" s="1056"/>
      <c r="L11" s="1056">
        <v>21</v>
      </c>
      <c r="M11" s="1056"/>
      <c r="N11" s="1056">
        <v>22</v>
      </c>
      <c r="O11" s="1056"/>
      <c r="P11" s="1056">
        <v>23</v>
      </c>
      <c r="Q11" s="1056"/>
      <c r="R11" s="1056">
        <v>24</v>
      </c>
      <c r="S11" s="1056"/>
      <c r="T11" s="1057">
        <v>25</v>
      </c>
      <c r="U11" s="1057"/>
      <c r="Z11" s="1055">
        <v>20</v>
      </c>
      <c r="AA11" s="1055"/>
      <c r="AB11" s="1056">
        <v>21</v>
      </c>
      <c r="AC11" s="1056"/>
      <c r="AD11" s="1056">
        <v>22</v>
      </c>
      <c r="AE11" s="1056"/>
      <c r="AF11" s="1056">
        <v>23</v>
      </c>
      <c r="AG11" s="1056"/>
      <c r="AH11" s="1056">
        <v>24</v>
      </c>
      <c r="AI11" s="1056"/>
      <c r="AJ11" s="1056">
        <v>25</v>
      </c>
      <c r="AK11" s="1056"/>
      <c r="AL11" s="1057">
        <v>26</v>
      </c>
      <c r="AM11" s="1057"/>
      <c r="AN11" t="s">
        <v>27</v>
      </c>
    </row>
    <row r="12" ht="15" customHeight="1">
      <c r="A12" s="68"/>
      <c r="H12" s="1058">
        <v>26</v>
      </c>
      <c r="I12" s="1058"/>
      <c r="J12" s="1059">
        <v>27</v>
      </c>
      <c r="K12" s="1059"/>
      <c r="L12" s="1059">
        <v>28</v>
      </c>
      <c r="M12" s="1059"/>
      <c r="N12" s="1059">
        <v>29</v>
      </c>
      <c r="O12" s="1059"/>
      <c r="P12" s="1059">
        <v>30</v>
      </c>
      <c r="Q12" s="1059"/>
      <c r="R12" s="1059">
        <v>31</v>
      </c>
      <c r="S12" s="1059"/>
      <c r="T12" s="1060"/>
      <c r="U12" s="1060"/>
      <c r="Z12" s="1058">
        <v>27</v>
      </c>
      <c r="AA12" s="1058"/>
      <c r="AB12" s="1059">
        <v>28</v>
      </c>
      <c r="AC12" s="1059"/>
      <c r="AD12" s="1059">
        <v>29</v>
      </c>
      <c r="AE12" s="1059"/>
      <c r="AF12" s="1059">
        <v>30</v>
      </c>
      <c r="AG12" s="1059"/>
      <c r="AH12" s="1059">
        <v>31</v>
      </c>
      <c r="AI12" s="1059"/>
      <c r="AJ12" s="1059"/>
      <c r="AK12" s="1059"/>
      <c r="AL12" s="1060"/>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s">
        <v>27</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256</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t="s">
        <v>248</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t="s">
        <v>250</v>
      </c>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t="s">
        <v>252</v>
      </c>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t="s">
        <v>254</v>
      </c>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2020</v>
      </c>
      <c r="S21" s="993"/>
      <c r="T21" s="993"/>
      <c r="U21" s="993"/>
      <c r="V21" s="993"/>
      <c r="W21" s="993"/>
      <c r="X21" s="993"/>
      <c r="Y21" s="993"/>
      <c r="Z21" s="993"/>
      <c r="AA21" s="993"/>
      <c r="AB21" s="993"/>
      <c r="AC21" s="993"/>
      <c r="AD21" s="995">
        <v>2021</v>
      </c>
      <c r="AE21" s="995"/>
      <c r="AF21" s="995"/>
      <c r="AG21" s="995"/>
      <c r="AH21" s="995"/>
      <c r="AI21" s="995"/>
      <c r="AJ21" s="995"/>
      <c r="AK21" s="995"/>
      <c r="AL21" s="995"/>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227</v>
      </c>
      <c r="S22" s="618" t="s">
        <v>230</v>
      </c>
      <c r="T22" s="618" t="s">
        <v>231</v>
      </c>
      <c r="U22" s="618" t="s">
        <v>232</v>
      </c>
      <c r="V22" s="618" t="s">
        <v>233</v>
      </c>
      <c r="W22" s="618" t="s">
        <v>234</v>
      </c>
      <c r="X22" s="618" t="s">
        <v>218</v>
      </c>
      <c r="Y22" s="618" t="s">
        <v>219</v>
      </c>
      <c r="Z22" s="618" t="s">
        <v>220</v>
      </c>
      <c r="AA22" s="618" t="s">
        <v>221</v>
      </c>
      <c r="AB22" s="618" t="s">
        <v>222</v>
      </c>
      <c r="AC22" s="1015" t="s">
        <v>223</v>
      </c>
      <c r="AD22" s="618" t="s">
        <v>227</v>
      </c>
      <c r="AE22" s="618" t="s">
        <v>230</v>
      </c>
      <c r="AF22" s="618" t="s">
        <v>231</v>
      </c>
      <c r="AG22" s="618" t="s">
        <v>232</v>
      </c>
      <c r="AH22" s="618" t="s">
        <v>233</v>
      </c>
      <c r="AI22" s="618" t="s">
        <v>234</v>
      </c>
      <c r="AJ22" s="618" t="s">
        <v>218</v>
      </c>
      <c r="AK22" s="618" t="s">
        <v>219</v>
      </c>
      <c r="AL22" s="618" t="s">
        <v>220</v>
      </c>
      <c r="AM22" s="618" t="s">
        <v>221</v>
      </c>
      <c r="AN22" s="618" t="s">
        <v>222</v>
      </c>
      <c r="AO22" s="1015" t="s">
        <v>223</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261</v>
      </c>
      <c r="F23" s="1016" t="s">
        <v>262</v>
      </c>
      <c r="G23" s="1016" t="s">
        <v>263</v>
      </c>
      <c r="H23" s="1017" t="s">
        <v>264</v>
      </c>
      <c r="I23" s="1017"/>
      <c r="J23" s="1017"/>
      <c r="K23" s="1017"/>
      <c r="L23" s="1017" t="s">
        <v>265</v>
      </c>
      <c r="M23" s="1017"/>
      <c r="N23" s="1017"/>
      <c r="O23" s="1017"/>
      <c r="P23" s="80"/>
      <c r="Q23" s="4"/>
      <c r="R23" s="1066" t="s">
        <v>305</v>
      </c>
      <c r="S23" s="1067" t="s">
        <v>305</v>
      </c>
      <c r="T23" s="1067" t="s">
        <v>305</v>
      </c>
      <c r="U23" s="1067" t="s">
        <v>267</v>
      </c>
      <c r="V23" s="1067" t="s">
        <v>267</v>
      </c>
      <c r="W23" s="1067" t="s">
        <v>305</v>
      </c>
      <c r="X23" s="1067" t="s">
        <v>305</v>
      </c>
      <c r="Y23" s="1067" t="s">
        <v>305</v>
      </c>
      <c r="Z23" s="1067" t="s">
        <v>305</v>
      </c>
      <c r="AA23" s="1067" t="s">
        <v>305</v>
      </c>
      <c r="AB23" s="1067" t="s">
        <v>305</v>
      </c>
      <c r="AC23" s="1067" t="s">
        <v>305</v>
      </c>
      <c r="AD23" s="1067" t="s">
        <v>305</v>
      </c>
      <c r="AE23" s="1067" t="s">
        <v>305</v>
      </c>
      <c r="AF23" s="1067" t="s">
        <v>305</v>
      </c>
      <c r="AG23" s="1067" t="s">
        <v>305</v>
      </c>
      <c r="AH23" s="1067" t="s">
        <v>305</v>
      </c>
      <c r="AI23" s="1067" t="s">
        <v>305</v>
      </c>
      <c r="AJ23" s="1067" t="s">
        <v>305</v>
      </c>
      <c r="AK23" s="1067" t="s">
        <v>305</v>
      </c>
      <c r="AL23" s="1067" t="s">
        <v>305</v>
      </c>
      <c r="AM23" s="1067" t="s">
        <v>305</v>
      </c>
      <c r="AN23" s="1067" t="s">
        <v>305</v>
      </c>
      <c r="AO23" s="1068" t="s">
        <v>305</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31851</v>
      </c>
      <c r="D24" s="1021" t="s">
        <v>319</v>
      </c>
      <c r="E24" s="1021" t="s">
        <v>261</v>
      </c>
      <c r="F24" s="1021" t="s">
        <v>320</v>
      </c>
      <c r="G24" s="1021" t="s">
        <v>321</v>
      </c>
      <c r="H24" s="1023" t="s">
        <v>322</v>
      </c>
      <c r="I24" s="1023"/>
      <c r="J24" s="1023"/>
      <c r="K24" s="1023"/>
      <c r="L24" s="1023" t="s">
        <v>323</v>
      </c>
      <c r="M24" s="1023"/>
      <c r="N24" s="1023"/>
      <c r="O24" s="1023"/>
      <c r="P24" s="80"/>
      <c r="Q24" s="4"/>
      <c r="R24" s="1069" t="s">
        <v>305</v>
      </c>
      <c r="S24" s="1070" t="s">
        <v>305</v>
      </c>
      <c r="T24" s="1070" t="s">
        <v>305</v>
      </c>
      <c r="U24" s="1070" t="s">
        <v>267</v>
      </c>
      <c r="V24" s="1070" t="s">
        <v>267</v>
      </c>
      <c r="W24" s="1070" t="s">
        <v>305</v>
      </c>
      <c r="X24" s="1070" t="s">
        <v>305</v>
      </c>
      <c r="Y24" s="1070" t="s">
        <v>305</v>
      </c>
      <c r="Z24" s="1070" t="s">
        <v>305</v>
      </c>
      <c r="AA24" s="1070" t="s">
        <v>305</v>
      </c>
      <c r="AB24" s="1070" t="s">
        <v>305</v>
      </c>
      <c r="AC24" s="1070" t="s">
        <v>305</v>
      </c>
      <c r="AD24" s="1070" t="s">
        <v>305</v>
      </c>
      <c r="AE24" s="1070" t="s">
        <v>305</v>
      </c>
      <c r="AF24" s="1070" t="s">
        <v>305</v>
      </c>
      <c r="AG24" s="1070" t="s">
        <v>305</v>
      </c>
      <c r="AH24" s="1070" t="s">
        <v>305</v>
      </c>
      <c r="AI24" s="1070" t="s">
        <v>305</v>
      </c>
      <c r="AJ24" s="1070" t="s">
        <v>305</v>
      </c>
      <c r="AK24" s="1070" t="s">
        <v>305</v>
      </c>
      <c r="AL24" s="1070" t="s">
        <v>305</v>
      </c>
      <c r="AM24" s="1070" t="s">
        <v>305</v>
      </c>
      <c r="AN24" s="1070" t="s">
        <v>305</v>
      </c>
      <c r="AO24" s="1071" t="s">
        <v>305</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33931</v>
      </c>
      <c r="D25" s="1016" t="s">
        <v>268</v>
      </c>
      <c r="E25" s="1016" t="s">
        <v>261</v>
      </c>
      <c r="F25" s="1027" t="s">
        <v>269</v>
      </c>
      <c r="G25" s="1016" t="s">
        <v>270</v>
      </c>
      <c r="H25" s="1017" t="s">
        <v>271</v>
      </c>
      <c r="I25" s="1017"/>
      <c r="J25" s="1017"/>
      <c r="K25" s="1017"/>
      <c r="L25" s="1017" t="s">
        <v>272</v>
      </c>
      <c r="M25" s="1017"/>
      <c r="N25" s="1017"/>
      <c r="O25" s="1017"/>
      <c r="P25" s="80"/>
      <c r="Q25" s="4"/>
      <c r="R25" s="1066" t="s">
        <v>306</v>
      </c>
      <c r="S25" s="1067" t="s">
        <v>306</v>
      </c>
      <c r="T25" s="1067" t="s">
        <v>306</v>
      </c>
      <c r="U25" s="1067" t="s">
        <v>267</v>
      </c>
      <c r="V25" s="1067" t="s">
        <v>267</v>
      </c>
      <c r="W25" s="1067" t="s">
        <v>306</v>
      </c>
      <c r="X25" s="1067" t="s">
        <v>306</v>
      </c>
      <c r="Y25" s="1067" t="s">
        <v>306</v>
      </c>
      <c r="Z25" s="1067" t="s">
        <v>306</v>
      </c>
      <c r="AA25" s="1067" t="s">
        <v>306</v>
      </c>
      <c r="AB25" s="1067" t="s">
        <v>306</v>
      </c>
      <c r="AC25" s="1067" t="s">
        <v>306</v>
      </c>
      <c r="AD25" s="1067" t="s">
        <v>306</v>
      </c>
      <c r="AE25" s="1067" t="s">
        <v>306</v>
      </c>
      <c r="AF25" s="1067" t="s">
        <v>306</v>
      </c>
      <c r="AG25" s="1067" t="s">
        <v>305</v>
      </c>
      <c r="AH25" s="1067" t="s">
        <v>305</v>
      </c>
      <c r="AI25" s="1067" t="s">
        <v>305</v>
      </c>
      <c r="AJ25" s="1067" t="s">
        <v>305</v>
      </c>
      <c r="AK25" s="1067" t="s">
        <v>306</v>
      </c>
      <c r="AL25" s="1067" t="s">
        <v>306</v>
      </c>
      <c r="AM25" s="1067" t="s">
        <v>306</v>
      </c>
      <c r="AN25" s="1067" t="s">
        <v>267</v>
      </c>
      <c r="AO25" s="1068" t="s">
        <v>305</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34401</v>
      </c>
      <c r="D26" s="1021" t="s">
        <v>274</v>
      </c>
      <c r="E26" s="1021" t="s">
        <v>261</v>
      </c>
      <c r="F26" s="1022" t="s">
        <v>269</v>
      </c>
      <c r="G26" s="1021" t="s">
        <v>275</v>
      </c>
      <c r="H26" s="1023" t="s">
        <v>276</v>
      </c>
      <c r="I26" s="1023"/>
      <c r="J26" s="1023"/>
      <c r="K26" s="1023"/>
      <c r="L26" s="1023" t="s">
        <v>277</v>
      </c>
      <c r="M26" s="1023"/>
      <c r="N26" s="1023"/>
      <c r="O26" s="1023"/>
      <c r="P26" s="80"/>
      <c r="Q26" s="4"/>
      <c r="R26" s="1069" t="s">
        <v>305</v>
      </c>
      <c r="S26" s="1070" t="s">
        <v>305</v>
      </c>
      <c r="T26" s="1070" t="s">
        <v>305</v>
      </c>
      <c r="U26" s="1070" t="s">
        <v>267</v>
      </c>
      <c r="V26" s="1070" t="s">
        <v>267</v>
      </c>
      <c r="W26" s="1070" t="s">
        <v>267</v>
      </c>
      <c r="X26" s="1070" t="s">
        <v>267</v>
      </c>
      <c r="Y26" s="1070" t="s">
        <v>267</v>
      </c>
      <c r="Z26" s="1070" t="s">
        <v>267</v>
      </c>
      <c r="AA26" s="1070" t="s">
        <v>267</v>
      </c>
      <c r="AB26" s="1070" t="s">
        <v>267</v>
      </c>
      <c r="AC26" s="1070" t="s">
        <v>267</v>
      </c>
      <c r="AD26" s="1070" t="s">
        <v>305</v>
      </c>
      <c r="AE26" s="1070" t="s">
        <v>305</v>
      </c>
      <c r="AF26" s="1070" t="s">
        <v>305</v>
      </c>
      <c r="AG26" s="1070" t="s">
        <v>305</v>
      </c>
      <c r="AH26" s="1070" t="s">
        <v>305</v>
      </c>
      <c r="AI26" s="1070" t="s">
        <v>305</v>
      </c>
      <c r="AJ26" s="1070" t="s">
        <v>305</v>
      </c>
      <c r="AK26" s="1070" t="s">
        <v>305</v>
      </c>
      <c r="AL26" s="1070" t="s">
        <v>305</v>
      </c>
      <c r="AM26" s="1070" t="s">
        <v>305</v>
      </c>
      <c r="AN26" s="1070" t="s">
        <v>305</v>
      </c>
      <c r="AO26" s="1071" t="s">
        <v>305</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35815</v>
      </c>
      <c r="D27" s="1016" t="s">
        <v>324</v>
      </c>
      <c r="E27" s="1016" t="s">
        <v>261</v>
      </c>
      <c r="F27" s="1027" t="s">
        <v>269</v>
      </c>
      <c r="G27" s="1016" t="s">
        <v>325</v>
      </c>
      <c r="H27" s="1017" t="s">
        <v>326</v>
      </c>
      <c r="I27" s="1017"/>
      <c r="J27" s="1017"/>
      <c r="K27" s="1017"/>
      <c r="L27" s="1017" t="s">
        <v>327</v>
      </c>
      <c r="M27" s="1017"/>
      <c r="N27" s="1017"/>
      <c r="O27" s="1017"/>
      <c r="P27" s="80"/>
      <c r="Q27" s="4"/>
      <c r="R27" s="1066" t="s">
        <v>305</v>
      </c>
      <c r="S27" s="1067" t="s">
        <v>305</v>
      </c>
      <c r="T27" s="1067" t="s">
        <v>306</v>
      </c>
      <c r="U27" s="1067" t="s">
        <v>267</v>
      </c>
      <c r="V27" s="1067" t="s">
        <v>267</v>
      </c>
      <c r="W27" s="1067" t="s">
        <v>267</v>
      </c>
      <c r="X27" s="1067" t="s">
        <v>267</v>
      </c>
      <c r="Y27" s="1067" t="s">
        <v>267</v>
      </c>
      <c r="Z27" s="1067" t="s">
        <v>306</v>
      </c>
      <c r="AA27" s="1067" t="s">
        <v>306</v>
      </c>
      <c r="AB27" s="1067" t="s">
        <v>305</v>
      </c>
      <c r="AC27" s="1067" t="s">
        <v>305</v>
      </c>
      <c r="AD27" s="1067" t="s">
        <v>305</v>
      </c>
      <c r="AE27" s="1067" t="s">
        <v>305</v>
      </c>
      <c r="AF27" s="1067" t="s">
        <v>306</v>
      </c>
      <c r="AG27" s="1067" t="s">
        <v>305</v>
      </c>
      <c r="AH27" s="1067" t="s">
        <v>305</v>
      </c>
      <c r="AI27" s="1067" t="s">
        <v>305</v>
      </c>
      <c r="AJ27" s="1067" t="s">
        <v>305</v>
      </c>
      <c r="AK27" s="1067" t="s">
        <v>305</v>
      </c>
      <c r="AL27" s="1067" t="s">
        <v>305</v>
      </c>
      <c r="AM27" s="1067" t="s">
        <v>305</v>
      </c>
      <c r="AN27" s="1067" t="s">
        <v>305</v>
      </c>
      <c r="AO27" s="1068" t="s">
        <v>305</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39070</v>
      </c>
      <c r="D28" s="1021" t="s">
        <v>278</v>
      </c>
      <c r="E28" s="1021" t="s">
        <v>261</v>
      </c>
      <c r="F28" s="1022" t="s">
        <v>269</v>
      </c>
      <c r="G28" s="1021" t="s">
        <v>279</v>
      </c>
      <c r="H28" s="1023" t="s">
        <v>280</v>
      </c>
      <c r="I28" s="1023"/>
      <c r="J28" s="1023"/>
      <c r="K28" s="1023"/>
      <c r="L28" s="1023" t="s">
        <v>281</v>
      </c>
      <c r="M28" s="1023"/>
      <c r="N28" s="1023"/>
      <c r="O28" s="1023"/>
      <c r="P28" s="80"/>
      <c r="Q28" s="4"/>
      <c r="R28" s="1069" t="s">
        <v>305</v>
      </c>
      <c r="S28" s="1070" t="s">
        <v>305</v>
      </c>
      <c r="T28" s="1070" t="s">
        <v>305</v>
      </c>
      <c r="U28" s="1070" t="s">
        <v>267</v>
      </c>
      <c r="V28" s="1070" t="s">
        <v>267</v>
      </c>
      <c r="W28" s="1070" t="s">
        <v>267</v>
      </c>
      <c r="X28" s="1070" t="s">
        <v>267</v>
      </c>
      <c r="Y28" s="1070" t="s">
        <v>267</v>
      </c>
      <c r="Z28" s="1070" t="s">
        <v>267</v>
      </c>
      <c r="AA28" s="1070" t="s">
        <v>267</v>
      </c>
      <c r="AB28" s="1070" t="s">
        <v>267</v>
      </c>
      <c r="AC28" s="1070" t="s">
        <v>267</v>
      </c>
      <c r="AD28" s="1070" t="s">
        <v>267</v>
      </c>
      <c r="AE28" s="1070" t="s">
        <v>267</v>
      </c>
      <c r="AF28" s="1070" t="s">
        <v>267</v>
      </c>
      <c r="AG28" s="1070" t="s">
        <v>267</v>
      </c>
      <c r="AH28" s="1070" t="s">
        <v>267</v>
      </c>
      <c r="AI28" s="1070" t="s">
        <v>267</v>
      </c>
      <c r="AJ28" s="1070" t="s">
        <v>267</v>
      </c>
      <c r="AK28" s="1070" t="s">
        <v>267</v>
      </c>
      <c r="AL28" s="1070" t="s">
        <v>267</v>
      </c>
      <c r="AM28" s="1070" t="s">
        <v>305</v>
      </c>
      <c r="AN28" s="1070" t="s">
        <v>305</v>
      </c>
      <c r="AO28" s="1071" t="s">
        <v>305</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16">
        <v>43915</v>
      </c>
      <c r="D29" s="1016" t="s">
        <v>328</v>
      </c>
      <c r="E29" s="1016" t="s">
        <v>261</v>
      </c>
      <c r="F29" s="1016" t="s">
        <v>329</v>
      </c>
      <c r="G29" s="1016" t="s">
        <v>330</v>
      </c>
      <c r="H29" s="1017" t="s">
        <v>331</v>
      </c>
      <c r="I29" s="1017"/>
      <c r="J29" s="1017"/>
      <c r="K29" s="1017"/>
      <c r="L29" s="1017" t="s">
        <v>332</v>
      </c>
      <c r="M29" s="1017"/>
      <c r="N29" s="1017"/>
      <c r="O29" s="1017"/>
      <c r="P29" s="80"/>
      <c r="Q29" s="4"/>
      <c r="R29" s="1066" t="s">
        <v>305</v>
      </c>
      <c r="S29" s="1067" t="s">
        <v>305</v>
      </c>
      <c r="T29" s="1067" t="s">
        <v>306</v>
      </c>
      <c r="U29" s="1067" t="s">
        <v>267</v>
      </c>
      <c r="V29" s="1067" t="s">
        <v>267</v>
      </c>
      <c r="W29" s="1067" t="s">
        <v>306</v>
      </c>
      <c r="X29" s="1067" t="s">
        <v>306</v>
      </c>
      <c r="Y29" s="1067" t="s">
        <v>306</v>
      </c>
      <c r="Z29" s="1067" t="s">
        <v>306</v>
      </c>
      <c r="AA29" s="1067" t="s">
        <v>306</v>
      </c>
      <c r="AB29" s="1067" t="s">
        <v>306</v>
      </c>
      <c r="AC29" s="1067" t="s">
        <v>306</v>
      </c>
      <c r="AD29" s="1067" t="s">
        <v>306</v>
      </c>
      <c r="AE29" s="1067" t="s">
        <v>306</v>
      </c>
      <c r="AF29" s="1067" t="s">
        <v>306</v>
      </c>
      <c r="AG29" s="1067" t="s">
        <v>306</v>
      </c>
      <c r="AH29" s="1067" t="s">
        <v>306</v>
      </c>
      <c r="AI29" s="1067" t="s">
        <v>306</v>
      </c>
      <c r="AJ29" s="1067" t="s">
        <v>306</v>
      </c>
      <c r="AK29" s="1067" t="s">
        <v>306</v>
      </c>
      <c r="AL29" s="1067" t="s">
        <v>306</v>
      </c>
      <c r="AM29" s="1067" t="s">
        <v>306</v>
      </c>
      <c r="AN29" s="1067" t="s">
        <v>306</v>
      </c>
      <c r="AO29" s="1068" t="s">
        <v>306</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997">
        <v>763</v>
      </c>
      <c r="I30" s="997"/>
      <c r="J30" s="997"/>
      <c r="K30" s="997"/>
      <c r="L30" s="1072"/>
      <c r="M30" s="1072"/>
      <c r="N30" s="1072"/>
      <c r="O30" s="1072"/>
      <c r="P30" s="80"/>
      <c r="Q30" s="4"/>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6"/>
      <c r="I31" s="996"/>
      <c r="J31" s="996"/>
      <c r="K31" s="996"/>
      <c r="L31" s="1072"/>
      <c r="M31" s="1072"/>
      <c r="N31" s="1072"/>
      <c r="O31" s="1072"/>
      <c r="P31" s="80"/>
      <c r="Q31" s="4"/>
      <c r="R31" s="182"/>
      <c r="S31" s="182"/>
      <c r="T31" s="182"/>
      <c r="U31" s="182"/>
      <c r="V31" s="182"/>
      <c r="W31" s="182"/>
      <c r="X31" s="1028" t="s">
        <v>291</v>
      </c>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82"/>
      <c r="Y32" s="182"/>
      <c r="Z32" s="182"/>
      <c r="AA32" s="1073" t="s">
        <v>306</v>
      </c>
      <c r="AB32" s="1028" t="s">
        <v>307</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73" t="s">
        <v>308</v>
      </c>
      <c r="AB33" s="1028" t="s">
        <v>309</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074" t="s">
        <v>305</v>
      </c>
      <c r="AB34" s="1028" t="s">
        <v>310</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3">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H29:K29"/>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AC21"/>
    <mergeCell ref="AD21:AO21"/>
    <mergeCell ref="H30:K30"/>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9773291</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804,836,748,808,805,837,749,809</cp:category>
  <dcterms:created xsi:type="dcterms:W3CDTF">2003-06-11T18:24:11Z</dcterms:created>
  <dc:creator>STR, Inc.</dc:creator>
  <cp:keywords>56387</cp:keywords>
  <cp:lastModifiedBy>Jim Hawkins</cp:lastModifiedBy>
  <cp:lastPrinted>2016-02-11T20:47:50Z</cp:lastPrinted>
  <dcterms:modified xsi:type="dcterms:W3CDTF">2021-08-10T14:36:44Z</dcterms:modified>
  <dc:subject>56387</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