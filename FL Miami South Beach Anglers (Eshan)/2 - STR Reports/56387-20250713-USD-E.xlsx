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1.xml" ContentType="application/vnd.openxmlformats-officedocument.spreadsheetml.worksheet+xml"/>
  <Override PartName="/xl/printerSettings/printerSettings22.bin" ContentType="application/vnd.openxmlformats-officedocument.spreadsheetml.printerSettings"/>
  <Override PartName="/xl/drawings/drawing23.xml" ContentType="application/vnd.openxmlformats-officedocument.drawing+xml"/>
  <Override PartName="/xl/worksheets/sheet25.xml" ContentType="application/vnd.openxmlformats-officedocument.spreadsheetml.worksheet+xml"/>
  <Override PartName="/xl/printerSettings/printerSettings26.bin" ContentType="application/vnd.openxmlformats-officedocument.spreadsheetml.printerSettings"/>
  <Override PartName="/xl/drawings/drawing27.xml" ContentType="application/vnd.openxmlformats-officedocument.drawing+xml"/>
  <Override PartName="/xl/worksheets/sheet29.xml" ContentType="application/vnd.openxmlformats-officedocument.spreadsheetml.worksheet+xml"/>
  <Override PartName="/xl/printerSettings/printerSettings30.bin" ContentType="application/vnd.openxmlformats-officedocument.spreadsheetml.printerSettings"/>
  <Override PartName="/xl/drawings/drawing31.xml" ContentType="application/vnd.openxmlformats-officedocument.drawing+xml"/>
  <Override PartName="/xl/worksheets/sheet33.xml" ContentType="application/vnd.openxmlformats-officedocument.spreadsheetml.worksheet+xml"/>
  <Override PartName="/xl/printerSettings/printerSettings34.bin" ContentType="application/vnd.openxmlformats-officedocument.spreadsheetml.printerSettings"/>
  <Override PartName="/xl/drawings/drawing35.xml" ContentType="application/vnd.openxmlformats-officedocument.drawing+xml"/>
  <Override PartName="/xl/worksheets/sheet37.xml" ContentType="application/vnd.openxmlformats-officedocument.spreadsheetml.worksheet+xml"/>
  <Override PartName="/xl/printerSettings/printerSettings38.bin" ContentType="application/vnd.openxmlformats-officedocument.spreadsheetml.printerSettings"/>
  <Override PartName="/xl/drawings/drawing39.xml" ContentType="application/vnd.openxmlformats-officedocument.drawing+xml"/>
  <Override PartName="/xl/worksheets/sheet41.xml" ContentType="application/vnd.openxmlformats-officedocument.spreadsheetml.worksheet+xml"/>
  <Override PartName="/xl/printerSettings/printerSettings42.bin" ContentType="application/vnd.openxmlformats-officedocument.spreadsheetml.printerSettings"/>
  <Override PartName="/xl/drawings/drawing43.xml" ContentType="application/vnd.openxmlformats-officedocument.drawing+xml"/>
  <Override PartName="/xl/worksheets/sheet45.xml" ContentType="application/vnd.openxmlformats-officedocument.spreadsheetml.worksheet+xml"/>
  <Override PartName="/xl/printerSettings/printerSettings46.bin" ContentType="application/vnd.openxmlformats-officedocument.spreadsheetml.printerSettings"/>
  <Override PartName="/xl/drawings/drawing47.xml" ContentType="application/vnd.openxmlformats-officedocument.drawing+xml"/>
  <Override PartName="/xl/worksheets/sheet49.xml" ContentType="application/vnd.openxmlformats-officedocument.spreadsheetml.worksheet+xml"/>
  <Override PartName="/xl/printerSettings/printerSettings50.bin" ContentType="application/vnd.openxmlformats-officedocument.spreadsheetml.printerSettings"/>
  <Override PartName="/xl/drawings/drawing51.xml" ContentType="application/vnd.openxmlformats-officedocument.drawing+xml"/>
  <Override PartName="/xl/worksheets/sheet53.xml" ContentType="application/vnd.openxmlformats-officedocument.spreadsheetml.worksheet+xml"/>
  <Override PartName="/xl/printerSettings/printerSettings54.bin" ContentType="application/vnd.openxmlformats-officedocument.spreadsheetml.printerSettings"/>
  <Override PartName="/xl/drawings/drawing55.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drawings/drawing65.xml" ContentType="application/vnd.openxmlformats-officedocument.drawing+xml"/>
  <Override PartName="/xl/worksheets/sheet66.xml" ContentType="application/vnd.openxmlformats-officedocument.spreadsheetml.worksheet+xml"/>
  <Override PartName="/xl/printerSettings/printerSettings67.bin" ContentType="application/vnd.openxmlformats-officedocument.spreadsheetml.printerSettings"/>
  <Override PartName="/xl/drawings/drawing68.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drawings/drawing72.xml" ContentType="application/vnd.openxmlformats-officedocument.drawing+xml"/>
  <Override PartName="/xl/worksheets/sheet73.xml" ContentType="application/vnd.openxmlformats-officedocument.spreadsheetml.worksheet+xml"/>
  <Override PartName="/xl/printerSettings/printerSettings74.bin" ContentType="application/vnd.openxmlformats-officedocument.spreadsheetml.printerSettings"/>
  <Override PartName="/xl/drawings/drawing75.xml" ContentType="application/vnd.openxmlformats-officedocument.drawing+xml"/>
  <Override PartName="/xl/worksheets/sheet76.xml" ContentType="application/vnd.openxmlformats-officedocument.spreadsheetml.worksheet+xml"/>
  <Override PartName="/xl/printerSettings/printerSettings77.bin" ContentType="application/vnd.openxmlformats-officedocument.spreadsheetml.printerSettings"/>
  <Override PartName="/xl/drawings/drawing78.xml" ContentType="application/vnd.openxmlformats-officedocument.drawing+xml"/>
  <Override PartName="/xl/drawings/drawing79.xml" ContentType="application/vnd.openxmlformats-officedocument.drawing+xml"/>
  <Override PartName="/xl/worksheets/sheet80.xml" ContentType="application/vnd.openxmlformats-officedocument.spreadsheetml.worksheet+xml"/>
  <Override PartName="/xl/printerSettings/printerSettings81.bin" ContentType="application/vnd.openxmlformats-officedocument.spreadsheetml.printerSettings"/>
  <Override PartName="/xl/drawings/drawing82.xml" ContentType="application/vnd.openxmlformats-officedocument.drawing+xml"/>
  <Override PartName="/xl/worksheets/sheet83.xml" ContentType="application/vnd.openxmlformats-officedocument.spreadsheetml.worksheet+xml"/>
  <Override PartName="/xl/printerSettings/printerSettings84.bin" ContentType="application/vnd.openxmlformats-officedocument.spreadsheetml.printerSettings"/>
  <Override PartName="/xl/drawings/drawing85.xml" ContentType="application/vnd.openxmlformats-officedocument.drawing+xml"/>
  <Override PartName="/xl/worksheets/sheet86.xml" ContentType="application/vnd.openxmlformats-officedocument.spreadsheetml.worksheet+xml"/>
  <Override PartName="/xl/printerSettings/printerSettings87.bin" ContentType="application/vnd.openxmlformats-officedocument.spreadsheetml.printerSettings"/>
  <Override PartName="/xl/drawings/drawing88.xml" ContentType="application/vnd.openxmlformats-officedocument.drawing+xml"/>
  <Override PartName="/xl/worksheets/sheet89.xml" ContentType="application/vnd.openxmlformats-officedocument.spreadsheetml.worksheet+xml"/>
  <Override PartName="/xl/printerSettings/printerSettings90.bin" ContentType="application/vnd.openxmlformats-officedocument.spreadsheetml.printerSettings"/>
  <Override PartName="/xl/drawings/drawing91.xml" ContentType="application/vnd.openxmlformats-officedocument.drawing+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22"/>
    <sheet name="SummaryComb" sheetId="19" r:id="rId21"/>
    <sheet name="SummaryComb 28Day" sheetId="20" r:id="rId20"/>
    <sheet name="Glance" sheetId="21" r:id="rId19"/>
    <sheet name="Segmentation Glance" sheetId="22" r:id="rId18"/>
    <sheet name="Daily by Month" sheetId="23" r:id="rId17"/>
    <sheet name="Occ" sheetId="4" r:id="rId23"/>
    <sheet name="Segmentation Occ" sheetId="24" r:id="rId16"/>
    <sheet name="ADR" sheetId="6" r:id="rId24"/>
    <sheet name="Segmentation ADR" sheetId="25" r:id="rId15"/>
    <sheet name="RevPAR" sheetId="8" r:id="rId25"/>
    <sheet name="Segmentation RevPAR" sheetId="26" r:id="rId14"/>
    <sheet name="Additional Revenue" sheetId="27" r:id="rId13"/>
    <sheet name="Response" sheetId="28" r:id="rId12"/>
    <sheet name="Glance_2" sheetId="29" r:id="rId11"/>
    <sheet name="Segmentation Glance_2" sheetId="30" r:id="rId10"/>
    <sheet name="Daily by Month_2" sheetId="31" r:id="rId9"/>
    <sheet name="Occ_2" sheetId="32" r:id="rId8"/>
    <sheet name="Segmentation Occ_2" sheetId="33" r:id="rId7"/>
    <sheet name="ADR_2" sheetId="34" r:id="rId6"/>
    <sheet name="Segmentation ADR_2" sheetId="35" r:id="rId5"/>
    <sheet name="RevPAR_2" sheetId="36" r:id="rId4"/>
    <sheet name="Segmentation RevPAR_2" sheetId="37" r:id="rId3"/>
    <sheet name="Additional Revenue_2" sheetId="38" r:id="rId2"/>
    <sheet name="Response_2" sheetId="39" r:id="rId1"/>
    <sheet name="Help" sheetId="18" r:id="rId26"/>
  </sheets>
  <definedNames>
    <definedName name="_xlnm.Print_Area" localSheetId="8">ADR!$A$1:$AI$61</definedName>
    <definedName name="_xlnm.Print_Area" localSheetId="25">Help!$A$1:$J$16</definedName>
    <definedName name="_xlnm.Print_Area" localSheetId="6">Occ!$A$1:$AI$58</definedName>
    <definedName name="_xlnm.Print_Area" localSheetId="10">RevPAR!$A$1:$AI$61</definedName>
    <definedName name="_xlnm.Print_Area" localSheetId="0">'Table of Contents'!$A$1:$H$48</definedName>
    <definedName name="_xlnm.Print_Area" localSheetId="1">SummaryComb!$A$1:$AB$72</definedName>
    <definedName name="_xlnm.Print_Area" localSheetId="2">'SummaryComb 28Day'!$A$1:$AB$72</definedName>
    <definedName name="_xlnm.Print_Area" localSheetId="3">Glance!$A$1:$AC$42</definedName>
    <definedName name="_xlnm.Print_Area" localSheetId="4">'Segmentation Glance'!$A$1:$T$42</definedName>
    <definedName name="_xlnm.Print_Area" localSheetId="5">'Daily by Month'!$A$1:$AL$63</definedName>
    <definedName name="_xlnm.Print_Area" localSheetId="7">'Segmentation Occ'!$A$1:$AB$54</definedName>
    <definedName name="_xlnm.Print_Area" localSheetId="9">'Segmentation ADR'!$A$1:$AC$54</definedName>
    <definedName name="_xlnm.Print_Area" localSheetId="11">'Segmentation RevPAR'!$A$1:$AC$54</definedName>
    <definedName name="_xlnm.Print_Area" localSheetId="12">'Additional Revenue'!$A$1:$AC$54</definedName>
    <definedName name="_xlnm.Print_Area" localSheetId="13">Response!$A$1:$AR$104</definedName>
    <definedName name="_xlnm.Print_Area" localSheetId="14">Glance_2!$A$1:$AC$42</definedName>
    <definedName name="_xlnm.Print_Area" localSheetId="15">'Segmentation Glance_2'!$A$1:$T$42</definedName>
    <definedName name="_xlnm.Print_Area" localSheetId="16">'Daily by Month_2'!$A$1:$AL$63</definedName>
    <definedName name="_xlnm.Print_Area" localSheetId="17">Occ_2!$A$1:$AI$58</definedName>
    <definedName name="_xlnm.Print_Area" localSheetId="18">'Segmentation Occ_2'!$A$1:$AB$54</definedName>
    <definedName name="_xlnm.Print_Area" localSheetId="19">ADR_2!$A$1:$AI$61</definedName>
    <definedName name="_xlnm.Print_Area" localSheetId="20">'Segmentation ADR_2'!$A$1:$AC$54</definedName>
    <definedName name="_xlnm.Print_Area" localSheetId="21">'RevPAR_2'!$A$1:$AI$61</definedName>
    <definedName name="_xlnm.Print_Area" localSheetId="22">'Segmentation RevPAR_2'!$A$1:$AC$54</definedName>
    <definedName name="_xlnm.Print_Area" localSheetId="23">'Additional Revenue_2'!$A$1:$AC$54</definedName>
    <definedName name="_xlnm.Print_Area" localSheetId="24">'Response_2'!$A$1:$AR$104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<sst xmlns="http://schemas.openxmlformats.org/spreadsheetml/2006/main" xmlns:r="http://schemas.openxmlformats.org/officeDocument/2006/relationships" xmlns:xdr="http://schemas.openxmlformats.org/drawingml/2006/spreadsheetDrawing" xmlns:s="http://schemas.openxmlformats.org/officeDocument/2006/sharedTypes" xmlns:vt="http://schemas.openxmlformats.org/officeDocument/2006/docPropsVTypes" xmlns:a="http://schemas.openxmlformats.org/drawingml/2006/main" xmlns:cdr="http://schemas.openxmlformats.org/drawingml/2006/chartDrawing" count="969" uniqueCount="114">
  <si>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</si>
  <si>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</si>
  <si>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</si>
  <si>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</si>
  <si>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</si>
  <si>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</si>
  <si>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</si>
  <si>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</si>
  <si>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</si>
  <si>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</si>
  <si>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</si>
  <si>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</si>
  <si>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</si>
  <si>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</si>
  <si>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</si>
  <si>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</si>
  <si>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</si>
  <si>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</si>
  <si>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</si>
  <si>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</si>
  <si>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</si>
  <si>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</si>
  <si>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</si>
  <si>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</si>
  <si>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</si>
  <si>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</si>
  <si>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</si>
  <si>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</si>
  <si>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</si>
  <si>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</si>
  <si>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</si>
  <si>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</si>
  <si>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</si>
  <si>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</si>
  <si>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</si>
  <si>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</si>
  <si>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</si>
  <si>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</si>
  <si>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</si>
  <si>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</si>
  <si>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</si>
  <si>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</si>
  <si>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</si>
  <si>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</si>
  <si>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</si>
  <si>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</si>
  <si>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</si>
  <si>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</si>
  <si>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</si>
  <si>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</si>
  <si>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</si>
  <si>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</si>
  <si>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</si>
  <si>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</si>
  <si>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</si>
  <si>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</si>
  <si>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</si>
  <si>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</si>
  <si>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</si>
  <si>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</si>
  <si>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</si>
  <si>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</si>
  <si>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</si>
  <si>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</si>
  <si>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</si>
  <si>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</si>
  <si>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</si>
  <si>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</si>
  <si>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</si>
  <si>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</si>
  <si>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</si>
  <si>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</si>
  <si>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</si>
  <si>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</si>
  <si>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</si>
  <si>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</si>
  <si>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</si>
  <si>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</si>
  <si>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</si>
  <si>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</si>
  <si>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</si>
  <si>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</si>
  <si>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</si>
  <si>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</si>
  <si>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</si>
  <si>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</si>
  <si>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</si>
  <si>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</si>
  <si>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</si>
  <si>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</si>
  <si>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</si>
  <si>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</si>
  <si>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</si>
  <si>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</si>
  <si>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</si>
  <si>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</si>
  <si>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</si>
  <si>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</si>
  <si>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</si>
  <si>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</si>
  <si>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</si>
  <si>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</si>
  <si>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</si>
  <si>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</si>
  <si>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</si>
  <si>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</si>
  <si>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</si>
  <si>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</si>
  <si>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</si>
  <si>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</si>
  <si>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</si>
  <si>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</si>
  <si>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</si>
  <si>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</si>
  <si>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</si>
  <si>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Combined Summary - My Hotel vs. Comp Set</t>
  </si>
  <si>
    <t>Combined Summary</t>
  </si>
  <si>
    <t>Tab 3 - 28 Day Combined Summary - My Hotel vs. Comp Set</t>
  </si>
  <si>
    <t>28 Day Combined Summary</t>
  </si>
  <si>
    <t>Tab 4 - Weekly Performance at a Glance - My Property vs. Competitive Set</t>
  </si>
  <si>
    <t>Weekly Performance at a Glance</t>
  </si>
  <si>
    <t>Tab 5 - Segmentation at a Glance - My Property vs. Competitive Set</t>
  </si>
  <si>
    <t>Segmentation at a Glance</t>
  </si>
  <si>
    <t>Tab 6 - Daily Data for the Month</t>
  </si>
  <si>
    <t>Daily Data for the Month</t>
  </si>
  <si>
    <t>Tab 7 - Occupancy Perspectives</t>
  </si>
  <si>
    <t>Occupancy Perspectives</t>
  </si>
  <si>
    <t>Tab 8 - Segmentation Occupancy Analysis</t>
  </si>
  <si>
    <t>Segmentation Occupancy Analysis</t>
  </si>
  <si>
    <t>Tab 9 - ADR Perspectives</t>
  </si>
  <si>
    <t>ADR Perspectives</t>
  </si>
  <si>
    <t>Tab 10 - Segmentation ADR Analysis</t>
  </si>
  <si>
    <t>Segmentation ADR Analysis</t>
  </si>
  <si>
    <t>Tab 11 - RevPAR Perspectives</t>
  </si>
  <si>
    <t>RevPAR Perspectives</t>
  </si>
  <si>
    <t>Tab 12 - Segmentation RevPAR Analysis</t>
  </si>
  <si>
    <t>Segmentation RevPAR Analysis</t>
  </si>
  <si>
    <t>Tab 13 - Additional Revenue</t>
  </si>
  <si>
    <t>Tab 14 - Response Report</t>
  </si>
  <si>
    <t>Response Report</t>
  </si>
  <si>
    <t>Tab 15 - Weekly Performance at a Glance - My Property vs. Competitive Set - Comp Set 2</t>
  </si>
  <si>
    <t>Weekly Performance at a Glance - 2nd Comp</t>
  </si>
  <si>
    <t>Tab 16 - Segmentation at a Glance - My Property vs. Competitive Set - Comp Set 2</t>
  </si>
  <si>
    <t>Segmentation at a Glance - 2nd Comp</t>
  </si>
  <si>
    <t>Tab 17 - Daily Data for the Month - Comp Set 2</t>
  </si>
  <si>
    <t>Daily Data for the Month - 2nd Comp</t>
  </si>
  <si>
    <t>Tab 18 - Occupancy Perspectives - Comp Set 2</t>
  </si>
  <si>
    <t>Occupancy Perspectives - 2nd Comp</t>
  </si>
  <si>
    <t>Tab 19 - Segmentation Occupancy Analysis - Comp Set 2</t>
  </si>
  <si>
    <t>Segmentation Occupancy Analysis - 2nd Comp</t>
  </si>
  <si>
    <t>Tab 20 - ADR Perspectives - Comp Set 2</t>
  </si>
  <si>
    <t>ADR Perspectives - 2nd Comp</t>
  </si>
  <si>
    <t>Tab 21 - Segmentation ADR Analysis - Comp Set 2</t>
  </si>
  <si>
    <t>Segmentation ADR Analysis - 2nd Comp</t>
  </si>
  <si>
    <t>Tab 22 - RevPAR Perspectives - Comp Set 2</t>
  </si>
  <si>
    <t>RevPAR Perspectives - 2nd Comp</t>
  </si>
  <si>
    <t>Tab 23 - Segmentation RevPAR Analysis - Comp Set 2</t>
  </si>
  <si>
    <t>Segmentation RevPAR Analysis - 2nd Comp</t>
  </si>
  <si>
    <t>Tab 24 - Additional Revenue - Comp Set 2</t>
  </si>
  <si>
    <t>Additional Revenue - 2nd Comp</t>
  </si>
  <si>
    <t>Tab 25 - Response Report - Comp Set 2</t>
  </si>
  <si>
    <t>Response Report - 2nd Comp</t>
  </si>
  <si>
    <t>Help</t>
  </si>
  <si>
    <t>Weekly STAR Report : Kimpton Angler's Hotel</t>
  </si>
  <si>
    <t>STR # 56387 / Created July 22, 2025</t>
  </si>
  <si>
    <t>For the Week of: July 13, 2025 - July 19, 2025</t>
  </si>
  <si>
    <t>Currency: US Dollar  /  Competitive Set Data Excludes Subject Property</t>
  </si>
  <si>
    <t>July 13, 2025 - July 19, 2025</t>
  </si>
  <si>
    <t>Kimpton Angler's Hotel        600 Washington Ave        Miami Beach, FL 33139-6207        Phone: (305) 534-9600</t>
  </si>
  <si>
    <t>Created: Jul 22, 2025</t>
  </si>
  <si>
    <t>2 of 5</t>
  </si>
  <si>
    <t>1 of 5</t>
  </si>
  <si>
    <t>3 of 5</t>
  </si>
  <si>
    <t>4 of 5</t>
  </si>
  <si>
    <t/>
  </si>
  <si>
    <t>5 of 5</t>
  </si>
  <si>
    <t>June 22, 2025 - July 19, 2025</t>
  </si>
  <si>
    <t>STR # 56387        Chain ID: 18033        Mgt Co: Kimpton Hotels/IHG        Owner: KHP Capital Partners</t>
  </si>
  <si>
    <t>For the Week of: July 13, 2025 - July 19, 2025        Date Created: July 22, 2025        Competitive Set Data Excludes Subject Property</t>
  </si>
  <si>
    <t>Jul</t>
  </si>
  <si>
    <t>Market Scale: Miami, FL Upper Upscale Chains</t>
  </si>
  <si>
    <t>Market Scale</t>
  </si>
  <si>
    <t>Jun</t>
  </si>
  <si>
    <t>Market Scale*: Miami, FL Upper Upscale Chains</t>
  </si>
  <si>
    <t>For the Week of: July 13, 2025 - July 19, 2025        Date Created: July 22, 2025</t>
  </si>
  <si>
    <t>Kimpton Angler's Hotel</t>
  </si>
  <si>
    <t>Miami Beach, FL</t>
  </si>
  <si>
    <t>33139-6207</t>
  </si>
  <si>
    <t>(305) 534-9600</t>
  </si>
  <si>
    <t>200706</t>
  </si>
  <si>
    <t>X</t>
  </si>
  <si>
    <t>Dream South Beach</t>
  </si>
  <si>
    <t>33139</t>
  </si>
  <si>
    <t>(305) 673-4747</t>
  </si>
  <si>
    <t>194906</t>
  </si>
  <si>
    <t>Closed - Blue Moon Hotel</t>
  </si>
  <si>
    <t>193406</t>
  </si>
  <si>
    <t>The Tony Hotel of South Beach</t>
  </si>
  <si>
    <t>(305) 531-2222</t>
  </si>
  <si>
    <t>193906</t>
  </si>
  <si>
    <t>The Betsy South Beach</t>
  </si>
  <si>
    <t>(305) 531-6100</t>
  </si>
  <si>
    <t>194506</t>
  </si>
  <si>
    <t>Z Ocean Hotel, Classico A Sonesta Collection</t>
  </si>
  <si>
    <t>33139-4103</t>
  </si>
  <si>
    <t>(305) 672-4554</t>
  </si>
  <si>
    <t>200612</t>
  </si>
  <si>
    <t>Data received: X = Both years, T = This year only, L = Last year only, blank = No data</t>
  </si>
  <si>
    <t>2025 (This Year)</t>
  </si>
  <si>
    <t>Jun/Jul</t>
  </si>
  <si>
    <t>2024 (Last Year)</t>
  </si>
  <si>
    <t>Jun 15th</t>
  </si>
  <si>
    <t>- Father's Day</t>
  </si>
  <si>
    <t>Jun 19th</t>
  </si>
  <si>
    <t>- Juneteenth</t>
  </si>
  <si>
    <t>July 4th</t>
  </si>
  <si>
    <t>- Independence Day</t>
  </si>
  <si>
    <t>June 16th</t>
  </si>
  <si>
    <t>June 19th</t>
  </si>
  <si>
    <t>Sep 2nd</t>
  </si>
  <si>
    <t>- Labor Day</t>
  </si>
  <si>
    <t>Oct 3rd</t>
  </si>
  <si>
    <t>- Rosh Hashanah</t>
  </si>
  <si>
    <t>Oct 12th</t>
  </si>
  <si>
    <t>- Yom Kippur</t>
  </si>
  <si>
    <t>9 of 9</t>
  </si>
  <si>
    <t>8 of 9</t>
  </si>
  <si>
    <t>4 of 9</t>
  </si>
  <si>
    <t>3 of 9</t>
  </si>
  <si>
    <t>1 of 9</t>
  </si>
  <si>
    <t>2 of 9</t>
  </si>
  <si>
    <t>5 of 9</t>
  </si>
  <si>
    <t>7 of 9</t>
  </si>
  <si>
    <t>4 of 8</t>
  </si>
  <si>
    <t>2 of 8</t>
  </si>
  <si>
    <t>3 of 8</t>
  </si>
  <si>
    <t>1 of 8</t>
  </si>
  <si>
    <t>5 of 8</t>
  </si>
  <si>
    <t>6 of 8</t>
  </si>
  <si>
    <t>7 of 8</t>
  </si>
  <si>
    <t>6 of 9</t>
  </si>
  <si>
    <t>Park Central South Beach</t>
  </si>
  <si>
    <t>33139-6219</t>
  </si>
  <si>
    <t>(305) 685-2000</t>
  </si>
  <si>
    <t>193706</t>
  </si>
  <si>
    <t>L</t>
  </si>
  <si>
    <t>Kimpton Surfcomber Hotel</t>
  </si>
  <si>
    <t>33139-2006</t>
  </si>
  <si>
    <t>(305) 532-7715</t>
  </si>
  <si>
    <t>194106</t>
  </si>
  <si>
    <t>Gale South Beach, Curio Collection by Hilton</t>
  </si>
  <si>
    <t>(305) 673-0199</t>
  </si>
  <si>
    <t>201212</t>
  </si>
  <si>
    <t>Hyatt Centric South Beach Miami</t>
  </si>
  <si>
    <t>(305) 428-1234</t>
  </si>
  <si>
    <t>201506</t>
  </si>
  <si>
    <t>Lennox Miami Beach</t>
  </si>
  <si>
    <t>(305) 531-6800</t>
  </si>
  <si>
    <t>201908</t>
  </si>
  <si>
    <t>T</t>
  </si>
  <si>
    <t>Kimpton Hotel Palomar South Beach</t>
  </si>
  <si>
    <t>33139-2412</t>
  </si>
  <si>
    <t>(786) 628-2000</t>
  </si>
  <si>
    <t>202002</t>
  </si>
  <si>
    <t>MOXY Miami South Beach</t>
  </si>
  <si>
    <t>33139-5015</t>
  </si>
  <si>
    <t>(305) 600-4292</t>
  </si>
  <si>
    <t>202102</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</si>
</sst>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3">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0" diagonalDown="0">
      <left style="thin">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style="medium">
        <color auto="1" indexed="64"/>
      </left>
      <right style="medium">
        <color auto="1" indexed="64"/>
      </right>
      <top style="medium">
        <color auto="1" indexed="64"/>
      </top>
      <bottom>
        <color auto="1" indexed="64"/>
      </bottom>
      <diagonal>
        <color/>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8">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1" fillId="0" borderId="47" applyFont="1" applyFill="1" applyBorder="1" applyAlignment="1">
      <alignment horizontal="center"/>
    </xf>
    <xf numFmtId="0" fontId="1" fillId="0" borderId="48" applyFont="1" applyFill="1" applyBorder="1" applyAlignment="1">
      <alignment horizontal="center"/>
    </xf>
    <xf numFmtId="0" fontId="39" fillId="0" borderId="47" applyFont="1" applyFill="1" applyBorder="1" applyAlignment="1">
      <alignment horizontal="left"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9" applyFont="1" applyFill="1" applyBorder="1"/>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10" borderId="53" applyFont="1" applyFill="1" applyBorder="1" applyAlignment="1">
      <alignment horizontal="center"/>
    </xf>
    <xf numFmtId="0" fontId="42" fillId="10" borderId="54" applyFont="1" applyFill="1" applyBorder="1" applyAlignment="1">
      <alignment horizontal="center"/>
    </xf>
    <xf numFmtId="166" fontId="69" fillId="10" borderId="53" applyNumberFormat="1" applyFont="1" applyFill="1" applyBorder="1" applyAlignment="1">
      <alignment horizontal="center"/>
    </xf>
    <xf numFmtId="166" fontId="69" fillId="10" borderId="54" applyNumberFormat="1" applyFont="1" applyFill="1" applyBorder="1" applyAlignment="1">
      <alignment horizontal="center"/>
    </xf>
    <xf numFmtId="166" fontId="69" fillId="10" borderId="55" applyNumberFormat="1" applyFont="1" applyFill="1" applyBorder="1" applyAlignment="1">
      <alignment horizontal="center"/>
    </xf>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69" fillId="0" borderId="47" applyFont="1" applyFill="1" applyBorder="1" applyAlignment="1">
      <alignment horizontal="right" wrapText="1"/>
    </xf>
    <xf numFmtId="0" fontId="21" fillId="0" borderId="56" applyFont="1" applyFill="1" applyBorder="1" applyAlignment="1">
      <alignment horizontal="center"/>
    </xf>
    <xf numFmtId="0" fontId="42" fillId="10" borderId="55" applyFont="1" applyFill="1" applyBorder="1" applyAlignment="1">
      <alignment horizontal="center"/>
    </xf>
    <xf numFmtId="2" fontId="69" fillId="10" borderId="53" applyNumberFormat="1" applyFont="1" applyFill="1" applyBorder="1" applyAlignment="1">
      <alignment horizontal="center"/>
    </xf>
    <xf numFmtId="2" fontId="69" fillId="10" borderId="54" applyNumberFormat="1" applyFont="1" applyFill="1" applyBorder="1" applyAlignment="1">
      <alignment horizontal="center"/>
    </xf>
    <xf numFmtId="2" fontId="69" fillId="10" borderId="55" applyNumberFormat="1" applyFont="1" applyFill="1" applyBorder="1" applyAlignment="1">
      <alignment horizontal="center"/>
    </xf>
    <xf numFmtId="0" fontId="21" fillId="0" borderId="57" applyFont="1" applyFill="1" applyBorder="1" applyAlignment="1">
      <alignment horizontal="center"/>
    </xf>
    <xf numFmtId="0" fontId="21" fillId="0" borderId="58" applyFont="1" applyFill="1" applyBorder="1" applyAlignment="1">
      <alignment horizontal="center"/>
    </xf>
    <xf numFmtId="166" fontId="42" fillId="10" borderId="54" applyNumberFormat="1" applyFont="1" applyFill="1" applyBorder="1" applyAlignment="1">
      <alignment horizontal="center"/>
    </xf>
    <xf numFmtId="166" fontId="42" fillId="10" borderId="59"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0" borderId="62" applyFont="1" applyFill="1" applyBorder="1" applyAlignment="1">
      <alignment horizontal="center"/>
    </xf>
    <xf numFmtId="0" fontId="34" fillId="6" borderId="63" applyFont="1" applyFill="1" applyBorder="1" applyAlignment="1">
      <alignment horizontal="center"/>
    </xf>
    <xf numFmtId="0" fontId="34" fillId="6" borderId="47" applyFont="1" applyFill="1" applyBorder="1" applyAlignment="1">
      <alignment horizontal="center"/>
    </xf>
    <xf numFmtId="0" fontId="34" fillId="6" borderId="64" applyFont="1" applyFill="1" applyBorder="1" applyAlignment="1">
      <alignment horizontal="center"/>
    </xf>
    <xf numFmtId="0" fontId="34" fillId="0" borderId="63" applyFont="1" applyFill="1" applyBorder="1" applyAlignment="1">
      <alignment horizontal="center"/>
    </xf>
    <xf numFmtId="0" fontId="34" fillId="0" borderId="47" applyFont="1" applyFill="1" applyBorder="1" applyAlignment="1">
      <alignment horizontal="center"/>
    </xf>
    <xf numFmtId="0" fontId="34" fillId="0"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34" fillId="6" borderId="67" applyFont="1" applyFill="1" applyBorder="1" applyAlignment="1">
      <alignment horizontal="center"/>
    </xf>
    <xf numFmtId="0" fontId="37" fillId="11" borderId="47" applyFont="1" applyFill="1" applyBorder="1" applyAlignment="1">
      <alignment horizontal="center"/>
    </xf>
    <xf numFmtId="0" fontId="83" fillId="15" borderId="68" applyFont="1" applyFill="1" applyBorder="1" applyAlignment="1">
      <alignment horizontal="left"/>
    </xf>
    <xf numFmtId="0" fontId="83" fillId="15" borderId="68" applyFont="1" applyFill="1" applyBorder="1" applyAlignment="1">
      <alignment horizontal="right"/>
    </xf>
    <xf numFmtId="0" fontId="83" fillId="15" borderId="69" applyFont="1" applyFill="1" applyBorder="1"/>
    <xf numFmtId="0" fontId="83" fillId="15" borderId="70" applyFont="1" applyFill="1" applyBorder="1"/>
    <xf numFmtId="0" fontId="83" fillId="15" borderId="71" applyFont="1" applyFill="1" applyBorder="1"/>
    <xf numFmtId="0" fontId="83" fillId="17" borderId="68" applyFont="1" applyFill="1" applyBorder="1" applyAlignment="1">
      <alignment horizontal="left"/>
    </xf>
    <xf numFmtId="0" fontId="83" fillId="17" borderId="68" applyFont="1" applyFill="1" applyBorder="1" applyAlignment="1">
      <alignment horizontal="right"/>
    </xf>
    <xf numFmtId="0" fontId="83" fillId="17" borderId="69" applyFont="1" applyFill="1" applyBorder="1"/>
    <xf numFmtId="0" fontId="83" fillId="17" borderId="70" applyFont="1" applyFill="1" applyBorder="1"/>
    <xf numFmtId="0" fontId="83" fillId="17" borderId="71"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1" applyFont="1" applyFill="1" applyBorder="1" applyAlignment="1">
      <alignment horizontal="center" vertical="center"/>
    </xf>
    <xf numFmtId="0" fontId="69" fillId="0" borderId="47" applyFont="1" applyFill="1" applyBorder="1" applyAlignment="1">
      <alignment horizontal="right"/>
    </xf>
    <xf numFmtId="0" fontId="37" fillId="0" borderId="72" applyFont="1" applyFill="1" applyBorder="1" applyAlignment="1">
      <alignment horizontal="center"/>
    </xf>
    <xf numFmtId="0" fontId="1" fillId="0" borderId="51" applyFont="1" applyFill="1" applyBorder="1"/>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24" Type="http://schemas.openxmlformats.org/officeDocument/2006/relationships/worksheet" Target="worksheets/sheet8.xml" />
<Relationship Id="rId27" Type="http://schemas.openxmlformats.org/officeDocument/2006/relationships/styles" Target="/xl/styles.xml" />
<Relationship Id="rId28" Type="http://schemas.openxmlformats.org/officeDocument/2006/relationships/theme" Target="/xl/theme/theme1.xml" />
<Relationship Id="rId26" Type="http://schemas.openxmlformats.org/officeDocument/2006/relationships/worksheet" Target="worksheets/sheet16.xml" />
<Relationship Id="rId22" Type="http://schemas.openxmlformats.org/officeDocument/2006/relationships/worksheet" Target="worksheets/sheet1.xml" />
<Relationship Id="rId23" Type="http://schemas.openxmlformats.org/officeDocument/2006/relationships/worksheet" Target="worksheets/sheet6.xml" />
<Relationship Id="rId25" Type="http://schemas.openxmlformats.org/officeDocument/2006/relationships/worksheet" Target="worksheets/sheet10.xml" />
<Relationship Id="rId29" Type="http://schemas.openxmlformats.org/officeDocument/2006/relationships/sharedStrings" Target="/xl/sharedStrings.xml" />
<Relationship Id="rId21" Type="http://schemas.openxmlformats.org/officeDocument/2006/relationships/worksheet" Target="worksheets/sheet18.xml" />
<Relationship Id="rId20" Type="http://schemas.openxmlformats.org/officeDocument/2006/relationships/worksheet" Target="worksheets/sheet21.xml" />
<Relationship Id="rId19" Type="http://schemas.openxmlformats.org/officeDocument/2006/relationships/worksheet" Target="worksheets/sheet25.xml" />
<Relationship Id="rId18" Type="http://schemas.openxmlformats.org/officeDocument/2006/relationships/worksheet" Target="worksheets/sheet29.xml" />
<Relationship Id="rId17" Type="http://schemas.openxmlformats.org/officeDocument/2006/relationships/worksheet" Target="worksheets/sheet33.xml" />
<Relationship Id="rId16" Type="http://schemas.openxmlformats.org/officeDocument/2006/relationships/worksheet" Target="worksheets/sheet37.xml" />
<Relationship Id="rId15" Type="http://schemas.openxmlformats.org/officeDocument/2006/relationships/worksheet" Target="worksheets/sheet41.xml" />
<Relationship Id="rId14" Type="http://schemas.openxmlformats.org/officeDocument/2006/relationships/worksheet" Target="worksheets/sheet45.xml" />
<Relationship Id="rId13" Type="http://schemas.openxmlformats.org/officeDocument/2006/relationships/worksheet" Target="worksheets/sheet49.xml" />
<Relationship Id="rId12" Type="http://schemas.openxmlformats.org/officeDocument/2006/relationships/worksheet" Target="worksheets/sheet53.xml" />
<Relationship Id="rId11" Type="http://schemas.openxmlformats.org/officeDocument/2006/relationships/worksheet" Target="worksheets/sheet56.xml" />
<Relationship Id="rId10" Type="http://schemas.openxmlformats.org/officeDocument/2006/relationships/worksheet" Target="worksheets/sheet59.xml" />
<Relationship Id="rId9" Type="http://schemas.openxmlformats.org/officeDocument/2006/relationships/worksheet" Target="worksheets/sheet62.xml" />
<Relationship Id="rId8" Type="http://schemas.openxmlformats.org/officeDocument/2006/relationships/worksheet" Target="worksheets/sheet66.xml" />
<Relationship Id="rId7" Type="http://schemas.openxmlformats.org/officeDocument/2006/relationships/worksheet" Target="worksheets/sheet69.xml" />
<Relationship Id="rId6" Type="http://schemas.openxmlformats.org/officeDocument/2006/relationships/worksheet" Target="worksheets/sheet73.xml" />
<Relationship Id="rId5" Type="http://schemas.openxmlformats.org/officeDocument/2006/relationships/worksheet" Target="worksheets/sheet76.xml" />
<Relationship Id="rId4" Type="http://schemas.openxmlformats.org/officeDocument/2006/relationships/worksheet" Target="worksheets/sheet80.xml" />
<Relationship Id="rId3" Type="http://schemas.openxmlformats.org/officeDocument/2006/relationships/worksheet" Target="worksheets/sheet83.xml" />
<Relationship Id="rId2" Type="http://schemas.openxmlformats.org/officeDocument/2006/relationships/worksheet" Target="worksheets/sheet86.xml" />
<Relationship Id="rId1" Type="http://schemas.openxmlformats.org/officeDocument/2006/relationships/worksheet" Target="worksheets/sheet89.xml" />
</Relationships>
</file>

<file path=xl/charts/chart9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July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114.383655560147</v>
                </pt>
                <pt idx="0">
                  <v>142.832167832096</v>
                </pt>
                <pt idx="0">
                  <v>122.345593337919</v>
                </pt>
                <pt idx="0">
                  <v>107.308377896605</v>
                </pt>
                <pt idx="0">
                  <v>101.976284584937</v>
                </pt>
                <pt idx="0">
                  <v>121.316614420092</v>
                </pt>
                <pt idx="0">
                  <v>113.767112751815</v>
                </pt>
                <pt idx="0">
                  <v>105.79057905783</v>
                </pt>
                <pt idx="0">
                  <v>123.06397306401</v>
                </pt>
                <pt idx="0">
                  <v>119.878787878707</v>
                </pt>
                <pt idx="0">
                  <v>101.679085941352</v>
                </pt>
                <pt idx="0">
                  <v>107.109934294459</v>
                </pt>
                <pt idx="0">
                  <v>135.363342159532</v>
                </pt>
                <pt idx="0">
                  <v>134.461637653121</v>
                </pt>
                <pt idx="0">
                  <v>118.943278943338</v>
                </pt>
                <pt idx="0">
                  <v>122.785547785486</v>
                </pt>
                <pt idx="0">
                  <v>137.221775274882</v>
                </pt>
                <pt idx="0">
                  <v>99.8425816607972</v>
                </pt>
                <pt idx="0">
                  <v>107.109934294459</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77.2393126340051</v>
                </pt>
                <pt idx="0">
                  <v>61.149562648352</v>
                </pt>
                <pt idx="0">
                  <v>62.7227965255132</v>
                </pt>
                <pt idx="0">
                  <v>87.5903140424879</v>
                </pt>
                <pt idx="0">
                  <v>90.7184604653201</v>
                </pt>
                <pt idx="0">
                  <v>71.5022454005567</v>
                </pt>
                <pt idx="0">
                  <v>74.2029895021661</v>
                </pt>
                <pt idx="0">
                  <v>78.9480480971779</v>
                </pt>
                <pt idx="0">
                  <v>74.7977184556076</v>
                </pt>
                <pt idx="0">
                  <v>60.1906502409487</v>
                </pt>
                <pt idx="0">
                  <v>79.9149226708072</v>
                </pt>
                <pt idx="0">
                  <v>88.7024905362469</v>
                </pt>
                <pt idx="0">
                  <v>76.8001231877558</v>
                </pt>
                <pt idx="0">
                  <v>77.1516391085505</v>
                </pt>
                <pt idx="0">
                  <v>80.3852021283226</v>
                </pt>
                <pt idx="0">
                  <v>76.1063359855109</v>
                </pt>
                <pt idx="0">
                  <v>66.4448344235072</v>
                </pt>
                <pt idx="0">
                  <v>88.8413991569751</v>
                </pt>
                <pt idx="0">
                  <v>86.2716498303333</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88.3491493202902</v>
                </pt>
                <pt idx="0">
                  <v>87.3412459505076</v>
                </pt>
                <pt idx="0">
                  <v>76.7385775673149</v>
                </pt>
                <pt idx="0">
                  <v>93.9917451935404</v>
                </pt>
                <pt idx="0">
                  <v>92.5113154152205</v>
                </pt>
                <pt idx="0">
                  <v>86.7441033543</v>
                </pt>
                <pt idx="0">
                  <v>84.4185987321515</v>
                </pt>
                <pt idx="0">
                  <v>83.5195972369575</v>
                </pt>
                <pt idx="0">
                  <v>92.0490440927282</v>
                </pt>
                <pt idx="0">
                  <v>72.1558219252219</v>
                </pt>
                <pt idx="0">
                  <v>81.2567629024249</v>
                </pt>
                <pt idx="0">
                  <v>95.0091793308631</v>
                </pt>
                <pt idx="0">
                  <v>103.959213529539</v>
                </pt>
                <pt idx="0">
                  <v>103.739357421553</v>
                </pt>
                <pt idx="0">
                  <v>95.6127951966586</v>
                </pt>
                <pt idx="0">
                  <v>93.4475815393071</v>
                </pt>
                <pt idx="0">
                  <v>91.1767813744045</v>
                </pt>
                <pt idx="0">
                  <v>88.701546501879</v>
                </pt>
                <pt idx="0">
                  <v>92.4055074479634</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8"/>
          <min val="5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94.0476190476191</v>
                </pt>
                <pt idx="0">
                  <v>78.1385281385281</v>
                </pt>
                <pt idx="0">
                  <v>75.2164502164502</v>
                </pt>
                <pt idx="0">
                  <v>89.1774891774892</v>
                </pt>
                <pt idx="0">
                  <v>75.8658008658009</v>
                </pt>
                <pt idx="0">
                  <v>73.7012987012987</v>
                </pt>
                <pt idx="0">
                  <v>82.5757575757576</v>
                </pt>
                <pt idx="0">
                  <v>91.4502164502164</v>
                </pt>
                <pt idx="0">
                  <v>76.7316017316017</v>
                </pt>
                <pt idx="0">
                  <v>85.0649350649351</v>
                </pt>
                <pt idx="0">
                  <v>79.978354978355</v>
                </pt>
                <pt idx="0">
                  <v>81.7099567099567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94.7259136212625</v>
                </pt>
                <pt idx="0">
                  <v>73.4634551495017</v>
                </pt>
                <pt idx="0">
                  <v>66.8604651162791</v>
                </pt>
                <pt idx="0">
                  <v>76.9102990033223</v>
                </pt>
                <pt idx="0">
                  <v>72.2176079734219</v>
                </pt>
                <pt idx="0">
                  <v>62.0847176079734</v>
                </pt>
                <pt idx="0">
                  <v>73.546511627907</v>
                </pt>
                <pt idx="0">
                  <v>81.9767441860465</v>
                </pt>
                <pt idx="0">
                  <v>72.7990033222591</v>
                </pt>
                <pt idx="0">
                  <v>70.9302325581395</v>
                </pt>
                <pt idx="0">
                  <v>71.0548172757475</v>
                </pt>
                <pt idx="0">
                  <v>68.1063122923588</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89.6410863612817</v>
                </pt>
                <pt idx="0">
                  <v>74.251134197343</v>
                </pt>
                <pt idx="0">
                  <v>72.8590639731635</v>
                </pt>
                <pt idx="0">
                  <v>74.4329013285256</v>
                </pt>
                <pt idx="0">
                  <v>68.1449408148488</v>
                </pt>
                <pt idx="0">
                  <v>69.5717993079585</v>
                </pt>
                <pt idx="0">
                  <v>76.2218858131488</v>
                </pt>
                <pt idx="0">
                  <v>76.9386431043005</v>
                </pt>
                <pt idx="0">
                  <v>76.1662753336629</v>
                </pt>
                <pt idx="0">
                  <v>63.4668206504776</v>
                </pt>
                <pt idx="0">
                  <v>69.4148436030841</v>
                </pt>
                <pt idx="0">
                  <v>72.41114523914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0"/>
          <min val="5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322.135788262371</v>
                </pt>
                <pt idx="0">
                  <v>232.814404432133</v>
                </pt>
                <pt idx="0">
                  <v>199.372661870504</v>
                </pt>
                <pt idx="0">
                  <v>210.575242718447</v>
                </pt>
                <pt idx="0">
                  <v>169.713266761769</v>
                </pt>
                <pt idx="0">
                  <v>161.750367107195</v>
                </pt>
                <pt idx="0">
                  <v>176.357798165138</v>
                </pt>
                <pt idx="0">
                  <v>185.256804733728</v>
                </pt>
                <pt idx="0">
                  <v>190.397743300423</v>
                </pt>
                <pt idx="0">
                  <v>165.723918575064</v>
                </pt>
                <pt idx="0">
                  <v>170.874154262517</v>
                </pt>
                <pt idx="0">
                  <v>168.603973509934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383.201227531784</v>
                </pt>
                <pt idx="0">
                  <v>280.474844544941</v>
                </pt>
                <pt idx="0">
                  <v>238.046583850932</v>
                </pt>
                <pt idx="0">
                  <v>270.953563714903</v>
                </pt>
                <pt idx="0">
                  <v>238.473835537665</v>
                </pt>
                <pt idx="0">
                  <v>207.771906354515</v>
                </pt>
                <pt idx="0">
                  <v>213.517221908526</v>
                </pt>
                <pt idx="0">
                  <v>244.053698074975</v>
                </pt>
                <pt idx="0">
                  <v>211.799771819738</v>
                </pt>
                <pt idx="0">
                  <v>222.51756440281</v>
                </pt>
                <pt idx="0">
                  <v>226.427819988311</v>
                </pt>
                <pt idx="0">
                  <v>214.504268292683</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288.829888056005</v>
                </pt>
                <pt idx="0">
                  <v>226.673937705244</v>
                </pt>
                <pt idx="0">
                  <v>209.19317282924</v>
                </pt>
                <pt idx="0">
                  <v>204.70062341169</v>
                </pt>
                <pt idx="0">
                  <v>187.015483703077</v>
                </pt>
                <pt idx="0">
                  <v>175.57626892846</v>
                </pt>
                <pt idx="0">
                  <v>188.573495733944</v>
                </pt>
                <pt idx="0">
                  <v>192.998253257574</v>
                </pt>
                <pt idx="0">
                  <v>180.256636988663</v>
                </pt>
                <pt idx="0">
                  <v>171.500897533627</v>
                </pt>
                <pt idx="0">
                  <v>173.69436731008</v>
                </pt>
                <pt idx="0">
                  <v>174.13019672344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88"/>
          <min val="15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302.961038961039</v>
                </pt>
                <pt idx="0">
                  <v>181.917748917749</v>
                </pt>
                <pt idx="0">
                  <v>149.961038961039</v>
                </pt>
                <pt idx="0">
                  <v>187.785714285714</v>
                </pt>
                <pt idx="0">
                  <v>128.754329004329</v>
                </pt>
                <pt idx="0">
                  <v>119.212121212121</v>
                </pt>
                <pt idx="0">
                  <v>145.628787878788</v>
                </pt>
                <pt idx="0">
                  <v>169.417748917749</v>
                </pt>
                <pt idx="0">
                  <v>146.095238095238</v>
                </pt>
                <pt idx="0">
                  <v>140.972943722944</v>
                </pt>
                <pt idx="0">
                  <v>136.662337662338</v>
                </pt>
                <pt idx="0">
                  <v>137.766233766234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362.990863787375</v>
                </pt>
                <pt idx="0">
                  <v>206.046511627907</v>
                </pt>
                <pt idx="0">
                  <v>159.159053156146</v>
                </pt>
                <pt idx="0">
                  <v>208.391196013289</v>
                </pt>
                <pt idx="0">
                  <v>172.220099667774</v>
                </pt>
                <pt idx="0">
                  <v>128.994601328904</v>
                </pt>
                <pt idx="0">
                  <v>157.034468438538</v>
                </pt>
                <pt idx="0">
                  <v>200.067275747508</v>
                </pt>
                <pt idx="0">
                  <v>154.188122923588</v>
                </pt>
                <pt idx="0">
                  <v>157.832225913621</v>
                </pt>
                <pt idx="0">
                  <v>160.887873754153</v>
                </pt>
                <pt idx="0">
                  <v>146.090946843854</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258.910249389477</v>
                </pt>
                <pt idx="0">
                  <v>168.307969675922</v>
                </pt>
                <pt idx="0">
                  <v>152.416187619146</v>
                </pt>
                <pt idx="0">
                  <v>152.3646130429</v>
                </pt>
                <pt idx="0">
                  <v>127.441590684065</v>
                </pt>
                <pt idx="0">
                  <v>122.15156945131</v>
                </pt>
                <pt idx="0">
                  <v>143.73427459219</v>
                </pt>
                <pt idx="0">
                  <v>148.490237271379</v>
                </pt>
                <pt idx="0">
                  <v>137.294766435986</v>
                </pt>
                <pt idx="0">
                  <v>108.846167051626</v>
                </pt>
                <pt idx="0">
                  <v>120.569673415659</v>
                </pt>
                <pt idx="0">
                  <v>126.08966965461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68"/>
          <min val="10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July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Month_2'!$C$28:$AG$28</f>
              <numCache>
                <formatCode>General</formatCode>
                <ptCount val="31"/>
                <pt idx="0">
                  <v>130.429292929257</v>
                </pt>
                <pt idx="0">
                  <v>150.953699430901</v>
                </pt>
                <pt idx="0">
                  <v>116.392766846158</v>
                </pt>
                <pt idx="0">
                  <v>103.794258373209</v>
                </pt>
                <pt idx="0">
                  <v>101.172777498792</v>
                </pt>
                <pt idx="0">
                  <v>127.478403948942</v>
                </pt>
                <pt idx="0">
                  <v>121.535228057071</v>
                </pt>
                <pt idx="0">
                  <v>113.994322039107</v>
                </pt>
                <pt idx="0">
                  <v>132.111436950228</v>
                </pt>
                <pt idx="0">
                  <v>113.597991492318</v>
                </pt>
                <pt idx="0">
                  <v>97.7455055974841</v>
                </pt>
                <pt idx="0">
                  <v>105.330645458285</v>
                </pt>
                <pt idx="0">
                  <v>117.420588521902</v>
                </pt>
                <pt idx="0">
                  <v>125.160394111291</v>
                </pt>
                <pt idx="0">
                  <v>111.05894410281</v>
                </pt>
                <pt idx="0">
                  <v>116.740705484182</v>
                </pt>
                <pt idx="0">
                  <v>116.037878787829</v>
                </pt>
                <pt idx="0">
                  <v>101.568649929261</v>
                </pt>
                <pt idx="0">
                  <v>103.198953823932</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Month_2'!$C$40:$AG$40</f>
              <numCache>
                <formatCode>General</formatCode>
                <ptCount val="31"/>
                <pt idx="0">
                  <v>100.627483283282</v>
                </pt>
                <pt idx="0">
                  <v>87.3341692915791</v>
                </pt>
                <pt idx="0">
                  <v>88.3556813025056</v>
                </pt>
                <pt idx="0">
                  <v>101.595482827154</v>
                </pt>
                <pt idx="0">
                  <v>108.184163460195</v>
                </pt>
                <pt idx="0">
                  <v>95.145852093932</v>
                </pt>
                <pt idx="0">
                  <v>103.387683313012</v>
                </pt>
                <pt idx="0">
                  <v>116.303101477313</v>
                </pt>
                <pt idx="0">
                  <v>106.442968008493</v>
                </pt>
                <pt idx="0">
                  <v>92.5715054792074</v>
                </pt>
                <pt idx="0">
                  <v>101.763753985011</v>
                </pt>
                <pt idx="0">
                  <v>112.249591460339</v>
                </pt>
                <pt idx="0">
                  <v>104.065898405079</v>
                </pt>
                <pt idx="0">
                  <v>108.774882508498</v>
                </pt>
                <pt idx="0">
                  <v>103.180848520497</v>
                </pt>
                <pt idx="0">
                  <v>96.98833000957</v>
                </pt>
                <pt idx="0">
                  <v>93.443386335574</v>
                </pt>
                <pt idx="0">
                  <v>109.01268040388</v>
                </pt>
                <pt idx="0">
                  <v>94.7386722461849</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Month_2'!$C$52:$AG$52</f>
              <numCache>
                <formatCode>General</formatCode>
                <ptCount val="31"/>
                <pt idx="0">
                  <v>131.247714938951</v>
                </pt>
                <pt idx="0">
                  <v>131.834159412749</v>
                </pt>
                <pt idx="0">
                  <v>102.839622133834</v>
                </pt>
                <pt idx="0">
                  <v>105.45027794114</v>
                </pt>
                <pt idx="0">
                  <v>109.452922986476</v>
                </pt>
                <pt idx="0">
                  <v>121.290413673022</v>
                </pt>
                <pt idx="0">
                  <v>125.652456697329</v>
                </pt>
                <pt idx="0">
                  <v>132.578932039608</v>
                </pt>
                <pt idx="0">
                  <v>140.623334568475</v>
                </pt>
                <pt idx="0">
                  <v>105.159370918582</v>
                </pt>
                <pt idx="0">
                  <v>99.4694958476347</v>
                </pt>
                <pt idx="0">
                  <v>118.233219209388</v>
                </pt>
                <pt idx="0">
                  <v>122.194790357778</v>
                </pt>
                <pt idx="0">
                  <v>136.143071641735</v>
                </pt>
                <pt idx="0">
                  <v>114.591560883204</v>
                </pt>
                <pt idx="0">
                  <v>113.224860690558</v>
                </pt>
                <pt idx="0">
                  <v>108.429723371353</v>
                </pt>
                <pt idx="0">
                  <v>110.722707737953</v>
                </pt>
                <pt idx="0">
                  <v>97.7693186247802</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6"/>
          <min val="8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Occ_2!$B$73:$M$73</f>
              <numCache>
                <formatCode>General</formatCode>
                <ptCount val="12"/>
                <pt idx="0">
                  <v>94.0476190476191</v>
                </pt>
                <pt idx="0">
                  <v>78.1385281385281</v>
                </pt>
                <pt idx="0">
                  <v>75.2164502164502</v>
                </pt>
                <pt idx="0">
                  <v>89.1774891774892</v>
                </pt>
                <pt idx="0">
                  <v>75.8658008658009</v>
                </pt>
                <pt idx="0">
                  <v>73.7012987012987</v>
                </pt>
                <pt idx="0">
                  <v>82.5757575757576</v>
                </pt>
                <pt idx="0">
                  <v>91.4502164502164</v>
                </pt>
                <pt idx="0">
                  <v>76.7316017316017</v>
                </pt>
                <pt idx="0">
                  <v>85.0649350649351</v>
                </pt>
                <pt idx="0">
                  <v>79.978354978355</v>
                </pt>
                <pt idx="0">
                  <v>81.7099567099567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Occ_2!$B$74:$M$74</f>
              <numCache>
                <formatCode>General</formatCode>
                <ptCount val="12"/>
                <pt idx="0">
                  <v>94.5512377264555</v>
                </pt>
                <pt idx="0">
                  <v>81.3995298022404</v>
                </pt>
                <pt idx="0">
                  <v>78.4953671691329</v>
                </pt>
                <pt idx="0">
                  <v>86.6131931959618</v>
                </pt>
                <pt idx="0">
                  <v>77.7070944544323</v>
                </pt>
                <pt idx="0">
                  <v>73.7519015350574</v>
                </pt>
                <pt idx="0">
                  <v>84.2207163601162</v>
                </pt>
                <pt idx="0">
                  <v>82.4505600885078</v>
                </pt>
                <pt idx="0">
                  <v>85.1749412252801</v>
                </pt>
                <pt idx="0">
                  <v>72.7147005946619</v>
                </pt>
                <pt idx="0">
                  <v>70.148719956667</v>
                </pt>
                <pt idx="0">
                  <v>72.998255906136</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Occ_2!$B$75:$M$75</f>
              <numCache>
                <formatCode>General</formatCode>
                <ptCount val="12"/>
                <pt idx="0">
                  <v>89.6410863612817</v>
                </pt>
                <pt idx="0">
                  <v>74.251134197343</v>
                </pt>
                <pt idx="0">
                  <v>72.8590639731635</v>
                </pt>
                <pt idx="0">
                  <v>74.4329013285256</v>
                </pt>
                <pt idx="0">
                  <v>68.1449408148488</v>
                </pt>
                <pt idx="0">
                  <v>69.5717993079585</v>
                </pt>
                <pt idx="0">
                  <v>76.2218858131488</v>
                </pt>
                <pt idx="0">
                  <v>76.9386431043005</v>
                </pt>
                <pt idx="0">
                  <v>76.1662753336629</v>
                </pt>
                <pt idx="0">
                  <v>63.4668206504776</v>
                </pt>
                <pt idx="0">
                  <v>69.4148436030841</v>
                </pt>
                <pt idx="0">
                  <v>72.41114523914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0"/>
          <min val="5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ADR_2!$B$73:$M$73</f>
              <numCache>
                <formatCode>General</formatCode>
                <ptCount val="12"/>
                <pt idx="0">
                  <v>322.135788262371</v>
                </pt>
                <pt idx="0">
                  <v>232.814404432133</v>
                </pt>
                <pt idx="0">
                  <v>199.372661870504</v>
                </pt>
                <pt idx="0">
                  <v>210.575242718447</v>
                </pt>
                <pt idx="0">
                  <v>169.713266761769</v>
                </pt>
                <pt idx="0">
                  <v>161.750367107195</v>
                </pt>
                <pt idx="0">
                  <v>176.357798165138</v>
                </pt>
                <pt idx="0">
                  <v>185.256804733728</v>
                </pt>
                <pt idx="0">
                  <v>190.397743300423</v>
                </pt>
                <pt idx="0">
                  <v>165.723918575064</v>
                </pt>
                <pt idx="0">
                  <v>170.874154262517</v>
                </pt>
                <pt idx="0">
                  <v>168.603973509934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ADR_2!$B$74:$M$74</f>
              <numCache>
                <formatCode>General</formatCode>
                <ptCount val="12"/>
                <pt idx="0">
                  <v>332.01755887085</v>
                </pt>
                <pt idx="0">
                  <v>212.535059463133</v>
                </pt>
                <pt idx="0">
                  <v>202.81512508809</v>
                </pt>
                <pt idx="0">
                  <v>238.666477726329</v>
                </pt>
                <pt idx="0">
                  <v>200.062721124755</v>
                </pt>
                <pt idx="0">
                  <v>175.796379148697</v>
                </pt>
                <pt idx="0">
                  <v>200.892339901478</v>
                </pt>
                <pt idx="0">
                  <v>194.610456222744</v>
                </pt>
                <pt idx="0">
                  <v>203.853661308654</v>
                </pt>
                <pt idx="0">
                  <v>172.701717383035</v>
                </pt>
                <pt idx="0">
                  <v>167.584973440364</v>
                </pt>
                <pt idx="0">
                  <v>169.193744569939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ADR_2!$B$75:$M$75</f>
              <numCache>
                <formatCode>General</formatCode>
                <ptCount val="12"/>
                <pt idx="0">
                  <v>288.829888056005</v>
                </pt>
                <pt idx="0">
                  <v>226.673937705244</v>
                </pt>
                <pt idx="0">
                  <v>209.19317282924</v>
                </pt>
                <pt idx="0">
                  <v>204.70062341169</v>
                </pt>
                <pt idx="0">
                  <v>187.015483703077</v>
                </pt>
                <pt idx="0">
                  <v>175.57626892846</v>
                </pt>
                <pt idx="0">
                  <v>188.573495733944</v>
                </pt>
                <pt idx="0">
                  <v>192.998253257574</v>
                </pt>
                <pt idx="0">
                  <v>180.256636988663</v>
                </pt>
                <pt idx="0">
                  <v>171.500897533627</v>
                </pt>
                <pt idx="0">
                  <v>173.69436731008</v>
                </pt>
                <pt idx="0">
                  <v>174.13019672344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37"/>
          <min val="15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'RevPAR_2'!$B$73:$M$73</f>
              <numCache>
                <formatCode>General</formatCode>
                <ptCount val="12"/>
                <pt idx="0">
                  <v>302.961038961039</v>
                </pt>
                <pt idx="0">
                  <v>181.917748917749</v>
                </pt>
                <pt idx="0">
                  <v>149.961038961039</v>
                </pt>
                <pt idx="0">
                  <v>187.785714285714</v>
                </pt>
                <pt idx="0">
                  <v>128.754329004329</v>
                </pt>
                <pt idx="0">
                  <v>119.212121212121</v>
                </pt>
                <pt idx="0">
                  <v>145.628787878788</v>
                </pt>
                <pt idx="0">
                  <v>169.417748917749</v>
                </pt>
                <pt idx="0">
                  <v>146.095238095238</v>
                </pt>
                <pt idx="0">
                  <v>140.972943722944</v>
                </pt>
                <pt idx="0">
                  <v>136.662337662338</v>
                </pt>
                <pt idx="0">
                  <v>137.766233766234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'RevPAR_2'!$B$74:$M$74</f>
              <numCache>
                <formatCode>General</formatCode>
                <ptCount val="12"/>
                <pt idx="0">
                  <v>313.926711381552</v>
                </pt>
                <pt idx="0">
                  <v>173.002539067902</v>
                </pt>
                <pt idx="0">
                  <v>159.200477112433</v>
                </pt>
                <pt idx="0">
                  <v>206.716657447103</v>
                </pt>
                <pt idx="0">
                  <v>155.462927672521</v>
                </pt>
                <pt idx="0">
                  <v>129.653172451943</v>
                </pt>
                <pt idx="0">
                  <v>169.192967777624</v>
                </pt>
                <pt idx="0">
                  <v>160.457411146453</v>
                </pt>
                <pt idx="0">
                  <v>173.632236205227</v>
                </pt>
                <pt idx="0">
                  <v>125.579536716913</v>
                </pt>
                <pt idx="0">
                  <v>117.558713708136</v>
                </pt>
                <pt idx="0">
                  <v>123.508482638338</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'RevPAR_2'!$B$75:$M$75</f>
              <numCache>
                <formatCode>General</formatCode>
                <ptCount val="12"/>
                <pt idx="0">
                  <v>258.910249389477</v>
                </pt>
                <pt idx="0">
                  <v>168.307969675922</v>
                </pt>
                <pt idx="0">
                  <v>152.416187619146</v>
                </pt>
                <pt idx="0">
                  <v>152.3646130429</v>
                </pt>
                <pt idx="0">
                  <v>127.441590684065</v>
                </pt>
                <pt idx="0">
                  <v>122.15156945131</v>
                </pt>
                <pt idx="0">
                  <v>143.73427459219</v>
                </pt>
                <pt idx="0">
                  <v>148.490237271379</v>
                </pt>
                <pt idx="0">
                  <v>137.294766435986</v>
                </pt>
                <pt idx="0">
                  <v>108.846167051626</v>
                </pt>
                <pt idx="0">
                  <v>120.569673415659</v>
                </pt>
                <pt idx="0">
                  <v>126.08966965461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19"/>
          <min val="10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5.xml.rels><?xml version="1.0" encoding="utf-8" standalone="yes" ?>
<Relationships xmlns="http://schemas.openxmlformats.org/package/2006/relationships">
<Relationship Id="rId97" Type="http://schemas.openxmlformats.org/officeDocument/2006/relationships/chart" Target="/xl/charts/chart92.xml" />
</Relationships>
</file>

<file path=xl/drawings/_rels/drawing64.xml.rels><?xml version="1.0" encoding="utf-8" standalone="yes" ?>
<Relationships xmlns="http://schemas.openxmlformats.org/package/2006/relationships">
<Relationship Id="rId101" Type="http://schemas.openxmlformats.org/officeDocument/2006/relationships/chart" Target="/xl/charts/chart96.xml" />
</Relationships>
</file>

<file path=xl/drawings/_rels/drawing65.xml.rels><?xml version="1.0" encoding="utf-8" standalone="yes" ?>
<Relationships xmlns="http://schemas.openxmlformats.org/package/2006/relationships">
<Relationship Id="rId98" Type="http://schemas.openxmlformats.org/officeDocument/2006/relationships/chart" Target="/xl/charts/chart93.xml" />
</Relationships>
</file>

<file path=xl/drawings/_rels/drawing68.xml.rels><?xml version="1.0" encoding="utf-8" standalone="yes" ?>
<Relationships xmlns="http://schemas.openxmlformats.org/package/2006/relationships">
<Relationship Id="rId102" Type="http://schemas.openxmlformats.org/officeDocument/2006/relationships/chart" Target="/xl/charts/chart97.xml" />
</Relationships>
</file>

<file path=xl/drawings/_rels/drawing72.xml.rels><?xml version="1.0" encoding="utf-8" standalone="yes" ?>
<Relationships xmlns="http://schemas.openxmlformats.org/package/2006/relationships">
<Relationship Id="rId99" Type="http://schemas.openxmlformats.org/officeDocument/2006/relationships/chart" Target="/xl/charts/chart94.xml" />
</Relationships>
</file>

<file path=xl/drawings/_rels/drawing75.xml.rels><?xml version="1.0" encoding="utf-8" standalone="yes" ?>
<Relationships xmlns="http://schemas.openxmlformats.org/package/2006/relationships">
<Relationship Id="rId103" Type="http://schemas.openxmlformats.org/officeDocument/2006/relationships/chart" Target="/xl/charts/chart98.xml" />
</Relationships>
</file>

<file path=xl/drawings/_rels/drawing79.xml.rels><?xml version="1.0" encoding="utf-8" standalone="yes" ?>
<Relationships xmlns="http://schemas.openxmlformats.org/package/2006/relationships">
<Relationship Id="rId100" Type="http://schemas.openxmlformats.org/officeDocument/2006/relationships/chart" Target="/xl/charts/chart95.xml" />
</Relationships>
</file>

<file path=xl/drawings/_rels/drawing82.xml.rels><?xml version="1.0" encoding="utf-8" standalone="yes" ?>
<Relationships xmlns="http://schemas.openxmlformats.org/package/2006/relationships">
<Relationship Id="rId104" Type="http://schemas.openxmlformats.org/officeDocument/2006/relationships/chart" Target="/xl/charts/chart99.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7"/>
        </a:graphicData>
      </a:graphic>
    </xdr:graphicFrame>
    <xdr:clientData/>
  </xdr:oneCellAnchor>
</xdr:wsDr>
</file>

<file path=xl/drawings/drawing3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1"/>
        </a:graphicData>
      </a:graphic>
    </xdr:graphicFrame>
    <xdr:clientData/>
  </xdr:oneCellAnchor>
</xdr:wsDr>
</file>

<file path=xl/drawings/drawing6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8"/>
        </a:graphicData>
      </a:graphic>
    </xdr:graphicFrame>
    <xdr:clientData/>
  </xdr:oneCellAnchor>
</xdr:wsDr>
</file>

<file path=xl/drawings/drawing6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2"/>
        </a:graphicData>
      </a:graphic>
    </xdr:graphicFrame>
    <xdr:clientData/>
  </xdr:oneCellAnchor>
</xdr:wsDr>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9"/>
        </a:graphicData>
      </a:graphic>
    </xdr:graphicFrame>
    <xdr:clientData/>
  </xdr:oneCellAnchor>
</xdr:wsDr>
</file>

<file path=xl/drawings/drawing7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3"/>
        </a:graphicData>
      </a:graphic>
    </xdr:graphicFrame>
    <xdr:clientData/>
  </xdr:oneCellAnchor>
</xdr:wsDr>
</file>

<file path=xl/drawings/drawing7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0"/>
        </a:graphicData>
      </a:graphic>
    </xdr:graphicFrame>
    <xdr:clientData/>
  </xdr:oneCellAnchor>
</xdr:wsDr>
</file>

<file path=xl/drawings/drawing8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4"/>
        </a:graphicData>
      </a:graphic>
    </xdr:graphicFrame>
    <xdr:clientData/>
  </xdr:oneCellAnchor>
</xdr:wsDr>
</file>

<file path=xl/drawings/drawing8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9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105" Type="http://schemas.openxmlformats.org/officeDocument/2006/relationships/hyperlink" Target="http://www.strglobal.com/" TargetMode="External" />
<Relationship Id="rId106"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70" Type="http://schemas.openxmlformats.org/officeDocument/2006/relationships/drawing" Target="../drawings/drawing65.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77" Type="http://schemas.openxmlformats.org/officeDocument/2006/relationships/drawing" Target="../drawings/drawing7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84" Type="http://schemas.openxmlformats.org/officeDocument/2006/relationships/drawing" Target="../drawings/drawing79.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107" Type="http://schemas.openxmlformats.org/officeDocument/2006/relationships/hyperlink" Target="http://www.str.com/data-insights/resources/glossary" TargetMode="External" />
<Relationship Id="rId108" Type="http://schemas.openxmlformats.org/officeDocument/2006/relationships/hyperlink" Target="http://www.hotelnewsnow.com/" TargetMode="External" />
<Relationship Id="rId109" Type="http://schemas.openxmlformats.org/officeDocument/2006/relationships/hyperlink" Target="http://www.hoteldataconference.com/" TargetMode="External" />
<Relationship Id="rId110" Type="http://schemas.openxmlformats.org/officeDocument/2006/relationships/hyperlink" Target="http://www.str.com/data-insights/resources/FAQ" TargetMode="External" />
<Relationship Id="rId111"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2.bin" />
<Relationship Id="rId22" Type="http://schemas.openxmlformats.org/officeDocument/2006/relationships/drawing" Target="../drawings/drawing23.xml" />
</Relationships>
</file>

<file path=xl/worksheets/_rels/sheet25.xml.rels><?xml version="1.0" encoding="utf-8" standalone="yes" ?>
<Relationships xmlns="http://schemas.openxmlformats.org/package/2006/relationships">
<Relationship Id="rId1" Type="http://schemas.openxmlformats.org/officeDocument/2006/relationships/printerSettings" Target="../printerSettings/printerSettings26.bin" />
<Relationship Id="rId29" Type="http://schemas.openxmlformats.org/officeDocument/2006/relationships/drawing" Target="../drawings/drawing27.xml" />
</Relationships>
</file>

<file path=xl/worksheets/_rels/sheet29.xml.rels><?xml version="1.0" encoding="utf-8" standalone="yes" ?>
<Relationships xmlns="http://schemas.openxmlformats.org/package/2006/relationships">
<Relationship Id="rId1" Type="http://schemas.openxmlformats.org/officeDocument/2006/relationships/printerSettings" Target="../printerSettings/printerSettings30.bin" />
<Relationship Id="rId33" Type="http://schemas.openxmlformats.org/officeDocument/2006/relationships/drawing" Target="../drawings/drawing31.xml" />
</Relationships>
</file>

<file path=xl/worksheets/_rels/sheet33.xml.rels><?xml version="1.0" encoding="utf-8" standalone="yes" ?>
<Relationships xmlns="http://schemas.openxmlformats.org/package/2006/relationships">
<Relationship Id="rId1" Type="http://schemas.openxmlformats.org/officeDocument/2006/relationships/printerSettings" Target="../printerSettings/printerSettings34.bin" />
<Relationship Id="rId37" Type="http://schemas.openxmlformats.org/officeDocument/2006/relationships/drawing" Target="../drawings/drawing35.xml" />
</Relationships>
</file>

<file path=xl/worksheets/_rels/sheet37.xml.rels><?xml version="1.0" encoding="utf-8" standalone="yes" ?>
<Relationships xmlns="http://schemas.openxmlformats.org/package/2006/relationships">
<Relationship Id="rId1" Type="http://schemas.openxmlformats.org/officeDocument/2006/relationships/printerSettings" Target="../printerSettings/printerSettings38.bin" />
<Relationship Id="rId41" Type="http://schemas.openxmlformats.org/officeDocument/2006/relationships/drawing" Target="../drawings/drawing39.xml" />
</Relationships>
</file>

<file path=xl/worksheets/_rels/sheet41.xml.rels><?xml version="1.0" encoding="utf-8" standalone="yes" ?>
<Relationships xmlns="http://schemas.openxmlformats.org/package/2006/relationships">
<Relationship Id="rId1" Type="http://schemas.openxmlformats.org/officeDocument/2006/relationships/printerSettings" Target="../printerSettings/printerSettings42.bin" />
<Relationship Id="rId45" Type="http://schemas.openxmlformats.org/officeDocument/2006/relationships/drawing" Target="../drawings/drawing43.xml" />
</Relationships>
</file>

<file path=xl/worksheets/_rels/sheet45.xml.rels><?xml version="1.0" encoding="utf-8" standalone="yes" ?>
<Relationships xmlns="http://schemas.openxmlformats.org/package/2006/relationships">
<Relationship Id="rId1" Type="http://schemas.openxmlformats.org/officeDocument/2006/relationships/printerSettings" Target="../printerSettings/printerSettings46.bin" />
<Relationship Id="rId49" Type="http://schemas.openxmlformats.org/officeDocument/2006/relationships/drawing" Target="../drawings/drawing47.xml" />
</Relationships>
</file>

<file path=xl/worksheets/_rels/sheet49.xml.rels><?xml version="1.0" encoding="utf-8" standalone="yes" ?>
<Relationships xmlns="http://schemas.openxmlformats.org/package/2006/relationships">
<Relationship Id="rId1" Type="http://schemas.openxmlformats.org/officeDocument/2006/relationships/printerSettings" Target="../printerSettings/printerSettings50.bin" />
<Relationship Id="rId53" Type="http://schemas.openxmlformats.org/officeDocument/2006/relationships/drawing" Target="../drawings/drawing51.xml" />
</Relationships>
</file>

<file path=xl/worksheets/_rels/sheet53.xml.rels><?xml version="1.0" encoding="utf-8" standalone="yes" ?>
<Relationships xmlns="http://schemas.openxmlformats.org/package/2006/relationships">
<Relationship Id="rId1" Type="http://schemas.openxmlformats.org/officeDocument/2006/relationships/printerSettings" Target="../printerSettings/printerSettings54.bin" />
<Relationship Id="rId57" Type="http://schemas.openxmlformats.org/officeDocument/2006/relationships/drawing" Target="../drawings/drawing55.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2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33"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37" Type="http://schemas.openxmlformats.org/officeDocument/2006/relationships/drawing" Target="../drawings/drawing64.xml" />
</Relationships>
</file>

<file path=xl/worksheets/_rels/sheet66.xml.rels><?xml version="1.0" encoding="utf-8" standalone="yes" ?>
<Relationships xmlns="http://schemas.openxmlformats.org/package/2006/relationships">
<Relationship Id="rId1" Type="http://schemas.openxmlformats.org/officeDocument/2006/relationships/printerSettings" Target="../printerSettings/printerSettings67.bin" />
<Relationship Id="rId70" Type="http://schemas.openxmlformats.org/officeDocument/2006/relationships/drawing" Target="../drawings/drawing68.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41" Type="http://schemas.openxmlformats.org/officeDocument/2006/relationships/drawing" Target="../drawings/drawing71.xml" />
</Relationships>
</file>

<file path=xl/worksheets/_rels/sheet73.xml.rels><?xml version="1.0" encoding="utf-8" standalone="yes" ?>
<Relationships xmlns="http://schemas.openxmlformats.org/package/2006/relationships">
<Relationship Id="rId1" Type="http://schemas.openxmlformats.org/officeDocument/2006/relationships/printerSettings" Target="../printerSettings/printerSettings74.bin" />
<Relationship Id="rId77" Type="http://schemas.openxmlformats.org/officeDocument/2006/relationships/drawing" Target="../drawings/drawing75.xml" />
</Relationships>
</file>

<file path=xl/worksheets/_rels/sheet76.xml.rels><?xml version="1.0" encoding="utf-8" standalone="yes" ?>
<Relationships xmlns="http://schemas.openxmlformats.org/package/2006/relationships">
<Relationship Id="rId1" Type="http://schemas.openxmlformats.org/officeDocument/2006/relationships/printerSettings" Target="../printerSettings/printerSettings77.bin" />
<Relationship Id="rId45" Type="http://schemas.openxmlformats.org/officeDocument/2006/relationships/drawing" Target="../drawings/drawing78.xml" />
</Relationships>
</file>

<file path=xl/worksheets/_rels/sheet80.xml.rels><?xml version="1.0" encoding="utf-8" standalone="yes" ?>
<Relationships xmlns="http://schemas.openxmlformats.org/package/2006/relationships">
<Relationship Id="rId1" Type="http://schemas.openxmlformats.org/officeDocument/2006/relationships/printerSettings" Target="../printerSettings/printerSettings81.bin" />
<Relationship Id="rId84" Type="http://schemas.openxmlformats.org/officeDocument/2006/relationships/drawing" Target="../drawings/drawing82.xml" />
</Relationships>
</file>

<file path=xl/worksheets/_rels/sheet83.xml.rels><?xml version="1.0" encoding="utf-8" standalone="yes" ?>
<Relationships xmlns="http://schemas.openxmlformats.org/package/2006/relationships">
<Relationship Id="rId1" Type="http://schemas.openxmlformats.org/officeDocument/2006/relationships/printerSettings" Target="../printerSettings/printerSettings84.bin" />
<Relationship Id="rId49" Type="http://schemas.openxmlformats.org/officeDocument/2006/relationships/drawing" Target="../drawings/drawing85.xml" />
</Relationships>
</file>

<file path=xl/worksheets/_rels/sheet86.xml.rels><?xml version="1.0" encoding="utf-8" standalone="yes" ?>
<Relationships xmlns="http://schemas.openxmlformats.org/package/2006/relationships">
<Relationship Id="rId1" Type="http://schemas.openxmlformats.org/officeDocument/2006/relationships/printerSettings" Target="../printerSettings/printerSettings87.bin" />
<Relationship Id="rId53" Type="http://schemas.openxmlformats.org/officeDocument/2006/relationships/drawing" Target="../drawings/drawing88.xml" />
</Relationships>
</file>

<file path=xl/worksheets/_rels/sheet89.xml.rels><?xml version="1.0" encoding="utf-8" standalone="yes" ?>
<Relationships xmlns="http://schemas.openxmlformats.org/package/2006/relationships">
<Relationship Id="rId1" Type="http://schemas.openxmlformats.org/officeDocument/2006/relationships/printerSettings" Target="../printerSettings/printerSettings90.bin" />
<Relationship Id="rId57" Type="http://schemas.openxmlformats.org/officeDocument/2006/relationships/drawing" Target="../drawings/drawing91.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164</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163</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165</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166</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t="str">
        <f>HYPERLINK("#'Response'!A1", "Response Report")</f>
      </c>
      <c r="F7" s="421" t="str">
        <f>HYPERLINK("#'Response'!A1", "14")</f>
      </c>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HYPERLINK("#'SummaryComb'!A1", "Combined Summary")</f>
      </c>
      <c r="C8" s="421" t="str">
        <f>HYPERLINK("#'SummaryComb'!A1", "2")</f>
      </c>
      <c r="D8" s="430"/>
      <c r="E8" s="430" t="str">
        <f>HYPERLINK("#'Glance_2'!A1", "Weekly Performance at a Glance - 2nd Comp")</f>
      </c>
      <c r="F8" s="421" t="str">
        <f>HYPERLINK("#'Glance_2'!A1", "15")</f>
      </c>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HYPERLINK("#'SummaryComb 28Day'!A1", "28 Day Combined Summary")</f>
      </c>
      <c r="C9" s="421" t="str">
        <f>HYPERLINK("#'SummaryComb 28Day'!A1", "3")</f>
      </c>
      <c r="D9" s="430"/>
      <c r="E9" s="430" t="str">
        <f>HYPERLINK("#'Segmentation Glance_2'!A1", "Segmentation at a Glance - 2nd Comp")</f>
      </c>
      <c r="F9" s="421" t="str">
        <f>HYPERLINK("#'Segmentation Glance_2'!A1", "16")</f>
      </c>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HYPERLINK("#'Glance'!A1", "Weekly Performance at a Glance")</f>
      </c>
      <c r="C10" s="421" t="str">
        <f>HYPERLINK("#'Glance'!A1", "4")</f>
      </c>
      <c r="D10" s="430"/>
      <c r="E10" s="430" t="str">
        <f>HYPERLINK("#'Daily by Month_2'!A1", "Daily Data for the Month - 2nd Comp")</f>
      </c>
      <c r="F10" s="421" t="str">
        <f>HYPERLINK("#'Daily by Month_2'!A1", "17")</f>
      </c>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HYPERLINK("#'Segmentation Glance'!A1", "Segmentation at a Glance")</f>
      </c>
      <c r="C11" s="421" t="str">
        <f>HYPERLINK("#'Segmentation Glance'!A1", "5")</f>
      </c>
      <c r="D11" s="430"/>
      <c r="E11" s="430" t="str">
        <f>HYPERLINK("#'Occ_2'!A1", "Occupancy Perspectives - 2nd Comp")</f>
      </c>
      <c r="F11" s="421" t="str">
        <f>HYPERLINK("#'Occ_2'!A1", "18")</f>
      </c>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HYPERLINK("#'Daily by Month'!A1", "Daily Data for the Month")</f>
      </c>
      <c r="C12" s="421" t="str">
        <f>HYPERLINK("#'Daily by Month'!A1", "6")</f>
      </c>
      <c r="D12" s="430"/>
      <c r="E12" s="430" t="str">
        <f>HYPERLINK("#'Segmentation Occ_2'!A1", "Segmentation Occupancy Analysis - 2nd Comp")</f>
      </c>
      <c r="F12" s="421" t="str">
        <f>HYPERLINK("#'Segmentation Occ_2'!A1", "19")</f>
      </c>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HYPERLINK("#'Occ'!A1", "Occupancy Perspectives")</f>
      </c>
      <c r="C13" s="421" t="str">
        <f>HYPERLINK("#'Occ'!A1", "7")</f>
      </c>
      <c r="D13" s="430"/>
      <c r="E13" s="430" t="str">
        <f>HYPERLINK("#'ADR_2'!A1", "ADR Perspectives - 2nd Comp")</f>
      </c>
      <c r="F13" s="421" t="str">
        <f>HYPERLINK("#'ADR_2'!A1", "20")</f>
      </c>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Occ'!A1", "Segmentation Occupancy Analysis")</f>
      </c>
      <c r="C14" s="421" t="str">
        <f>HYPERLINK("#'Segmentation Occ'!A1", "8")</f>
      </c>
      <c r="D14" s="430"/>
      <c r="E14" s="430" t="str">
        <f>HYPERLINK("#'Segmentation ADR_2'!A1", "Segmentation ADR Analysis - 2nd Comp")</f>
      </c>
      <c r="F14" s="421" t="str">
        <f>HYPERLINK("#'Segmentation ADR_2'!A1", "21")</f>
      </c>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HYPERLINK("#'ADR'!A1", "ADR Perspectives")</f>
      </c>
      <c r="C15" s="421" t="str">
        <f>HYPERLINK("#'ADR'!A1", "9")</f>
      </c>
      <c r="D15" s="430"/>
      <c r="E15" s="430" t="str">
        <f>HYPERLINK("#'RevPAR_2'!A1", "RevPAR Perspectives - 2nd Comp")</f>
      </c>
      <c r="F15" s="421" t="str">
        <f>HYPERLINK("#'RevPAR_2'!A1", "22")</f>
      </c>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ADR'!A1", "Segmentation ADR Analysis")</f>
      </c>
      <c r="C16" s="421" t="str">
        <f>HYPERLINK("#'Segmentation ADR'!A1", "10")</f>
      </c>
      <c r="D16" s="430"/>
      <c r="E16" s="430" t="str">
        <f>HYPERLINK("#'Segmentation RevPAR_2'!A1", "Segmentation RevPAR Analysis - 2nd Comp")</f>
      </c>
      <c r="F16" s="421" t="str">
        <f>HYPERLINK("#'Segmentation RevPAR_2'!A1", "23")</f>
      </c>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HYPERLINK("#'RevPAR'!A1", "RevPAR Perspectives")</f>
      </c>
      <c r="C17" s="421" t="str">
        <f>HYPERLINK("#'RevPAR'!A1", "11")</f>
      </c>
      <c r="D17" s="430"/>
      <c r="E17" s="430" t="str">
        <f>HYPERLINK("#'Additional Revenue_2'!A1", "Additional Revenue - 2nd Comp")</f>
      </c>
      <c r="F17" s="421" t="str">
        <f>HYPERLINK("#'Additional Revenue_2'!A1", "24")</f>
      </c>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HYPERLINK("#'Segmentation RevPAR'!A1", "Segmentation RevPAR Analysis")</f>
      </c>
      <c r="C18" s="421" t="str">
        <f>HYPERLINK("#'Segmentation RevPAR'!A1", "12")</f>
      </c>
      <c r="D18" s="430"/>
      <c r="E18" s="430" t="str">
        <f>HYPERLINK("#'Response_2'!A1", "Response Report - 2nd Comp")</f>
      </c>
      <c r="F18" s="421" t="str">
        <f>HYPERLINK("#'Response_2'!A1", "25")</f>
      </c>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HYPERLINK("#'Additional Revenue'!A1", "Additional Revenue")</f>
      </c>
      <c r="C19" s="421" t="str">
        <f>HYPERLINK("#'Additional Revenue'!A1", "13")</f>
      </c>
      <c r="D19" s="430"/>
      <c r="E19" s="430" t="str">
        <f>HYPERLINK("#'Help'!A1", "Help")</f>
      </c>
      <c r="F19" s="421" t="str">
        <f>HYPERLINK("#'Help'!A1", "26")</f>
      </c>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105" display="www.strglobal.com"/>
    <hyperlink ref="M8" r:id="rId106"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125</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177</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178</v>
      </c>
      <c r="R4" s="618" t="s">
        <v>180</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275" t="s">
        <v>182</v>
      </c>
      <c r="D24" s="276"/>
      <c r="E24" s="276"/>
      <c r="F24" s="276"/>
      <c r="G24" s="276"/>
      <c r="H24" s="276"/>
      <c r="I24" s="276"/>
      <c r="J24" s="276"/>
      <c r="K24" s="276"/>
      <c r="L24" s="658" t="s">
        <v>179</v>
      </c>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22</v>
      </c>
      <c r="D25" s="42">
        <v>23</v>
      </c>
      <c r="E25" s="42">
        <v>24</v>
      </c>
      <c r="F25" s="42">
        <v>25</v>
      </c>
      <c r="G25" s="42">
        <v>26</v>
      </c>
      <c r="H25" s="42">
        <v>27</v>
      </c>
      <c r="I25" s="42">
        <v>28</v>
      </c>
      <c r="J25" s="42">
        <v>29</v>
      </c>
      <c r="K25" s="42">
        <v>30</v>
      </c>
      <c r="L25" s="659">
        <v>1</v>
      </c>
      <c r="M25" s="42">
        <v>2</v>
      </c>
      <c r="N25" s="42">
        <v>3</v>
      </c>
      <c r="O25" s="42">
        <v>4</v>
      </c>
      <c r="P25" s="42">
        <v>5</v>
      </c>
      <c r="Q25" s="42">
        <v>6</v>
      </c>
      <c r="R25" s="42">
        <v>7</v>
      </c>
      <c r="S25" s="42">
        <v>8</v>
      </c>
      <c r="T25" s="42">
        <v>9</v>
      </c>
      <c r="U25" s="42">
        <v>10</v>
      </c>
      <c r="V25" s="42">
        <v>11</v>
      </c>
      <c r="W25" s="42">
        <v>12</v>
      </c>
      <c r="X25" s="323">
        <v>13</v>
      </c>
      <c r="Y25" s="42">
        <v>14</v>
      </c>
      <c r="Z25" s="42">
        <v>15</v>
      </c>
      <c r="AA25" s="42">
        <v>16</v>
      </c>
      <c r="AB25" s="42">
        <v>17</v>
      </c>
      <c r="AC25" s="42">
        <v>18</v>
      </c>
      <c r="AD25" s="337">
        <v>19</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44">
        <v>64.393939393939393939393939390</v>
      </c>
      <c r="D26" s="445">
        <v>59.090909090909090909090909090</v>
      </c>
      <c r="E26" s="445">
        <v>59.090909090909090909090909090</v>
      </c>
      <c r="F26" s="445">
        <v>78.787878787878787878787878790</v>
      </c>
      <c r="G26" s="445">
        <v>91.66666666666666666666666667</v>
      </c>
      <c r="H26" s="445">
        <v>90.90909090909090909090909091</v>
      </c>
      <c r="I26" s="445">
        <v>93.18181818181818181818181818</v>
      </c>
      <c r="J26" s="445">
        <v>80.30303030303030303030303030</v>
      </c>
      <c r="K26" s="445">
        <v>78.030303030303030303030303030</v>
      </c>
      <c r="L26" s="660">
        <v>73.484848484848484848484848480</v>
      </c>
      <c r="M26" s="445">
        <v>86.36363636363636363636363636</v>
      </c>
      <c r="N26" s="445">
        <v>93.18181818181818181818181818</v>
      </c>
      <c r="O26" s="445">
        <v>95.45454545454545454545454545</v>
      </c>
      <c r="P26" s="445">
        <v>88.63636363636363636363636364</v>
      </c>
      <c r="Q26" s="445">
        <v>81.81818181818181818181818182</v>
      </c>
      <c r="R26" s="445">
        <v>65.151515151515151515151515150</v>
      </c>
      <c r="S26" s="445">
        <v>62.121212121212121212121212120</v>
      </c>
      <c r="T26" s="445">
        <v>77.272727272727272727272727270</v>
      </c>
      <c r="U26" s="445">
        <v>87.12121212121212121212121212</v>
      </c>
      <c r="V26" s="445">
        <v>90.15151515151515151515151515</v>
      </c>
      <c r="W26" s="445">
        <v>96.21212121212121212121212121</v>
      </c>
      <c r="X26" s="446">
        <v>81.06060606060606060606060606</v>
      </c>
      <c r="Y26" s="445">
        <v>73.484848484848484848484848480</v>
      </c>
      <c r="Z26" s="445">
        <v>67.424242424242424242424242420</v>
      </c>
      <c r="AA26" s="445">
        <v>74.242424242424242424242424240</v>
      </c>
      <c r="AB26" s="445">
        <v>90.15151515151515151515151515</v>
      </c>
      <c r="AC26" s="445">
        <v>89.39393939393939393939393939</v>
      </c>
      <c r="AD26" s="447">
        <v>96.21212121212121212121212121</v>
      </c>
      <c r="AE26" s="448"/>
      <c r="AF26" s="444">
        <v>81.70995670995670995670995671</v>
      </c>
      <c r="AG26" s="445">
        <v>80.87121212121212121212121212</v>
      </c>
      <c r="AH26" s="449">
        <v>82.57575757575757575757575758</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82.55813953488372093023255814</v>
      </c>
      <c r="D27" s="81">
        <v>73.255813953488372093023255810</v>
      </c>
      <c r="E27" s="81">
        <v>63.081395348837209302325581400</v>
      </c>
      <c r="F27" s="81">
        <v>64.244186046511627906976744190</v>
      </c>
      <c r="G27" s="81">
        <v>69.186046511627906976744186050</v>
      </c>
      <c r="H27" s="81">
        <v>75.290697674418604651162790700</v>
      </c>
      <c r="I27" s="81">
        <v>81.97674418604651162790697674</v>
      </c>
      <c r="J27" s="81">
        <v>63.662790697674418604651162790</v>
      </c>
      <c r="K27" s="81">
        <v>56.104651162790697674418604650</v>
      </c>
      <c r="L27" s="661">
        <v>64.244186046511627906976744190</v>
      </c>
      <c r="M27" s="81">
        <v>60.465116279069767441860465120</v>
      </c>
      <c r="N27" s="81">
        <v>76.162790697674418604651162790</v>
      </c>
      <c r="O27" s="81">
        <v>88.95348837209302325581395349</v>
      </c>
      <c r="P27" s="81">
        <v>86.91860465116279069767441860</v>
      </c>
      <c r="Q27" s="81">
        <v>67.441860465116279069767441860</v>
      </c>
      <c r="R27" s="81">
        <v>57.267441860465116279069767440</v>
      </c>
      <c r="S27" s="81">
        <v>58.720930232558139534883720930</v>
      </c>
      <c r="T27" s="81">
        <v>62.790697674418604651162790700</v>
      </c>
      <c r="U27" s="81">
        <v>72.674418604651162790697674420</v>
      </c>
      <c r="V27" s="81">
        <v>88.66279069767441860465116279</v>
      </c>
      <c r="W27" s="81">
        <v>89.82558139534883720930232558</v>
      </c>
      <c r="X27" s="82">
        <v>59.883720930232558139534883720</v>
      </c>
      <c r="Y27" s="81">
        <v>54.651162790697674418604651160</v>
      </c>
      <c r="Z27" s="81">
        <v>56.686046511627906976744186050</v>
      </c>
      <c r="AA27" s="81">
        <v>60.465116279069767441860465120</v>
      </c>
      <c r="AB27" s="81">
        <v>65.697674418604651162790697670</v>
      </c>
      <c r="AC27" s="81">
        <v>89.53488372093023255813953488</v>
      </c>
      <c r="AD27" s="83">
        <v>89.82558139534883720930232558</v>
      </c>
      <c r="AE27" s="88"/>
      <c r="AF27" s="327">
        <v>68.106312292358803986710963460</v>
      </c>
      <c r="AG27" s="81">
        <v>70.722591362126245847176079730</v>
      </c>
      <c r="AH27" s="328">
        <v>71.098531211750305997552019580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181</v>
      </c>
      <c r="C28" s="450">
        <v>77.249134948096885813148788930</v>
      </c>
      <c r="D28" s="451">
        <v>73.626730103806228373702422150</v>
      </c>
      <c r="E28" s="451">
        <v>72.123702422145328719723183390</v>
      </c>
      <c r="F28" s="451">
        <v>70.815311418685121107266435990</v>
      </c>
      <c r="G28" s="451">
        <v>73.269896193771626297577854670</v>
      </c>
      <c r="H28" s="451">
        <v>81.77984429065743944636678201</v>
      </c>
      <c r="I28" s="451">
        <v>84.29930795847750865051903114</v>
      </c>
      <c r="J28" s="451">
        <v>63.256920415224913494809688580</v>
      </c>
      <c r="K28" s="451">
        <v>53.817041522491349480968858130</v>
      </c>
      <c r="L28" s="662">
        <v>54.080737165423431329530495830</v>
      </c>
      <c r="M28" s="451">
        <v>52.676612549363756033347959630</v>
      </c>
      <c r="N28" s="451">
        <v>64.381307591048705572619569990</v>
      </c>
      <c r="O28" s="451">
        <v>78.565160157964019306713470820</v>
      </c>
      <c r="P28" s="451">
        <v>77.632733655111891180342255380</v>
      </c>
      <c r="Q28" s="451">
        <v>59.982448442299254058797718300</v>
      </c>
      <c r="R28" s="451">
        <v>54.354980254497586660816147430</v>
      </c>
      <c r="S28" s="451">
        <v>59.115840280824923211935059240</v>
      </c>
      <c r="T28" s="451">
        <v>62.494515138218516893374286970</v>
      </c>
      <c r="U28" s="451">
        <v>71.654234313295304958315050460</v>
      </c>
      <c r="V28" s="451">
        <v>88.47082053532250987275120667</v>
      </c>
      <c r="W28" s="451">
        <v>89.83106625713032031592803861</v>
      </c>
      <c r="X28" s="452">
        <v>62.746818780166739798157086440</v>
      </c>
      <c r="Y28" s="451">
        <v>61.474330846862659060991663010</v>
      </c>
      <c r="Z28" s="451">
        <v>64.458095655989469065379552440</v>
      </c>
      <c r="AA28" s="451">
        <v>71.336112329969284774023694600</v>
      </c>
      <c r="AB28" s="451">
        <v>78.455462922334357174199210180</v>
      </c>
      <c r="AC28" s="451">
        <v>80.89074155331285651601579640</v>
      </c>
      <c r="AD28" s="453">
        <v>87.51645458534444931987713910</v>
      </c>
      <c r="AE28" s="448"/>
      <c r="AF28" s="450">
        <v>72.411145239139973672663448880</v>
      </c>
      <c r="AG28" s="451">
        <v>70.378573991171286402845154350</v>
      </c>
      <c r="AH28" s="454">
        <v>69.479919632341054479111336920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275" t="s">
        <v>182</v>
      </c>
      <c r="D31" s="276"/>
      <c r="E31" s="276"/>
      <c r="F31" s="276"/>
      <c r="G31" s="276"/>
      <c r="H31" s="276"/>
      <c r="I31" s="276"/>
      <c r="J31" s="276"/>
      <c r="K31" s="276"/>
      <c r="L31" s="658" t="s">
        <v>179</v>
      </c>
      <c r="M31" s="276"/>
      <c r="N31" s="276"/>
      <c r="O31" s="276"/>
      <c r="P31" s="276"/>
      <c r="Q31" s="276"/>
      <c r="R31" s="276"/>
      <c r="S31" s="277"/>
      <c r="T31" s="277"/>
      <c r="U31" s="277"/>
      <c r="V31" s="277"/>
      <c r="W31" s="277"/>
      <c r="X31" s="312"/>
      <c r="Y31" s="277"/>
      <c r="Z31" s="277"/>
      <c r="AA31" s="277"/>
      <c r="AB31" s="277"/>
      <c r="AC31" s="277"/>
      <c r="AD31" s="336"/>
      <c r="AE31" s="25"/>
      <c r="AF31" s="316" t="s">
        <v>58</v>
      </c>
      <c r="AG31" s="317" t="s">
        <v>59</v>
      </c>
      <c r="AH31" s="318" t="s">
        <v>59</v>
      </c>
      <c r="AI31" s="25"/>
      <c r="AJ31" s="248"/>
      <c r="AK31" s="248"/>
      <c r="AL31" s="248"/>
      <c r="AM31" s="248"/>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row>
    <row r="32" s="42" customFormat="1">
      <c r="C32" s="284">
        <v>22</v>
      </c>
      <c r="D32" s="42">
        <v>23</v>
      </c>
      <c r="E32" s="42">
        <v>24</v>
      </c>
      <c r="F32" s="42">
        <v>25</v>
      </c>
      <c r="G32" s="42">
        <v>26</v>
      </c>
      <c r="H32" s="42">
        <v>27</v>
      </c>
      <c r="I32" s="42">
        <v>28</v>
      </c>
      <c r="J32" s="42">
        <v>29</v>
      </c>
      <c r="K32" s="42">
        <v>30</v>
      </c>
      <c r="L32" s="659">
        <v>1</v>
      </c>
      <c r="M32" s="42">
        <v>2</v>
      </c>
      <c r="N32" s="42">
        <v>3</v>
      </c>
      <c r="O32" s="42">
        <v>4</v>
      </c>
      <c r="P32" s="42">
        <v>5</v>
      </c>
      <c r="Q32" s="42">
        <v>6</v>
      </c>
      <c r="R32" s="42">
        <v>7</v>
      </c>
      <c r="S32" s="42">
        <v>8</v>
      </c>
      <c r="T32" s="42">
        <v>9</v>
      </c>
      <c r="U32" s="42">
        <v>10</v>
      </c>
      <c r="V32" s="42">
        <v>11</v>
      </c>
      <c r="W32" s="42">
        <v>12</v>
      </c>
      <c r="X32" s="323">
        <v>13</v>
      </c>
      <c r="Y32" s="42">
        <v>14</v>
      </c>
      <c r="Z32" s="42">
        <v>15</v>
      </c>
      <c r="AA32" s="42">
        <v>16</v>
      </c>
      <c r="AB32" s="42">
        <v>17</v>
      </c>
      <c r="AC32" s="42">
        <v>18</v>
      </c>
      <c r="AD32" s="337">
        <v>19</v>
      </c>
      <c r="AE32" s="25"/>
      <c r="AF32" s="324" t="s">
        <v>60</v>
      </c>
      <c r="AG32" s="325">
        <v>28</v>
      </c>
      <c r="AH32" s="326" t="s">
        <v>31</v>
      </c>
      <c r="AI32" s="25"/>
      <c r="AJ32" s="248"/>
      <c r="AK32" s="248"/>
      <c r="AL32" s="248"/>
      <c r="AM32" s="248"/>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row>
    <row r="33" ht="14.25" customHeight="1">
      <c r="B33" s="46" t="s">
        <v>32</v>
      </c>
      <c r="C33" s="444">
        <v>-15.841584158469169689246118550</v>
      </c>
      <c r="D33" s="445">
        <v>-19.587628865926325858220817370</v>
      </c>
      <c r="E33" s="445">
        <v>-6.0240963855602845115401329600</v>
      </c>
      <c r="F33" s="445">
        <v>60.000000000078769230769269550</v>
      </c>
      <c r="G33" s="445">
        <v>37.499999999931250000000034380</v>
      </c>
      <c r="H33" s="445">
        <v>14.285714285648979591836772010</v>
      </c>
      <c r="I33" s="445">
        <v>9.821428571408960459183676970</v>
      </c>
      <c r="J33" s="445">
        <v>19.101123595580558010352275400</v>
      </c>
      <c r="K33" s="445">
        <v>51.470588235151557093425739710</v>
      </c>
      <c r="L33" s="660">
        <v>19.753086419824051211705574740</v>
      </c>
      <c r="M33" s="445">
        <v>28.089887640530034086605277320</v>
      </c>
      <c r="N33" s="445">
        <v>7.8947368421506925207756423900</v>
      </c>
      <c r="O33" s="445">
        <v>5.8823529411942659416707889500</v>
      </c>
      <c r="P33" s="445">
        <v>-7.1428571428129251700680061500</v>
      </c>
      <c r="Q33" s="445">
        <v>18.681318681308247796159884990</v>
      </c>
      <c r="R33" s="445">
        <v>0.0000000000232558139534937800</v>
      </c>
      <c r="S33" s="445">
        <v>-1.2048192771274785890550115700</v>
      </c>
      <c r="T33" s="445">
        <v>32.467532467608163265306165700</v>
      </c>
      <c r="U33" s="445">
        <v>-1.7094017094420337497260408800</v>
      </c>
      <c r="V33" s="445">
        <v>0.8474576271630853203102752600</v>
      </c>
      <c r="W33" s="445">
        <v>1.599999999967488000000010400</v>
      </c>
      <c r="X33" s="446">
        <v>0.0000000000074766355140192500</v>
      </c>
      <c r="Y33" s="445">
        <v>21.249999999921187500000051220</v>
      </c>
      <c r="Z33" s="445">
        <v>18.666666666628693333333345480</v>
      </c>
      <c r="AA33" s="445">
        <v>5.3763440860894901144641437500</v>
      </c>
      <c r="AB33" s="445">
        <v>32.222222222257481481481490880</v>
      </c>
      <c r="AC33" s="445">
        <v>14.563106796120953907060043530</v>
      </c>
      <c r="AD33" s="447">
        <v>18.691588785055603109441873310</v>
      </c>
      <c r="AE33" s="448"/>
      <c r="AF33" s="444">
        <v>15.267175572593699667851572100</v>
      </c>
      <c r="AG33" s="445">
        <v>11.156563778400580080465022470</v>
      </c>
      <c r="AH33" s="449">
        <v>12.432138979301398776998560280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21.888412017230157122068959740</v>
      </c>
      <c r="D34" s="81">
        <v>18.309859154858480460226188320</v>
      </c>
      <c r="E34" s="81">
        <v>7.4257425741808450151946433700</v>
      </c>
      <c r="F34" s="81">
        <v>10.500000000039780000000014330</v>
      </c>
      <c r="G34" s="81">
        <v>-0.4184100417743386845467945300</v>
      </c>
      <c r="H34" s="81">
        <v>1.568627451040935024990424400</v>
      </c>
      <c r="I34" s="81">
        <v>11.904761904744142101284961240</v>
      </c>
      <c r="J34" s="81">
        <v>6.8292682927079405116002438100</v>
      </c>
      <c r="K34" s="81">
        <v>-5.3921568627525182622068429400</v>
      </c>
      <c r="L34" s="661">
        <v>8.866995073848722366473360120</v>
      </c>
      <c r="M34" s="81">
        <v>-17.786561264814335484072551550</v>
      </c>
      <c r="N34" s="81">
        <v>-13.531353135277003343898730880</v>
      </c>
      <c r="O34" s="81">
        <v>1.9999999999782400000000046400</v>
      </c>
      <c r="P34" s="81">
        <v>3.4602076124281079010069403100</v>
      </c>
      <c r="Q34" s="81">
        <v>0.0000000000241379310344885800</v>
      </c>
      <c r="R34" s="81">
        <v>1.0256410256907613412229041700</v>
      </c>
      <c r="S34" s="81">
        <v>9.189189189274179693206786390</v>
      </c>
      <c r="T34" s="81">
        <v>11.917098445577298719428712580</v>
      </c>
      <c r="U34" s="81">
        <v>13.636363636351239669421488960</v>
      </c>
      <c r="V34" s="81">
        <v>28.691983122380245331054498600</v>
      </c>
      <c r="W34" s="81">
        <v>14.869888475843263636489269490</v>
      </c>
      <c r="X34" s="82">
        <v>-22.264150943365718761124943530</v>
      </c>
      <c r="Y34" s="81">
        <v>-22.950819672088202096210672120</v>
      </c>
      <c r="Z34" s="81">
        <v>-18.410041840949563207926995520</v>
      </c>
      <c r="AA34" s="81">
        <v>-9.956709956713075092295871400</v>
      </c>
      <c r="AB34" s="81">
        <v>-8.870967741917845993756500230</v>
      </c>
      <c r="AC34" s="81">
        <v>13.235294117590441176470616540</v>
      </c>
      <c r="AD34" s="83">
        <v>20.703124999939648437500030170</v>
      </c>
      <c r="AE34" s="88"/>
      <c r="AF34" s="327">
        <v>-6.5527065527521315573737003800</v>
      </c>
      <c r="AG34" s="81">
        <v>2.6367334639292649185061582100</v>
      </c>
      <c r="AH34" s="328">
        <v>1.4185945001989443443028866200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181</v>
      </c>
      <c r="C35" s="450">
        <v>15.774886771500198830574223120</v>
      </c>
      <c r="D35" s="451">
        <v>18.208862840534767987307896930</v>
      </c>
      <c r="E35" s="451">
        <v>9.140371779546431193504305510</v>
      </c>
      <c r="F35" s="451">
        <v>3.8085570734486980737069543400</v>
      </c>
      <c r="G35" s="451">
        <v>2.9160403153341137072391266100</v>
      </c>
      <c r="H35" s="451">
        <v>2.6684276099684271787293801900</v>
      </c>
      <c r="I35" s="451">
        <v>2.8289189867852966340731450700</v>
      </c>
      <c r="J35" s="451">
        <v>2.1725168106542112752093953100</v>
      </c>
      <c r="K35" s="451">
        <v>6.7011644053313830882797815500</v>
      </c>
      <c r="L35" s="662">
        <v>2.9453454805795889092213927900</v>
      </c>
      <c r="M35" s="451">
        <v>-13.078553288506683853541448590</v>
      </c>
      <c r="N35" s="451">
        <v>-15.932358602269378608823257590</v>
      </c>
      <c r="O35" s="451">
        <v>-8.779468520163489335256370870</v>
      </c>
      <c r="P35" s="451">
        <v>-8.337370573624281182459467040</v>
      </c>
      <c r="Q35" s="451">
        <v>-7.981030532898272698967740690</v>
      </c>
      <c r="R35" s="451">
        <v>-15.825150480326489161271191950</v>
      </c>
      <c r="S35" s="451">
        <v>-5.1248230285392964884100524600</v>
      </c>
      <c r="T35" s="451">
        <v>-6.5731602823658084788978220200</v>
      </c>
      <c r="U35" s="451">
        <v>-9.606159955287913889326780520</v>
      </c>
      <c r="V35" s="451">
        <v>-0.8554480767613597293680489300</v>
      </c>
      <c r="W35" s="451">
        <v>2.2256427690401861506122285800</v>
      </c>
      <c r="X35" s="452">
        <v>-13.685617927761457647616856380</v>
      </c>
      <c r="Y35" s="451">
        <v>-10.011438283862002044568678990</v>
      </c>
      <c r="Z35" s="451">
        <v>-0.1467522744683913600521893700</v>
      </c>
      <c r="AA35" s="451">
        <v>-0.1189211875133908766096850500</v>
      </c>
      <c r="AB35" s="451">
        <v>3.2978792678812761349086483400</v>
      </c>
      <c r="AC35" s="451">
        <v>-1.7407793262505536499342099700</v>
      </c>
      <c r="AD35" s="453">
        <v>4.2531940492300340497155660100</v>
      </c>
      <c r="AE35" s="448"/>
      <c r="AF35" s="450">
        <v>-2.3739447271853273928305189800</v>
      </c>
      <c r="AG35" s="451">
        <v>-1.6544009090575364072764957900</v>
      </c>
      <c r="AH35" s="454">
        <v>-3.0445118577759555692316027500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275" t="s">
        <v>182</v>
      </c>
      <c r="D38" s="276"/>
      <c r="E38" s="276"/>
      <c r="F38" s="276"/>
      <c r="G38" s="276"/>
      <c r="H38" s="276"/>
      <c r="I38" s="276"/>
      <c r="J38" s="276"/>
      <c r="K38" s="276"/>
      <c r="L38" s="658" t="s">
        <v>179</v>
      </c>
      <c r="M38" s="276"/>
      <c r="N38" s="276"/>
      <c r="O38" s="276"/>
      <c r="P38" s="276"/>
      <c r="Q38" s="276"/>
      <c r="R38" s="276"/>
      <c r="S38" s="277"/>
      <c r="T38" s="277"/>
      <c r="U38" s="277"/>
      <c r="V38" s="277"/>
      <c r="W38" s="277"/>
      <c r="X38" s="312"/>
      <c r="Y38" s="277"/>
      <c r="Z38" s="277"/>
      <c r="AA38" s="277"/>
      <c r="AB38" s="277"/>
      <c r="AC38" s="277"/>
      <c r="AD38" s="336"/>
      <c r="AE38" s="25"/>
      <c r="AF38" s="316" t="s">
        <v>58</v>
      </c>
      <c r="AG38" s="317" t="s">
        <v>59</v>
      </c>
      <c r="AH38" s="318" t="s">
        <v>59</v>
      </c>
      <c r="AI38" s="25"/>
      <c r="AJ38" s="248"/>
      <c r="AK38" s="248"/>
      <c r="AL38" s="248"/>
      <c r="AM38" s="248"/>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row>
    <row r="39" s="42" customFormat="1">
      <c r="C39" s="279">
        <v>22</v>
      </c>
      <c r="D39" s="42">
        <v>23</v>
      </c>
      <c r="E39" s="42">
        <v>24</v>
      </c>
      <c r="F39" s="42">
        <v>25</v>
      </c>
      <c r="G39" s="42">
        <v>26</v>
      </c>
      <c r="H39" s="42">
        <v>27</v>
      </c>
      <c r="I39" s="42">
        <v>28</v>
      </c>
      <c r="J39" s="42">
        <v>29</v>
      </c>
      <c r="K39" s="42">
        <v>30</v>
      </c>
      <c r="L39" s="659">
        <v>1</v>
      </c>
      <c r="M39" s="42">
        <v>2</v>
      </c>
      <c r="N39" s="42">
        <v>3</v>
      </c>
      <c r="O39" s="42">
        <v>4</v>
      </c>
      <c r="P39" s="42">
        <v>5</v>
      </c>
      <c r="Q39" s="42">
        <v>6</v>
      </c>
      <c r="R39" s="42">
        <v>7</v>
      </c>
      <c r="S39" s="42">
        <v>8</v>
      </c>
      <c r="T39" s="42">
        <v>9</v>
      </c>
      <c r="U39" s="42">
        <v>10</v>
      </c>
      <c r="V39" s="42">
        <v>11</v>
      </c>
      <c r="W39" s="42">
        <v>12</v>
      </c>
      <c r="X39" s="323">
        <v>13</v>
      </c>
      <c r="Y39" s="42">
        <v>14</v>
      </c>
      <c r="Z39" s="42">
        <v>15</v>
      </c>
      <c r="AA39" s="42">
        <v>16</v>
      </c>
      <c r="AB39" s="42">
        <v>17</v>
      </c>
      <c r="AC39" s="42">
        <v>18</v>
      </c>
      <c r="AD39" s="337">
        <v>19</v>
      </c>
      <c r="AE39" s="25"/>
      <c r="AF39" s="324" t="s">
        <v>60</v>
      </c>
      <c r="AG39" s="325">
        <v>28</v>
      </c>
      <c r="AH39" s="326" t="s">
        <v>31</v>
      </c>
      <c r="AI39" s="25"/>
      <c r="AJ39" s="248"/>
      <c r="AK39" s="248"/>
      <c r="AL39" s="248"/>
      <c r="AM39" s="248"/>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row>
    <row r="40" ht="14.25" customHeight="1">
      <c r="A40" s="1"/>
      <c r="B40" s="46" t="s">
        <v>26</v>
      </c>
      <c r="C40" s="444">
        <v>77.998292787009801446321980990</v>
      </c>
      <c r="D40" s="445">
        <v>80.66378066376786000595524608</v>
      </c>
      <c r="E40" s="445">
        <v>93.67406786767150946273886949</v>
      </c>
      <c r="F40" s="445">
        <v>122.63814616758012921334721045</v>
      </c>
      <c r="G40" s="445">
        <v>132.49299719893299437422029791</v>
      </c>
      <c r="H40" s="445">
        <v>120.74412074415058050579286838</v>
      </c>
      <c r="I40" s="445">
        <v>113.66860090270794865815240683</v>
      </c>
      <c r="J40" s="445">
        <v>126.13809326133024698729335781</v>
      </c>
      <c r="K40" s="445">
        <v>139.07991835450669361064808305</v>
      </c>
      <c r="L40" s="660">
        <v>114.38365556014685128552576358</v>
      </c>
      <c r="M40" s="445">
        <v>142.83216783209641608391611962</v>
      </c>
      <c r="N40" s="445">
        <v>122.34559333791865699710232295</v>
      </c>
      <c r="O40" s="445">
        <v>107.30837789660477438747335007</v>
      </c>
      <c r="P40" s="445">
        <v>101.97628458493658175472922144</v>
      </c>
      <c r="Q40" s="445">
        <v>121.31661442009197924548698145</v>
      </c>
      <c r="R40" s="445">
        <v>113.76711275181502572427362136</v>
      </c>
      <c r="S40" s="445">
        <v>105.79057905783037551279885839</v>
      </c>
      <c r="T40" s="445">
        <v>123.06397306400952737249034625</v>
      </c>
      <c r="U40" s="445">
        <v>119.87878787870732024242429656</v>
      </c>
      <c r="V40" s="445">
        <v>101.67908594135168643163699103</v>
      </c>
      <c r="W40" s="445">
        <v>107.10993429445854834517294088</v>
      </c>
      <c r="X40" s="446">
        <v>135.36334215953225991653745679</v>
      </c>
      <c r="Y40" s="445">
        <v>134.46163765312129305732746227</v>
      </c>
      <c r="Z40" s="445">
        <v>118.94327894333749997011538355</v>
      </c>
      <c r="AA40" s="445">
        <v>122.78554778548639277389280459</v>
      </c>
      <c r="AB40" s="445">
        <v>137.22177527488233482131203243</v>
      </c>
      <c r="AC40" s="445">
        <v>99.84258166079719202481895473</v>
      </c>
      <c r="AD40" s="447">
        <v>107.10993429445854834517294088</v>
      </c>
      <c r="AE40" s="448"/>
      <c r="AF40" s="444">
        <v>119.97413155942484343734794287</v>
      </c>
      <c r="AG40" s="445">
        <v>114.34989946444571756620634673</v>
      </c>
      <c r="AH40" s="449">
        <v>116.14270529691721188825280061</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181</v>
      </c>
      <c r="C41" s="329">
        <v>83.35878380670877769061853574</v>
      </c>
      <c r="D41" s="330">
        <v>80.25741331660647686845984617</v>
      </c>
      <c r="E41" s="330">
        <v>81.92994411890115787901336745</v>
      </c>
      <c r="F41" s="330">
        <v>111.25825363111161077203143892</v>
      </c>
      <c r="G41" s="330">
        <v>125.10822510817666017571568445</v>
      </c>
      <c r="H41" s="330">
        <v>111.16319882676651975699393359</v>
      </c>
      <c r="I41" s="330">
        <v>110.53687205557011656755642236</v>
      </c>
      <c r="J41" s="330">
        <v>126.94742294747294517721596613</v>
      </c>
      <c r="K41" s="330">
        <v>144.99181081457231882535113212</v>
      </c>
      <c r="L41" s="663">
        <v>135.87989427751907248133157393</v>
      </c>
      <c r="M41" s="330">
        <v>163.95062663272957060364355905</v>
      </c>
      <c r="N41" s="330">
        <v>144.73427407498673805272421122</v>
      </c>
      <c r="O41" s="330">
        <v>121.49729633667102101429479969</v>
      </c>
      <c r="P41" s="330">
        <v>114.17395660720851683762488413</v>
      </c>
      <c r="Q41" s="330">
        <v>136.40353793974692375729236333</v>
      </c>
      <c r="R41" s="330">
        <v>119.86300950982558049445591332</v>
      </c>
      <c r="S41" s="330">
        <v>105.08386893620494479864910509</v>
      </c>
      <c r="T41" s="330">
        <v>123.64721464251194219416091661</v>
      </c>
      <c r="U41" s="330">
        <v>121.58557405035481603551797578</v>
      </c>
      <c r="V41" s="330">
        <v>101.89971632007702658772597770</v>
      </c>
      <c r="W41" s="330">
        <v>107.10339442789021901076668525</v>
      </c>
      <c r="X41" s="331">
        <v>129.18679805036593603376919149</v>
      </c>
      <c r="Y41" s="330">
        <v>119.53745160376015032004437530</v>
      </c>
      <c r="Z41" s="330">
        <v>104.60166676979127328009537003</v>
      </c>
      <c r="AA41" s="330">
        <v>104.07411031733784198531529962</v>
      </c>
      <c r="AB41" s="330">
        <v>114.90788760089094137529183481</v>
      </c>
      <c r="AC41" s="330">
        <v>110.51195436876607474397007666</v>
      </c>
      <c r="AD41" s="338">
        <v>109.93603622087521064373736316</v>
      </c>
      <c r="AE41" s="88"/>
      <c r="AF41" s="329">
        <v>112.84168540651061400802746403</v>
      </c>
      <c r="AG41" s="330">
        <v>114.90885298602966902240989281</v>
      </c>
      <c r="AH41" s="332">
        <v>118.84837808213230810509893288</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275" t="s">
        <v>182</v>
      </c>
      <c r="D44" s="276"/>
      <c r="E44" s="276"/>
      <c r="F44" s="276"/>
      <c r="G44" s="276"/>
      <c r="H44" s="276"/>
      <c r="I44" s="276"/>
      <c r="J44" s="276"/>
      <c r="K44" s="276"/>
      <c r="L44" s="658" t="s">
        <v>179</v>
      </c>
      <c r="M44" s="276"/>
      <c r="N44" s="276"/>
      <c r="O44" s="276"/>
      <c r="P44" s="276"/>
      <c r="Q44" s="276"/>
      <c r="R44" s="276"/>
      <c r="S44" s="277"/>
      <c r="T44" s="277"/>
      <c r="U44" s="277"/>
      <c r="V44" s="277"/>
      <c r="W44" s="277"/>
      <c r="X44" s="312"/>
      <c r="Y44" s="277"/>
      <c r="Z44" s="277"/>
      <c r="AA44" s="277"/>
      <c r="AB44" s="277"/>
      <c r="AC44" s="277"/>
      <c r="AD44" s="336"/>
      <c r="AE44" s="25"/>
      <c r="AF44" s="316" t="s">
        <v>58</v>
      </c>
      <c r="AG44" s="317" t="s">
        <v>59</v>
      </c>
      <c r="AH44" s="318" t="s">
        <v>59</v>
      </c>
      <c r="AI44" s="25"/>
      <c r="AJ44" s="248"/>
      <c r="AK44" s="248"/>
      <c r="AL44" s="248"/>
      <c r="AM44" s="248"/>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row>
    <row r="45" s="42" customFormat="1">
      <c r="C45" s="284">
        <v>22</v>
      </c>
      <c r="D45" s="42">
        <v>23</v>
      </c>
      <c r="E45" s="42">
        <v>24</v>
      </c>
      <c r="F45" s="42">
        <v>25</v>
      </c>
      <c r="G45" s="42">
        <v>26</v>
      </c>
      <c r="H45" s="42">
        <v>27</v>
      </c>
      <c r="I45" s="42">
        <v>28</v>
      </c>
      <c r="J45" s="42">
        <v>29</v>
      </c>
      <c r="K45" s="42">
        <v>30</v>
      </c>
      <c r="L45" s="659">
        <v>1</v>
      </c>
      <c r="M45" s="42">
        <v>2</v>
      </c>
      <c r="N45" s="42">
        <v>3</v>
      </c>
      <c r="O45" s="42">
        <v>4</v>
      </c>
      <c r="P45" s="42">
        <v>5</v>
      </c>
      <c r="Q45" s="42">
        <v>6</v>
      </c>
      <c r="R45" s="42">
        <v>7</v>
      </c>
      <c r="S45" s="42">
        <v>8</v>
      </c>
      <c r="T45" s="42">
        <v>9</v>
      </c>
      <c r="U45" s="42">
        <v>10</v>
      </c>
      <c r="V45" s="42">
        <v>11</v>
      </c>
      <c r="W45" s="42">
        <v>12</v>
      </c>
      <c r="X45" s="323">
        <v>13</v>
      </c>
      <c r="Y45" s="42">
        <v>14</v>
      </c>
      <c r="Z45" s="42">
        <v>15</v>
      </c>
      <c r="AA45" s="42">
        <v>16</v>
      </c>
      <c r="AB45" s="42">
        <v>17</v>
      </c>
      <c r="AC45" s="42">
        <v>18</v>
      </c>
      <c r="AD45" s="337">
        <v>19</v>
      </c>
      <c r="AE45" s="25"/>
      <c r="AF45" s="324" t="s">
        <v>60</v>
      </c>
      <c r="AG45" s="325">
        <v>28</v>
      </c>
      <c r="AH45" s="326" t="s">
        <v>31</v>
      </c>
      <c r="AI45" s="25"/>
      <c r="AJ45" s="248"/>
      <c r="AK45" s="248"/>
      <c r="AL45" s="248"/>
      <c r="AM45" s="248"/>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row>
    <row r="46" ht="14.25" customHeight="1">
      <c r="A46" s="1"/>
      <c r="B46" s="46" t="s">
        <v>26</v>
      </c>
      <c r="C46" s="444">
        <v>-30.954539115946031878899331890</v>
      </c>
      <c r="D46" s="445">
        <v>-32.032400589070252656292067220</v>
      </c>
      <c r="E46" s="445">
        <v>-12.520126589167453990610279250</v>
      </c>
      <c r="F46" s="445">
        <v>44.796380090472139543454498160</v>
      </c>
      <c r="G46" s="445">
        <v>38.077731092401956150962482440</v>
      </c>
      <c r="H46" s="445">
        <v>12.520683949192156296788276710</v>
      </c>
      <c r="I46" s="445">
        <v>-1.8617021275904847340951509400</v>
      </c>
      <c r="J46" s="445">
        <v>11.487353137314553343517860070</v>
      </c>
      <c r="K46" s="445">
        <v>60.103626942954433957022114120</v>
      </c>
      <c r="L46" s="660">
        <v>9.999441372021812568833949770</v>
      </c>
      <c r="M46" s="445">
        <v>55.801642177996943736267315190</v>
      </c>
      <c r="N46" s="445">
        <v>24.779027721932305120728309910</v>
      </c>
      <c r="O46" s="445">
        <v>3.8062283737318105805128955800</v>
      </c>
      <c r="P46" s="445">
        <v>-10.248447204973100556592320860</v>
      </c>
      <c r="Q46" s="445">
        <v>18.681318681296859401338739330</v>
      </c>
      <c r="R46" s="445">
        <v>-1.015228426495046687650407100</v>
      </c>
      <c r="S46" s="445">
        <v>-9.519265179627839986962811480</v>
      </c>
      <c r="T46" s="445">
        <v>18.362193362264806236617823040</v>
      </c>
      <c r="U46" s="445">
        <v>-13.504273504322861200454583210</v>
      </c>
      <c r="V46" s="445">
        <v>-21.636565712717137399140221230</v>
      </c>
      <c r="W46" s="445">
        <v>-11.552103559859182260624386260</v>
      </c>
      <c r="X46" s="446">
        <v>28.640776699039024215844130300</v>
      </c>
      <c r="Y46" s="445">
        <v>57.367021276541106165843763960</v>
      </c>
      <c r="Z46" s="445">
        <v>45.442735042719176727917724400</v>
      </c>
      <c r="AA46" s="445">
        <v>17.028535980136416718944028340</v>
      </c>
      <c r="AB46" s="445">
        <v>45.093411996002001780663785190</v>
      </c>
      <c r="AC46" s="445">
        <v>1.1726137940141237936285502600</v>
      </c>
      <c r="AD46" s="447">
        <v>-1.6665154401311595026476583300</v>
      </c>
      <c r="AE46" s="448"/>
      <c r="AF46" s="444">
        <v>23.349934835232679549286003930</v>
      </c>
      <c r="AG46" s="445">
        <v>8.300956223868397785074229720</v>
      </c>
      <c r="AH46" s="449">
        <v>10.859492318328844504203343240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181</v>
      </c>
      <c r="C47" s="329">
        <v>-27.308574261301964773105216570</v>
      </c>
      <c r="D47" s="330">
        <v>-31.974329841482085752959407740</v>
      </c>
      <c r="E47" s="330">
        <v>-13.894462624415277677709461650</v>
      </c>
      <c r="F47" s="330">
        <v>54.129875716189308152635297010</v>
      </c>
      <c r="G47" s="330">
        <v>33.604051981310432524742582550</v>
      </c>
      <c r="H47" s="330">
        <v>11.315344888504662375783055630</v>
      </c>
      <c r="I47" s="330">
        <v>6.8001391569003401076374372200</v>
      </c>
      <c r="J47" s="330">
        <v>16.568650076664427559202174900</v>
      </c>
      <c r="K47" s="330">
        <v>41.957765015515389543689879390</v>
      </c>
      <c r="L47" s="663">
        <v>16.326858548831401481293335530</v>
      </c>
      <c r="M47" s="330">
        <v>47.362811465294115415754425830</v>
      </c>
      <c r="N47" s="330">
        <v>28.342766667747713600005063900</v>
      </c>
      <c r="O47" s="330">
        <v>16.072940185163026893650110040</v>
      </c>
      <c r="P47" s="330">
        <v>1.3031629555738191927820703700</v>
      </c>
      <c r="Q47" s="330">
        <v>28.974840045081941710748336460</v>
      </c>
      <c r="R47" s="330">
        <v>18.800331180367480800262803880</v>
      </c>
      <c r="S47" s="330">
        <v>4.1317485528341375754263187500</v>
      </c>
      <c r="T47" s="330">
        <v>41.787448733053637867428236210</v>
      </c>
      <c r="U47" s="330">
        <v>8.735947318913713358977004860</v>
      </c>
      <c r="V47" s="330">
        <v>1.7175988703858528624354933300</v>
      </c>
      <c r="W47" s="330">
        <v>-0.6120213598362150477471391500</v>
      </c>
      <c r="X47" s="331">
        <v>15.855547591470158120308301510</v>
      </c>
      <c r="Y47" s="330">
        <v>34.739346520914091305476299190</v>
      </c>
      <c r="Z47" s="330">
        <v>18.841068637859013450616536640</v>
      </c>
      <c r="AA47" s="330">
        <v>5.501808088982154006887772100</v>
      </c>
      <c r="AB47" s="330">
        <v>28.000906852466800850340805020</v>
      </c>
      <c r="AC47" s="330">
        <v>16.592728917008506493750861280</v>
      </c>
      <c r="AD47" s="338">
        <v>13.849354801609050654842441320</v>
      </c>
      <c r="AE47" s="88"/>
      <c r="AF47" s="329">
        <v>18.070094351774372888971135490</v>
      </c>
      <c r="AG47" s="330">
        <v>13.026474804942742653485781080</v>
      </c>
      <c r="AH47" s="332">
        <v>15.962635157423673420040005220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275" t="s">
        <v>182</v>
      </c>
      <c r="D50" s="276"/>
      <c r="E50" s="276"/>
      <c r="F50" s="276"/>
      <c r="G50" s="276"/>
      <c r="H50" s="276"/>
      <c r="I50" s="276"/>
      <c r="J50" s="276"/>
      <c r="K50" s="276"/>
      <c r="L50" s="658" t="s">
        <v>179</v>
      </c>
      <c r="M50" s="276"/>
      <c r="N50" s="276"/>
      <c r="O50" s="276"/>
      <c r="P50" s="276"/>
      <c r="Q50" s="276"/>
      <c r="R50" s="276"/>
      <c r="S50" s="277"/>
      <c r="T50" s="277"/>
      <c r="U50" s="277"/>
      <c r="V50" s="277"/>
      <c r="W50" s="277"/>
      <c r="X50" s="312"/>
      <c r="Y50" s="277"/>
      <c r="Z50" s="277"/>
      <c r="AA50" s="277"/>
      <c r="AB50" s="277"/>
      <c r="AC50" s="277"/>
      <c r="AD50" s="336"/>
      <c r="AE50" s="25"/>
      <c r="AF50" s="316" t="s">
        <v>58</v>
      </c>
      <c r="AG50" s="317" t="s">
        <v>59</v>
      </c>
      <c r="AH50" s="318" t="s">
        <v>59</v>
      </c>
      <c r="AI50" s="25"/>
      <c r="AJ50" s="248"/>
      <c r="AK50" s="248"/>
      <c r="AL50" s="248"/>
      <c r="AM50" s="248"/>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row>
    <row r="51" s="42" customFormat="1">
      <c r="C51" s="284">
        <v>22</v>
      </c>
      <c r="D51" s="42">
        <v>23</v>
      </c>
      <c r="E51" s="42">
        <v>24</v>
      </c>
      <c r="F51" s="42">
        <v>25</v>
      </c>
      <c r="G51" s="42">
        <v>26</v>
      </c>
      <c r="H51" s="42">
        <v>27</v>
      </c>
      <c r="I51" s="42">
        <v>28</v>
      </c>
      <c r="J51" s="42">
        <v>29</v>
      </c>
      <c r="K51" s="42">
        <v>30</v>
      </c>
      <c r="L51" s="659">
        <v>1</v>
      </c>
      <c r="M51" s="42">
        <v>2</v>
      </c>
      <c r="N51" s="42">
        <v>3</v>
      </c>
      <c r="O51" s="42">
        <v>4</v>
      </c>
      <c r="P51" s="42">
        <v>5</v>
      </c>
      <c r="Q51" s="42">
        <v>6</v>
      </c>
      <c r="R51" s="42">
        <v>7</v>
      </c>
      <c r="S51" s="42">
        <v>8</v>
      </c>
      <c r="T51" s="42">
        <v>9</v>
      </c>
      <c r="U51" s="42">
        <v>10</v>
      </c>
      <c r="V51" s="42">
        <v>11</v>
      </c>
      <c r="W51" s="42">
        <v>12</v>
      </c>
      <c r="X51" s="323">
        <v>13</v>
      </c>
      <c r="Y51" s="42">
        <v>14</v>
      </c>
      <c r="Z51" s="42">
        <v>15</v>
      </c>
      <c r="AA51" s="42">
        <v>16</v>
      </c>
      <c r="AB51" s="42">
        <v>17</v>
      </c>
      <c r="AC51" s="42">
        <v>18</v>
      </c>
      <c r="AD51" s="337">
        <v>19</v>
      </c>
      <c r="AE51" s="25"/>
      <c r="AF51" s="324" t="s">
        <v>60</v>
      </c>
      <c r="AG51" s="325">
        <v>28</v>
      </c>
      <c r="AH51" s="326" t="s">
        <v>31</v>
      </c>
      <c r="AI51" s="25"/>
      <c r="AJ51" s="248"/>
      <c r="AK51" s="248"/>
      <c r="AL51" s="248"/>
      <c r="AM51" s="248"/>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row>
    <row r="52" ht="14.25" customHeight="1">
      <c r="A52" s="1"/>
      <c r="B52" s="46" t="s">
        <v>56</v>
      </c>
      <c r="C52" s="455" t="s">
        <v>175</v>
      </c>
      <c r="D52" s="456" t="s">
        <v>175</v>
      </c>
      <c r="E52" s="456" t="s">
        <v>172</v>
      </c>
      <c r="F52" s="456" t="s">
        <v>170</v>
      </c>
      <c r="G52" s="456" t="s">
        <v>171</v>
      </c>
      <c r="H52" s="456" t="s">
        <v>171</v>
      </c>
      <c r="I52" s="456" t="s">
        <v>170</v>
      </c>
      <c r="J52" s="456" t="s">
        <v>171</v>
      </c>
      <c r="K52" s="456" t="s">
        <v>171</v>
      </c>
      <c r="L52" s="664" t="s">
        <v>172</v>
      </c>
      <c r="M52" s="456" t="s">
        <v>171</v>
      </c>
      <c r="N52" s="456" t="s">
        <v>171</v>
      </c>
      <c r="O52" s="456" t="s">
        <v>172</v>
      </c>
      <c r="P52" s="456" t="s">
        <v>172</v>
      </c>
      <c r="Q52" s="456" t="s">
        <v>170</v>
      </c>
      <c r="R52" s="456" t="s">
        <v>170</v>
      </c>
      <c r="S52" s="456" t="s">
        <v>172</v>
      </c>
      <c r="T52" s="456" t="s">
        <v>170</v>
      </c>
      <c r="U52" s="456" t="s">
        <v>170</v>
      </c>
      <c r="V52" s="456" t="s">
        <v>172</v>
      </c>
      <c r="W52" s="456" t="s">
        <v>170</v>
      </c>
      <c r="X52" s="457" t="s">
        <v>170</v>
      </c>
      <c r="Y52" s="456" t="s">
        <v>170</v>
      </c>
      <c r="Z52" s="456" t="s">
        <v>170</v>
      </c>
      <c r="AA52" s="456" t="s">
        <v>170</v>
      </c>
      <c r="AB52" s="456" t="s">
        <v>171</v>
      </c>
      <c r="AC52" s="456" t="s">
        <v>172</v>
      </c>
      <c r="AD52" s="458" t="s">
        <v>170</v>
      </c>
      <c r="AE52" s="459"/>
      <c r="AF52" s="455" t="s">
        <v>170</v>
      </c>
      <c r="AG52" s="456" t="s">
        <v>170</v>
      </c>
      <c r="AH52" s="460" t="s">
        <v>170</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173</v>
      </c>
      <c r="D53" s="334" t="s">
        <v>175</v>
      </c>
      <c r="E53" s="334" t="s">
        <v>172</v>
      </c>
      <c r="F53" s="334" t="s">
        <v>172</v>
      </c>
      <c r="G53" s="334" t="s">
        <v>170</v>
      </c>
      <c r="H53" s="334" t="s">
        <v>172</v>
      </c>
      <c r="I53" s="334" t="s">
        <v>172</v>
      </c>
      <c r="J53" s="334" t="s">
        <v>170</v>
      </c>
      <c r="K53" s="334" t="s">
        <v>170</v>
      </c>
      <c r="L53" s="665" t="s">
        <v>170</v>
      </c>
      <c r="M53" s="334" t="s">
        <v>171</v>
      </c>
      <c r="N53" s="334" t="s">
        <v>171</v>
      </c>
      <c r="O53" s="334" t="s">
        <v>170</v>
      </c>
      <c r="P53" s="334" t="s">
        <v>175</v>
      </c>
      <c r="Q53" s="334" t="s">
        <v>170</v>
      </c>
      <c r="R53" s="334" t="s">
        <v>173</v>
      </c>
      <c r="S53" s="334" t="s">
        <v>172</v>
      </c>
      <c r="T53" s="334" t="s">
        <v>170</v>
      </c>
      <c r="U53" s="334" t="s">
        <v>175</v>
      </c>
      <c r="V53" s="334" t="s">
        <v>173</v>
      </c>
      <c r="W53" s="334" t="s">
        <v>173</v>
      </c>
      <c r="X53" s="60" t="s">
        <v>171</v>
      </c>
      <c r="Y53" s="61" t="s">
        <v>171</v>
      </c>
      <c r="Z53" s="61" t="s">
        <v>171</v>
      </c>
      <c r="AA53" s="61" t="s">
        <v>171</v>
      </c>
      <c r="AB53" s="61" t="s">
        <v>171</v>
      </c>
      <c r="AC53" s="61" t="s">
        <v>170</v>
      </c>
      <c r="AD53" s="62" t="s">
        <v>172</v>
      </c>
      <c r="AE53" s="59"/>
      <c r="AF53" s="333" t="s">
        <v>171</v>
      </c>
      <c r="AG53" s="334" t="s">
        <v>172</v>
      </c>
      <c r="AH53" s="335" t="s">
        <v>171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53"/>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row>
    <row r="66" s="25" customFormat="1" ht="10.5" customHeight="1">
      <c r="A66" s="248"/>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row>
    <row r="67" s="25" customFormat="1">
      <c r="A67" s="248"/>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row>
    <row r="68" s="84" customFormat="1">
      <c r="A68" s="249"/>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row>
    <row r="69" s="84" customFormat="1">
      <c r="A69" s="249"/>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row>
    <row r="70" s="84" customFormat="1">
      <c r="A70" s="249"/>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49"/>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45780</v>
      </c>
      <c r="C72" s="666">
        <v>45787</v>
      </c>
      <c r="D72" s="666">
        <v>45794</v>
      </c>
      <c r="E72" s="666">
        <v>45801</v>
      </c>
      <c r="F72" s="666">
        <v>45808</v>
      </c>
      <c r="G72" s="666">
        <v>45815</v>
      </c>
      <c r="H72" s="666">
        <v>45822</v>
      </c>
      <c r="I72" s="666">
        <v>45829</v>
      </c>
      <c r="J72" s="666">
        <v>45836</v>
      </c>
      <c r="K72" s="666">
        <v>45843</v>
      </c>
      <c r="L72" s="666">
        <v>45850</v>
      </c>
      <c r="M72" s="666">
        <v>45857</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94.04761904761904761904761905</v>
      </c>
      <c r="C73" s="666">
        <v>78.138528138528138528138528140</v>
      </c>
      <c r="D73" s="666">
        <v>75.216450216450216450216450220</v>
      </c>
      <c r="E73" s="666">
        <v>89.17748917748917748917748918</v>
      </c>
      <c r="F73" s="666">
        <v>75.865800865800865800865800870</v>
      </c>
      <c r="G73" s="666">
        <v>73.701298701298701298701298700</v>
      </c>
      <c r="H73" s="666">
        <v>82.57575757575757575757575758</v>
      </c>
      <c r="I73" s="666">
        <v>91.45021645021645021645021645</v>
      </c>
      <c r="J73" s="666">
        <v>76.731601731601731601731601730</v>
      </c>
      <c r="K73" s="666">
        <v>85.06493506493506493506493506</v>
      </c>
      <c r="L73" s="666">
        <v>79.97835497835497835497835498</v>
      </c>
      <c r="M73" s="666">
        <v>81.70995670995670995670995671</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94.72591362126245847176079734</v>
      </c>
      <c r="C74" s="666">
        <v>73.463455149501661129568106310</v>
      </c>
      <c r="D74" s="666">
        <v>66.860465116279069767441860470</v>
      </c>
      <c r="E74" s="666">
        <v>76.910299003322259136212624580</v>
      </c>
      <c r="F74" s="666">
        <v>72.217607973421926910299003320</v>
      </c>
      <c r="G74" s="666">
        <v>62.08471760797342192691029900</v>
      </c>
      <c r="H74" s="666">
        <v>73.546511627906976744186046510</v>
      </c>
      <c r="I74" s="666">
        <v>81.97674418604651162790697674</v>
      </c>
      <c r="J74" s="666">
        <v>72.799003322259136212624584720</v>
      </c>
      <c r="K74" s="666">
        <v>70.930232558139534883720930230</v>
      </c>
      <c r="L74" s="666">
        <v>71.054817275747508305647840530</v>
      </c>
      <c r="M74" s="666">
        <v>68.106312292358803986710963460</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ht="14.25">
      <c r="A75" s="260" t="s">
        <v>181</v>
      </c>
      <c r="B75" s="666">
        <v>89.64108636128172870569081625</v>
      </c>
      <c r="C75" s="666">
        <v>74.251134197342948765313511360</v>
      </c>
      <c r="D75" s="666">
        <v>72.859063973163486973355598580</v>
      </c>
      <c r="E75" s="666">
        <v>74.432901328525617343244321620</v>
      </c>
      <c r="F75" s="666">
        <v>68.144940814848749057914259110</v>
      </c>
      <c r="G75" s="666">
        <v>69.571799307958477508650519030</v>
      </c>
      <c r="H75" s="666">
        <v>76.221885813148788927335640140</v>
      </c>
      <c r="I75" s="666">
        <v>76.938643104300543746910528920</v>
      </c>
      <c r="J75" s="666">
        <v>76.166275333662876915472071180</v>
      </c>
      <c r="K75" s="666">
        <v>63.466820650477557899993757410</v>
      </c>
      <c r="L75" s="666">
        <v>69.414843603084059424559643950</v>
      </c>
      <c r="M75" s="666">
        <v>72.411145239139973672663448880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7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129</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177</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178</v>
      </c>
      <c r="R4" s="618" t="s">
        <v>180</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275" t="s">
        <v>182</v>
      </c>
      <c r="D24" s="276"/>
      <c r="E24" s="276"/>
      <c r="F24" s="276"/>
      <c r="G24" s="276"/>
      <c r="H24" s="276"/>
      <c r="I24" s="276"/>
      <c r="J24" s="276"/>
      <c r="K24" s="276"/>
      <c r="L24" s="658" t="s">
        <v>179</v>
      </c>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22</v>
      </c>
      <c r="D25" s="42">
        <v>23</v>
      </c>
      <c r="E25" s="42">
        <v>24</v>
      </c>
      <c r="F25" s="42">
        <v>25</v>
      </c>
      <c r="G25" s="42">
        <v>26</v>
      </c>
      <c r="H25" s="42">
        <v>27</v>
      </c>
      <c r="I25" s="42">
        <v>28</v>
      </c>
      <c r="J25" s="42">
        <v>29</v>
      </c>
      <c r="K25" s="42">
        <v>30</v>
      </c>
      <c r="L25" s="659">
        <v>1</v>
      </c>
      <c r="M25" s="42">
        <v>2</v>
      </c>
      <c r="N25" s="42">
        <v>3</v>
      </c>
      <c r="O25" s="42">
        <v>4</v>
      </c>
      <c r="P25" s="42">
        <v>5</v>
      </c>
      <c r="Q25" s="42">
        <v>6</v>
      </c>
      <c r="R25" s="42">
        <v>7</v>
      </c>
      <c r="S25" s="42">
        <v>8</v>
      </c>
      <c r="T25" s="42">
        <v>9</v>
      </c>
      <c r="U25" s="42">
        <v>10</v>
      </c>
      <c r="V25" s="42">
        <v>11</v>
      </c>
      <c r="W25" s="42">
        <v>12</v>
      </c>
      <c r="X25" s="323">
        <v>13</v>
      </c>
      <c r="Y25" s="42">
        <v>14</v>
      </c>
      <c r="Z25" s="42">
        <v>15</v>
      </c>
      <c r="AA25" s="42">
        <v>16</v>
      </c>
      <c r="AB25" s="42">
        <v>17</v>
      </c>
      <c r="AC25" s="42">
        <v>18</v>
      </c>
      <c r="AD25" s="337">
        <v>19</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61">
        <v>224.25882352941176470588235294</v>
      </c>
      <c r="D26" s="462">
        <v>215.70512820512820512820512821</v>
      </c>
      <c r="E26" s="462">
        <v>211.000000000</v>
      </c>
      <c r="F26" s="462">
        <v>168.67307692307692307692307692</v>
      </c>
      <c r="G26" s="462">
        <v>153.01652892561983471074380165</v>
      </c>
      <c r="H26" s="462">
        <v>187.79166666666666666666666667</v>
      </c>
      <c r="I26" s="462">
        <v>195.56910569105691056910569106</v>
      </c>
      <c r="J26" s="462">
        <v>141.92452830188679245283018868</v>
      </c>
      <c r="K26" s="462">
        <v>136.65048543689320388349514563</v>
      </c>
      <c r="L26" s="673">
        <v>142.7319587628865979381443299</v>
      </c>
      <c r="M26" s="462">
        <v>124.29824561403508771929824561</v>
      </c>
      <c r="N26" s="462">
        <v>145.59349593495934959349593496</v>
      </c>
      <c r="O26" s="462">
        <v>228.65079365079365079365079365</v>
      </c>
      <c r="P26" s="462">
        <v>225.7008547008547008547008547</v>
      </c>
      <c r="Q26" s="462">
        <v>141.83333333333333333333333333</v>
      </c>
      <c r="R26" s="462">
        <v>139.02325581395348837209302326</v>
      </c>
      <c r="S26" s="462">
        <v>152.06097560975609756097560976</v>
      </c>
      <c r="T26" s="462">
        <v>144.70588235294117647058823529</v>
      </c>
      <c r="U26" s="462">
        <v>151.90434782608695652173913043</v>
      </c>
      <c r="V26" s="462">
        <v>212.64705882352941176470588235</v>
      </c>
      <c r="W26" s="462">
        <v>228.33858267716535433070866142</v>
      </c>
      <c r="X26" s="463">
        <v>148.8878504672897196261682243</v>
      </c>
      <c r="Y26" s="462">
        <v>147.11340206185567010309278351</v>
      </c>
      <c r="Z26" s="462">
        <v>142.64044943820224719101123596</v>
      </c>
      <c r="AA26" s="462">
        <v>137.500000000</v>
      </c>
      <c r="AB26" s="462">
        <v>144.17647058823529411764705882</v>
      </c>
      <c r="AC26" s="462">
        <v>226.25423728813559322033898305</v>
      </c>
      <c r="AD26" s="464">
        <v>213.14960629921259842519685039</v>
      </c>
      <c r="AE26" s="465"/>
      <c r="AF26" s="461">
        <v>168.60397350993377483443708609</v>
      </c>
      <c r="AG26" s="462">
        <v>173.57745065239210438273670124</v>
      </c>
      <c r="AH26" s="466">
        <v>171.27571221632061805890873974</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210.42605633802816901408450705</v>
      </c>
      <c r="D27" s="85">
        <v>189.19841269841269841269841271</v>
      </c>
      <c r="E27" s="85">
        <v>196.51612903225806451612903224</v>
      </c>
      <c r="F27" s="85">
        <v>184.74660633484162895927601809</v>
      </c>
      <c r="G27" s="85">
        <v>199.99579831932773109243697479</v>
      </c>
      <c r="H27" s="85">
        <v>238.34362934362934362934362933</v>
      </c>
      <c r="I27" s="85">
        <v>251.92553191489361702127659575</v>
      </c>
      <c r="J27" s="85">
        <v>201.61643835616438356164383562</v>
      </c>
      <c r="K27" s="85">
        <v>195.34715025906735751295336788</v>
      </c>
      <c r="L27" s="674">
        <v>184.79185520361990950226244343</v>
      </c>
      <c r="M27" s="85">
        <v>203.26923076923076923076923076</v>
      </c>
      <c r="N27" s="85">
        <v>232.12213740458015267175572519</v>
      </c>
      <c r="O27" s="85">
        <v>261.04575163398692810457516339</v>
      </c>
      <c r="P27" s="85">
        <v>248.79264214046822742474916389</v>
      </c>
      <c r="Q27" s="85">
        <v>198.36206896551724137931034483</v>
      </c>
      <c r="R27" s="85">
        <v>187.35532994923857868020304568</v>
      </c>
      <c r="S27" s="85">
        <v>192.6089108910891089108910891</v>
      </c>
      <c r="T27" s="85">
        <v>193.46296296296296296296296295</v>
      </c>
      <c r="U27" s="85">
        <v>252.372</v>
      </c>
      <c r="V27" s="85">
        <v>266.09180327868852459016393443</v>
      </c>
      <c r="W27" s="85">
        <v>257.42071197411003236245954693</v>
      </c>
      <c r="X27" s="86">
        <v>193.8640776699029126213592233</v>
      </c>
      <c r="Y27" s="85">
        <v>190.6808510638297872340425532</v>
      </c>
      <c r="Z27" s="85">
        <v>177.44615384615384615384615384</v>
      </c>
      <c r="AA27" s="85">
        <v>180.66826923076923076923076922</v>
      </c>
      <c r="AB27" s="85">
        <v>216.98672566371681415929203541</v>
      </c>
      <c r="AC27" s="85">
        <v>254.67207792207792207792207793</v>
      </c>
      <c r="AD27" s="87">
        <v>247.06796116504854368932038835</v>
      </c>
      <c r="AE27" s="169"/>
      <c r="AF27" s="370">
        <v>214.50426829268292682926829268</v>
      </c>
      <c r="AG27" s="85">
        <v>218.81238990017615971814445097</v>
      </c>
      <c r="AH27" s="371">
        <v>223.24273724983860555196901227</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181</v>
      </c>
      <c r="C28" s="467">
        <v>178.02617581187010078387458007</v>
      </c>
      <c r="D28" s="468">
        <v>176.39829637244823028344837715</v>
      </c>
      <c r="E28" s="468">
        <v>177.65172413793103448275862069</v>
      </c>
      <c r="F28" s="468">
        <v>172.81065811574286150557336998</v>
      </c>
      <c r="G28" s="468">
        <v>174.05165289256198347107438017</v>
      </c>
      <c r="H28" s="468">
        <v>188.75565251884172947243157477</v>
      </c>
      <c r="I28" s="468">
        <v>191.30220625962031811185223191</v>
      </c>
      <c r="J28" s="468">
        <v>162.99435897435897435897435897</v>
      </c>
      <c r="K28" s="468">
        <v>157.52099658428772352822985734</v>
      </c>
      <c r="L28" s="675">
        <v>156.10993914807302231237322515</v>
      </c>
      <c r="M28" s="468">
        <v>153.26072469804248229904206581</v>
      </c>
      <c r="N28" s="468">
        <v>163.03441812915317771340943943</v>
      </c>
      <c r="O28" s="468">
        <v>197.88229544819882714325607372</v>
      </c>
      <c r="P28" s="468">
        <v>191.78550233149639677829588809</v>
      </c>
      <c r="Q28" s="468">
        <v>154.8509509875640087783467447</v>
      </c>
      <c r="R28" s="468">
        <v>156.69202825428859737638748739</v>
      </c>
      <c r="S28" s="468">
        <v>159.11226572647986639450732975</v>
      </c>
      <c r="T28" s="468">
        <v>162.44953484289977180972441636</v>
      </c>
      <c r="U28" s="468">
        <v>166.72535211267605633802816901</v>
      </c>
      <c r="V28" s="468">
        <v>195.81339119652820830750154991</v>
      </c>
      <c r="W28" s="468">
        <v>197.75821223592624252045426792</v>
      </c>
      <c r="X28" s="469">
        <v>158.57325174825174825174825175</v>
      </c>
      <c r="Y28" s="468">
        <v>159.25731620271234832262669522</v>
      </c>
      <c r="Z28" s="468">
        <v>161.87508509189925119128658952</v>
      </c>
      <c r="AA28" s="468">
        <v>163.11164078117791788405351376</v>
      </c>
      <c r="AB28" s="468">
        <v>171.11199664429530201342281879</v>
      </c>
      <c r="AC28" s="468">
        <v>193.72823433685923515052888527</v>
      </c>
      <c r="AD28" s="470">
        <v>198.33028327901729756831286037</v>
      </c>
      <c r="AE28" s="465"/>
      <c r="AF28" s="467">
        <v>174.13019672344017140260133746</v>
      </c>
      <c r="AG28" s="468">
        <v>175.10454021587357875839446796</v>
      </c>
      <c r="AH28" s="471">
        <v>174.3095012547572750993003274</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275" t="s">
        <v>182</v>
      </c>
      <c r="D33" s="276"/>
      <c r="E33" s="276"/>
      <c r="F33" s="276"/>
      <c r="G33" s="276"/>
      <c r="H33" s="276"/>
      <c r="I33" s="276"/>
      <c r="J33" s="276"/>
      <c r="K33" s="276"/>
      <c r="L33" s="658" t="s">
        <v>179</v>
      </c>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row>
    <row r="34" s="42" customFormat="1">
      <c r="C34" s="284">
        <v>22</v>
      </c>
      <c r="D34" s="42">
        <v>23</v>
      </c>
      <c r="E34" s="42">
        <v>24</v>
      </c>
      <c r="F34" s="42">
        <v>25</v>
      </c>
      <c r="G34" s="42">
        <v>26</v>
      </c>
      <c r="H34" s="42">
        <v>27</v>
      </c>
      <c r="I34" s="42">
        <v>28</v>
      </c>
      <c r="J34" s="42">
        <v>29</v>
      </c>
      <c r="K34" s="42">
        <v>30</v>
      </c>
      <c r="L34" s="659">
        <v>1</v>
      </c>
      <c r="M34" s="42">
        <v>2</v>
      </c>
      <c r="N34" s="42">
        <v>3</v>
      </c>
      <c r="O34" s="42">
        <v>4</v>
      </c>
      <c r="P34" s="42">
        <v>5</v>
      </c>
      <c r="Q34" s="42">
        <v>6</v>
      </c>
      <c r="R34" s="42">
        <v>7</v>
      </c>
      <c r="S34" s="42">
        <v>8</v>
      </c>
      <c r="T34" s="42">
        <v>9</v>
      </c>
      <c r="U34" s="42">
        <v>10</v>
      </c>
      <c r="V34" s="42">
        <v>11</v>
      </c>
      <c r="W34" s="42">
        <v>12</v>
      </c>
      <c r="X34" s="323">
        <v>13</v>
      </c>
      <c r="Y34" s="42">
        <v>14</v>
      </c>
      <c r="Z34" s="42">
        <v>15</v>
      </c>
      <c r="AA34" s="42">
        <v>16</v>
      </c>
      <c r="AB34" s="42">
        <v>17</v>
      </c>
      <c r="AC34" s="42">
        <v>18</v>
      </c>
      <c r="AD34" s="337">
        <v>19</v>
      </c>
      <c r="AE34" s="25"/>
      <c r="AF34" s="324" t="s">
        <v>60</v>
      </c>
      <c r="AG34" s="325">
        <v>28</v>
      </c>
      <c r="AH34" s="326"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row>
    <row r="35" ht="14.25" customHeight="1">
      <c r="B35" s="46" t="s">
        <v>32</v>
      </c>
      <c r="C35" s="444">
        <v>43.984115291298632243191151950</v>
      </c>
      <c r="D35" s="445">
        <v>47.037227237543465658200800520</v>
      </c>
      <c r="E35" s="445">
        <v>44.080625257125479355256504620</v>
      </c>
      <c r="F35" s="445">
        <v>31.665065449733897858445434490</v>
      </c>
      <c r="G35" s="445">
        <v>2.6330376940195618814558437600</v>
      </c>
      <c r="H35" s="445">
        <v>-7.7773490482333224803730087500</v>
      </c>
      <c r="I35" s="445">
        <v>-1.6534669656829444265199146100</v>
      </c>
      <c r="J35" s="445">
        <v>4.3821421276824000353810585900</v>
      </c>
      <c r="K35" s="445">
        <v>2.653921892514144131992378800</v>
      </c>
      <c r="L35" s="660">
        <v>-0.6932772736978312350764845200</v>
      </c>
      <c r="M35" s="445">
        <v>-16.135669322669314370192545910</v>
      </c>
      <c r="N35" s="445">
        <v>-20.40637540601613385763064800</v>
      </c>
      <c r="O35" s="445">
        <v>6.4324054153945441068023226500</v>
      </c>
      <c r="P35" s="445">
        <v>-1.6588018109405352970156842500</v>
      </c>
      <c r="Q35" s="445">
        <v>-7.5243008287199774298671343900</v>
      </c>
      <c r="R35" s="445">
        <v>-14.158529580704444635428746220</v>
      </c>
      <c r="S35" s="445">
        <v>13.305152846849351231088100870</v>
      </c>
      <c r="T35" s="445">
        <v>2.0548904669086180397334270800</v>
      </c>
      <c r="U35" s="445">
        <v>-24.653176633646391498763787440</v>
      </c>
      <c r="V35" s="445">
        <v>-13.668147458524259892183199220</v>
      </c>
      <c r="W35" s="445">
        <v>-6.9008975319796813512343183600</v>
      </c>
      <c r="X35" s="446">
        <v>-14.948481127564371752206913190</v>
      </c>
      <c r="Y35" s="445">
        <v>10.114821902586579418482622390</v>
      </c>
      <c r="Z35" s="445">
        <v>-4.4562498180980875852425627900</v>
      </c>
      <c r="AA35" s="445">
        <v>-10.181217953234361264346623900</v>
      </c>
      <c r="AB35" s="445">
        <v>2.4546573465710664329661801400</v>
      </c>
      <c r="AC35" s="445">
        <v>-4.5223433272749511514737092200</v>
      </c>
      <c r="AD35" s="447">
        <v>-9.157142220923562312689989230</v>
      </c>
      <c r="AE35" s="448"/>
      <c r="AF35" s="444">
        <v>-5.6364048730177000799903139600</v>
      </c>
      <c r="AG35" s="445">
        <v>-2.5214401137039210259220944200</v>
      </c>
      <c r="AH35" s="449">
        <v>-5.6549456033264495088361803400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-3.694222889903621978831880500</v>
      </c>
      <c r="D36" s="81">
        <v>-17.527705663133680693764422300</v>
      </c>
      <c r="E36" s="81">
        <v>-11.790013633794030772725262040</v>
      </c>
      <c r="F36" s="81">
        <v>-4.1273449222409813392444119900</v>
      </c>
      <c r="G36" s="81">
        <v>-4.9324851362833907944471868900</v>
      </c>
      <c r="H36" s="81">
        <v>-6.7241279291880592818816574500</v>
      </c>
      <c r="I36" s="81">
        <v>2.9468023003007806390330338300</v>
      </c>
      <c r="J36" s="81">
        <v>6.510423561448496986343701100</v>
      </c>
      <c r="K36" s="81">
        <v>5.517564680394725791134662800</v>
      </c>
      <c r="L36" s="661">
        <v>0.3927276303143890651400268300</v>
      </c>
      <c r="M36" s="81">
        <v>0.3201439334632610059562323500</v>
      </c>
      <c r="N36" s="81">
        <v>-7.4175868344746407159181019300</v>
      </c>
      <c r="O36" s="81">
        <v>0.6590217223249219537028014100</v>
      </c>
      <c r="P36" s="81">
        <v>0.5314153585671997785227129900</v>
      </c>
      <c r="Q36" s="81">
        <v>6.6957247519520307919229774400</v>
      </c>
      <c r="R36" s="81">
        <v>-9.402645092244401025046883130</v>
      </c>
      <c r="S36" s="81">
        <v>-0.5785476706000186149749763300</v>
      </c>
      <c r="T36" s="81">
        <v>2.3669687507930074979660070100</v>
      </c>
      <c r="U36" s="81">
        <v>12.070243429821649115636422500</v>
      </c>
      <c r="V36" s="81">
        <v>-15.251693417754332734793355200</v>
      </c>
      <c r="W36" s="81">
        <v>-15.114529370111961623693885870</v>
      </c>
      <c r="X36" s="82">
        <v>-19.892126144102737423760688850</v>
      </c>
      <c r="Y36" s="81">
        <v>-3.6526658530372709552268018900</v>
      </c>
      <c r="Z36" s="81">
        <v>-12.246253167449368555777135930</v>
      </c>
      <c r="AA36" s="81">
        <v>-8.703497490205418348070046590</v>
      </c>
      <c r="AB36" s="81">
        <v>-0.4279698678777299233446900400</v>
      </c>
      <c r="AC36" s="81">
        <v>-9.305290535476313208903873540</v>
      </c>
      <c r="AD36" s="83">
        <v>-13.892506795746416553943938500</v>
      </c>
      <c r="AE36" s="88"/>
      <c r="AF36" s="327">
        <v>-8.257341300659276448106792360</v>
      </c>
      <c r="AG36" s="81">
        <v>-4.6170527982774706336507505100</v>
      </c>
      <c r="AH36" s="328">
        <v>-2.5694300383873544901622598400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181</v>
      </c>
      <c r="C37" s="450">
        <v>6.0362862229985572003086507400</v>
      </c>
      <c r="D37" s="451">
        <v>8.739288211584523014284455500</v>
      </c>
      <c r="E37" s="451">
        <v>3.8364679042888669065656782700</v>
      </c>
      <c r="F37" s="451">
        <v>0.9952212982558579674002814900</v>
      </c>
      <c r="G37" s="451">
        <v>-1.3737254206479589428247740800</v>
      </c>
      <c r="H37" s="451">
        <v>-2.6866096121288425462376536100</v>
      </c>
      <c r="I37" s="451">
        <v>-3.4603273296139323797209159300</v>
      </c>
      <c r="J37" s="451">
        <v>-1.5589289391020505932070333900</v>
      </c>
      <c r="K37" s="451">
        <v>2.153638938320605965338897900</v>
      </c>
      <c r="L37" s="662">
        <v>-2.2861721235469951144796059100</v>
      </c>
      <c r="M37" s="451">
        <v>-2.7949664699377910060417829400</v>
      </c>
      <c r="N37" s="451">
        <v>-10.692727628993708933318031420</v>
      </c>
      <c r="O37" s="451">
        <v>2.4482718442434464727077225800</v>
      </c>
      <c r="P37" s="451">
        <v>1.602790055352757448743875600</v>
      </c>
      <c r="Q37" s="451">
        <v>-2.066491280350916785995995300</v>
      </c>
      <c r="R37" s="451">
        <v>-1.4560031764223678831392862500</v>
      </c>
      <c r="S37" s="451">
        <v>1.2330025161041184595693478600</v>
      </c>
      <c r="T37" s="451">
        <v>0.9653150119733587137529234300</v>
      </c>
      <c r="U37" s="451">
        <v>-4.955502662255073279999563200</v>
      </c>
      <c r="V37" s="451">
        <v>-9.046506267665379712557799880</v>
      </c>
      <c r="W37" s="451">
        <v>-9.080592634173456721345317750</v>
      </c>
      <c r="X37" s="452">
        <v>-13.7688351720104592465765800</v>
      </c>
      <c r="Y37" s="451">
        <v>-1.9183866445851365403538288300</v>
      </c>
      <c r="Z37" s="451">
        <v>0.8253820646906202812653087200</v>
      </c>
      <c r="AA37" s="451">
        <v>1.9969586667706135658308746400</v>
      </c>
      <c r="AB37" s="451">
        <v>3.4251710850674875058289574500</v>
      </c>
      <c r="AC37" s="451">
        <v>0.1473218510977599428377920300</v>
      </c>
      <c r="AD37" s="453">
        <v>0.5810896305005999551630772100</v>
      </c>
      <c r="AE37" s="448"/>
      <c r="AF37" s="450">
        <v>-0.9644336753591266547408341100</v>
      </c>
      <c r="AG37" s="451">
        <v>-1.3896172758143643845195173600</v>
      </c>
      <c r="AH37" s="454">
        <v>-1.2855405581670383952362401300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275" t="s">
        <v>182</v>
      </c>
      <c r="D40" s="276"/>
      <c r="E40" s="276"/>
      <c r="F40" s="276"/>
      <c r="G40" s="276"/>
      <c r="H40" s="276"/>
      <c r="I40" s="276"/>
      <c r="J40" s="276"/>
      <c r="K40" s="276"/>
      <c r="L40" s="658" t="s">
        <v>179</v>
      </c>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row>
    <row r="41" s="42" customFormat="1">
      <c r="C41" s="279">
        <v>22</v>
      </c>
      <c r="D41" s="280">
        <v>23</v>
      </c>
      <c r="E41" s="280">
        <v>24</v>
      </c>
      <c r="F41" s="280">
        <v>25</v>
      </c>
      <c r="G41" s="280">
        <v>26</v>
      </c>
      <c r="H41" s="280">
        <v>27</v>
      </c>
      <c r="I41" s="280">
        <v>28</v>
      </c>
      <c r="J41" s="280">
        <v>29</v>
      </c>
      <c r="K41" s="280">
        <v>30</v>
      </c>
      <c r="L41" s="676">
        <v>1</v>
      </c>
      <c r="M41" s="280">
        <v>2</v>
      </c>
      <c r="N41" s="280">
        <v>3</v>
      </c>
      <c r="O41" s="280">
        <v>4</v>
      </c>
      <c r="P41" s="280">
        <v>5</v>
      </c>
      <c r="Q41" s="280">
        <v>6</v>
      </c>
      <c r="R41" s="280">
        <v>7</v>
      </c>
      <c r="S41" s="280">
        <v>8</v>
      </c>
      <c r="T41" s="280">
        <v>9</v>
      </c>
      <c r="U41" s="280">
        <v>10</v>
      </c>
      <c r="V41" s="280">
        <v>11</v>
      </c>
      <c r="W41" s="280">
        <v>12</v>
      </c>
      <c r="X41" s="315">
        <v>13</v>
      </c>
      <c r="Y41" s="280">
        <v>14</v>
      </c>
      <c r="Z41" s="280">
        <v>15</v>
      </c>
      <c r="AA41" s="280">
        <v>16</v>
      </c>
      <c r="AB41" s="280">
        <v>17</v>
      </c>
      <c r="AC41" s="280">
        <v>18</v>
      </c>
      <c r="AD41" s="373">
        <v>19</v>
      </c>
      <c r="AE41" s="25"/>
      <c r="AF41" s="324" t="s">
        <v>60</v>
      </c>
      <c r="AG41" s="325">
        <v>28</v>
      </c>
      <c r="AH41" s="326"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row>
    <row r="42" ht="14.25" customHeight="1">
      <c r="A42" s="1"/>
      <c r="B42" s="46" t="s">
        <v>26</v>
      </c>
      <c r="C42" s="444">
        <v>106.57369502244183844325293014</v>
      </c>
      <c r="D42" s="445">
        <v>114.01000945445688999666562131</v>
      </c>
      <c r="E42" s="445">
        <v>107.37032173339796759385203261</v>
      </c>
      <c r="F42" s="445">
        <v>91.29968894660265882432361176</v>
      </c>
      <c r="G42" s="445">
        <v>76.509871813068699579185880640</v>
      </c>
      <c r="H42" s="445">
        <v>78.790302549242122644474265880</v>
      </c>
      <c r="I42" s="445">
        <v>77.629728199649017419563097270</v>
      </c>
      <c r="J42" s="445">
        <v>70.393331743687359848017855020</v>
      </c>
      <c r="K42" s="445">
        <v>69.952638293236383569312209470</v>
      </c>
      <c r="L42" s="660">
        <v>77.239312634005085026777818090</v>
      </c>
      <c r="M42" s="445">
        <v>61.149562648351967402137014220</v>
      </c>
      <c r="N42" s="445">
        <v>62.722796525513167600757380090</v>
      </c>
      <c r="O42" s="445">
        <v>87.59031404248792379856715491</v>
      </c>
      <c r="P42" s="445">
        <v>90.71846046532005713453783510</v>
      </c>
      <c r="Q42" s="445">
        <v>71.502245400556700180680911780</v>
      </c>
      <c r="R42" s="445">
        <v>74.202989502166075039975318230</v>
      </c>
      <c r="S42" s="445">
        <v>78.948048097177872491476945690</v>
      </c>
      <c r="T42" s="445">
        <v>74.797718455607615344526204210</v>
      </c>
      <c r="U42" s="445">
        <v>60.190650240948661706425090910</v>
      </c>
      <c r="V42" s="445">
        <v>79.91492267080715834044926670</v>
      </c>
      <c r="W42" s="445">
        <v>88.70249053624686555120576296</v>
      </c>
      <c r="X42" s="446">
        <v>76.800123187755766836262471810</v>
      </c>
      <c r="Y42" s="445">
        <v>77.151639108550509013533592190</v>
      </c>
      <c r="Z42" s="445">
        <v>80.38520212832265052325195646</v>
      </c>
      <c r="AA42" s="445">
        <v>76.106335985510868289462006190</v>
      </c>
      <c r="AB42" s="445">
        <v>66.444834423507211350754151930</v>
      </c>
      <c r="AC42" s="445">
        <v>88.84139915697512907701746895</v>
      </c>
      <c r="AD42" s="447">
        <v>86.27164983033327263551867437</v>
      </c>
      <c r="AE42" s="448"/>
      <c r="AF42" s="444">
        <v>78.601686974296771130293051790</v>
      </c>
      <c r="AG42" s="445">
        <v>79.32706677695925583836547764</v>
      </c>
      <c r="AH42" s="449">
        <v>76.721739899054235207244955160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181</v>
      </c>
      <c r="C43" s="329">
        <v>125.96957863452649913540057043</v>
      </c>
      <c r="D43" s="330">
        <v>122.28299968937699618422912340</v>
      </c>
      <c r="E43" s="330">
        <v>118.77171528952559144078118229</v>
      </c>
      <c r="F43" s="330">
        <v>97.60571411639848732261063845</v>
      </c>
      <c r="G43" s="330">
        <v>87.91443596346651125198267134</v>
      </c>
      <c r="H43" s="330">
        <v>99.48929431290153249097596087</v>
      </c>
      <c r="I43" s="330">
        <v>102.23044967169205734166657242</v>
      </c>
      <c r="J43" s="330">
        <v>87.07327615195416127728104625</v>
      </c>
      <c r="K43" s="330">
        <v>86.75064810408459264143357170</v>
      </c>
      <c r="L43" s="663">
        <v>91.43041086415270423514429464</v>
      </c>
      <c r="M43" s="330">
        <v>81.10247805428597016178924868</v>
      </c>
      <c r="N43" s="330">
        <v>89.30230659613282973862139891</v>
      </c>
      <c r="O43" s="330">
        <v>115.54888886492019455357462964</v>
      </c>
      <c r="P43" s="330">
        <v>117.68400215712459521775155953</v>
      </c>
      <c r="Q43" s="330">
        <v>91.59345320694279851790786893</v>
      </c>
      <c r="R43" s="330">
        <v>88.72388554976686332698169547</v>
      </c>
      <c r="S43" s="330">
        <v>95.56835540959208613508776585</v>
      </c>
      <c r="T43" s="330">
        <v>89.07743718249598577446800875</v>
      </c>
      <c r="U43" s="330">
        <v>91.11052752397571306505233937</v>
      </c>
      <c r="V43" s="330">
        <v>108.59679081403412181096891019</v>
      </c>
      <c r="W43" s="330">
        <v>115.46351481211153086726813656</v>
      </c>
      <c r="X43" s="331">
        <v>93.89215950721391846452493582</v>
      </c>
      <c r="Y43" s="330">
        <v>92.37465855233441031840002490</v>
      </c>
      <c r="Z43" s="330">
        <v>88.11760584232105108820062705</v>
      </c>
      <c r="AA43" s="330">
        <v>84.29809138174523297405766995</v>
      </c>
      <c r="AB43" s="330">
        <v>84.25854026351110953076894744</v>
      </c>
      <c r="AC43" s="330">
        <v>116.78950054057260744923213854</v>
      </c>
      <c r="AD43" s="338">
        <v>107.47204248146290392875370849</v>
      </c>
      <c r="AE43" s="88"/>
      <c r="AF43" s="329">
        <v>96.82638432767382321676399476</v>
      </c>
      <c r="AG43" s="330">
        <v>99.12789836195850308579565846</v>
      </c>
      <c r="AH43" s="332">
        <v>98.25953891403504901660376783</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275" t="s">
        <v>182</v>
      </c>
      <c r="D46" s="276"/>
      <c r="E46" s="276"/>
      <c r="F46" s="276"/>
      <c r="G46" s="276"/>
      <c r="H46" s="276"/>
      <c r="I46" s="276"/>
      <c r="J46" s="276"/>
      <c r="K46" s="276"/>
      <c r="L46" s="658" t="s">
        <v>179</v>
      </c>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row>
    <row r="47" s="42" customFormat="1">
      <c r="C47" s="284">
        <v>22</v>
      </c>
      <c r="D47" s="42">
        <v>23</v>
      </c>
      <c r="E47" s="42">
        <v>24</v>
      </c>
      <c r="F47" s="42">
        <v>25</v>
      </c>
      <c r="G47" s="42">
        <v>26</v>
      </c>
      <c r="H47" s="42">
        <v>27</v>
      </c>
      <c r="I47" s="42">
        <v>28</v>
      </c>
      <c r="J47" s="42">
        <v>29</v>
      </c>
      <c r="K47" s="42">
        <v>30</v>
      </c>
      <c r="L47" s="659">
        <v>1</v>
      </c>
      <c r="M47" s="42">
        <v>2</v>
      </c>
      <c r="N47" s="42">
        <v>3</v>
      </c>
      <c r="O47" s="42">
        <v>4</v>
      </c>
      <c r="P47" s="42">
        <v>5</v>
      </c>
      <c r="Q47" s="42">
        <v>6</v>
      </c>
      <c r="R47" s="42">
        <v>7</v>
      </c>
      <c r="S47" s="42">
        <v>8</v>
      </c>
      <c r="T47" s="42">
        <v>9</v>
      </c>
      <c r="U47" s="42">
        <v>10</v>
      </c>
      <c r="V47" s="42">
        <v>11</v>
      </c>
      <c r="W47" s="42">
        <v>12</v>
      </c>
      <c r="X47" s="323">
        <v>13</v>
      </c>
      <c r="Y47" s="42">
        <v>14</v>
      </c>
      <c r="Z47" s="42">
        <v>15</v>
      </c>
      <c r="AA47" s="42">
        <v>16</v>
      </c>
      <c r="AB47" s="42">
        <v>17</v>
      </c>
      <c r="AC47" s="42">
        <v>18</v>
      </c>
      <c r="AD47" s="337">
        <v>19</v>
      </c>
      <c r="AE47" s="25"/>
      <c r="AF47" s="324" t="s">
        <v>60</v>
      </c>
      <c r="AG47" s="325">
        <v>28</v>
      </c>
      <c r="AH47" s="326"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row>
    <row r="48" ht="14.25" customHeight="1">
      <c r="A48" s="1"/>
      <c r="B48" s="46" t="s">
        <v>26</v>
      </c>
      <c r="C48" s="444">
        <v>49.507246202595830193050084590</v>
      </c>
      <c r="D48" s="445">
        <v>78.286815493487591152524446930</v>
      </c>
      <c r="E48" s="445">
        <v>63.338224154035609279391356190</v>
      </c>
      <c r="F48" s="445">
        <v>37.333283763843313974219631730</v>
      </c>
      <c r="G48" s="445">
        <v>7.958052591480124289217028370</v>
      </c>
      <c r="H48" s="445">
        <v>-1.1291463650946379912286263500</v>
      </c>
      <c r="I48" s="445">
        <v>-4.4685887888151956654832402900</v>
      </c>
      <c r="J48" s="445">
        <v>-1.9981907522295099570284930300</v>
      </c>
      <c r="K48" s="445">
        <v>-2.7139015163611919728254779400</v>
      </c>
      <c r="L48" s="660">
        <v>-1.0817565471356758202289673800</v>
      </c>
      <c r="M48" s="445">
        <v>-16.403299089228628473679803770</v>
      </c>
      <c r="N48" s="445">
        <v>-14.029434022600652978431195430</v>
      </c>
      <c r="O48" s="445">
        <v>5.7355849423789944246700123500</v>
      </c>
      <c r="P48" s="445">
        <v>-2.1786395443840776647008269100</v>
      </c>
      <c r="Q48" s="445">
        <v>-13.327643271360439629598892430</v>
      </c>
      <c r="R48" s="445">
        <v>-5.2494738873264865815133570700</v>
      </c>
      <c r="S48" s="445">
        <v>13.964491759146821095856590420</v>
      </c>
      <c r="T48" s="445">
        <v>-0.3048622888465595666960022400</v>
      </c>
      <c r="U48" s="445">
        <v>-32.768216557409733097122468480</v>
      </c>
      <c r="V48" s="445">
        <v>1.8685281430610675717818493800</v>
      </c>
      <c r="W48" s="445">
        <v>9.676133945113061294074668060</v>
      </c>
      <c r="X48" s="446">
        <v>6.1712348344133398321716435500</v>
      </c>
      <c r="Y48" s="445">
        <v>14.289432995250321959405918180</v>
      </c>
      <c r="Z48" s="445">
        <v>8.877117650856441254596756330</v>
      </c>
      <c r="AA48" s="445">
        <v>-1.6185948228112361036339458500</v>
      </c>
      <c r="AB48" s="445">
        <v>2.8950170149999594825360871800</v>
      </c>
      <c r="AC48" s="445">
        <v>5.2736782954970679134806232300</v>
      </c>
      <c r="AD48" s="447">
        <v>5.499364107102739846408088400</v>
      </c>
      <c r="AE48" s="448"/>
      <c r="AF48" s="444">
        <v>2.8568350479010141194229730300</v>
      </c>
      <c r="AG48" s="445">
        <v>2.1970517225182118751551805100</v>
      </c>
      <c r="AH48" s="449">
        <v>-3.1668864978604201550882661400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181</v>
      </c>
      <c r="C49" s="329">
        <v>35.787587834322078198726665300</v>
      </c>
      <c r="D49" s="330">
        <v>35.219964794494762784969479450</v>
      </c>
      <c r="E49" s="330">
        <v>38.757247973708400459836325450</v>
      </c>
      <c r="F49" s="330">
        <v>30.367619138153292451064323630</v>
      </c>
      <c r="G49" s="330">
        <v>4.0625716947524125232190396600</v>
      </c>
      <c r="H49" s="330">
        <v>-5.2312836042227722063008398300</v>
      </c>
      <c r="I49" s="330">
        <v>1.8716247050738797270497991700</v>
      </c>
      <c r="J49" s="330">
        <v>6.0351548420816217243434151500</v>
      </c>
      <c r="K49" s="330">
        <v>0.4897358130051886049705700600</v>
      </c>
      <c r="L49" s="663">
        <v>1.6301631861129714210244690500</v>
      </c>
      <c r="M49" s="330">
        <v>-13.724292218476419913292478320</v>
      </c>
      <c r="N49" s="330">
        <v>-10.876659334887235252460976550</v>
      </c>
      <c r="O49" s="330">
        <v>3.8889221843096210014653865300</v>
      </c>
      <c r="P49" s="330">
        <v>-3.2101400606265407763672112100</v>
      </c>
      <c r="Q49" s="330">
        <v>-5.5729745822278851468792135800</v>
      </c>
      <c r="R49" s="330">
        <v>-12.890208245805436054214236650</v>
      </c>
      <c r="S49" s="330">
        <v>11.925113382626044856855034970</v>
      </c>
      <c r="T49" s="330">
        <v>1.079158179030065031123428700</v>
      </c>
      <c r="U49" s="330">
        <v>-20.724686355533492452060895410</v>
      </c>
      <c r="V49" s="330">
        <v>-5.0813234337562390875803629600</v>
      </c>
      <c r="W49" s="330">
        <v>2.3973925538629685569613733800</v>
      </c>
      <c r="X49" s="331">
        <v>-1.3680041987977473832111785300</v>
      </c>
      <c r="Y49" s="330">
        <v>12.268567099860914011570907580</v>
      </c>
      <c r="Z49" s="330">
        <v>-5.2383951090564560159166339900</v>
      </c>
      <c r="AA49" s="330">
        <v>-11.939744850426998943034457420</v>
      </c>
      <c r="AB49" s="330">
        <v>-0.9383728625502323509995183200</v>
      </c>
      <c r="AC49" s="330">
        <v>-4.6627958611906520290778859400</v>
      </c>
      <c r="AD49" s="338">
        <v>-9.681970922318590330264155980</v>
      </c>
      <c r="AE49" s="88"/>
      <c r="AF49" s="329">
        <v>-4.7174680480797628625785785500</v>
      </c>
      <c r="AG49" s="330">
        <v>-1.1477724826041121074679204700</v>
      </c>
      <c r="AH49" s="332">
        <v>-4.4263070171198087000355882700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275" t="s">
        <v>182</v>
      </c>
      <c r="D52" s="276"/>
      <c r="E52" s="276"/>
      <c r="F52" s="276"/>
      <c r="G52" s="276"/>
      <c r="H52" s="276"/>
      <c r="I52" s="276"/>
      <c r="J52" s="276"/>
      <c r="K52" s="276"/>
      <c r="L52" s="658" t="s">
        <v>179</v>
      </c>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284">
        <v>22</v>
      </c>
      <c r="D53" s="42">
        <v>23</v>
      </c>
      <c r="E53" s="42">
        <v>24</v>
      </c>
      <c r="F53" s="42">
        <v>25</v>
      </c>
      <c r="G53" s="42">
        <v>26</v>
      </c>
      <c r="H53" s="42">
        <v>27</v>
      </c>
      <c r="I53" s="42">
        <v>28</v>
      </c>
      <c r="J53" s="42">
        <v>29</v>
      </c>
      <c r="K53" s="42">
        <v>30</v>
      </c>
      <c r="L53" s="659">
        <v>1</v>
      </c>
      <c r="M53" s="42">
        <v>2</v>
      </c>
      <c r="N53" s="42">
        <v>3</v>
      </c>
      <c r="O53" s="42">
        <v>4</v>
      </c>
      <c r="P53" s="42">
        <v>5</v>
      </c>
      <c r="Q53" s="42">
        <v>6</v>
      </c>
      <c r="R53" s="42">
        <v>7</v>
      </c>
      <c r="S53" s="42">
        <v>8</v>
      </c>
      <c r="T53" s="42">
        <v>9</v>
      </c>
      <c r="U53" s="42">
        <v>10</v>
      </c>
      <c r="V53" s="42">
        <v>11</v>
      </c>
      <c r="W53" s="42">
        <v>12</v>
      </c>
      <c r="X53" s="323">
        <v>13</v>
      </c>
      <c r="Y53" s="42">
        <v>14</v>
      </c>
      <c r="Z53" s="42">
        <v>15</v>
      </c>
      <c r="AA53" s="42">
        <v>16</v>
      </c>
      <c r="AB53" s="42">
        <v>17</v>
      </c>
      <c r="AC53" s="42">
        <v>18</v>
      </c>
      <c r="AD53" s="337">
        <v>19</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170</v>
      </c>
      <c r="D54" s="456" t="s">
        <v>170</v>
      </c>
      <c r="E54" s="456" t="s">
        <v>170</v>
      </c>
      <c r="F54" s="456" t="s">
        <v>170</v>
      </c>
      <c r="G54" s="456" t="s">
        <v>170</v>
      </c>
      <c r="H54" s="456" t="s">
        <v>170</v>
      </c>
      <c r="I54" s="456" t="s">
        <v>170</v>
      </c>
      <c r="J54" s="456" t="s">
        <v>170</v>
      </c>
      <c r="K54" s="456" t="s">
        <v>170</v>
      </c>
      <c r="L54" s="664" t="s">
        <v>170</v>
      </c>
      <c r="M54" s="456" t="s">
        <v>172</v>
      </c>
      <c r="N54" s="456" t="s">
        <v>172</v>
      </c>
      <c r="O54" s="456" t="s">
        <v>170</v>
      </c>
      <c r="P54" s="456" t="s">
        <v>170</v>
      </c>
      <c r="Q54" s="456" t="s">
        <v>172</v>
      </c>
      <c r="R54" s="456" t="s">
        <v>170</v>
      </c>
      <c r="S54" s="456" t="s">
        <v>170</v>
      </c>
      <c r="T54" s="456" t="s">
        <v>170</v>
      </c>
      <c r="U54" s="456" t="s">
        <v>173</v>
      </c>
      <c r="V54" s="456" t="s">
        <v>170</v>
      </c>
      <c r="W54" s="456" t="s">
        <v>170</v>
      </c>
      <c r="X54" s="457" t="s">
        <v>170</v>
      </c>
      <c r="Y54" s="456" t="s">
        <v>170</v>
      </c>
      <c r="Z54" s="456" t="s">
        <v>170</v>
      </c>
      <c r="AA54" s="456" t="s">
        <v>172</v>
      </c>
      <c r="AB54" s="456" t="s">
        <v>170</v>
      </c>
      <c r="AC54" s="456" t="s">
        <v>170</v>
      </c>
      <c r="AD54" s="458" t="s">
        <v>170</v>
      </c>
      <c r="AE54" s="459"/>
      <c r="AF54" s="455" t="s">
        <v>170</v>
      </c>
      <c r="AG54" s="456" t="s">
        <v>170</v>
      </c>
      <c r="AH54" s="460" t="s">
        <v>170</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171</v>
      </c>
      <c r="D55" s="334" t="s">
        <v>171</v>
      </c>
      <c r="E55" s="334" t="s">
        <v>171</v>
      </c>
      <c r="F55" s="334" t="s">
        <v>171</v>
      </c>
      <c r="G55" s="334" t="s">
        <v>172</v>
      </c>
      <c r="H55" s="334" t="s">
        <v>172</v>
      </c>
      <c r="I55" s="334" t="s">
        <v>173</v>
      </c>
      <c r="J55" s="334" t="s">
        <v>172</v>
      </c>
      <c r="K55" s="334" t="s">
        <v>170</v>
      </c>
      <c r="L55" s="665" t="s">
        <v>170</v>
      </c>
      <c r="M55" s="334" t="s">
        <v>172</v>
      </c>
      <c r="N55" s="334" t="s">
        <v>172</v>
      </c>
      <c r="O55" s="334" t="s">
        <v>170</v>
      </c>
      <c r="P55" s="334" t="s">
        <v>170</v>
      </c>
      <c r="Q55" s="334" t="s">
        <v>173</v>
      </c>
      <c r="R55" s="334" t="s">
        <v>173</v>
      </c>
      <c r="S55" s="334" t="s">
        <v>171</v>
      </c>
      <c r="T55" s="334" t="s">
        <v>171</v>
      </c>
      <c r="U55" s="334" t="s">
        <v>175</v>
      </c>
      <c r="V55" s="334" t="s">
        <v>172</v>
      </c>
      <c r="W55" s="334" t="s">
        <v>170</v>
      </c>
      <c r="X55" s="60" t="s">
        <v>170</v>
      </c>
      <c r="Y55" s="61" t="s">
        <v>170</v>
      </c>
      <c r="Z55" s="61" t="s">
        <v>170</v>
      </c>
      <c r="AA55" s="61" t="s">
        <v>173</v>
      </c>
      <c r="AB55" s="61" t="s">
        <v>170</v>
      </c>
      <c r="AC55" s="61" t="s">
        <v>172</v>
      </c>
      <c r="AD55" s="62" t="s">
        <v>170</v>
      </c>
      <c r="AE55" s="59"/>
      <c r="AF55" s="333" t="s">
        <v>170</v>
      </c>
      <c r="AG55" s="334" t="s">
        <v>170</v>
      </c>
      <c r="AH55" s="335" t="s">
        <v>172</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53"/>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48"/>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row>
    <row r="69" s="25" customFormat="1" ht="10.5" customHeight="1">
      <c r="A69" s="248"/>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45780</v>
      </c>
      <c r="C72" s="666">
        <v>45787</v>
      </c>
      <c r="D72" s="666">
        <v>45794</v>
      </c>
      <c r="E72" s="666">
        <v>45801</v>
      </c>
      <c r="F72" s="666">
        <v>45808</v>
      </c>
      <c r="G72" s="666">
        <v>45815</v>
      </c>
      <c r="H72" s="666">
        <v>45822</v>
      </c>
      <c r="I72" s="666">
        <v>45829</v>
      </c>
      <c r="J72" s="666">
        <v>45836</v>
      </c>
      <c r="K72" s="666">
        <v>45843</v>
      </c>
      <c r="L72" s="666">
        <v>45850</v>
      </c>
      <c r="M72" s="666">
        <v>45857</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322.13578826237054085155350978</v>
      </c>
      <c r="C73" s="666">
        <v>232.81440443213296398891966759</v>
      </c>
      <c r="D73" s="666">
        <v>199.37266187050359712230215827</v>
      </c>
      <c r="E73" s="666">
        <v>210.57524271844660194174757282</v>
      </c>
      <c r="F73" s="666">
        <v>169.71326676176890156918687589</v>
      </c>
      <c r="G73" s="666">
        <v>161.75036710719530102790014684</v>
      </c>
      <c r="H73" s="666">
        <v>176.35779816513761467889908257</v>
      </c>
      <c r="I73" s="666">
        <v>185.25680473372781065088757396</v>
      </c>
      <c r="J73" s="666">
        <v>190.3977433004231311706629055</v>
      </c>
      <c r="K73" s="666">
        <v>165.72391857506361323155216285</v>
      </c>
      <c r="L73" s="666">
        <v>170.87415426251691474966170501</v>
      </c>
      <c r="M73" s="666">
        <v>168.60397350993377483443708609</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383.20122753178430512932924156</v>
      </c>
      <c r="C74" s="666">
        <v>280.47484454494064443188241945</v>
      </c>
      <c r="D74" s="666">
        <v>238.04658385093167701863354037</v>
      </c>
      <c r="E74" s="666">
        <v>270.95356371490280777537796976</v>
      </c>
      <c r="F74" s="666">
        <v>238.47383553766532489936745256</v>
      </c>
      <c r="G74" s="666">
        <v>207.77190635451505016722408027</v>
      </c>
      <c r="H74" s="666">
        <v>213.51722190852625635234330887</v>
      </c>
      <c r="I74" s="666">
        <v>244.05369807497467071935157042</v>
      </c>
      <c r="J74" s="666">
        <v>211.79977181973759269823160297</v>
      </c>
      <c r="K74" s="666">
        <v>222.51756440281030444964871194</v>
      </c>
      <c r="L74" s="666">
        <v>226.42781998831092928112215079</v>
      </c>
      <c r="M74" s="666">
        <v>214.50426829268292682926829268</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s="84" customFormat="1" ht="14.25">
      <c r="A75" s="260" t="s">
        <v>181</v>
      </c>
      <c r="B75" s="666">
        <v>288.82988805600501931776904534</v>
      </c>
      <c r="C75" s="666">
        <v>226.67393770524430291571300627</v>
      </c>
      <c r="D75" s="666">
        <v>209.1931728292396000243392897</v>
      </c>
      <c r="E75" s="666">
        <v>204.70062341168996188055908513</v>
      </c>
      <c r="F75" s="666">
        <v>187.01548370307722334265825255</v>
      </c>
      <c r="G75" s="666">
        <v>175.57626892846041120831298015</v>
      </c>
      <c r="H75" s="666">
        <v>188.5734957339440244816893987</v>
      </c>
      <c r="I75" s="666">
        <v>192.99825325757423655309494649</v>
      </c>
      <c r="J75" s="666">
        <v>180.25663698866286734135112661</v>
      </c>
      <c r="K75" s="666">
        <v>171.50089753362677355103646691</v>
      </c>
      <c r="L75" s="666">
        <v>173.69436731008014448583361553</v>
      </c>
      <c r="M75" s="666">
        <v>174.13019672344017140260133746</v>
      </c>
      <c r="N75" s="666"/>
      <c r="O75" s="666"/>
      <c r="P75" s="666"/>
      <c r="Q75" s="666"/>
      <c r="R75" s="666"/>
      <c r="S75" s="666"/>
      <c r="T75" s="666"/>
      <c r="U75" s="666"/>
      <c r="V75" s="666"/>
      <c r="W75" s="666"/>
      <c r="X75" s="666"/>
      <c r="Y75" s="666"/>
      <c r="Z75" s="666"/>
      <c r="AA75" s="666"/>
      <c r="AB75" s="666"/>
      <c r="AC75" s="666"/>
      <c r="AD75" s="666"/>
      <c r="AE75" s="666"/>
      <c r="AF75" s="666"/>
      <c r="AG75" s="666"/>
      <c r="AH75" s="666"/>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7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133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177</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178</v>
      </c>
      <c r="R4" s="618" t="s">
        <v>183</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275" t="s">
        <v>182</v>
      </c>
      <c r="D24" s="276"/>
      <c r="E24" s="276"/>
      <c r="F24" s="276"/>
      <c r="G24" s="276"/>
      <c r="H24" s="276"/>
      <c r="I24" s="276"/>
      <c r="J24" s="276"/>
      <c r="K24" s="276"/>
      <c r="L24" s="658" t="s">
        <v>179</v>
      </c>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row>
    <row r="25" s="42" customFormat="1">
      <c r="C25" s="279">
        <v>22</v>
      </c>
      <c r="D25" s="280">
        <v>23</v>
      </c>
      <c r="E25" s="280">
        <v>24</v>
      </c>
      <c r="F25" s="280">
        <v>25</v>
      </c>
      <c r="G25" s="280">
        <v>26</v>
      </c>
      <c r="H25" s="280">
        <v>27</v>
      </c>
      <c r="I25" s="280">
        <v>28</v>
      </c>
      <c r="J25" s="280">
        <v>29</v>
      </c>
      <c r="K25" s="280">
        <v>30</v>
      </c>
      <c r="L25" s="676">
        <v>1</v>
      </c>
      <c r="M25" s="280">
        <v>2</v>
      </c>
      <c r="N25" s="280">
        <v>3</v>
      </c>
      <c r="O25" s="280">
        <v>4</v>
      </c>
      <c r="P25" s="280">
        <v>5</v>
      </c>
      <c r="Q25" s="280">
        <v>6</v>
      </c>
      <c r="R25" s="280">
        <v>7</v>
      </c>
      <c r="S25" s="280">
        <v>8</v>
      </c>
      <c r="T25" s="280">
        <v>9</v>
      </c>
      <c r="U25" s="280">
        <v>10</v>
      </c>
      <c r="V25" s="280">
        <v>11</v>
      </c>
      <c r="W25" s="280">
        <v>12</v>
      </c>
      <c r="X25" s="315">
        <v>13</v>
      </c>
      <c r="Y25" s="280">
        <v>14</v>
      </c>
      <c r="Z25" s="280">
        <v>15</v>
      </c>
      <c r="AA25" s="280">
        <v>16</v>
      </c>
      <c r="AB25" s="280">
        <v>17</v>
      </c>
      <c r="AC25" s="280">
        <v>18</v>
      </c>
      <c r="AD25" s="373">
        <v>19</v>
      </c>
      <c r="AE25" s="25"/>
      <c r="AF25" s="319" t="s">
        <v>60</v>
      </c>
      <c r="AG25" s="320">
        <v>28</v>
      </c>
      <c r="AH25" s="321"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row>
    <row r="26" ht="14.25" customHeight="1">
      <c r="B26" s="46" t="s">
        <v>32</v>
      </c>
      <c r="C26" s="461">
        <v>144.40909090909090909090909091</v>
      </c>
      <c r="D26" s="462">
        <v>127.46212121212121212121212121</v>
      </c>
      <c r="E26" s="462">
        <v>124.68181818181818181818181818</v>
      </c>
      <c r="F26" s="462">
        <v>132.89393939393939393939393939</v>
      </c>
      <c r="G26" s="462">
        <v>140.26515151515151515151515152</v>
      </c>
      <c r="H26" s="462">
        <v>170.71969696969696969696969697</v>
      </c>
      <c r="I26" s="462">
        <v>182.23484848484848484848484848</v>
      </c>
      <c r="J26" s="462">
        <v>113.96969696969696969696969697</v>
      </c>
      <c r="K26" s="462">
        <v>106.62878787878787878787878788</v>
      </c>
      <c r="L26" s="673">
        <v>104.88636363636363636363636364</v>
      </c>
      <c r="M26" s="462">
        <v>107.34848484848484848484848485</v>
      </c>
      <c r="N26" s="462">
        <v>135.66666666666666666666666667</v>
      </c>
      <c r="O26" s="462">
        <v>218.25757575757575757575757576</v>
      </c>
      <c r="P26" s="462">
        <v>200.0530303030303030303030303</v>
      </c>
      <c r="Q26" s="462">
        <v>116.04545454545454545454545455</v>
      </c>
      <c r="R26" s="462">
        <v>90.57575757575757575757575758</v>
      </c>
      <c r="S26" s="462">
        <v>94.46212121212121212121212121</v>
      </c>
      <c r="T26" s="462">
        <v>111.81818181818181818181818182</v>
      </c>
      <c r="U26" s="462">
        <v>132.34090909090909090909090909</v>
      </c>
      <c r="V26" s="462">
        <v>191.70454545454545454545454545</v>
      </c>
      <c r="W26" s="462">
        <v>219.68939393939393939393939394</v>
      </c>
      <c r="X26" s="463">
        <v>120.68939393939393939393939394</v>
      </c>
      <c r="Y26" s="462">
        <v>108.10606060606060606060606061</v>
      </c>
      <c r="Z26" s="462">
        <v>96.17424242424242424242424242</v>
      </c>
      <c r="AA26" s="462">
        <v>102.08333333333333333333333333</v>
      </c>
      <c r="AB26" s="462">
        <v>129.97727272727272727272727273</v>
      </c>
      <c r="AC26" s="462">
        <v>202.25757575757575757575757576</v>
      </c>
      <c r="AD26" s="464">
        <v>205.07575757575757575757575758</v>
      </c>
      <c r="AE26" s="465"/>
      <c r="AF26" s="461">
        <v>137.76623376623376623376623377</v>
      </c>
      <c r="AG26" s="462">
        <v>140.37418831168831168831168831</v>
      </c>
      <c r="AH26" s="466">
        <v>141.43221690590111642743221691</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173.72383720930232558139534884</v>
      </c>
      <c r="D27" s="85">
        <v>138.59883720930232558139534884</v>
      </c>
      <c r="E27" s="85">
        <v>123.96511627906976744186046512</v>
      </c>
      <c r="F27" s="85">
        <v>118.68895348837209302325581395</v>
      </c>
      <c r="G27" s="85">
        <v>138.36918604651162790697674419</v>
      </c>
      <c r="H27" s="85">
        <v>179.45058139534883720930232558</v>
      </c>
      <c r="I27" s="85">
        <v>206.52034883720930232558139535</v>
      </c>
      <c r="J27" s="85">
        <v>128.35465116279069767441860465</v>
      </c>
      <c r="K27" s="85">
        <v>109.59883720930232558139534884</v>
      </c>
      <c r="L27" s="674">
        <v>118.71802325581395348837209302</v>
      </c>
      <c r="M27" s="85">
        <v>122.90697674418604651162790698</v>
      </c>
      <c r="N27" s="85">
        <v>176.7906976744186046511627907</v>
      </c>
      <c r="O27" s="85">
        <v>232.2093023255813953488372093</v>
      </c>
      <c r="P27" s="85">
        <v>216.24709302325581395348837209</v>
      </c>
      <c r="Q27" s="85">
        <v>133.77906976744186046511627907</v>
      </c>
      <c r="R27" s="85">
        <v>107.2936046511627906976744186</v>
      </c>
      <c r="S27" s="85">
        <v>113.10174418604651162790697674</v>
      </c>
      <c r="T27" s="85">
        <v>121.47674418604651162790697674</v>
      </c>
      <c r="U27" s="85">
        <v>183.40988372093023255813953488</v>
      </c>
      <c r="V27" s="85">
        <v>235.92441860465116279069767442</v>
      </c>
      <c r="W27" s="85">
        <v>231.22965116279069767441860465</v>
      </c>
      <c r="X27" s="86">
        <v>116.09302325581395348837209302</v>
      </c>
      <c r="Y27" s="85">
        <v>104.2093023255813953488372093</v>
      </c>
      <c r="Z27" s="85">
        <v>100.58720930232558139534883721</v>
      </c>
      <c r="AA27" s="85">
        <v>109.24127906976744186046511628</v>
      </c>
      <c r="AB27" s="85">
        <v>142.55523255813953488372093023</v>
      </c>
      <c r="AC27" s="85">
        <v>228.02034883720930232558139535</v>
      </c>
      <c r="AD27" s="87">
        <v>221.93023255813953488372093023</v>
      </c>
      <c r="AE27" s="169"/>
      <c r="AF27" s="370">
        <v>146.09094684385382059800664452</v>
      </c>
      <c r="AG27" s="85">
        <v>154.74979235880398671096345515</v>
      </c>
      <c r="AH27" s="371">
        <v>158.72230722154222766217870257</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181</v>
      </c>
      <c r="C28" s="467">
        <v>137.52368079584775086505190311</v>
      </c>
      <c r="D28" s="468">
        <v>129.87629757785467128027681661</v>
      </c>
      <c r="E28" s="468">
        <v>128.12900086505190311418685121</v>
      </c>
      <c r="F28" s="468">
        <v>122.37640570934256055363321799</v>
      </c>
      <c r="G28" s="468">
        <v>127.52746539792387543252595156</v>
      </c>
      <c r="H28" s="468">
        <v>154.36407871972318339100346021</v>
      </c>
      <c r="I28" s="468">
        <v>161.26643598615916955017301038</v>
      </c>
      <c r="J28" s="468">
        <v>103.10521193771626297577854671</v>
      </c>
      <c r="K28" s="468">
        <v>84.77314013840830449826989619</v>
      </c>
      <c r="L28" s="675">
        <v>84.42540587977182974989030276</v>
      </c>
      <c r="M28" s="468">
        <v>80.73255813953488372093023256</v>
      </c>
      <c r="N28" s="468">
        <v>104.96369021500658183413777973</v>
      </c>
      <c r="O28" s="468">
        <v>155.4665423431329530495831505</v>
      </c>
      <c r="P28" s="468">
        <v>148.88832821412900394910048267</v>
      </c>
      <c r="Q28" s="468">
        <v>92.88339183852566915313734094</v>
      </c>
      <c r="R28" s="468">
        <v>85.16992101799034664326458973</v>
      </c>
      <c r="S28" s="468">
        <v>94.06055287406757349714787187</v>
      </c>
      <c r="T28" s="468">
        <v>101.52204914436156208863536639</v>
      </c>
      <c r="U28" s="468">
        <v>119.46577446248354541465555068</v>
      </c>
      <c r="V28" s="468">
        <v>173.23771390960947784115840281</v>
      </c>
      <c r="W28" s="468">
        <v>177.64831066257130320315928039</v>
      </c>
      <c r="X28" s="469">
        <v>99.49967090829311101360245722</v>
      </c>
      <c r="Y28" s="468">
        <v>97.90236946028960070206230803</v>
      </c>
      <c r="Z28" s="468">
        <v>104.34159719175076788064940763</v>
      </c>
      <c r="AA28" s="468">
        <v>116.35750329091706888986397543</v>
      </c>
      <c r="AB28" s="468">
        <v>134.24670908293111013602457218</v>
      </c>
      <c r="AC28" s="468">
        <v>156.7082053532250987275120667</v>
      </c>
      <c r="AD28" s="470">
        <v>173.5716322948661693725318122</v>
      </c>
      <c r="AE28" s="465"/>
      <c r="AF28" s="467">
        <v>126.08966965461041810317808563</v>
      </c>
      <c r="AG28" s="468">
        <v>123.23607839772886802165062628</v>
      </c>
      <c r="AH28" s="471">
        <v>121.11010138333987667721299739</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275" t="s">
        <v>182</v>
      </c>
      <c r="D33" s="276"/>
      <c r="E33" s="276"/>
      <c r="F33" s="276"/>
      <c r="G33" s="276"/>
      <c r="H33" s="276"/>
      <c r="I33" s="276"/>
      <c r="J33" s="276"/>
      <c r="K33" s="276"/>
      <c r="L33" s="658" t="s">
        <v>179</v>
      </c>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row>
    <row r="34" s="42" customFormat="1">
      <c r="C34" s="279">
        <v>22</v>
      </c>
      <c r="D34" s="280">
        <v>23</v>
      </c>
      <c r="E34" s="280">
        <v>24</v>
      </c>
      <c r="F34" s="280">
        <v>25</v>
      </c>
      <c r="G34" s="280">
        <v>26</v>
      </c>
      <c r="H34" s="280">
        <v>27</v>
      </c>
      <c r="I34" s="280">
        <v>28</v>
      </c>
      <c r="J34" s="280">
        <v>29</v>
      </c>
      <c r="K34" s="280">
        <v>30</v>
      </c>
      <c r="L34" s="676">
        <v>1</v>
      </c>
      <c r="M34" s="280">
        <v>2</v>
      </c>
      <c r="N34" s="280">
        <v>3</v>
      </c>
      <c r="O34" s="280">
        <v>4</v>
      </c>
      <c r="P34" s="280">
        <v>5</v>
      </c>
      <c r="Q34" s="280">
        <v>6</v>
      </c>
      <c r="R34" s="280">
        <v>7</v>
      </c>
      <c r="S34" s="280">
        <v>8</v>
      </c>
      <c r="T34" s="280">
        <v>9</v>
      </c>
      <c r="U34" s="280">
        <v>10</v>
      </c>
      <c r="V34" s="280">
        <v>11</v>
      </c>
      <c r="W34" s="280">
        <v>12</v>
      </c>
      <c r="X34" s="315">
        <v>13</v>
      </c>
      <c r="Y34" s="280">
        <v>14</v>
      </c>
      <c r="Z34" s="280">
        <v>15</v>
      </c>
      <c r="AA34" s="280">
        <v>16</v>
      </c>
      <c r="AB34" s="280">
        <v>17</v>
      </c>
      <c r="AC34" s="280">
        <v>18</v>
      </c>
      <c r="AD34" s="373">
        <v>19</v>
      </c>
      <c r="AE34" s="25"/>
      <c r="AF34" s="319" t="s">
        <v>60</v>
      </c>
      <c r="AG34" s="320">
        <v>28</v>
      </c>
      <c r="AH34" s="321"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row>
    <row r="35" ht="14.25" customHeight="1">
      <c r="B35" s="46" t="s">
        <v>32</v>
      </c>
      <c r="C35" s="444">
        <v>21.174750492700945814173232810</v>
      </c>
      <c r="D35" s="445">
        <v>18.236120871431689703688385570</v>
      </c>
      <c r="E35" s="445">
        <v>35.401069518765591501923699600</v>
      </c>
      <c r="F35" s="445">
        <v>110.66410471969820128026500205</v>
      </c>
      <c r="G35" s="445">
        <v>41.120426829324224559414061440</v>
      </c>
      <c r="H35" s="445">
        <v>5.3973153734446737600980122200</v>
      </c>
      <c r="I35" s="445">
        <v>8.005567528718174387432498860</v>
      </c>
      <c r="J35" s="445">
        <v>24.320304107156118808610864740</v>
      </c>
      <c r="K35" s="445">
        <v>55.490499337066864030458730180</v>
      </c>
      <c r="L35" s="660">
        <v>18.922865486988860035908954180</v>
      </c>
      <c r="M35" s="445">
        <v>7.4217269350510053934231007800</v>
      </c>
      <c r="N35" s="445">
        <v>-14.122668201232875768209637060</v>
      </c>
      <c r="O35" s="445">
        <v>12.693135145731706691054805300</v>
      </c>
      <c r="P35" s="445">
        <v>-8.683173110191277897177637760</v>
      </c>
      <c r="Q35" s="445">
        <v>9.751379236275876537014556540</v>
      </c>
      <c r="R35" s="445">
        <v>-14.158529580740191370669389910</v>
      </c>
      <c r="S35" s="445">
        <v>11.940030523338063367760838250</v>
      </c>
      <c r="T35" s="445">
        <v>35.189595163984111638254181680</v>
      </c>
      <c r="U35" s="445">
        <v>-25.941156520277100024330968780</v>
      </c>
      <c r="V35" s="445">
        <v>-12.936521589543081052218419600</v>
      </c>
      <c r="W35" s="445">
        <v>-5.4113118925012291670018917100</v>
      </c>
      <c r="X35" s="446">
        <v>-14.948481127533495113034812180</v>
      </c>
      <c r="Y35" s="445">
        <v>33.514221556881230755181254450</v>
      </c>
      <c r="Z35" s="445">
        <v>13.378583549108250418158881280</v>
      </c>
      <c r="AA35" s="445">
        <v>-5.3522511765464752612124716100</v>
      </c>
      <c r="AB35" s="445">
        <v>35.467824713735343758479673010</v>
      </c>
      <c r="AC35" s="445">
        <v>9.382169780394491207647637110</v>
      </c>
      <c r="AD35" s="447">
        <v>7.8228311957129255427076056900</v>
      </c>
      <c r="AE35" s="448"/>
      <c r="AF35" s="444">
        <v>8.770250871563932616779791100</v>
      </c>
      <c r="AG35" s="445">
        <v>8.353817590197181343370087890</v>
      </c>
      <c r="AH35" s="449">
        <v>6.0741626794523558612440257700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17.385582400323503090347697780</v>
      </c>
      <c r="D36" s="81">
        <v>-2.4271447282204859435852105700</v>
      </c>
      <c r="E36" s="81">
        <v>-5.2397671214899057634582404600</v>
      </c>
      <c r="F36" s="81">
        <v>5.9392838609523032836573405300</v>
      </c>
      <c r="G36" s="81">
        <v>-5.3302571649996108648643766900</v>
      </c>
      <c r="H36" s="81">
        <v>-5.2609769947266482029000790500</v>
      </c>
      <c r="I36" s="81">
        <v>15.202374002701848146720626220</v>
      </c>
      <c r="J36" s="81">
        <v>13.784306146155069361257253160</v>
      </c>
      <c r="K36" s="81">
        <v>-0.1721079249312491182847619600</v>
      </c>
      <c r="L36" s="661">
        <v>9.294545843770773508086888730</v>
      </c>
      <c r="M36" s="81">
        <v>-17.52335992820818279756881700</v>
      </c>
      <c r="N36" s="81">
        <v>-19.945240101085924574990648120</v>
      </c>
      <c r="O36" s="81">
        <v>2.672202156793063098081046200</v>
      </c>
      <c r="P36" s="81">
        <v>4.0100110457219796159851723100</v>
      </c>
      <c r="Q36" s="81">
        <v>6.6957247519520307919229774400</v>
      </c>
      <c r="R36" s="81">
        <v>-8.473441452128541761226852570</v>
      </c>
      <c r="S36" s="81">
        <v>8.557477678600506467235339420</v>
      </c>
      <c r="T36" s="81">
        <v>14.566141192582593078061017230</v>
      </c>
      <c r="U36" s="81">
        <v>27.352549352034067445960510090</v>
      </c>
      <c r="V36" s="81">
        <v>9.064276403324832488246121230</v>
      </c>
      <c r="W36" s="81">
        <v>-2.4921545552527452132097408500</v>
      </c>
      <c r="X36" s="82">
        <v>-37.727464096928156992054465310</v>
      </c>
      <c r="Y36" s="81">
        <v>-25.765168771979118462732120160</v>
      </c>
      <c r="Z36" s="81">
        <v>-28.401754676366231046958511210</v>
      </c>
      <c r="AA36" s="81">
        <v>-17.793625445730047273126553930</v>
      </c>
      <c r="AB36" s="81">
        <v>-9.260972540897978774477631680</v>
      </c>
      <c r="AC36" s="81">
        <v>2.698421011305334746426494500</v>
      </c>
      <c r="AD36" s="83">
        <v>3.9344351567170835606809258300</v>
      </c>
      <c r="AE36" s="88"/>
      <c r="AF36" s="327">
        <v>-14.268968508886792086155419820</v>
      </c>
      <c r="AG36" s="81">
        <v>-2.1020587105186574749401323400</v>
      </c>
      <c r="AH36" s="328">
        <v>-1.1872853313799877356609256300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181</v>
      </c>
      <c r="C37" s="450">
        <v>22.763390311365915818823707060</v>
      </c>
      <c r="D37" s="451">
        <v>28.539476055773268970622291600</v>
      </c>
      <c r="E37" s="451">
        <v>13.327507113536340841974591030</v>
      </c>
      <c r="F37" s="451">
        <v>4.8416819427769576928585518600</v>
      </c>
      <c r="G37" s="451">
        <v>1.5022565076048940749092204400</v>
      </c>
      <c r="H37" s="451">
        <v>-0.0898722347327620851313456100</v>
      </c>
      <c r="I37" s="451">
        <v>-0.729298199632826768527168900</v>
      </c>
      <c r="J37" s="451">
        <v>0.5797198782291756749048764300</v>
      </c>
      <c r="K37" s="451">
        <v>8.999122229705888954191602420</v>
      </c>
      <c r="L37" s="662">
        <v>0.5918376896432719657656171500</v>
      </c>
      <c r="M37" s="451">
        <v>-15.507978579349378318026329720</v>
      </c>
      <c r="N37" s="451">
        <v>-24.921482521033775483962861610</v>
      </c>
      <c r="O37" s="451">
        <v>-6.5461419317161215269949186900</v>
      </c>
      <c r="P37" s="451">
        <v>-6.8682110646920144703404722500</v>
      </c>
      <c r="Q37" s="451">
        <v>-9.882594513141054328683237660</v>
      </c>
      <c r="R37" s="451">
        <v>-17.050738963022468041308912280</v>
      </c>
      <c r="S37" s="451">
        <v>-3.9550097093672164156814998100</v>
      </c>
      <c r="T37" s="451">
        <v>-5.6712969732930679851483939300</v>
      </c>
      <c r="U37" s="451">
        <v>-14.085629105232895599968984480</v>
      </c>
      <c r="V37" s="451">
        <v>-9.824566180514295666874295150</v>
      </c>
      <c r="W37" s="451">
        <v>-7.0570514185113075427174332300</v>
      </c>
      <c r="X37" s="452">
        <v>-25.570102925078121257833303560</v>
      </c>
      <c r="Y37" s="451">
        <v>-11.737766833451560562997149220</v>
      </c>
      <c r="Z37" s="451">
        <v>0.6774185232664577548544586700</v>
      </c>
      <c r="AA37" s="451">
        <v>1.8756626722075254439233141500</v>
      </c>
      <c r="AB37" s="451">
        <v>6.8360083600828122873683888500</v>
      </c>
      <c r="AC37" s="451">
        <v>-1.5960220234554856375090746300</v>
      </c>
      <c r="AD37" s="453">
        <v>4.8589985493388578642127784500</v>
      </c>
      <c r="AE37" s="448"/>
      <c r="AF37" s="450">
        <v>-3.3154832801692860701317642800</v>
      </c>
      <c r="AG37" s="451">
        <v>-3.0210283439980043478242743700</v>
      </c>
      <c r="AH37" s="454">
        <v>-4.2909139812332366538392492400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275" t="s">
        <v>182</v>
      </c>
      <c r="D40" s="276"/>
      <c r="E40" s="276"/>
      <c r="F40" s="276"/>
      <c r="G40" s="276"/>
      <c r="H40" s="276"/>
      <c r="I40" s="276"/>
      <c r="J40" s="276"/>
      <c r="K40" s="276"/>
      <c r="L40" s="658" t="s">
        <v>179</v>
      </c>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row>
    <row r="41" s="42" customFormat="1">
      <c r="C41" s="279">
        <v>22</v>
      </c>
      <c r="D41" s="280">
        <v>23</v>
      </c>
      <c r="E41" s="280">
        <v>24</v>
      </c>
      <c r="F41" s="280">
        <v>25</v>
      </c>
      <c r="G41" s="280">
        <v>26</v>
      </c>
      <c r="H41" s="280">
        <v>27</v>
      </c>
      <c r="I41" s="280">
        <v>28</v>
      </c>
      <c r="J41" s="280">
        <v>29</v>
      </c>
      <c r="K41" s="280">
        <v>30</v>
      </c>
      <c r="L41" s="676">
        <v>1</v>
      </c>
      <c r="M41" s="280">
        <v>2</v>
      </c>
      <c r="N41" s="280">
        <v>3</v>
      </c>
      <c r="O41" s="280">
        <v>4</v>
      </c>
      <c r="P41" s="280">
        <v>5</v>
      </c>
      <c r="Q41" s="280">
        <v>6</v>
      </c>
      <c r="R41" s="280">
        <v>7</v>
      </c>
      <c r="S41" s="280">
        <v>8</v>
      </c>
      <c r="T41" s="280">
        <v>9</v>
      </c>
      <c r="U41" s="280">
        <v>10</v>
      </c>
      <c r="V41" s="280">
        <v>11</v>
      </c>
      <c r="W41" s="280">
        <v>12</v>
      </c>
      <c r="X41" s="315">
        <v>13</v>
      </c>
      <c r="Y41" s="280">
        <v>14</v>
      </c>
      <c r="Z41" s="280">
        <v>15</v>
      </c>
      <c r="AA41" s="280">
        <v>16</v>
      </c>
      <c r="AB41" s="280">
        <v>17</v>
      </c>
      <c r="AC41" s="280">
        <v>18</v>
      </c>
      <c r="AD41" s="373">
        <v>19</v>
      </c>
      <c r="AE41" s="25"/>
      <c r="AF41" s="319" t="s">
        <v>60</v>
      </c>
      <c r="AG41" s="320">
        <v>28</v>
      </c>
      <c r="AH41" s="321"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row>
    <row r="42" ht="14.25" customHeight="1">
      <c r="A42" s="1"/>
      <c r="B42" s="46" t="s">
        <v>26</v>
      </c>
      <c r="C42" s="444">
        <v>83.12566267754545227250907387</v>
      </c>
      <c r="D42" s="445">
        <v>91.96478396109407418089823073</v>
      </c>
      <c r="E42" s="445">
        <v>100.57814805021807151781568984</v>
      </c>
      <c r="F42" s="445">
        <v>111.96824598080874516529270252</v>
      </c>
      <c r="G42" s="445">
        <v>101.37022231814991075655778088</v>
      </c>
      <c r="H42" s="445">
        <v>95.13465804472913155190923564</v>
      </c>
      <c r="I42" s="445">
        <v>88.24062592907211475853851637</v>
      </c>
      <c r="J42" s="445">
        <v>88.79280644465488111145388142</v>
      </c>
      <c r="K42" s="445">
        <v>97.29007222509099947909422248</v>
      </c>
      <c r="L42" s="660">
        <v>88.34914932029024135815833645</v>
      </c>
      <c r="M42" s="445">
        <v>87.34124595050755794461271151</v>
      </c>
      <c r="N42" s="445">
        <v>76.738577567314924694648844860</v>
      </c>
      <c r="O42" s="445">
        <v>93.99174519354036696841289369</v>
      </c>
      <c r="P42" s="445">
        <v>92.51131541522047953659967053</v>
      </c>
      <c r="Q42" s="445">
        <v>86.74410335429998867285235890</v>
      </c>
      <c r="R42" s="445">
        <v>84.41859873215150906274443961</v>
      </c>
      <c r="S42" s="445">
        <v>83.51959723695751434254731256</v>
      </c>
      <c r="T42" s="445">
        <v>92.04904409272823131425359209</v>
      </c>
      <c r="U42" s="445">
        <v>72.155821925221865307098245130</v>
      </c>
      <c r="V42" s="445">
        <v>81.25676290242488137641237617</v>
      </c>
      <c r="W42" s="445">
        <v>95.00917933086314931266932841</v>
      </c>
      <c r="X42" s="446">
        <v>103.95921352953852462380951864</v>
      </c>
      <c r="Y42" s="445">
        <v>103.73935742155269238443847768</v>
      </c>
      <c r="Z42" s="445">
        <v>95.61279519665859737983713470</v>
      </c>
      <c r="AA42" s="445">
        <v>93.44758153930706122444520683</v>
      </c>
      <c r="AB42" s="445">
        <v>91.17678137440449076058871680</v>
      </c>
      <c r="AC42" s="445">
        <v>88.70154650187903855932465507</v>
      </c>
      <c r="AD42" s="447">
        <v>92.40550744796339359952187943</v>
      </c>
      <c r="AE42" s="448"/>
      <c r="AF42" s="444">
        <v>94.30169133850484685623421944</v>
      </c>
      <c r="AG42" s="445">
        <v>90.71042110752518540025651414</v>
      </c>
      <c r="AH42" s="449">
        <v>89.10670426969648725560327046</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181</v>
      </c>
      <c r="C43" s="329">
        <v>105.00670871623528480848439658</v>
      </c>
      <c r="D43" s="330">
        <v>98.14117247657852177527423951</v>
      </c>
      <c r="E43" s="330">
        <v>97.30959996565401471587925987</v>
      </c>
      <c r="F43" s="330">
        <v>108.59441297011398785768827211</v>
      </c>
      <c r="G43" s="330">
        <v>109.98819044784470965492888281</v>
      </c>
      <c r="H43" s="330">
        <v>110.59548204844736311921872432</v>
      </c>
      <c r="I43" s="330">
        <v>113.00234135542178656167056053</v>
      </c>
      <c r="J43" s="330">
        <v>110.53728015084406715631946017</v>
      </c>
      <c r="K43" s="330">
        <v>125.78133557953204322242450859</v>
      </c>
      <c r="L43" s="663">
        <v>124.23554561963819540108752869</v>
      </c>
      <c r="M43" s="330">
        <v>132.96802098478591401881770524</v>
      </c>
      <c r="N43" s="330">
        <v>129.25104518407929401195421440</v>
      </c>
      <c r="O43" s="330">
        <v>140.38877591803763629152467136</v>
      </c>
      <c r="P43" s="330">
        <v>134.36448155650988841638100684</v>
      </c>
      <c r="Q43" s="330">
        <v>124.93671069552168511224587492</v>
      </c>
      <c r="R43" s="330">
        <v>106.34711937400422652764348203</v>
      </c>
      <c r="S43" s="330">
        <v>100.42692534303802267470933512</v>
      </c>
      <c r="T43" s="330">
        <v>110.14176995101537240698519005</v>
      </c>
      <c r="U43" s="330">
        <v>110.77725791034030639919261896</v>
      </c>
      <c r="V43" s="330">
        <v>110.65982177217019466528887666</v>
      </c>
      <c r="W43" s="330">
        <v>123.66534368944313183035020284</v>
      </c>
      <c r="X43" s="331">
        <v>121.29627448780471153442940974</v>
      </c>
      <c r="Y43" s="330">
        <v>110.42231276118221451912397256</v>
      </c>
      <c r="Z43" s="330">
        <v>92.17248442867478739876484753</v>
      </c>
      <c r="AA43" s="330">
        <v>87.73248862011031977665627037</v>
      </c>
      <c r="AB43" s="330">
        <v>96.81970874012947961887090590</v>
      </c>
      <c r="AC43" s="330">
        <v>129.06635954493472480464448415</v>
      </c>
      <c r="AD43" s="338">
        <v>118.15050354964211017482463648</v>
      </c>
      <c r="AE43" s="88"/>
      <c r="AF43" s="329">
        <v>109.26052399345609843150798773</v>
      </c>
      <c r="AG43" s="330">
        <v>113.90673099697415111940310962</v>
      </c>
      <c r="AH43" s="332">
        <v>116.77986831031036890474773272</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275" t="s">
        <v>182</v>
      </c>
      <c r="D46" s="276"/>
      <c r="E46" s="276"/>
      <c r="F46" s="276"/>
      <c r="G46" s="276"/>
      <c r="H46" s="276"/>
      <c r="I46" s="276"/>
      <c r="J46" s="276"/>
      <c r="K46" s="276"/>
      <c r="L46" s="658" t="s">
        <v>179</v>
      </c>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row>
    <row r="47" s="42" customFormat="1">
      <c r="C47" s="279">
        <v>22</v>
      </c>
      <c r="D47" s="280">
        <v>23</v>
      </c>
      <c r="E47" s="280">
        <v>24</v>
      </c>
      <c r="F47" s="280">
        <v>25</v>
      </c>
      <c r="G47" s="280">
        <v>26</v>
      </c>
      <c r="H47" s="280">
        <v>27</v>
      </c>
      <c r="I47" s="280">
        <v>28</v>
      </c>
      <c r="J47" s="280">
        <v>29</v>
      </c>
      <c r="K47" s="280">
        <v>30</v>
      </c>
      <c r="L47" s="676">
        <v>1</v>
      </c>
      <c r="M47" s="280">
        <v>2</v>
      </c>
      <c r="N47" s="280">
        <v>3</v>
      </c>
      <c r="O47" s="280">
        <v>4</v>
      </c>
      <c r="P47" s="280">
        <v>5</v>
      </c>
      <c r="Q47" s="280">
        <v>6</v>
      </c>
      <c r="R47" s="280">
        <v>7</v>
      </c>
      <c r="S47" s="280">
        <v>8</v>
      </c>
      <c r="T47" s="280">
        <v>9</v>
      </c>
      <c r="U47" s="280">
        <v>10</v>
      </c>
      <c r="V47" s="280">
        <v>11</v>
      </c>
      <c r="W47" s="280">
        <v>12</v>
      </c>
      <c r="X47" s="315">
        <v>13</v>
      </c>
      <c r="Y47" s="280">
        <v>14</v>
      </c>
      <c r="Z47" s="280">
        <v>15</v>
      </c>
      <c r="AA47" s="280">
        <v>16</v>
      </c>
      <c r="AB47" s="280">
        <v>17</v>
      </c>
      <c r="AC47" s="280">
        <v>18</v>
      </c>
      <c r="AD47" s="373">
        <v>19</v>
      </c>
      <c r="AE47" s="25"/>
      <c r="AF47" s="319" t="s">
        <v>60</v>
      </c>
      <c r="AG47" s="320">
        <v>28</v>
      </c>
      <c r="AH47" s="321"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row>
    <row r="48" ht="14.25" customHeight="1">
      <c r="A48" s="1"/>
      <c r="B48" s="46" t="s">
        <v>26</v>
      </c>
      <c r="C48" s="444">
        <v>3.2279671956753575847155832900</v>
      </c>
      <c r="D48" s="445">
        <v>21.177268557051805497027532720</v>
      </c>
      <c r="E48" s="445">
        <v>42.888071721349485242302633120</v>
      </c>
      <c r="F48" s="445">
        <v>98.85362354918984369334136270</v>
      </c>
      <c r="G48" s="445">
        <v>49.066029549995390503653427010</v>
      </c>
      <c r="H48" s="445">
        <v>11.250160736429456616436356870</v>
      </c>
      <c r="I48" s="445">
        <v>-6.2470991038832758734019994100</v>
      </c>
      <c r="J48" s="445">
        <v>9.259623156940656926094139310</v>
      </c>
      <c r="K48" s="445">
        <v>55.758572183724369191907596260</v>
      </c>
      <c r="L48" s="660">
        <v>8.809515213127199888071075450</v>
      </c>
      <c r="M48" s="445">
        <v>30.245032825668456551469642690</v>
      </c>
      <c r="N48" s="445">
        <v>7.2732363537869185775912632300</v>
      </c>
      <c r="O48" s="445">
        <v>9.760122777510545080486949280</v>
      </c>
      <c r="P48" s="445">
        <v>-12.203810025857613986920796900</v>
      </c>
      <c r="Q48" s="445">
        <v>2.8638958977873645473894190100</v>
      </c>
      <c r="R48" s="445">
        <v>-6.2114081626081471643877885100</v>
      </c>
      <c r="S48" s="445">
        <v>3.1159095782235463122026741800</v>
      </c>
      <c r="T48" s="445">
        <v>18.001351670489178461062813080</v>
      </c>
      <c r="U48" s="445">
        <v>-41.847380475272602626593426650</v>
      </c>
      <c r="V48" s="445">
        <v>-20.17232288920020424386768700</v>
      </c>
      <c r="W48" s="445">
        <v>-2.9937666286955280573069265600</v>
      </c>
      <c r="X48" s="446">
        <v>36.579501122115171816817011170</v>
      </c>
      <c r="Y48" s="445">
        <v>79.85387633832683695712460950</v>
      </c>
      <c r="Z48" s="445">
        <v>58.353857746993561884681671450</v>
      </c>
      <c r="AA48" s="445">
        <v>15.134318155492044087314671140</v>
      </c>
      <c r="AB48" s="445">
        <v>49.293890960890977952367942790</v>
      </c>
      <c r="AC48" s="445">
        <v>6.508131968644831684830332900</v>
      </c>
      <c r="AD48" s="447">
        <v>3.7412009149277857699440832800</v>
      </c>
      <c r="AE48" s="448"/>
      <c r="AF48" s="444">
        <v>26.873839005141974961977844450</v>
      </c>
      <c r="AG48" s="445">
        <v>10.680384248079058206253112620</v>
      </c>
      <c r="AH48" s="449">
        <v>7.3486980244916807499050026100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181</v>
      </c>
      <c r="C49" s="329">
        <v>-1.2940664269741132217050347200</v>
      </c>
      <c r="D49" s="330">
        <v>-8.015712760459216648583363260</v>
      </c>
      <c r="E49" s="330">
        <v>19.477674015206174809106142050</v>
      </c>
      <c r="F49" s="330">
        <v>100.93544935192828458640536064</v>
      </c>
      <c r="G49" s="330">
        <v>39.031812380107976856047875380</v>
      </c>
      <c r="H49" s="330">
        <v>5.4921235023281752772687980600</v>
      </c>
      <c r="I49" s="330">
        <v>8.799036946337884724796054290</v>
      </c>
      <c r="J49" s="330">
        <v>23.603748606267499194650594340</v>
      </c>
      <c r="K49" s="330">
        <v>42.652983029922258286597328490</v>
      </c>
      <c r="L49" s="663">
        <v>18.223176172505860825203436150</v>
      </c>
      <c r="M49" s="330">
        <v>27.138308598773171688550755840</v>
      </c>
      <c r="N49" s="330">
        <v>14.383361156348255352574625010</v>
      </c>
      <c r="O49" s="330">
        <v>20.586926505918740142535585220</v>
      </c>
      <c r="P49" s="330">
        <v>-1.9488104611828025516773287700</v>
      </c>
      <c r="Q49" s="330">
        <v>21.787104991942079709429169190</v>
      </c>
      <c r="R49" s="330">
        <v>3.4867210945488457125660942600</v>
      </c>
      <c r="S49" s="330">
        <v>16.549577635023372811530327220</v>
      </c>
      <c r="T49" s="330">
        <v>43.317559582707787029862797170</v>
      </c>
      <c r="U49" s="330">
        <v>-13.799236718582352986034964790</v>
      </c>
      <c r="V49" s="330">
        <v>-3.451001317298712092877796700</v>
      </c>
      <c r="W49" s="330">
        <v>1.7706986394767746352491326500</v>
      </c>
      <c r="X49" s="331">
        <v>14.270638835996353996744577690</v>
      </c>
      <c r="Y49" s="330">
        <v>51.269933658831650713872575600</v>
      </c>
      <c r="Z49" s="330">
        <v>12.615703910729229479508063990</v>
      </c>
      <c r="AA49" s="330">
        <v>-7.0948386092334655894066084400</v>
      </c>
      <c r="AB49" s="330">
        <v>26.799781078686303544107661230</v>
      </c>
      <c r="AC49" s="330">
        <v>11.156247978572202504545526460</v>
      </c>
      <c r="AD49" s="338">
        <v>2.8264933743341483634326192600</v>
      </c>
      <c r="AE49" s="88"/>
      <c r="AF49" s="329">
        <v>12.500175376369198914635160420</v>
      </c>
      <c r="AG49" s="330">
        <v>11.729188029154014793911833760</v>
      </c>
      <c r="AH49" s="332">
        <v>10.829772900227101556318948310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275" t="s">
        <v>182</v>
      </c>
      <c r="D52" s="276"/>
      <c r="E52" s="276"/>
      <c r="F52" s="276"/>
      <c r="G52" s="276"/>
      <c r="H52" s="276"/>
      <c r="I52" s="276"/>
      <c r="J52" s="276"/>
      <c r="K52" s="276"/>
      <c r="L52" s="658" t="s">
        <v>179</v>
      </c>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279">
        <v>22</v>
      </c>
      <c r="D53" s="280">
        <v>23</v>
      </c>
      <c r="E53" s="280">
        <v>24</v>
      </c>
      <c r="F53" s="280">
        <v>25</v>
      </c>
      <c r="G53" s="280">
        <v>26</v>
      </c>
      <c r="H53" s="280">
        <v>27</v>
      </c>
      <c r="I53" s="280">
        <v>28</v>
      </c>
      <c r="J53" s="280">
        <v>29</v>
      </c>
      <c r="K53" s="280">
        <v>30</v>
      </c>
      <c r="L53" s="676">
        <v>1</v>
      </c>
      <c r="M53" s="280">
        <v>2</v>
      </c>
      <c r="N53" s="280">
        <v>3</v>
      </c>
      <c r="O53" s="280">
        <v>4</v>
      </c>
      <c r="P53" s="280">
        <v>5</v>
      </c>
      <c r="Q53" s="280">
        <v>6</v>
      </c>
      <c r="R53" s="280">
        <v>7</v>
      </c>
      <c r="S53" s="280">
        <v>8</v>
      </c>
      <c r="T53" s="280">
        <v>9</v>
      </c>
      <c r="U53" s="280">
        <v>10</v>
      </c>
      <c r="V53" s="280">
        <v>11</v>
      </c>
      <c r="W53" s="280">
        <v>12</v>
      </c>
      <c r="X53" s="315">
        <v>13</v>
      </c>
      <c r="Y53" s="280">
        <v>14</v>
      </c>
      <c r="Z53" s="280">
        <v>15</v>
      </c>
      <c r="AA53" s="280">
        <v>16</v>
      </c>
      <c r="AB53" s="280">
        <v>17</v>
      </c>
      <c r="AC53" s="280">
        <v>18</v>
      </c>
      <c r="AD53" s="373">
        <v>19</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172</v>
      </c>
      <c r="D54" s="445" t="s">
        <v>172</v>
      </c>
      <c r="E54" s="445" t="s">
        <v>170</v>
      </c>
      <c r="F54" s="445" t="s">
        <v>172</v>
      </c>
      <c r="G54" s="445" t="s">
        <v>170</v>
      </c>
      <c r="H54" s="445" t="s">
        <v>170</v>
      </c>
      <c r="I54" s="445" t="s">
        <v>170</v>
      </c>
      <c r="J54" s="445" t="s">
        <v>170</v>
      </c>
      <c r="K54" s="445" t="s">
        <v>170</v>
      </c>
      <c r="L54" s="660" t="s">
        <v>170</v>
      </c>
      <c r="M54" s="445" t="s">
        <v>170</v>
      </c>
      <c r="N54" s="445" t="s">
        <v>170</v>
      </c>
      <c r="O54" s="445" t="s">
        <v>170</v>
      </c>
      <c r="P54" s="445" t="s">
        <v>170</v>
      </c>
      <c r="Q54" s="445" t="s">
        <v>172</v>
      </c>
      <c r="R54" s="445" t="s">
        <v>172</v>
      </c>
      <c r="S54" s="445" t="s">
        <v>172</v>
      </c>
      <c r="T54" s="445" t="s">
        <v>172</v>
      </c>
      <c r="U54" s="445" t="s">
        <v>173</v>
      </c>
      <c r="V54" s="445" t="s">
        <v>170</v>
      </c>
      <c r="W54" s="445" t="s">
        <v>170</v>
      </c>
      <c r="X54" s="446" t="s">
        <v>170</v>
      </c>
      <c r="Y54" s="445" t="s">
        <v>170</v>
      </c>
      <c r="Z54" s="445" t="s">
        <v>172</v>
      </c>
      <c r="AA54" s="445" t="s">
        <v>172</v>
      </c>
      <c r="AB54" s="445" t="s">
        <v>170</v>
      </c>
      <c r="AC54" s="445" t="s">
        <v>170</v>
      </c>
      <c r="AD54" s="447" t="s">
        <v>170</v>
      </c>
      <c r="AE54" s="448"/>
      <c r="AF54" s="444" t="s">
        <v>170</v>
      </c>
      <c r="AG54" s="445" t="s">
        <v>170</v>
      </c>
      <c r="AH54" s="449" t="s">
        <v>170</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172</v>
      </c>
      <c r="D55" s="330" t="s">
        <v>172</v>
      </c>
      <c r="E55" s="330" t="s">
        <v>172</v>
      </c>
      <c r="F55" s="330" t="s">
        <v>171</v>
      </c>
      <c r="G55" s="330" t="s">
        <v>170</v>
      </c>
      <c r="H55" s="330" t="s">
        <v>172</v>
      </c>
      <c r="I55" s="330" t="s">
        <v>172</v>
      </c>
      <c r="J55" s="330" t="s">
        <v>170</v>
      </c>
      <c r="K55" s="330" t="s">
        <v>170</v>
      </c>
      <c r="L55" s="663" t="s">
        <v>170</v>
      </c>
      <c r="M55" s="330" t="s">
        <v>171</v>
      </c>
      <c r="N55" s="330" t="s">
        <v>170</v>
      </c>
      <c r="O55" s="330" t="s">
        <v>170</v>
      </c>
      <c r="P55" s="330" t="s">
        <v>172</v>
      </c>
      <c r="Q55" s="330" t="s">
        <v>170</v>
      </c>
      <c r="R55" s="330" t="s">
        <v>173</v>
      </c>
      <c r="S55" s="330" t="s">
        <v>172</v>
      </c>
      <c r="T55" s="330" t="s">
        <v>170</v>
      </c>
      <c r="U55" s="330" t="s">
        <v>175</v>
      </c>
      <c r="V55" s="330" t="s">
        <v>173</v>
      </c>
      <c r="W55" s="330" t="s">
        <v>172</v>
      </c>
      <c r="X55" s="89" t="s">
        <v>171</v>
      </c>
      <c r="Y55" s="90" t="s">
        <v>171</v>
      </c>
      <c r="Z55" s="90" t="s">
        <v>171</v>
      </c>
      <c r="AA55" s="90" t="s">
        <v>171</v>
      </c>
      <c r="AB55" s="90" t="s">
        <v>171</v>
      </c>
      <c r="AC55" s="90" t="s">
        <v>171</v>
      </c>
      <c r="AD55" s="91" t="s">
        <v>170</v>
      </c>
      <c r="AE55" s="88"/>
      <c r="AF55" s="329" t="s">
        <v>171</v>
      </c>
      <c r="AG55" s="330" t="s">
        <v>171</v>
      </c>
      <c r="AH55" s="332" t="s">
        <v>171</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53"/>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row>
    <row r="72" s="25" customFormat="1">
      <c r="A72" s="666"/>
      <c r="B72" s="666" t="n">
        <v>45780</v>
      </c>
      <c r="C72" s="666">
        <v>45787</v>
      </c>
      <c r="D72" s="666">
        <v>45794</v>
      </c>
      <c r="E72" s="666">
        <v>45801</v>
      </c>
      <c r="F72" s="666">
        <v>45808</v>
      </c>
      <c r="G72" s="666">
        <v>45815</v>
      </c>
      <c r="H72" s="666">
        <v>45822</v>
      </c>
      <c r="I72" s="666">
        <v>45829</v>
      </c>
      <c r="J72" s="666">
        <v>45836</v>
      </c>
      <c r="K72" s="666">
        <v>45843</v>
      </c>
      <c r="L72" s="666">
        <v>45850</v>
      </c>
      <c r="M72" s="666">
        <v>45857</v>
      </c>
      <c r="N72" s="666"/>
      <c r="O72" s="666"/>
      <c r="P72" s="666"/>
      <c r="Q72" s="666"/>
      <c r="R72" s="666"/>
      <c r="S72" s="666"/>
      <c r="T72" s="666"/>
      <c r="U72" s="666"/>
      <c r="V72" s="666"/>
      <c r="W72" s="666"/>
      <c r="X72" s="666"/>
      <c r="Y72" s="666"/>
      <c r="Z72" s="666"/>
      <c r="AA72" s="666"/>
      <c r="AB72" s="666"/>
      <c r="AC72" s="666"/>
      <c r="AD72" s="666"/>
      <c r="AE72" s="666"/>
      <c r="AF72" s="666"/>
      <c r="AG72" s="666"/>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row>
    <row r="73" s="25" customFormat="1" ht="14.25">
      <c r="A73" s="666" t="s">
        <v>32</v>
      </c>
      <c r="B73" s="666">
        <v>302.96103896103896103896103896</v>
      </c>
      <c r="C73" s="666">
        <v>181.91774891774891774891774892</v>
      </c>
      <c r="D73" s="666">
        <v>149.96103896103896103896103896</v>
      </c>
      <c r="E73" s="666">
        <v>187.78571428571428571428571429</v>
      </c>
      <c r="F73" s="666">
        <v>128.754329004329004329004329</v>
      </c>
      <c r="G73" s="666">
        <v>119.21212121212121212121212121</v>
      </c>
      <c r="H73" s="666">
        <v>145.62878787878787878787878788</v>
      </c>
      <c r="I73" s="666">
        <v>169.41774891774891774891774892</v>
      </c>
      <c r="J73" s="666">
        <v>146.0952380952380952380952381</v>
      </c>
      <c r="K73" s="666">
        <v>140.97294372294372294372294372</v>
      </c>
      <c r="L73" s="666">
        <v>136.66233766233766233766233766</v>
      </c>
      <c r="M73" s="666">
        <v>137.76623376623376623376623377</v>
      </c>
      <c r="N73" s="666"/>
      <c r="O73" s="666"/>
      <c r="P73" s="666"/>
      <c r="Q73" s="666"/>
      <c r="R73" s="666"/>
      <c r="S73" s="666"/>
      <c r="T73" s="666"/>
      <c r="U73" s="666"/>
      <c r="V73" s="666"/>
      <c r="W73" s="666"/>
      <c r="X73" s="666"/>
      <c r="Y73" s="666"/>
      <c r="Z73" s="666"/>
      <c r="AA73" s="666"/>
      <c r="AB73" s="666"/>
      <c r="AC73" s="666"/>
      <c r="AD73" s="666"/>
      <c r="AE73" s="666"/>
      <c r="AF73" s="666"/>
      <c r="AG73" s="666"/>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row>
    <row r="74" s="25" customFormat="1" ht="14.25">
      <c r="A74" s="666" t="s">
        <v>26</v>
      </c>
      <c r="B74" s="666">
        <v>362.99086378737541528239202658</v>
      </c>
      <c r="C74" s="666">
        <v>206.04651162790697674418604651</v>
      </c>
      <c r="D74" s="666">
        <v>159.15905315614617940199335548</v>
      </c>
      <c r="E74" s="666">
        <v>208.39119601328903654485049834</v>
      </c>
      <c r="F74" s="666">
        <v>172.22009966777408637873754153</v>
      </c>
      <c r="G74" s="666">
        <v>128.99460132890365448504983389</v>
      </c>
      <c r="H74" s="666">
        <v>157.03446843853820598006644518</v>
      </c>
      <c r="I74" s="666">
        <v>200.06727574750830564784053156</v>
      </c>
      <c r="J74" s="666">
        <v>154.18812292358803986710963455</v>
      </c>
      <c r="K74" s="666">
        <v>157.8322259136212624584717608</v>
      </c>
      <c r="L74" s="666">
        <v>160.88787375415282392026578073</v>
      </c>
      <c r="M74" s="666">
        <v>146.09094684385382059800664452</v>
      </c>
      <c r="N74" s="666"/>
      <c r="O74" s="666"/>
      <c r="P74" s="666"/>
      <c r="Q74" s="666"/>
      <c r="R74" s="666"/>
      <c r="S74" s="666"/>
      <c r="T74" s="666"/>
      <c r="U74" s="666"/>
      <c r="V74" s="666"/>
      <c r="W74" s="666"/>
      <c r="X74" s="666"/>
      <c r="Y74" s="666"/>
      <c r="Z74" s="666"/>
      <c r="AA74" s="666"/>
      <c r="AB74" s="666"/>
      <c r="AC74" s="666"/>
      <c r="AD74" s="666"/>
      <c r="AE74" s="666"/>
      <c r="AF74" s="666"/>
      <c r="AG74" s="666"/>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row>
    <row r="75" s="25" customFormat="1" ht="14.25">
      <c r="A75" s="666" t="s">
        <v>181</v>
      </c>
      <c r="B75" s="666">
        <v>258.91024938947680011840449937</v>
      </c>
      <c r="C75" s="666">
        <v>168.3079696759225051352909013</v>
      </c>
      <c r="D75" s="666">
        <v>152.41618761914613781790775688</v>
      </c>
      <c r="E75" s="666">
        <v>152.36461304289999852221844567</v>
      </c>
      <c r="F75" s="666">
        <v>127.44159068406508149965272133</v>
      </c>
      <c r="G75" s="666">
        <v>122.15156945130993573900148295</v>
      </c>
      <c r="H75" s="666">
        <v>143.734274592189817103311913</v>
      </c>
      <c r="I75" s="666">
        <v>148.49023727137913989125061789</v>
      </c>
      <c r="J75" s="666">
        <v>137.29476643598615916955017301</v>
      </c>
      <c r="K75" s="666">
        <v>108.84616705162619389474998439</v>
      </c>
      <c r="L75" s="666">
        <v>120.5696734156584968344512004</v>
      </c>
      <c r="M75" s="666">
        <v>126.08966965461041810317808563</v>
      </c>
      <c r="N75" s="666"/>
      <c r="O75" s="666"/>
      <c r="P75" s="666"/>
      <c r="Q75" s="666"/>
      <c r="R75" s="666"/>
      <c r="S75" s="666"/>
      <c r="T75" s="666"/>
      <c r="U75" s="666"/>
      <c r="V75" s="666"/>
      <c r="W75" s="666"/>
      <c r="X75" s="666"/>
      <c r="Y75" s="666"/>
      <c r="Z75" s="666"/>
      <c r="AA75" s="666"/>
      <c r="AB75" s="666"/>
      <c r="AC75" s="666"/>
      <c r="AD75" s="666"/>
      <c r="AE75" s="666"/>
      <c r="AF75" s="666"/>
      <c r="AG75" s="666"/>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84"/>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107" display="For all STR definitions, please click here or visit www.str.com/data-insights/resources/glossary"/>
    <hyperlink ref="A14:I14" r:id="rId108" display="For the latest in industry news, visit HotelNewsNow.com."/>
    <hyperlink ref="A15:I15" r:id="rId109" display="To learn more about the Hotel Data Conference, visit HotelDataConference.com."/>
    <hyperlink ref="A9:F9" r:id="rId110" display="For all STR FAQs, please click here or visit www.str.com/data-insights/resources/FAQ"/>
    <hyperlink ref="A12:E12" r:id="rId111"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V112"/>
  <sheetViews>
    <sheetView showGridLines="0" zoomScale="75" workbookViewId="0"/>
  </sheetViews>
  <sheetFormatPr defaultRowHeight="12.75"/>
  <cols>
    <col min="1" max="1" width="2.7109375" customWidth="1"/>
    <col min="2" max="2" width="15.7109375" customWidth="1"/>
    <col min="3" max="3" width="1.42578125" customWidth="1"/>
    <col min="4" max="4" width="11" customWidth="1"/>
    <col min="6" max="6" width="8.7109375" customWidth="1"/>
    <col min="7" max="7" width="2.42578125" customWidth="1"/>
    <col min="9" max="9" width="8.7109375" customWidth="1"/>
    <col min="10" max="10" width="2.42578125" customWidth="1"/>
    <col min="12" max="12" width="8.7109375" customWidth="1"/>
    <col min="13" max="13" width="2.42578125" customWidth="1"/>
    <col min="15" max="15" width="8.7109375" customWidth="1"/>
    <col min="16" max="16" width="2.42578125" customWidth="1"/>
    <col min="18" max="18" width="8.7109375" customWidth="1"/>
    <col min="19" max="19" width="2.42578125" customWidth="1"/>
    <col min="21" max="21" width="8.7109375" customWidth="1"/>
    <col min="22" max="22" width="2.42578125" customWidth="1"/>
    <col min="24" max="24" width="8.7109375" customWidth="1"/>
    <col min="25" max="25" width="2.42578125" customWidth="1"/>
    <col min="27" max="27" width="8.7109375" customWidth="1"/>
    <col min="28" max="28" width="1.7109375" customWidth="1"/>
  </cols>
  <sheetData>
    <row r="1" ht="30" customHeight="1">
      <c r="B1" s="20" t="s">
        <v>115</v>
      </c>
      <c r="C1" s="20"/>
      <c r="AA1" s="176" t="s">
        <v>169</v>
      </c>
      <c r="AC1" s="244"/>
      <c r="AD1" s="244"/>
      <c r="AE1" s="244"/>
      <c r="AF1" s="244"/>
      <c r="AG1" s="244"/>
      <c r="AH1" s="244"/>
      <c r="AI1" s="244"/>
      <c r="AJ1" s="244"/>
      <c r="AK1" s="244"/>
      <c r="AL1" s="244"/>
      <c r="AM1" s="244"/>
      <c r="AN1" s="244"/>
      <c r="AO1" s="244"/>
      <c r="AP1" s="244"/>
      <c r="AQ1" s="244"/>
      <c r="AR1" s="244"/>
      <c r="AS1" s="244"/>
      <c r="AT1" s="244"/>
      <c r="AU1" s="244"/>
      <c r="AV1" s="244"/>
    </row>
    <row r="2" ht="15">
      <c r="B2" s="612" t="s">
        <v>167</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C2" s="244"/>
      <c r="AD2" s="244"/>
      <c r="AE2" s="244"/>
      <c r="AF2" s="244"/>
      <c r="AG2" s="244"/>
      <c r="AH2" s="244"/>
      <c r="AI2" s="244"/>
      <c r="AJ2" s="244"/>
      <c r="AK2" s="244"/>
      <c r="AL2" s="244"/>
      <c r="AM2" s="244"/>
      <c r="AN2" s="244"/>
      <c r="AO2" s="244"/>
      <c r="AP2" s="244"/>
      <c r="AQ2" s="244"/>
      <c r="AR2" s="244"/>
      <c r="AS2" s="244"/>
      <c r="AT2" s="244"/>
      <c r="AU2" s="244"/>
      <c r="AV2" s="244"/>
    </row>
    <row r="3" ht="19.5" customHeight="1">
      <c r="B3" s="220" t="s">
        <v>28</v>
      </c>
      <c r="C3" s="57"/>
      <c r="E3" s="648" t="s">
        <v>40</v>
      </c>
      <c r="F3" s="648"/>
      <c r="H3" s="648" t="s">
        <v>39</v>
      </c>
      <c r="I3" s="648"/>
      <c r="K3" s="648" t="s">
        <v>41</v>
      </c>
      <c r="L3" s="648"/>
      <c r="N3" s="648" t="s">
        <v>42</v>
      </c>
      <c r="O3" s="648"/>
      <c r="Q3" s="648" t="s">
        <v>43</v>
      </c>
      <c r="R3" s="648"/>
      <c r="T3" s="648" t="s">
        <v>44</v>
      </c>
      <c r="U3" s="648"/>
      <c r="W3" s="648" t="s">
        <v>45</v>
      </c>
      <c r="X3" s="648"/>
      <c r="Z3" s="649" t="s">
        <v>23</v>
      </c>
      <c r="AA3" s="649"/>
      <c r="AC3" s="244"/>
      <c r="AD3" s="244"/>
      <c r="AE3" s="244"/>
      <c r="AF3" s="244"/>
      <c r="AG3" s="244"/>
      <c r="AH3" s="244"/>
      <c r="AI3" s="244"/>
      <c r="AJ3" s="244"/>
      <c r="AK3" s="244"/>
      <c r="AL3" s="244"/>
      <c r="AM3" s="244"/>
      <c r="AN3" s="244"/>
      <c r="AO3" s="244"/>
      <c r="AP3" s="244"/>
      <c r="AQ3" s="244"/>
      <c r="AR3" s="244"/>
      <c r="AS3" s="244"/>
      <c r="AT3" s="244"/>
      <c r="AU3" s="244"/>
      <c r="AV3" s="244"/>
    </row>
    <row r="4">
      <c r="E4" s="176"/>
      <c r="F4" s="176" t="s">
        <v>57</v>
      </c>
      <c r="G4" s="176"/>
      <c r="H4" s="176"/>
      <c r="I4" s="176" t="s">
        <v>57</v>
      </c>
      <c r="J4" s="176"/>
      <c r="K4" s="176"/>
      <c r="L4" s="176" t="s">
        <v>57</v>
      </c>
      <c r="M4" s="176"/>
      <c r="N4" s="176"/>
      <c r="O4" s="176" t="s">
        <v>57</v>
      </c>
      <c r="P4" s="176"/>
      <c r="Q4" s="176"/>
      <c r="R4" s="176" t="s">
        <v>57</v>
      </c>
      <c r="S4" s="176"/>
      <c r="T4" s="176"/>
      <c r="U4" s="176" t="s">
        <v>57</v>
      </c>
      <c r="V4" s="176"/>
      <c r="W4" s="176"/>
      <c r="X4" s="176" t="s">
        <v>57</v>
      </c>
      <c r="Y4" s="176"/>
      <c r="Z4" s="226"/>
      <c r="AA4" s="176" t="s">
        <v>57</v>
      </c>
      <c r="AC4" s="244"/>
      <c r="AD4" s="244"/>
      <c r="AE4" s="244"/>
      <c r="AF4" s="244"/>
      <c r="AG4" s="244"/>
      <c r="AH4" s="244"/>
      <c r="AI4" s="244"/>
      <c r="AJ4" s="244"/>
      <c r="AK4" s="244"/>
      <c r="AL4" s="244"/>
      <c r="AM4" s="244"/>
      <c r="AN4" s="244"/>
      <c r="AO4" s="244"/>
      <c r="AP4" s="244"/>
      <c r="AQ4" s="244"/>
      <c r="AR4" s="244"/>
      <c r="AS4" s="244"/>
      <c r="AT4" s="244"/>
      <c r="AU4" s="244"/>
      <c r="AV4" s="244"/>
    </row>
    <row r="5">
      <c r="B5" s="216" t="s">
        <v>23</v>
      </c>
      <c r="C5" s="216"/>
      <c r="D5" s="217" t="s">
        <v>32</v>
      </c>
      <c r="E5" s="221">
        <v>0.8106060606060606060606060606</v>
      </c>
      <c r="F5" s="219">
        <v>0.0000000000074766355140192500</v>
      </c>
      <c r="G5" s="217"/>
      <c r="H5" s="221">
        <v>0.7348484848484848484848484848</v>
      </c>
      <c r="I5" s="219">
        <v>21.249999999921187500000051220</v>
      </c>
      <c r="J5" s="217"/>
      <c r="K5" s="221">
        <v>0.6742424242424242424242424242</v>
      </c>
      <c r="L5" s="219">
        <v>18.666666666628693333333345480</v>
      </c>
      <c r="M5" s="217"/>
      <c r="N5" s="221">
        <v>0.7424242424242424242424242424</v>
      </c>
      <c r="O5" s="219">
        <v>5.3763440860894901144641437500</v>
      </c>
      <c r="P5" s="217"/>
      <c r="Q5" s="221">
        <v>0.9015151515151515151515151515</v>
      </c>
      <c r="R5" s="219">
        <v>32.222222222257481481481490880</v>
      </c>
      <c r="S5" s="217"/>
      <c r="T5" s="221">
        <v>0.8939393939393939393939393939</v>
      </c>
      <c r="U5" s="219">
        <v>14.563106796120953907060043530</v>
      </c>
      <c r="V5" s="217"/>
      <c r="W5" s="221">
        <v>0.9621212121212121212121212121</v>
      </c>
      <c r="X5" s="219">
        <v>18.691588785055603109441873310</v>
      </c>
      <c r="Y5" s="217"/>
      <c r="Z5" s="222">
        <v>0.8170995670995670995670995671</v>
      </c>
      <c r="AA5" s="219">
        <v>15.267175572593699667851572100</v>
      </c>
      <c r="AC5" s="244"/>
      <c r="AD5" s="244"/>
      <c r="AE5" s="244"/>
      <c r="AF5" s="244"/>
      <c r="AG5" s="244"/>
      <c r="AH5" s="244"/>
      <c r="AI5" s="244"/>
      <c r="AJ5" s="244"/>
      <c r="AK5" s="244"/>
      <c r="AL5" s="244"/>
      <c r="AM5" s="244"/>
      <c r="AN5" s="244"/>
      <c r="AO5" s="244"/>
      <c r="AP5" s="244"/>
      <c r="AQ5" s="244"/>
      <c r="AR5" s="244"/>
      <c r="AS5" s="244"/>
      <c r="AT5" s="244"/>
      <c r="AU5" s="244"/>
      <c r="AV5" s="244"/>
    </row>
    <row r="6">
      <c r="D6" s="217" t="s">
        <v>26</v>
      </c>
      <c r="E6" s="221">
        <v>0.5988372093023255813953488372</v>
      </c>
      <c r="F6" s="219">
        <v>-22.264150943365718761124943530</v>
      </c>
      <c r="G6" s="217"/>
      <c r="H6" s="221">
        <v>0.5465116279069767441860465116</v>
      </c>
      <c r="I6" s="219">
        <v>-22.950819672088202096210672120</v>
      </c>
      <c r="J6" s="217"/>
      <c r="K6" s="221">
        <v>0.5668604651162790697674418605</v>
      </c>
      <c r="L6" s="219">
        <v>-18.410041840949563207926995520</v>
      </c>
      <c r="M6" s="217"/>
      <c r="N6" s="221">
        <v>0.6046511627906976744186046512</v>
      </c>
      <c r="O6" s="219">
        <v>-9.956709956713075092295871400</v>
      </c>
      <c r="P6" s="217"/>
      <c r="Q6" s="221">
        <v>0.6569767441860465116279069767</v>
      </c>
      <c r="R6" s="219">
        <v>-8.870967741917845993756500230</v>
      </c>
      <c r="S6" s="217"/>
      <c r="T6" s="221">
        <v>0.8953488372093023255813953488</v>
      </c>
      <c r="U6" s="219">
        <v>13.235294117590441176470616540</v>
      </c>
      <c r="V6" s="217"/>
      <c r="W6" s="221">
        <v>0.8982558139534883720930232558</v>
      </c>
      <c r="X6" s="219">
        <v>20.703124999939648437500030170</v>
      </c>
      <c r="Y6" s="217"/>
      <c r="Z6" s="222">
        <v>0.6810631229235880398671096346</v>
      </c>
      <c r="AA6" s="219">
        <v>-6.5527065527521315573737003800</v>
      </c>
      <c r="AC6" s="244"/>
      <c r="AD6" s="244"/>
      <c r="AE6" s="244"/>
      <c r="AF6" s="244"/>
      <c r="AG6" s="244"/>
      <c r="AH6" s="244"/>
      <c r="AI6" s="244"/>
      <c r="AJ6" s="244"/>
      <c r="AK6" s="244"/>
      <c r="AL6" s="244"/>
      <c r="AM6" s="244"/>
      <c r="AN6" s="244"/>
      <c r="AO6" s="244"/>
      <c r="AP6" s="244"/>
      <c r="AQ6" s="244"/>
      <c r="AR6" s="244"/>
      <c r="AS6" s="244"/>
      <c r="AT6" s="244"/>
      <c r="AU6" s="244"/>
      <c r="AV6" s="244"/>
    </row>
    <row r="7">
      <c r="D7" t="s">
        <v>91</v>
      </c>
      <c r="E7" s="223">
        <v>135.36334215953225991653745679</v>
      </c>
      <c r="F7" s="218">
        <v>28.640776699039024215844130300</v>
      </c>
      <c r="H7" s="223">
        <v>134.46163765312129305732746227</v>
      </c>
      <c r="I7" s="218">
        <v>57.367021276541106165843763960</v>
      </c>
      <c r="K7" s="223">
        <v>118.94327894333749997011538355</v>
      </c>
      <c r="L7" s="218">
        <v>45.442735042719176727917724400</v>
      </c>
      <c r="N7" s="223">
        <v>122.78554778548639277389280459</v>
      </c>
      <c r="O7" s="218">
        <v>17.028535980136416718944028340</v>
      </c>
      <c r="Q7" s="223">
        <v>137.22177527488233482131203243</v>
      </c>
      <c r="R7" s="218">
        <v>45.093411996002001780663785190</v>
      </c>
      <c r="T7" s="223">
        <v>99.84258166079719202481895473</v>
      </c>
      <c r="U7" s="218">
        <v>1.1726137940141237936285502600</v>
      </c>
      <c r="W7" s="223">
        <v>107.10993429445854834517294088</v>
      </c>
      <c r="X7" s="218">
        <v>-1.6665154401311595026476583300</v>
      </c>
      <c r="Z7" s="224">
        <v>119.97413155942484343734794287</v>
      </c>
      <c r="AA7" s="218">
        <v>23.349934835232679549286003930</v>
      </c>
      <c r="AC7" s="244"/>
      <c r="AD7" s="244"/>
      <c r="AE7" s="244"/>
      <c r="AF7" s="244"/>
      <c r="AG7" s="244"/>
      <c r="AH7" s="244"/>
      <c r="AI7" s="244"/>
      <c r="AJ7" s="244"/>
      <c r="AK7" s="244"/>
      <c r="AL7" s="244"/>
      <c r="AM7" s="244"/>
      <c r="AN7" s="244"/>
      <c r="AO7" s="244"/>
      <c r="AP7" s="244"/>
      <c r="AQ7" s="244"/>
      <c r="AR7" s="244"/>
      <c r="AS7" s="244"/>
      <c r="AT7" s="244"/>
      <c r="AU7" s="244"/>
      <c r="AV7" s="244"/>
    </row>
    <row r="8">
      <c r="D8" s="214" t="s">
        <v>55</v>
      </c>
      <c r="E8" s="227" t="s">
        <v>170</v>
      </c>
      <c r="F8" s="228" t="s">
        <v>171</v>
      </c>
      <c r="G8" s="229"/>
      <c r="H8" s="227" t="s">
        <v>170</v>
      </c>
      <c r="I8" s="228" t="s">
        <v>171</v>
      </c>
      <c r="J8" s="229"/>
      <c r="K8" s="227" t="s">
        <v>170</v>
      </c>
      <c r="L8" s="228" t="s">
        <v>171</v>
      </c>
      <c r="M8" s="229"/>
      <c r="N8" s="227" t="s">
        <v>170</v>
      </c>
      <c r="O8" s="228" t="s">
        <v>171</v>
      </c>
      <c r="P8" s="229"/>
      <c r="Q8" s="227" t="s">
        <v>171</v>
      </c>
      <c r="R8" s="228" t="s">
        <v>171</v>
      </c>
      <c r="S8" s="229"/>
      <c r="T8" s="227" t="s">
        <v>172</v>
      </c>
      <c r="U8" s="228" t="s">
        <v>170</v>
      </c>
      <c r="V8" s="229"/>
      <c r="W8" s="227" t="s">
        <v>170</v>
      </c>
      <c r="X8" s="228" t="s">
        <v>172</v>
      </c>
      <c r="Y8" s="229"/>
      <c r="Z8" s="230" t="s">
        <v>170</v>
      </c>
      <c r="AA8" s="228" t="s">
        <v>171</v>
      </c>
      <c r="AC8" s="244"/>
      <c r="AD8" s="244"/>
      <c r="AE8" s="244"/>
      <c r="AF8" s="244"/>
      <c r="AG8" s="244"/>
      <c r="AH8" s="244"/>
      <c r="AI8" s="244"/>
      <c r="AJ8" s="244"/>
      <c r="AK8" s="244"/>
      <c r="AL8" s="244"/>
      <c r="AM8" s="244"/>
      <c r="AN8" s="244"/>
      <c r="AO8" s="244"/>
      <c r="AP8" s="244"/>
      <c r="AQ8" s="244"/>
      <c r="AR8" s="244"/>
      <c r="AS8" s="244"/>
      <c r="AT8" s="244"/>
      <c r="AU8" s="244"/>
      <c r="AV8" s="244"/>
    </row>
    <row r="9" ht="8.1" customHeight="1">
      <c r="F9" s="218"/>
      <c r="I9" s="218"/>
      <c r="L9" s="218"/>
      <c r="O9" s="218"/>
      <c r="R9" s="218"/>
      <c r="U9" s="218"/>
      <c r="X9" s="218"/>
      <c r="Z9" s="215"/>
      <c r="AA9" s="218"/>
      <c r="AC9" s="244"/>
      <c r="AD9" s="244"/>
      <c r="AE9" s="244"/>
      <c r="AF9" s="244"/>
      <c r="AG9" s="244"/>
      <c r="AH9" s="244"/>
      <c r="AI9" s="244"/>
      <c r="AJ9" s="244"/>
      <c r="AK9" s="244"/>
      <c r="AL9" s="244"/>
      <c r="AM9" s="244"/>
      <c r="AN9" s="244"/>
      <c r="AO9" s="244"/>
      <c r="AP9" s="244"/>
      <c r="AQ9" s="244"/>
      <c r="AR9" s="244"/>
      <c r="AS9" s="244"/>
      <c r="AT9" s="244"/>
      <c r="AU9" s="244"/>
      <c r="AV9" s="244"/>
    </row>
    <row r="10" ht="12.75" customHeight="1">
      <c r="B10" s="216" t="s">
        <v>21</v>
      </c>
      <c r="C10" s="216"/>
      <c r="D10" s="217" t="s">
        <v>32</v>
      </c>
      <c r="E10" s="221">
        <v>0.8106060606060606060606060606</v>
      </c>
      <c r="F10" s="219">
        <v>15.053763440934443288241463080</v>
      </c>
      <c r="G10" s="217"/>
      <c r="H10" s="221">
        <v>0.7348484848484848484848484848</v>
      </c>
      <c r="I10" s="219">
        <v>21.249999999921187500000051220</v>
      </c>
      <c r="J10" s="217"/>
      <c r="K10" s="221">
        <v>0.6742424242424242424242424242</v>
      </c>
      <c r="L10" s="219">
        <v>18.666666666628693333333345480</v>
      </c>
      <c r="M10" s="217"/>
      <c r="N10" s="221">
        <v>0.7348484848484848484848484848</v>
      </c>
      <c r="O10" s="219">
        <v>10.227272727217613636363663910</v>
      </c>
      <c r="P10" s="217"/>
      <c r="Q10" s="221">
        <v>0.8863636363636363636363636364</v>
      </c>
      <c r="R10" s="219">
        <v>37.647058823613619377162681280</v>
      </c>
      <c r="S10" s="217"/>
      <c r="T10" s="221">
        <v>0.8484848484848484848484848485</v>
      </c>
      <c r="U10" s="219">
        <v>14.285714285751603498542286240</v>
      </c>
      <c r="V10" s="217"/>
      <c r="W10" s="221">
        <v>0.8787878787878787878787878788</v>
      </c>
      <c r="X10" s="219">
        <v>13.725490196118569780853532050</v>
      </c>
      <c r="Y10" s="217"/>
      <c r="Z10" s="222">
        <v>0.7954545454545454545454545455</v>
      </c>
      <c r="AA10" s="219">
        <v>18.357487922691591402366451220</v>
      </c>
      <c r="AC10" s="244"/>
      <c r="AD10" s="244"/>
      <c r="AE10" s="244"/>
      <c r="AF10" s="244"/>
      <c r="AG10" s="244"/>
      <c r="AH10" s="244"/>
      <c r="AI10" s="244"/>
      <c r="AJ10" s="244"/>
      <c r="AK10" s="244"/>
      <c r="AL10" s="244"/>
      <c r="AM10" s="244"/>
      <c r="AN10" s="244"/>
      <c r="AO10" s="244"/>
      <c r="AP10" s="244"/>
      <c r="AQ10" s="244"/>
      <c r="AR10" s="244"/>
      <c r="AS10" s="244"/>
      <c r="AT10" s="244"/>
      <c r="AU10" s="244"/>
      <c r="AV10" s="244"/>
    </row>
    <row r="11">
      <c r="D11" s="217" t="s">
        <v>26</v>
      </c>
      <c r="E11" s="221">
        <v>0.5988372093023255813953488372</v>
      </c>
      <c r="F11" s="219">
        <v>-11.965811965872160128570343820</v>
      </c>
      <c r="G11" s="217"/>
      <c r="H11" s="221">
        <v>0.5465116279069767441860465116</v>
      </c>
      <c r="I11" s="219">
        <v>-12.558139534883720930232558140</v>
      </c>
      <c r="J11" s="217"/>
      <c r="K11" s="221">
        <v>0.5668604651162790697674418605</v>
      </c>
      <c r="L11" s="219">
        <v>-7.5829383885870488084274675800</v>
      </c>
      <c r="M11" s="217"/>
      <c r="N11" s="221">
        <v>0.6046511627906976744186046512</v>
      </c>
      <c r="O11" s="219">
        <v>-9.565217391332657844990539340</v>
      </c>
      <c r="P11" s="217"/>
      <c r="Q11" s="221">
        <v>0.6569767441860465116279069767</v>
      </c>
      <c r="R11" s="219">
        <v>-8.870967741917845993756500230</v>
      </c>
      <c r="S11" s="217"/>
      <c r="T11" s="221">
        <v>0.8953488372093023255813953488</v>
      </c>
      <c r="U11" s="219">
        <v>16.666666666684343434343437020</v>
      </c>
      <c r="V11" s="217"/>
      <c r="W11" s="221">
        <v>0.8982558139534883720930232558</v>
      </c>
      <c r="X11" s="219">
        <v>24.596774193572502601456820480</v>
      </c>
      <c r="Y11" s="217"/>
      <c r="Z11" s="222">
        <v>0.6810631229235880398671096346</v>
      </c>
      <c r="AA11" s="219">
        <v>-0.6060606060818101010100964800</v>
      </c>
      <c r="AC11" s="244"/>
      <c r="AD11" s="244"/>
      <c r="AE11" s="244"/>
      <c r="AF11" s="244"/>
      <c r="AG11" s="244"/>
      <c r="AH11" s="244"/>
      <c r="AI11" s="244"/>
      <c r="AJ11" s="244"/>
      <c r="AK11" s="244"/>
      <c r="AL11" s="244"/>
      <c r="AM11" s="244"/>
      <c r="AN11" s="244"/>
      <c r="AO11" s="244"/>
      <c r="AP11" s="244"/>
      <c r="AQ11" s="244"/>
      <c r="AR11" s="244"/>
      <c r="AS11" s="244"/>
      <c r="AT11" s="244"/>
      <c r="AU11" s="244"/>
      <c r="AV11" s="244"/>
    </row>
    <row r="12">
      <c r="D12" t="s">
        <v>22</v>
      </c>
      <c r="E12" s="223">
        <v>135.36334215945866431303324507</v>
      </c>
      <c r="F12" s="218">
        <v>30.692139054382769042718078860</v>
      </c>
      <c r="H12" s="223">
        <v>134.46163765312701482914248871</v>
      </c>
      <c r="I12" s="218">
        <v>38.663563829777000228999264930</v>
      </c>
      <c r="K12" s="223">
        <v>118.94327894327894327894327893</v>
      </c>
      <c r="L12" s="218">
        <v>28.403418803364065431861005200</v>
      </c>
      <c r="N12" s="223">
        <v>121.53263403263403263403263402</v>
      </c>
      <c r="O12" s="218">
        <v>21.885926573409920407535802590</v>
      </c>
      <c r="Q12" s="223">
        <v>134.91552695092518101367658891</v>
      </c>
      <c r="R12" s="218">
        <v>51.046330036362437044336779090</v>
      </c>
      <c r="T12" s="223">
        <v>94.76584022038567493112947659</v>
      </c>
      <c r="U12" s="218">
        <v>-2.0408163264870278680570745300</v>
      </c>
      <c r="W12" s="223">
        <v>97.83269589094831813278415220</v>
      </c>
      <c r="X12" s="218">
        <v>-8.725172917066582183886167140</v>
      </c>
      <c r="Z12" s="224">
        <v>116.79600886917960088691796009</v>
      </c>
      <c r="AA12" s="218">
        <v>19.079179922160973203245614210</v>
      </c>
      <c r="AC12" s="244"/>
      <c r="AD12" s="244"/>
      <c r="AE12" s="244"/>
      <c r="AF12" s="244"/>
      <c r="AG12" s="244"/>
      <c r="AH12" s="244"/>
      <c r="AI12" s="244"/>
      <c r="AJ12" s="244"/>
      <c r="AK12" s="244"/>
      <c r="AL12" s="244"/>
      <c r="AM12" s="244"/>
      <c r="AN12" s="244"/>
      <c r="AO12" s="244"/>
      <c r="AP12" s="244"/>
      <c r="AQ12" s="244"/>
      <c r="AR12" s="244"/>
      <c r="AS12" s="244"/>
      <c r="AT12" s="244"/>
      <c r="AU12" s="244"/>
      <c r="AV12" s="244"/>
    </row>
    <row r="13">
      <c r="D13" t="s">
        <v>55</v>
      </c>
      <c r="E13" s="231" t="s">
        <v>170</v>
      </c>
      <c r="F13" s="232" t="s">
        <v>171</v>
      </c>
      <c r="G13" s="176"/>
      <c r="H13" s="231" t="s">
        <v>170</v>
      </c>
      <c r="I13" s="232" t="s">
        <v>171</v>
      </c>
      <c r="J13" s="176"/>
      <c r="K13" s="231" t="s">
        <v>170</v>
      </c>
      <c r="L13" s="232" t="s">
        <v>171</v>
      </c>
      <c r="M13" s="176"/>
      <c r="N13" s="231" t="s">
        <v>170</v>
      </c>
      <c r="O13" s="232" t="s">
        <v>171</v>
      </c>
      <c r="P13" s="176"/>
      <c r="Q13" s="231" t="s">
        <v>170</v>
      </c>
      <c r="R13" s="232" t="s">
        <v>171</v>
      </c>
      <c r="S13" s="176"/>
      <c r="T13" s="231" t="s">
        <v>172</v>
      </c>
      <c r="U13" s="232" t="s">
        <v>172</v>
      </c>
      <c r="V13" s="176"/>
      <c r="W13" s="231" t="s">
        <v>172</v>
      </c>
      <c r="X13" s="232" t="s">
        <v>173</v>
      </c>
      <c r="Y13" s="176"/>
      <c r="Z13" s="233" t="s">
        <v>170</v>
      </c>
      <c r="AA13" s="232" t="s">
        <v>171</v>
      </c>
      <c r="AC13" s="244"/>
      <c r="AD13" s="244"/>
      <c r="AE13" s="244"/>
      <c r="AF13" s="244"/>
      <c r="AG13" s="244"/>
      <c r="AH13" s="244"/>
      <c r="AI13" s="244"/>
      <c r="AJ13" s="244"/>
      <c r="AK13" s="244"/>
      <c r="AL13" s="244"/>
      <c r="AM13" s="244"/>
      <c r="AN13" s="244"/>
      <c r="AO13" s="244"/>
      <c r="AP13" s="244"/>
      <c r="AQ13" s="244"/>
      <c r="AR13" s="244"/>
      <c r="AS13" s="244"/>
      <c r="AT13" s="244"/>
      <c r="AU13" s="244"/>
      <c r="AV13" s="244"/>
    </row>
    <row r="14" ht="8.1" customHeight="1">
      <c r="F14" s="218"/>
      <c r="I14" s="218"/>
      <c r="L14" s="218"/>
      <c r="O14" s="218"/>
      <c r="R14" s="218"/>
      <c r="U14" s="218"/>
      <c r="X14" s="218"/>
      <c r="Z14" s="215"/>
      <c r="AA14" s="218"/>
      <c r="AC14" s="244"/>
      <c r="AD14" s="244"/>
      <c r="AE14" s="244"/>
      <c r="AF14" s="244"/>
      <c r="AG14" s="244"/>
      <c r="AH14" s="244"/>
      <c r="AI14" s="244"/>
      <c r="AJ14" s="244"/>
      <c r="AK14" s="244"/>
      <c r="AL14" s="244"/>
      <c r="AM14" s="244"/>
      <c r="AN14" s="244"/>
      <c r="AO14" s="244"/>
      <c r="AP14" s="244"/>
      <c r="AQ14" s="244"/>
      <c r="AR14" s="244"/>
      <c r="AS14" s="244"/>
      <c r="AT14" s="244"/>
      <c r="AU14" s="244"/>
      <c r="AV14" s="244"/>
    </row>
    <row r="15" ht="12.75" customHeight="1">
      <c r="B15" s="216" t="s">
        <v>24</v>
      </c>
      <c r="C15" s="216"/>
      <c r="D15" s="217" t="s">
        <v>32</v>
      </c>
      <c r="E15" s="221">
        <v>0</v>
      </c>
      <c r="F15" s="219">
        <v>-100</v>
      </c>
      <c r="G15" s="217"/>
      <c r="H15" s="221">
        <v>0</v>
      </c>
      <c r="I15" s="219">
        <v>0</v>
      </c>
      <c r="J15" s="217"/>
      <c r="K15" s="221">
        <v>0</v>
      </c>
      <c r="L15" s="219">
        <v>0</v>
      </c>
      <c r="M15" s="217"/>
      <c r="N15" s="221">
        <v>0.0075757575757575757575757576</v>
      </c>
      <c r="O15" s="219">
        <v>-80.00000000011199999999937274</v>
      </c>
      <c r="P15" s="217"/>
      <c r="Q15" s="221">
        <v>0.0151515151515151515151515152</v>
      </c>
      <c r="R15" s="219">
        <v>-60.000000000223999999998745470</v>
      </c>
      <c r="S15" s="217"/>
      <c r="T15" s="221">
        <v>0.0454545454545454545454545455</v>
      </c>
      <c r="U15" s="219">
        <v>19.999999999328000000003763320</v>
      </c>
      <c r="V15" s="217"/>
      <c r="W15" s="221">
        <v>0.0833333333333333333333333333</v>
      </c>
      <c r="X15" s="219">
        <v>119.99999999876800000000689911</v>
      </c>
      <c r="Y15" s="217"/>
      <c r="Z15" s="222">
        <v>0.0216450216450216450216450216</v>
      </c>
      <c r="AA15" s="219">
        <v>-41.176470588975778546703481500</v>
      </c>
      <c r="AC15" s="244"/>
      <c r="AD15" s="244"/>
      <c r="AE15" s="244"/>
      <c r="AF15" s="244"/>
      <c r="AG15" s="244"/>
      <c r="AH15" s="244"/>
      <c r="AI15" s="244"/>
      <c r="AJ15" s="244"/>
      <c r="AK15" s="244"/>
      <c r="AL15" s="244"/>
      <c r="AM15" s="244"/>
      <c r="AN15" s="244"/>
      <c r="AO15" s="244"/>
      <c r="AP15" s="244"/>
      <c r="AQ15" s="244"/>
      <c r="AR15" s="244"/>
      <c r="AS15" s="244"/>
      <c r="AT15" s="244"/>
      <c r="AU15" s="244"/>
      <c r="AV15" s="244"/>
    </row>
    <row r="16">
      <c r="D16" s="217" t="s">
        <v>26</v>
      </c>
      <c r="E16" s="221">
        <v>0</v>
      </c>
      <c r="F16" s="219">
        <v>-100</v>
      </c>
      <c r="G16" s="217"/>
      <c r="H16" s="221">
        <v>0</v>
      </c>
      <c r="I16" s="219">
        <v>-100</v>
      </c>
      <c r="J16" s="217"/>
      <c r="K16" s="221">
        <v>0</v>
      </c>
      <c r="L16" s="219">
        <v>-100</v>
      </c>
      <c r="M16" s="217"/>
      <c r="N16" s="221">
        <v>0</v>
      </c>
      <c r="O16" s="219">
        <v>-100</v>
      </c>
      <c r="P16" s="217"/>
      <c r="Q16" s="221">
        <v>0</v>
      </c>
      <c r="R16" s="219">
        <v>0</v>
      </c>
      <c r="S16" s="217"/>
      <c r="T16" s="221">
        <v>0</v>
      </c>
      <c r="U16" s="219">
        <v>-100</v>
      </c>
      <c r="V16" s="217"/>
      <c r="W16" s="221">
        <v>0</v>
      </c>
      <c r="X16" s="219">
        <v>-100</v>
      </c>
      <c r="Y16" s="217"/>
      <c r="Z16" s="222">
        <v>0</v>
      </c>
      <c r="AA16" s="219">
        <v>-100</v>
      </c>
      <c r="AC16" s="244"/>
      <c r="AD16" s="244"/>
      <c r="AE16" s="244"/>
      <c r="AF16" s="244"/>
      <c r="AG16" s="244"/>
      <c r="AH16" s="244"/>
      <c r="AI16" s="244"/>
      <c r="AJ16" s="244"/>
      <c r="AK16" s="244"/>
      <c r="AL16" s="244"/>
      <c r="AM16" s="244"/>
      <c r="AN16" s="244"/>
      <c r="AO16" s="244"/>
      <c r="AP16" s="244"/>
      <c r="AQ16" s="244"/>
      <c r="AR16" s="244"/>
      <c r="AS16" s="244"/>
      <c r="AT16" s="244"/>
      <c r="AU16" s="244"/>
      <c r="AV16" s="244"/>
    </row>
    <row r="17">
      <c r="D17" t="s">
        <v>22</v>
      </c>
      <c r="E17" s="223"/>
      <c r="F17" s="218">
        <v>-100</v>
      </c>
      <c r="H17" s="223"/>
      <c r="I17" s="218">
        <v>0</v>
      </c>
      <c r="K17" s="223"/>
      <c r="L17" s="218">
        <v>0</v>
      </c>
      <c r="N17" s="223"/>
      <c r="O17" s="218">
        <v>-100</v>
      </c>
      <c r="Q17" s="223"/>
      <c r="R17" s="218">
        <v>0</v>
      </c>
      <c r="T17" s="223"/>
      <c r="U17" s="218">
        <v>-100</v>
      </c>
      <c r="W17" s="223"/>
      <c r="X17" s="218">
        <v>-100</v>
      </c>
      <c r="Z17" s="224"/>
      <c r="AA17" s="218">
        <v>-100</v>
      </c>
      <c r="AC17" s="244"/>
      <c r="AD17" s="244"/>
      <c r="AE17" s="244"/>
      <c r="AF17" s="244"/>
      <c r="AG17" s="244"/>
      <c r="AH17" s="244"/>
      <c r="AI17" s="244"/>
      <c r="AJ17" s="244"/>
      <c r="AK17" s="244"/>
      <c r="AL17" s="244"/>
      <c r="AM17" s="244"/>
      <c r="AN17" s="244"/>
      <c r="AO17" s="244"/>
      <c r="AP17" s="244"/>
      <c r="AQ17" s="244"/>
      <c r="AR17" s="244"/>
      <c r="AS17" s="244"/>
      <c r="AT17" s="244"/>
      <c r="AU17" s="244"/>
      <c r="AV17" s="244"/>
    </row>
    <row r="18">
      <c r="D18" t="s">
        <v>55</v>
      </c>
      <c r="E18" s="231" t="s">
        <v>174</v>
      </c>
      <c r="F18" s="232"/>
      <c r="G18" s="176"/>
      <c r="H18" s="231" t="s">
        <v>174</v>
      </c>
      <c r="I18" s="232"/>
      <c r="J18" s="176"/>
      <c r="K18" s="231" t="s">
        <v>174</v>
      </c>
      <c r="L18" s="232"/>
      <c r="M18" s="176"/>
      <c r="N18" s="231" t="s">
        <v>171</v>
      </c>
      <c r="O18" s="232" t="s">
        <v>173</v>
      </c>
      <c r="P18" s="176"/>
      <c r="Q18" s="231" t="s">
        <v>171</v>
      </c>
      <c r="R18" s="232" t="s">
        <v>175</v>
      </c>
      <c r="S18" s="176"/>
      <c r="T18" s="231" t="s">
        <v>171</v>
      </c>
      <c r="U18" s="232" t="s">
        <v>171</v>
      </c>
      <c r="V18" s="176"/>
      <c r="W18" s="231" t="s">
        <v>171</v>
      </c>
      <c r="X18" s="232" t="s">
        <v>171</v>
      </c>
      <c r="Y18" s="176"/>
      <c r="Z18" s="233" t="s">
        <v>171</v>
      </c>
      <c r="AA18" s="232" t="s">
        <v>173</v>
      </c>
      <c r="AC18" s="244"/>
      <c r="AD18" s="244"/>
      <c r="AE18" s="244"/>
      <c r="AF18" s="244"/>
      <c r="AG18" s="244"/>
      <c r="AH18" s="244"/>
      <c r="AI18" s="244"/>
      <c r="AJ18" s="244"/>
      <c r="AK18" s="244"/>
      <c r="AL18" s="244"/>
      <c r="AM18" s="244"/>
      <c r="AN18" s="244"/>
      <c r="AO18" s="244"/>
      <c r="AP18" s="244"/>
      <c r="AQ18" s="244"/>
      <c r="AR18" s="244"/>
      <c r="AS18" s="244"/>
      <c r="AT18" s="244"/>
      <c r="AU18" s="244"/>
      <c r="AV18" s="244"/>
    </row>
    <row r="19" ht="8.1" customHeight="1">
      <c r="F19" s="218"/>
      <c r="I19" s="218"/>
      <c r="L19" s="218"/>
      <c r="O19" s="218"/>
      <c r="R19" s="218"/>
      <c r="U19" s="218"/>
      <c r="X19" s="218"/>
      <c r="Z19" s="215"/>
      <c r="AA19" s="218"/>
      <c r="AC19" s="244"/>
      <c r="AD19" s="244"/>
      <c r="AE19" s="244"/>
      <c r="AF19" s="244"/>
      <c r="AG19" s="244"/>
      <c r="AH19" s="244"/>
      <c r="AI19" s="244"/>
      <c r="AJ19" s="244"/>
      <c r="AK19" s="244"/>
      <c r="AL19" s="244"/>
      <c r="AM19" s="244"/>
      <c r="AN19" s="244"/>
      <c r="AO19" s="244"/>
      <c r="AP19" s="244"/>
      <c r="AQ19" s="244"/>
      <c r="AR19" s="244"/>
      <c r="AS19" s="244"/>
      <c r="AT19" s="244"/>
      <c r="AU19" s="244"/>
      <c r="AV19" s="244"/>
    </row>
    <row r="20" ht="12.75" customHeight="1">
      <c r="B20" s="216" t="s">
        <v>25</v>
      </c>
      <c r="C20" s="216"/>
      <c r="D20" s="217" t="s">
        <v>32</v>
      </c>
      <c r="E20" s="221">
        <v>0</v>
      </c>
      <c r="F20" s="219">
        <v>0</v>
      </c>
      <c r="G20" s="217"/>
      <c r="H20" s="221">
        <v>0</v>
      </c>
      <c r="I20" s="219">
        <v>0</v>
      </c>
      <c r="J20" s="217"/>
      <c r="K20" s="221">
        <v>0</v>
      </c>
      <c r="L20" s="219">
        <v>0</v>
      </c>
      <c r="M20" s="217"/>
      <c r="N20" s="221">
        <v>0</v>
      </c>
      <c r="O20" s="219">
        <v>0</v>
      </c>
      <c r="P20" s="217"/>
      <c r="Q20" s="221">
        <v>0</v>
      </c>
      <c r="R20" s="219">
        <v>0</v>
      </c>
      <c r="S20" s="217"/>
      <c r="T20" s="221">
        <v>0</v>
      </c>
      <c r="U20" s="219">
        <v>0</v>
      </c>
      <c r="V20" s="217"/>
      <c r="W20" s="221">
        <v>0</v>
      </c>
      <c r="X20" s="219">
        <v>0</v>
      </c>
      <c r="Y20" s="217"/>
      <c r="Z20" s="222">
        <v>0</v>
      </c>
      <c r="AA20" s="219">
        <v>0</v>
      </c>
      <c r="AC20" s="244"/>
      <c r="AD20" s="244"/>
      <c r="AE20" s="244"/>
      <c r="AF20" s="244"/>
      <c r="AG20" s="244"/>
      <c r="AH20" s="244"/>
      <c r="AI20" s="244"/>
      <c r="AJ20" s="244"/>
      <c r="AK20" s="244"/>
      <c r="AL20" s="244"/>
      <c r="AM20" s="244"/>
      <c r="AN20" s="244"/>
      <c r="AO20" s="244"/>
      <c r="AP20" s="244"/>
      <c r="AQ20" s="244"/>
      <c r="AR20" s="244"/>
      <c r="AS20" s="244"/>
      <c r="AT20" s="244"/>
      <c r="AU20" s="244"/>
      <c r="AV20" s="244"/>
    </row>
    <row r="21">
      <c r="D21" s="217" t="s">
        <v>26</v>
      </c>
      <c r="E21" s="221">
        <v>0</v>
      </c>
      <c r="F21" s="219">
        <v>0</v>
      </c>
      <c r="G21" s="217"/>
      <c r="H21" s="221">
        <v>0</v>
      </c>
      <c r="I21" s="219">
        <v>0</v>
      </c>
      <c r="J21" s="217"/>
      <c r="K21" s="221">
        <v>0</v>
      </c>
      <c r="L21" s="219">
        <v>0</v>
      </c>
      <c r="M21" s="217"/>
      <c r="N21" s="221">
        <v>0</v>
      </c>
      <c r="O21" s="219">
        <v>0</v>
      </c>
      <c r="P21" s="217"/>
      <c r="Q21" s="221">
        <v>0</v>
      </c>
      <c r="R21" s="219">
        <v>0</v>
      </c>
      <c r="S21" s="217"/>
      <c r="T21" s="221">
        <v>0</v>
      </c>
      <c r="U21" s="219">
        <v>0</v>
      </c>
      <c r="V21" s="217"/>
      <c r="W21" s="221">
        <v>0</v>
      </c>
      <c r="X21" s="219">
        <v>0</v>
      </c>
      <c r="Y21" s="217"/>
      <c r="Z21" s="222">
        <v>0</v>
      </c>
      <c r="AA21" s="219">
        <v>0</v>
      </c>
      <c r="AC21" s="244"/>
      <c r="AD21" s="244"/>
      <c r="AE21" s="244"/>
      <c r="AF21" s="244"/>
      <c r="AG21" s="244"/>
      <c r="AH21" s="244"/>
      <c r="AI21" s="244"/>
      <c r="AJ21" s="244"/>
      <c r="AK21" s="244"/>
      <c r="AL21" s="244"/>
      <c r="AM21" s="244"/>
      <c r="AN21" s="244"/>
      <c r="AO21" s="244"/>
      <c r="AP21" s="244"/>
      <c r="AQ21" s="244"/>
      <c r="AR21" s="244"/>
      <c r="AS21" s="244"/>
      <c r="AT21" s="244"/>
      <c r="AU21" s="244"/>
      <c r="AV21" s="244"/>
    </row>
    <row r="22">
      <c r="D22" t="s">
        <v>22</v>
      </c>
      <c r="E22" s="223"/>
      <c r="F22" s="218">
        <v>0</v>
      </c>
      <c r="H22" s="223"/>
      <c r="I22" s="218">
        <v>0</v>
      </c>
      <c r="K22" s="223"/>
      <c r="L22" s="218">
        <v>0</v>
      </c>
      <c r="N22" s="223"/>
      <c r="O22" s="218">
        <v>0</v>
      </c>
      <c r="Q22" s="223"/>
      <c r="R22" s="218">
        <v>0</v>
      </c>
      <c r="T22" s="223"/>
      <c r="U22" s="218">
        <v>0</v>
      </c>
      <c r="W22" s="223"/>
      <c r="X22" s="218">
        <v>0</v>
      </c>
      <c r="Z22" s="224"/>
      <c r="AA22" s="218">
        <v>0</v>
      </c>
      <c r="AC22" s="244"/>
      <c r="AD22" s="244"/>
      <c r="AE22" s="244"/>
      <c r="AF22" s="244"/>
      <c r="AG22" s="244"/>
      <c r="AH22" s="244"/>
      <c r="AI22" s="244"/>
      <c r="AJ22" s="244"/>
      <c r="AK22" s="244"/>
      <c r="AL22" s="244"/>
      <c r="AM22" s="244"/>
      <c r="AN22" s="244"/>
      <c r="AO22" s="244"/>
      <c r="AP22" s="244"/>
      <c r="AQ22" s="244"/>
      <c r="AR22" s="244"/>
      <c r="AS22" s="244"/>
      <c r="AT22" s="244"/>
      <c r="AU22" s="244"/>
      <c r="AV22" s="244"/>
    </row>
    <row r="23">
      <c r="D23" t="s">
        <v>55</v>
      </c>
      <c r="E23" s="231" t="s">
        <v>174</v>
      </c>
      <c r="F23" s="232"/>
      <c r="G23" s="176"/>
      <c r="H23" s="231" t="s">
        <v>174</v>
      </c>
      <c r="I23" s="232"/>
      <c r="J23" s="176"/>
      <c r="K23" s="231" t="s">
        <v>174</v>
      </c>
      <c r="L23" s="232"/>
      <c r="M23" s="176"/>
      <c r="N23" s="231" t="s">
        <v>174</v>
      </c>
      <c r="O23" s="232"/>
      <c r="P23" s="176"/>
      <c r="Q23" s="231" t="s">
        <v>174</v>
      </c>
      <c r="R23" s="232"/>
      <c r="S23" s="176"/>
      <c r="T23" s="231" t="s">
        <v>174</v>
      </c>
      <c r="U23" s="232"/>
      <c r="V23" s="176"/>
      <c r="W23" s="231" t="s">
        <v>174</v>
      </c>
      <c r="X23" s="232"/>
      <c r="Y23" s="176"/>
      <c r="Z23" s="233" t="s">
        <v>174</v>
      </c>
      <c r="AA23" s="232"/>
      <c r="AC23" s="244"/>
      <c r="AD23" s="244"/>
      <c r="AE23" s="244"/>
      <c r="AF23" s="244"/>
      <c r="AG23" s="244"/>
      <c r="AH23" s="244"/>
      <c r="AI23" s="244"/>
      <c r="AJ23" s="244"/>
      <c r="AK23" s="244"/>
      <c r="AL23" s="244"/>
      <c r="AM23" s="244"/>
      <c r="AN23" s="244"/>
      <c r="AO23" s="244"/>
      <c r="AP23" s="244"/>
      <c r="AQ23" s="244"/>
      <c r="AR23" s="244"/>
      <c r="AS23" s="244"/>
      <c r="AT23" s="244"/>
      <c r="AU23" s="244"/>
      <c r="AV23" s="244"/>
    </row>
    <row r="24" ht="15">
      <c r="B24" s="612"/>
      <c r="C24" s="612"/>
      <c r="D24" s="612"/>
      <c r="E24" s="612"/>
      <c r="F24" s="612"/>
      <c r="G24" s="612"/>
      <c r="H24" s="612"/>
      <c r="I24" s="612"/>
      <c r="J24" s="612"/>
      <c r="K24" s="612"/>
      <c r="L24" s="612"/>
      <c r="M24" s="612"/>
      <c r="N24" s="612"/>
      <c r="O24" s="612"/>
      <c r="P24" s="612"/>
      <c r="Q24" s="612"/>
      <c r="R24" s="612"/>
      <c r="S24" s="612"/>
      <c r="T24" s="612"/>
      <c r="U24" s="612"/>
      <c r="V24" s="612"/>
      <c r="W24" s="612"/>
      <c r="X24" s="612"/>
      <c r="Y24" s="612"/>
      <c r="Z24" s="612"/>
      <c r="AA24" s="612"/>
      <c r="AC24" s="244"/>
      <c r="AD24" s="244"/>
      <c r="AE24" s="244"/>
      <c r="AF24" s="244"/>
      <c r="AG24" s="244"/>
      <c r="AH24" s="244"/>
      <c r="AI24" s="244"/>
      <c r="AJ24" s="244"/>
      <c r="AK24" s="244"/>
      <c r="AL24" s="244"/>
      <c r="AM24" s="244"/>
      <c r="AN24" s="244"/>
      <c r="AO24" s="244"/>
      <c r="AP24" s="244"/>
      <c r="AQ24" s="244"/>
      <c r="AR24" s="244"/>
      <c r="AS24" s="244"/>
      <c r="AT24" s="244"/>
      <c r="AU24" s="244"/>
      <c r="AV24" s="244"/>
    </row>
    <row r="25" ht="18">
      <c r="B25" s="220" t="s">
        <v>12</v>
      </c>
      <c r="C25" s="57"/>
      <c r="E25" s="648" t="s">
        <v>40</v>
      </c>
      <c r="F25" s="648"/>
      <c r="H25" s="648" t="s">
        <v>39</v>
      </c>
      <c r="I25" s="648"/>
      <c r="K25" s="648" t="s">
        <v>41</v>
      </c>
      <c r="L25" s="648"/>
      <c r="N25" s="648" t="s">
        <v>42</v>
      </c>
      <c r="O25" s="648"/>
      <c r="Q25" s="648" t="s">
        <v>43</v>
      </c>
      <c r="R25" s="648"/>
      <c r="T25" s="648" t="s">
        <v>44</v>
      </c>
      <c r="U25" s="648"/>
      <c r="W25" s="648" t="s">
        <v>45</v>
      </c>
      <c r="X25" s="648"/>
      <c r="Z25" s="649" t="s">
        <v>23</v>
      </c>
      <c r="AA25" s="649"/>
      <c r="AC25" s="244"/>
      <c r="AD25" s="244"/>
      <c r="AE25" s="244"/>
      <c r="AF25" s="244"/>
      <c r="AG25" s="244"/>
      <c r="AH25" s="244"/>
      <c r="AI25" s="244"/>
      <c r="AJ25" s="244"/>
      <c r="AK25" s="244"/>
      <c r="AL25" s="244"/>
      <c r="AM25" s="244"/>
      <c r="AN25" s="244"/>
      <c r="AO25" s="244"/>
      <c r="AP25" s="244"/>
      <c r="AQ25" s="244"/>
      <c r="AR25" s="244"/>
      <c r="AS25" s="244"/>
      <c r="AT25" s="244"/>
      <c r="AU25" s="244"/>
      <c r="AV25" s="244"/>
    </row>
    <row r="26">
      <c r="E26" s="176"/>
      <c r="F26" s="176" t="s">
        <v>57</v>
      </c>
      <c r="G26" s="176"/>
      <c r="H26" s="176"/>
      <c r="I26" s="176" t="s">
        <v>57</v>
      </c>
      <c r="J26" s="176"/>
      <c r="K26" s="176"/>
      <c r="L26" s="176" t="s">
        <v>57</v>
      </c>
      <c r="M26" s="176"/>
      <c r="N26" s="176"/>
      <c r="O26" s="176" t="s">
        <v>57</v>
      </c>
      <c r="P26" s="176"/>
      <c r="Q26" s="176"/>
      <c r="R26" s="176" t="s">
        <v>57</v>
      </c>
      <c r="S26" s="176"/>
      <c r="T26" s="176"/>
      <c r="U26" s="176" t="s">
        <v>57</v>
      </c>
      <c r="V26" s="176"/>
      <c r="W26" s="176"/>
      <c r="X26" s="176" t="s">
        <v>57</v>
      </c>
      <c r="Y26" s="176"/>
      <c r="Z26" s="226"/>
      <c r="AA26" s="176" t="s">
        <v>57</v>
      </c>
      <c r="AC26" s="244"/>
      <c r="AD26" s="244"/>
      <c r="AE26" s="244"/>
      <c r="AF26" s="244"/>
      <c r="AG26" s="244"/>
      <c r="AH26" s="244"/>
      <c r="AI26" s="244"/>
      <c r="AJ26" s="244"/>
      <c r="AK26" s="244"/>
      <c r="AL26" s="244"/>
      <c r="AM26" s="244"/>
      <c r="AN26" s="244"/>
      <c r="AO26" s="244"/>
      <c r="AP26" s="244"/>
      <c r="AQ26" s="244"/>
      <c r="AR26" s="244"/>
      <c r="AS26" s="244"/>
      <c r="AT26" s="244"/>
      <c r="AU26" s="244"/>
      <c r="AV26" s="244"/>
    </row>
    <row r="27">
      <c r="B27" s="216" t="s">
        <v>23</v>
      </c>
      <c r="C27" s="216"/>
      <c r="D27" s="217" t="s">
        <v>32</v>
      </c>
      <c r="E27" s="598">
        <v>148.8878504672897196261682243</v>
      </c>
      <c r="F27" s="219">
        <v>-14.948481127564371752206913190</v>
      </c>
      <c r="G27" s="217"/>
      <c r="H27" s="598">
        <v>147.11340206185567010309278351</v>
      </c>
      <c r="I27" s="219">
        <v>10.114821902586579418482622390</v>
      </c>
      <c r="J27" s="217"/>
      <c r="K27" s="225">
        <v>142.64044943820224719101123596</v>
      </c>
      <c r="L27" s="219">
        <v>-4.4562498180980875852425627900</v>
      </c>
      <c r="M27" s="217"/>
      <c r="N27" s="598">
        <v>137.500000000</v>
      </c>
      <c r="O27" s="219">
        <v>-10.181217953234361264346623900</v>
      </c>
      <c r="P27" s="217"/>
      <c r="Q27" s="598">
        <v>144.17647058823529411764705882</v>
      </c>
      <c r="R27" s="219">
        <v>2.4546573465710664329661801400</v>
      </c>
      <c r="S27" s="217"/>
      <c r="T27" s="598">
        <v>226.25423728813559322033898305</v>
      </c>
      <c r="U27" s="219">
        <v>-4.5223433272749511514737092200</v>
      </c>
      <c r="V27" s="217"/>
      <c r="W27" s="598">
        <v>213.14960629921259842519685039</v>
      </c>
      <c r="X27" s="219">
        <v>-9.157142220923562312689989230</v>
      </c>
      <c r="Y27" s="217"/>
      <c r="Z27" s="599">
        <v>168.60397350993377483443708609</v>
      </c>
      <c r="AA27" s="219">
        <v>-5.6364048730177000799903139600</v>
      </c>
      <c r="AC27" s="244"/>
      <c r="AD27" s="244"/>
      <c r="AE27" s="244"/>
      <c r="AF27" s="244"/>
      <c r="AG27" s="244"/>
      <c r="AH27" s="244"/>
      <c r="AI27" s="244"/>
      <c r="AJ27" s="244"/>
      <c r="AK27" s="244"/>
      <c r="AL27" s="244"/>
      <c r="AM27" s="244"/>
      <c r="AN27" s="244"/>
      <c r="AO27" s="244"/>
      <c r="AP27" s="244"/>
      <c r="AQ27" s="244"/>
      <c r="AR27" s="244"/>
      <c r="AS27" s="244"/>
      <c r="AT27" s="244"/>
      <c r="AU27" s="244"/>
      <c r="AV27" s="244"/>
    </row>
    <row r="28">
      <c r="D28" s="217" t="s">
        <v>26</v>
      </c>
      <c r="E28" s="598">
        <v>193.8640776699029126213592233</v>
      </c>
      <c r="F28" s="219">
        <v>-19.892126144102737423760688850</v>
      </c>
      <c r="G28" s="217"/>
      <c r="H28" s="598">
        <v>190.6808510638297872340425532</v>
      </c>
      <c r="I28" s="219">
        <v>-3.6526658530372709552268018900</v>
      </c>
      <c r="J28" s="217"/>
      <c r="K28" s="598">
        <v>177.44615384615384615384615384</v>
      </c>
      <c r="L28" s="219">
        <v>-12.246253167449368555777135930</v>
      </c>
      <c r="M28" s="217"/>
      <c r="N28" s="598">
        <v>180.66826923076923076923076922</v>
      </c>
      <c r="O28" s="219">
        <v>-8.703497490205418348070046590</v>
      </c>
      <c r="P28" s="217"/>
      <c r="Q28" s="598">
        <v>216.98672566371681415929203541</v>
      </c>
      <c r="R28" s="219">
        <v>-0.4279698678777299233446900400</v>
      </c>
      <c r="S28" s="217"/>
      <c r="T28" s="598">
        <v>254.67207792207792207792207793</v>
      </c>
      <c r="U28" s="219">
        <v>-9.305290535476313208903873540</v>
      </c>
      <c r="V28" s="217"/>
      <c r="W28" s="598">
        <v>247.06796116504854368932038835</v>
      </c>
      <c r="X28" s="219">
        <v>-13.892506795746416553943938500</v>
      </c>
      <c r="Y28" s="217"/>
      <c r="Z28" s="599">
        <v>214.50426829268292682926829268</v>
      </c>
      <c r="AA28" s="219">
        <v>-8.257341300659276448106792360</v>
      </c>
      <c r="AC28" s="244"/>
      <c r="AD28" s="244"/>
      <c r="AE28" s="244"/>
      <c r="AF28" s="244"/>
      <c r="AG28" s="244"/>
      <c r="AH28" s="244"/>
      <c r="AI28" s="244"/>
      <c r="AJ28" s="244"/>
      <c r="AK28" s="244"/>
      <c r="AL28" s="244"/>
      <c r="AM28" s="244"/>
      <c r="AN28" s="244"/>
      <c r="AO28" s="244"/>
      <c r="AP28" s="244"/>
      <c r="AQ28" s="244"/>
      <c r="AR28" s="244"/>
      <c r="AS28" s="244"/>
      <c r="AT28" s="244"/>
      <c r="AU28" s="244"/>
      <c r="AV28" s="244"/>
    </row>
    <row r="29">
      <c r="D29" t="s">
        <v>92</v>
      </c>
      <c r="E29" s="223">
        <v>76.800123187755766836262471810</v>
      </c>
      <c r="F29" s="218">
        <v>6.1712348344133398321716435500</v>
      </c>
      <c r="H29" s="223">
        <v>77.151639108550509013533592190</v>
      </c>
      <c r="I29" s="218">
        <v>14.289432995250321959405918180</v>
      </c>
      <c r="K29" s="223">
        <v>80.38520212832265052325195646</v>
      </c>
      <c r="L29" s="218">
        <v>8.877117650856441254596756330</v>
      </c>
      <c r="N29" s="223">
        <v>76.106335985510868289462006190</v>
      </c>
      <c r="O29" s="218">
        <v>-1.6185948228112361036339458500</v>
      </c>
      <c r="Q29" s="223">
        <v>66.444834423507211350754151930</v>
      </c>
      <c r="R29" s="218">
        <v>2.8950170149999594825360871800</v>
      </c>
      <c r="T29" s="223">
        <v>88.84139915697512907701746895</v>
      </c>
      <c r="U29" s="218">
        <v>5.2736782954970679134806232300</v>
      </c>
      <c r="W29" s="223">
        <v>86.27164983033327263551867437</v>
      </c>
      <c r="X29" s="218">
        <v>5.499364107102739846408088400</v>
      </c>
      <c r="Z29" s="224">
        <v>78.601686974296771130293051790</v>
      </c>
      <c r="AA29" s="218">
        <v>2.8568350479010141194229730300</v>
      </c>
      <c r="AC29" s="244"/>
      <c r="AD29" s="244"/>
      <c r="AE29" s="244"/>
      <c r="AF29" s="244"/>
      <c r="AG29" s="244"/>
      <c r="AH29" s="244"/>
      <c r="AI29" s="244"/>
      <c r="AJ29" s="244"/>
      <c r="AK29" s="244"/>
      <c r="AL29" s="244"/>
      <c r="AM29" s="244"/>
      <c r="AN29" s="244"/>
      <c r="AO29" s="244"/>
      <c r="AP29" s="244"/>
      <c r="AQ29" s="244"/>
      <c r="AR29" s="244"/>
      <c r="AS29" s="244"/>
      <c r="AT29" s="244"/>
      <c r="AU29" s="244"/>
      <c r="AV29" s="244"/>
    </row>
    <row r="30">
      <c r="D30" s="214" t="s">
        <v>55</v>
      </c>
      <c r="E30" s="227" t="s">
        <v>170</v>
      </c>
      <c r="F30" s="228" t="s">
        <v>170</v>
      </c>
      <c r="G30" s="229"/>
      <c r="H30" s="227" t="s">
        <v>170</v>
      </c>
      <c r="I30" s="228" t="s">
        <v>170</v>
      </c>
      <c r="J30" s="229"/>
      <c r="K30" s="227" t="s">
        <v>170</v>
      </c>
      <c r="L30" s="228" t="s">
        <v>170</v>
      </c>
      <c r="M30" s="229"/>
      <c r="N30" s="227" t="s">
        <v>172</v>
      </c>
      <c r="O30" s="228" t="s">
        <v>173</v>
      </c>
      <c r="P30" s="229"/>
      <c r="Q30" s="227" t="s">
        <v>170</v>
      </c>
      <c r="R30" s="228" t="s">
        <v>170</v>
      </c>
      <c r="S30" s="229"/>
      <c r="T30" s="227" t="s">
        <v>170</v>
      </c>
      <c r="U30" s="228" t="s">
        <v>172</v>
      </c>
      <c r="V30" s="229"/>
      <c r="W30" s="227" t="s">
        <v>170</v>
      </c>
      <c r="X30" s="228" t="s">
        <v>170</v>
      </c>
      <c r="Y30" s="229"/>
      <c r="Z30" s="230" t="s">
        <v>170</v>
      </c>
      <c r="AA30" s="228" t="s">
        <v>170</v>
      </c>
      <c r="AC30" s="244"/>
      <c r="AD30" s="244"/>
      <c r="AE30" s="244"/>
      <c r="AF30" s="244"/>
      <c r="AG30" s="244"/>
      <c r="AH30" s="244"/>
      <c r="AI30" s="244"/>
      <c r="AJ30" s="244"/>
      <c r="AK30" s="244"/>
      <c r="AL30" s="244"/>
      <c r="AM30" s="244"/>
      <c r="AN30" s="244"/>
      <c r="AO30" s="244"/>
      <c r="AP30" s="244"/>
      <c r="AQ30" s="244"/>
      <c r="AR30" s="244"/>
      <c r="AS30" s="244"/>
      <c r="AT30" s="244"/>
      <c r="AU30" s="244"/>
      <c r="AV30" s="244"/>
    </row>
    <row r="31" ht="8.1" customHeight="1">
      <c r="F31" s="218"/>
      <c r="I31" s="218"/>
      <c r="L31" s="218"/>
      <c r="O31" s="218"/>
      <c r="R31" s="218"/>
      <c r="U31" s="218"/>
      <c r="X31" s="218"/>
      <c r="Z31" s="215"/>
      <c r="AA31" s="218"/>
      <c r="AC31" s="244"/>
      <c r="AD31" s="244"/>
      <c r="AE31" s="244"/>
      <c r="AF31" s="244"/>
      <c r="AG31" s="244"/>
      <c r="AH31" s="244"/>
      <c r="AI31" s="244"/>
      <c r="AJ31" s="244"/>
      <c r="AK31" s="244"/>
      <c r="AL31" s="244"/>
      <c r="AM31" s="244"/>
      <c r="AN31" s="244"/>
      <c r="AO31" s="244"/>
      <c r="AP31" s="244"/>
      <c r="AQ31" s="244"/>
      <c r="AR31" s="244"/>
      <c r="AS31" s="244"/>
      <c r="AT31" s="244"/>
      <c r="AU31" s="244"/>
      <c r="AV31" s="244"/>
    </row>
    <row r="32">
      <c r="B32" s="216" t="s">
        <v>21</v>
      </c>
      <c r="C32" s="216"/>
      <c r="D32" s="217" t="s">
        <v>32</v>
      </c>
      <c r="E32" s="598">
        <v>148.8878504672897196261682243</v>
      </c>
      <c r="F32" s="219">
        <v>-8.234010912225639302338565280</v>
      </c>
      <c r="G32" s="217"/>
      <c r="H32" s="598">
        <v>147.11340206185567010309278351</v>
      </c>
      <c r="I32" s="219">
        <v>10.114821902586579418482622390</v>
      </c>
      <c r="J32" s="217"/>
      <c r="K32" s="598">
        <v>142.64044943820224719101123596</v>
      </c>
      <c r="L32" s="219">
        <v>-4.4562498180980875852425627900</v>
      </c>
      <c r="M32" s="217"/>
      <c r="N32" s="598">
        <v>137.38144329896907216494845361</v>
      </c>
      <c r="O32" s="219">
        <v>-8.723540881039203444139998700</v>
      </c>
      <c r="P32" s="217"/>
      <c r="Q32" s="598">
        <v>144.09401709401709401709401709</v>
      </c>
      <c r="R32" s="219">
        <v>4.4961304751113013129115481400</v>
      </c>
      <c r="S32" s="217"/>
      <c r="T32" s="598">
        <v>228.78571428571428571428571429</v>
      </c>
      <c r="U32" s="219">
        <v>-2.1984732824546933162403108800</v>
      </c>
      <c r="V32" s="217"/>
      <c r="W32" s="598">
        <v>214.2327586206896551724137931</v>
      </c>
      <c r="X32" s="219">
        <v>-7.3921792705819058590820176700</v>
      </c>
      <c r="Y32" s="217"/>
      <c r="Z32" s="599">
        <v>168.10340136054421768707482993</v>
      </c>
      <c r="AA32" s="219">
        <v>-3.7513832208131060662554534200</v>
      </c>
      <c r="AC32" s="244"/>
      <c r="AD32" s="244"/>
      <c r="AE32" s="244"/>
      <c r="AF32" s="244"/>
      <c r="AG32" s="244"/>
      <c r="AH32" s="244"/>
      <c r="AI32" s="244"/>
      <c r="AJ32" s="244"/>
      <c r="AK32" s="244"/>
      <c r="AL32" s="244"/>
      <c r="AM32" s="244"/>
      <c r="AN32" s="244"/>
      <c r="AO32" s="244"/>
      <c r="AP32" s="244"/>
      <c r="AQ32" s="244"/>
      <c r="AR32" s="244"/>
      <c r="AS32" s="244"/>
      <c r="AT32" s="244"/>
      <c r="AU32" s="244"/>
      <c r="AV32" s="244"/>
    </row>
    <row r="33">
      <c r="D33" s="217" t="s">
        <v>26</v>
      </c>
      <c r="E33" s="598">
        <v>193.8640776699029126213592233</v>
      </c>
      <c r="F33" s="219">
        <v>-20.458349391996622708493515540</v>
      </c>
      <c r="G33" s="217"/>
      <c r="H33" s="598">
        <v>190.68085106382978723404255321</v>
      </c>
      <c r="I33" s="219">
        <v>-1.5669452358603713378816798300</v>
      </c>
      <c r="J33" s="217"/>
      <c r="K33" s="598">
        <v>177.44615384615384615384615383</v>
      </c>
      <c r="L33" s="219">
        <v>-10.675783802027782929884871300</v>
      </c>
      <c r="M33" s="217"/>
      <c r="N33" s="598">
        <v>180.66826923076923076923076923</v>
      </c>
      <c r="O33" s="219">
        <v>-8.641056364692379291668392280</v>
      </c>
      <c r="P33" s="217"/>
      <c r="Q33" s="598">
        <v>216.98672566371681415929203542</v>
      </c>
      <c r="R33" s="219">
        <v>-0.4279698678777299233446900300</v>
      </c>
      <c r="S33" s="217"/>
      <c r="T33" s="598">
        <v>254.67207792207792207792207792</v>
      </c>
      <c r="U33" s="219">
        <v>-9.112081851137591614960267040</v>
      </c>
      <c r="V33" s="217"/>
      <c r="W33" s="598">
        <v>247.06796116504854368932038835</v>
      </c>
      <c r="X33" s="219">
        <v>-13.760936848802491734828191290</v>
      </c>
      <c r="Y33" s="217"/>
      <c r="Z33" s="599">
        <v>214.50426829268292682926829268</v>
      </c>
      <c r="AA33" s="219">
        <v>-8.105163798171106203050305140</v>
      </c>
      <c r="AC33" s="244"/>
      <c r="AD33" s="244"/>
      <c r="AE33" s="244"/>
      <c r="AF33" s="244"/>
      <c r="AG33" s="244"/>
      <c r="AH33" s="244"/>
      <c r="AI33" s="244"/>
      <c r="AJ33" s="244"/>
      <c r="AK33" s="244"/>
      <c r="AL33" s="244"/>
      <c r="AM33" s="244"/>
      <c r="AN33" s="244"/>
      <c r="AO33" s="244"/>
      <c r="AP33" s="244"/>
      <c r="AQ33" s="244"/>
      <c r="AR33" s="244"/>
      <c r="AS33" s="244"/>
      <c r="AT33" s="244"/>
      <c r="AU33" s="244"/>
      <c r="AV33" s="244"/>
    </row>
    <row r="34">
      <c r="D34" t="s">
        <v>22</v>
      </c>
      <c r="E34" s="223">
        <v>76.800123187754612988257848070</v>
      </c>
      <c r="F34" s="218">
        <v>15.368474737978642280798445640</v>
      </c>
      <c r="H34" s="223">
        <v>77.151639108538456760158009640</v>
      </c>
      <c r="I34" s="218">
        <v>11.867727935915158324522870860</v>
      </c>
      <c r="K34" s="223">
        <v>80.38520212834355876032365474</v>
      </c>
      <c r="L34" s="218">
        <v>6.9628755209414208526542414500</v>
      </c>
      <c r="N34" s="223">
        <v>76.040714777363865484204684400</v>
      </c>
      <c r="O34" s="218">
        <v>-0.0902861976053939909311309500</v>
      </c>
      <c r="Q34" s="223">
        <v>66.406835097061243597673785880</v>
      </c>
      <c r="R34" s="218">
        <v>4.9452645852803030463664788800</v>
      </c>
      <c r="T34" s="223">
        <v>89.83541350603653794668468492</v>
      </c>
      <c r="U34" s="218">
        <v>7.6067410383466977113940446100</v>
      </c>
      <c r="W34" s="223">
        <v>86.71005241249227633903890557</v>
      </c>
      <c r="X34" s="218">
        <v>7.3850032056138427384671300</v>
      </c>
      <c r="Z34" s="224">
        <v>78.368324648520984859247988440</v>
      </c>
      <c r="AA34" s="218">
        <v>4.7377858836807563316788072500</v>
      </c>
      <c r="AC34" s="244"/>
      <c r="AD34" s="244"/>
      <c r="AE34" s="244"/>
      <c r="AF34" s="244"/>
      <c r="AG34" s="244"/>
      <c r="AH34" s="244"/>
      <c r="AI34" s="244"/>
      <c r="AJ34" s="244"/>
      <c r="AK34" s="244"/>
      <c r="AL34" s="244"/>
      <c r="AM34" s="244"/>
      <c r="AN34" s="244"/>
      <c r="AO34" s="244"/>
      <c r="AP34" s="244"/>
      <c r="AQ34" s="244"/>
      <c r="AR34" s="244"/>
      <c r="AS34" s="244"/>
      <c r="AT34" s="244"/>
      <c r="AU34" s="244"/>
      <c r="AV34" s="244"/>
    </row>
    <row r="35">
      <c r="D35" t="s">
        <v>55</v>
      </c>
      <c r="E35" s="231" t="s">
        <v>170</v>
      </c>
      <c r="F35" s="232" t="s">
        <v>171</v>
      </c>
      <c r="G35" s="176"/>
      <c r="H35" s="231" t="s">
        <v>170</v>
      </c>
      <c r="I35" s="232" t="s">
        <v>170</v>
      </c>
      <c r="J35" s="176"/>
      <c r="K35" s="231" t="s">
        <v>170</v>
      </c>
      <c r="L35" s="232" t="s">
        <v>170</v>
      </c>
      <c r="M35" s="176"/>
      <c r="N35" s="231" t="s">
        <v>172</v>
      </c>
      <c r="O35" s="232" t="s">
        <v>170</v>
      </c>
      <c r="P35" s="176"/>
      <c r="Q35" s="231" t="s">
        <v>170</v>
      </c>
      <c r="R35" s="232" t="s">
        <v>171</v>
      </c>
      <c r="S35" s="176"/>
      <c r="T35" s="231" t="s">
        <v>170</v>
      </c>
      <c r="U35" s="232" t="s">
        <v>170</v>
      </c>
      <c r="V35" s="176"/>
      <c r="W35" s="231" t="s">
        <v>170</v>
      </c>
      <c r="X35" s="232" t="s">
        <v>170</v>
      </c>
      <c r="Y35" s="176"/>
      <c r="Z35" s="233" t="s">
        <v>170</v>
      </c>
      <c r="AA35" s="232" t="s">
        <v>171</v>
      </c>
      <c r="AC35" s="244"/>
      <c r="AD35" s="244"/>
      <c r="AE35" s="244"/>
      <c r="AF35" s="244"/>
      <c r="AG35" s="244"/>
      <c r="AH35" s="244"/>
      <c r="AI35" s="244"/>
      <c r="AJ35" s="244"/>
      <c r="AK35" s="244"/>
      <c r="AL35" s="244"/>
      <c r="AM35" s="244"/>
      <c r="AN35" s="244"/>
      <c r="AO35" s="244"/>
      <c r="AP35" s="244"/>
      <c r="AQ35" s="244"/>
      <c r="AR35" s="244"/>
      <c r="AS35" s="244"/>
      <c r="AT35" s="244"/>
      <c r="AU35" s="244"/>
      <c r="AV35" s="244"/>
    </row>
    <row r="36" ht="8.1" customHeight="1">
      <c r="F36" s="218"/>
      <c r="I36" s="218"/>
      <c r="L36" s="218"/>
      <c r="O36" s="218"/>
      <c r="R36" s="218"/>
      <c r="U36" s="218"/>
      <c r="X36" s="218"/>
      <c r="Z36" s="215"/>
      <c r="AA36" s="218"/>
      <c r="AC36" s="244"/>
      <c r="AD36" s="244"/>
      <c r="AE36" s="244"/>
      <c r="AF36" s="244"/>
      <c r="AG36" s="244"/>
      <c r="AH36" s="244"/>
      <c r="AI36" s="244"/>
      <c r="AJ36" s="244"/>
      <c r="AK36" s="244"/>
      <c r="AL36" s="244"/>
      <c r="AM36" s="244"/>
      <c r="AN36" s="244"/>
      <c r="AO36" s="244"/>
      <c r="AP36" s="244"/>
      <c r="AQ36" s="244"/>
      <c r="AR36" s="244"/>
      <c r="AS36" s="244"/>
      <c r="AT36" s="244"/>
      <c r="AU36" s="244"/>
      <c r="AV36" s="244"/>
    </row>
    <row r="37">
      <c r="B37" s="216" t="s">
        <v>24</v>
      </c>
      <c r="C37" s="216"/>
      <c r="D37" s="217" t="s">
        <v>32</v>
      </c>
      <c r="E37" s="598">
        <v>0</v>
      </c>
      <c r="F37" s="219">
        <v>-100</v>
      </c>
      <c r="G37" s="217"/>
      <c r="H37" s="598">
        <v>0</v>
      </c>
      <c r="I37" s="219">
        <v>0</v>
      </c>
      <c r="J37" s="217"/>
      <c r="K37" s="598">
        <v>0</v>
      </c>
      <c r="L37" s="219">
        <v>0</v>
      </c>
      <c r="M37" s="217"/>
      <c r="N37" s="598">
        <v>149</v>
      </c>
      <c r="O37" s="219">
        <v>-24.899193548387096774193548390</v>
      </c>
      <c r="P37" s="217"/>
      <c r="Q37" s="598">
        <v>149</v>
      </c>
      <c r="R37" s="219">
        <v>-21.080508474576271186440677970</v>
      </c>
      <c r="S37" s="217"/>
      <c r="T37" s="598">
        <v>179</v>
      </c>
      <c r="U37" s="219">
        <v>-39.649359406608226567768037760</v>
      </c>
      <c r="V37" s="217"/>
      <c r="W37" s="598">
        <v>201.72727272727272727272727273</v>
      </c>
      <c r="X37" s="219">
        <v>-33.202889825406381697772426250</v>
      </c>
      <c r="Y37" s="217"/>
      <c r="Z37" s="599">
        <v>187</v>
      </c>
      <c r="AA37" s="219">
        <v>-25.819624314543867900430372920</v>
      </c>
      <c r="AC37" s="244"/>
      <c r="AD37" s="244"/>
      <c r="AE37" s="244"/>
      <c r="AF37" s="244"/>
      <c r="AG37" s="244"/>
      <c r="AH37" s="244"/>
      <c r="AI37" s="244"/>
      <c r="AJ37" s="244"/>
      <c r="AK37" s="244"/>
      <c r="AL37" s="244"/>
      <c r="AM37" s="244"/>
      <c r="AN37" s="244"/>
      <c r="AO37" s="244"/>
      <c r="AP37" s="244"/>
      <c r="AQ37" s="244"/>
      <c r="AR37" s="244"/>
      <c r="AS37" s="244"/>
      <c r="AT37" s="244"/>
      <c r="AU37" s="244"/>
      <c r="AV37" s="244"/>
    </row>
    <row r="38">
      <c r="D38" s="217" t="s">
        <v>26</v>
      </c>
      <c r="E38" s="598">
        <v>0</v>
      </c>
      <c r="F38" s="219">
        <v>-100</v>
      </c>
      <c r="G38" s="217"/>
      <c r="H38" s="598">
        <v>0</v>
      </c>
      <c r="I38" s="219">
        <v>-100</v>
      </c>
      <c r="J38" s="217"/>
      <c r="K38" s="598">
        <v>0</v>
      </c>
      <c r="L38" s="219">
        <v>-100</v>
      </c>
      <c r="M38" s="217"/>
      <c r="N38" s="598">
        <v>0</v>
      </c>
      <c r="O38" s="219">
        <v>-100</v>
      </c>
      <c r="P38" s="217"/>
      <c r="Q38" s="598">
        <v>0</v>
      </c>
      <c r="R38" s="219">
        <v>0</v>
      </c>
      <c r="S38" s="217"/>
      <c r="T38" s="598">
        <v>0</v>
      </c>
      <c r="U38" s="219">
        <v>-100</v>
      </c>
      <c r="V38" s="217"/>
      <c r="W38" s="598">
        <v>0</v>
      </c>
      <c r="X38" s="219">
        <v>-100</v>
      </c>
      <c r="Y38" s="217"/>
      <c r="Z38" s="599">
        <v>0</v>
      </c>
      <c r="AA38" s="219">
        <v>-100</v>
      </c>
      <c r="AC38" s="244"/>
      <c r="AD38" s="244"/>
      <c r="AE38" s="244"/>
      <c r="AF38" s="244"/>
      <c r="AG38" s="244"/>
      <c r="AH38" s="244"/>
      <c r="AI38" s="244"/>
      <c r="AJ38" s="244"/>
      <c r="AK38" s="244"/>
      <c r="AL38" s="244"/>
      <c r="AM38" s="244"/>
      <c r="AN38" s="244"/>
      <c r="AO38" s="244"/>
      <c r="AP38" s="244"/>
      <c r="AQ38" s="244"/>
      <c r="AR38" s="244"/>
      <c r="AS38" s="244"/>
      <c r="AT38" s="244"/>
      <c r="AU38" s="244"/>
      <c r="AV38" s="244"/>
    </row>
    <row r="39">
      <c r="D39" t="s">
        <v>22</v>
      </c>
      <c r="E39" s="223"/>
      <c r="F39" s="218">
        <v>-100</v>
      </c>
      <c r="H39" s="223"/>
      <c r="I39" s="218">
        <v>0</v>
      </c>
      <c r="K39" s="223"/>
      <c r="L39" s="218">
        <v>0</v>
      </c>
      <c r="N39" s="223"/>
      <c r="O39" s="218">
        <v>-100</v>
      </c>
      <c r="Q39" s="223"/>
      <c r="R39" s="218">
        <v>0</v>
      </c>
      <c r="T39" s="223"/>
      <c r="U39" s="218">
        <v>-100</v>
      </c>
      <c r="W39" s="223"/>
      <c r="X39" s="218">
        <v>-100</v>
      </c>
      <c r="Z39" s="224"/>
      <c r="AA39" s="218">
        <v>-100</v>
      </c>
      <c r="AC39" s="244"/>
      <c r="AD39" s="244"/>
      <c r="AE39" s="244"/>
      <c r="AF39" s="244"/>
      <c r="AG39" s="244"/>
      <c r="AH39" s="244"/>
      <c r="AI39" s="244"/>
      <c r="AJ39" s="244"/>
      <c r="AK39" s="244"/>
      <c r="AL39" s="244"/>
      <c r="AM39" s="244"/>
      <c r="AN39" s="244"/>
      <c r="AO39" s="244"/>
      <c r="AP39" s="244"/>
      <c r="AQ39" s="244"/>
      <c r="AR39" s="244"/>
      <c r="AS39" s="244"/>
      <c r="AT39" s="244"/>
      <c r="AU39" s="244"/>
      <c r="AV39" s="244"/>
    </row>
    <row r="40">
      <c r="D40" t="s">
        <v>55</v>
      </c>
      <c r="E40" s="231" t="s">
        <v>174</v>
      </c>
      <c r="F40" s="232"/>
      <c r="G40" s="176"/>
      <c r="H40" s="231" t="s">
        <v>174</v>
      </c>
      <c r="I40" s="232"/>
      <c r="J40" s="176"/>
      <c r="K40" s="231" t="s">
        <v>174</v>
      </c>
      <c r="L40" s="232"/>
      <c r="M40" s="176"/>
      <c r="N40" s="231" t="s">
        <v>171</v>
      </c>
      <c r="O40" s="232" t="s">
        <v>173</v>
      </c>
      <c r="P40" s="176"/>
      <c r="Q40" s="231" t="s">
        <v>171</v>
      </c>
      <c r="R40" s="232" t="s">
        <v>175</v>
      </c>
      <c r="S40" s="176"/>
      <c r="T40" s="231" t="s">
        <v>171</v>
      </c>
      <c r="U40" s="232" t="s">
        <v>173</v>
      </c>
      <c r="V40" s="176"/>
      <c r="W40" s="231" t="s">
        <v>171</v>
      </c>
      <c r="X40" s="232" t="s">
        <v>173</v>
      </c>
      <c r="Y40" s="176"/>
      <c r="Z40" s="233" t="s">
        <v>171</v>
      </c>
      <c r="AA40" s="232" t="s">
        <v>173</v>
      </c>
      <c r="AC40" s="244"/>
      <c r="AD40" s="244"/>
      <c r="AE40" s="244"/>
      <c r="AF40" s="244"/>
      <c r="AG40" s="244"/>
      <c r="AH40" s="244"/>
      <c r="AI40" s="244"/>
      <c r="AJ40" s="244"/>
      <c r="AK40" s="244"/>
      <c r="AL40" s="244"/>
      <c r="AM40" s="244"/>
      <c r="AN40" s="244"/>
      <c r="AO40" s="244"/>
      <c r="AP40" s="244"/>
      <c r="AQ40" s="244"/>
      <c r="AR40" s="244"/>
      <c r="AS40" s="244"/>
      <c r="AT40" s="244"/>
      <c r="AU40" s="244"/>
      <c r="AV40" s="244"/>
    </row>
    <row r="41" ht="8.1" customHeight="1">
      <c r="F41" s="218"/>
      <c r="I41" s="218"/>
      <c r="L41" s="218"/>
      <c r="O41" s="218"/>
      <c r="R41" s="218"/>
      <c r="U41" s="218"/>
      <c r="X41" s="218"/>
      <c r="Z41" s="215"/>
      <c r="AA41" s="218"/>
      <c r="AC41" s="244"/>
      <c r="AD41" s="244"/>
      <c r="AE41" s="244"/>
      <c r="AF41" s="244"/>
      <c r="AG41" s="244"/>
      <c r="AH41" s="244"/>
      <c r="AI41" s="244"/>
      <c r="AJ41" s="244"/>
      <c r="AK41" s="244"/>
      <c r="AL41" s="244"/>
      <c r="AM41" s="244"/>
      <c r="AN41" s="244"/>
      <c r="AO41" s="244"/>
      <c r="AP41" s="244"/>
      <c r="AQ41" s="244"/>
      <c r="AR41" s="244"/>
      <c r="AS41" s="244"/>
      <c r="AT41" s="244"/>
      <c r="AU41" s="244"/>
      <c r="AV41" s="244"/>
    </row>
    <row r="42">
      <c r="B42" s="216" t="s">
        <v>25</v>
      </c>
      <c r="C42" s="216"/>
      <c r="D42" s="217" t="s">
        <v>32</v>
      </c>
      <c r="E42" s="598">
        <v>0</v>
      </c>
      <c r="F42" s="219">
        <v>0</v>
      </c>
      <c r="G42" s="217"/>
      <c r="H42" s="598">
        <v>0</v>
      </c>
      <c r="I42" s="219">
        <v>0</v>
      </c>
      <c r="J42" s="217"/>
      <c r="K42" s="598">
        <v>0</v>
      </c>
      <c r="L42" s="219">
        <v>0</v>
      </c>
      <c r="M42" s="217"/>
      <c r="N42" s="598">
        <v>0</v>
      </c>
      <c r="O42" s="219">
        <v>0</v>
      </c>
      <c r="P42" s="217"/>
      <c r="Q42" s="598">
        <v>0</v>
      </c>
      <c r="R42" s="219">
        <v>0</v>
      </c>
      <c r="S42" s="217"/>
      <c r="T42" s="598">
        <v>0</v>
      </c>
      <c r="U42" s="219">
        <v>0</v>
      </c>
      <c r="V42" s="217"/>
      <c r="W42" s="598">
        <v>0</v>
      </c>
      <c r="X42" s="219">
        <v>0</v>
      </c>
      <c r="Y42" s="217"/>
      <c r="Z42" s="599">
        <v>0</v>
      </c>
      <c r="AA42" s="219">
        <v>0</v>
      </c>
      <c r="AC42" s="244"/>
      <c r="AD42" s="244"/>
      <c r="AE42" s="244"/>
      <c r="AF42" s="244"/>
      <c r="AG42" s="244"/>
      <c r="AH42" s="244"/>
      <c r="AI42" s="244"/>
      <c r="AJ42" s="244"/>
      <c r="AK42" s="244"/>
      <c r="AL42" s="244"/>
      <c r="AM42" s="244"/>
      <c r="AN42" s="244"/>
      <c r="AO42" s="244"/>
      <c r="AP42" s="244"/>
      <c r="AQ42" s="244"/>
      <c r="AR42" s="244"/>
      <c r="AS42" s="244"/>
      <c r="AT42" s="244"/>
      <c r="AU42" s="244"/>
      <c r="AV42" s="244"/>
    </row>
    <row r="43">
      <c r="D43" s="217" t="s">
        <v>26</v>
      </c>
      <c r="E43" s="598">
        <v>0</v>
      </c>
      <c r="F43" s="219">
        <v>0</v>
      </c>
      <c r="G43" s="217"/>
      <c r="H43" s="598">
        <v>0</v>
      </c>
      <c r="I43" s="219">
        <v>0</v>
      </c>
      <c r="J43" s="217"/>
      <c r="K43" s="598">
        <v>0</v>
      </c>
      <c r="L43" s="219">
        <v>0</v>
      </c>
      <c r="M43" s="217"/>
      <c r="N43" s="598">
        <v>0</v>
      </c>
      <c r="O43" s="219">
        <v>0</v>
      </c>
      <c r="P43" s="217"/>
      <c r="Q43" s="598">
        <v>0</v>
      </c>
      <c r="R43" s="219">
        <v>0</v>
      </c>
      <c r="S43" s="217"/>
      <c r="T43" s="598">
        <v>0</v>
      </c>
      <c r="U43" s="219">
        <v>0</v>
      </c>
      <c r="V43" s="217"/>
      <c r="W43" s="598">
        <v>0</v>
      </c>
      <c r="X43" s="219">
        <v>0</v>
      </c>
      <c r="Y43" s="217"/>
      <c r="Z43" s="599">
        <v>0</v>
      </c>
      <c r="AA43" s="219">
        <v>0</v>
      </c>
      <c r="AC43" s="244"/>
      <c r="AD43" s="244"/>
      <c r="AE43" s="244"/>
      <c r="AF43" s="244"/>
      <c r="AG43" s="244"/>
      <c r="AH43" s="244"/>
      <c r="AI43" s="244"/>
      <c r="AJ43" s="244"/>
      <c r="AK43" s="244"/>
      <c r="AL43" s="244"/>
      <c r="AM43" s="244"/>
      <c r="AN43" s="244"/>
      <c r="AO43" s="244"/>
      <c r="AP43" s="244"/>
      <c r="AQ43" s="244"/>
      <c r="AR43" s="244"/>
      <c r="AS43" s="244"/>
      <c r="AT43" s="244"/>
      <c r="AU43" s="244"/>
      <c r="AV43" s="244"/>
    </row>
    <row r="44">
      <c r="D44" t="s">
        <v>22</v>
      </c>
      <c r="E44" s="223"/>
      <c r="F44" s="218">
        <v>0</v>
      </c>
      <c r="H44" s="223"/>
      <c r="I44" s="218">
        <v>0</v>
      </c>
      <c r="K44" s="223"/>
      <c r="L44" s="218">
        <v>0</v>
      </c>
      <c r="N44" s="223"/>
      <c r="O44" s="218">
        <v>0</v>
      </c>
      <c r="Q44" s="223"/>
      <c r="R44" s="218">
        <v>0</v>
      </c>
      <c r="T44" s="223"/>
      <c r="U44" s="218">
        <v>0</v>
      </c>
      <c r="W44" s="223"/>
      <c r="X44" s="218">
        <v>0</v>
      </c>
      <c r="Z44" s="224"/>
      <c r="AA44" s="218">
        <v>0</v>
      </c>
      <c r="AC44" s="244"/>
      <c r="AD44" s="244"/>
      <c r="AE44" s="244"/>
      <c r="AF44" s="244"/>
      <c r="AG44" s="244"/>
      <c r="AH44" s="244"/>
      <c r="AI44" s="244"/>
      <c r="AJ44" s="244"/>
      <c r="AK44" s="244"/>
      <c r="AL44" s="244"/>
      <c r="AM44" s="244"/>
      <c r="AN44" s="244"/>
      <c r="AO44" s="244"/>
      <c r="AP44" s="244"/>
      <c r="AQ44" s="244"/>
      <c r="AR44" s="244"/>
      <c r="AS44" s="244"/>
      <c r="AT44" s="244"/>
      <c r="AU44" s="244"/>
      <c r="AV44" s="244"/>
    </row>
    <row r="45">
      <c r="D45" t="s">
        <v>55</v>
      </c>
      <c r="E45" s="231" t="s">
        <v>174</v>
      </c>
      <c r="F45" s="232"/>
      <c r="G45" s="176"/>
      <c r="H45" s="231" t="s">
        <v>174</v>
      </c>
      <c r="I45" s="232"/>
      <c r="J45" s="176"/>
      <c r="K45" s="231" t="s">
        <v>174</v>
      </c>
      <c r="L45" s="232"/>
      <c r="M45" s="176"/>
      <c r="N45" s="231" t="s">
        <v>174</v>
      </c>
      <c r="O45" s="232"/>
      <c r="P45" s="176"/>
      <c r="Q45" s="231" t="s">
        <v>174</v>
      </c>
      <c r="R45" s="232"/>
      <c r="S45" s="176"/>
      <c r="T45" s="231" t="s">
        <v>174</v>
      </c>
      <c r="U45" s="232"/>
      <c r="V45" s="176"/>
      <c r="W45" s="231" t="s">
        <v>174</v>
      </c>
      <c r="X45" s="232"/>
      <c r="Y45" s="176"/>
      <c r="Z45" s="233" t="s">
        <v>174</v>
      </c>
      <c r="AA45" s="232"/>
      <c r="AC45" s="244"/>
      <c r="AD45" s="244"/>
      <c r="AE45" s="244"/>
      <c r="AF45" s="244"/>
      <c r="AG45" s="244"/>
      <c r="AH45" s="244"/>
      <c r="AI45" s="244"/>
      <c r="AJ45" s="244"/>
      <c r="AK45" s="244"/>
      <c r="AL45" s="244"/>
      <c r="AM45" s="244"/>
      <c r="AN45" s="244"/>
      <c r="AO45" s="244"/>
      <c r="AP45" s="244"/>
      <c r="AQ45" s="244"/>
      <c r="AR45" s="244"/>
      <c r="AS45" s="244"/>
      <c r="AT45" s="244"/>
      <c r="AU45" s="244"/>
      <c r="AV45" s="244"/>
    </row>
    <row r="46" ht="15">
      <c r="B46" s="612"/>
      <c r="C46" s="612"/>
      <c r="D46" s="612"/>
      <c r="E46" s="612"/>
      <c r="F46" s="612"/>
      <c r="G46" s="612"/>
      <c r="H46" s="612"/>
      <c r="I46" s="612"/>
      <c r="J46" s="612"/>
      <c r="K46" s="612"/>
      <c r="L46" s="612"/>
      <c r="M46" s="612"/>
      <c r="N46" s="612"/>
      <c r="O46" s="612"/>
      <c r="P46" s="612"/>
      <c r="Q46" s="612"/>
      <c r="R46" s="612"/>
      <c r="S46" s="612"/>
      <c r="T46" s="612"/>
      <c r="U46" s="612"/>
      <c r="V46" s="612"/>
      <c r="W46" s="612"/>
      <c r="X46" s="612"/>
      <c r="Y46" s="612"/>
      <c r="Z46" s="612"/>
      <c r="AA46" s="612"/>
      <c r="AC46" s="244"/>
      <c r="AD46" s="244"/>
      <c r="AE46" s="244"/>
      <c r="AF46" s="244"/>
      <c r="AG46" s="244"/>
      <c r="AH46" s="244"/>
      <c r="AI46" s="244"/>
      <c r="AJ46" s="244"/>
      <c r="AK46" s="244"/>
      <c r="AL46" s="244"/>
      <c r="AM46" s="244"/>
      <c r="AN46" s="244"/>
      <c r="AO46" s="244"/>
      <c r="AP46" s="244"/>
      <c r="AQ46" s="244"/>
      <c r="AR46" s="244"/>
      <c r="AS46" s="244"/>
      <c r="AT46" s="244"/>
      <c r="AU46" s="244"/>
      <c r="AV46" s="244"/>
    </row>
    <row r="47" ht="18">
      <c r="B47" s="220" t="s">
        <v>13</v>
      </c>
      <c r="C47" s="57"/>
      <c r="E47" s="648" t="s">
        <v>40</v>
      </c>
      <c r="F47" s="648"/>
      <c r="H47" s="648" t="s">
        <v>39</v>
      </c>
      <c r="I47" s="648"/>
      <c r="K47" s="648" t="s">
        <v>41</v>
      </c>
      <c r="L47" s="648"/>
      <c r="N47" s="648" t="s">
        <v>42</v>
      </c>
      <c r="O47" s="648"/>
      <c r="Q47" s="648" t="s">
        <v>43</v>
      </c>
      <c r="R47" s="648"/>
      <c r="T47" s="648" t="s">
        <v>44</v>
      </c>
      <c r="U47" s="648"/>
      <c r="W47" s="648" t="s">
        <v>45</v>
      </c>
      <c r="X47" s="648"/>
      <c r="Z47" s="649" t="s">
        <v>23</v>
      </c>
      <c r="AA47" s="649"/>
      <c r="AC47" s="244"/>
      <c r="AD47" s="244"/>
      <c r="AE47" s="244"/>
      <c r="AF47" s="244"/>
      <c r="AG47" s="244"/>
      <c r="AH47" s="244"/>
      <c r="AI47" s="244"/>
      <c r="AJ47" s="244"/>
      <c r="AK47" s="244"/>
      <c r="AL47" s="244"/>
      <c r="AM47" s="244"/>
      <c r="AN47" s="244"/>
      <c r="AO47" s="244"/>
      <c r="AP47" s="244"/>
      <c r="AQ47" s="244"/>
      <c r="AR47" s="244"/>
      <c r="AS47" s="244"/>
      <c r="AT47" s="244"/>
      <c r="AU47" s="244"/>
      <c r="AV47" s="244"/>
    </row>
    <row r="48">
      <c r="E48" s="176"/>
      <c r="F48" s="176" t="s">
        <v>57</v>
      </c>
      <c r="G48" s="176"/>
      <c r="H48" s="176"/>
      <c r="I48" s="176" t="s">
        <v>57</v>
      </c>
      <c r="J48" s="176"/>
      <c r="K48" s="176"/>
      <c r="L48" s="176" t="s">
        <v>57</v>
      </c>
      <c r="M48" s="176"/>
      <c r="N48" s="176"/>
      <c r="O48" s="176" t="s">
        <v>57</v>
      </c>
      <c r="P48" s="176"/>
      <c r="Q48" s="176"/>
      <c r="R48" s="176" t="s">
        <v>57</v>
      </c>
      <c r="S48" s="176"/>
      <c r="T48" s="176"/>
      <c r="U48" s="176" t="s">
        <v>57</v>
      </c>
      <c r="V48" s="176"/>
      <c r="W48" s="176"/>
      <c r="X48" s="176" t="s">
        <v>57</v>
      </c>
      <c r="Y48" s="176"/>
      <c r="Z48" s="226"/>
      <c r="AA48" s="176" t="s">
        <v>57</v>
      </c>
      <c r="AC48" s="244"/>
      <c r="AD48" s="244"/>
      <c r="AE48" s="244"/>
      <c r="AF48" s="244"/>
      <c r="AG48" s="244"/>
      <c r="AH48" s="244"/>
      <c r="AI48" s="244"/>
      <c r="AJ48" s="244"/>
      <c r="AK48" s="244"/>
      <c r="AL48" s="244"/>
      <c r="AM48" s="244"/>
      <c r="AN48" s="244"/>
      <c r="AO48" s="244"/>
      <c r="AP48" s="244"/>
      <c r="AQ48" s="244"/>
      <c r="AR48" s="244"/>
      <c r="AS48" s="244"/>
      <c r="AT48" s="244"/>
      <c r="AU48" s="244"/>
      <c r="AV48" s="244"/>
    </row>
    <row r="49">
      <c r="B49" s="216" t="s">
        <v>23</v>
      </c>
      <c r="C49" s="216"/>
      <c r="D49" s="217" t="s">
        <v>32</v>
      </c>
      <c r="E49" s="598">
        <v>120.68939393939393939393939394</v>
      </c>
      <c r="F49" s="219">
        <v>-14.948481127533495113034812180</v>
      </c>
      <c r="G49" s="217"/>
      <c r="H49" s="598">
        <v>108.10606060606060606060606061</v>
      </c>
      <c r="I49" s="219">
        <v>33.514221556881230755181254450</v>
      </c>
      <c r="J49" s="217"/>
      <c r="K49" s="598">
        <v>96.17424242424242424242424242</v>
      </c>
      <c r="L49" s="219">
        <v>13.378583549108250418158881280</v>
      </c>
      <c r="M49" s="217"/>
      <c r="N49" s="598">
        <v>102.08333333333333333333333333</v>
      </c>
      <c r="O49" s="219">
        <v>-5.3522511765464752612124716100</v>
      </c>
      <c r="P49" s="217"/>
      <c r="Q49" s="598">
        <v>129.97727272727272727272727273</v>
      </c>
      <c r="R49" s="219">
        <v>35.467824713735343758479673010</v>
      </c>
      <c r="S49" s="217"/>
      <c r="T49" s="598">
        <v>202.25757575757575757575757576</v>
      </c>
      <c r="U49" s="219">
        <v>9.382169780394491207647637110</v>
      </c>
      <c r="V49" s="217"/>
      <c r="W49" s="598">
        <v>205.07575757575757575757575758</v>
      </c>
      <c r="X49" s="219">
        <v>7.8228311957129255427076056900</v>
      </c>
      <c r="Y49" s="217"/>
      <c r="Z49" s="599">
        <v>137.76623376623376623376623377</v>
      </c>
      <c r="AA49" s="219">
        <v>8.770250871563932616779791100</v>
      </c>
      <c r="AC49" s="244"/>
      <c r="AD49" s="244"/>
      <c r="AE49" s="244"/>
      <c r="AF49" s="244"/>
      <c r="AG49" s="244"/>
      <c r="AH49" s="244"/>
      <c r="AI49" s="244"/>
      <c r="AJ49" s="244"/>
      <c r="AK49" s="244"/>
      <c r="AL49" s="244"/>
      <c r="AM49" s="244"/>
      <c r="AN49" s="244"/>
      <c r="AO49" s="244"/>
      <c r="AP49" s="244"/>
      <c r="AQ49" s="244"/>
      <c r="AR49" s="244"/>
      <c r="AS49" s="244"/>
      <c r="AT49" s="244"/>
      <c r="AU49" s="244"/>
      <c r="AV49" s="244"/>
    </row>
    <row r="50">
      <c r="D50" s="217" t="s">
        <v>26</v>
      </c>
      <c r="E50" s="598">
        <v>116.09302325581395348837209302</v>
      </c>
      <c r="F50" s="219">
        <v>-37.727464096928156992054465310</v>
      </c>
      <c r="G50" s="217"/>
      <c r="H50" s="598">
        <v>104.2093023255813953488372093</v>
      </c>
      <c r="I50" s="219">
        <v>-25.765168771979118462732120160</v>
      </c>
      <c r="J50" s="217"/>
      <c r="K50" s="598">
        <v>100.58720930232558139534883721</v>
      </c>
      <c r="L50" s="219">
        <v>-28.401754676366231046958511210</v>
      </c>
      <c r="M50" s="217"/>
      <c r="N50" s="598">
        <v>109.24127906976744186046511628</v>
      </c>
      <c r="O50" s="219">
        <v>-17.793625445730047273126553930</v>
      </c>
      <c r="P50" s="217"/>
      <c r="Q50" s="598">
        <v>142.55523255813953488372093023</v>
      </c>
      <c r="R50" s="219">
        <v>-9.260972540897978774477631680</v>
      </c>
      <c r="S50" s="217"/>
      <c r="T50" s="598">
        <v>228.02034883720930232558139535</v>
      </c>
      <c r="U50" s="219">
        <v>2.698421011305334746426494500</v>
      </c>
      <c r="V50" s="217"/>
      <c r="W50" s="598">
        <v>221.93023255813953488372093023</v>
      </c>
      <c r="X50" s="219">
        <v>3.9344351567170835606809258300</v>
      </c>
      <c r="Y50" s="217"/>
      <c r="Z50" s="599">
        <v>146.09094684385382059800664452</v>
      </c>
      <c r="AA50" s="219">
        <v>-14.268968508886792086155419820</v>
      </c>
      <c r="AC50" s="244"/>
      <c r="AD50" s="244"/>
      <c r="AE50" s="244"/>
      <c r="AF50" s="244"/>
      <c r="AG50" s="244"/>
      <c r="AH50" s="244"/>
      <c r="AI50" s="244"/>
      <c r="AJ50" s="244"/>
      <c r="AK50" s="244"/>
      <c r="AL50" s="244"/>
      <c r="AM50" s="244"/>
      <c r="AN50" s="244"/>
      <c r="AO50" s="244"/>
      <c r="AP50" s="244"/>
      <c r="AQ50" s="244"/>
      <c r="AR50" s="244"/>
      <c r="AS50" s="244"/>
      <c r="AT50" s="244"/>
      <c r="AU50" s="244"/>
      <c r="AV50" s="244"/>
    </row>
    <row r="51">
      <c r="D51" t="s">
        <v>93</v>
      </c>
      <c r="E51" s="223">
        <v>103.95921352953852462380951864</v>
      </c>
      <c r="F51" s="218">
        <v>36.579501122115171816817011170</v>
      </c>
      <c r="H51" s="223">
        <v>103.73935742155269238443847768</v>
      </c>
      <c r="I51" s="218">
        <v>79.85387633832683695712460950</v>
      </c>
      <c r="K51" s="223">
        <v>95.61279519665859737983713470</v>
      </c>
      <c r="L51" s="218">
        <v>58.353857746993561884681671450</v>
      </c>
      <c r="N51" s="223">
        <v>93.44758153930706122444520683</v>
      </c>
      <c r="O51" s="218">
        <v>15.134318155492044087314671140</v>
      </c>
      <c r="Q51" s="223">
        <v>91.17678137440449076058871680</v>
      </c>
      <c r="R51" s="218">
        <v>49.293890960890977952367942790</v>
      </c>
      <c r="T51" s="223">
        <v>88.70154650187903855932465507</v>
      </c>
      <c r="U51" s="218">
        <v>6.508131968644831684830332900</v>
      </c>
      <c r="W51" s="223">
        <v>92.40550744796339359952187943</v>
      </c>
      <c r="X51" s="218">
        <v>3.7412009149277857699440832800</v>
      </c>
      <c r="Z51" s="224">
        <v>94.30169133850484685623421944</v>
      </c>
      <c r="AA51" s="218">
        <v>26.873839005141974961977844450</v>
      </c>
      <c r="AC51" s="244"/>
      <c r="AD51" s="244"/>
      <c r="AE51" s="244"/>
      <c r="AF51" s="244"/>
      <c r="AG51" s="244"/>
      <c r="AH51" s="244"/>
      <c r="AI51" s="244"/>
      <c r="AJ51" s="244"/>
      <c r="AK51" s="244"/>
      <c r="AL51" s="244"/>
      <c r="AM51" s="244"/>
      <c r="AN51" s="244"/>
      <c r="AO51" s="244"/>
      <c r="AP51" s="244"/>
      <c r="AQ51" s="244"/>
      <c r="AR51" s="244"/>
      <c r="AS51" s="244"/>
      <c r="AT51" s="244"/>
      <c r="AU51" s="244"/>
      <c r="AV51" s="244"/>
    </row>
    <row r="52">
      <c r="D52" s="214" t="s">
        <v>55</v>
      </c>
      <c r="E52" s="227" t="s">
        <v>170</v>
      </c>
      <c r="F52" s="228" t="s">
        <v>171</v>
      </c>
      <c r="G52" s="229"/>
      <c r="H52" s="227" t="s">
        <v>170</v>
      </c>
      <c r="I52" s="228" t="s">
        <v>171</v>
      </c>
      <c r="J52" s="229"/>
      <c r="K52" s="227" t="s">
        <v>172</v>
      </c>
      <c r="L52" s="228" t="s">
        <v>171</v>
      </c>
      <c r="M52" s="229"/>
      <c r="N52" s="227" t="s">
        <v>172</v>
      </c>
      <c r="O52" s="228" t="s">
        <v>171</v>
      </c>
      <c r="P52" s="229"/>
      <c r="Q52" s="227" t="s">
        <v>170</v>
      </c>
      <c r="R52" s="228" t="s">
        <v>171</v>
      </c>
      <c r="S52" s="229"/>
      <c r="T52" s="227" t="s">
        <v>170</v>
      </c>
      <c r="U52" s="228" t="s">
        <v>171</v>
      </c>
      <c r="V52" s="229"/>
      <c r="W52" s="227" t="s">
        <v>170</v>
      </c>
      <c r="X52" s="228" t="s">
        <v>170</v>
      </c>
      <c r="Y52" s="229"/>
      <c r="Z52" s="230" t="s">
        <v>170</v>
      </c>
      <c r="AA52" s="228" t="s">
        <v>171</v>
      </c>
      <c r="AC52" s="244"/>
      <c r="AD52" s="244"/>
      <c r="AE52" s="244"/>
      <c r="AF52" s="244"/>
      <c r="AG52" s="244"/>
      <c r="AH52" s="244"/>
      <c r="AI52" s="244"/>
      <c r="AJ52" s="244"/>
      <c r="AK52" s="244"/>
      <c r="AL52" s="244"/>
      <c r="AM52" s="244"/>
      <c r="AN52" s="244"/>
      <c r="AO52" s="244"/>
      <c r="AP52" s="244"/>
      <c r="AQ52" s="244"/>
      <c r="AR52" s="244"/>
      <c r="AS52" s="244"/>
      <c r="AT52" s="244"/>
      <c r="AU52" s="244"/>
      <c r="AV52" s="244"/>
    </row>
    <row r="53" ht="8.1" customHeight="1">
      <c r="F53" s="218"/>
      <c r="I53" s="218"/>
      <c r="L53" s="218"/>
      <c r="O53" s="218"/>
      <c r="R53" s="218"/>
      <c r="U53" s="218"/>
      <c r="X53" s="218"/>
      <c r="Z53" s="215"/>
      <c r="AA53" s="218"/>
      <c r="AC53" s="244"/>
      <c r="AD53" s="244"/>
      <c r="AE53" s="244"/>
      <c r="AF53" s="244"/>
      <c r="AG53" s="244"/>
      <c r="AH53" s="244"/>
      <c r="AI53" s="244"/>
      <c r="AJ53" s="244"/>
      <c r="AK53" s="244"/>
      <c r="AL53" s="244"/>
      <c r="AM53" s="244"/>
      <c r="AN53" s="244"/>
      <c r="AO53" s="244"/>
      <c r="AP53" s="244"/>
      <c r="AQ53" s="244"/>
      <c r="AR53" s="244"/>
      <c r="AS53" s="244"/>
      <c r="AT53" s="244"/>
      <c r="AU53" s="244"/>
      <c r="AV53" s="244"/>
    </row>
    <row r="54">
      <c r="B54" s="216" t="s">
        <v>21</v>
      </c>
      <c r="C54" s="216"/>
      <c r="D54" s="217" t="s">
        <v>32</v>
      </c>
      <c r="E54" s="598">
        <v>120.68939393939393939393939394</v>
      </c>
      <c r="F54" s="219">
        <v>5.5802240042470981628473323400</v>
      </c>
      <c r="G54" s="217"/>
      <c r="H54" s="598">
        <v>108.10606060606060606060606061</v>
      </c>
      <c r="I54" s="219">
        <v>33.514221556881230755181254450</v>
      </c>
      <c r="J54" s="217"/>
      <c r="K54" s="598">
        <v>96.17424242424242424242424242</v>
      </c>
      <c r="L54" s="219">
        <v>13.378583549108250418158881280</v>
      </c>
      <c r="M54" s="217"/>
      <c r="N54" s="598">
        <v>100.95454545454545454545454545</v>
      </c>
      <c r="O54" s="219">
        <v>0.6115515288879376264125832700</v>
      </c>
      <c r="P54" s="217"/>
      <c r="Q54" s="598">
        <v>127.71969696969696969696969697</v>
      </c>
      <c r="R54" s="219">
        <v>43.835850183357818010314807020</v>
      </c>
      <c r="S54" s="217"/>
      <c r="T54" s="598">
        <v>194.12121212121212121212121212</v>
      </c>
      <c r="U54" s="219">
        <v>11.773173391521305551624537370</v>
      </c>
      <c r="V54" s="217"/>
      <c r="W54" s="598">
        <v>188.26515151515151515151515152</v>
      </c>
      <c r="X54" s="219">
        <v>5.3186980844068053977847897200</v>
      </c>
      <c r="Y54" s="217"/>
      <c r="Z54" s="599">
        <v>133.71861471861471861471861472</v>
      </c>
      <c r="AA54" s="219">
        <v>13.917444980256915925903027090</v>
      </c>
      <c r="AC54" s="244"/>
      <c r="AD54" s="244"/>
      <c r="AE54" s="244"/>
      <c r="AF54" s="244"/>
      <c r="AG54" s="244"/>
      <c r="AH54" s="244"/>
      <c r="AI54" s="244"/>
      <c r="AJ54" s="244"/>
      <c r="AK54" s="244"/>
      <c r="AL54" s="244"/>
      <c r="AM54" s="244"/>
      <c r="AN54" s="244"/>
      <c r="AO54" s="244"/>
      <c r="AP54" s="244"/>
      <c r="AQ54" s="244"/>
      <c r="AR54" s="244"/>
      <c r="AS54" s="244"/>
      <c r="AT54" s="244"/>
      <c r="AU54" s="244"/>
      <c r="AV54" s="244"/>
    </row>
    <row r="55">
      <c r="D55" s="217" t="s">
        <v>26</v>
      </c>
      <c r="E55" s="598">
        <v>116.09302325581395348837209302</v>
      </c>
      <c r="F55" s="219">
        <v>-29.976153738244351370878187050</v>
      </c>
      <c r="G55" s="217"/>
      <c r="H55" s="598">
        <v>104.2093023255813953488372093</v>
      </c>
      <c r="I55" s="219">
        <v>-13.928305601571761273715155580</v>
      </c>
      <c r="J55" s="217"/>
      <c r="K55" s="598">
        <v>100.58720930232558139534883721</v>
      </c>
      <c r="L55" s="219">
        <v>-17.449184082449039969158935950</v>
      </c>
      <c r="M55" s="217"/>
      <c r="N55" s="598">
        <v>109.24127906976744186046511628</v>
      </c>
      <c r="O55" s="219">
        <v>-17.379737929847632832948073920</v>
      </c>
      <c r="P55" s="217"/>
      <c r="Q55" s="598">
        <v>142.55523255813953488372093023</v>
      </c>
      <c r="R55" s="219">
        <v>-9.260972540897978774477631680</v>
      </c>
      <c r="S55" s="217"/>
      <c r="T55" s="598">
        <v>228.02034883720930232558139535</v>
      </c>
      <c r="U55" s="219">
        <v>6.0359045069981159568070509600</v>
      </c>
      <c r="V55" s="217"/>
      <c r="W55" s="598">
        <v>221.93023255813953488372093023</v>
      </c>
      <c r="X55" s="219">
        <v>7.4510907811497211397747974400</v>
      </c>
      <c r="Y55" s="217"/>
      <c r="Z55" s="599">
        <v>146.09094684385382059800664452</v>
      </c>
      <c r="AA55" s="219">
        <v>-8.662102199383118162985685720</v>
      </c>
      <c r="AC55" s="244"/>
      <c r="AD55" s="244"/>
      <c r="AE55" s="244"/>
      <c r="AF55" s="244"/>
      <c r="AG55" s="244"/>
      <c r="AH55" s="244"/>
      <c r="AI55" s="244"/>
      <c r="AJ55" s="244"/>
      <c r="AK55" s="244"/>
      <c r="AL55" s="244"/>
      <c r="AM55" s="244"/>
      <c r="AN55" s="244"/>
      <c r="AO55" s="244"/>
      <c r="AP55" s="244"/>
      <c r="AQ55" s="244"/>
      <c r="AR55" s="244"/>
      <c r="AS55" s="244"/>
      <c r="AT55" s="244"/>
      <c r="AU55" s="244"/>
      <c r="AV55" s="244"/>
    </row>
    <row r="56">
      <c r="D56" t="s">
        <v>22</v>
      </c>
      <c r="E56" s="223">
        <v>103.95921352952602952602952603</v>
      </c>
      <c r="F56" s="218">
        <v>50.777527429128544548044453810</v>
      </c>
      <c r="H56" s="223">
        <v>103.73935742157121313559608584</v>
      </c>
      <c r="I56" s="218">
        <v>55.119778331432060649349992970</v>
      </c>
      <c r="K56" s="223">
        <v>95.61279519663428108026686143</v>
      </c>
      <c r="L56" s="218">
        <v>37.343989019266724484469447220</v>
      </c>
      <c r="N56" s="223">
        <v>92.41428360617269316276740636</v>
      </c>
      <c r="O56" s="218">
        <v>21.775880404997816741289637070</v>
      </c>
      <c r="Q56" s="223">
        <v>89.59313150263210419412625820</v>
      </c>
      <c r="R56" s="218">
        <v>58.515970703125108930540437490</v>
      </c>
      <c r="T56" s="223">
        <v>85.13328442445335827454416422</v>
      </c>
      <c r="U56" s="218">
        <v>5.4106850987401373050126603700</v>
      </c>
      <c r="W56" s="223">
        <v>84.83078188359546423048466431</v>
      </c>
      <c r="X56" s="218">
        <v>-1.9845240110584087095489874700</v>
      </c>
      <c r="Z56" s="224">
        <v>91.53107540711403275966491776</v>
      </c>
      <c r="AA56" s="218">
        <v>24.720896498842019605751605730</v>
      </c>
      <c r="AC56" s="244"/>
      <c r="AD56" s="244"/>
      <c r="AE56" s="244"/>
      <c r="AF56" s="244"/>
      <c r="AG56" s="244"/>
      <c r="AH56" s="244"/>
      <c r="AI56" s="244"/>
      <c r="AJ56" s="244"/>
      <c r="AK56" s="244"/>
      <c r="AL56" s="244"/>
      <c r="AM56" s="244"/>
      <c r="AN56" s="244"/>
      <c r="AO56" s="244"/>
      <c r="AP56" s="244"/>
      <c r="AQ56" s="244"/>
      <c r="AR56" s="244"/>
      <c r="AS56" s="244"/>
      <c r="AT56" s="244"/>
      <c r="AU56" s="244"/>
      <c r="AV56" s="244"/>
    </row>
    <row r="57">
      <c r="D57" t="s">
        <v>55</v>
      </c>
      <c r="E57" s="231" t="s">
        <v>170</v>
      </c>
      <c r="F57" s="232" t="s">
        <v>171</v>
      </c>
      <c r="G57" s="176"/>
      <c r="H57" s="231" t="s">
        <v>170</v>
      </c>
      <c r="I57" s="232" t="s">
        <v>171</v>
      </c>
      <c r="J57" s="176"/>
      <c r="K57" s="231" t="s">
        <v>172</v>
      </c>
      <c r="L57" s="232" t="s">
        <v>171</v>
      </c>
      <c r="M57" s="176"/>
      <c r="N57" s="231" t="s">
        <v>172</v>
      </c>
      <c r="O57" s="232" t="s">
        <v>171</v>
      </c>
      <c r="P57" s="176"/>
      <c r="Q57" s="231" t="s">
        <v>170</v>
      </c>
      <c r="R57" s="232" t="s">
        <v>171</v>
      </c>
      <c r="S57" s="176"/>
      <c r="T57" s="231" t="s">
        <v>170</v>
      </c>
      <c r="U57" s="232" t="s">
        <v>171</v>
      </c>
      <c r="V57" s="176"/>
      <c r="W57" s="231" t="s">
        <v>170</v>
      </c>
      <c r="X57" s="232" t="s">
        <v>172</v>
      </c>
      <c r="Y57" s="176"/>
      <c r="Z57" s="233" t="s">
        <v>170</v>
      </c>
      <c r="AA57" s="232" t="s">
        <v>171</v>
      </c>
      <c r="AC57" s="244"/>
      <c r="AD57" s="244"/>
      <c r="AE57" s="244"/>
      <c r="AF57" s="244"/>
      <c r="AG57" s="244"/>
      <c r="AH57" s="244"/>
      <c r="AI57" s="244"/>
      <c r="AJ57" s="244"/>
      <c r="AK57" s="244"/>
      <c r="AL57" s="244"/>
      <c r="AM57" s="244"/>
      <c r="AN57" s="244"/>
      <c r="AO57" s="244"/>
      <c r="AP57" s="244"/>
      <c r="AQ57" s="244"/>
      <c r="AR57" s="244"/>
      <c r="AS57" s="244"/>
      <c r="AT57" s="244"/>
      <c r="AU57" s="244"/>
      <c r="AV57" s="244"/>
    </row>
    <row r="58" ht="8.1" customHeight="1">
      <c r="F58" s="218"/>
      <c r="I58" s="218"/>
      <c r="L58" s="218"/>
      <c r="O58" s="218"/>
      <c r="R58" s="218"/>
      <c r="U58" s="218"/>
      <c r="X58" s="218"/>
      <c r="Z58" s="215"/>
      <c r="AA58" s="218"/>
      <c r="AC58" s="244"/>
      <c r="AD58" s="244"/>
      <c r="AE58" s="244"/>
      <c r="AF58" s="244"/>
      <c r="AG58" s="244"/>
      <c r="AH58" s="244"/>
      <c r="AI58" s="244"/>
      <c r="AJ58" s="244"/>
      <c r="AK58" s="244"/>
      <c r="AL58" s="244"/>
      <c r="AM58" s="244"/>
      <c r="AN58" s="244"/>
      <c r="AO58" s="244"/>
      <c r="AP58" s="244"/>
      <c r="AQ58" s="244"/>
      <c r="AR58" s="244"/>
      <c r="AS58" s="244"/>
      <c r="AT58" s="244"/>
      <c r="AU58" s="244"/>
      <c r="AV58" s="244"/>
    </row>
    <row r="59">
      <c r="B59" s="216" t="s">
        <v>24</v>
      </c>
      <c r="C59" s="216"/>
      <c r="D59" s="217" t="s">
        <v>32</v>
      </c>
      <c r="E59" s="598">
        <v>0</v>
      </c>
      <c r="F59" s="219">
        <v>-100</v>
      </c>
      <c r="G59" s="217"/>
      <c r="H59" s="598">
        <v>0</v>
      </c>
      <c r="I59" s="219">
        <v>0</v>
      </c>
      <c r="J59" s="217"/>
      <c r="K59" s="598">
        <v>0</v>
      </c>
      <c r="L59" s="219">
        <v>0</v>
      </c>
      <c r="M59" s="217"/>
      <c r="N59" s="598">
        <v>1.1287878787878787878787878788</v>
      </c>
      <c r="O59" s="219">
        <v>-84.97983870977432362122726243</v>
      </c>
      <c r="P59" s="217"/>
      <c r="Q59" s="598">
        <v>2.2575757575757575757575757576</v>
      </c>
      <c r="R59" s="219">
        <v>-68.432203389763627549554583960</v>
      </c>
      <c r="S59" s="217"/>
      <c r="T59" s="598">
        <v>8.136363636363636363636363636</v>
      </c>
      <c r="U59" s="219">
        <v>-27.579231287617334511288436240</v>
      </c>
      <c r="V59" s="217"/>
      <c r="W59" s="598">
        <v>16.810606060606060606060606061</v>
      </c>
      <c r="X59" s="219">
        <v>46.953642384028104030525018230</v>
      </c>
      <c r="Y59" s="217"/>
      <c r="Z59" s="599">
        <v>4.0476190476190476190476190476</v>
      </c>
      <c r="AA59" s="219">
        <v>-56.364484891033397778860716190</v>
      </c>
      <c r="AC59" s="244"/>
      <c r="AD59" s="244"/>
      <c r="AE59" s="244"/>
      <c r="AF59" s="244"/>
      <c r="AG59" s="244"/>
      <c r="AH59" s="244"/>
      <c r="AI59" s="244"/>
      <c r="AJ59" s="244"/>
      <c r="AK59" s="244"/>
      <c r="AL59" s="244"/>
      <c r="AM59" s="244"/>
      <c r="AN59" s="244"/>
      <c r="AO59" s="244"/>
      <c r="AP59" s="244"/>
      <c r="AQ59" s="244"/>
      <c r="AR59" s="244"/>
      <c r="AS59" s="244"/>
      <c r="AT59" s="244"/>
      <c r="AU59" s="244"/>
      <c r="AV59" s="244"/>
    </row>
    <row r="60">
      <c r="D60" s="217" t="s">
        <v>26</v>
      </c>
      <c r="E60" s="598">
        <v>0</v>
      </c>
      <c r="F60" s="219">
        <v>-100</v>
      </c>
      <c r="G60" s="217"/>
      <c r="H60" s="598">
        <v>0</v>
      </c>
      <c r="I60" s="219">
        <v>-100</v>
      </c>
      <c r="J60" s="217"/>
      <c r="K60" s="598">
        <v>0</v>
      </c>
      <c r="L60" s="219">
        <v>-100</v>
      </c>
      <c r="M60" s="217"/>
      <c r="N60" s="598">
        <v>0</v>
      </c>
      <c r="O60" s="219">
        <v>-100</v>
      </c>
      <c r="P60" s="217"/>
      <c r="Q60" s="598">
        <v>0</v>
      </c>
      <c r="R60" s="219">
        <v>0</v>
      </c>
      <c r="S60" s="217"/>
      <c r="T60" s="598">
        <v>0</v>
      </c>
      <c r="U60" s="219">
        <v>-100</v>
      </c>
      <c r="V60" s="217"/>
      <c r="W60" s="598">
        <v>0</v>
      </c>
      <c r="X60" s="219">
        <v>-100</v>
      </c>
      <c r="Y60" s="217"/>
      <c r="Z60" s="599">
        <v>0</v>
      </c>
      <c r="AA60" s="219">
        <v>-100</v>
      </c>
      <c r="AC60" s="244"/>
      <c r="AD60" s="244"/>
      <c r="AE60" s="244"/>
      <c r="AF60" s="244"/>
      <c r="AG60" s="244"/>
      <c r="AH60" s="244"/>
      <c r="AI60" s="244"/>
      <c r="AJ60" s="244"/>
      <c r="AK60" s="244"/>
      <c r="AL60" s="244"/>
      <c r="AM60" s="244"/>
      <c r="AN60" s="244"/>
      <c r="AO60" s="244"/>
      <c r="AP60" s="244"/>
      <c r="AQ60" s="244"/>
      <c r="AR60" s="244"/>
      <c r="AS60" s="244"/>
      <c r="AT60" s="244"/>
      <c r="AU60" s="244"/>
      <c r="AV60" s="244"/>
    </row>
    <row r="61">
      <c r="D61" t="s">
        <v>22</v>
      </c>
      <c r="E61" s="223"/>
      <c r="F61" s="218">
        <v>-100</v>
      </c>
      <c r="H61" s="223"/>
      <c r="I61" s="218">
        <v>0</v>
      </c>
      <c r="K61" s="223"/>
      <c r="L61" s="218">
        <v>0</v>
      </c>
      <c r="N61" s="223"/>
      <c r="O61" s="218">
        <v>-100</v>
      </c>
      <c r="Q61" s="223"/>
      <c r="R61" s="218">
        <v>0</v>
      </c>
      <c r="T61" s="223"/>
      <c r="U61" s="218">
        <v>-100</v>
      </c>
      <c r="W61" s="223"/>
      <c r="X61" s="218">
        <v>-100</v>
      </c>
      <c r="Z61" s="224"/>
      <c r="AA61" s="218">
        <v>-100</v>
      </c>
      <c r="AC61" s="244"/>
      <c r="AD61" s="244"/>
      <c r="AE61" s="244"/>
      <c r="AF61" s="244"/>
      <c r="AG61" s="244"/>
      <c r="AH61" s="244"/>
      <c r="AI61" s="244"/>
      <c r="AJ61" s="244"/>
      <c r="AK61" s="244"/>
      <c r="AL61" s="244"/>
      <c r="AM61" s="244"/>
      <c r="AN61" s="244"/>
      <c r="AO61" s="244"/>
      <c r="AP61" s="244"/>
      <c r="AQ61" s="244"/>
      <c r="AR61" s="244"/>
      <c r="AS61" s="244"/>
      <c r="AT61" s="244"/>
      <c r="AU61" s="244"/>
      <c r="AV61" s="244"/>
    </row>
    <row r="62">
      <c r="D62" t="s">
        <v>55</v>
      </c>
      <c r="E62" s="231" t="s">
        <v>174</v>
      </c>
      <c r="F62" s="232"/>
      <c r="G62" s="176"/>
      <c r="H62" s="231" t="s">
        <v>174</v>
      </c>
      <c r="I62" s="232"/>
      <c r="J62" s="176"/>
      <c r="K62" s="231" t="s">
        <v>174</v>
      </c>
      <c r="L62" s="232"/>
      <c r="M62" s="176"/>
      <c r="N62" s="231" t="s">
        <v>171</v>
      </c>
      <c r="O62" s="232" t="s">
        <v>173</v>
      </c>
      <c r="P62" s="176"/>
      <c r="Q62" s="231" t="s">
        <v>171</v>
      </c>
      <c r="R62" s="232" t="s">
        <v>175</v>
      </c>
      <c r="S62" s="176"/>
      <c r="T62" s="231" t="s">
        <v>171</v>
      </c>
      <c r="U62" s="232" t="s">
        <v>173</v>
      </c>
      <c r="V62" s="176"/>
      <c r="W62" s="231" t="s">
        <v>171</v>
      </c>
      <c r="X62" s="232" t="s">
        <v>171</v>
      </c>
      <c r="Y62" s="176"/>
      <c r="Z62" s="233" t="s">
        <v>171</v>
      </c>
      <c r="AA62" s="232" t="s">
        <v>173</v>
      </c>
      <c r="AC62" s="244"/>
      <c r="AD62" s="244"/>
      <c r="AE62" s="244"/>
      <c r="AF62" s="244"/>
      <c r="AG62" s="244"/>
      <c r="AH62" s="244"/>
      <c r="AI62" s="244"/>
      <c r="AJ62" s="244"/>
      <c r="AK62" s="244"/>
      <c r="AL62" s="244"/>
      <c r="AM62" s="244"/>
      <c r="AN62" s="244"/>
      <c r="AO62" s="244"/>
      <c r="AP62" s="244"/>
      <c r="AQ62" s="244"/>
      <c r="AR62" s="244"/>
      <c r="AS62" s="244"/>
      <c r="AT62" s="244"/>
      <c r="AU62" s="244"/>
      <c r="AV62" s="244"/>
    </row>
    <row r="63" ht="8.1" customHeight="1">
      <c r="F63" s="218"/>
      <c r="I63" s="218"/>
      <c r="L63" s="218"/>
      <c r="O63" s="218"/>
      <c r="R63" s="218"/>
      <c r="U63" s="218"/>
      <c r="X63" s="218"/>
      <c r="Z63" s="215"/>
      <c r="AA63" s="218"/>
      <c r="AC63" s="244"/>
      <c r="AD63" s="244"/>
      <c r="AE63" s="244"/>
      <c r="AF63" s="244"/>
      <c r="AG63" s="244"/>
      <c r="AH63" s="244"/>
      <c r="AI63" s="244"/>
      <c r="AJ63" s="244"/>
      <c r="AK63" s="244"/>
      <c r="AL63" s="244"/>
      <c r="AM63" s="244"/>
      <c r="AN63" s="244"/>
      <c r="AO63" s="244"/>
      <c r="AP63" s="244"/>
      <c r="AQ63" s="244"/>
      <c r="AR63" s="244"/>
      <c r="AS63" s="244"/>
      <c r="AT63" s="244"/>
      <c r="AU63" s="244"/>
      <c r="AV63" s="244"/>
    </row>
    <row r="64">
      <c r="B64" s="216" t="s">
        <v>25</v>
      </c>
      <c r="C64" s="216"/>
      <c r="D64" s="217" t="s">
        <v>32</v>
      </c>
      <c r="E64" s="598">
        <v>0</v>
      </c>
      <c r="F64" s="219">
        <v>0</v>
      </c>
      <c r="G64" s="217"/>
      <c r="H64" s="598">
        <v>0</v>
      </c>
      <c r="I64" s="219">
        <v>0</v>
      </c>
      <c r="J64" s="217"/>
      <c r="K64" s="598">
        <v>0</v>
      </c>
      <c r="L64" s="219">
        <v>0</v>
      </c>
      <c r="M64" s="217"/>
      <c r="N64" s="598">
        <v>0</v>
      </c>
      <c r="O64" s="219">
        <v>0</v>
      </c>
      <c r="P64" s="217"/>
      <c r="Q64" s="598">
        <v>0</v>
      </c>
      <c r="R64" s="219">
        <v>0</v>
      </c>
      <c r="S64" s="217"/>
      <c r="T64" s="598">
        <v>0</v>
      </c>
      <c r="U64" s="219">
        <v>0</v>
      </c>
      <c r="V64" s="217"/>
      <c r="W64" s="598">
        <v>0</v>
      </c>
      <c r="X64" s="219">
        <v>0</v>
      </c>
      <c r="Y64" s="217"/>
      <c r="Z64" s="599">
        <v>0</v>
      </c>
      <c r="AA64" s="219">
        <v>0</v>
      </c>
      <c r="AC64" s="244"/>
      <c r="AD64" s="244"/>
      <c r="AE64" s="244"/>
      <c r="AF64" s="244"/>
      <c r="AG64" s="244"/>
      <c r="AH64" s="244"/>
      <c r="AI64" s="244"/>
      <c r="AJ64" s="244"/>
      <c r="AK64" s="244"/>
      <c r="AL64" s="244"/>
      <c r="AM64" s="244"/>
      <c r="AN64" s="244"/>
      <c r="AO64" s="244"/>
      <c r="AP64" s="244"/>
      <c r="AQ64" s="244"/>
      <c r="AR64" s="244"/>
      <c r="AS64" s="244"/>
      <c r="AT64" s="244"/>
      <c r="AU64" s="244"/>
      <c r="AV64" s="244"/>
    </row>
    <row r="65">
      <c r="D65" s="217" t="s">
        <v>26</v>
      </c>
      <c r="E65" s="598">
        <v>0</v>
      </c>
      <c r="F65" s="219">
        <v>0</v>
      </c>
      <c r="G65" s="217"/>
      <c r="H65" s="598">
        <v>0</v>
      </c>
      <c r="I65" s="219">
        <v>0</v>
      </c>
      <c r="J65" s="217"/>
      <c r="K65" s="598">
        <v>0</v>
      </c>
      <c r="L65" s="219">
        <v>0</v>
      </c>
      <c r="M65" s="217"/>
      <c r="N65" s="598">
        <v>0</v>
      </c>
      <c r="O65" s="219">
        <v>0</v>
      </c>
      <c r="P65" s="217"/>
      <c r="Q65" s="598">
        <v>0</v>
      </c>
      <c r="R65" s="219">
        <v>0</v>
      </c>
      <c r="S65" s="217"/>
      <c r="T65" s="598">
        <v>0</v>
      </c>
      <c r="U65" s="219">
        <v>0</v>
      </c>
      <c r="V65" s="217"/>
      <c r="W65" s="598">
        <v>0</v>
      </c>
      <c r="X65" s="219">
        <v>0</v>
      </c>
      <c r="Y65" s="217"/>
      <c r="Z65" s="599">
        <v>0</v>
      </c>
      <c r="AA65" s="219">
        <v>0</v>
      </c>
      <c r="AC65" s="244"/>
      <c r="AD65" s="244"/>
      <c r="AE65" s="244"/>
      <c r="AF65" s="244"/>
      <c r="AG65" s="244"/>
      <c r="AH65" s="244"/>
      <c r="AI65" s="244"/>
      <c r="AJ65" s="244"/>
      <c r="AK65" s="244"/>
      <c r="AL65" s="244"/>
      <c r="AM65" s="244"/>
      <c r="AN65" s="244"/>
      <c r="AO65" s="244"/>
      <c r="AP65" s="244"/>
      <c r="AQ65" s="244"/>
      <c r="AR65" s="244"/>
      <c r="AS65" s="244"/>
      <c r="AT65" s="244"/>
      <c r="AU65" s="244"/>
      <c r="AV65" s="244"/>
    </row>
    <row r="66">
      <c r="D66" t="s">
        <v>22</v>
      </c>
      <c r="E66" s="223"/>
      <c r="F66" s="218">
        <v>0</v>
      </c>
      <c r="H66" s="223"/>
      <c r="I66" s="218">
        <v>0</v>
      </c>
      <c r="K66" s="223"/>
      <c r="L66" s="218">
        <v>0</v>
      </c>
      <c r="N66" s="223"/>
      <c r="O66" s="218">
        <v>0</v>
      </c>
      <c r="Q66" s="223"/>
      <c r="R66" s="218">
        <v>0</v>
      </c>
      <c r="T66" s="223"/>
      <c r="U66" s="218">
        <v>0</v>
      </c>
      <c r="W66" s="223"/>
      <c r="X66" s="218">
        <v>0</v>
      </c>
      <c r="Z66" s="224"/>
      <c r="AA66" s="218">
        <v>0</v>
      </c>
      <c r="AC66" s="244"/>
      <c r="AD66" s="244"/>
      <c r="AE66" s="244"/>
      <c r="AF66" s="244"/>
      <c r="AG66" s="244"/>
      <c r="AH66" s="244"/>
      <c r="AI66" s="244"/>
      <c r="AJ66" s="244"/>
      <c r="AK66" s="244"/>
      <c r="AL66" s="244"/>
      <c r="AM66" s="244"/>
      <c r="AN66" s="244"/>
      <c r="AO66" s="244"/>
      <c r="AP66" s="244"/>
      <c r="AQ66" s="244"/>
      <c r="AR66" s="244"/>
      <c r="AS66" s="244"/>
      <c r="AT66" s="244"/>
      <c r="AU66" s="244"/>
      <c r="AV66" s="244"/>
    </row>
    <row r="67">
      <c r="D67" t="s">
        <v>55</v>
      </c>
      <c r="E67" s="231" t="s">
        <v>174</v>
      </c>
      <c r="F67" s="232"/>
      <c r="G67" s="176"/>
      <c r="H67" s="231" t="s">
        <v>174</v>
      </c>
      <c r="I67" s="232"/>
      <c r="J67" s="176"/>
      <c r="K67" s="231" t="s">
        <v>174</v>
      </c>
      <c r="L67" s="232"/>
      <c r="M67" s="176"/>
      <c r="N67" s="231" t="s">
        <v>174</v>
      </c>
      <c r="O67" s="232"/>
      <c r="P67" s="176"/>
      <c r="Q67" s="231" t="s">
        <v>174</v>
      </c>
      <c r="R67" s="232"/>
      <c r="S67" s="176"/>
      <c r="T67" s="231" t="s">
        <v>174</v>
      </c>
      <c r="U67" s="232"/>
      <c r="V67" s="176"/>
      <c r="W67" s="231" t="s">
        <v>174</v>
      </c>
      <c r="X67" s="232"/>
      <c r="Y67" s="176"/>
      <c r="Z67" s="233" t="s">
        <v>174</v>
      </c>
      <c r="AA67" s="232"/>
      <c r="AC67" s="244"/>
      <c r="AD67" s="244"/>
      <c r="AE67" s="244"/>
      <c r="AF67" s="244"/>
      <c r="AG67" s="244"/>
      <c r="AH67" s="244"/>
      <c r="AI67" s="244"/>
      <c r="AJ67" s="244"/>
      <c r="AK67" s="244"/>
      <c r="AL67" s="244"/>
      <c r="AM67" s="244"/>
      <c r="AN67" s="244"/>
      <c r="AO67" s="244"/>
      <c r="AP67" s="244"/>
      <c r="AQ67" s="244"/>
      <c r="AR67" s="244"/>
      <c r="AS67" s="244"/>
      <c r="AT67" s="244"/>
      <c r="AU67" s="244"/>
      <c r="AV67" s="244"/>
    </row>
    <row r="68" ht="15">
      <c r="B68" s="612"/>
      <c r="C68" s="612"/>
      <c r="D68" s="612"/>
      <c r="E68" s="612"/>
      <c r="F68" s="612"/>
      <c r="G68" s="612"/>
      <c r="H68" s="612"/>
      <c r="I68" s="612"/>
      <c r="J68" s="612"/>
      <c r="K68" s="612"/>
      <c r="L68" s="612"/>
      <c r="M68" s="612"/>
      <c r="N68" s="612"/>
      <c r="O68" s="612"/>
      <c r="P68" s="612"/>
      <c r="Q68" s="612"/>
      <c r="R68" s="612"/>
      <c r="S68" s="612"/>
      <c r="T68" s="612"/>
      <c r="U68" s="612"/>
      <c r="V68" s="612"/>
      <c r="W68" s="612"/>
      <c r="X68" s="612"/>
      <c r="Y68" s="612"/>
      <c r="Z68" s="612"/>
      <c r="AA68" s="612"/>
      <c r="AC68" s="244"/>
      <c r="AD68" s="244"/>
      <c r="AE68" s="244"/>
      <c r="AF68" s="244"/>
      <c r="AG68" s="244"/>
      <c r="AH68" s="244"/>
      <c r="AI68" s="244"/>
      <c r="AJ68" s="244"/>
      <c r="AK68" s="244"/>
      <c r="AL68" s="244"/>
      <c r="AM68" s="244"/>
      <c r="AN68" s="244"/>
      <c r="AO68" s="244"/>
      <c r="AP68" s="244"/>
      <c r="AQ68" s="244"/>
      <c r="AR68" s="244"/>
      <c r="AS68" s="244"/>
      <c r="AT68" s="244"/>
      <c r="AU68" s="244"/>
      <c r="AV68" s="244"/>
    </row>
    <row r="69" ht="15.75">
      <c r="B69" t="s">
        <v>168</v>
      </c>
      <c r="Y69" s="80"/>
      <c r="Z69" s="242"/>
      <c r="AC69" s="244"/>
      <c r="AD69" s="244"/>
      <c r="AE69" s="244"/>
      <c r="AF69" s="244"/>
      <c r="AG69" s="244"/>
      <c r="AH69" s="244"/>
      <c r="AI69" s="244"/>
      <c r="AJ69" s="244"/>
      <c r="AK69" s="244"/>
      <c r="AL69" s="244"/>
      <c r="AM69" s="244"/>
      <c r="AN69" s="244"/>
      <c r="AO69" s="244"/>
      <c r="AP69" s="244"/>
      <c r="AQ69" s="244"/>
      <c r="AR69" s="244"/>
      <c r="AS69" s="244"/>
      <c r="AT69" s="244"/>
      <c r="AU69" s="244"/>
      <c r="AV69" s="244"/>
    </row>
    <row r="70" ht="6" customHeight="1">
      <c r="Y70" s="80"/>
      <c r="AC70" s="244"/>
      <c r="AD70" s="244"/>
      <c r="AE70" s="244"/>
      <c r="AF70" s="244"/>
      <c r="AG70" s="244"/>
      <c r="AH70" s="244"/>
      <c r="AI70" s="244"/>
      <c r="AJ70" s="244"/>
      <c r="AK70" s="244"/>
      <c r="AL70" s="244"/>
      <c r="AM70" s="244"/>
      <c r="AN70" s="244"/>
      <c r="AO70" s="244"/>
      <c r="AP70" s="244"/>
      <c r="AQ70" s="244"/>
      <c r="AR70" s="244"/>
      <c r="AS70" s="244"/>
      <c r="AT70" s="244"/>
      <c r="AU70" s="244"/>
      <c r="AV70" s="244"/>
    </row>
    <row r="71" ht="34.5" customHeight="1">
      <c r="B71" s="650" t="s">
        <v>114</v>
      </c>
      <c r="C71" s="650"/>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C71" s="244"/>
      <c r="AD71" s="244"/>
      <c r="AE71" s="244"/>
      <c r="AF71" s="244"/>
      <c r="AG71" s="244"/>
      <c r="AH71" s="244"/>
      <c r="AI71" s="244"/>
      <c r="AJ71" s="244"/>
      <c r="AK71" s="244"/>
      <c r="AL71" s="244"/>
      <c r="AM71" s="244"/>
      <c r="AN71" s="244"/>
      <c r="AO71" s="244"/>
      <c r="AP71" s="244"/>
      <c r="AQ71" s="244"/>
      <c r="AR71" s="244"/>
      <c r="AS71" s="244"/>
      <c r="AT71" s="244"/>
      <c r="AU71" s="244"/>
      <c r="AV71" s="244"/>
    </row>
    <row r="72">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row>
  </sheetData>
  <mergeCells count="29">
    <mergeCell ref="B71:AA71"/>
    <mergeCell ref="B2:AA2"/>
    <mergeCell ref="B24:AA24"/>
    <mergeCell ref="B46:AA46"/>
    <mergeCell ref="B68:AA68"/>
    <mergeCell ref="E3:F3"/>
    <mergeCell ref="H3:I3"/>
    <mergeCell ref="K3:L3"/>
    <mergeCell ref="N3:O3"/>
    <mergeCell ref="Q3:R3"/>
    <mergeCell ref="T3:U3"/>
    <mergeCell ref="W3:X3"/>
    <mergeCell ref="Z3:AA3"/>
    <mergeCell ref="E25:F25"/>
    <mergeCell ref="H25:I25"/>
    <mergeCell ref="K25:L25"/>
    <mergeCell ref="N25:O25"/>
    <mergeCell ref="Q25:R25"/>
    <mergeCell ref="T25:U25"/>
    <mergeCell ref="W25:X25"/>
    <mergeCell ref="Z25:AA25"/>
    <mergeCell ref="T47:U47"/>
    <mergeCell ref="W47:X47"/>
    <mergeCell ref="Z47:AA47"/>
    <mergeCell ref="E47:F47"/>
    <mergeCell ref="H47:I47"/>
    <mergeCell ref="K47:L47"/>
    <mergeCell ref="N47:O47"/>
    <mergeCell ref="Q47:R47"/>
  </mergeCells>
  <phoneticPr fontId="39" type="noConversion"/>
  <printOptions horizontalCentered="1" verticalCentered="1"/>
  <pageMargins left="0" right="0" top="0" bottom="0" header="0" footer="0"/>
  <pageSetup scale="64" orientation="landscape" horizontalDpi="1200" verticalDpi="1200" r:id="rId1"/>
  <headerFooter alignWithMargins="0">
    <oddHeader/>
    <oddFooter/>
  </headerFooter>
  <drawing r:id="rId22"/>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V112"/>
  <sheetViews>
    <sheetView showGridLines="0" zoomScale="75" workbookViewId="0"/>
  </sheetViews>
  <sheetFormatPr defaultRowHeight="12.75"/>
  <cols>
    <col min="1" max="1" width="2.7109375" customWidth="1"/>
    <col min="2" max="2" width="15.7109375" customWidth="1"/>
    <col min="3" max="3" width="1.42578125" customWidth="1"/>
    <col min="4" max="4" width="11" customWidth="1"/>
    <col min="6" max="6" width="8.7109375" customWidth="1"/>
    <col min="7" max="7" width="2.42578125" customWidth="1"/>
    <col min="9" max="9" width="8.7109375" customWidth="1"/>
    <col min="10" max="10" width="2.42578125" customWidth="1"/>
    <col min="12" max="12" width="8.7109375" customWidth="1"/>
    <col min="13" max="13" width="2.42578125" customWidth="1"/>
    <col min="15" max="15" width="8.7109375" customWidth="1"/>
    <col min="16" max="16" width="2.42578125" customWidth="1"/>
    <col min="18" max="18" width="8.7109375" customWidth="1"/>
    <col min="19" max="19" width="2.42578125" customWidth="1"/>
    <col min="21" max="21" width="8.7109375" customWidth="1"/>
    <col min="22" max="22" width="2.42578125" customWidth="1"/>
    <col min="24" max="24" width="8.7109375" customWidth="1"/>
    <col min="25" max="25" width="2.42578125" customWidth="1"/>
    <col min="27" max="27" width="8.7109375" customWidth="1"/>
    <col min="28" max="28" width="1.7109375" customWidth="1"/>
  </cols>
  <sheetData>
    <row r="1" ht="30" customHeight="1">
      <c r="B1" s="20" t="s">
        <v>117</v>
      </c>
      <c r="C1" s="20"/>
      <c r="AA1" s="176" t="s">
        <v>169</v>
      </c>
      <c r="AC1" s="244"/>
      <c r="AD1" s="244"/>
      <c r="AE1" s="244"/>
      <c r="AF1" s="244"/>
      <c r="AG1" s="244"/>
      <c r="AH1" s="244"/>
      <c r="AI1" s="244"/>
      <c r="AJ1" s="244"/>
      <c r="AK1" s="244"/>
      <c r="AL1" s="244"/>
      <c r="AM1" s="244"/>
      <c r="AN1" s="244"/>
      <c r="AO1" s="244"/>
      <c r="AP1" s="244"/>
      <c r="AQ1" s="244"/>
      <c r="AR1" s="244"/>
      <c r="AS1" s="244"/>
      <c r="AT1" s="244"/>
      <c r="AU1" s="244"/>
      <c r="AV1" s="244"/>
    </row>
    <row r="2" ht="15">
      <c r="B2" s="612" t="s">
        <v>176</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C2" s="244"/>
      <c r="AD2" s="244"/>
      <c r="AE2" s="244"/>
      <c r="AF2" s="244"/>
      <c r="AG2" s="244"/>
      <c r="AH2" s="244"/>
      <c r="AI2" s="244"/>
      <c r="AJ2" s="244"/>
      <c r="AK2" s="244"/>
      <c r="AL2" s="244"/>
      <c r="AM2" s="244"/>
      <c r="AN2" s="244"/>
      <c r="AO2" s="244"/>
      <c r="AP2" s="244"/>
      <c r="AQ2" s="244"/>
      <c r="AR2" s="244"/>
      <c r="AS2" s="244"/>
      <c r="AT2" s="244"/>
      <c r="AU2" s="244"/>
      <c r="AV2" s="244"/>
    </row>
    <row r="3" ht="19.5" customHeight="1">
      <c r="B3" s="220" t="s">
        <v>28</v>
      </c>
      <c r="C3" s="57"/>
      <c r="E3" s="648" t="s">
        <v>40</v>
      </c>
      <c r="F3" s="648"/>
      <c r="H3" s="648" t="s">
        <v>39</v>
      </c>
      <c r="I3" s="648"/>
      <c r="K3" s="648" t="s">
        <v>41</v>
      </c>
      <c r="L3" s="648"/>
      <c r="N3" s="648" t="s">
        <v>42</v>
      </c>
      <c r="O3" s="648"/>
      <c r="Q3" s="648" t="s">
        <v>43</v>
      </c>
      <c r="R3" s="648"/>
      <c r="T3" s="648" t="s">
        <v>44</v>
      </c>
      <c r="U3" s="648"/>
      <c r="W3" s="648" t="s">
        <v>45</v>
      </c>
      <c r="X3" s="648"/>
      <c r="Z3" s="649" t="s">
        <v>23</v>
      </c>
      <c r="AA3" s="649"/>
      <c r="AC3" s="244"/>
      <c r="AD3" s="244"/>
      <c r="AE3" s="244"/>
      <c r="AF3" s="244"/>
      <c r="AG3" s="244"/>
      <c r="AH3" s="244"/>
      <c r="AI3" s="244"/>
      <c r="AJ3" s="244"/>
      <c r="AK3" s="244"/>
      <c r="AL3" s="244"/>
      <c r="AM3" s="244"/>
      <c r="AN3" s="244"/>
      <c r="AO3" s="244"/>
      <c r="AP3" s="244"/>
      <c r="AQ3" s="244"/>
      <c r="AR3" s="244"/>
      <c r="AS3" s="244"/>
      <c r="AT3" s="244"/>
      <c r="AU3" s="244"/>
      <c r="AV3" s="244"/>
    </row>
    <row r="4">
      <c r="E4" s="176"/>
      <c r="F4" s="176" t="s">
        <v>57</v>
      </c>
      <c r="G4" s="176"/>
      <c r="H4" s="176"/>
      <c r="I4" s="176" t="s">
        <v>57</v>
      </c>
      <c r="J4" s="176"/>
      <c r="K4" s="176"/>
      <c r="L4" s="176" t="s">
        <v>57</v>
      </c>
      <c r="M4" s="176"/>
      <c r="N4" s="176"/>
      <c r="O4" s="176" t="s">
        <v>57</v>
      </c>
      <c r="P4" s="176"/>
      <c r="Q4" s="176"/>
      <c r="R4" s="176" t="s">
        <v>57</v>
      </c>
      <c r="S4" s="176"/>
      <c r="T4" s="176"/>
      <c r="U4" s="176" t="s">
        <v>57</v>
      </c>
      <c r="V4" s="176"/>
      <c r="W4" s="176"/>
      <c r="X4" s="176" t="s">
        <v>57</v>
      </c>
      <c r="Y4" s="176"/>
      <c r="Z4" s="226"/>
      <c r="AA4" s="176" t="s">
        <v>57</v>
      </c>
      <c r="AC4" s="244"/>
      <c r="AD4" s="244"/>
      <c r="AE4" s="244"/>
      <c r="AF4" s="244"/>
      <c r="AG4" s="244"/>
      <c r="AH4" s="244"/>
      <c r="AI4" s="244"/>
      <c r="AJ4" s="244"/>
      <c r="AK4" s="244"/>
      <c r="AL4" s="244"/>
      <c r="AM4" s="244"/>
      <c r="AN4" s="244"/>
      <c r="AO4" s="244"/>
      <c r="AP4" s="244"/>
      <c r="AQ4" s="244"/>
      <c r="AR4" s="244"/>
      <c r="AS4" s="244"/>
      <c r="AT4" s="244"/>
      <c r="AU4" s="244"/>
      <c r="AV4" s="244"/>
    </row>
    <row r="5">
      <c r="B5" s="216" t="s">
        <v>23</v>
      </c>
      <c r="C5" s="216"/>
      <c r="D5" s="217" t="s">
        <v>32</v>
      </c>
      <c r="E5" s="221">
        <v>0.7689393939393939393939393939</v>
      </c>
      <c r="F5" s="219">
        <v>4.6391752578009990434690645700</v>
      </c>
      <c r="G5" s="217"/>
      <c r="H5" s="221">
        <v>0.6893939393939393939393939394</v>
      </c>
      <c r="I5" s="219">
        <v>9.969788519626830715309280790</v>
      </c>
      <c r="J5" s="217"/>
      <c r="K5" s="221">
        <v>0.6553030303030303030303030303</v>
      </c>
      <c r="L5" s="219">
        <v>7.4534161491537517842676501900</v>
      </c>
      <c r="M5" s="217"/>
      <c r="N5" s="221">
        <v>0.7916666666666666666666666667</v>
      </c>
      <c r="O5" s="219">
        <v>29.012345679088797439414768680</v>
      </c>
      <c r="P5" s="217"/>
      <c r="Q5" s="221">
        <v>0.9053030303030303030303030303</v>
      </c>
      <c r="R5" s="219">
        <v>16.870415647953764025800906650</v>
      </c>
      <c r="S5" s="217"/>
      <c r="T5" s="221">
        <v>0.9147727272727272727272727273</v>
      </c>
      <c r="U5" s="219">
        <v>8.539325842700531751041535300</v>
      </c>
      <c r="V5" s="217"/>
      <c r="W5" s="221">
        <v>0.9356060606060606060606060606</v>
      </c>
      <c r="X5" s="219">
        <v>5.1063829786661548211860882200</v>
      </c>
      <c r="Y5" s="217"/>
      <c r="Z5" s="222">
        <v>0.8087121212121212121212121212</v>
      </c>
      <c r="AA5" s="219">
        <v>11.156563778400580080465022470</v>
      </c>
      <c r="AC5" s="244"/>
      <c r="AD5" s="244"/>
      <c r="AE5" s="244"/>
      <c r="AF5" s="244"/>
      <c r="AG5" s="244"/>
      <c r="AH5" s="244"/>
      <c r="AI5" s="244"/>
      <c r="AJ5" s="244"/>
      <c r="AK5" s="244"/>
      <c r="AL5" s="244"/>
      <c r="AM5" s="244"/>
      <c r="AN5" s="244"/>
      <c r="AO5" s="244"/>
      <c r="AP5" s="244"/>
      <c r="AQ5" s="244"/>
      <c r="AR5" s="244"/>
      <c r="AS5" s="244"/>
      <c r="AT5" s="244"/>
      <c r="AU5" s="244"/>
      <c r="AV5" s="244"/>
    </row>
    <row r="6">
      <c r="D6" s="217" t="s">
        <v>26</v>
      </c>
      <c r="E6" s="221">
        <v>0.6838662790697674418604651163</v>
      </c>
      <c r="F6" s="219">
        <v>0.641711230018856930424141900</v>
      </c>
      <c r="G6" s="217"/>
      <c r="H6" s="221">
        <v>0.6031976744186046511627906977</v>
      </c>
      <c r="I6" s="219">
        <v>-3.0373831775990916237225871800</v>
      </c>
      <c r="J6" s="217"/>
      <c r="K6" s="221">
        <v>0.6068313953488372093023255814</v>
      </c>
      <c r="L6" s="219">
        <v>0.7237635704930759369712185900</v>
      </c>
      <c r="M6" s="217"/>
      <c r="N6" s="221">
        <v>0.6199127906976744186046511628</v>
      </c>
      <c r="O6" s="219">
        <v>-2.7366020524834798843886941400</v>
      </c>
      <c r="P6" s="217"/>
      <c r="Q6" s="221">
        <v>0.7093023255813953488372093023</v>
      </c>
      <c r="R6" s="219">
        <v>-3.3663366336664279972551709700</v>
      </c>
      <c r="S6" s="217"/>
      <c r="T6" s="221">
        <v>0.8561046511627906976744186047</v>
      </c>
      <c r="U6" s="219">
        <v>10.714285714355639097744405070</v>
      </c>
      <c r="V6" s="217"/>
      <c r="W6" s="221">
        <v>0.8713662790697674418604651163</v>
      </c>
      <c r="X6" s="219">
        <v>12.476547842340725617676183630</v>
      </c>
      <c r="Y6" s="217"/>
      <c r="Z6" s="222">
        <v>0.7072259136212624584717607973</v>
      </c>
      <c r="AA6" s="219">
        <v>2.6367334639292649185061582100</v>
      </c>
      <c r="AC6" s="244"/>
      <c r="AD6" s="244"/>
      <c r="AE6" s="244"/>
      <c r="AF6" s="244"/>
      <c r="AG6" s="244"/>
      <c r="AH6" s="244"/>
      <c r="AI6" s="244"/>
      <c r="AJ6" s="244"/>
      <c r="AK6" s="244"/>
      <c r="AL6" s="244"/>
      <c r="AM6" s="244"/>
      <c r="AN6" s="244"/>
      <c r="AO6" s="244"/>
      <c r="AP6" s="244"/>
      <c r="AQ6" s="244"/>
      <c r="AR6" s="244"/>
      <c r="AS6" s="244"/>
      <c r="AT6" s="244"/>
      <c r="AU6" s="244"/>
      <c r="AV6" s="244"/>
    </row>
    <row r="7">
      <c r="D7" t="s">
        <v>91</v>
      </c>
      <c r="E7" s="223">
        <v>112.4400218980070</v>
      </c>
      <c r="F7" s="218">
        <v>3.9719754153893</v>
      </c>
      <c r="H7" s="223">
        <v>114.2898868199324</v>
      </c>
      <c r="I7" s="218">
        <v>13.4146252683822</v>
      </c>
      <c r="K7" s="223">
        <v>107.9876610415243</v>
      </c>
      <c r="L7" s="218">
        <v>6.6812957935346</v>
      </c>
      <c r="N7" s="223">
        <v>127.7061352089990</v>
      </c>
      <c r="O7" s="218">
        <v>32.6422358270598</v>
      </c>
      <c r="Q7" s="223">
        <v>127.6328862395148</v>
      </c>
      <c r="R7" s="218">
        <v>20.9417211111632</v>
      </c>
      <c r="T7" s="223">
        <v>106.8529093995726</v>
      </c>
      <c r="U7" s="218">
        <v>-1.9644798840946</v>
      </c>
      <c r="W7" s="223">
        <v>107.3723052038028</v>
      </c>
      <c r="X7" s="218">
        <v>-6.5526236402130</v>
      </c>
      <c r="Z7" s="224">
        <v>114.3498994644457</v>
      </c>
      <c r="AA7" s="218">
        <v>8.3009562238684</v>
      </c>
      <c r="AC7" s="244"/>
      <c r="AD7" s="244"/>
      <c r="AE7" s="244"/>
      <c r="AF7" s="244"/>
      <c r="AG7" s="244"/>
      <c r="AH7" s="244"/>
      <c r="AI7" s="244"/>
      <c r="AJ7" s="244"/>
      <c r="AK7" s="244"/>
      <c r="AL7" s="244"/>
      <c r="AM7" s="244"/>
      <c r="AN7" s="244"/>
      <c r="AO7" s="244"/>
      <c r="AP7" s="244"/>
      <c r="AQ7" s="244"/>
      <c r="AR7" s="244"/>
      <c r="AS7" s="244"/>
      <c r="AT7" s="244"/>
      <c r="AU7" s="244"/>
      <c r="AV7" s="244"/>
    </row>
    <row r="8">
      <c r="D8" s="214" t="s">
        <v>55</v>
      </c>
      <c r="E8" s="227" t="s">
        <v>170</v>
      </c>
      <c r="F8" s="228" t="s">
        <v>172</v>
      </c>
      <c r="G8" s="229"/>
      <c r="H8" s="227" t="s">
        <v>170</v>
      </c>
      <c r="I8" s="228" t="s">
        <v>170</v>
      </c>
      <c r="J8" s="229"/>
      <c r="K8" s="227" t="s">
        <v>172</v>
      </c>
      <c r="L8" s="228" t="s">
        <v>170</v>
      </c>
      <c r="M8" s="229"/>
      <c r="N8" s="227" t="s">
        <v>170</v>
      </c>
      <c r="O8" s="228" t="s">
        <v>171</v>
      </c>
      <c r="P8" s="229"/>
      <c r="Q8" s="227" t="s">
        <v>171</v>
      </c>
      <c r="R8" s="228" t="s">
        <v>171</v>
      </c>
      <c r="S8" s="229"/>
      <c r="T8" s="227" t="s">
        <v>170</v>
      </c>
      <c r="U8" s="228" t="s">
        <v>172</v>
      </c>
      <c r="V8" s="229"/>
      <c r="W8" s="227" t="s">
        <v>170</v>
      </c>
      <c r="X8" s="228" t="s">
        <v>172</v>
      </c>
      <c r="Y8" s="229"/>
      <c r="Z8" s="230" t="s">
        <v>170</v>
      </c>
      <c r="AA8" s="228" t="s">
        <v>172</v>
      </c>
      <c r="AC8" s="244"/>
      <c r="AD8" s="244"/>
      <c r="AE8" s="244"/>
      <c r="AF8" s="244"/>
      <c r="AG8" s="244"/>
      <c r="AH8" s="244"/>
      <c r="AI8" s="244"/>
      <c r="AJ8" s="244"/>
      <c r="AK8" s="244"/>
      <c r="AL8" s="244"/>
      <c r="AM8" s="244"/>
      <c r="AN8" s="244"/>
      <c r="AO8" s="244"/>
      <c r="AP8" s="244"/>
      <c r="AQ8" s="244"/>
      <c r="AR8" s="244"/>
      <c r="AS8" s="244"/>
      <c r="AT8" s="244"/>
      <c r="AU8" s="244"/>
      <c r="AV8" s="244"/>
    </row>
    <row r="9" ht="8.1" customHeight="1">
      <c r="F9" s="218"/>
      <c r="I9" s="218"/>
      <c r="L9" s="218"/>
      <c r="O9" s="218"/>
      <c r="R9" s="218"/>
      <c r="U9" s="218"/>
      <c r="X9" s="218"/>
      <c r="Z9" s="215"/>
      <c r="AA9" s="218"/>
      <c r="AC9" s="244"/>
      <c r="AD9" s="244"/>
      <c r="AE9" s="244"/>
      <c r="AF9" s="244"/>
      <c r="AG9" s="244"/>
      <c r="AH9" s="244"/>
      <c r="AI9" s="244"/>
      <c r="AJ9" s="244"/>
      <c r="AK9" s="244"/>
      <c r="AL9" s="244"/>
      <c r="AM9" s="244"/>
      <c r="AN9" s="244"/>
      <c r="AO9" s="244"/>
      <c r="AP9" s="244"/>
      <c r="AQ9" s="244"/>
      <c r="AR9" s="244"/>
      <c r="AS9" s="244"/>
      <c r="AT9" s="244"/>
      <c r="AU9" s="244"/>
      <c r="AV9" s="244"/>
    </row>
    <row r="10" ht="12.75" customHeight="1">
      <c r="B10" s="216" t="s">
        <v>21</v>
      </c>
      <c r="C10" s="216"/>
      <c r="D10" s="217" t="s">
        <v>32</v>
      </c>
      <c r="E10" s="221">
        <v>0.7689393939393939393939393939</v>
      </c>
      <c r="F10" s="219">
        <v>8.556149732671406102547995090</v>
      </c>
      <c r="G10" s="217"/>
      <c r="H10" s="221">
        <v>0.6893939393939393939393939394</v>
      </c>
      <c r="I10" s="219">
        <v>15.555555555537947089947092630</v>
      </c>
      <c r="J10" s="217"/>
      <c r="K10" s="221">
        <v>0.6553030303030303030303030303</v>
      </c>
      <c r="L10" s="219">
        <v>12.337662337726530612244934640</v>
      </c>
      <c r="M10" s="217"/>
      <c r="N10" s="221">
        <v>0.7670454545454545454545454545</v>
      </c>
      <c r="O10" s="219">
        <v>27.760252365885460100110475790</v>
      </c>
      <c r="P10" s="217"/>
      <c r="Q10" s="221">
        <v>0.8787878787878787878787878788</v>
      </c>
      <c r="R10" s="219">
        <v>28.176795580121827783034706900</v>
      </c>
      <c r="S10" s="217"/>
      <c r="T10" s="221">
        <v>0.9034090909090909090909090909</v>
      </c>
      <c r="U10" s="219">
        <v>21.994884910535854684362367610</v>
      </c>
      <c r="V10" s="217"/>
      <c r="W10" s="221">
        <v>0.9147727272727272727272727273</v>
      </c>
      <c r="X10" s="219">
        <v>7.812499999980747767857146300</v>
      </c>
      <c r="Y10" s="217"/>
      <c r="Z10" s="222">
        <v>0.7968073593073593073593073593</v>
      </c>
      <c r="AA10" s="219">
        <v>17.097415507021571564647932140</v>
      </c>
      <c r="AC10" s="244"/>
      <c r="AD10" s="244"/>
      <c r="AE10" s="244"/>
      <c r="AF10" s="244"/>
      <c r="AG10" s="244"/>
      <c r="AH10" s="244"/>
      <c r="AI10" s="244"/>
      <c r="AJ10" s="244"/>
      <c r="AK10" s="244"/>
      <c r="AL10" s="244"/>
      <c r="AM10" s="244"/>
      <c r="AN10" s="244"/>
      <c r="AO10" s="244"/>
      <c r="AP10" s="244"/>
      <c r="AQ10" s="244"/>
      <c r="AR10" s="244"/>
      <c r="AS10" s="244"/>
      <c r="AT10" s="244"/>
      <c r="AU10" s="244"/>
      <c r="AV10" s="244"/>
    </row>
    <row r="11">
      <c r="D11" s="217" t="s">
        <v>26</v>
      </c>
      <c r="E11" s="221">
        <v>0.6758720930232558139534883721</v>
      </c>
      <c r="F11" s="219">
        <v>2.8761061946975487508810405400</v>
      </c>
      <c r="G11" s="217"/>
      <c r="H11" s="221">
        <v>0.5959302325581395348837209302</v>
      </c>
      <c r="I11" s="219">
        <v>-0.8464328898869911935302632200</v>
      </c>
      <c r="J11" s="217"/>
      <c r="K11" s="221">
        <v>0.599563953488372093023255814</v>
      </c>
      <c r="L11" s="219">
        <v>2.9962546816932018497477603200</v>
      </c>
      <c r="M11" s="217"/>
      <c r="N11" s="221">
        <v>0.619186046511627906976744186</v>
      </c>
      <c r="O11" s="219">
        <v>-2.7397260274363420278976511600</v>
      </c>
      <c r="P11" s="217"/>
      <c r="Q11" s="221">
        <v>0.7093023255813953488372093023</v>
      </c>
      <c r="R11" s="219">
        <v>-3.3663366336664279972551709700</v>
      </c>
      <c r="S11" s="217"/>
      <c r="T11" s="221">
        <v>0.8561046511627906976744186047</v>
      </c>
      <c r="U11" s="219">
        <v>11.764705882356334412322803990</v>
      </c>
      <c r="V11" s="217"/>
      <c r="W11" s="221">
        <v>0.8713662790697674418604651163</v>
      </c>
      <c r="X11" s="219">
        <v>14.736842105203428859229444340</v>
      </c>
      <c r="Y11" s="217"/>
      <c r="Z11" s="222">
        <v>0.7039036544850498338870431894</v>
      </c>
      <c r="AA11" s="219">
        <v>4.0355992021333361462139960600</v>
      </c>
      <c r="AC11" s="244"/>
      <c r="AD11" s="244"/>
      <c r="AE11" s="244"/>
      <c r="AF11" s="244"/>
      <c r="AG11" s="244"/>
      <c r="AH11" s="244"/>
      <c r="AI11" s="244"/>
      <c r="AJ11" s="244"/>
      <c r="AK11" s="244"/>
      <c r="AL11" s="244"/>
      <c r="AM11" s="244"/>
      <c r="AN11" s="244"/>
      <c r="AO11" s="244"/>
      <c r="AP11" s="244"/>
      <c r="AQ11" s="244"/>
      <c r="AR11" s="244"/>
      <c r="AS11" s="244"/>
      <c r="AT11" s="244"/>
      <c r="AU11" s="244"/>
      <c r="AV11" s="244"/>
    </row>
    <row r="12">
      <c r="D12" t="s">
        <v>22</v>
      </c>
      <c r="E12" s="223">
        <v>113.7699576409684</v>
      </c>
      <c r="F12" s="218">
        <v>5.5212466217998</v>
      </c>
      <c r="H12" s="223">
        <v>115.6836659275955</v>
      </c>
      <c r="I12" s="218">
        <v>16.5420054199432</v>
      </c>
      <c r="K12" s="223">
        <v>109.2966023875793</v>
      </c>
      <c r="L12" s="218">
        <v>9.0696576151593</v>
      </c>
      <c r="N12" s="223">
        <v>123.8796414852008</v>
      </c>
      <c r="O12" s="218">
        <v>31.3591327142723</v>
      </c>
      <c r="Q12" s="223">
        <v>123.8946845504913</v>
      </c>
      <c r="R12" s="218">
        <v>32.6419708359828</v>
      </c>
      <c r="T12" s="223">
        <v>105.5255440654164</v>
      </c>
      <c r="U12" s="218">
        <v>9.1533180778128</v>
      </c>
      <c r="W12" s="223">
        <v>104.9814239138396</v>
      </c>
      <c r="X12" s="218">
        <v>-6.0349770642170</v>
      </c>
      <c r="Z12" s="224">
        <v>113.1983552337615</v>
      </c>
      <c r="AA12" s="218">
        <v>12.5551411296055</v>
      </c>
      <c r="AC12" s="244"/>
      <c r="AD12" s="244"/>
      <c r="AE12" s="244"/>
      <c r="AF12" s="244"/>
      <c r="AG12" s="244"/>
      <c r="AH12" s="244"/>
      <c r="AI12" s="244"/>
      <c r="AJ12" s="244"/>
      <c r="AK12" s="244"/>
      <c r="AL12" s="244"/>
      <c r="AM12" s="244"/>
      <c r="AN12" s="244"/>
      <c r="AO12" s="244"/>
      <c r="AP12" s="244"/>
      <c r="AQ12" s="244"/>
      <c r="AR12" s="244"/>
      <c r="AS12" s="244"/>
      <c r="AT12" s="244"/>
      <c r="AU12" s="244"/>
      <c r="AV12" s="244"/>
    </row>
    <row r="13">
      <c r="D13" t="s">
        <v>55</v>
      </c>
      <c r="E13" s="231" t="s">
        <v>170</v>
      </c>
      <c r="F13" s="232" t="s">
        <v>170</v>
      </c>
      <c r="G13" s="176"/>
      <c r="H13" s="231" t="s">
        <v>170</v>
      </c>
      <c r="I13" s="232" t="s">
        <v>170</v>
      </c>
      <c r="J13" s="176"/>
      <c r="K13" s="231" t="s">
        <v>170</v>
      </c>
      <c r="L13" s="232" t="s">
        <v>170</v>
      </c>
      <c r="M13" s="176"/>
      <c r="N13" s="231" t="s">
        <v>170</v>
      </c>
      <c r="O13" s="232" t="s">
        <v>171</v>
      </c>
      <c r="P13" s="176"/>
      <c r="Q13" s="231" t="s">
        <v>170</v>
      </c>
      <c r="R13" s="232" t="s">
        <v>171</v>
      </c>
      <c r="S13" s="176"/>
      <c r="T13" s="231" t="s">
        <v>170</v>
      </c>
      <c r="U13" s="232" t="s">
        <v>170</v>
      </c>
      <c r="V13" s="176"/>
      <c r="W13" s="231" t="s">
        <v>172</v>
      </c>
      <c r="X13" s="232" t="s">
        <v>173</v>
      </c>
      <c r="Y13" s="176"/>
      <c r="Z13" s="233" t="s">
        <v>170</v>
      </c>
      <c r="AA13" s="232" t="s">
        <v>170</v>
      </c>
      <c r="AC13" s="244"/>
      <c r="AD13" s="244"/>
      <c r="AE13" s="244"/>
      <c r="AF13" s="244"/>
      <c r="AG13" s="244"/>
      <c r="AH13" s="244"/>
      <c r="AI13" s="244"/>
      <c r="AJ13" s="244"/>
      <c r="AK13" s="244"/>
      <c r="AL13" s="244"/>
      <c r="AM13" s="244"/>
      <c r="AN13" s="244"/>
      <c r="AO13" s="244"/>
      <c r="AP13" s="244"/>
      <c r="AQ13" s="244"/>
      <c r="AR13" s="244"/>
      <c r="AS13" s="244"/>
      <c r="AT13" s="244"/>
      <c r="AU13" s="244"/>
      <c r="AV13" s="244"/>
    </row>
    <row r="14" ht="8.1" customHeight="1">
      <c r="F14" s="218"/>
      <c r="I14" s="218"/>
      <c r="L14" s="218"/>
      <c r="O14" s="218"/>
      <c r="R14" s="218"/>
      <c r="U14" s="218"/>
      <c r="X14" s="218"/>
      <c r="Z14" s="215"/>
      <c r="AA14" s="218"/>
      <c r="AC14" s="244"/>
      <c r="AD14" s="244"/>
      <c r="AE14" s="244"/>
      <c r="AF14" s="244"/>
      <c r="AG14" s="244"/>
      <c r="AH14" s="244"/>
      <c r="AI14" s="244"/>
      <c r="AJ14" s="244"/>
      <c r="AK14" s="244"/>
      <c r="AL14" s="244"/>
      <c r="AM14" s="244"/>
      <c r="AN14" s="244"/>
      <c r="AO14" s="244"/>
      <c r="AP14" s="244"/>
      <c r="AQ14" s="244"/>
      <c r="AR14" s="244"/>
      <c r="AS14" s="244"/>
      <c r="AT14" s="244"/>
      <c r="AU14" s="244"/>
      <c r="AV14" s="244"/>
    </row>
    <row r="15" ht="12.75" customHeight="1">
      <c r="B15" s="216" t="s">
        <v>24</v>
      </c>
      <c r="C15" s="216"/>
      <c r="D15" s="217" t="s">
        <v>32</v>
      </c>
      <c r="E15" s="221">
        <v>0</v>
      </c>
      <c r="F15" s="219">
        <v>-100</v>
      </c>
      <c r="G15" s="217"/>
      <c r="H15" s="221">
        <v>0</v>
      </c>
      <c r="I15" s="219">
        <v>-100</v>
      </c>
      <c r="J15" s="217"/>
      <c r="K15" s="221">
        <v>0</v>
      </c>
      <c r="L15" s="219">
        <v>-100</v>
      </c>
      <c r="M15" s="217"/>
      <c r="N15" s="221">
        <v>0.0246212121212121212121212121</v>
      </c>
      <c r="O15" s="219">
        <v>85.71428570834285714304731413</v>
      </c>
      <c r="P15" s="217"/>
      <c r="Q15" s="221">
        <v>0.0265151515151515151515151515</v>
      </c>
      <c r="R15" s="219">
        <v>-70.212765957396106835672163600</v>
      </c>
      <c r="S15" s="217"/>
      <c r="T15" s="221">
        <v>0.0113636363636363636363636364</v>
      </c>
      <c r="U15" s="219">
        <v>-88.88888888891851851851843947</v>
      </c>
      <c r="V15" s="217"/>
      <c r="W15" s="221">
        <v>0.0208333333333333333333333333</v>
      </c>
      <c r="X15" s="219">
        <v>-50.000000000399999999996800080</v>
      </c>
      <c r="Y15" s="217"/>
      <c r="Z15" s="222">
        <v>0.0119047619047619047619047619</v>
      </c>
      <c r="AA15" s="219">
        <v>-74.712643678202774474831480480</v>
      </c>
      <c r="AC15" s="244"/>
      <c r="AD15" s="244"/>
      <c r="AE15" s="244"/>
      <c r="AF15" s="244"/>
      <c r="AG15" s="244"/>
      <c r="AH15" s="244"/>
      <c r="AI15" s="244"/>
      <c r="AJ15" s="244"/>
      <c r="AK15" s="244"/>
      <c r="AL15" s="244"/>
      <c r="AM15" s="244"/>
      <c r="AN15" s="244"/>
      <c r="AO15" s="244"/>
      <c r="AP15" s="244"/>
      <c r="AQ15" s="244"/>
      <c r="AR15" s="244"/>
      <c r="AS15" s="244"/>
      <c r="AT15" s="244"/>
      <c r="AU15" s="244"/>
      <c r="AV15" s="244"/>
    </row>
    <row r="16">
      <c r="D16" s="217" t="s">
        <v>26</v>
      </c>
      <c r="E16" s="221">
        <v>0.0079941860465116279069767442</v>
      </c>
      <c r="F16" s="219">
        <v>-64.516129031562122788748057060</v>
      </c>
      <c r="G16" s="217"/>
      <c r="H16" s="221">
        <v>0.0072674418604651162790697674</v>
      </c>
      <c r="I16" s="219">
        <v>-65.517241378739595719372241780</v>
      </c>
      <c r="J16" s="217"/>
      <c r="K16" s="221">
        <v>0.0072674418604651162790697674</v>
      </c>
      <c r="L16" s="219">
        <v>-64.285714285183673469379871930</v>
      </c>
      <c r="M16" s="217"/>
      <c r="N16" s="221">
        <v>0.0007267441860465116279069767</v>
      </c>
      <c r="O16" s="219">
        <v>0.0000000064000000004095939200</v>
      </c>
      <c r="P16" s="217"/>
      <c r="Q16" s="221">
        <v>0</v>
      </c>
      <c r="R16" s="219">
        <v>0</v>
      </c>
      <c r="S16" s="217"/>
      <c r="T16" s="221">
        <v>0</v>
      </c>
      <c r="U16" s="219">
        <v>-100</v>
      </c>
      <c r="V16" s="217"/>
      <c r="W16" s="221">
        <v>0</v>
      </c>
      <c r="X16" s="219">
        <v>-100</v>
      </c>
      <c r="Y16" s="217"/>
      <c r="Z16" s="222">
        <v>0.003322259136212624584717608</v>
      </c>
      <c r="AA16" s="219">
        <v>-73.333333333767111111104054780</v>
      </c>
      <c r="AC16" s="244"/>
      <c r="AD16" s="244"/>
      <c r="AE16" s="244"/>
      <c r="AF16" s="244"/>
      <c r="AG16" s="244"/>
      <c r="AH16" s="244"/>
      <c r="AI16" s="244"/>
      <c r="AJ16" s="244"/>
      <c r="AK16" s="244"/>
      <c r="AL16" s="244"/>
      <c r="AM16" s="244"/>
      <c r="AN16" s="244"/>
      <c r="AO16" s="244"/>
      <c r="AP16" s="244"/>
      <c r="AQ16" s="244"/>
      <c r="AR16" s="244"/>
      <c r="AS16" s="244"/>
      <c r="AT16" s="244"/>
      <c r="AU16" s="244"/>
      <c r="AV16" s="244"/>
    </row>
    <row r="17">
      <c r="D17" t="s">
        <v>22</v>
      </c>
      <c r="E17" s="223">
        <v>0</v>
      </c>
      <c r="F17" s="218">
        <v>-100</v>
      </c>
      <c r="H17" s="223">
        <v>0</v>
      </c>
      <c r="I17" s="218">
        <v>-100</v>
      </c>
      <c r="K17" s="223">
        <v>0</v>
      </c>
      <c r="L17" s="218">
        <v>-100</v>
      </c>
      <c r="N17" s="223">
        <v>3387.8787880956121</v>
      </c>
      <c r="O17" s="218">
        <v>85.7142857142832</v>
      </c>
      <c r="Q17" s="223">
        <v>0</v>
      </c>
      <c r="R17" s="218">
        <v>0</v>
      </c>
      <c r="T17" s="223">
        <v>0</v>
      </c>
      <c r="U17" s="218">
        <v>-100</v>
      </c>
      <c r="W17" s="223">
        <v>0</v>
      </c>
      <c r="X17" s="218">
        <v>-100</v>
      </c>
      <c r="Z17" s="224">
        <v>358.3333333562667</v>
      </c>
      <c r="AA17" s="218">
        <v>-5.1724137854817</v>
      </c>
      <c r="AC17" s="244"/>
      <c r="AD17" s="244"/>
      <c r="AE17" s="244"/>
      <c r="AF17" s="244"/>
      <c r="AG17" s="244"/>
      <c r="AH17" s="244"/>
      <c r="AI17" s="244"/>
      <c r="AJ17" s="244"/>
      <c r="AK17" s="244"/>
      <c r="AL17" s="244"/>
      <c r="AM17" s="244"/>
      <c r="AN17" s="244"/>
      <c r="AO17" s="244"/>
      <c r="AP17" s="244"/>
      <c r="AQ17" s="244"/>
      <c r="AR17" s="244"/>
      <c r="AS17" s="244"/>
      <c r="AT17" s="244"/>
      <c r="AU17" s="244"/>
      <c r="AV17" s="244"/>
    </row>
    <row r="18">
      <c r="D18" t="s">
        <v>55</v>
      </c>
      <c r="E18" s="231" t="s">
        <v>174</v>
      </c>
      <c r="F18" s="232"/>
      <c r="G18" s="176"/>
      <c r="H18" s="231" t="s">
        <v>174</v>
      </c>
      <c r="I18" s="232"/>
      <c r="J18" s="176"/>
      <c r="K18" s="231" t="s">
        <v>174</v>
      </c>
      <c r="L18" s="232"/>
      <c r="M18" s="176"/>
      <c r="N18" s="231" t="s">
        <v>171</v>
      </c>
      <c r="O18" s="232" t="s">
        <v>171</v>
      </c>
      <c r="P18" s="176"/>
      <c r="Q18" s="231" t="s">
        <v>171</v>
      </c>
      <c r="R18" s="232" t="s">
        <v>175</v>
      </c>
      <c r="S18" s="176"/>
      <c r="T18" s="231" t="s">
        <v>171</v>
      </c>
      <c r="U18" s="232" t="s">
        <v>173</v>
      </c>
      <c r="V18" s="176"/>
      <c r="W18" s="231" t="s">
        <v>171</v>
      </c>
      <c r="X18" s="232" t="s">
        <v>173</v>
      </c>
      <c r="Y18" s="176"/>
      <c r="Z18" s="233" t="s">
        <v>171</v>
      </c>
      <c r="AA18" s="232" t="s">
        <v>173</v>
      </c>
      <c r="AC18" s="244"/>
      <c r="AD18" s="244"/>
      <c r="AE18" s="244"/>
      <c r="AF18" s="244"/>
      <c r="AG18" s="244"/>
      <c r="AH18" s="244"/>
      <c r="AI18" s="244"/>
      <c r="AJ18" s="244"/>
      <c r="AK18" s="244"/>
      <c r="AL18" s="244"/>
      <c r="AM18" s="244"/>
      <c r="AN18" s="244"/>
      <c r="AO18" s="244"/>
      <c r="AP18" s="244"/>
      <c r="AQ18" s="244"/>
      <c r="AR18" s="244"/>
      <c r="AS18" s="244"/>
      <c r="AT18" s="244"/>
      <c r="AU18" s="244"/>
      <c r="AV18" s="244"/>
    </row>
    <row r="19" ht="8.1" customHeight="1">
      <c r="F19" s="218"/>
      <c r="I19" s="218"/>
      <c r="L19" s="218"/>
      <c r="O19" s="218"/>
      <c r="R19" s="218"/>
      <c r="U19" s="218"/>
      <c r="X19" s="218"/>
      <c r="Z19" s="215"/>
      <c r="AA19" s="218"/>
      <c r="AC19" s="244"/>
      <c r="AD19" s="244"/>
      <c r="AE19" s="244"/>
      <c r="AF19" s="244"/>
      <c r="AG19" s="244"/>
      <c r="AH19" s="244"/>
      <c r="AI19" s="244"/>
      <c r="AJ19" s="244"/>
      <c r="AK19" s="244"/>
      <c r="AL19" s="244"/>
      <c r="AM19" s="244"/>
      <c r="AN19" s="244"/>
      <c r="AO19" s="244"/>
      <c r="AP19" s="244"/>
      <c r="AQ19" s="244"/>
      <c r="AR19" s="244"/>
      <c r="AS19" s="244"/>
      <c r="AT19" s="244"/>
      <c r="AU19" s="244"/>
      <c r="AV19" s="244"/>
    </row>
    <row r="20" ht="12.75" customHeight="1">
      <c r="B20" s="216" t="s">
        <v>25</v>
      </c>
      <c r="C20" s="216"/>
      <c r="D20" s="217" t="s">
        <v>32</v>
      </c>
      <c r="E20" s="221">
        <v>0</v>
      </c>
      <c r="F20" s="219">
        <v>0</v>
      </c>
      <c r="G20" s="217"/>
      <c r="H20" s="221">
        <v>0</v>
      </c>
      <c r="I20" s="219">
        <v>0</v>
      </c>
      <c r="J20" s="217"/>
      <c r="K20" s="221">
        <v>0</v>
      </c>
      <c r="L20" s="219">
        <v>0</v>
      </c>
      <c r="M20" s="217"/>
      <c r="N20" s="221">
        <v>0</v>
      </c>
      <c r="O20" s="219">
        <v>0</v>
      </c>
      <c r="P20" s="217"/>
      <c r="Q20" s="221">
        <v>0</v>
      </c>
      <c r="R20" s="219">
        <v>0</v>
      </c>
      <c r="S20" s="217"/>
      <c r="T20" s="221">
        <v>0</v>
      </c>
      <c r="U20" s="219">
        <v>0</v>
      </c>
      <c r="V20" s="217"/>
      <c r="W20" s="221">
        <v>0</v>
      </c>
      <c r="X20" s="219">
        <v>0</v>
      </c>
      <c r="Y20" s="217"/>
      <c r="Z20" s="222">
        <v>0</v>
      </c>
      <c r="AA20" s="219">
        <v>0</v>
      </c>
      <c r="AC20" s="244"/>
      <c r="AD20" s="244"/>
      <c r="AE20" s="244"/>
      <c r="AF20" s="244"/>
      <c r="AG20" s="244"/>
      <c r="AH20" s="244"/>
      <c r="AI20" s="244"/>
      <c r="AJ20" s="244"/>
      <c r="AK20" s="244"/>
      <c r="AL20" s="244"/>
      <c r="AM20" s="244"/>
      <c r="AN20" s="244"/>
      <c r="AO20" s="244"/>
      <c r="AP20" s="244"/>
      <c r="AQ20" s="244"/>
      <c r="AR20" s="244"/>
      <c r="AS20" s="244"/>
      <c r="AT20" s="244"/>
      <c r="AU20" s="244"/>
      <c r="AV20" s="244"/>
    </row>
    <row r="21">
      <c r="D21" s="217" t="s">
        <v>26</v>
      </c>
      <c r="E21" s="221">
        <v>0</v>
      </c>
      <c r="F21" s="219">
        <v>0</v>
      </c>
      <c r="G21" s="217"/>
      <c r="H21" s="221">
        <v>0</v>
      </c>
      <c r="I21" s="219">
        <v>0</v>
      </c>
      <c r="J21" s="217"/>
      <c r="K21" s="221">
        <v>0</v>
      </c>
      <c r="L21" s="219">
        <v>0</v>
      </c>
      <c r="M21" s="217"/>
      <c r="N21" s="221">
        <v>0</v>
      </c>
      <c r="O21" s="219">
        <v>0</v>
      </c>
      <c r="P21" s="217"/>
      <c r="Q21" s="221">
        <v>0</v>
      </c>
      <c r="R21" s="219">
        <v>0</v>
      </c>
      <c r="S21" s="217"/>
      <c r="T21" s="221">
        <v>0</v>
      </c>
      <c r="U21" s="219">
        <v>0</v>
      </c>
      <c r="V21" s="217"/>
      <c r="W21" s="221">
        <v>0</v>
      </c>
      <c r="X21" s="219">
        <v>0</v>
      </c>
      <c r="Y21" s="217"/>
      <c r="Z21" s="222">
        <v>0</v>
      </c>
      <c r="AA21" s="219">
        <v>0</v>
      </c>
      <c r="AC21" s="244"/>
      <c r="AD21" s="244"/>
      <c r="AE21" s="244"/>
      <c r="AF21" s="244"/>
      <c r="AG21" s="244"/>
      <c r="AH21" s="244"/>
      <c r="AI21" s="244"/>
      <c r="AJ21" s="244"/>
      <c r="AK21" s="244"/>
      <c r="AL21" s="244"/>
      <c r="AM21" s="244"/>
      <c r="AN21" s="244"/>
      <c r="AO21" s="244"/>
      <c r="AP21" s="244"/>
      <c r="AQ21" s="244"/>
      <c r="AR21" s="244"/>
      <c r="AS21" s="244"/>
      <c r="AT21" s="244"/>
      <c r="AU21" s="244"/>
      <c r="AV21" s="244"/>
    </row>
    <row r="22">
      <c r="D22" t="s">
        <v>22</v>
      </c>
      <c r="E22" s="223">
        <v>0</v>
      </c>
      <c r="F22" s="218">
        <v>0</v>
      </c>
      <c r="H22" s="223">
        <v>0</v>
      </c>
      <c r="I22" s="218">
        <v>0</v>
      </c>
      <c r="K22" s="223">
        <v>0</v>
      </c>
      <c r="L22" s="218">
        <v>0</v>
      </c>
      <c r="N22" s="223">
        <v>0</v>
      </c>
      <c r="O22" s="218">
        <v>0</v>
      </c>
      <c r="Q22" s="223">
        <v>0</v>
      </c>
      <c r="R22" s="218">
        <v>0</v>
      </c>
      <c r="T22" s="223">
        <v>0</v>
      </c>
      <c r="U22" s="218">
        <v>0</v>
      </c>
      <c r="W22" s="223">
        <v>0</v>
      </c>
      <c r="X22" s="218">
        <v>0</v>
      </c>
      <c r="Z22" s="224">
        <v>0</v>
      </c>
      <c r="AA22" s="218">
        <v>0</v>
      </c>
      <c r="AC22" s="244"/>
      <c r="AD22" s="244"/>
      <c r="AE22" s="244"/>
      <c r="AF22" s="244"/>
      <c r="AG22" s="244"/>
      <c r="AH22" s="244"/>
      <c r="AI22" s="244"/>
      <c r="AJ22" s="244"/>
      <c r="AK22" s="244"/>
      <c r="AL22" s="244"/>
      <c r="AM22" s="244"/>
      <c r="AN22" s="244"/>
      <c r="AO22" s="244"/>
      <c r="AP22" s="244"/>
      <c r="AQ22" s="244"/>
      <c r="AR22" s="244"/>
      <c r="AS22" s="244"/>
      <c r="AT22" s="244"/>
      <c r="AU22" s="244"/>
      <c r="AV22" s="244"/>
    </row>
    <row r="23">
      <c r="D23" t="s">
        <v>55</v>
      </c>
      <c r="E23" s="231" t="s">
        <v>174</v>
      </c>
      <c r="F23" s="232"/>
      <c r="G23" s="176"/>
      <c r="H23" s="231" t="s">
        <v>174</v>
      </c>
      <c r="I23" s="232"/>
      <c r="J23" s="176"/>
      <c r="K23" s="231" t="s">
        <v>174</v>
      </c>
      <c r="L23" s="232"/>
      <c r="M23" s="176"/>
      <c r="N23" s="231" t="s">
        <v>174</v>
      </c>
      <c r="O23" s="232"/>
      <c r="P23" s="176"/>
      <c r="Q23" s="231" t="s">
        <v>174</v>
      </c>
      <c r="R23" s="232"/>
      <c r="S23" s="176"/>
      <c r="T23" s="231" t="s">
        <v>174</v>
      </c>
      <c r="U23" s="232"/>
      <c r="V23" s="176"/>
      <c r="W23" s="231" t="s">
        <v>174</v>
      </c>
      <c r="X23" s="232"/>
      <c r="Y23" s="176"/>
      <c r="Z23" s="233" t="s">
        <v>174</v>
      </c>
      <c r="AA23" s="232"/>
      <c r="AC23" s="244"/>
      <c r="AD23" s="244"/>
      <c r="AE23" s="244"/>
      <c r="AF23" s="244"/>
      <c r="AG23" s="244"/>
      <c r="AH23" s="244"/>
      <c r="AI23" s="244"/>
      <c r="AJ23" s="244"/>
      <c r="AK23" s="244"/>
      <c r="AL23" s="244"/>
      <c r="AM23" s="244"/>
      <c r="AN23" s="244"/>
      <c r="AO23" s="244"/>
      <c r="AP23" s="244"/>
      <c r="AQ23" s="244"/>
      <c r="AR23" s="244"/>
      <c r="AS23" s="244"/>
      <c r="AT23" s="244"/>
      <c r="AU23" s="244"/>
      <c r="AV23" s="244"/>
    </row>
    <row r="24" ht="15">
      <c r="B24" s="612"/>
      <c r="C24" s="612"/>
      <c r="D24" s="612"/>
      <c r="E24" s="612"/>
      <c r="F24" s="612"/>
      <c r="G24" s="612"/>
      <c r="H24" s="612"/>
      <c r="I24" s="612"/>
      <c r="J24" s="612"/>
      <c r="K24" s="612"/>
      <c r="L24" s="612"/>
      <c r="M24" s="612"/>
      <c r="N24" s="612"/>
      <c r="O24" s="612"/>
      <c r="P24" s="612"/>
      <c r="Q24" s="612"/>
      <c r="R24" s="612"/>
      <c r="S24" s="612"/>
      <c r="T24" s="612"/>
      <c r="U24" s="612"/>
      <c r="V24" s="612"/>
      <c r="W24" s="612"/>
      <c r="X24" s="612"/>
      <c r="Y24" s="612"/>
      <c r="Z24" s="612"/>
      <c r="AA24" s="612"/>
      <c r="AC24" s="244"/>
      <c r="AD24" s="244"/>
      <c r="AE24" s="244"/>
      <c r="AF24" s="244"/>
      <c r="AG24" s="244"/>
      <c r="AH24" s="244"/>
      <c r="AI24" s="244"/>
      <c r="AJ24" s="244"/>
      <c r="AK24" s="244"/>
      <c r="AL24" s="244"/>
      <c r="AM24" s="244"/>
      <c r="AN24" s="244"/>
      <c r="AO24" s="244"/>
      <c r="AP24" s="244"/>
      <c r="AQ24" s="244"/>
      <c r="AR24" s="244"/>
      <c r="AS24" s="244"/>
      <c r="AT24" s="244"/>
      <c r="AU24" s="244"/>
      <c r="AV24" s="244"/>
    </row>
    <row r="25" ht="18">
      <c r="B25" s="220" t="s">
        <v>12</v>
      </c>
      <c r="C25" s="57"/>
      <c r="E25" s="648" t="s">
        <v>40</v>
      </c>
      <c r="F25" s="648"/>
      <c r="H25" s="648" t="s">
        <v>39</v>
      </c>
      <c r="I25" s="648"/>
      <c r="K25" s="648" t="s">
        <v>41</v>
      </c>
      <c r="L25" s="648"/>
      <c r="N25" s="648" t="s">
        <v>42</v>
      </c>
      <c r="O25" s="648"/>
      <c r="Q25" s="648" t="s">
        <v>43</v>
      </c>
      <c r="R25" s="648"/>
      <c r="T25" s="648" t="s">
        <v>44</v>
      </c>
      <c r="U25" s="648"/>
      <c r="W25" s="648" t="s">
        <v>45</v>
      </c>
      <c r="X25" s="648"/>
      <c r="Z25" s="649" t="s">
        <v>23</v>
      </c>
      <c r="AA25" s="649"/>
      <c r="AC25" s="244"/>
      <c r="AD25" s="244"/>
      <c r="AE25" s="244"/>
      <c r="AF25" s="244"/>
      <c r="AG25" s="244"/>
      <c r="AH25" s="244"/>
      <c r="AI25" s="244"/>
      <c r="AJ25" s="244"/>
      <c r="AK25" s="244"/>
      <c r="AL25" s="244"/>
      <c r="AM25" s="244"/>
      <c r="AN25" s="244"/>
      <c r="AO25" s="244"/>
      <c r="AP25" s="244"/>
      <c r="AQ25" s="244"/>
      <c r="AR25" s="244"/>
      <c r="AS25" s="244"/>
      <c r="AT25" s="244"/>
      <c r="AU25" s="244"/>
      <c r="AV25" s="244"/>
    </row>
    <row r="26">
      <c r="E26" s="176"/>
      <c r="F26" s="176" t="s">
        <v>57</v>
      </c>
      <c r="G26" s="176"/>
      <c r="H26" s="176"/>
      <c r="I26" s="176" t="s">
        <v>57</v>
      </c>
      <c r="J26" s="176"/>
      <c r="K26" s="176"/>
      <c r="L26" s="176" t="s">
        <v>57</v>
      </c>
      <c r="M26" s="176"/>
      <c r="N26" s="176"/>
      <c r="O26" s="176" t="s">
        <v>57</v>
      </c>
      <c r="P26" s="176"/>
      <c r="Q26" s="176"/>
      <c r="R26" s="176" t="s">
        <v>57</v>
      </c>
      <c r="S26" s="176"/>
      <c r="T26" s="176"/>
      <c r="U26" s="176" t="s">
        <v>57</v>
      </c>
      <c r="V26" s="176"/>
      <c r="W26" s="176"/>
      <c r="X26" s="176" t="s">
        <v>57</v>
      </c>
      <c r="Y26" s="176"/>
      <c r="Z26" s="226"/>
      <c r="AA26" s="176" t="s">
        <v>57</v>
      </c>
      <c r="AC26" s="244"/>
      <c r="AD26" s="244"/>
      <c r="AE26" s="244"/>
      <c r="AF26" s="244"/>
      <c r="AG26" s="244"/>
      <c r="AH26" s="244"/>
      <c r="AI26" s="244"/>
      <c r="AJ26" s="244"/>
      <c r="AK26" s="244"/>
      <c r="AL26" s="244"/>
      <c r="AM26" s="244"/>
      <c r="AN26" s="244"/>
      <c r="AO26" s="244"/>
      <c r="AP26" s="244"/>
      <c r="AQ26" s="244"/>
      <c r="AR26" s="244"/>
      <c r="AS26" s="244"/>
      <c r="AT26" s="244"/>
      <c r="AU26" s="244"/>
      <c r="AV26" s="244"/>
    </row>
    <row r="27">
      <c r="B27" s="216" t="s">
        <v>23</v>
      </c>
      <c r="C27" s="216"/>
      <c r="D27" s="217" t="s">
        <v>32</v>
      </c>
      <c r="E27" s="598">
        <v>160.97290640394088669950738916</v>
      </c>
      <c r="F27" s="219">
        <v>3.2014006687519022369566952800</v>
      </c>
      <c r="G27" s="217"/>
      <c r="H27" s="598">
        <v>156.93956043956043956043956044</v>
      </c>
      <c r="I27" s="219">
        <v>8.453368628102510666898302370</v>
      </c>
      <c r="J27" s="217"/>
      <c r="K27" s="225">
        <v>160.30924855491329479768786127</v>
      </c>
      <c r="L27" s="219">
        <v>11.892957394237148332742770200</v>
      </c>
      <c r="M27" s="217"/>
      <c r="N27" s="598">
        <v>143.4138755980861244019138756</v>
      </c>
      <c r="O27" s="219">
        <v>-0.4433062074846254584654172300</v>
      </c>
      <c r="P27" s="217"/>
      <c r="Q27" s="598">
        <v>148.63807531380753138075313808</v>
      </c>
      <c r="R27" s="219">
        <v>-13.432385721296466978594070730</v>
      </c>
      <c r="S27" s="217"/>
      <c r="T27" s="598">
        <v>213.9710144927536231884057971</v>
      </c>
      <c r="U27" s="219">
        <v>-5.1801935397914890449641175100</v>
      </c>
      <c r="V27" s="217"/>
      <c r="W27" s="598">
        <v>215.64979757085020242914979757</v>
      </c>
      <c r="X27" s="219">
        <v>-5.2345822893191561677586855100</v>
      </c>
      <c r="Y27" s="217"/>
      <c r="Z27" s="599">
        <v>173.57745065239210438273670124</v>
      </c>
      <c r="AA27" s="219">
        <v>-2.5214401137039210259220944200</v>
      </c>
      <c r="AC27" s="244"/>
      <c r="AD27" s="244"/>
      <c r="AE27" s="244"/>
      <c r="AF27" s="244"/>
      <c r="AG27" s="244"/>
      <c r="AH27" s="244"/>
      <c r="AI27" s="244"/>
      <c r="AJ27" s="244"/>
      <c r="AK27" s="244"/>
      <c r="AL27" s="244"/>
      <c r="AM27" s="244"/>
      <c r="AN27" s="244"/>
      <c r="AO27" s="244"/>
      <c r="AP27" s="244"/>
      <c r="AQ27" s="244"/>
      <c r="AR27" s="244"/>
      <c r="AS27" s="244"/>
      <c r="AT27" s="244"/>
      <c r="AU27" s="244"/>
      <c r="AV27" s="244"/>
    </row>
    <row r="28">
      <c r="D28" s="217" t="s">
        <v>26</v>
      </c>
      <c r="E28" s="598">
        <v>201.77577045696068012752391073</v>
      </c>
      <c r="F28" s="219">
        <v>-4.2226312698535807774939987300</v>
      </c>
      <c r="G28" s="217"/>
      <c r="H28" s="598">
        <v>190.5265060240963855421686747</v>
      </c>
      <c r="I28" s="219">
        <v>-6.9366727209934254795558300300</v>
      </c>
      <c r="J28" s="217"/>
      <c r="K28" s="598">
        <v>188.01437125748502994011976048</v>
      </c>
      <c r="L28" s="219">
        <v>-6.4082758247912151012584270800</v>
      </c>
      <c r="M28" s="217"/>
      <c r="N28" s="598">
        <v>190.4759671746776084407971864</v>
      </c>
      <c r="O28" s="219">
        <v>-2.8743229516885886403354122400</v>
      </c>
      <c r="P28" s="217"/>
      <c r="Q28" s="598">
        <v>225.9702868852459016393442623</v>
      </c>
      <c r="R28" s="219">
        <v>-0.6974673984708279501806497200</v>
      </c>
      <c r="S28" s="217"/>
      <c r="T28" s="598">
        <v>255.69439728353140916808149406</v>
      </c>
      <c r="U28" s="219">
        <v>-7.3845404067830403839483106200</v>
      </c>
      <c r="V28" s="217"/>
      <c r="W28" s="598">
        <v>251.30859049207673060884070058</v>
      </c>
      <c r="X28" s="219">
        <v>-7.0515970617738260819208326200</v>
      </c>
      <c r="Y28" s="217"/>
      <c r="Z28" s="599">
        <v>218.81238990017615971814445097</v>
      </c>
      <c r="AA28" s="219">
        <v>-4.6170527982774706336507505100</v>
      </c>
      <c r="AC28" s="244"/>
      <c r="AD28" s="244"/>
      <c r="AE28" s="244"/>
      <c r="AF28" s="244"/>
      <c r="AG28" s="244"/>
      <c r="AH28" s="244"/>
      <c r="AI28" s="244"/>
      <c r="AJ28" s="244"/>
      <c r="AK28" s="244"/>
      <c r="AL28" s="244"/>
      <c r="AM28" s="244"/>
      <c r="AN28" s="244"/>
      <c r="AO28" s="244"/>
      <c r="AP28" s="244"/>
      <c r="AQ28" s="244"/>
      <c r="AR28" s="244"/>
      <c r="AS28" s="244"/>
      <c r="AT28" s="244"/>
      <c r="AU28" s="244"/>
      <c r="AV28" s="244"/>
    </row>
    <row r="29">
      <c r="D29" t="s">
        <v>92</v>
      </c>
      <c r="E29" s="223">
        <v>79.7781151024005</v>
      </c>
      <c r="F29" s="218">
        <v>7.7513425530212</v>
      </c>
      <c r="H29" s="223">
        <v>82.3715102504997</v>
      </c>
      <c r="I29" s="218">
        <v>16.5371707622207</v>
      </c>
      <c r="K29" s="223">
        <v>85.2643590395319</v>
      </c>
      <c r="L29" s="218">
        <v>19.5543285266235</v>
      </c>
      <c r="N29" s="223">
        <v>75.2923729567155</v>
      </c>
      <c r="O29" s="218">
        <v>2.5029598948855</v>
      </c>
      <c r="Q29" s="223">
        <v>65.7777079290608</v>
      </c>
      <c r="R29" s="218">
        <v>-12.8243640813059</v>
      </c>
      <c r="T29" s="223">
        <v>83.6823241987247</v>
      </c>
      <c r="U29" s="218">
        <v>2.3801068165540</v>
      </c>
      <c r="W29" s="223">
        <v>85.8107544786175</v>
      </c>
      <c r="X29" s="218">
        <v>1.9548638976584</v>
      </c>
      <c r="Z29" s="224">
        <v>79.3270667769593</v>
      </c>
      <c r="AA29" s="218">
        <v>2.1970517225182</v>
      </c>
      <c r="AC29" s="244"/>
      <c r="AD29" s="244"/>
      <c r="AE29" s="244"/>
      <c r="AF29" s="244"/>
      <c r="AG29" s="244"/>
      <c r="AH29" s="244"/>
      <c r="AI29" s="244"/>
      <c r="AJ29" s="244"/>
      <c r="AK29" s="244"/>
      <c r="AL29" s="244"/>
      <c r="AM29" s="244"/>
      <c r="AN29" s="244"/>
      <c r="AO29" s="244"/>
      <c r="AP29" s="244"/>
      <c r="AQ29" s="244"/>
      <c r="AR29" s="244"/>
      <c r="AS29" s="244"/>
      <c r="AT29" s="244"/>
      <c r="AU29" s="244"/>
      <c r="AV29" s="244"/>
    </row>
    <row r="30">
      <c r="D30" s="214" t="s">
        <v>55</v>
      </c>
      <c r="E30" s="227" t="s">
        <v>170</v>
      </c>
      <c r="F30" s="228" t="s">
        <v>170</v>
      </c>
      <c r="G30" s="229"/>
      <c r="H30" s="227" t="s">
        <v>170</v>
      </c>
      <c r="I30" s="228" t="s">
        <v>171</v>
      </c>
      <c r="J30" s="229"/>
      <c r="K30" s="227" t="s">
        <v>170</v>
      </c>
      <c r="L30" s="228" t="s">
        <v>171</v>
      </c>
      <c r="M30" s="229"/>
      <c r="N30" s="227" t="s">
        <v>170</v>
      </c>
      <c r="O30" s="228" t="s">
        <v>172</v>
      </c>
      <c r="P30" s="229"/>
      <c r="Q30" s="227" t="s">
        <v>170</v>
      </c>
      <c r="R30" s="228" t="s">
        <v>173</v>
      </c>
      <c r="S30" s="229"/>
      <c r="T30" s="227" t="s">
        <v>170</v>
      </c>
      <c r="U30" s="228" t="s">
        <v>172</v>
      </c>
      <c r="V30" s="229"/>
      <c r="W30" s="227" t="s">
        <v>170</v>
      </c>
      <c r="X30" s="228" t="s">
        <v>170</v>
      </c>
      <c r="Y30" s="229"/>
      <c r="Z30" s="230" t="s">
        <v>170</v>
      </c>
      <c r="AA30" s="228" t="s">
        <v>170</v>
      </c>
      <c r="AC30" s="244"/>
      <c r="AD30" s="244"/>
      <c r="AE30" s="244"/>
      <c r="AF30" s="244"/>
      <c r="AG30" s="244"/>
      <c r="AH30" s="244"/>
      <c r="AI30" s="244"/>
      <c r="AJ30" s="244"/>
      <c r="AK30" s="244"/>
      <c r="AL30" s="244"/>
      <c r="AM30" s="244"/>
      <c r="AN30" s="244"/>
      <c r="AO30" s="244"/>
      <c r="AP30" s="244"/>
      <c r="AQ30" s="244"/>
      <c r="AR30" s="244"/>
      <c r="AS30" s="244"/>
      <c r="AT30" s="244"/>
      <c r="AU30" s="244"/>
      <c r="AV30" s="244"/>
    </row>
    <row r="31" ht="8.1" customHeight="1">
      <c r="F31" s="218"/>
      <c r="I31" s="218"/>
      <c r="L31" s="218"/>
      <c r="O31" s="218"/>
      <c r="R31" s="218"/>
      <c r="U31" s="218"/>
      <c r="X31" s="218"/>
      <c r="Z31" s="215"/>
      <c r="AA31" s="218"/>
      <c r="AC31" s="244"/>
      <c r="AD31" s="244"/>
      <c r="AE31" s="244"/>
      <c r="AF31" s="244"/>
      <c r="AG31" s="244"/>
      <c r="AH31" s="244"/>
      <c r="AI31" s="244"/>
      <c r="AJ31" s="244"/>
      <c r="AK31" s="244"/>
      <c r="AL31" s="244"/>
      <c r="AM31" s="244"/>
      <c r="AN31" s="244"/>
      <c r="AO31" s="244"/>
      <c r="AP31" s="244"/>
      <c r="AQ31" s="244"/>
      <c r="AR31" s="244"/>
      <c r="AS31" s="244"/>
      <c r="AT31" s="244"/>
      <c r="AU31" s="244"/>
      <c r="AV31" s="244"/>
    </row>
    <row r="32">
      <c r="B32" s="216" t="s">
        <v>21</v>
      </c>
      <c r="C32" s="216"/>
      <c r="D32" s="217" t="s">
        <v>32</v>
      </c>
      <c r="E32" s="598">
        <v>160.97290640394088669950738916</v>
      </c>
      <c r="F32" s="219">
        <v>5.8473698004343311992746473300</v>
      </c>
      <c r="G32" s="217"/>
      <c r="H32" s="598">
        <v>156.93956043956043956043956044</v>
      </c>
      <c r="I32" s="219">
        <v>9.475743602201678272325781840</v>
      </c>
      <c r="J32" s="217"/>
      <c r="K32" s="598">
        <v>160.30924855491329479768786127</v>
      </c>
      <c r="L32" s="219">
        <v>12.813874734229996359465954330</v>
      </c>
      <c r="M32" s="217"/>
      <c r="N32" s="598">
        <v>141.45679012345679012345679012</v>
      </c>
      <c r="O32" s="219">
        <v>-0.8429284454084715431070045900</v>
      </c>
      <c r="P32" s="217"/>
      <c r="Q32" s="598">
        <v>147.07543103448275862068965517</v>
      </c>
      <c r="R32" s="219">
        <v>-10.386275441844774943112297580</v>
      </c>
      <c r="S32" s="217"/>
      <c r="T32" s="598">
        <v>214.41090146750524109014675052</v>
      </c>
      <c r="U32" s="219">
        <v>-2.710151475249592372163138700</v>
      </c>
      <c r="V32" s="217"/>
      <c r="W32" s="598">
        <v>215.9668737060041407867494824</v>
      </c>
      <c r="X32" s="219">
        <v>-2.5971636613437754729924394500</v>
      </c>
      <c r="Y32" s="217"/>
      <c r="Z32" s="599">
        <v>173.19762308998302207130730051</v>
      </c>
      <c r="AA32" s="219">
        <v>-0.0798224362581443703590304500</v>
      </c>
      <c r="AC32" s="244"/>
      <c r="AD32" s="244"/>
      <c r="AE32" s="244"/>
      <c r="AF32" s="244"/>
      <c r="AG32" s="244"/>
      <c r="AH32" s="244"/>
      <c r="AI32" s="244"/>
      <c r="AJ32" s="244"/>
      <c r="AK32" s="244"/>
      <c r="AL32" s="244"/>
      <c r="AM32" s="244"/>
      <c r="AN32" s="244"/>
      <c r="AO32" s="244"/>
      <c r="AP32" s="244"/>
      <c r="AQ32" s="244"/>
      <c r="AR32" s="244"/>
      <c r="AS32" s="244"/>
      <c r="AT32" s="244"/>
      <c r="AU32" s="244"/>
      <c r="AV32" s="244"/>
    </row>
    <row r="33">
      <c r="D33" s="217" t="s">
        <v>26</v>
      </c>
      <c r="E33" s="598">
        <v>200.60537634408602150537634409</v>
      </c>
      <c r="F33" s="219">
        <v>-4.4932508518207191512997856300</v>
      </c>
      <c r="G33" s="217"/>
      <c r="H33" s="598">
        <v>190.41097560975609756097560976</v>
      </c>
      <c r="I33" s="219">
        <v>-6.6048202144084769621088247800</v>
      </c>
      <c r="J33" s="217"/>
      <c r="K33" s="598">
        <v>187.86909090909090909090909091</v>
      </c>
      <c r="L33" s="219">
        <v>-6.0208701892172240335391873700</v>
      </c>
      <c r="M33" s="217"/>
      <c r="N33" s="598">
        <v>190.46478873239436619718309859</v>
      </c>
      <c r="O33" s="219">
        <v>-2.8614274813184335003407201300</v>
      </c>
      <c r="P33" s="217"/>
      <c r="Q33" s="598">
        <v>225.9702868852459016393442623</v>
      </c>
      <c r="R33" s="219">
        <v>-0.6974673984708279501806497200</v>
      </c>
      <c r="S33" s="217"/>
      <c r="T33" s="598">
        <v>255.69439728353140916808149406</v>
      </c>
      <c r="U33" s="219">
        <v>-7.3523252041535684855725174200</v>
      </c>
      <c r="V33" s="217"/>
      <c r="W33" s="598">
        <v>251.30859049207673060884070058</v>
      </c>
      <c r="X33" s="219">
        <v>-7.1491535563606822264188280200</v>
      </c>
      <c r="Y33" s="217"/>
      <c r="Z33" s="599">
        <v>218.7377581120943952802359882</v>
      </c>
      <c r="AA33" s="219">
        <v>-4.5796646822187485881178477900</v>
      </c>
      <c r="AC33" s="244"/>
      <c r="AD33" s="244"/>
      <c r="AE33" s="244"/>
      <c r="AF33" s="244"/>
      <c r="AG33" s="244"/>
      <c r="AH33" s="244"/>
      <c r="AI33" s="244"/>
      <c r="AJ33" s="244"/>
      <c r="AK33" s="244"/>
      <c r="AL33" s="244"/>
      <c r="AM33" s="244"/>
      <c r="AN33" s="244"/>
      <c r="AO33" s="244"/>
      <c r="AP33" s="244"/>
      <c r="AQ33" s="244"/>
      <c r="AR33" s="244"/>
      <c r="AS33" s="244"/>
      <c r="AT33" s="244"/>
      <c r="AU33" s="244"/>
      <c r="AV33" s="244"/>
    </row>
    <row r="34">
      <c r="D34" t="s">
        <v>22</v>
      </c>
      <c r="E34" s="223">
        <v>80.2435654206110</v>
      </c>
      <c r="F34" s="218">
        <v>10.8271098581252</v>
      </c>
      <c r="H34" s="223">
        <v>82.4214885391739</v>
      </c>
      <c r="I34" s="218">
        <v>17.2177663274272</v>
      </c>
      <c r="K34" s="223">
        <v>85.3302945041015</v>
      </c>
      <c r="L34" s="218">
        <v>20.0414123447945</v>
      </c>
      <c r="N34" s="223">
        <v>74.2692605099840</v>
      </c>
      <c r="O34" s="218">
        <v>2.0779583058761</v>
      </c>
      <c r="Q34" s="223">
        <v>65.0861814895167</v>
      </c>
      <c r="R34" s="218">
        <v>-9.7568589536474</v>
      </c>
      <c r="T34" s="223">
        <v>83.8543604182997</v>
      </c>
      <c r="U34" s="218">
        <v>5.0105669021025</v>
      </c>
      <c r="W34" s="223">
        <v>85.9369245130493</v>
      </c>
      <c r="X34" s="218">
        <v>4.9024753886251</v>
      </c>
      <c r="Z34" s="224">
        <v>79.1804874406831</v>
      </c>
      <c r="AA34" s="218">
        <v>4.7158105565254</v>
      </c>
      <c r="AC34" s="244"/>
      <c r="AD34" s="244"/>
      <c r="AE34" s="244"/>
      <c r="AF34" s="244"/>
      <c r="AG34" s="244"/>
      <c r="AH34" s="244"/>
      <c r="AI34" s="244"/>
      <c r="AJ34" s="244"/>
      <c r="AK34" s="244"/>
      <c r="AL34" s="244"/>
      <c r="AM34" s="244"/>
      <c r="AN34" s="244"/>
      <c r="AO34" s="244"/>
      <c r="AP34" s="244"/>
      <c r="AQ34" s="244"/>
      <c r="AR34" s="244"/>
      <c r="AS34" s="244"/>
      <c r="AT34" s="244"/>
      <c r="AU34" s="244"/>
      <c r="AV34" s="244"/>
    </row>
    <row r="35">
      <c r="D35" t="s">
        <v>55</v>
      </c>
      <c r="E35" s="231" t="s">
        <v>170</v>
      </c>
      <c r="F35" s="232" t="s">
        <v>171</v>
      </c>
      <c r="G35" s="176"/>
      <c r="H35" s="231" t="s">
        <v>170</v>
      </c>
      <c r="I35" s="232" t="s">
        <v>171</v>
      </c>
      <c r="J35" s="176"/>
      <c r="K35" s="231" t="s">
        <v>170</v>
      </c>
      <c r="L35" s="232" t="s">
        <v>171</v>
      </c>
      <c r="M35" s="176"/>
      <c r="N35" s="231" t="s">
        <v>170</v>
      </c>
      <c r="O35" s="232" t="s">
        <v>172</v>
      </c>
      <c r="P35" s="176"/>
      <c r="Q35" s="231" t="s">
        <v>170</v>
      </c>
      <c r="R35" s="232" t="s">
        <v>173</v>
      </c>
      <c r="S35" s="176"/>
      <c r="T35" s="231" t="s">
        <v>170</v>
      </c>
      <c r="U35" s="232" t="s">
        <v>170</v>
      </c>
      <c r="V35" s="176"/>
      <c r="W35" s="231" t="s">
        <v>170</v>
      </c>
      <c r="X35" s="232" t="s">
        <v>170</v>
      </c>
      <c r="Y35" s="176"/>
      <c r="Z35" s="233" t="s">
        <v>170</v>
      </c>
      <c r="AA35" s="232" t="s">
        <v>170</v>
      </c>
      <c r="AC35" s="244"/>
      <c r="AD35" s="244"/>
      <c r="AE35" s="244"/>
      <c r="AF35" s="244"/>
      <c r="AG35" s="244"/>
      <c r="AH35" s="244"/>
      <c r="AI35" s="244"/>
      <c r="AJ35" s="244"/>
      <c r="AK35" s="244"/>
      <c r="AL35" s="244"/>
      <c r="AM35" s="244"/>
      <c r="AN35" s="244"/>
      <c r="AO35" s="244"/>
      <c r="AP35" s="244"/>
      <c r="AQ35" s="244"/>
      <c r="AR35" s="244"/>
      <c r="AS35" s="244"/>
      <c r="AT35" s="244"/>
      <c r="AU35" s="244"/>
      <c r="AV35" s="244"/>
    </row>
    <row r="36" ht="8.1" customHeight="1">
      <c r="F36" s="218"/>
      <c r="I36" s="218"/>
      <c r="L36" s="218"/>
      <c r="O36" s="218"/>
      <c r="R36" s="218"/>
      <c r="U36" s="218"/>
      <c r="X36" s="218"/>
      <c r="Z36" s="215"/>
      <c r="AA36" s="218"/>
      <c r="AC36" s="244"/>
      <c r="AD36" s="244"/>
      <c r="AE36" s="244"/>
      <c r="AF36" s="244"/>
      <c r="AG36" s="244"/>
      <c r="AH36" s="244"/>
      <c r="AI36" s="244"/>
      <c r="AJ36" s="244"/>
      <c r="AK36" s="244"/>
      <c r="AL36" s="244"/>
      <c r="AM36" s="244"/>
      <c r="AN36" s="244"/>
      <c r="AO36" s="244"/>
      <c r="AP36" s="244"/>
      <c r="AQ36" s="244"/>
      <c r="AR36" s="244"/>
      <c r="AS36" s="244"/>
      <c r="AT36" s="244"/>
      <c r="AU36" s="244"/>
      <c r="AV36" s="244"/>
    </row>
    <row r="37">
      <c r="B37" s="216" t="s">
        <v>24</v>
      </c>
      <c r="C37" s="216"/>
      <c r="D37" s="217" t="s">
        <v>32</v>
      </c>
      <c r="E37" s="598">
        <v>0</v>
      </c>
      <c r="F37" s="219">
        <v>-100</v>
      </c>
      <c r="G37" s="217"/>
      <c r="H37" s="598">
        <v>0</v>
      </c>
      <c r="I37" s="219">
        <v>-100</v>
      </c>
      <c r="J37" s="217"/>
      <c r="K37" s="598">
        <v>0</v>
      </c>
      <c r="L37" s="219">
        <v>-100</v>
      </c>
      <c r="M37" s="217"/>
      <c r="N37" s="598">
        <v>204.38461538461538461538461538</v>
      </c>
      <c r="O37" s="219">
        <v>-1.3315649867578146894722357900</v>
      </c>
      <c r="P37" s="217"/>
      <c r="Q37" s="598">
        <v>200.42857142857142857142857143</v>
      </c>
      <c r="R37" s="219">
        <v>-12.889376205456019635479957300</v>
      </c>
      <c r="S37" s="217"/>
      <c r="T37" s="598">
        <v>179</v>
      </c>
      <c r="U37" s="219">
        <v>-32.163660607769565453226722490</v>
      </c>
      <c r="V37" s="217"/>
      <c r="W37" s="598">
        <v>201.72727272727272727272727273</v>
      </c>
      <c r="X37" s="219">
        <v>-41.766172418319334308557451270</v>
      </c>
      <c r="Y37" s="217"/>
      <c r="Z37" s="599">
        <v>199</v>
      </c>
      <c r="AA37" s="219">
        <v>-19.254716321151021493746266610</v>
      </c>
      <c r="AC37" s="244"/>
      <c r="AD37" s="244"/>
      <c r="AE37" s="244"/>
      <c r="AF37" s="244"/>
      <c r="AG37" s="244"/>
      <c r="AH37" s="244"/>
      <c r="AI37" s="244"/>
      <c r="AJ37" s="244"/>
      <c r="AK37" s="244"/>
      <c r="AL37" s="244"/>
      <c r="AM37" s="244"/>
      <c r="AN37" s="244"/>
      <c r="AO37" s="244"/>
      <c r="AP37" s="244"/>
      <c r="AQ37" s="244"/>
      <c r="AR37" s="244"/>
      <c r="AS37" s="244"/>
      <c r="AT37" s="244"/>
      <c r="AU37" s="244"/>
      <c r="AV37" s="244"/>
    </row>
    <row r="38">
      <c r="D38" s="217" t="s">
        <v>26</v>
      </c>
      <c r="E38" s="598">
        <v>300.72727272727272727272727273</v>
      </c>
      <c r="F38" s="219">
        <v>31.321953156014291385470424770</v>
      </c>
      <c r="G38" s="217"/>
      <c r="H38" s="598">
        <v>200</v>
      </c>
      <c r="I38" s="219">
        <v>-12.663755458515283842794759830</v>
      </c>
      <c r="J38" s="217"/>
      <c r="K38" s="598">
        <v>200</v>
      </c>
      <c r="L38" s="219">
        <v>-12.663755458515283842794759830</v>
      </c>
      <c r="M38" s="217"/>
      <c r="N38" s="598">
        <v>200</v>
      </c>
      <c r="O38" s="219">
        <v>-12.663755458515283842794759830</v>
      </c>
      <c r="P38" s="217"/>
      <c r="Q38" s="598">
        <v>0</v>
      </c>
      <c r="R38" s="219">
        <v>0</v>
      </c>
      <c r="S38" s="217"/>
      <c r="T38" s="598">
        <v>0</v>
      </c>
      <c r="U38" s="219">
        <v>-100</v>
      </c>
      <c r="V38" s="217"/>
      <c r="W38" s="598">
        <v>0</v>
      </c>
      <c r="X38" s="219">
        <v>-100</v>
      </c>
      <c r="Y38" s="217"/>
      <c r="Z38" s="599">
        <v>234.625</v>
      </c>
      <c r="AA38" s="219">
        <v>-1.6384851872417046513676972800</v>
      </c>
      <c r="AC38" s="244"/>
      <c r="AD38" s="244"/>
      <c r="AE38" s="244"/>
      <c r="AF38" s="244"/>
      <c r="AG38" s="244"/>
      <c r="AH38" s="244"/>
      <c r="AI38" s="244"/>
      <c r="AJ38" s="244"/>
      <c r="AK38" s="244"/>
      <c r="AL38" s="244"/>
      <c r="AM38" s="244"/>
      <c r="AN38" s="244"/>
      <c r="AO38" s="244"/>
      <c r="AP38" s="244"/>
      <c r="AQ38" s="244"/>
      <c r="AR38" s="244"/>
      <c r="AS38" s="244"/>
      <c r="AT38" s="244"/>
      <c r="AU38" s="244"/>
      <c r="AV38" s="244"/>
    </row>
    <row r="39">
      <c r="D39" t="s">
        <v>22</v>
      </c>
      <c r="E39" s="223">
        <v>0</v>
      </c>
      <c r="F39" s="218">
        <v>-100</v>
      </c>
      <c r="H39" s="223">
        <v>0</v>
      </c>
      <c r="I39" s="218">
        <v>-100</v>
      </c>
      <c r="K39" s="223">
        <v>0</v>
      </c>
      <c r="L39" s="218">
        <v>-100</v>
      </c>
      <c r="N39" s="223">
        <v>102.1923076923077</v>
      </c>
      <c r="O39" s="218">
        <v>12.9753580901258</v>
      </c>
      <c r="Q39" s="223">
        <v>0</v>
      </c>
      <c r="R39" s="218">
        <v>0</v>
      </c>
      <c r="T39" s="223">
        <v>0</v>
      </c>
      <c r="U39" s="218">
        <v>-100</v>
      </c>
      <c r="W39" s="223">
        <v>0</v>
      </c>
      <c r="X39" s="218">
        <v>-100</v>
      </c>
      <c r="Z39" s="224">
        <v>84.8161960575386</v>
      </c>
      <c r="AA39" s="218">
        <v>-17.9096785642882</v>
      </c>
      <c r="AC39" s="244"/>
      <c r="AD39" s="244"/>
      <c r="AE39" s="244"/>
      <c r="AF39" s="244"/>
      <c r="AG39" s="244"/>
      <c r="AH39" s="244"/>
      <c r="AI39" s="244"/>
      <c r="AJ39" s="244"/>
      <c r="AK39" s="244"/>
      <c r="AL39" s="244"/>
      <c r="AM39" s="244"/>
      <c r="AN39" s="244"/>
      <c r="AO39" s="244"/>
      <c r="AP39" s="244"/>
      <c r="AQ39" s="244"/>
      <c r="AR39" s="244"/>
      <c r="AS39" s="244"/>
      <c r="AT39" s="244"/>
      <c r="AU39" s="244"/>
      <c r="AV39" s="244"/>
    </row>
    <row r="40">
      <c r="D40" t="s">
        <v>55</v>
      </c>
      <c r="E40" s="231" t="s">
        <v>174</v>
      </c>
      <c r="F40" s="232"/>
      <c r="G40" s="176"/>
      <c r="H40" s="231" t="s">
        <v>174</v>
      </c>
      <c r="I40" s="232"/>
      <c r="J40" s="176"/>
      <c r="K40" s="231" t="s">
        <v>174</v>
      </c>
      <c r="L40" s="232"/>
      <c r="M40" s="176"/>
      <c r="N40" s="231" t="s">
        <v>171</v>
      </c>
      <c r="O40" s="232" t="s">
        <v>173</v>
      </c>
      <c r="P40" s="176"/>
      <c r="Q40" s="231" t="s">
        <v>171</v>
      </c>
      <c r="R40" s="232" t="s">
        <v>175</v>
      </c>
      <c r="S40" s="176"/>
      <c r="T40" s="231" t="s">
        <v>171</v>
      </c>
      <c r="U40" s="232" t="s">
        <v>173</v>
      </c>
      <c r="V40" s="176"/>
      <c r="W40" s="231" t="s">
        <v>171</v>
      </c>
      <c r="X40" s="232" t="s">
        <v>173</v>
      </c>
      <c r="Y40" s="176"/>
      <c r="Z40" s="233" t="s">
        <v>172</v>
      </c>
      <c r="AA40" s="232" t="s">
        <v>175</v>
      </c>
      <c r="AC40" s="244"/>
      <c r="AD40" s="244"/>
      <c r="AE40" s="244"/>
      <c r="AF40" s="244"/>
      <c r="AG40" s="244"/>
      <c r="AH40" s="244"/>
      <c r="AI40" s="244"/>
      <c r="AJ40" s="244"/>
      <c r="AK40" s="244"/>
      <c r="AL40" s="244"/>
      <c r="AM40" s="244"/>
      <c r="AN40" s="244"/>
      <c r="AO40" s="244"/>
      <c r="AP40" s="244"/>
      <c r="AQ40" s="244"/>
      <c r="AR40" s="244"/>
      <c r="AS40" s="244"/>
      <c r="AT40" s="244"/>
      <c r="AU40" s="244"/>
      <c r="AV40" s="244"/>
    </row>
    <row r="41" ht="8.1" customHeight="1">
      <c r="F41" s="218"/>
      <c r="I41" s="218"/>
      <c r="L41" s="218"/>
      <c r="O41" s="218"/>
      <c r="R41" s="218"/>
      <c r="U41" s="218"/>
      <c r="X41" s="218"/>
      <c r="Z41" s="215"/>
      <c r="AA41" s="218"/>
      <c r="AC41" s="244"/>
      <c r="AD41" s="244"/>
      <c r="AE41" s="244"/>
      <c r="AF41" s="244"/>
      <c r="AG41" s="244"/>
      <c r="AH41" s="244"/>
      <c r="AI41" s="244"/>
      <c r="AJ41" s="244"/>
      <c r="AK41" s="244"/>
      <c r="AL41" s="244"/>
      <c r="AM41" s="244"/>
      <c r="AN41" s="244"/>
      <c r="AO41" s="244"/>
      <c r="AP41" s="244"/>
      <c r="AQ41" s="244"/>
      <c r="AR41" s="244"/>
      <c r="AS41" s="244"/>
      <c r="AT41" s="244"/>
      <c r="AU41" s="244"/>
      <c r="AV41" s="244"/>
    </row>
    <row r="42">
      <c r="B42" s="216" t="s">
        <v>25</v>
      </c>
      <c r="C42" s="216"/>
      <c r="D42" s="217" t="s">
        <v>32</v>
      </c>
      <c r="E42" s="598">
        <v>0</v>
      </c>
      <c r="F42" s="219">
        <v>0</v>
      </c>
      <c r="G42" s="217"/>
      <c r="H42" s="598">
        <v>0</v>
      </c>
      <c r="I42" s="219">
        <v>0</v>
      </c>
      <c r="J42" s="217"/>
      <c r="K42" s="598">
        <v>0</v>
      </c>
      <c r="L42" s="219">
        <v>0</v>
      </c>
      <c r="M42" s="217"/>
      <c r="N42" s="598">
        <v>0</v>
      </c>
      <c r="O42" s="219">
        <v>0</v>
      </c>
      <c r="P42" s="217"/>
      <c r="Q42" s="598">
        <v>0</v>
      </c>
      <c r="R42" s="219">
        <v>0</v>
      </c>
      <c r="S42" s="217"/>
      <c r="T42" s="598">
        <v>0</v>
      </c>
      <c r="U42" s="219">
        <v>0</v>
      </c>
      <c r="V42" s="217"/>
      <c r="W42" s="598">
        <v>0</v>
      </c>
      <c r="X42" s="219">
        <v>0</v>
      </c>
      <c r="Y42" s="217"/>
      <c r="Z42" s="599">
        <v>0</v>
      </c>
      <c r="AA42" s="219">
        <v>0</v>
      </c>
      <c r="AC42" s="244"/>
      <c r="AD42" s="244"/>
      <c r="AE42" s="244"/>
      <c r="AF42" s="244"/>
      <c r="AG42" s="244"/>
      <c r="AH42" s="244"/>
      <c r="AI42" s="244"/>
      <c r="AJ42" s="244"/>
      <c r="AK42" s="244"/>
      <c r="AL42" s="244"/>
      <c r="AM42" s="244"/>
      <c r="AN42" s="244"/>
      <c r="AO42" s="244"/>
      <c r="AP42" s="244"/>
      <c r="AQ42" s="244"/>
      <c r="AR42" s="244"/>
      <c r="AS42" s="244"/>
      <c r="AT42" s="244"/>
      <c r="AU42" s="244"/>
      <c r="AV42" s="244"/>
    </row>
    <row r="43">
      <c r="D43" s="217" t="s">
        <v>26</v>
      </c>
      <c r="E43" s="598">
        <v>0</v>
      </c>
      <c r="F43" s="219">
        <v>0</v>
      </c>
      <c r="G43" s="217"/>
      <c r="H43" s="598">
        <v>0</v>
      </c>
      <c r="I43" s="219">
        <v>0</v>
      </c>
      <c r="J43" s="217"/>
      <c r="K43" s="598">
        <v>0</v>
      </c>
      <c r="L43" s="219">
        <v>0</v>
      </c>
      <c r="M43" s="217"/>
      <c r="N43" s="598">
        <v>0</v>
      </c>
      <c r="O43" s="219">
        <v>0</v>
      </c>
      <c r="P43" s="217"/>
      <c r="Q43" s="598">
        <v>0</v>
      </c>
      <c r="R43" s="219">
        <v>0</v>
      </c>
      <c r="S43" s="217"/>
      <c r="T43" s="598">
        <v>0</v>
      </c>
      <c r="U43" s="219">
        <v>0</v>
      </c>
      <c r="V43" s="217"/>
      <c r="W43" s="598">
        <v>0</v>
      </c>
      <c r="X43" s="219">
        <v>0</v>
      </c>
      <c r="Y43" s="217"/>
      <c r="Z43" s="599">
        <v>0</v>
      </c>
      <c r="AA43" s="219">
        <v>0</v>
      </c>
      <c r="AC43" s="244"/>
      <c r="AD43" s="244"/>
      <c r="AE43" s="244"/>
      <c r="AF43" s="244"/>
      <c r="AG43" s="244"/>
      <c r="AH43" s="244"/>
      <c r="AI43" s="244"/>
      <c r="AJ43" s="244"/>
      <c r="AK43" s="244"/>
      <c r="AL43" s="244"/>
      <c r="AM43" s="244"/>
      <c r="AN43" s="244"/>
      <c r="AO43" s="244"/>
      <c r="AP43" s="244"/>
      <c r="AQ43" s="244"/>
      <c r="AR43" s="244"/>
      <c r="AS43" s="244"/>
      <c r="AT43" s="244"/>
      <c r="AU43" s="244"/>
      <c r="AV43" s="244"/>
    </row>
    <row r="44">
      <c r="D44" t="s">
        <v>22</v>
      </c>
      <c r="E44" s="223">
        <v>0</v>
      </c>
      <c r="F44" s="218">
        <v>0</v>
      </c>
      <c r="H44" s="223">
        <v>0</v>
      </c>
      <c r="I44" s="218">
        <v>0</v>
      </c>
      <c r="K44" s="223">
        <v>0</v>
      </c>
      <c r="L44" s="218">
        <v>0</v>
      </c>
      <c r="N44" s="223">
        <v>0</v>
      </c>
      <c r="O44" s="218">
        <v>0</v>
      </c>
      <c r="Q44" s="223">
        <v>0</v>
      </c>
      <c r="R44" s="218">
        <v>0</v>
      </c>
      <c r="T44" s="223">
        <v>0</v>
      </c>
      <c r="U44" s="218">
        <v>0</v>
      </c>
      <c r="W44" s="223">
        <v>0</v>
      </c>
      <c r="X44" s="218">
        <v>0</v>
      </c>
      <c r="Z44" s="224">
        <v>0</v>
      </c>
      <c r="AA44" s="218">
        <v>0</v>
      </c>
      <c r="AC44" s="244"/>
      <c r="AD44" s="244"/>
      <c r="AE44" s="244"/>
      <c r="AF44" s="244"/>
      <c r="AG44" s="244"/>
      <c r="AH44" s="244"/>
      <c r="AI44" s="244"/>
      <c r="AJ44" s="244"/>
      <c r="AK44" s="244"/>
      <c r="AL44" s="244"/>
      <c r="AM44" s="244"/>
      <c r="AN44" s="244"/>
      <c r="AO44" s="244"/>
      <c r="AP44" s="244"/>
      <c r="AQ44" s="244"/>
      <c r="AR44" s="244"/>
      <c r="AS44" s="244"/>
      <c r="AT44" s="244"/>
      <c r="AU44" s="244"/>
      <c r="AV44" s="244"/>
    </row>
    <row r="45">
      <c r="D45" t="s">
        <v>55</v>
      </c>
      <c r="E45" s="231" t="s">
        <v>174</v>
      </c>
      <c r="F45" s="232"/>
      <c r="G45" s="176"/>
      <c r="H45" s="231" t="s">
        <v>174</v>
      </c>
      <c r="I45" s="232"/>
      <c r="J45" s="176"/>
      <c r="K45" s="231" t="s">
        <v>174</v>
      </c>
      <c r="L45" s="232"/>
      <c r="M45" s="176"/>
      <c r="N45" s="231" t="s">
        <v>174</v>
      </c>
      <c r="O45" s="232"/>
      <c r="P45" s="176"/>
      <c r="Q45" s="231" t="s">
        <v>174</v>
      </c>
      <c r="R45" s="232"/>
      <c r="S45" s="176"/>
      <c r="T45" s="231" t="s">
        <v>174</v>
      </c>
      <c r="U45" s="232"/>
      <c r="V45" s="176"/>
      <c r="W45" s="231" t="s">
        <v>174</v>
      </c>
      <c r="X45" s="232"/>
      <c r="Y45" s="176"/>
      <c r="Z45" s="233" t="s">
        <v>174</v>
      </c>
      <c r="AA45" s="232"/>
      <c r="AC45" s="244"/>
      <c r="AD45" s="244"/>
      <c r="AE45" s="244"/>
      <c r="AF45" s="244"/>
      <c r="AG45" s="244"/>
      <c r="AH45" s="244"/>
      <c r="AI45" s="244"/>
      <c r="AJ45" s="244"/>
      <c r="AK45" s="244"/>
      <c r="AL45" s="244"/>
      <c r="AM45" s="244"/>
      <c r="AN45" s="244"/>
      <c r="AO45" s="244"/>
      <c r="AP45" s="244"/>
      <c r="AQ45" s="244"/>
      <c r="AR45" s="244"/>
      <c r="AS45" s="244"/>
      <c r="AT45" s="244"/>
      <c r="AU45" s="244"/>
      <c r="AV45" s="244"/>
    </row>
    <row r="46" ht="15">
      <c r="B46" s="612"/>
      <c r="C46" s="612"/>
      <c r="D46" s="612"/>
      <c r="E46" s="612"/>
      <c r="F46" s="612"/>
      <c r="G46" s="612"/>
      <c r="H46" s="612"/>
      <c r="I46" s="612"/>
      <c r="J46" s="612"/>
      <c r="K46" s="612"/>
      <c r="L46" s="612"/>
      <c r="M46" s="612"/>
      <c r="N46" s="612"/>
      <c r="O46" s="612"/>
      <c r="P46" s="612"/>
      <c r="Q46" s="612"/>
      <c r="R46" s="612"/>
      <c r="S46" s="612"/>
      <c r="T46" s="612"/>
      <c r="U46" s="612"/>
      <c r="V46" s="612"/>
      <c r="W46" s="612"/>
      <c r="X46" s="612"/>
      <c r="Y46" s="612"/>
      <c r="Z46" s="612"/>
      <c r="AA46" s="612"/>
      <c r="AC46" s="244"/>
      <c r="AD46" s="244"/>
      <c r="AE46" s="244"/>
      <c r="AF46" s="244"/>
      <c r="AG46" s="244"/>
      <c r="AH46" s="244"/>
      <c r="AI46" s="244"/>
      <c r="AJ46" s="244"/>
      <c r="AK46" s="244"/>
      <c r="AL46" s="244"/>
      <c r="AM46" s="244"/>
      <c r="AN46" s="244"/>
      <c r="AO46" s="244"/>
      <c r="AP46" s="244"/>
      <c r="AQ46" s="244"/>
      <c r="AR46" s="244"/>
      <c r="AS46" s="244"/>
      <c r="AT46" s="244"/>
      <c r="AU46" s="244"/>
      <c r="AV46" s="244"/>
    </row>
    <row r="47" ht="18">
      <c r="B47" s="220" t="s">
        <v>13</v>
      </c>
      <c r="C47" s="57"/>
      <c r="E47" s="648" t="s">
        <v>40</v>
      </c>
      <c r="F47" s="648"/>
      <c r="H47" s="648" t="s">
        <v>39</v>
      </c>
      <c r="I47" s="648"/>
      <c r="K47" s="648" t="s">
        <v>41</v>
      </c>
      <c r="L47" s="648"/>
      <c r="N47" s="648" t="s">
        <v>42</v>
      </c>
      <c r="O47" s="648"/>
      <c r="Q47" s="648" t="s">
        <v>43</v>
      </c>
      <c r="R47" s="648"/>
      <c r="T47" s="648" t="s">
        <v>44</v>
      </c>
      <c r="U47" s="648"/>
      <c r="W47" s="648" t="s">
        <v>45</v>
      </c>
      <c r="X47" s="648"/>
      <c r="Z47" s="649" t="s">
        <v>23</v>
      </c>
      <c r="AA47" s="649"/>
      <c r="AC47" s="244"/>
      <c r="AD47" s="244"/>
      <c r="AE47" s="244"/>
      <c r="AF47" s="244"/>
      <c r="AG47" s="244"/>
      <c r="AH47" s="244"/>
      <c r="AI47" s="244"/>
      <c r="AJ47" s="244"/>
      <c r="AK47" s="244"/>
      <c r="AL47" s="244"/>
      <c r="AM47" s="244"/>
      <c r="AN47" s="244"/>
      <c r="AO47" s="244"/>
      <c r="AP47" s="244"/>
      <c r="AQ47" s="244"/>
      <c r="AR47" s="244"/>
      <c r="AS47" s="244"/>
      <c r="AT47" s="244"/>
      <c r="AU47" s="244"/>
      <c r="AV47" s="244"/>
    </row>
    <row r="48">
      <c r="E48" s="176"/>
      <c r="F48" s="176" t="s">
        <v>57</v>
      </c>
      <c r="G48" s="176"/>
      <c r="H48" s="176"/>
      <c r="I48" s="176" t="s">
        <v>57</v>
      </c>
      <c r="J48" s="176"/>
      <c r="K48" s="176"/>
      <c r="L48" s="176" t="s">
        <v>57</v>
      </c>
      <c r="M48" s="176"/>
      <c r="N48" s="176"/>
      <c r="O48" s="176" t="s">
        <v>57</v>
      </c>
      <c r="P48" s="176"/>
      <c r="Q48" s="176"/>
      <c r="R48" s="176" t="s">
        <v>57</v>
      </c>
      <c r="S48" s="176"/>
      <c r="T48" s="176"/>
      <c r="U48" s="176" t="s">
        <v>57</v>
      </c>
      <c r="V48" s="176"/>
      <c r="W48" s="176"/>
      <c r="X48" s="176" t="s">
        <v>57</v>
      </c>
      <c r="Y48" s="176"/>
      <c r="Z48" s="226"/>
      <c r="AA48" s="176" t="s">
        <v>57</v>
      </c>
      <c r="AC48" s="244"/>
      <c r="AD48" s="244"/>
      <c r="AE48" s="244"/>
      <c r="AF48" s="244"/>
      <c r="AG48" s="244"/>
      <c r="AH48" s="244"/>
      <c r="AI48" s="244"/>
      <c r="AJ48" s="244"/>
      <c r="AK48" s="244"/>
      <c r="AL48" s="244"/>
      <c r="AM48" s="244"/>
      <c r="AN48" s="244"/>
      <c r="AO48" s="244"/>
      <c r="AP48" s="244"/>
      <c r="AQ48" s="244"/>
      <c r="AR48" s="244"/>
      <c r="AS48" s="244"/>
      <c r="AT48" s="244"/>
      <c r="AU48" s="244"/>
      <c r="AV48" s="244"/>
    </row>
    <row r="49">
      <c r="B49" s="216" t="s">
        <v>23</v>
      </c>
      <c r="C49" s="216"/>
      <c r="D49" s="217" t="s">
        <v>32</v>
      </c>
      <c r="E49" s="598">
        <v>123.77840909090909090909090909</v>
      </c>
      <c r="F49" s="219">
        <v>7.989094514221598317992250800</v>
      </c>
      <c r="G49" s="217"/>
      <c r="H49" s="598">
        <v>108.19318181818181818181818182</v>
      </c>
      <c r="I49" s="219">
        <v>19.265940122772818834034600810</v>
      </c>
      <c r="J49" s="217"/>
      <c r="K49" s="598">
        <v>105.05113636363636363636363636</v>
      </c>
      <c r="L49" s="219">
        <v>20.232805150334570588873064190</v>
      </c>
      <c r="M49" s="217"/>
      <c r="N49" s="598">
        <v>113.53598484848484848484848485</v>
      </c>
      <c r="O49" s="219">
        <v>28.440425942241993261555577300</v>
      </c>
      <c r="P49" s="217"/>
      <c r="Q49" s="598">
        <v>134.562500000</v>
      </c>
      <c r="R49" s="219">
        <v>1.1719306239761982690742253900</v>
      </c>
      <c r="S49" s="217"/>
      <c r="T49" s="598">
        <v>195.73484848484848484848484848</v>
      </c>
      <c r="U49" s="219">
        <v>2.9167786972584869397225624600</v>
      </c>
      <c r="V49" s="217"/>
      <c r="W49" s="598">
        <v>201.76325757575757575757575758</v>
      </c>
      <c r="X49" s="219">
        <v>-0.3954971296101009257174602900</v>
      </c>
      <c r="Y49" s="217"/>
      <c r="Z49" s="599">
        <v>140.37418831168831168831168831</v>
      </c>
      <c r="AA49" s="219">
        <v>8.353817590197181343370087890</v>
      </c>
      <c r="AC49" s="244"/>
      <c r="AD49" s="244"/>
      <c r="AE49" s="244"/>
      <c r="AF49" s="244"/>
      <c r="AG49" s="244"/>
      <c r="AH49" s="244"/>
      <c r="AI49" s="244"/>
      <c r="AJ49" s="244"/>
      <c r="AK49" s="244"/>
      <c r="AL49" s="244"/>
      <c r="AM49" s="244"/>
      <c r="AN49" s="244"/>
      <c r="AO49" s="244"/>
      <c r="AP49" s="244"/>
      <c r="AQ49" s="244"/>
      <c r="AR49" s="244"/>
      <c r="AS49" s="244"/>
      <c r="AT49" s="244"/>
      <c r="AU49" s="244"/>
      <c r="AV49" s="244"/>
    </row>
    <row r="50">
      <c r="D50" s="217" t="s">
        <v>26</v>
      </c>
      <c r="E50" s="598">
        <v>137.9876453488372093023255814</v>
      </c>
      <c r="F50" s="219">
        <v>-3.6080171389901913233306156400</v>
      </c>
      <c r="G50" s="217"/>
      <c r="H50" s="598">
        <v>114.9251453488372093023255814</v>
      </c>
      <c r="I50" s="219">
        <v>-9.763362568265740764288944450</v>
      </c>
      <c r="J50" s="217"/>
      <c r="K50" s="598">
        <v>114.09302325581395348837209302</v>
      </c>
      <c r="L50" s="219">
        <v>-5.7308930200951752139955173800</v>
      </c>
      <c r="M50" s="217"/>
      <c r="N50" s="598">
        <v>118.07848837209302325581395349</v>
      </c>
      <c r="O50" s="219">
        <v>-5.5322662232132770654921310300</v>
      </c>
      <c r="P50" s="217"/>
      <c r="Q50" s="598">
        <v>160.28125000000000000000000</v>
      </c>
      <c r="R50" s="219">
        <v>-4.0403249315647237275646755900</v>
      </c>
      <c r="S50" s="217"/>
      <c r="T50" s="598">
        <v>218.90116279069767441860465116</v>
      </c>
      <c r="U50" s="219">
        <v>2.5385445496590329571430806600</v>
      </c>
      <c r="V50" s="217"/>
      <c r="W50" s="598">
        <v>218.98183139534883720930232558</v>
      </c>
      <c r="X50" s="219">
        <v>4.5451548995926266360876203100</v>
      </c>
      <c r="Y50" s="217"/>
      <c r="Z50" s="599">
        <v>154.74979235880398671096345515</v>
      </c>
      <c r="AA50" s="219">
        <v>-2.1020587105186574749401323400</v>
      </c>
      <c r="AC50" s="244"/>
      <c r="AD50" s="244"/>
      <c r="AE50" s="244"/>
      <c r="AF50" s="244"/>
      <c r="AG50" s="244"/>
      <c r="AH50" s="244"/>
      <c r="AI50" s="244"/>
      <c r="AJ50" s="244"/>
      <c r="AK50" s="244"/>
      <c r="AL50" s="244"/>
      <c r="AM50" s="244"/>
      <c r="AN50" s="244"/>
      <c r="AO50" s="244"/>
      <c r="AP50" s="244"/>
      <c r="AQ50" s="244"/>
      <c r="AR50" s="244"/>
      <c r="AS50" s="244"/>
      <c r="AT50" s="244"/>
      <c r="AU50" s="244"/>
      <c r="AV50" s="244"/>
    </row>
    <row r="51">
      <c r="D51" t="s">
        <v>93</v>
      </c>
      <c r="E51" s="223">
        <v>89.7025300910286</v>
      </c>
      <c r="F51" s="218">
        <v>12.0311993891727</v>
      </c>
      <c r="H51" s="223">
        <v>94.1423058372591</v>
      </c>
      <c r="I51" s="218">
        <v>32.1701955184212</v>
      </c>
      <c r="K51" s="223">
        <v>92.0749870288813</v>
      </c>
      <c r="L51" s="218">
        <v>27.5421068494851</v>
      </c>
      <c r="N51" s="223">
        <v>96.1529796102230</v>
      </c>
      <c r="O51" s="218">
        <v>35.9622177935248</v>
      </c>
      <c r="Q51" s="223">
        <v>83.9539871319945</v>
      </c>
      <c r="R51" s="218">
        <v>5.4317144694619</v>
      </c>
      <c r="T51" s="223">
        <v>89.4169980595298</v>
      </c>
      <c r="U51" s="218">
        <v>0.3688702129143</v>
      </c>
      <c r="W51" s="223">
        <v>92.1369851965207</v>
      </c>
      <c r="X51" s="218">
        <v>-4.7258546165565</v>
      </c>
      <c r="Z51" s="224">
        <v>90.7104211075252</v>
      </c>
      <c r="AA51" s="218">
        <v>10.6803842480791</v>
      </c>
      <c r="AC51" s="244"/>
      <c r="AD51" s="244"/>
      <c r="AE51" s="244"/>
      <c r="AF51" s="244"/>
      <c r="AG51" s="244"/>
      <c r="AH51" s="244"/>
      <c r="AI51" s="244"/>
      <c r="AJ51" s="244"/>
      <c r="AK51" s="244"/>
      <c r="AL51" s="244"/>
      <c r="AM51" s="244"/>
      <c r="AN51" s="244"/>
      <c r="AO51" s="244"/>
      <c r="AP51" s="244"/>
      <c r="AQ51" s="244"/>
      <c r="AR51" s="244"/>
      <c r="AS51" s="244"/>
      <c r="AT51" s="244"/>
      <c r="AU51" s="244"/>
      <c r="AV51" s="244"/>
    </row>
    <row r="52">
      <c r="D52" s="214" t="s">
        <v>55</v>
      </c>
      <c r="E52" s="227" t="s">
        <v>172</v>
      </c>
      <c r="F52" s="228" t="s">
        <v>170</v>
      </c>
      <c r="G52" s="229"/>
      <c r="H52" s="227" t="s">
        <v>172</v>
      </c>
      <c r="I52" s="228" t="s">
        <v>171</v>
      </c>
      <c r="J52" s="229"/>
      <c r="K52" s="227" t="s">
        <v>172</v>
      </c>
      <c r="L52" s="228" t="s">
        <v>171</v>
      </c>
      <c r="M52" s="229"/>
      <c r="N52" s="227" t="s">
        <v>172</v>
      </c>
      <c r="O52" s="228" t="s">
        <v>171</v>
      </c>
      <c r="P52" s="229"/>
      <c r="Q52" s="227" t="s">
        <v>170</v>
      </c>
      <c r="R52" s="228" t="s">
        <v>170</v>
      </c>
      <c r="S52" s="229"/>
      <c r="T52" s="227" t="s">
        <v>170</v>
      </c>
      <c r="U52" s="228" t="s">
        <v>172</v>
      </c>
      <c r="V52" s="229"/>
      <c r="W52" s="227" t="s">
        <v>170</v>
      </c>
      <c r="X52" s="228" t="s">
        <v>172</v>
      </c>
      <c r="Y52" s="229"/>
      <c r="Z52" s="230" t="s">
        <v>170</v>
      </c>
      <c r="AA52" s="228" t="s">
        <v>171</v>
      </c>
      <c r="AC52" s="244"/>
      <c r="AD52" s="244"/>
      <c r="AE52" s="244"/>
      <c r="AF52" s="244"/>
      <c r="AG52" s="244"/>
      <c r="AH52" s="244"/>
      <c r="AI52" s="244"/>
      <c r="AJ52" s="244"/>
      <c r="AK52" s="244"/>
      <c r="AL52" s="244"/>
      <c r="AM52" s="244"/>
      <c r="AN52" s="244"/>
      <c r="AO52" s="244"/>
      <c r="AP52" s="244"/>
      <c r="AQ52" s="244"/>
      <c r="AR52" s="244"/>
      <c r="AS52" s="244"/>
      <c r="AT52" s="244"/>
      <c r="AU52" s="244"/>
      <c r="AV52" s="244"/>
    </row>
    <row r="53" ht="8.1" customHeight="1">
      <c r="F53" s="218"/>
      <c r="I53" s="218"/>
      <c r="L53" s="218"/>
      <c r="O53" s="218"/>
      <c r="R53" s="218"/>
      <c r="U53" s="218"/>
      <c r="X53" s="218"/>
      <c r="Z53" s="215"/>
      <c r="AA53" s="218"/>
      <c r="AC53" s="244"/>
      <c r="AD53" s="244"/>
      <c r="AE53" s="244"/>
      <c r="AF53" s="244"/>
      <c r="AG53" s="244"/>
      <c r="AH53" s="244"/>
      <c r="AI53" s="244"/>
      <c r="AJ53" s="244"/>
      <c r="AK53" s="244"/>
      <c r="AL53" s="244"/>
      <c r="AM53" s="244"/>
      <c r="AN53" s="244"/>
      <c r="AO53" s="244"/>
      <c r="AP53" s="244"/>
      <c r="AQ53" s="244"/>
      <c r="AR53" s="244"/>
      <c r="AS53" s="244"/>
      <c r="AT53" s="244"/>
      <c r="AU53" s="244"/>
      <c r="AV53" s="244"/>
    </row>
    <row r="54">
      <c r="B54" s="216" t="s">
        <v>21</v>
      </c>
      <c r="C54" s="216"/>
      <c r="D54" s="217" t="s">
        <v>32</v>
      </c>
      <c r="E54" s="598">
        <v>123.77840909090909090909090909</v>
      </c>
      <c r="F54" s="219">
        <v>14.903829248550947103730996030</v>
      </c>
      <c r="G54" s="217"/>
      <c r="H54" s="598">
        <v>108.19318181818181818181818182</v>
      </c>
      <c r="I54" s="219">
        <v>26.505303718170313780845572280</v>
      </c>
      <c r="J54" s="217"/>
      <c r="K54" s="598">
        <v>105.05113636363636363636363636</v>
      </c>
      <c r="L54" s="219">
        <v>26.732469668998139677657960450</v>
      </c>
      <c r="M54" s="217"/>
      <c r="N54" s="598">
        <v>108.50378787878787878787878788</v>
      </c>
      <c r="O54" s="219">
        <v>26.683324856852018955805602080</v>
      </c>
      <c r="P54" s="217"/>
      <c r="Q54" s="598">
        <v>129.24810606060606060606060606</v>
      </c>
      <c r="R54" s="219">
        <v>14.864000538639568464413862680</v>
      </c>
      <c r="S54" s="217"/>
      <c r="T54" s="598">
        <v>193.70075757575757575757575758</v>
      </c>
      <c r="U54" s="219">
        <v>18.688638737348745207059108600</v>
      </c>
      <c r="V54" s="217"/>
      <c r="W54" s="598">
        <v>197.56060606060606060606060606</v>
      </c>
      <c r="X54" s="219">
        <v>5.0124329276171250303916611400</v>
      </c>
      <c r="Y54" s="217"/>
      <c r="Z54" s="599">
        <v>138.00514069264069264069264069</v>
      </c>
      <c r="AA54" s="219">
        <v>17.003945497120680136511529230</v>
      </c>
      <c r="AC54" s="244"/>
      <c r="AD54" s="244"/>
      <c r="AE54" s="244"/>
      <c r="AF54" s="244"/>
      <c r="AG54" s="244"/>
      <c r="AH54" s="244"/>
      <c r="AI54" s="244"/>
      <c r="AJ54" s="244"/>
      <c r="AK54" s="244"/>
      <c r="AL54" s="244"/>
      <c r="AM54" s="244"/>
      <c r="AN54" s="244"/>
      <c r="AO54" s="244"/>
      <c r="AP54" s="244"/>
      <c r="AQ54" s="244"/>
      <c r="AR54" s="244"/>
      <c r="AS54" s="244"/>
      <c r="AT54" s="244"/>
      <c r="AU54" s="244"/>
      <c r="AV54" s="244"/>
    </row>
    <row r="55">
      <c r="D55" s="217" t="s">
        <v>26</v>
      </c>
      <c r="E55" s="598">
        <v>135.58357558139534883720930233</v>
      </c>
      <c r="F55" s="219">
        <v>-1.7463753232139492645915405600</v>
      </c>
      <c r="G55" s="217"/>
      <c r="H55" s="598">
        <v>113.47165697674418604651162791</v>
      </c>
      <c r="I55" s="219">
        <v>-7.395347733801490029836026200</v>
      </c>
      <c r="J55" s="217"/>
      <c r="K55" s="598">
        <v>112.63953488372093023255813953</v>
      </c>
      <c r="L55" s="219">
        <v>-3.2050161125031305754153034600</v>
      </c>
      <c r="M55" s="217"/>
      <c r="N55" s="598">
        <v>117.93313953488372093023255814</v>
      </c>
      <c r="O55" s="219">
        <v>-5.5227582352166314751643217900</v>
      </c>
      <c r="P55" s="217"/>
      <c r="Q55" s="598">
        <v>160.28125</v>
      </c>
      <c r="R55" s="219">
        <v>-4.0403249315647237275646755900</v>
      </c>
      <c r="S55" s="217"/>
      <c r="T55" s="598">
        <v>218.90116279069767441860465116</v>
      </c>
      <c r="U55" s="219">
        <v>3.5474012423903294322307493800</v>
      </c>
      <c r="V55" s="217"/>
      <c r="W55" s="598">
        <v>218.98183139534883720930232558</v>
      </c>
      <c r="X55" s="219">
        <v>6.5341290774344645773569248200</v>
      </c>
      <c r="Y55" s="217"/>
      <c r="Z55" s="599">
        <v>153.97030730897009966777408638</v>
      </c>
      <c r="AA55" s="219">
        <v>-0.728882391512051380330916400</v>
      </c>
      <c r="AC55" s="244"/>
      <c r="AD55" s="244"/>
      <c r="AE55" s="244"/>
      <c r="AF55" s="244"/>
      <c r="AG55" s="244"/>
      <c r="AH55" s="244"/>
      <c r="AI55" s="244"/>
      <c r="AJ55" s="244"/>
      <c r="AK55" s="244"/>
      <c r="AL55" s="244"/>
      <c r="AM55" s="244"/>
      <c r="AN55" s="244"/>
      <c r="AO55" s="244"/>
      <c r="AP55" s="244"/>
      <c r="AQ55" s="244"/>
      <c r="AR55" s="244"/>
      <c r="AS55" s="244"/>
      <c r="AT55" s="244"/>
      <c r="AU55" s="244"/>
      <c r="AV55" s="244"/>
    </row>
    <row r="56">
      <c r="D56" t="s">
        <v>22</v>
      </c>
      <c r="E56" s="223">
        <v>91.2930703886007</v>
      </c>
      <c r="F56" s="218">
        <v>16.9461479172043</v>
      </c>
      <c r="H56" s="223">
        <v>95.3481994542460</v>
      </c>
      <c r="I56" s="218">
        <v>36.6079355867824</v>
      </c>
      <c r="K56" s="223">
        <v>93.2631127002623</v>
      </c>
      <c r="L56" s="218">
        <v>30.9287574408555</v>
      </c>
      <c r="N56" s="223">
        <v>92.0044936535233</v>
      </c>
      <c r="O56" s="218">
        <v>34.0887207229653</v>
      </c>
      <c r="Q56" s="223">
        <v>80.6383192423356</v>
      </c>
      <c r="R56" s="218">
        <v>19.7002808279971</v>
      </c>
      <c r="T56" s="223">
        <v>88.4877700539958</v>
      </c>
      <c r="U56" s="218">
        <v>14.6225181060064</v>
      </c>
      <c r="W56" s="223">
        <v>90.2178070216132</v>
      </c>
      <c r="X56" s="218">
        <v>-1.4283649408403</v>
      </c>
      <c r="Z56" s="224">
        <v>89.6310094489068</v>
      </c>
      <c r="AA56" s="218">
        <v>17.8630283569364</v>
      </c>
      <c r="AC56" s="244"/>
      <c r="AD56" s="244"/>
      <c r="AE56" s="244"/>
      <c r="AF56" s="244"/>
      <c r="AG56" s="244"/>
      <c r="AH56" s="244"/>
      <c r="AI56" s="244"/>
      <c r="AJ56" s="244"/>
      <c r="AK56" s="244"/>
      <c r="AL56" s="244"/>
      <c r="AM56" s="244"/>
      <c r="AN56" s="244"/>
      <c r="AO56" s="244"/>
      <c r="AP56" s="244"/>
      <c r="AQ56" s="244"/>
      <c r="AR56" s="244"/>
      <c r="AS56" s="244"/>
      <c r="AT56" s="244"/>
      <c r="AU56" s="244"/>
      <c r="AV56" s="244"/>
    </row>
    <row r="57">
      <c r="D57" t="s">
        <v>55</v>
      </c>
      <c r="E57" s="231" t="s">
        <v>172</v>
      </c>
      <c r="F57" s="232" t="s">
        <v>171</v>
      </c>
      <c r="G57" s="176"/>
      <c r="H57" s="231" t="s">
        <v>172</v>
      </c>
      <c r="I57" s="232" t="s">
        <v>171</v>
      </c>
      <c r="J57" s="176"/>
      <c r="K57" s="231" t="s">
        <v>172</v>
      </c>
      <c r="L57" s="232" t="s">
        <v>171</v>
      </c>
      <c r="M57" s="176"/>
      <c r="N57" s="231" t="s">
        <v>172</v>
      </c>
      <c r="O57" s="232" t="s">
        <v>171</v>
      </c>
      <c r="P57" s="176"/>
      <c r="Q57" s="231" t="s">
        <v>170</v>
      </c>
      <c r="R57" s="232" t="s">
        <v>171</v>
      </c>
      <c r="S57" s="176"/>
      <c r="T57" s="231" t="s">
        <v>170</v>
      </c>
      <c r="U57" s="232" t="s">
        <v>171</v>
      </c>
      <c r="V57" s="176"/>
      <c r="W57" s="231" t="s">
        <v>170</v>
      </c>
      <c r="X57" s="232" t="s">
        <v>172</v>
      </c>
      <c r="Y57" s="176"/>
      <c r="Z57" s="233" t="s">
        <v>170</v>
      </c>
      <c r="AA57" s="232" t="s">
        <v>171</v>
      </c>
      <c r="AC57" s="244"/>
      <c r="AD57" s="244"/>
      <c r="AE57" s="244"/>
      <c r="AF57" s="244"/>
      <c r="AG57" s="244"/>
      <c r="AH57" s="244"/>
      <c r="AI57" s="244"/>
      <c r="AJ57" s="244"/>
      <c r="AK57" s="244"/>
      <c r="AL57" s="244"/>
      <c r="AM57" s="244"/>
      <c r="AN57" s="244"/>
      <c r="AO57" s="244"/>
      <c r="AP57" s="244"/>
      <c r="AQ57" s="244"/>
      <c r="AR57" s="244"/>
      <c r="AS57" s="244"/>
      <c r="AT57" s="244"/>
      <c r="AU57" s="244"/>
      <c r="AV57" s="244"/>
    </row>
    <row r="58" ht="8.1" customHeight="1">
      <c r="F58" s="218"/>
      <c r="I58" s="218"/>
      <c r="L58" s="218"/>
      <c r="O58" s="218"/>
      <c r="R58" s="218"/>
      <c r="U58" s="218"/>
      <c r="X58" s="218"/>
      <c r="Z58" s="215"/>
      <c r="AA58" s="218"/>
      <c r="AC58" s="244"/>
      <c r="AD58" s="244"/>
      <c r="AE58" s="244"/>
      <c r="AF58" s="244"/>
      <c r="AG58" s="244"/>
      <c r="AH58" s="244"/>
      <c r="AI58" s="244"/>
      <c r="AJ58" s="244"/>
      <c r="AK58" s="244"/>
      <c r="AL58" s="244"/>
      <c r="AM58" s="244"/>
      <c r="AN58" s="244"/>
      <c r="AO58" s="244"/>
      <c r="AP58" s="244"/>
      <c r="AQ58" s="244"/>
      <c r="AR58" s="244"/>
      <c r="AS58" s="244"/>
      <c r="AT58" s="244"/>
      <c r="AU58" s="244"/>
      <c r="AV58" s="244"/>
    </row>
    <row r="59">
      <c r="B59" s="216" t="s">
        <v>24</v>
      </c>
      <c r="C59" s="216"/>
      <c r="D59" s="217" t="s">
        <v>32</v>
      </c>
      <c r="E59" s="598">
        <v>0</v>
      </c>
      <c r="F59" s="219">
        <v>-100</v>
      </c>
      <c r="G59" s="217"/>
      <c r="H59" s="598">
        <v>0</v>
      </c>
      <c r="I59" s="219">
        <v>-100</v>
      </c>
      <c r="J59" s="217"/>
      <c r="K59" s="598">
        <v>0</v>
      </c>
      <c r="L59" s="219">
        <v>-100</v>
      </c>
      <c r="M59" s="217"/>
      <c r="N59" s="598">
        <v>5.0321969696969696969696969697</v>
      </c>
      <c r="O59" s="219">
        <v>83.24137931115361712247681597</v>
      </c>
      <c r="P59" s="217"/>
      <c r="Q59" s="598">
        <v>5.3143939393939393939393939394</v>
      </c>
      <c r="R59" s="219">
        <v>-74.052154614438664248568492310</v>
      </c>
      <c r="S59" s="217"/>
      <c r="T59" s="598">
        <v>2.0340909090909090909090909091</v>
      </c>
      <c r="U59" s="219">
        <v>-92.46262895640614519535570901</v>
      </c>
      <c r="V59" s="217"/>
      <c r="W59" s="598">
        <v>4.2026515151515151515151515152</v>
      </c>
      <c r="X59" s="219">
        <v>-70.883086209134451089324033660</v>
      </c>
      <c r="Y59" s="217"/>
      <c r="Z59" s="599">
        <v>2.369047619047619047619047619</v>
      </c>
      <c r="AA59" s="219">
        <v>-79.58165240297397720272545849</v>
      </c>
      <c r="AC59" s="244"/>
      <c r="AD59" s="244"/>
      <c r="AE59" s="244"/>
      <c r="AF59" s="244"/>
      <c r="AG59" s="244"/>
      <c r="AH59" s="244"/>
      <c r="AI59" s="244"/>
      <c r="AJ59" s="244"/>
      <c r="AK59" s="244"/>
      <c r="AL59" s="244"/>
      <c r="AM59" s="244"/>
      <c r="AN59" s="244"/>
      <c r="AO59" s="244"/>
      <c r="AP59" s="244"/>
      <c r="AQ59" s="244"/>
      <c r="AR59" s="244"/>
      <c r="AS59" s="244"/>
      <c r="AT59" s="244"/>
      <c r="AU59" s="244"/>
      <c r="AV59" s="244"/>
    </row>
    <row r="60">
      <c r="D60" s="217" t="s">
        <v>26</v>
      </c>
      <c r="E60" s="598">
        <v>2.4040697674418604651162790698</v>
      </c>
      <c r="F60" s="219">
        <v>-53.401887589402286908780907030</v>
      </c>
      <c r="G60" s="217"/>
      <c r="H60" s="598">
        <v>1.4534883720930232558139534884</v>
      </c>
      <c r="I60" s="219">
        <v>-69.884053606166907780920947380</v>
      </c>
      <c r="J60" s="217"/>
      <c r="K60" s="598">
        <v>1.4534883720930232558139534884</v>
      </c>
      <c r="L60" s="219">
        <v>-68.808484092124521668470427340</v>
      </c>
      <c r="M60" s="217"/>
      <c r="N60" s="598">
        <v>0.1453488372093023255813953488</v>
      </c>
      <c r="O60" s="219">
        <v>-12.663755456074445567331338240</v>
      </c>
      <c r="P60" s="217"/>
      <c r="Q60" s="598">
        <v>0</v>
      </c>
      <c r="R60" s="219">
        <v>0</v>
      </c>
      <c r="S60" s="217"/>
      <c r="T60" s="598">
        <v>0</v>
      </c>
      <c r="U60" s="219">
        <v>-100</v>
      </c>
      <c r="V60" s="217"/>
      <c r="W60" s="598">
        <v>0</v>
      </c>
      <c r="X60" s="219">
        <v>-100</v>
      </c>
      <c r="Y60" s="217"/>
      <c r="Z60" s="599">
        <v>0.7794850498338870431893687708</v>
      </c>
      <c r="AA60" s="219">
        <v>-73.770262716229046770817338060</v>
      </c>
      <c r="AC60" s="244"/>
      <c r="AD60" s="244"/>
      <c r="AE60" s="244"/>
      <c r="AF60" s="244"/>
      <c r="AG60" s="244"/>
      <c r="AH60" s="244"/>
      <c r="AI60" s="244"/>
      <c r="AJ60" s="244"/>
      <c r="AK60" s="244"/>
      <c r="AL60" s="244"/>
      <c r="AM60" s="244"/>
      <c r="AN60" s="244"/>
      <c r="AO60" s="244"/>
      <c r="AP60" s="244"/>
      <c r="AQ60" s="244"/>
      <c r="AR60" s="244"/>
      <c r="AS60" s="244"/>
      <c r="AT60" s="244"/>
      <c r="AU60" s="244"/>
      <c r="AV60" s="244"/>
    </row>
    <row r="61">
      <c r="D61" t="s">
        <v>22</v>
      </c>
      <c r="E61" s="223">
        <v>0</v>
      </c>
      <c r="F61" s="218">
        <v>-100</v>
      </c>
      <c r="H61" s="223">
        <v>0</v>
      </c>
      <c r="I61" s="218">
        <v>-100</v>
      </c>
      <c r="K61" s="223">
        <v>0</v>
      </c>
      <c r="L61" s="218">
        <v>-100</v>
      </c>
      <c r="N61" s="223">
        <v>3462.1515153730928</v>
      </c>
      <c r="O61" s="218">
        <v>109.8113793179090</v>
      </c>
      <c r="Q61" s="223">
        <v>0</v>
      </c>
      <c r="R61" s="218">
        <v>0</v>
      </c>
      <c r="T61" s="223">
        <v>0</v>
      </c>
      <c r="U61" s="218">
        <v>-100</v>
      </c>
      <c r="W61" s="223">
        <v>0</v>
      </c>
      <c r="X61" s="218">
        <v>-100</v>
      </c>
      <c r="Z61" s="224">
        <v>303.9247025527261</v>
      </c>
      <c r="AA61" s="218">
        <v>-22.1557296707161</v>
      </c>
      <c r="AC61" s="244"/>
      <c r="AD61" s="244"/>
      <c r="AE61" s="244"/>
      <c r="AF61" s="244"/>
      <c r="AG61" s="244"/>
      <c r="AH61" s="244"/>
      <c r="AI61" s="244"/>
      <c r="AJ61" s="244"/>
      <c r="AK61" s="244"/>
      <c r="AL61" s="244"/>
      <c r="AM61" s="244"/>
      <c r="AN61" s="244"/>
      <c r="AO61" s="244"/>
      <c r="AP61" s="244"/>
      <c r="AQ61" s="244"/>
      <c r="AR61" s="244"/>
      <c r="AS61" s="244"/>
      <c r="AT61" s="244"/>
      <c r="AU61" s="244"/>
      <c r="AV61" s="244"/>
    </row>
    <row r="62">
      <c r="D62" t="s">
        <v>55</v>
      </c>
      <c r="E62" s="231" t="s">
        <v>174</v>
      </c>
      <c r="F62" s="232"/>
      <c r="G62" s="176"/>
      <c r="H62" s="231" t="s">
        <v>174</v>
      </c>
      <c r="I62" s="232"/>
      <c r="J62" s="176"/>
      <c r="K62" s="231" t="s">
        <v>174</v>
      </c>
      <c r="L62" s="232"/>
      <c r="M62" s="176"/>
      <c r="N62" s="231" t="s">
        <v>171</v>
      </c>
      <c r="O62" s="232" t="s">
        <v>171</v>
      </c>
      <c r="P62" s="176"/>
      <c r="Q62" s="231" t="s">
        <v>171</v>
      </c>
      <c r="R62" s="232" t="s">
        <v>175</v>
      </c>
      <c r="S62" s="176"/>
      <c r="T62" s="231" t="s">
        <v>171</v>
      </c>
      <c r="U62" s="232" t="s">
        <v>173</v>
      </c>
      <c r="V62" s="176"/>
      <c r="W62" s="231" t="s">
        <v>171</v>
      </c>
      <c r="X62" s="232" t="s">
        <v>173</v>
      </c>
      <c r="Y62" s="176"/>
      <c r="Z62" s="233" t="s">
        <v>171</v>
      </c>
      <c r="AA62" s="232" t="s">
        <v>173</v>
      </c>
      <c r="AC62" s="244"/>
      <c r="AD62" s="244"/>
      <c r="AE62" s="244"/>
      <c r="AF62" s="244"/>
      <c r="AG62" s="244"/>
      <c r="AH62" s="244"/>
      <c r="AI62" s="244"/>
      <c r="AJ62" s="244"/>
      <c r="AK62" s="244"/>
      <c r="AL62" s="244"/>
      <c r="AM62" s="244"/>
      <c r="AN62" s="244"/>
      <c r="AO62" s="244"/>
      <c r="AP62" s="244"/>
      <c r="AQ62" s="244"/>
      <c r="AR62" s="244"/>
      <c r="AS62" s="244"/>
      <c r="AT62" s="244"/>
      <c r="AU62" s="244"/>
      <c r="AV62" s="244"/>
    </row>
    <row r="63" ht="8.1" customHeight="1">
      <c r="F63" s="218"/>
      <c r="I63" s="218"/>
      <c r="L63" s="218"/>
      <c r="O63" s="218"/>
      <c r="R63" s="218"/>
      <c r="U63" s="218"/>
      <c r="X63" s="218"/>
      <c r="Z63" s="215"/>
      <c r="AA63" s="218"/>
      <c r="AC63" s="244"/>
      <c r="AD63" s="244"/>
      <c r="AE63" s="244"/>
      <c r="AF63" s="244"/>
      <c r="AG63" s="244"/>
      <c r="AH63" s="244"/>
      <c r="AI63" s="244"/>
      <c r="AJ63" s="244"/>
      <c r="AK63" s="244"/>
      <c r="AL63" s="244"/>
      <c r="AM63" s="244"/>
      <c r="AN63" s="244"/>
      <c r="AO63" s="244"/>
      <c r="AP63" s="244"/>
      <c r="AQ63" s="244"/>
      <c r="AR63" s="244"/>
      <c r="AS63" s="244"/>
      <c r="AT63" s="244"/>
      <c r="AU63" s="244"/>
      <c r="AV63" s="244"/>
    </row>
    <row r="64">
      <c r="B64" s="216" t="s">
        <v>25</v>
      </c>
      <c r="C64" s="216"/>
      <c r="D64" s="217" t="s">
        <v>32</v>
      </c>
      <c r="E64" s="598">
        <v>0</v>
      </c>
      <c r="F64" s="219">
        <v>0</v>
      </c>
      <c r="G64" s="217"/>
      <c r="H64" s="598">
        <v>0</v>
      </c>
      <c r="I64" s="219">
        <v>0</v>
      </c>
      <c r="J64" s="217"/>
      <c r="K64" s="598">
        <v>0</v>
      </c>
      <c r="L64" s="219">
        <v>0</v>
      </c>
      <c r="M64" s="217"/>
      <c r="N64" s="598">
        <v>0</v>
      </c>
      <c r="O64" s="219">
        <v>0</v>
      </c>
      <c r="P64" s="217"/>
      <c r="Q64" s="598">
        <v>0</v>
      </c>
      <c r="R64" s="219">
        <v>0</v>
      </c>
      <c r="S64" s="217"/>
      <c r="T64" s="598">
        <v>0</v>
      </c>
      <c r="U64" s="219">
        <v>0</v>
      </c>
      <c r="V64" s="217"/>
      <c r="W64" s="598">
        <v>0</v>
      </c>
      <c r="X64" s="219">
        <v>0</v>
      </c>
      <c r="Y64" s="217"/>
      <c r="Z64" s="599">
        <v>0</v>
      </c>
      <c r="AA64" s="219">
        <v>0</v>
      </c>
      <c r="AC64" s="244"/>
      <c r="AD64" s="244"/>
      <c r="AE64" s="244"/>
      <c r="AF64" s="244"/>
      <c r="AG64" s="244"/>
      <c r="AH64" s="244"/>
      <c r="AI64" s="244"/>
      <c r="AJ64" s="244"/>
      <c r="AK64" s="244"/>
      <c r="AL64" s="244"/>
      <c r="AM64" s="244"/>
      <c r="AN64" s="244"/>
      <c r="AO64" s="244"/>
      <c r="AP64" s="244"/>
      <c r="AQ64" s="244"/>
      <c r="AR64" s="244"/>
      <c r="AS64" s="244"/>
      <c r="AT64" s="244"/>
      <c r="AU64" s="244"/>
      <c r="AV64" s="244"/>
    </row>
    <row r="65">
      <c r="D65" s="217" t="s">
        <v>26</v>
      </c>
      <c r="E65" s="598">
        <v>0</v>
      </c>
      <c r="F65" s="219">
        <v>0</v>
      </c>
      <c r="G65" s="217"/>
      <c r="H65" s="598">
        <v>0</v>
      </c>
      <c r="I65" s="219">
        <v>0</v>
      </c>
      <c r="J65" s="217"/>
      <c r="K65" s="598">
        <v>0</v>
      </c>
      <c r="L65" s="219">
        <v>0</v>
      </c>
      <c r="M65" s="217"/>
      <c r="N65" s="598">
        <v>0</v>
      </c>
      <c r="O65" s="219">
        <v>0</v>
      </c>
      <c r="P65" s="217"/>
      <c r="Q65" s="598">
        <v>0</v>
      </c>
      <c r="R65" s="219">
        <v>0</v>
      </c>
      <c r="S65" s="217"/>
      <c r="T65" s="598">
        <v>0</v>
      </c>
      <c r="U65" s="219">
        <v>0</v>
      </c>
      <c r="V65" s="217"/>
      <c r="W65" s="598">
        <v>0</v>
      </c>
      <c r="X65" s="219">
        <v>0</v>
      </c>
      <c r="Y65" s="217"/>
      <c r="Z65" s="599">
        <v>0</v>
      </c>
      <c r="AA65" s="219">
        <v>0</v>
      </c>
      <c r="AC65" s="244"/>
      <c r="AD65" s="244"/>
      <c r="AE65" s="244"/>
      <c r="AF65" s="244"/>
      <c r="AG65" s="244"/>
      <c r="AH65" s="244"/>
      <c r="AI65" s="244"/>
      <c r="AJ65" s="244"/>
      <c r="AK65" s="244"/>
      <c r="AL65" s="244"/>
      <c r="AM65" s="244"/>
      <c r="AN65" s="244"/>
      <c r="AO65" s="244"/>
      <c r="AP65" s="244"/>
      <c r="AQ65" s="244"/>
      <c r="AR65" s="244"/>
      <c r="AS65" s="244"/>
      <c r="AT65" s="244"/>
      <c r="AU65" s="244"/>
      <c r="AV65" s="244"/>
    </row>
    <row r="66">
      <c r="D66" t="s">
        <v>22</v>
      </c>
      <c r="E66" s="223">
        <v>0</v>
      </c>
      <c r="F66" s="218">
        <v>0</v>
      </c>
      <c r="H66" s="223">
        <v>0</v>
      </c>
      <c r="I66" s="218">
        <v>0</v>
      </c>
      <c r="K66" s="223">
        <v>0</v>
      </c>
      <c r="L66" s="218">
        <v>0</v>
      </c>
      <c r="N66" s="223">
        <v>0</v>
      </c>
      <c r="O66" s="218">
        <v>0</v>
      </c>
      <c r="Q66" s="223">
        <v>0</v>
      </c>
      <c r="R66" s="218">
        <v>0</v>
      </c>
      <c r="T66" s="223">
        <v>0</v>
      </c>
      <c r="U66" s="218">
        <v>0</v>
      </c>
      <c r="W66" s="223">
        <v>0</v>
      </c>
      <c r="X66" s="218">
        <v>0</v>
      </c>
      <c r="Z66" s="224">
        <v>0</v>
      </c>
      <c r="AA66" s="218">
        <v>0</v>
      </c>
      <c r="AC66" s="244"/>
      <c r="AD66" s="244"/>
      <c r="AE66" s="244"/>
      <c r="AF66" s="244"/>
      <c r="AG66" s="244"/>
      <c r="AH66" s="244"/>
      <c r="AI66" s="244"/>
      <c r="AJ66" s="244"/>
      <c r="AK66" s="244"/>
      <c r="AL66" s="244"/>
      <c r="AM66" s="244"/>
      <c r="AN66" s="244"/>
      <c r="AO66" s="244"/>
      <c r="AP66" s="244"/>
      <c r="AQ66" s="244"/>
      <c r="AR66" s="244"/>
      <c r="AS66" s="244"/>
      <c r="AT66" s="244"/>
      <c r="AU66" s="244"/>
      <c r="AV66" s="244"/>
    </row>
    <row r="67">
      <c r="D67" t="s">
        <v>55</v>
      </c>
      <c r="E67" s="231" t="s">
        <v>174</v>
      </c>
      <c r="F67" s="232"/>
      <c r="G67" s="176"/>
      <c r="H67" s="231" t="s">
        <v>174</v>
      </c>
      <c r="I67" s="232"/>
      <c r="J67" s="176"/>
      <c r="K67" s="231" t="s">
        <v>174</v>
      </c>
      <c r="L67" s="232"/>
      <c r="M67" s="176"/>
      <c r="N67" s="231" t="s">
        <v>174</v>
      </c>
      <c r="O67" s="232"/>
      <c r="P67" s="176"/>
      <c r="Q67" s="231" t="s">
        <v>174</v>
      </c>
      <c r="R67" s="232"/>
      <c r="S67" s="176"/>
      <c r="T67" s="231" t="s">
        <v>174</v>
      </c>
      <c r="U67" s="232"/>
      <c r="V67" s="176"/>
      <c r="W67" s="231" t="s">
        <v>174</v>
      </c>
      <c r="X67" s="232"/>
      <c r="Y67" s="176"/>
      <c r="Z67" s="233" t="s">
        <v>174</v>
      </c>
      <c r="AA67" s="232"/>
      <c r="AC67" s="244"/>
      <c r="AD67" s="244"/>
      <c r="AE67" s="244"/>
      <c r="AF67" s="244"/>
      <c r="AG67" s="244"/>
      <c r="AH67" s="244"/>
      <c r="AI67" s="244"/>
      <c r="AJ67" s="244"/>
      <c r="AK67" s="244"/>
      <c r="AL67" s="244"/>
      <c r="AM67" s="244"/>
      <c r="AN67" s="244"/>
      <c r="AO67" s="244"/>
      <c r="AP67" s="244"/>
      <c r="AQ67" s="244"/>
      <c r="AR67" s="244"/>
      <c r="AS67" s="244"/>
      <c r="AT67" s="244"/>
      <c r="AU67" s="244"/>
      <c r="AV67" s="244"/>
    </row>
    <row r="68" ht="15">
      <c r="B68" s="612"/>
      <c r="C68" s="612"/>
      <c r="D68" s="612"/>
      <c r="E68" s="612"/>
      <c r="F68" s="612"/>
      <c r="G68" s="612"/>
      <c r="H68" s="612"/>
      <c r="I68" s="612"/>
      <c r="J68" s="612"/>
      <c r="K68" s="612"/>
      <c r="L68" s="612"/>
      <c r="M68" s="612"/>
      <c r="N68" s="612"/>
      <c r="O68" s="612"/>
      <c r="P68" s="612"/>
      <c r="Q68" s="612"/>
      <c r="R68" s="612"/>
      <c r="S68" s="612"/>
      <c r="T68" s="612"/>
      <c r="U68" s="612"/>
      <c r="V68" s="612"/>
      <c r="W68" s="612"/>
      <c r="X68" s="612"/>
      <c r="Y68" s="612"/>
      <c r="Z68" s="612"/>
      <c r="AA68" s="612"/>
      <c r="AC68" s="244"/>
      <c r="AD68" s="244"/>
      <c r="AE68" s="244"/>
      <c r="AF68" s="244"/>
      <c r="AG68" s="244"/>
      <c r="AH68" s="244"/>
      <c r="AI68" s="244"/>
      <c r="AJ68" s="244"/>
      <c r="AK68" s="244"/>
      <c r="AL68" s="244"/>
      <c r="AM68" s="244"/>
      <c r="AN68" s="244"/>
      <c r="AO68" s="244"/>
      <c r="AP68" s="244"/>
      <c r="AQ68" s="244"/>
      <c r="AR68" s="244"/>
      <c r="AS68" s="244"/>
      <c r="AT68" s="244"/>
      <c r="AU68" s="244"/>
      <c r="AV68" s="244"/>
    </row>
    <row r="69" ht="15.75">
      <c r="B69" t="s">
        <v>168</v>
      </c>
      <c r="Y69" s="80"/>
      <c r="Z69" s="242"/>
      <c r="AC69" s="244"/>
      <c r="AD69" s="244"/>
      <c r="AE69" s="244"/>
      <c r="AF69" s="244"/>
      <c r="AG69" s="244"/>
      <c r="AH69" s="244"/>
      <c r="AI69" s="244"/>
      <c r="AJ69" s="244"/>
      <c r="AK69" s="244"/>
      <c r="AL69" s="244"/>
      <c r="AM69" s="244"/>
      <c r="AN69" s="244"/>
      <c r="AO69" s="244"/>
      <c r="AP69" s="244"/>
      <c r="AQ69" s="244"/>
      <c r="AR69" s="244"/>
      <c r="AS69" s="244"/>
      <c r="AT69" s="244"/>
      <c r="AU69" s="244"/>
      <c r="AV69" s="244"/>
    </row>
    <row r="70" ht="6" customHeight="1">
      <c r="Y70" s="80"/>
      <c r="AC70" s="244"/>
      <c r="AD70" s="244"/>
      <c r="AE70" s="244"/>
      <c r="AF70" s="244"/>
      <c r="AG70" s="244"/>
      <c r="AH70" s="244"/>
      <c r="AI70" s="244"/>
      <c r="AJ70" s="244"/>
      <c r="AK70" s="244"/>
      <c r="AL70" s="244"/>
      <c r="AM70" s="244"/>
      <c r="AN70" s="244"/>
      <c r="AO70" s="244"/>
      <c r="AP70" s="244"/>
      <c r="AQ70" s="244"/>
      <c r="AR70" s="244"/>
      <c r="AS70" s="244"/>
      <c r="AT70" s="244"/>
      <c r="AU70" s="244"/>
      <c r="AV70" s="244"/>
    </row>
    <row r="71" ht="34.5" customHeight="1">
      <c r="B71" s="650" t="s">
        <v>114</v>
      </c>
      <c r="C71" s="650"/>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C71" s="244"/>
      <c r="AD71" s="244"/>
      <c r="AE71" s="244"/>
      <c r="AF71" s="244"/>
      <c r="AG71" s="244"/>
      <c r="AH71" s="244"/>
      <c r="AI71" s="244"/>
      <c r="AJ71" s="244"/>
      <c r="AK71" s="244"/>
      <c r="AL71" s="244"/>
      <c r="AM71" s="244"/>
      <c r="AN71" s="244"/>
      <c r="AO71" s="244"/>
      <c r="AP71" s="244"/>
      <c r="AQ71" s="244"/>
      <c r="AR71" s="244"/>
      <c r="AS71" s="244"/>
      <c r="AT71" s="244"/>
      <c r="AU71" s="244"/>
      <c r="AV71" s="244"/>
    </row>
    <row r="72">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row>
  </sheetData>
  <mergeCells count="29">
    <mergeCell ref="B71:AA71"/>
    <mergeCell ref="B2:AA2"/>
    <mergeCell ref="B24:AA24"/>
    <mergeCell ref="B46:AA46"/>
    <mergeCell ref="B68:AA68"/>
    <mergeCell ref="E3:F3"/>
    <mergeCell ref="H3:I3"/>
    <mergeCell ref="K3:L3"/>
    <mergeCell ref="N3:O3"/>
    <mergeCell ref="Q3:R3"/>
    <mergeCell ref="T3:U3"/>
    <mergeCell ref="W3:X3"/>
    <mergeCell ref="Z3:AA3"/>
    <mergeCell ref="E25:F25"/>
    <mergeCell ref="H25:I25"/>
    <mergeCell ref="K25:L25"/>
    <mergeCell ref="N25:O25"/>
    <mergeCell ref="Q25:R25"/>
    <mergeCell ref="T25:U25"/>
    <mergeCell ref="W25:X25"/>
    <mergeCell ref="Z25:AA25"/>
    <mergeCell ref="T47:U47"/>
    <mergeCell ref="W47:X47"/>
    <mergeCell ref="Z47:AA47"/>
    <mergeCell ref="E47:F47"/>
    <mergeCell ref="H47:I47"/>
    <mergeCell ref="K47:L47"/>
    <mergeCell ref="N47:O47"/>
    <mergeCell ref="Q47:R47"/>
  </mergeCells>
  <phoneticPr fontId="39" type="noConversion"/>
  <printOptions horizontalCentered="1" verticalCentered="1"/>
  <pageMargins left="0" right="0" top="0" bottom="0" header="0" footer="0"/>
  <pageSetup scale="64" orientation="landscape" horizontalDpi="1200" verticalDpi="1200" r:id="rId1"/>
  <headerFooter alignWithMargins="0">
    <oddHeader/>
    <oddFooter/>
  </headerFooter>
  <drawing r:id="rId22"/>
</worksheet>
</file>

<file path=xl/worksheets/sheet2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119</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168</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177</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178</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167</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1" t="s">
        <v>40</v>
      </c>
      <c r="F8" s="651"/>
      <c r="G8" s="64"/>
      <c r="H8" s="651" t="s">
        <v>39</v>
      </c>
      <c r="I8" s="651"/>
      <c r="J8" s="1"/>
      <c r="K8" s="651" t="s">
        <v>41</v>
      </c>
      <c r="L8" s="651"/>
      <c r="M8" s="64"/>
      <c r="N8" s="651" t="s">
        <v>42</v>
      </c>
      <c r="O8" s="651"/>
      <c r="P8" s="64"/>
      <c r="Q8" s="651" t="s">
        <v>43</v>
      </c>
      <c r="R8" s="651"/>
      <c r="S8" s="64"/>
      <c r="T8" s="651" t="s">
        <v>44</v>
      </c>
      <c r="U8" s="651"/>
      <c r="V8" s="64"/>
      <c r="W8" s="651" t="s">
        <v>45</v>
      </c>
      <c r="X8" s="651"/>
      <c r="Y8" s="64"/>
      <c r="Z8" s="651" t="s">
        <v>23</v>
      </c>
      <c r="AA8" s="651"/>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2" t="s">
        <v>57</v>
      </c>
      <c r="F9" s="652"/>
      <c r="G9" s="65"/>
      <c r="H9" s="652" t="s">
        <v>57</v>
      </c>
      <c r="I9" s="652"/>
      <c r="J9" s="3"/>
      <c r="K9" s="652" t="s">
        <v>57</v>
      </c>
      <c r="L9" s="652"/>
      <c r="M9" s="79"/>
      <c r="N9" s="652" t="s">
        <v>57</v>
      </c>
      <c r="O9" s="652"/>
      <c r="P9" s="65"/>
      <c r="Q9" s="652" t="s">
        <v>57</v>
      </c>
      <c r="R9" s="652"/>
      <c r="S9" s="65"/>
      <c r="T9" s="652" t="s">
        <v>57</v>
      </c>
      <c r="U9" s="652"/>
      <c r="V9" s="65"/>
      <c r="W9" s="652" t="s">
        <v>57</v>
      </c>
      <c r="X9" s="652"/>
      <c r="Y9" s="1"/>
      <c r="Z9" s="652" t="s">
        <v>57</v>
      </c>
      <c r="AA9" s="652"/>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3" t="s">
        <v>28</v>
      </c>
      <c r="C10" s="1"/>
      <c r="D10" s="17" t="s">
        <v>32</v>
      </c>
      <c r="E10" s="67">
        <v>0.8106060606060606060606060606</v>
      </c>
      <c r="F10" s="73">
        <v>0.0000000000074766355140192500</v>
      </c>
      <c r="G10" s="66"/>
      <c r="H10" s="67">
        <v>0.7348484848484848484848484848</v>
      </c>
      <c r="I10" s="73">
        <v>21.249999999921187500000051220</v>
      </c>
      <c r="J10" s="66"/>
      <c r="K10" s="67">
        <v>0.6742424242424242424242424242</v>
      </c>
      <c r="L10" s="73">
        <v>18.666666666628693333333345480</v>
      </c>
      <c r="M10" s="67"/>
      <c r="N10" s="67">
        <v>0.7424242424242424242424242424</v>
      </c>
      <c r="O10" s="73">
        <v>5.3763440860894901144641437500</v>
      </c>
      <c r="P10" s="66"/>
      <c r="Q10" s="67">
        <v>0.9015151515151515151515151515</v>
      </c>
      <c r="R10" s="73">
        <v>32.222222222257481481481490880</v>
      </c>
      <c r="S10" s="66"/>
      <c r="T10" s="67">
        <v>0.8939393939393939393939393939</v>
      </c>
      <c r="U10" s="73">
        <v>14.563106796120953907060043530</v>
      </c>
      <c r="V10" s="66"/>
      <c r="W10" s="67">
        <v>0.9621212121212121212121212121</v>
      </c>
      <c r="X10" s="73">
        <v>18.691588785055603109441873310</v>
      </c>
      <c r="Y10" s="177"/>
      <c r="Z10" s="67">
        <v>0.8170995670995670995670995671</v>
      </c>
      <c r="AA10" s="73">
        <v>15.267175572593699667851572100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3"/>
      <c r="C11" s="15"/>
      <c r="D11" s="187" t="s">
        <v>26</v>
      </c>
      <c r="E11" s="180">
        <v>0.5988372093023255813953488372</v>
      </c>
      <c r="F11" s="81">
        <v>-22.264150943365718761124943530</v>
      </c>
      <c r="G11" s="181"/>
      <c r="H11" s="180">
        <v>0.5465116279069767441860465116</v>
      </c>
      <c r="I11" s="81">
        <v>-22.950819672088202096210672120</v>
      </c>
      <c r="J11" s="181"/>
      <c r="K11" s="180">
        <v>0.5668604651162790697674418605</v>
      </c>
      <c r="L11" s="81">
        <v>-18.410041840949563207926995520</v>
      </c>
      <c r="M11" s="180"/>
      <c r="N11" s="180">
        <v>0.6046511627906976744186046512</v>
      </c>
      <c r="O11" s="81">
        <v>-9.956709956713075092295871400</v>
      </c>
      <c r="P11" s="181"/>
      <c r="Q11" s="180">
        <v>0.6569767441860465116279069767</v>
      </c>
      <c r="R11" s="81">
        <v>-8.870967741917845993756500230</v>
      </c>
      <c r="S11" s="182"/>
      <c r="T11" s="180">
        <v>0.8953488372093023255813953488</v>
      </c>
      <c r="U11" s="81">
        <v>13.235294117590441176470616540</v>
      </c>
      <c r="V11" s="181"/>
      <c r="W11" s="180">
        <v>0.8982558139534883720930232558</v>
      </c>
      <c r="X11" s="81">
        <v>20.703124999939648437500030170</v>
      </c>
      <c r="Y11" s="183"/>
      <c r="Z11" s="180">
        <v>0.6810631229235880398671096346</v>
      </c>
      <c r="AA11" s="81">
        <v>-6.5527065527521315573737003800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135.36334215953225991653745679</v>
      </c>
      <c r="F12" s="73">
        <v>28.640776699039024215844130300</v>
      </c>
      <c r="G12" s="68"/>
      <c r="H12" s="68">
        <v>134.46163765312129305732746227</v>
      </c>
      <c r="I12" s="73">
        <v>57.367021276541106165843763960</v>
      </c>
      <c r="J12" s="68"/>
      <c r="K12" s="68">
        <v>118.94327894333749997011538355</v>
      </c>
      <c r="L12" s="73">
        <v>45.442735042719176727917724400</v>
      </c>
      <c r="M12" s="68"/>
      <c r="N12" s="68">
        <v>122.78554778548639277389280459</v>
      </c>
      <c r="O12" s="73">
        <v>17.028535980136416718944028340</v>
      </c>
      <c r="P12" s="68"/>
      <c r="Q12" s="68">
        <v>137.22177527488233482131203243</v>
      </c>
      <c r="R12" s="73">
        <v>45.093411996002001780663785190</v>
      </c>
      <c r="S12" s="68"/>
      <c r="T12" s="68">
        <v>99.84258166079719202481895473</v>
      </c>
      <c r="U12" s="73">
        <v>1.1726137940141237936285502600</v>
      </c>
      <c r="V12" s="68"/>
      <c r="W12" s="68">
        <v>107.10993429445854834517294088</v>
      </c>
      <c r="X12" s="73">
        <v>-1.6665154401311595026476583300</v>
      </c>
      <c r="Y12" s="174"/>
      <c r="Z12" s="68">
        <v>119.97413155942484343734794287</v>
      </c>
      <c r="AA12" s="73">
        <v>23.349934835232679549286003930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3" t="s">
        <v>12</v>
      </c>
      <c r="C14" s="1"/>
      <c r="D14" s="17" t="s">
        <v>32</v>
      </c>
      <c r="E14" s="237">
        <v>148.8878504672897196261682243</v>
      </c>
      <c r="F14" s="73">
        <v>-14.948481127564371752206913190</v>
      </c>
      <c r="G14" s="70"/>
      <c r="H14" s="237">
        <v>147.11340206185567010309278351</v>
      </c>
      <c r="I14" s="73">
        <v>10.114821902586579418482622390</v>
      </c>
      <c r="J14" s="70"/>
      <c r="K14" s="237">
        <v>142.64044943820224719101123596</v>
      </c>
      <c r="L14" s="73">
        <v>-4.4562498180980875852425627900</v>
      </c>
      <c r="M14" s="70"/>
      <c r="N14" s="237">
        <v>137.500000000</v>
      </c>
      <c r="O14" s="73">
        <v>-10.181217953234361264346623900</v>
      </c>
      <c r="P14" s="70"/>
      <c r="Q14" s="237">
        <v>144.17647058823529411764705882</v>
      </c>
      <c r="R14" s="73">
        <v>2.4546573465710664329661801400</v>
      </c>
      <c r="S14" s="70"/>
      <c r="T14" s="237">
        <v>226.25423728813559322033898305</v>
      </c>
      <c r="U14" s="73">
        <v>-4.5223433272749511514737092200</v>
      </c>
      <c r="V14" s="70"/>
      <c r="W14" s="237">
        <v>213.14960629921259842519685039</v>
      </c>
      <c r="X14" s="73">
        <v>-9.157142220923562312689989230</v>
      </c>
      <c r="Y14" s="178"/>
      <c r="Z14" s="237">
        <v>168.60397350993377483443708609</v>
      </c>
      <c r="AA14" s="73">
        <v>-5.6364048730177000799903139600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3"/>
      <c r="C15" s="15"/>
      <c r="D15" s="187" t="s">
        <v>26</v>
      </c>
      <c r="E15" s="238">
        <v>193.8640776699029126213592233</v>
      </c>
      <c r="F15" s="81">
        <v>-19.892126144102737423760688850</v>
      </c>
      <c r="G15" s="184"/>
      <c r="H15" s="238">
        <v>190.6808510638297872340425532</v>
      </c>
      <c r="I15" s="81">
        <v>-3.6526658530372709552268018900</v>
      </c>
      <c r="J15" s="184"/>
      <c r="K15" s="238">
        <v>177.44615384615384615384615384</v>
      </c>
      <c r="L15" s="81">
        <v>-12.246253167449368555777135930</v>
      </c>
      <c r="M15" s="184"/>
      <c r="N15" s="238">
        <v>180.66826923076923076923076922</v>
      </c>
      <c r="O15" s="81">
        <v>-8.703497490205418348070046590</v>
      </c>
      <c r="P15" s="184"/>
      <c r="Q15" s="238">
        <v>216.98672566371681415929203541</v>
      </c>
      <c r="R15" s="81">
        <v>-0.4279698678777299233446900400</v>
      </c>
      <c r="S15" s="184"/>
      <c r="T15" s="238">
        <v>254.67207792207792207792207793</v>
      </c>
      <c r="U15" s="81">
        <v>-9.305290535476313208903873540</v>
      </c>
      <c r="V15" s="184"/>
      <c r="W15" s="238">
        <v>247.06796116504854368932038835</v>
      </c>
      <c r="X15" s="81">
        <v>-13.892506795746416553943938500</v>
      </c>
      <c r="Y15" s="186"/>
      <c r="Z15" s="238">
        <v>214.50426829268292682926829268</v>
      </c>
      <c r="AA15" s="81">
        <v>-8.257341300659276448106792360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76.800123187755766836262471810</v>
      </c>
      <c r="F16" s="73">
        <v>6.1712348344133398321716435500</v>
      </c>
      <c r="G16" s="68"/>
      <c r="H16" s="68">
        <v>77.151639108550509013533592190</v>
      </c>
      <c r="I16" s="73">
        <v>14.289432995250321959405918180</v>
      </c>
      <c r="J16" s="68"/>
      <c r="K16" s="68">
        <v>80.38520212832265052325195646</v>
      </c>
      <c r="L16" s="73">
        <v>8.877117650856441254596756330</v>
      </c>
      <c r="M16" s="68"/>
      <c r="N16" s="68">
        <v>76.106335985510868289462006190</v>
      </c>
      <c r="O16" s="73">
        <v>-1.6185948228112361036339458500</v>
      </c>
      <c r="P16" s="68"/>
      <c r="Q16" s="68">
        <v>66.444834423507211350754151930</v>
      </c>
      <c r="R16" s="73">
        <v>2.8950170149999594825360871800</v>
      </c>
      <c r="S16" s="68"/>
      <c r="T16" s="68">
        <v>88.84139915697512907701746895</v>
      </c>
      <c r="U16" s="73">
        <v>5.2736782954970679134806232300</v>
      </c>
      <c r="V16" s="68"/>
      <c r="W16" s="68">
        <v>86.27164983033327263551867437</v>
      </c>
      <c r="X16" s="73">
        <v>5.499364107102739846408088400</v>
      </c>
      <c r="Y16" s="174"/>
      <c r="Z16" s="68">
        <v>78.601686974296771130293051790</v>
      </c>
      <c r="AA16" s="73">
        <v>2.8568350479010141194229730300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3" t="s">
        <v>13</v>
      </c>
      <c r="C18" s="1"/>
      <c r="D18" s="17" t="s">
        <v>32</v>
      </c>
      <c r="E18" s="237">
        <v>120.68939393939393939393939394</v>
      </c>
      <c r="F18" s="73">
        <v>-14.948481127533495113034812180</v>
      </c>
      <c r="G18" s="70"/>
      <c r="H18" s="237">
        <v>108.10606060606060606060606061</v>
      </c>
      <c r="I18" s="73">
        <v>33.514221556881230755181254450</v>
      </c>
      <c r="J18" s="70"/>
      <c r="K18" s="237">
        <v>96.17424242424242424242424242</v>
      </c>
      <c r="L18" s="73">
        <v>13.378583549108250418158881280</v>
      </c>
      <c r="M18" s="70"/>
      <c r="N18" s="237">
        <v>102.08333333333333333333333333</v>
      </c>
      <c r="O18" s="73">
        <v>-5.3522511765464752612124716100</v>
      </c>
      <c r="P18" s="70"/>
      <c r="Q18" s="237">
        <v>129.97727272727272727272727273</v>
      </c>
      <c r="R18" s="73">
        <v>35.467824713735343758479673010</v>
      </c>
      <c r="S18" s="70"/>
      <c r="T18" s="237">
        <v>202.25757575757575757575757576</v>
      </c>
      <c r="U18" s="73">
        <v>9.382169780394491207647637110</v>
      </c>
      <c r="V18" s="70"/>
      <c r="W18" s="237">
        <v>205.07575757575757575757575758</v>
      </c>
      <c r="X18" s="73">
        <v>7.8228311957129255427076056900</v>
      </c>
      <c r="Y18" s="178"/>
      <c r="Z18" s="237">
        <v>137.76623376623376623376623377</v>
      </c>
      <c r="AA18" s="73">
        <v>8.770250871563932616779791100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3" t="s"/>
      <c r="C19" s="15"/>
      <c r="D19" s="187" t="s">
        <v>26</v>
      </c>
      <c r="E19" s="238">
        <v>116.09302325581395348837209302</v>
      </c>
      <c r="F19" s="81">
        <v>-37.727464096928156992054465310</v>
      </c>
      <c r="G19" s="184"/>
      <c r="H19" s="238">
        <v>104.2093023255813953488372093</v>
      </c>
      <c r="I19" s="81">
        <v>-25.765168771979118462732120160</v>
      </c>
      <c r="J19" s="184"/>
      <c r="K19" s="238">
        <v>100.58720930232558139534883721</v>
      </c>
      <c r="L19" s="81">
        <v>-28.401754676366231046958511210</v>
      </c>
      <c r="M19" s="184"/>
      <c r="N19" s="238">
        <v>109.24127906976744186046511628</v>
      </c>
      <c r="O19" s="81">
        <v>-17.793625445730047273126553930</v>
      </c>
      <c r="P19" s="184"/>
      <c r="Q19" s="238">
        <v>142.55523255813953488372093023</v>
      </c>
      <c r="R19" s="81">
        <v>-9.260972540897978774477631680</v>
      </c>
      <c r="S19" s="184"/>
      <c r="T19" s="238">
        <v>228.02034883720930232558139535</v>
      </c>
      <c r="U19" s="81">
        <v>2.698421011305334746426494500</v>
      </c>
      <c r="V19" s="184"/>
      <c r="W19" s="238">
        <v>221.93023255813953488372093023</v>
      </c>
      <c r="X19" s="81">
        <v>3.9344351567170835606809258300</v>
      </c>
      <c r="Y19" s="186"/>
      <c r="Z19" s="238">
        <v>146.09094684385382059800664452</v>
      </c>
      <c r="AA19" s="81">
        <v>-14.268968508886792086155419820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103.95921352953852462380951864</v>
      </c>
      <c r="F20" s="73">
        <v>36.579501122115171816817011170</v>
      </c>
      <c r="G20" s="68"/>
      <c r="H20" s="68">
        <v>103.73935742155269238443847768</v>
      </c>
      <c r="I20" s="73">
        <v>79.85387633832683695712460950</v>
      </c>
      <c r="J20" s="68"/>
      <c r="K20" s="68">
        <v>95.61279519665859737983713470</v>
      </c>
      <c r="L20" s="73">
        <v>58.353857746993561884681671450</v>
      </c>
      <c r="M20" s="68"/>
      <c r="N20" s="68">
        <v>93.44758153930706122444520683</v>
      </c>
      <c r="O20" s="73">
        <v>15.134318155492044087314671140</v>
      </c>
      <c r="P20" s="68"/>
      <c r="Q20" s="68">
        <v>91.17678137440449076058871680</v>
      </c>
      <c r="R20" s="73">
        <v>49.293890960890977952367942790</v>
      </c>
      <c r="S20" s="68"/>
      <c r="T20" s="68">
        <v>88.70154650187903855932465507</v>
      </c>
      <c r="U20" s="73">
        <v>6.508131968644831684830332900</v>
      </c>
      <c r="V20" s="68"/>
      <c r="W20" s="68">
        <v>92.40550744796339359952187943</v>
      </c>
      <c r="X20" s="73">
        <v>3.7412009149277857699440832800</v>
      </c>
      <c r="Y20" s="174"/>
      <c r="Z20" s="68">
        <v>94.30169133850484685623421944</v>
      </c>
      <c r="AA20" s="73">
        <v>26.873839005141974961977844450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1" t="s">
        <v>40</v>
      </c>
      <c r="F25" s="651"/>
      <c r="G25" s="64"/>
      <c r="H25" s="651" t="s">
        <v>39</v>
      </c>
      <c r="I25" s="651"/>
      <c r="J25" s="1"/>
      <c r="K25" s="651" t="s">
        <v>41</v>
      </c>
      <c r="L25" s="651"/>
      <c r="M25" s="64"/>
      <c r="N25" s="651" t="s">
        <v>42</v>
      </c>
      <c r="O25" s="651"/>
      <c r="P25" s="64"/>
      <c r="Q25" s="651" t="s">
        <v>43</v>
      </c>
      <c r="R25" s="651"/>
      <c r="S25" s="64"/>
      <c r="T25" s="651" t="s">
        <v>44</v>
      </c>
      <c r="U25" s="651"/>
      <c r="V25" s="64"/>
      <c r="W25" s="651" t="s">
        <v>45</v>
      </c>
      <c r="X25" s="651"/>
      <c r="Y25" s="64"/>
      <c r="Z25" s="651" t="s">
        <v>23</v>
      </c>
      <c r="AA25" s="651"/>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2" t="s">
        <v>57</v>
      </c>
      <c r="F26" s="652"/>
      <c r="G26" s="65"/>
      <c r="H26" s="652" t="s">
        <v>57</v>
      </c>
      <c r="I26" s="652"/>
      <c r="J26" s="3"/>
      <c r="K26" s="652" t="s">
        <v>57</v>
      </c>
      <c r="L26" s="652"/>
      <c r="M26" s="65"/>
      <c r="N26" s="652" t="s">
        <v>57</v>
      </c>
      <c r="O26" s="652"/>
      <c r="P26" s="65"/>
      <c r="Q26" s="652" t="s">
        <v>57</v>
      </c>
      <c r="R26" s="652"/>
      <c r="S26" s="65"/>
      <c r="T26" s="652" t="s">
        <v>57</v>
      </c>
      <c r="U26" s="652"/>
      <c r="V26" s="65"/>
      <c r="W26" s="652" t="s">
        <v>57</v>
      </c>
      <c r="X26" s="652"/>
      <c r="Y26" s="1"/>
      <c r="Z26" s="652" t="s">
        <v>57</v>
      </c>
      <c r="AA26" s="652"/>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3" t="s">
        <v>28</v>
      </c>
      <c r="C27" s="1"/>
      <c r="D27" s="17" t="s">
        <v>32</v>
      </c>
      <c r="E27" s="67">
        <v>0.7689393939393939393939393939</v>
      </c>
      <c r="F27" s="73">
        <v>4.6391752578009990434690645700</v>
      </c>
      <c r="G27" s="66"/>
      <c r="H27" s="67">
        <v>0.6893939393939393939393939394</v>
      </c>
      <c r="I27" s="73">
        <v>9.969788519626830715309280790</v>
      </c>
      <c r="J27" s="66"/>
      <c r="K27" s="67">
        <v>0.6553030303030303030303030303</v>
      </c>
      <c r="L27" s="73">
        <v>7.4534161491537517842676501900</v>
      </c>
      <c r="M27" s="67"/>
      <c r="N27" s="67">
        <v>0.7916666666666666666666666667</v>
      </c>
      <c r="O27" s="73">
        <v>29.012345679088797439414768680</v>
      </c>
      <c r="P27" s="66"/>
      <c r="Q27" s="67">
        <v>0.9053030303030303030303030303</v>
      </c>
      <c r="R27" s="73">
        <v>16.870415647953764025800906650</v>
      </c>
      <c r="S27" s="66"/>
      <c r="T27" s="67">
        <v>0.9147727272727272727272727273</v>
      </c>
      <c r="U27" s="73">
        <v>8.539325842700531751041535300</v>
      </c>
      <c r="V27" s="66"/>
      <c r="W27" s="67">
        <v>0.9356060606060606060606060606</v>
      </c>
      <c r="X27" s="73">
        <v>5.1063829786661548211860882200</v>
      </c>
      <c r="Y27" s="177"/>
      <c r="Z27" s="67">
        <v>0.8087121212121212121212121212</v>
      </c>
      <c r="AA27" s="73">
        <v>11.156563778400580080465022470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3"/>
      <c r="C28" s="15"/>
      <c r="D28" s="187" t="s">
        <v>26</v>
      </c>
      <c r="E28" s="180">
        <v>0.6838662790697674418604651163</v>
      </c>
      <c r="F28" s="81">
        <v>0.641711230018856930424141900</v>
      </c>
      <c r="G28" s="181"/>
      <c r="H28" s="180">
        <v>0.6031976744186046511627906977</v>
      </c>
      <c r="I28" s="81">
        <v>-3.0373831775990916237225871800</v>
      </c>
      <c r="J28" s="181"/>
      <c r="K28" s="180">
        <v>0.6068313953488372093023255814</v>
      </c>
      <c r="L28" s="81">
        <v>0.7237635704930759369712185900</v>
      </c>
      <c r="M28" s="180"/>
      <c r="N28" s="180">
        <v>0.6199127906976744186046511628</v>
      </c>
      <c r="O28" s="81">
        <v>-2.7366020524834798843886941400</v>
      </c>
      <c r="P28" s="181"/>
      <c r="Q28" s="180">
        <v>0.7093023255813953488372093023</v>
      </c>
      <c r="R28" s="81">
        <v>-3.3663366336664279972551709700</v>
      </c>
      <c r="S28" s="182"/>
      <c r="T28" s="180">
        <v>0.8561046511627906976744186047</v>
      </c>
      <c r="U28" s="81">
        <v>10.714285714355639097744405070</v>
      </c>
      <c r="V28" s="181"/>
      <c r="W28" s="180">
        <v>0.8713662790697674418604651163</v>
      </c>
      <c r="X28" s="81">
        <v>12.476547842340725617676183630</v>
      </c>
      <c r="Y28" s="183"/>
      <c r="Z28" s="180">
        <v>0.7072259136212624584717607973</v>
      </c>
      <c r="AA28" s="81">
        <v>2.6367334639292649185061582100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112.44002189800704065207088028</v>
      </c>
      <c r="F29" s="73">
        <v>3.9719754153892633302292565100</v>
      </c>
      <c r="G29" s="68"/>
      <c r="H29" s="68">
        <v>114.28988681993239386461513595</v>
      </c>
      <c r="I29" s="73">
        <v>13.414625268382172258884201620</v>
      </c>
      <c r="J29" s="68"/>
      <c r="K29" s="68">
        <v>107.98766104152428797712143177</v>
      </c>
      <c r="L29" s="73">
        <v>6.6812957935346373088387541300</v>
      </c>
      <c r="M29" s="68"/>
      <c r="N29" s="68">
        <v>127.70613520899896950147678992</v>
      </c>
      <c r="O29" s="73">
        <v>32.642235827059814522027839060</v>
      </c>
      <c r="P29" s="68"/>
      <c r="Q29" s="68">
        <v>127.63288623951475613430736987</v>
      </c>
      <c r="R29" s="73">
        <v>20.941721111163246602692916270</v>
      </c>
      <c r="S29" s="68"/>
      <c r="T29" s="68">
        <v>106.85290939957257987212703767</v>
      </c>
      <c r="U29" s="73">
        <v>-1.9644798840945512700001955800</v>
      </c>
      <c r="V29" s="68"/>
      <c r="W29" s="68">
        <v>107.37230520380281922958646959</v>
      </c>
      <c r="X29" s="73">
        <v>-6.552623640212976920622500300</v>
      </c>
      <c r="Y29" s="174"/>
      <c r="Z29" s="68">
        <v>114.34989946444571756620634673</v>
      </c>
      <c r="AA29" s="73">
        <v>8.300956223868397785074229720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3" t="s">
        <v>12</v>
      </c>
      <c r="C31" s="1"/>
      <c r="D31" s="17" t="s">
        <v>32</v>
      </c>
      <c r="E31" s="237">
        <v>160.97290640394088669950738916</v>
      </c>
      <c r="F31" s="73">
        <v>3.2014006687519022369566952800</v>
      </c>
      <c r="G31" s="70"/>
      <c r="H31" s="237">
        <v>156.93956043956043956043956044</v>
      </c>
      <c r="I31" s="73">
        <v>8.453368628102510666898302370</v>
      </c>
      <c r="J31" s="70"/>
      <c r="K31" s="237">
        <v>160.30924855491329479768786127</v>
      </c>
      <c r="L31" s="73">
        <v>11.892957394237148332742770200</v>
      </c>
      <c r="M31" s="70"/>
      <c r="N31" s="237">
        <v>143.4138755980861244019138756</v>
      </c>
      <c r="O31" s="73">
        <v>-0.4433062074846254584654172300</v>
      </c>
      <c r="P31" s="70"/>
      <c r="Q31" s="237">
        <v>148.63807531380753138075313808</v>
      </c>
      <c r="R31" s="73">
        <v>-13.432385721296466978594070730</v>
      </c>
      <c r="S31" s="70"/>
      <c r="T31" s="237">
        <v>213.9710144927536231884057971</v>
      </c>
      <c r="U31" s="73">
        <v>-5.1801935397914890449641175100</v>
      </c>
      <c r="V31" s="70"/>
      <c r="W31" s="237">
        <v>215.64979757085020242914979757</v>
      </c>
      <c r="X31" s="73">
        <v>-5.2345822893191561677586855100</v>
      </c>
      <c r="Y31" s="178"/>
      <c r="Z31" s="237">
        <v>173.57745065239210438273670124</v>
      </c>
      <c r="AA31" s="73">
        <v>-2.5214401137039210259220944200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3"/>
      <c r="C32" s="15"/>
      <c r="D32" s="187" t="s">
        <v>26</v>
      </c>
      <c r="E32" s="238">
        <v>201.77577045696068012752391073</v>
      </c>
      <c r="F32" s="81">
        <v>-4.2226312698535807774939987300</v>
      </c>
      <c r="G32" s="184"/>
      <c r="H32" s="238">
        <v>190.5265060240963855421686747</v>
      </c>
      <c r="I32" s="81">
        <v>-6.9366727209934254795558300300</v>
      </c>
      <c r="J32" s="184"/>
      <c r="K32" s="238">
        <v>188.01437125748502994011976048</v>
      </c>
      <c r="L32" s="81">
        <v>-6.4082758247912151012584270800</v>
      </c>
      <c r="M32" s="184"/>
      <c r="N32" s="238">
        <v>190.4759671746776084407971864</v>
      </c>
      <c r="O32" s="81">
        <v>-2.8743229516885886403354122400</v>
      </c>
      <c r="P32" s="184"/>
      <c r="Q32" s="238">
        <v>225.9702868852459016393442623</v>
      </c>
      <c r="R32" s="81">
        <v>-0.6974673984708279501806497200</v>
      </c>
      <c r="S32" s="184"/>
      <c r="T32" s="238">
        <v>255.69439728353140916808149406</v>
      </c>
      <c r="U32" s="81">
        <v>-7.3845404067830403839483106200</v>
      </c>
      <c r="V32" s="184"/>
      <c r="W32" s="238">
        <v>251.30859049207673060884070058</v>
      </c>
      <c r="X32" s="81">
        <v>-7.0515970617738260819208326200</v>
      </c>
      <c r="Y32" s="186"/>
      <c r="Z32" s="238">
        <v>218.81238990017615971814445097</v>
      </c>
      <c r="AA32" s="81">
        <v>-4.6170527982774706336507505100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79.77811510240050164672254584</v>
      </c>
      <c r="F33" s="73">
        <v>7.7513425530211805687190498800</v>
      </c>
      <c r="G33" s="68"/>
      <c r="H33" s="68">
        <v>82.37151025049968931360612644</v>
      </c>
      <c r="I33" s="73">
        <v>16.537170762220702886995695290</v>
      </c>
      <c r="J33" s="68"/>
      <c r="K33" s="68">
        <v>85.26435903953191443588808517</v>
      </c>
      <c r="L33" s="73">
        <v>19.554328526623543424817072730</v>
      </c>
      <c r="M33" s="68"/>
      <c r="N33" s="68">
        <v>75.292372956715504610895026480</v>
      </c>
      <c r="O33" s="73">
        <v>2.5029598948855251369775956600</v>
      </c>
      <c r="P33" s="68"/>
      <c r="Q33" s="68">
        <v>65.777707929060753055252296330</v>
      </c>
      <c r="R33" s="73">
        <v>-12.824364081305883339350036230</v>
      </c>
      <c r="S33" s="68"/>
      <c r="T33" s="68">
        <v>83.68232419872471201823841237</v>
      </c>
      <c r="U33" s="73">
        <v>2.3801068165539914756471161100</v>
      </c>
      <c r="V33" s="68"/>
      <c r="W33" s="68">
        <v>85.81075447861749558177581666</v>
      </c>
      <c r="X33" s="73">
        <v>1.9548638976583509423072612100</v>
      </c>
      <c r="Y33" s="174"/>
      <c r="Z33" s="68">
        <v>79.32706677695925583836547764</v>
      </c>
      <c r="AA33" s="73">
        <v>2.1970517225182118751551805100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3" t="s">
        <v>13</v>
      </c>
      <c r="C35" s="1"/>
      <c r="D35" s="17" t="s">
        <v>32</v>
      </c>
      <c r="E35" s="237">
        <v>123.77840909090909090909090909</v>
      </c>
      <c r="F35" s="73">
        <v>7.989094514221598317992250800</v>
      </c>
      <c r="G35" s="70"/>
      <c r="H35" s="237">
        <v>108.19318181818181818181818182</v>
      </c>
      <c r="I35" s="73">
        <v>19.265940122772818834034600810</v>
      </c>
      <c r="J35" s="70"/>
      <c r="K35" s="237">
        <v>105.05113636363636363636363636</v>
      </c>
      <c r="L35" s="73">
        <v>20.232805150334570588873064190</v>
      </c>
      <c r="M35" s="70"/>
      <c r="N35" s="237">
        <v>113.53598484848484848484848485</v>
      </c>
      <c r="O35" s="73">
        <v>28.440425942241993261555577300</v>
      </c>
      <c r="P35" s="70"/>
      <c r="Q35" s="237">
        <v>134.562500000</v>
      </c>
      <c r="R35" s="73">
        <v>1.1719306239761982690742253900</v>
      </c>
      <c r="S35" s="70"/>
      <c r="T35" s="237">
        <v>195.73484848484848484848484848</v>
      </c>
      <c r="U35" s="73">
        <v>2.9167786972584869397225624600</v>
      </c>
      <c r="V35" s="70"/>
      <c r="W35" s="237">
        <v>201.76325757575757575757575758</v>
      </c>
      <c r="X35" s="73">
        <v>-0.3954971296101009257174602900</v>
      </c>
      <c r="Y35" s="178"/>
      <c r="Z35" s="237">
        <v>140.37418831168831168831168831</v>
      </c>
      <c r="AA35" s="73">
        <v>8.353817590197181343370087890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3" t="s"/>
      <c r="C36" s="15"/>
      <c r="D36" s="187" t="s">
        <v>26</v>
      </c>
      <c r="E36" s="238">
        <v>137.9876453488372093023255814</v>
      </c>
      <c r="F36" s="81">
        <v>-3.6080171389901913233306156400</v>
      </c>
      <c r="G36" s="184"/>
      <c r="H36" s="238">
        <v>114.9251453488372093023255814</v>
      </c>
      <c r="I36" s="81">
        <v>-9.763362568265740764288944450</v>
      </c>
      <c r="J36" s="184"/>
      <c r="K36" s="238">
        <v>114.09302325581395348837209302</v>
      </c>
      <c r="L36" s="81">
        <v>-5.7308930200951752139955173800</v>
      </c>
      <c r="M36" s="184"/>
      <c r="N36" s="238">
        <v>118.07848837209302325581395349</v>
      </c>
      <c r="O36" s="81">
        <v>-5.5322662232132770654921310300</v>
      </c>
      <c r="P36" s="184"/>
      <c r="Q36" s="238">
        <v>160.28125000000000000000000</v>
      </c>
      <c r="R36" s="81">
        <v>-4.0403249315647237275646755900</v>
      </c>
      <c r="S36" s="184"/>
      <c r="T36" s="238">
        <v>218.90116279069767441860465116</v>
      </c>
      <c r="U36" s="81">
        <v>2.5385445496590329571430806600</v>
      </c>
      <c r="V36" s="184"/>
      <c r="W36" s="238">
        <v>218.98183139534883720930232558</v>
      </c>
      <c r="X36" s="81">
        <v>4.5451548995926266360876203100</v>
      </c>
      <c r="Y36" s="186"/>
      <c r="Z36" s="238">
        <v>154.74979235880398671096345515</v>
      </c>
      <c r="AA36" s="81">
        <v>-2.1020587105186574749401323400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89.70253009102855980445444409</v>
      </c>
      <c r="F37" s="73">
        <v>12.031199389172674014119871500</v>
      </c>
      <c r="G37" s="68"/>
      <c r="H37" s="68">
        <v>94.14230583725907452321119968</v>
      </c>
      <c r="I37" s="73">
        <v>32.170195518421222033179259350</v>
      </c>
      <c r="J37" s="68"/>
      <c r="K37" s="68">
        <v>92.07498702888128997728923056</v>
      </c>
      <c r="L37" s="73">
        <v>27.542106849485072892542790980</v>
      </c>
      <c r="M37" s="68"/>
      <c r="N37" s="68">
        <v>96.15297961022299959939248489</v>
      </c>
      <c r="O37" s="73">
        <v>35.962217793524814048504606430</v>
      </c>
      <c r="P37" s="68"/>
      <c r="Q37" s="68">
        <v>83.95398713199454084616884383</v>
      </c>
      <c r="R37" s="73">
        <v>5.4317144694618561076239404800</v>
      </c>
      <c r="S37" s="68"/>
      <c r="T37" s="68">
        <v>89.41699805952984442895847605</v>
      </c>
      <c r="U37" s="73">
        <v>0.3688702129142516112438866100</v>
      </c>
      <c r="V37" s="68"/>
      <c r="W37" s="68">
        <v>92.13698519652074389483447920</v>
      </c>
      <c r="X37" s="73">
        <v>-4.7258546165564816230609158900</v>
      </c>
      <c r="Y37" s="174"/>
      <c r="Z37" s="68">
        <v>90.71042110752518540025651414</v>
      </c>
      <c r="AA37" s="73">
        <v>10.680384248079058206253112620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9"/>
</worksheet>
</file>

<file path=xl/worksheets/sheet2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121</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168</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177</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178</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167</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51" t="s">
        <v>21</v>
      </c>
      <c r="E8" s="651"/>
      <c r="F8" s="651"/>
      <c r="G8" s="1"/>
      <c r="H8" s="651" t="s">
        <v>24</v>
      </c>
      <c r="I8" s="651"/>
      <c r="J8" s="651"/>
      <c r="K8" s="1"/>
      <c r="L8" s="651" t="s">
        <v>25</v>
      </c>
      <c r="M8" s="651"/>
      <c r="N8" s="651"/>
      <c r="O8" s="1"/>
      <c r="P8" s="651" t="s">
        <v>23</v>
      </c>
      <c r="Q8" s="651"/>
      <c r="R8" s="651"/>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0.7954545454545454545454545455</v>
      </c>
      <c r="F10" s="73">
        <v>18.357487922691591402366451220</v>
      </c>
      <c r="G10" s="66"/>
      <c r="H10" s="17" t="s">
        <v>32</v>
      </c>
      <c r="I10" s="19">
        <v>0.0216450216450216450216450216</v>
      </c>
      <c r="J10" s="73">
        <v>-41.176470588975778546703481500</v>
      </c>
      <c r="K10" s="1"/>
      <c r="L10" s="17" t="s">
        <v>32</v>
      </c>
      <c r="M10" s="19">
        <v>0</v>
      </c>
      <c r="N10" s="73">
        <v>0</v>
      </c>
      <c r="O10" s="1"/>
      <c r="P10" s="17" t="s">
        <v>32</v>
      </c>
      <c r="Q10" s="19">
        <v>0.8170995670995670995670995671</v>
      </c>
      <c r="R10" s="73">
        <v>15.267175572593699667851572100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0.6810631229235880398671096346</v>
      </c>
      <c r="F11" s="81">
        <v>-0.6060606060818101010100964800</v>
      </c>
      <c r="G11" s="181"/>
      <c r="H11" s="187" t="s">
        <v>27</v>
      </c>
      <c r="I11" s="190">
        <v>0</v>
      </c>
      <c r="J11" s="81">
        <v>-100</v>
      </c>
      <c r="K11" s="191"/>
      <c r="L11" s="187" t="s">
        <v>27</v>
      </c>
      <c r="M11" s="190">
        <v>0</v>
      </c>
      <c r="N11" s="81">
        <v>0</v>
      </c>
      <c r="O11" s="191"/>
      <c r="P11" s="187" t="s">
        <v>27</v>
      </c>
      <c r="Q11" s="190">
        <v>0.6810631229235880398671096346</v>
      </c>
      <c r="R11" s="81">
        <v>-6.5527065527521315573737003800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116.79600886910895354496786492</v>
      </c>
      <c r="F12" s="73">
        <v>19.079179922160973203245614210</v>
      </c>
      <c r="G12" s="68"/>
      <c r="H12" s="406" t="s">
        <v>91</v>
      </c>
      <c r="I12" s="74">
        <v>0</v>
      </c>
      <c r="J12" s="73">
        <v>-100</v>
      </c>
      <c r="K12" s="1"/>
      <c r="L12" s="406" t="s">
        <v>91</v>
      </c>
      <c r="M12" s="74">
        <v>0</v>
      </c>
      <c r="N12" s="73">
        <v>0</v>
      </c>
      <c r="O12" s="1"/>
      <c r="P12" s="406" t="s">
        <v>91</v>
      </c>
      <c r="Q12" s="74">
        <v>119.97413155942484343734794287</v>
      </c>
      <c r="R12" s="73">
        <v>23.349934835232679549286003930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168.10340136054421768707482993</v>
      </c>
      <c r="F14" s="73">
        <v>-3.7513832208131060662554534200</v>
      </c>
      <c r="G14" s="70"/>
      <c r="H14" s="76" t="s">
        <v>32</v>
      </c>
      <c r="I14" s="239">
        <v>187</v>
      </c>
      <c r="J14" s="73">
        <v>-25.819624314543867900430372920</v>
      </c>
      <c r="K14" s="77"/>
      <c r="L14" s="76" t="s">
        <v>32</v>
      </c>
      <c r="M14" s="239">
        <v>0</v>
      </c>
      <c r="N14" s="73">
        <v>0</v>
      </c>
      <c r="O14" s="77"/>
      <c r="P14" s="76" t="s">
        <v>32</v>
      </c>
      <c r="Q14" s="239">
        <v>168.60397350993377483443708609</v>
      </c>
      <c r="R14" s="73">
        <v>-5.6364048730177000799903139600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214.50426829268292682926829268</v>
      </c>
      <c r="F15" s="81">
        <v>-8.105163798171106203050305140</v>
      </c>
      <c r="G15" s="184"/>
      <c r="H15" s="189" t="s">
        <v>27</v>
      </c>
      <c r="I15" s="240">
        <v>0</v>
      </c>
      <c r="J15" s="81">
        <v>-100</v>
      </c>
      <c r="K15" s="188"/>
      <c r="L15" s="189" t="s">
        <v>27</v>
      </c>
      <c r="M15" s="240">
        <v>0</v>
      </c>
      <c r="N15" s="81">
        <v>0</v>
      </c>
      <c r="O15" s="188"/>
      <c r="P15" s="189" t="s">
        <v>27</v>
      </c>
      <c r="Q15" s="240">
        <v>214.50426829268292682926829268</v>
      </c>
      <c r="R15" s="81">
        <v>-8.257341300659276448106792360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78.368324648514747240773859450</v>
      </c>
      <c r="F16" s="73">
        <v>4.7377858836807563316788072500</v>
      </c>
      <c r="G16" s="68"/>
      <c r="H16" s="406" t="s">
        <v>92</v>
      </c>
      <c r="I16" s="74">
        <v>0</v>
      </c>
      <c r="J16" s="73">
        <v>-100</v>
      </c>
      <c r="K16" s="1"/>
      <c r="L16" s="406" t="s">
        <v>92</v>
      </c>
      <c r="M16" s="74">
        <v>0</v>
      </c>
      <c r="N16" s="73">
        <v>0</v>
      </c>
      <c r="O16" s="1"/>
      <c r="P16" s="406" t="s">
        <v>92</v>
      </c>
      <c r="Q16" s="74">
        <v>78.601686974296771130293051790</v>
      </c>
      <c r="R16" s="73">
        <v>2.8568350479010141194229730300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133.71861471861471861471861472</v>
      </c>
      <c r="F18" s="73">
        <v>13.917444980256915925903027090</v>
      </c>
      <c r="G18" s="70"/>
      <c r="H18" s="76" t="s">
        <v>32</v>
      </c>
      <c r="I18" s="239">
        <v>4.0476190476190476190476190476</v>
      </c>
      <c r="J18" s="73">
        <v>-56.364484891033397778860716190</v>
      </c>
      <c r="K18" s="77"/>
      <c r="L18" s="76" t="s">
        <v>32</v>
      </c>
      <c r="M18" s="239">
        <v>0</v>
      </c>
      <c r="N18" s="73">
        <v>0</v>
      </c>
      <c r="O18" s="77"/>
      <c r="P18" s="76" t="s">
        <v>32</v>
      </c>
      <c r="Q18" s="239">
        <v>137.76623376623376623376623377</v>
      </c>
      <c r="R18" s="73">
        <v>8.770250871563932616779791100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146.09094684385382059800664452</v>
      </c>
      <c r="F19" s="81">
        <v>-8.662102199383118162985685720</v>
      </c>
      <c r="G19" s="184"/>
      <c r="H19" s="189" t="s">
        <v>27</v>
      </c>
      <c r="I19" s="240">
        <v>0</v>
      </c>
      <c r="J19" s="81">
        <v>-100</v>
      </c>
      <c r="K19" s="188"/>
      <c r="L19" s="189" t="s">
        <v>27</v>
      </c>
      <c r="M19" s="240">
        <v>0</v>
      </c>
      <c r="N19" s="81">
        <v>0</v>
      </c>
      <c r="O19" s="188"/>
      <c r="P19" s="189" t="s">
        <v>27</v>
      </c>
      <c r="Q19" s="240">
        <v>146.09094684385382059800664452</v>
      </c>
      <c r="R19" s="81">
        <v>-14.268968508886792086155419820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91.53107540708509975308631235</v>
      </c>
      <c r="F20" s="73">
        <v>24.720896498842019605751605730</v>
      </c>
      <c r="G20" s="68"/>
      <c r="H20" s="406" t="s">
        <v>93</v>
      </c>
      <c r="I20" s="74">
        <v>0</v>
      </c>
      <c r="J20" s="73">
        <v>-100</v>
      </c>
      <c r="K20" s="1"/>
      <c r="L20" s="406" t="s">
        <v>93</v>
      </c>
      <c r="M20" s="74">
        <v>0</v>
      </c>
      <c r="N20" s="73">
        <v>0</v>
      </c>
      <c r="O20" s="1"/>
      <c r="P20" s="406" t="s">
        <v>93</v>
      </c>
      <c r="Q20" s="74">
        <v>94.30169133850484685623421944</v>
      </c>
      <c r="R20" s="73">
        <v>26.873839005141974961977844450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51" t="s">
        <v>21</v>
      </c>
      <c r="E25" s="651"/>
      <c r="F25" s="651"/>
      <c r="G25" s="1"/>
      <c r="H25" s="651" t="s">
        <v>24</v>
      </c>
      <c r="I25" s="651"/>
      <c r="J25" s="651"/>
      <c r="K25" s="1"/>
      <c r="L25" s="651" t="s">
        <v>25</v>
      </c>
      <c r="M25" s="651"/>
      <c r="N25" s="651"/>
      <c r="O25" s="1"/>
      <c r="P25" s="651" t="s">
        <v>23</v>
      </c>
      <c r="Q25" s="651"/>
      <c r="R25" s="651"/>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0.7968073593073593073593073593</v>
      </c>
      <c r="F27" s="73">
        <v>17.097415507021571564647932140</v>
      </c>
      <c r="G27" s="1"/>
      <c r="H27" s="17" t="s">
        <v>32</v>
      </c>
      <c r="I27" s="19">
        <v>0.0119047619047619047619047619</v>
      </c>
      <c r="J27" s="73">
        <v>-74.712643678202774474831480480</v>
      </c>
      <c r="K27" s="1"/>
      <c r="L27" s="17" t="s">
        <v>32</v>
      </c>
      <c r="M27" s="19">
        <v>0</v>
      </c>
      <c r="N27" s="73">
        <v>0</v>
      </c>
      <c r="O27" s="1"/>
      <c r="P27" s="17" t="s">
        <v>32</v>
      </c>
      <c r="Q27" s="19">
        <v>0.8087121212121212121212121212</v>
      </c>
      <c r="R27" s="73">
        <v>11.156563778400580080465022470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0.7039036544850498338870431894</v>
      </c>
      <c r="F28" s="81">
        <v>4.0355992021333361462139960600</v>
      </c>
      <c r="G28" s="191"/>
      <c r="H28" s="187" t="s">
        <v>27</v>
      </c>
      <c r="I28" s="190">
        <v>0.003322259136212624584717608</v>
      </c>
      <c r="J28" s="81">
        <v>-73.333333333767111111104054780</v>
      </c>
      <c r="K28" s="191"/>
      <c r="L28" s="187" t="s">
        <v>27</v>
      </c>
      <c r="M28" s="190">
        <v>0</v>
      </c>
      <c r="N28" s="81">
        <v>0</v>
      </c>
      <c r="O28" s="191"/>
      <c r="P28" s="187" t="s">
        <v>27</v>
      </c>
      <c r="Q28" s="190">
        <v>0.7072259136212624584717607973</v>
      </c>
      <c r="R28" s="81">
        <v>2.6367334639292649185061582100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113.19835523376147788480782507</v>
      </c>
      <c r="F29" s="73">
        <v>12.555141129605480942915976070</v>
      </c>
      <c r="G29" s="75"/>
      <c r="H29" s="406" t="s">
        <v>91</v>
      </c>
      <c r="I29" s="74">
        <v>358.33333335626666666813439986</v>
      </c>
      <c r="J29" s="73">
        <v>-5.1724137854816525172535552500</v>
      </c>
      <c r="K29" s="75"/>
      <c r="L29" s="406" t="s">
        <v>91</v>
      </c>
      <c r="M29" s="74">
        <v>0</v>
      </c>
      <c r="N29" s="73">
        <v>0</v>
      </c>
      <c r="O29" s="75"/>
      <c r="P29" s="406" t="s">
        <v>91</v>
      </c>
      <c r="Q29" s="74">
        <v>114.34989946444571756620634673</v>
      </c>
      <c r="R29" s="73">
        <v>8.300956223868397785074229720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173.19762308998302207130730051</v>
      </c>
      <c r="F31" s="73">
        <v>-0.0798224362581443703590304500</v>
      </c>
      <c r="G31" s="77"/>
      <c r="H31" s="76" t="s">
        <v>32</v>
      </c>
      <c r="I31" s="239">
        <v>199</v>
      </c>
      <c r="J31" s="73">
        <v>-19.254716321151021493746266610</v>
      </c>
      <c r="K31" s="77"/>
      <c r="L31" s="76" t="s">
        <v>32</v>
      </c>
      <c r="M31" s="239">
        <v>0</v>
      </c>
      <c r="N31" s="73">
        <v>0</v>
      </c>
      <c r="O31" s="77"/>
      <c r="P31" s="76" t="s">
        <v>32</v>
      </c>
      <c r="Q31" s="239">
        <v>173.57745065239210438273670124</v>
      </c>
      <c r="R31" s="73">
        <v>-2.5214401137039210259220944200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218.7377581120943952802359882</v>
      </c>
      <c r="F32" s="81">
        <v>-4.5796646822187485881178477900</v>
      </c>
      <c r="G32" s="188"/>
      <c r="H32" s="189" t="s">
        <v>27</v>
      </c>
      <c r="I32" s="240">
        <v>234.625</v>
      </c>
      <c r="J32" s="81">
        <v>-1.6384851872417046513676972800</v>
      </c>
      <c r="K32" s="188"/>
      <c r="L32" s="189" t="s">
        <v>27</v>
      </c>
      <c r="M32" s="240">
        <v>0</v>
      </c>
      <c r="N32" s="81">
        <v>0</v>
      </c>
      <c r="O32" s="188"/>
      <c r="P32" s="189" t="s">
        <v>27</v>
      </c>
      <c r="Q32" s="240">
        <v>218.81238990017615971814445097</v>
      </c>
      <c r="R32" s="81">
        <v>-4.6170527982774706336507505100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79.180487440683055574841173610</v>
      </c>
      <c r="F33" s="73">
        <v>4.7158105565253765493686619400</v>
      </c>
      <c r="G33" s="75"/>
      <c r="H33" s="406" t="s">
        <v>92</v>
      </c>
      <c r="I33" s="74">
        <v>84.81619605753862546616941929</v>
      </c>
      <c r="J33" s="73">
        <v>-17.909678564288212838008109400</v>
      </c>
      <c r="K33" s="75"/>
      <c r="L33" s="406" t="s">
        <v>92</v>
      </c>
      <c r="M33" s="74">
        <v>0</v>
      </c>
      <c r="N33" s="73">
        <v>0</v>
      </c>
      <c r="O33" s="75"/>
      <c r="P33" s="406" t="s">
        <v>92</v>
      </c>
      <c r="Q33" s="74">
        <v>79.32706677695925583836547764</v>
      </c>
      <c r="R33" s="73">
        <v>2.1970517225182118751551805100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138.00514069264069264069264069</v>
      </c>
      <c r="F35" s="73">
        <v>17.003945497120680136511529230</v>
      </c>
      <c r="G35" s="77"/>
      <c r="H35" s="76" t="s">
        <v>32</v>
      </c>
      <c r="I35" s="239">
        <v>2.369047619047619047619047619</v>
      </c>
      <c r="J35" s="73">
        <v>-79.58165240297397720272545849</v>
      </c>
      <c r="K35" s="77"/>
      <c r="L35" s="76" t="s">
        <v>32</v>
      </c>
      <c r="M35" s="239">
        <v>0</v>
      </c>
      <c r="N35" s="73">
        <v>0</v>
      </c>
      <c r="O35" s="77"/>
      <c r="P35" s="76" t="s">
        <v>32</v>
      </c>
      <c r="Q35" s="239">
        <v>140.37418831168831168831168831</v>
      </c>
      <c r="R35" s="73">
        <v>8.353817590197181343370087890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153.97030730897009966777408638</v>
      </c>
      <c r="F36" s="81">
        <v>-0.728882391512051380330916400</v>
      </c>
      <c r="G36" s="188"/>
      <c r="H36" s="189" t="s">
        <v>27</v>
      </c>
      <c r="I36" s="240">
        <v>0.7794850498338870431893687708</v>
      </c>
      <c r="J36" s="81">
        <v>-73.770262716229046770817338060</v>
      </c>
      <c r="K36" s="188"/>
      <c r="L36" s="189" t="s">
        <v>27</v>
      </c>
      <c r="M36" s="240">
        <v>0</v>
      </c>
      <c r="N36" s="81">
        <v>0</v>
      </c>
      <c r="O36" s="188"/>
      <c r="P36" s="189" t="s">
        <v>27</v>
      </c>
      <c r="Q36" s="240">
        <v>154.74979235880398671096345515</v>
      </c>
      <c r="R36" s="81">
        <v>-2.1020587105186574749401323400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89.63100944890684243655531424</v>
      </c>
      <c r="F37" s="73">
        <v>17.863028356936431445200447950</v>
      </c>
      <c r="G37" s="75"/>
      <c r="H37" s="406" t="s">
        <v>93</v>
      </c>
      <c r="I37" s="74">
        <v>303.92470255272611741873687684</v>
      </c>
      <c r="J37" s="73">
        <v>-22.155729670716081449324967810</v>
      </c>
      <c r="K37" s="75"/>
      <c r="L37" s="406" t="s">
        <v>93</v>
      </c>
      <c r="M37" s="74">
        <v>0</v>
      </c>
      <c r="N37" s="73">
        <v>0</v>
      </c>
      <c r="O37" s="75"/>
      <c r="P37" s="406" t="s">
        <v>93</v>
      </c>
      <c r="Q37" s="74">
        <v>90.71042110752518540025651414</v>
      </c>
      <c r="R37" s="73">
        <v>10.680384248079058206253112620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33"/>
</worksheet>
</file>

<file path=xl/worksheets/sheet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123</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168</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177</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178</v>
      </c>
      <c r="T4" s="655"/>
      <c r="U4" s="655"/>
      <c r="V4" s="655"/>
      <c r="W4" s="655"/>
      <c r="X4" s="655"/>
      <c r="Y4" s="655"/>
      <c r="Z4" s="655"/>
      <c r="AA4" s="655"/>
      <c r="AB4" s="655"/>
      <c r="AC4" s="655"/>
      <c r="AD4" s="655"/>
      <c r="AE4" s="655"/>
      <c r="AF4" s="655"/>
      <c r="AG4" s="655"/>
      <c r="AH4" s="655"/>
      <c r="AI4" s="655"/>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167</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6"/>
      <c r="Y22" s="656"/>
      <c r="Z22" s="656"/>
      <c r="AA22" s="656"/>
      <c r="AB22" s="656"/>
      <c r="AC22" s="656"/>
      <c r="AD22" s="656"/>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48</v>
      </c>
      <c r="D23" s="50" t="s">
        <v>50</v>
      </c>
      <c r="E23" s="50" t="s">
        <v>51</v>
      </c>
      <c r="F23" s="50" t="s">
        <v>52</v>
      </c>
      <c r="G23" s="50" t="s">
        <v>53</v>
      </c>
      <c r="H23" s="50" t="s">
        <v>49</v>
      </c>
      <c r="I23" s="50" t="s">
        <v>47</v>
      </c>
      <c r="J23" s="50" t="s">
        <v>48</v>
      </c>
      <c r="K23" s="50" t="s">
        <v>50</v>
      </c>
      <c r="L23" s="50" t="s">
        <v>51</v>
      </c>
      <c r="M23" s="50" t="s">
        <v>52</v>
      </c>
      <c r="N23" s="50" t="s">
        <v>53</v>
      </c>
      <c r="O23" s="50" t="s">
        <v>49</v>
      </c>
      <c r="P23" s="50" t="s">
        <v>47</v>
      </c>
      <c r="Q23" s="50" t="s">
        <v>48</v>
      </c>
      <c r="R23" s="50" t="s">
        <v>50</v>
      </c>
      <c r="S23" s="50" t="s">
        <v>51</v>
      </c>
      <c r="T23" s="50" t="s">
        <v>52</v>
      </c>
      <c r="U23" s="50" t="s">
        <v>53</v>
      </c>
      <c r="V23" s="50" t="s">
        <v>49</v>
      </c>
      <c r="W23" s="50" t="s">
        <v>47</v>
      </c>
      <c r="X23" s="50" t="s">
        <v>48</v>
      </c>
      <c r="Y23" s="50" t="s">
        <v>50</v>
      </c>
      <c r="Z23" s="50" t="s">
        <v>51</v>
      </c>
      <c r="AA23" s="50" t="s">
        <v>52</v>
      </c>
      <c r="AB23" s="50" t="s">
        <v>53</v>
      </c>
      <c r="AC23" s="50" t="s">
        <v>49</v>
      </c>
      <c r="AD23" s="50" t="s">
        <v>47</v>
      </c>
      <c r="AE23" s="50" t="s">
        <v>48</v>
      </c>
      <c r="AF23" s="50" t="s">
        <v>50</v>
      </c>
      <c r="AG23" s="50" t="s">
        <v>51</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179</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73.484848484848484848484848480</v>
      </c>
      <c r="D26" s="287">
        <v>86.36363636363636363636363636</v>
      </c>
      <c r="E26" s="287">
        <v>93.18181818181818181818181818</v>
      </c>
      <c r="F26" s="287">
        <v>95.45454545454545454545454545</v>
      </c>
      <c r="G26" s="287">
        <v>88.63636363636363636363636364</v>
      </c>
      <c r="H26" s="287">
        <v>81.81818181818181818181818182</v>
      </c>
      <c r="I26" s="287">
        <v>65.151515151515151515151515150</v>
      </c>
      <c r="J26" s="287">
        <v>62.121212121212121212121212120</v>
      </c>
      <c r="K26" s="287">
        <v>77.272727272727272727272727270</v>
      </c>
      <c r="L26" s="287">
        <v>87.12121212121212121212121212</v>
      </c>
      <c r="M26" s="287">
        <v>90.15151515151515151515151515</v>
      </c>
      <c r="N26" s="287">
        <v>96.21212121212121212121212121</v>
      </c>
      <c r="O26" s="287">
        <v>81.06060606060606060606060606</v>
      </c>
      <c r="P26" s="287">
        <v>73.484848484848484848484848480</v>
      </c>
      <c r="Q26" s="287">
        <v>67.424242424242424242424242420</v>
      </c>
      <c r="R26" s="287">
        <v>74.242424242424242424242424240</v>
      </c>
      <c r="S26" s="287">
        <v>90.15151515151515151515151515</v>
      </c>
      <c r="T26" s="287">
        <v>89.39393939393939393939393939</v>
      </c>
      <c r="U26" s="287">
        <v>96.21212121212121212121212121</v>
      </c>
      <c r="V26" s="287"/>
      <c r="W26" s="287"/>
      <c r="X26" s="287"/>
      <c r="Y26" s="287"/>
      <c r="Z26" s="287"/>
      <c r="AA26" s="287"/>
      <c r="AB26" s="287"/>
      <c r="AC26" s="287"/>
      <c r="AD26" s="287"/>
      <c r="AE26" s="287"/>
      <c r="AF26" s="287"/>
      <c r="AG26" s="288"/>
      <c r="AH26" s="218"/>
      <c r="AI26" s="302">
        <v>82.57575757575757575757575758</v>
      </c>
      <c r="AJ26" s="302">
        <v>77.913752913752913752913752910</v>
      </c>
      <c r="AK26" s="302">
        <v>92.67676767676767676767676768</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64.244186046511627906976744190</v>
      </c>
      <c r="D27" s="202">
        <v>60.465116279069767441860465120</v>
      </c>
      <c r="E27" s="202">
        <v>76.162790697674418604651162790</v>
      </c>
      <c r="F27" s="202">
        <v>88.95348837209302325581395349</v>
      </c>
      <c r="G27" s="202">
        <v>86.91860465116279069767441860</v>
      </c>
      <c r="H27" s="202">
        <v>67.441860465116279069767441860</v>
      </c>
      <c r="I27" s="202">
        <v>57.267441860465116279069767440</v>
      </c>
      <c r="J27" s="202">
        <v>58.720930232558139534883720930</v>
      </c>
      <c r="K27" s="202">
        <v>62.790697674418604651162790700</v>
      </c>
      <c r="L27" s="202">
        <v>72.674418604651162790697674420</v>
      </c>
      <c r="M27" s="202">
        <v>88.66279069767441860465116279</v>
      </c>
      <c r="N27" s="202">
        <v>89.82558139534883720930232558</v>
      </c>
      <c r="O27" s="202">
        <v>59.883720930232558139534883720</v>
      </c>
      <c r="P27" s="202">
        <v>54.651162790697674418604651160</v>
      </c>
      <c r="Q27" s="202">
        <v>56.686046511627906976744186050</v>
      </c>
      <c r="R27" s="202">
        <v>60.465116279069767441860465120</v>
      </c>
      <c r="S27" s="202">
        <v>65.697674418604651162790697670</v>
      </c>
      <c r="T27" s="202">
        <v>89.53488372093023255813953488</v>
      </c>
      <c r="U27" s="202">
        <v>89.82558139534883720930232558</v>
      </c>
      <c r="V27" s="202"/>
      <c r="W27" s="202"/>
      <c r="X27" s="202"/>
      <c r="Y27" s="202"/>
      <c r="Z27" s="202"/>
      <c r="AA27" s="202"/>
      <c r="AB27" s="202"/>
      <c r="AC27" s="202"/>
      <c r="AD27" s="202"/>
      <c r="AE27" s="202"/>
      <c r="AF27" s="202"/>
      <c r="AG27" s="290"/>
      <c r="AH27" s="218"/>
      <c r="AI27" s="303">
        <v>71.098531211750305997552019580</v>
      </c>
      <c r="AJ27" s="303">
        <v>62.857781753130590339892665470</v>
      </c>
      <c r="AK27" s="303">
        <v>88.95348837209302325581395349</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114.38365556014685128552576358</v>
      </c>
      <c r="D28" s="292">
        <v>142.83216783209641608391611962</v>
      </c>
      <c r="E28" s="292">
        <v>122.34559333791865699710232295</v>
      </c>
      <c r="F28" s="292">
        <v>107.30837789660477438747335007</v>
      </c>
      <c r="G28" s="292">
        <v>101.97628458493658175472922144</v>
      </c>
      <c r="H28" s="292">
        <v>121.31661442009197924548698145</v>
      </c>
      <c r="I28" s="292">
        <v>113.76711275181502572427362136</v>
      </c>
      <c r="J28" s="292">
        <v>105.79057905783037551279885839</v>
      </c>
      <c r="K28" s="292">
        <v>123.06397306400952737249034625</v>
      </c>
      <c r="L28" s="292">
        <v>119.87878787870732024242429656</v>
      </c>
      <c r="M28" s="292">
        <v>101.67908594135168643163699103</v>
      </c>
      <c r="N28" s="292">
        <v>107.10993429445854834517294088</v>
      </c>
      <c r="O28" s="292">
        <v>135.36334215953225991653745679</v>
      </c>
      <c r="P28" s="292">
        <v>134.46163765312129305732746227</v>
      </c>
      <c r="Q28" s="292">
        <v>118.94327894333749997011538355</v>
      </c>
      <c r="R28" s="292">
        <v>122.78554778548639277389280459</v>
      </c>
      <c r="S28" s="292">
        <v>137.22177527488233482131203243</v>
      </c>
      <c r="T28" s="292">
        <v>99.84258166079719202481895473</v>
      </c>
      <c r="U28" s="292">
        <v>107.10993429445854834517294088</v>
      </c>
      <c r="V28" s="292"/>
      <c r="W28" s="292"/>
      <c r="X28" s="292"/>
      <c r="Y28" s="292"/>
      <c r="Z28" s="292"/>
      <c r="AA28" s="292"/>
      <c r="AB28" s="292"/>
      <c r="AC28" s="292"/>
      <c r="AD28" s="292"/>
      <c r="AE28" s="292"/>
      <c r="AF28" s="292"/>
      <c r="AG28" s="293"/>
      <c r="AH28" s="218"/>
      <c r="AI28" s="304">
        <v>116.14270529691721188825280061</v>
      </c>
      <c r="AJ28" s="304">
        <v>123.95243793328801040132445429</v>
      </c>
      <c r="AK28" s="304">
        <v>104.18564732289405343968973407</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19.753086419824051211705574740</v>
      </c>
      <c r="D31" s="287">
        <v>28.089887640530034086605277320</v>
      </c>
      <c r="E31" s="287">
        <v>7.8947368421506925207756423900</v>
      </c>
      <c r="F31" s="287">
        <v>5.8823529411942659416707889500</v>
      </c>
      <c r="G31" s="287">
        <v>-7.1428571428129251700680061500</v>
      </c>
      <c r="H31" s="287">
        <v>18.681318681308247796159884990</v>
      </c>
      <c r="I31" s="287">
        <v>0.0000000000232558139534937800</v>
      </c>
      <c r="J31" s="287">
        <v>-1.2048192771274785890550115700</v>
      </c>
      <c r="K31" s="287">
        <v>32.467532467608163265306165700</v>
      </c>
      <c r="L31" s="287">
        <v>-1.7094017094420337497260408800</v>
      </c>
      <c r="M31" s="287">
        <v>0.8474576271630853203102752600</v>
      </c>
      <c r="N31" s="287">
        <v>1.599999999967488000000010400</v>
      </c>
      <c r="O31" s="287">
        <v>0.0000000000074766355140192500</v>
      </c>
      <c r="P31" s="287">
        <v>21.249999999921187500000051220</v>
      </c>
      <c r="Q31" s="287">
        <v>18.666666666628693333333345480</v>
      </c>
      <c r="R31" s="287">
        <v>5.3763440860894901144641437500</v>
      </c>
      <c r="S31" s="287">
        <v>32.222222222257481481481490880</v>
      </c>
      <c r="T31" s="287">
        <v>14.563106796120953907060043530</v>
      </c>
      <c r="U31" s="287">
        <v>18.691588785055603109441873310</v>
      </c>
      <c r="V31" s="287"/>
      <c r="W31" s="287"/>
      <c r="X31" s="287"/>
      <c r="Y31" s="287"/>
      <c r="Z31" s="287"/>
      <c r="AA31" s="287"/>
      <c r="AB31" s="287"/>
      <c r="AC31" s="287"/>
      <c r="AD31" s="287"/>
      <c r="AE31" s="287"/>
      <c r="AF31" s="287"/>
      <c r="AG31" s="288"/>
      <c r="AH31" s="218"/>
      <c r="AI31" s="302">
        <v>12.432138979301398776998560280</v>
      </c>
      <c r="AJ31" s="302">
        <v>15.095615815049107749402765860</v>
      </c>
      <c r="AK31" s="302">
        <v>3.4968979130890314675004060200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8.866995073848722366473360120</v>
      </c>
      <c r="D32" s="202">
        <v>-17.786561264814335484072551550</v>
      </c>
      <c r="E32" s="202">
        <v>-13.531353135277003343898730880</v>
      </c>
      <c r="F32" s="202">
        <v>1.9999999999782400000000046400</v>
      </c>
      <c r="G32" s="202">
        <v>3.4602076124281079010069403100</v>
      </c>
      <c r="H32" s="202">
        <v>0.0000000000241379310344885800</v>
      </c>
      <c r="I32" s="202">
        <v>1.0256410256907613412229041700</v>
      </c>
      <c r="J32" s="202">
        <v>9.189189189274179693206786390</v>
      </c>
      <c r="K32" s="202">
        <v>11.917098445577298719428712580</v>
      </c>
      <c r="L32" s="202">
        <v>13.636363636351239669421488960</v>
      </c>
      <c r="M32" s="202">
        <v>28.691983122380245331054498600</v>
      </c>
      <c r="N32" s="202">
        <v>14.869888475843263636489269490</v>
      </c>
      <c r="O32" s="202">
        <v>-22.264150943365718761124943530</v>
      </c>
      <c r="P32" s="202">
        <v>-22.950819672088202096210672120</v>
      </c>
      <c r="Q32" s="202">
        <v>-18.410041840949563207926995520</v>
      </c>
      <c r="R32" s="202">
        <v>-9.956709956713075092295871400</v>
      </c>
      <c r="S32" s="202">
        <v>-8.870967741917845993756500230</v>
      </c>
      <c r="T32" s="202">
        <v>13.235294117590441176470616540</v>
      </c>
      <c r="U32" s="202">
        <v>20.703124999939648437500030170</v>
      </c>
      <c r="V32" s="202"/>
      <c r="W32" s="202"/>
      <c r="X32" s="202"/>
      <c r="Y32" s="202"/>
      <c r="Z32" s="202"/>
      <c r="AA32" s="202"/>
      <c r="AB32" s="202"/>
      <c r="AC32" s="202"/>
      <c r="AD32" s="202"/>
      <c r="AE32" s="202"/>
      <c r="AF32" s="202"/>
      <c r="AG32" s="290"/>
      <c r="AH32" s="218"/>
      <c r="AI32" s="303">
        <v>1.4185945001989443443028866200</v>
      </c>
      <c r="AJ32" s="303">
        <v>-5.8404115325188556319010071700</v>
      </c>
      <c r="AK32" s="303">
        <v>11.923920994944798198095066450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9.999441372021812568833949770</v>
      </c>
      <c r="D33" s="292">
        <v>55.801642177996943736267315190</v>
      </c>
      <c r="E33" s="292">
        <v>24.779027721932305120728309910</v>
      </c>
      <c r="F33" s="292">
        <v>3.8062283737318105805128955800</v>
      </c>
      <c r="G33" s="292">
        <v>-10.248447204973100556592320860</v>
      </c>
      <c r="H33" s="292">
        <v>18.681318681296859401338739330</v>
      </c>
      <c r="I33" s="292">
        <v>-1.015228426495046687650407100</v>
      </c>
      <c r="J33" s="292">
        <v>-9.519265179627839986962811480</v>
      </c>
      <c r="K33" s="292">
        <v>18.362193362264806236617823040</v>
      </c>
      <c r="L33" s="292">
        <v>-13.504273504322861200454583210</v>
      </c>
      <c r="M33" s="292">
        <v>-21.636565712717137399140221230</v>
      </c>
      <c r="N33" s="292">
        <v>-11.552103559859182260624386260</v>
      </c>
      <c r="O33" s="292">
        <v>28.640776699039024215844130300</v>
      </c>
      <c r="P33" s="292">
        <v>57.367021276541106165843763960</v>
      </c>
      <c r="Q33" s="292">
        <v>45.442735042719176727917724400</v>
      </c>
      <c r="R33" s="292">
        <v>17.028535980136416718944028340</v>
      </c>
      <c r="S33" s="292">
        <v>45.093411996002001780663785190</v>
      </c>
      <c r="T33" s="292">
        <v>1.1726137940141237936285502600</v>
      </c>
      <c r="U33" s="292">
        <v>-1.6665154401311595026476583300</v>
      </c>
      <c r="V33" s="292"/>
      <c r="W33" s="292"/>
      <c r="X33" s="292"/>
      <c r="Y33" s="292"/>
      <c r="Z33" s="292"/>
      <c r="AA33" s="292"/>
      <c r="AB33" s="292"/>
      <c r="AC33" s="292"/>
      <c r="AD33" s="292"/>
      <c r="AE33" s="292"/>
      <c r="AF33" s="292"/>
      <c r="AG33" s="293"/>
      <c r="AH33" s="218"/>
      <c r="AI33" s="304">
        <v>10.859492318328844504203343240</v>
      </c>
      <c r="AJ33" s="304">
        <v>22.234620699125884090839896610</v>
      </c>
      <c r="AK33" s="304">
        <v>-7.5292421913857096761256966200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6"/>
      <c r="Y35" s="656"/>
      <c r="Z35" s="656"/>
      <c r="AA35" s="656"/>
      <c r="AB35" s="656"/>
      <c r="AC35" s="656"/>
      <c r="AD35" s="656"/>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179</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142.7319587628865979381443299</v>
      </c>
      <c r="D38" s="295">
        <v>124.29824561403508771929824561</v>
      </c>
      <c r="E38" s="295">
        <v>145.59349593495934959349593496</v>
      </c>
      <c r="F38" s="295">
        <v>228.65079365079365079365079365</v>
      </c>
      <c r="G38" s="295">
        <v>225.7008547008547008547008547</v>
      </c>
      <c r="H38" s="295">
        <v>141.83333333333333333333333333</v>
      </c>
      <c r="I38" s="295">
        <v>139.02325581395348837209302326</v>
      </c>
      <c r="J38" s="295">
        <v>152.06097560975609756097560976</v>
      </c>
      <c r="K38" s="295">
        <v>144.70588235294117647058823529</v>
      </c>
      <c r="L38" s="295">
        <v>151.90434782608695652173913043</v>
      </c>
      <c r="M38" s="295">
        <v>212.64705882352941176470588235</v>
      </c>
      <c r="N38" s="295">
        <v>228.33858267716535433070866142</v>
      </c>
      <c r="O38" s="295">
        <v>148.8878504672897196261682243</v>
      </c>
      <c r="P38" s="295">
        <v>147.11340206185567010309278351</v>
      </c>
      <c r="Q38" s="295">
        <v>142.64044943820224719101123596</v>
      </c>
      <c r="R38" s="295">
        <v>137.500000000</v>
      </c>
      <c r="S38" s="295">
        <v>144.17647058823529411764705882</v>
      </c>
      <c r="T38" s="295">
        <v>226.25423728813559322033898305</v>
      </c>
      <c r="U38" s="295">
        <v>213.14960629921259842519685039</v>
      </c>
      <c r="V38" s="295"/>
      <c r="W38" s="295"/>
      <c r="X38" s="295"/>
      <c r="Y38" s="295"/>
      <c r="Z38" s="295"/>
      <c r="AA38" s="295"/>
      <c r="AB38" s="295"/>
      <c r="AC38" s="295"/>
      <c r="AD38" s="295"/>
      <c r="AE38" s="295"/>
      <c r="AF38" s="295"/>
      <c r="AG38" s="296"/>
      <c r="AH38" s="218"/>
      <c r="AI38" s="305">
        <v>171.27571221632061805890873974</v>
      </c>
      <c r="AJ38" s="305">
        <v>143.1735228122662677636499626</v>
      </c>
      <c r="AK38" s="305">
        <v>222.46457765667574931880108992</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184.79185520361990950226244343</v>
      </c>
      <c r="D39" s="207">
        <v>203.26923076923076923076923076</v>
      </c>
      <c r="E39" s="207">
        <v>232.12213740458015267175572519</v>
      </c>
      <c r="F39" s="207">
        <v>261.04575163398692810457516339</v>
      </c>
      <c r="G39" s="207">
        <v>248.79264214046822742474916389</v>
      </c>
      <c r="H39" s="207">
        <v>198.36206896551724137931034483</v>
      </c>
      <c r="I39" s="207">
        <v>187.35532994923857868020304568</v>
      </c>
      <c r="J39" s="207">
        <v>192.6089108910891089108910891</v>
      </c>
      <c r="K39" s="207">
        <v>193.46296296296296296296296295</v>
      </c>
      <c r="L39" s="207">
        <v>252.372</v>
      </c>
      <c r="M39" s="207">
        <v>266.09180327868852459016393443</v>
      </c>
      <c r="N39" s="207">
        <v>257.42071197411003236245954693</v>
      </c>
      <c r="O39" s="207">
        <v>193.8640776699029126213592233</v>
      </c>
      <c r="P39" s="207">
        <v>190.6808510638297872340425532</v>
      </c>
      <c r="Q39" s="207">
        <v>177.44615384615384615384615384</v>
      </c>
      <c r="R39" s="207">
        <v>180.66826923076923076923076922</v>
      </c>
      <c r="S39" s="207">
        <v>216.98672566371681415929203541</v>
      </c>
      <c r="T39" s="207">
        <v>254.67207792207792207792207793</v>
      </c>
      <c r="U39" s="207">
        <v>247.06796116504854368932038835</v>
      </c>
      <c r="V39" s="207"/>
      <c r="W39" s="207"/>
      <c r="X39" s="207"/>
      <c r="Y39" s="207"/>
      <c r="Z39" s="207"/>
      <c r="AA39" s="207"/>
      <c r="AB39" s="207"/>
      <c r="AC39" s="207"/>
      <c r="AD39" s="207"/>
      <c r="AE39" s="207"/>
      <c r="AF39" s="207"/>
      <c r="AG39" s="298"/>
      <c r="AH39" s="218"/>
      <c r="AI39" s="306">
        <v>223.24273724983860555196901227</v>
      </c>
      <c r="AJ39" s="306">
        <v>201.94094628246175738171469228</v>
      </c>
      <c r="AK39" s="306">
        <v>255.85675381263616557734204793</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77.239312634005085026777818090</v>
      </c>
      <c r="D40" s="292">
        <v>61.149562648351967402137014220</v>
      </c>
      <c r="E40" s="292">
        <v>62.722796525513167600757380090</v>
      </c>
      <c r="F40" s="292">
        <v>87.59031404248792379856715491</v>
      </c>
      <c r="G40" s="292">
        <v>90.71846046532005713453783510</v>
      </c>
      <c r="H40" s="292">
        <v>71.502245400556700180680911780</v>
      </c>
      <c r="I40" s="292">
        <v>74.202989502166075039975318230</v>
      </c>
      <c r="J40" s="292">
        <v>78.948048097177872491476945690</v>
      </c>
      <c r="K40" s="292">
        <v>74.797718455607615344526204210</v>
      </c>
      <c r="L40" s="292">
        <v>60.190650240948661706425090910</v>
      </c>
      <c r="M40" s="292">
        <v>79.91492267080715834044926670</v>
      </c>
      <c r="N40" s="292">
        <v>88.70249053624686555120576296</v>
      </c>
      <c r="O40" s="292">
        <v>76.800123187755766836262471810</v>
      </c>
      <c r="P40" s="292">
        <v>77.151639108550509013533592190</v>
      </c>
      <c r="Q40" s="292">
        <v>80.38520212832265052325195646</v>
      </c>
      <c r="R40" s="292">
        <v>76.106335985510868289462006190</v>
      </c>
      <c r="S40" s="292">
        <v>66.444834423507211350754151930</v>
      </c>
      <c r="T40" s="292">
        <v>88.84139915697512907701746895</v>
      </c>
      <c r="U40" s="292">
        <v>86.27164983033327263551867437</v>
      </c>
      <c r="V40" s="292"/>
      <c r="W40" s="292"/>
      <c r="X40" s="292"/>
      <c r="Y40" s="292"/>
      <c r="Z40" s="292"/>
      <c r="AA40" s="292"/>
      <c r="AB40" s="292"/>
      <c r="AC40" s="292"/>
      <c r="AD40" s="292"/>
      <c r="AE40" s="292"/>
      <c r="AF40" s="292"/>
      <c r="AG40" s="293"/>
      <c r="AH40" s="218"/>
      <c r="AI40" s="304">
        <v>76.721739899054235207244955160</v>
      </c>
      <c r="AJ40" s="304">
        <v>70.898708482814285865383439880</v>
      </c>
      <c r="AK40" s="304">
        <v>86.94887836324928415668489581</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-0.6932772736978312350764845200</v>
      </c>
      <c r="D43" s="287">
        <v>-16.135669322669314370192545910</v>
      </c>
      <c r="E43" s="287">
        <v>-20.40637540601613385763064800</v>
      </c>
      <c r="F43" s="287">
        <v>6.4324054153945441068023226500</v>
      </c>
      <c r="G43" s="287">
        <v>-1.6588018109405352970156842500</v>
      </c>
      <c r="H43" s="287">
        <v>-7.5243008287199774298671343900</v>
      </c>
      <c r="I43" s="287">
        <v>-14.158529580704444635428746220</v>
      </c>
      <c r="J43" s="287">
        <v>13.305152846849351231088100870</v>
      </c>
      <c r="K43" s="287">
        <v>2.0548904669086180397334270800</v>
      </c>
      <c r="L43" s="287">
        <v>-24.653176633646391498763787440</v>
      </c>
      <c r="M43" s="287">
        <v>-13.668147458524259892183199220</v>
      </c>
      <c r="N43" s="287">
        <v>-6.9008975319796813512343183600</v>
      </c>
      <c r="O43" s="287">
        <v>-14.948481127564371752206913190</v>
      </c>
      <c r="P43" s="287">
        <v>10.114821902586579418482622390</v>
      </c>
      <c r="Q43" s="287">
        <v>-4.4562498180980875852425627900</v>
      </c>
      <c r="R43" s="287">
        <v>-10.181217953234361264346623900</v>
      </c>
      <c r="S43" s="287">
        <v>2.4546573465710664329661801400</v>
      </c>
      <c r="T43" s="287">
        <v>-4.5223433272749511514737092200</v>
      </c>
      <c r="U43" s="287">
        <v>-9.157142220923562312689989230</v>
      </c>
      <c r="V43" s="287"/>
      <c r="W43" s="287"/>
      <c r="X43" s="287"/>
      <c r="Y43" s="287"/>
      <c r="Z43" s="287"/>
      <c r="AA43" s="287"/>
      <c r="AB43" s="287"/>
      <c r="AC43" s="287"/>
      <c r="AD43" s="287"/>
      <c r="AE43" s="287"/>
      <c r="AF43" s="287"/>
      <c r="AG43" s="288"/>
      <c r="AH43" s="218"/>
      <c r="AI43" s="302">
        <v>-5.6549456033264495088361803400</v>
      </c>
      <c r="AJ43" s="302">
        <v>-8.517423596095956298259830310</v>
      </c>
      <c r="AK43" s="302">
        <v>-5.1491441015191007960864381500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0.3927276303143890651400268300</v>
      </c>
      <c r="D44" s="202">
        <v>0.3201439334632610059562323500</v>
      </c>
      <c r="E44" s="202">
        <v>-7.4175868344746407159181019300</v>
      </c>
      <c r="F44" s="202">
        <v>0.6590217223249219537028014100</v>
      </c>
      <c r="G44" s="202">
        <v>0.5314153585671997785227129900</v>
      </c>
      <c r="H44" s="202">
        <v>6.6957247519520307919229774400</v>
      </c>
      <c r="I44" s="202">
        <v>-9.402645092244401025046883130</v>
      </c>
      <c r="J44" s="202">
        <v>-0.5785476706000186149749763300</v>
      </c>
      <c r="K44" s="202">
        <v>2.3669687507930074979660070100</v>
      </c>
      <c r="L44" s="202">
        <v>12.070243429821649115636422500</v>
      </c>
      <c r="M44" s="202">
        <v>-15.251693417754332734793355200</v>
      </c>
      <c r="N44" s="202">
        <v>-15.114529370111961623693885870</v>
      </c>
      <c r="O44" s="202">
        <v>-19.892126144102737423760688850</v>
      </c>
      <c r="P44" s="202">
        <v>-3.6526658530372709552268018900</v>
      </c>
      <c r="Q44" s="202">
        <v>-12.246253167449368555777135930</v>
      </c>
      <c r="R44" s="202">
        <v>-8.703497490205418348070046590</v>
      </c>
      <c r="S44" s="202">
        <v>-0.4279698678777299233446900400</v>
      </c>
      <c r="T44" s="202">
        <v>-9.305290535476313208903873540</v>
      </c>
      <c r="U44" s="202">
        <v>-13.892506795746416553943938500</v>
      </c>
      <c r="V44" s="202"/>
      <c r="W44" s="202"/>
      <c r="X44" s="202"/>
      <c r="Y44" s="202"/>
      <c r="Z44" s="202"/>
      <c r="AA44" s="202"/>
      <c r="AB44" s="202"/>
      <c r="AC44" s="202"/>
      <c r="AD44" s="202"/>
      <c r="AE44" s="202"/>
      <c r="AF44" s="202"/>
      <c r="AG44" s="290"/>
      <c r="AH44" s="218"/>
      <c r="AI44" s="303">
        <v>-2.5694300383873544901622598400</v>
      </c>
      <c r="AJ44" s="303">
        <v>-2.8352713248441286769316960600</v>
      </c>
      <c r="AK44" s="303">
        <v>-8.366187534375227236746477980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-1.0817565471356758202289673800</v>
      </c>
      <c r="D45" s="292">
        <v>-16.403299089228628473679803770</v>
      </c>
      <c r="E45" s="292">
        <v>-14.029434022600652978431195430</v>
      </c>
      <c r="F45" s="292">
        <v>5.7355849423789944246700123500</v>
      </c>
      <c r="G45" s="292">
        <v>-2.1786395443840776647008269100</v>
      </c>
      <c r="H45" s="292">
        <v>-13.327643271360439629598892430</v>
      </c>
      <c r="I45" s="292">
        <v>-5.2494738873264865815133570700</v>
      </c>
      <c r="J45" s="292">
        <v>13.964491759146821095856590420</v>
      </c>
      <c r="K45" s="292">
        <v>-0.3048622888465595666960022400</v>
      </c>
      <c r="L45" s="292">
        <v>-32.768216557409733097122468480</v>
      </c>
      <c r="M45" s="292">
        <v>1.8685281430610675717818493800</v>
      </c>
      <c r="N45" s="292">
        <v>9.676133945113061294074668060</v>
      </c>
      <c r="O45" s="292">
        <v>6.1712348344133398321716435500</v>
      </c>
      <c r="P45" s="292">
        <v>14.289432995250321959405918180</v>
      </c>
      <c r="Q45" s="292">
        <v>8.877117650856441254596756330</v>
      </c>
      <c r="R45" s="292">
        <v>-1.6185948228112361036339458500</v>
      </c>
      <c r="S45" s="292">
        <v>2.8950170149999594825360871800</v>
      </c>
      <c r="T45" s="292">
        <v>5.2736782954970679134806232300</v>
      </c>
      <c r="U45" s="292">
        <v>5.499364107102739846408088400</v>
      </c>
      <c r="V45" s="292"/>
      <c r="W45" s="292"/>
      <c r="X45" s="292"/>
      <c r="Y45" s="292"/>
      <c r="Z45" s="292"/>
      <c r="AA45" s="292"/>
      <c r="AB45" s="292"/>
      <c r="AC45" s="292"/>
      <c r="AD45" s="292"/>
      <c r="AE45" s="292"/>
      <c r="AF45" s="292"/>
      <c r="AG45" s="293"/>
      <c r="AH45" s="218"/>
      <c r="AI45" s="304">
        <v>-3.1668864978604201550882661400</v>
      </c>
      <c r="AJ45" s="304">
        <v>-5.8479577401195373977674003100</v>
      </c>
      <c r="AK45" s="304">
        <v>3.5107602165022993674838812800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6"/>
      <c r="Y47" s="656"/>
      <c r="Z47" s="656"/>
      <c r="AA47" s="656"/>
      <c r="AB47" s="656"/>
      <c r="AC47" s="656"/>
      <c r="AD47" s="656"/>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179</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104.88636363636363636363636364</v>
      </c>
      <c r="D50" s="295">
        <v>107.34848484848484848484848485</v>
      </c>
      <c r="E50" s="295">
        <v>135.66666666666666666666666667</v>
      </c>
      <c r="F50" s="295">
        <v>218.25757575757575757575757576</v>
      </c>
      <c r="G50" s="295">
        <v>200.0530303030303030303030303</v>
      </c>
      <c r="H50" s="295">
        <v>116.04545454545454545454545455</v>
      </c>
      <c r="I50" s="295">
        <v>90.57575757575757575757575758</v>
      </c>
      <c r="J50" s="295">
        <v>94.46212121212121212121212121</v>
      </c>
      <c r="K50" s="295">
        <v>111.81818181818181818181818182</v>
      </c>
      <c r="L50" s="295">
        <v>132.34090909090909090909090909</v>
      </c>
      <c r="M50" s="295">
        <v>191.70454545454545454545454545</v>
      </c>
      <c r="N50" s="295">
        <v>219.68939393939393939393939394</v>
      </c>
      <c r="O50" s="295">
        <v>120.68939393939393939393939394</v>
      </c>
      <c r="P50" s="295">
        <v>108.10606060606060606060606061</v>
      </c>
      <c r="Q50" s="295">
        <v>96.17424242424242424242424242</v>
      </c>
      <c r="R50" s="295">
        <v>102.08333333333333333333333333</v>
      </c>
      <c r="S50" s="295">
        <v>129.97727272727272727272727273</v>
      </c>
      <c r="T50" s="295">
        <v>202.25757575757575757575757576</v>
      </c>
      <c r="U50" s="295">
        <v>205.07575757575757575757575758</v>
      </c>
      <c r="V50" s="295"/>
      <c r="W50" s="295"/>
      <c r="X50" s="295"/>
      <c r="Y50" s="295"/>
      <c r="Z50" s="295"/>
      <c r="AA50" s="295"/>
      <c r="AB50" s="295"/>
      <c r="AC50" s="295"/>
      <c r="AD50" s="295"/>
      <c r="AE50" s="295"/>
      <c r="AF50" s="295"/>
      <c r="AG50" s="296"/>
      <c r="AH50" s="218"/>
      <c r="AI50" s="305">
        <v>141.43221690590111642743221691</v>
      </c>
      <c r="AJ50" s="305">
        <v>111.5518648018648018648018648</v>
      </c>
      <c r="AK50" s="305">
        <v>206.1729797979797979797979798</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118.71802325581395348837209302</v>
      </c>
      <c r="D51" s="207">
        <v>122.90697674418604651162790698</v>
      </c>
      <c r="E51" s="207">
        <v>176.7906976744186046511627907</v>
      </c>
      <c r="F51" s="207">
        <v>232.2093023255813953488372093</v>
      </c>
      <c r="G51" s="207">
        <v>216.24709302325581395348837209</v>
      </c>
      <c r="H51" s="207">
        <v>133.77906976744186046511627907</v>
      </c>
      <c r="I51" s="207">
        <v>107.2936046511627906976744186</v>
      </c>
      <c r="J51" s="207">
        <v>113.10174418604651162790697674</v>
      </c>
      <c r="K51" s="207">
        <v>121.47674418604651162790697674</v>
      </c>
      <c r="L51" s="207">
        <v>183.40988372093023255813953488</v>
      </c>
      <c r="M51" s="207">
        <v>235.92441860465116279069767442</v>
      </c>
      <c r="N51" s="207">
        <v>231.22965116279069767441860465</v>
      </c>
      <c r="O51" s="207">
        <v>116.09302325581395348837209302</v>
      </c>
      <c r="P51" s="207">
        <v>104.2093023255813953488372093</v>
      </c>
      <c r="Q51" s="207">
        <v>100.58720930232558139534883721</v>
      </c>
      <c r="R51" s="207">
        <v>109.24127906976744186046511628</v>
      </c>
      <c r="S51" s="207">
        <v>142.55523255813953488372093023</v>
      </c>
      <c r="T51" s="207">
        <v>228.02034883720930232558139535</v>
      </c>
      <c r="U51" s="207">
        <v>221.93023255813953488372093023</v>
      </c>
      <c r="V51" s="207"/>
      <c r="W51" s="207"/>
      <c r="X51" s="207"/>
      <c r="Y51" s="207"/>
      <c r="Z51" s="207"/>
      <c r="AA51" s="207"/>
      <c r="AB51" s="207"/>
      <c r="AC51" s="207"/>
      <c r="AD51" s="207"/>
      <c r="AE51" s="207"/>
      <c r="AF51" s="207"/>
      <c r="AG51" s="298"/>
      <c r="AH51" s="218"/>
      <c r="AI51" s="306">
        <v>158.72230722154222766217870257</v>
      </c>
      <c r="AJ51" s="306">
        <v>126.93559928443649373881932021</v>
      </c>
      <c r="AK51" s="306">
        <v>227.59350775193798449612403101</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88.34914932029024135815833645</v>
      </c>
      <c r="D52" s="292">
        <v>87.34124595050755794461271151</v>
      </c>
      <c r="E52" s="292">
        <v>76.738577567314924694648844860</v>
      </c>
      <c r="F52" s="292">
        <v>93.99174519354036696841289369</v>
      </c>
      <c r="G52" s="292">
        <v>92.51131541522047953659967053</v>
      </c>
      <c r="H52" s="292">
        <v>86.74410335429998867285235890</v>
      </c>
      <c r="I52" s="292">
        <v>84.41859873215150906274443961</v>
      </c>
      <c r="J52" s="292">
        <v>83.51959723695751434254731256</v>
      </c>
      <c r="K52" s="292">
        <v>92.04904409272823131425359209</v>
      </c>
      <c r="L52" s="292">
        <v>72.155821925221865307098245130</v>
      </c>
      <c r="M52" s="292">
        <v>81.25676290242488137641237617</v>
      </c>
      <c r="N52" s="292">
        <v>95.00917933086314931266932841</v>
      </c>
      <c r="O52" s="292">
        <v>103.95921352953852462380951864</v>
      </c>
      <c r="P52" s="292">
        <v>103.73935742155269238443847768</v>
      </c>
      <c r="Q52" s="292">
        <v>95.61279519665859737983713470</v>
      </c>
      <c r="R52" s="292">
        <v>93.44758153930706122444520683</v>
      </c>
      <c r="S52" s="292">
        <v>91.17678137440449076058871680</v>
      </c>
      <c r="T52" s="292">
        <v>88.70154650187903855932465507</v>
      </c>
      <c r="U52" s="292">
        <v>92.40550744796339359952187943</v>
      </c>
      <c r="V52" s="292"/>
      <c r="W52" s="292"/>
      <c r="X52" s="292"/>
      <c r="Y52" s="292"/>
      <c r="Z52" s="292"/>
      <c r="AA52" s="292"/>
      <c r="AB52" s="292"/>
      <c r="AC52" s="292"/>
      <c r="AD52" s="292"/>
      <c r="AE52" s="292"/>
      <c r="AF52" s="292"/>
      <c r="AG52" s="293"/>
      <c r="AH52" s="218"/>
      <c r="AI52" s="304">
        <v>89.10670426969648725560327046</v>
      </c>
      <c r="AJ52" s="304">
        <v>87.88067762766231929289609980</v>
      </c>
      <c r="AK52" s="304">
        <v>90.58825176275645375754599361</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18.922865486988860035908954180</v>
      </c>
      <c r="D55" s="287">
        <v>7.4217269350510053934231007800</v>
      </c>
      <c r="E55" s="287">
        <v>-14.122668201232875768209637060</v>
      </c>
      <c r="F55" s="287">
        <v>12.693135145731706691054805300</v>
      </c>
      <c r="G55" s="287">
        <v>-8.683173110191277897177637760</v>
      </c>
      <c r="H55" s="287">
        <v>9.751379236275876537014556540</v>
      </c>
      <c r="I55" s="287">
        <v>-14.158529580740191370669389910</v>
      </c>
      <c r="J55" s="287">
        <v>11.940030523338063367760838250</v>
      </c>
      <c r="K55" s="287">
        <v>35.189595163984111638254181680</v>
      </c>
      <c r="L55" s="287">
        <v>-25.941156520277100024330968780</v>
      </c>
      <c r="M55" s="287">
        <v>-12.936521589543081052218419600</v>
      </c>
      <c r="N55" s="287">
        <v>-5.4113118925012291670018917100</v>
      </c>
      <c r="O55" s="287">
        <v>-14.948481127533495113034812180</v>
      </c>
      <c r="P55" s="287">
        <v>33.514221556881230755181254450</v>
      </c>
      <c r="Q55" s="287">
        <v>13.378583549108250418158881280</v>
      </c>
      <c r="R55" s="287">
        <v>-5.3522511765464752612124716100</v>
      </c>
      <c r="S55" s="287">
        <v>35.467824713735343758479673010</v>
      </c>
      <c r="T55" s="287">
        <v>9.382169780394491207647637110</v>
      </c>
      <c r="U55" s="287">
        <v>7.8228311957129255427076056900</v>
      </c>
      <c r="V55" s="287"/>
      <c r="W55" s="287"/>
      <c r="X55" s="287"/>
      <c r="Y55" s="287"/>
      <c r="Z55" s="287"/>
      <c r="AA55" s="287"/>
      <c r="AB55" s="287"/>
      <c r="AC55" s="287"/>
      <c r="AD55" s="287"/>
      <c r="AE55" s="287"/>
      <c r="AF55" s="287"/>
      <c r="AG55" s="288"/>
      <c r="AH55" s="218"/>
      <c r="AI55" s="302">
        <v>6.0741626794523558612440257700</v>
      </c>
      <c r="AJ55" s="302">
        <v>5.2924346755417966146112072200</v>
      </c>
      <c r="AK55" s="302">
        <v>-1.8323065010211666338561869800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9.294545843770773508086888730</v>
      </c>
      <c r="D56" s="202">
        <v>-17.52335992820818279756881700</v>
      </c>
      <c r="E56" s="202">
        <v>-19.945240101085924574990648120</v>
      </c>
      <c r="F56" s="202">
        <v>2.672202156793063098081046200</v>
      </c>
      <c r="G56" s="202">
        <v>4.0100110457219796159851723100</v>
      </c>
      <c r="H56" s="202">
        <v>6.6957247519520307919229774400</v>
      </c>
      <c r="I56" s="202">
        <v>-8.473441452128541761226852570</v>
      </c>
      <c r="J56" s="202">
        <v>8.557477678600506467235339420</v>
      </c>
      <c r="K56" s="202">
        <v>14.566141192582593078061017230</v>
      </c>
      <c r="L56" s="202">
        <v>27.352549352034067445960510090</v>
      </c>
      <c r="M56" s="202">
        <v>9.064276403324832488246121230</v>
      </c>
      <c r="N56" s="202">
        <v>-2.4921545552527452132097408500</v>
      </c>
      <c r="O56" s="202">
        <v>-37.727464096928156992054465310</v>
      </c>
      <c r="P56" s="202">
        <v>-25.765168771979118462732120160</v>
      </c>
      <c r="Q56" s="202">
        <v>-28.401754676366231046958511210</v>
      </c>
      <c r="R56" s="202">
        <v>-17.793625445730047273126553930</v>
      </c>
      <c r="S56" s="202">
        <v>-9.260972540897978774477631680</v>
      </c>
      <c r="T56" s="202">
        <v>2.698421011305334746426494500</v>
      </c>
      <c r="U56" s="202">
        <v>3.9344351567170835606809258300</v>
      </c>
      <c r="V56" s="202"/>
      <c r="W56" s="202"/>
      <c r="X56" s="202"/>
      <c r="Y56" s="202"/>
      <c r="Z56" s="202"/>
      <c r="AA56" s="202"/>
      <c r="AB56" s="202"/>
      <c r="AC56" s="202"/>
      <c r="AD56" s="202"/>
      <c r="AE56" s="202"/>
      <c r="AF56" s="202"/>
      <c r="AG56" s="290"/>
      <c r="AH56" s="218"/>
      <c r="AI56" s="303">
        <v>-1.1872853313799877356609256300</v>
      </c>
      <c r="AJ56" s="303">
        <v>-8.510091343861303286928749640</v>
      </c>
      <c r="AK56" s="303">
        <v>2.5601558686203846068174682300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8.809515213127199888071075450</v>
      </c>
      <c r="D57" s="292">
        <v>30.245032825668456551469642690</v>
      </c>
      <c r="E57" s="292">
        <v>7.2732363537869185775912632300</v>
      </c>
      <c r="F57" s="292">
        <v>9.760122777510545080486949280</v>
      </c>
      <c r="G57" s="292">
        <v>-12.203810025857613986920796900</v>
      </c>
      <c r="H57" s="292">
        <v>2.8638958977873645473894190100</v>
      </c>
      <c r="I57" s="292">
        <v>-6.2114081626081471643877885100</v>
      </c>
      <c r="J57" s="292">
        <v>3.1159095782235463122026741800</v>
      </c>
      <c r="K57" s="292">
        <v>18.001351670489178461062813080</v>
      </c>
      <c r="L57" s="292">
        <v>-41.847380475272602626593426650</v>
      </c>
      <c r="M57" s="292">
        <v>-20.17232288920020424386768700</v>
      </c>
      <c r="N57" s="292">
        <v>-2.9937666286955280573069265600</v>
      </c>
      <c r="O57" s="292">
        <v>36.579501122115171816817011170</v>
      </c>
      <c r="P57" s="292">
        <v>79.85387633832683695712460950</v>
      </c>
      <c r="Q57" s="292">
        <v>58.353857746993561884681671450</v>
      </c>
      <c r="R57" s="292">
        <v>15.134318155492044087314671140</v>
      </c>
      <c r="S57" s="292">
        <v>49.293890960890977952367942790</v>
      </c>
      <c r="T57" s="292">
        <v>6.508131968644831684830332900</v>
      </c>
      <c r="U57" s="292">
        <v>3.7412009149277857699440832800</v>
      </c>
      <c r="V57" s="292"/>
      <c r="W57" s="292"/>
      <c r="X57" s="292"/>
      <c r="Y57" s="292"/>
      <c r="Z57" s="292"/>
      <c r="AA57" s="292"/>
      <c r="AB57" s="292"/>
      <c r="AC57" s="292"/>
      <c r="AD57" s="292"/>
      <c r="AE57" s="292"/>
      <c r="AF57" s="292"/>
      <c r="AG57" s="293"/>
      <c r="AH57" s="218"/>
      <c r="AI57" s="304">
        <v>7.3486980244916807499050026100</v>
      </c>
      <c r="AJ57" s="304">
        <v>15.086391736681803621957846290</v>
      </c>
      <c r="AK57" s="304">
        <v>-4.2828156143064249124873743700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7" t="s">
        <v>82</v>
      </c>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0" t="s">
        <v>114</v>
      </c>
      <c r="C62" s="650"/>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c r="AC62" s="650"/>
      <c r="AD62" s="650"/>
      <c r="AE62" s="650"/>
      <c r="AF62" s="650"/>
      <c r="AG62" s="650"/>
      <c r="AH62" s="650"/>
      <c r="AI62" s="650"/>
      <c r="AJ62" s="650"/>
      <c r="AK62" s="650"/>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7"/>
</worksheet>
</file>

<file path=xl/worksheets/sheet3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178</v>
      </c>
      <c r="B4" s="442"/>
      <c r="C4" s="211"/>
      <c r="D4" s="212"/>
      <c r="E4" s="212"/>
      <c r="F4" s="212"/>
      <c r="G4" s="212"/>
      <c r="H4" s="212"/>
      <c r="I4" s="212"/>
      <c r="J4" s="212"/>
      <c r="K4" s="212"/>
      <c r="L4" s="212"/>
      <c r="M4" s="212"/>
      <c r="N4" s="212"/>
      <c r="O4" s="212"/>
      <c r="P4" s="212"/>
      <c r="Q4" s="212"/>
      <c r="R4" s="667" t="s">
        <v>180</v>
      </c>
      <c r="S4" s="667"/>
      <c r="T4" s="667"/>
      <c r="U4" s="667"/>
      <c r="V4" s="667"/>
      <c r="W4" s="667"/>
      <c r="X4" s="667"/>
      <c r="Y4" s="667"/>
      <c r="Z4" s="667"/>
      <c r="AA4" s="66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181</v>
      </c>
      <c r="G9" s="339" t="s">
        <v>63</v>
      </c>
      <c r="H9" s="340" t="s">
        <v>26</v>
      </c>
      <c r="I9" s="341" t="s">
        <v>181</v>
      </c>
      <c r="J9" s="340" t="s">
        <v>63</v>
      </c>
      <c r="K9" s="340" t="s">
        <v>26</v>
      </c>
      <c r="L9" s="341" t="s">
        <v>181</v>
      </c>
      <c r="M9" s="339" t="s">
        <v>63</v>
      </c>
      <c r="N9" s="340" t="s">
        <v>26</v>
      </c>
      <c r="O9" s="341" t="s">
        <v>181</v>
      </c>
      <c r="P9" s="96"/>
      <c r="Q9" s="339" t="s">
        <v>63</v>
      </c>
      <c r="R9" s="340" t="s">
        <v>26</v>
      </c>
      <c r="S9" s="341" t="s">
        <v>181</v>
      </c>
      <c r="T9" s="339" t="s">
        <v>63</v>
      </c>
      <c r="U9" s="340" t="s">
        <v>26</v>
      </c>
      <c r="V9" s="341" t="s">
        <v>181</v>
      </c>
      <c r="W9" s="340"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182</v>
      </c>
      <c r="B10" s="342">
        <v>22</v>
      </c>
      <c r="C10" s="350" t="s">
        <v>49</v>
      </c>
      <c r="D10" s="354">
        <v>64.393939393939393939393939390</v>
      </c>
      <c r="E10" s="355">
        <v>79.94186046511627906976744186</v>
      </c>
      <c r="F10" s="356">
        <v>56.821250738458941682842433960</v>
      </c>
      <c r="G10" s="354">
        <v>0</v>
      </c>
      <c r="H10" s="355">
        <v>2.6162790697674418604651162800</v>
      </c>
      <c r="I10" s="356">
        <v>13.056657383182828368076068300</v>
      </c>
      <c r="J10" s="355">
        <v>0</v>
      </c>
      <c r="K10" s="355">
        <v>0</v>
      </c>
      <c r="L10" s="356">
        <v>7.3712268264551157622302866600</v>
      </c>
      <c r="M10" s="354">
        <v>64.393939393939393939393939390</v>
      </c>
      <c r="N10" s="355">
        <v>82.55813953488372093023255814</v>
      </c>
      <c r="O10" s="356">
        <v>77.249134948096885813148788930</v>
      </c>
      <c r="P10" s="4"/>
      <c r="Q10" s="354">
        <v>-15.841584158469169689246118550</v>
      </c>
      <c r="R10" s="355">
        <v>18.025751073022159185101985660</v>
      </c>
      <c r="S10" s="356">
        <v>8.971391941658297323052020090</v>
      </c>
      <c r="T10" s="354">
        <v>0</v>
      </c>
      <c r="U10" s="355">
        <v>0</v>
      </c>
      <c r="V10" s="356">
        <v>88.49639781576172210997702447</v>
      </c>
      <c r="W10" s="355">
        <v>0</v>
      </c>
      <c r="X10" s="355">
        <v>0</v>
      </c>
      <c r="Y10" s="356">
        <v>-3.6888289510936484375668110300</v>
      </c>
      <c r="Z10" s="354">
        <v>-15.841584158469169689246118550</v>
      </c>
      <c r="AA10" s="355">
        <v>21.888412017230157122068959740</v>
      </c>
      <c r="AB10" s="356">
        <v>15.774886771500198830574223120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23</v>
      </c>
      <c r="C11" s="351" t="s">
        <v>47</v>
      </c>
      <c r="D11" s="327">
        <v>59.090909090909090909090909090</v>
      </c>
      <c r="E11" s="171">
        <v>73.255813953488372093023255810</v>
      </c>
      <c r="F11" s="328">
        <v>53.660906256440636363353905400</v>
      </c>
      <c r="G11" s="327">
        <v>0</v>
      </c>
      <c r="H11" s="171">
        <v>0</v>
      </c>
      <c r="I11" s="328">
        <v>12.792671902202788258286218510</v>
      </c>
      <c r="J11" s="171">
        <v>0</v>
      </c>
      <c r="K11" s="171">
        <v>0</v>
      </c>
      <c r="L11" s="328">
        <v>7.1731519451628037520622982400</v>
      </c>
      <c r="M11" s="327">
        <v>59.090909090909090909090909090</v>
      </c>
      <c r="N11" s="171">
        <v>73.255813953488372093023255810</v>
      </c>
      <c r="O11" s="328">
        <v>73.626730103806228373702422150</v>
      </c>
      <c r="P11" s="4"/>
      <c r="Q11" s="327">
        <v>-3.703703703646639231824383200</v>
      </c>
      <c r="R11" s="171">
        <v>18.309859154858480460226188320</v>
      </c>
      <c r="S11" s="328">
        <v>10.051411388926775575249645680</v>
      </c>
      <c r="T11" s="327">
        <v>-100</v>
      </c>
      <c r="U11" s="171">
        <v>0</v>
      </c>
      <c r="V11" s="328">
        <v>111.94727571280035528281634192</v>
      </c>
      <c r="W11" s="171">
        <v>0</v>
      </c>
      <c r="X11" s="171">
        <v>0</v>
      </c>
      <c r="Y11" s="328">
        <v>-4.2258616857190177571011195300</v>
      </c>
      <c r="Z11" s="327">
        <v>-19.587628865926325858220817370</v>
      </c>
      <c r="AA11" s="171">
        <v>18.309859154858480460226188320</v>
      </c>
      <c r="AB11" s="328">
        <v>18.208862840534767987307896930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24</v>
      </c>
      <c r="C12" s="352" t="s">
        <v>48</v>
      </c>
      <c r="D12" s="359">
        <v>59.090909090909090909090909090</v>
      </c>
      <c r="E12" s="170">
        <v>63.081395348837209302325581400</v>
      </c>
      <c r="F12" s="360">
        <v>52.106059159871644531711618350</v>
      </c>
      <c r="G12" s="359">
        <v>0</v>
      </c>
      <c r="H12" s="170">
        <v>0</v>
      </c>
      <c r="I12" s="360">
        <v>13.107320977969851116426280900</v>
      </c>
      <c r="J12" s="170">
        <v>0</v>
      </c>
      <c r="K12" s="170">
        <v>0</v>
      </c>
      <c r="L12" s="360">
        <v>6.9103222843038330715852841500</v>
      </c>
      <c r="M12" s="359">
        <v>59.090909090909090909090909090</v>
      </c>
      <c r="N12" s="170">
        <v>63.081395348837209302325581400</v>
      </c>
      <c r="O12" s="360">
        <v>72.123702422145328719723183390</v>
      </c>
      <c r="P12" s="4"/>
      <c r="Q12" s="359">
        <v>13.043478260928544423440484460</v>
      </c>
      <c r="R12" s="170">
        <v>7.4257425741808450151946433700</v>
      </c>
      <c r="S12" s="360">
        <v>2.1957206444358822241396237300</v>
      </c>
      <c r="T12" s="359">
        <v>-100</v>
      </c>
      <c r="U12" s="170">
        <v>0</v>
      </c>
      <c r="V12" s="360">
        <v>80.23664255585846047952642661</v>
      </c>
      <c r="W12" s="170">
        <v>0</v>
      </c>
      <c r="X12" s="170">
        <v>0</v>
      </c>
      <c r="Y12" s="360">
        <v>-11.684766383365099928882452860</v>
      </c>
      <c r="Z12" s="359">
        <v>-6.0240963855602845115401329600</v>
      </c>
      <c r="AA12" s="170">
        <v>7.4257425741808450151946433700</v>
      </c>
      <c r="AB12" s="360">
        <v>9.140371779546431193504305510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25</v>
      </c>
      <c r="C13" s="351" t="s">
        <v>50</v>
      </c>
      <c r="D13" s="327">
        <v>69.696969696969696969696969700</v>
      </c>
      <c r="E13" s="171">
        <v>64.244186046511627906976744190</v>
      </c>
      <c r="F13" s="328">
        <v>51.295849593433794730744747180</v>
      </c>
      <c r="G13" s="327">
        <v>9.090909090909090909090909090</v>
      </c>
      <c r="H13" s="171">
        <v>0</v>
      </c>
      <c r="I13" s="328">
        <v>12.446869189084131415824362530</v>
      </c>
      <c r="J13" s="171">
        <v>0</v>
      </c>
      <c r="K13" s="171">
        <v>0</v>
      </c>
      <c r="L13" s="328">
        <v>7.0725926361671949606973262800</v>
      </c>
      <c r="M13" s="327">
        <v>78.787878787878787878787878790</v>
      </c>
      <c r="N13" s="171">
        <v>64.244186046511627906976744190</v>
      </c>
      <c r="O13" s="328">
        <v>70.815311418685121107266435990</v>
      </c>
      <c r="P13" s="4"/>
      <c r="Q13" s="327">
        <v>41.538461538531218934911276910</v>
      </c>
      <c r="R13" s="171">
        <v>10.500000000039780000000014330</v>
      </c>
      <c r="S13" s="328">
        <v>-1.7737453998014797447964226300</v>
      </c>
      <c r="T13" s="327">
        <v>0</v>
      </c>
      <c r="U13" s="171">
        <v>0</v>
      </c>
      <c r="V13" s="328">
        <v>51.385376288542339585752241190</v>
      </c>
      <c r="W13" s="171">
        <v>0</v>
      </c>
      <c r="X13" s="171">
        <v>0</v>
      </c>
      <c r="Y13" s="328">
        <v>-9.012018185895375499774449610</v>
      </c>
      <c r="Z13" s="327">
        <v>60.000000000078769230769269550</v>
      </c>
      <c r="AA13" s="171">
        <v>10.500000000039780000000014330</v>
      </c>
      <c r="AB13" s="328">
        <v>3.8085570734486980737069543400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26</v>
      </c>
      <c r="C14" s="352" t="s">
        <v>51</v>
      </c>
      <c r="D14" s="359">
        <v>82.57575757575757575757575758</v>
      </c>
      <c r="E14" s="170">
        <v>69.186046511627906976744186050</v>
      </c>
      <c r="F14" s="360">
        <v>52.846192713458831994751489370</v>
      </c>
      <c r="G14" s="359">
        <v>9.090909090909090909090909090</v>
      </c>
      <c r="H14" s="170">
        <v>0</v>
      </c>
      <c r="I14" s="360">
        <v>12.872646900098409574299228600</v>
      </c>
      <c r="J14" s="170">
        <v>0</v>
      </c>
      <c r="K14" s="170">
        <v>0</v>
      </c>
      <c r="L14" s="360">
        <v>7.551056580214384728527136700</v>
      </c>
      <c r="M14" s="359">
        <v>91.66666666666666666666666667</v>
      </c>
      <c r="N14" s="170">
        <v>69.186046511627906976744186050</v>
      </c>
      <c r="O14" s="360">
        <v>73.269896193771626297577854670</v>
      </c>
      <c r="P14" s="4"/>
      <c r="Q14" s="359">
        <v>23.863636363574431818181849150</v>
      </c>
      <c r="R14" s="170">
        <v>-0.4184100417743386845467945300</v>
      </c>
      <c r="S14" s="360">
        <v>-2.2428620678999521057799409600</v>
      </c>
      <c r="T14" s="359">
        <v>0</v>
      </c>
      <c r="U14" s="170">
        <v>0</v>
      </c>
      <c r="V14" s="360">
        <v>36.851746811024073843400561370</v>
      </c>
      <c r="W14" s="170">
        <v>0</v>
      </c>
      <c r="X14" s="170">
        <v>0</v>
      </c>
      <c r="Y14" s="360">
        <v>-2.3013902103032167840478097500</v>
      </c>
      <c r="Z14" s="359">
        <v>37.499999999931250000000034380</v>
      </c>
      <c r="AA14" s="170">
        <v>-0.4184100417743386845467945300</v>
      </c>
      <c r="AB14" s="360">
        <v>2.9160403153341137072391266100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27</v>
      </c>
      <c r="C15" s="351" t="s">
        <v>52</v>
      </c>
      <c r="D15" s="327">
        <v>90.90909090909090909090909091</v>
      </c>
      <c r="E15" s="171">
        <v>75.290697674418604651162790700</v>
      </c>
      <c r="F15" s="328">
        <v>63.538112625659360731026307150</v>
      </c>
      <c r="G15" s="327">
        <v>0</v>
      </c>
      <c r="H15" s="171">
        <v>0</v>
      </c>
      <c r="I15" s="328">
        <v>10.380653930910508882210325470</v>
      </c>
      <c r="J15" s="171">
        <v>0</v>
      </c>
      <c r="K15" s="171">
        <v>0</v>
      </c>
      <c r="L15" s="328">
        <v>7.8610777340875698331301493900</v>
      </c>
      <c r="M15" s="327">
        <v>90.90909090909090909090909091</v>
      </c>
      <c r="N15" s="171">
        <v>75.290697674418604651162790700</v>
      </c>
      <c r="O15" s="328">
        <v>81.77984429065743944636678201</v>
      </c>
      <c r="P15" s="4"/>
      <c r="Q15" s="327">
        <v>14.285714285648979591836772010</v>
      </c>
      <c r="R15" s="171">
        <v>1.568627451040935024990424400</v>
      </c>
      <c r="S15" s="328">
        <v>2.4028192250828345288644346900</v>
      </c>
      <c r="T15" s="327">
        <v>0</v>
      </c>
      <c r="U15" s="171">
        <v>0</v>
      </c>
      <c r="V15" s="328">
        <v>7.3427940549266381371606367400</v>
      </c>
      <c r="W15" s="171">
        <v>0</v>
      </c>
      <c r="X15" s="171">
        <v>0</v>
      </c>
      <c r="Y15" s="328">
        <v>-0.950721973654116158194834900</v>
      </c>
      <c r="Z15" s="327">
        <v>14.285714285648979591836772010</v>
      </c>
      <c r="AA15" s="171">
        <v>1.568627451040935024990424400</v>
      </c>
      <c r="AB15" s="328">
        <v>2.6684276099684271787293801900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28</v>
      </c>
      <c r="C16" s="352" t="s">
        <v>53</v>
      </c>
      <c r="D16" s="359">
        <v>93.18181818181818181818181818</v>
      </c>
      <c r="E16" s="170">
        <v>81.97674418604651162790697674</v>
      </c>
      <c r="F16" s="360">
        <v>69.558690196936663396189633720</v>
      </c>
      <c r="G16" s="359">
        <v>0</v>
      </c>
      <c r="H16" s="170">
        <v>0</v>
      </c>
      <c r="I16" s="360">
        <v>7.2807002621592320785061613400</v>
      </c>
      <c r="J16" s="170">
        <v>0</v>
      </c>
      <c r="K16" s="170">
        <v>0</v>
      </c>
      <c r="L16" s="360">
        <v>7.4599174993816131758232360800</v>
      </c>
      <c r="M16" s="359">
        <v>93.18181818181818181818181818</v>
      </c>
      <c r="N16" s="170">
        <v>81.97674418604651162790697674</v>
      </c>
      <c r="O16" s="360">
        <v>84.29930795847750865051903114</v>
      </c>
      <c r="P16" s="4"/>
      <c r="Q16" s="359">
        <v>9.821428571408960459183676970</v>
      </c>
      <c r="R16" s="170">
        <v>11.904761904744142101284961240</v>
      </c>
      <c r="S16" s="360">
        <v>7.4724758409129914755142403400</v>
      </c>
      <c r="T16" s="359">
        <v>0</v>
      </c>
      <c r="U16" s="170">
        <v>0</v>
      </c>
      <c r="V16" s="360">
        <v>-24.541334325802470330664843150</v>
      </c>
      <c r="W16" s="170">
        <v>0</v>
      </c>
      <c r="X16" s="170">
        <v>0</v>
      </c>
      <c r="Y16" s="360">
        <v>-1.9622815820110336643474425900</v>
      </c>
      <c r="Z16" s="359">
        <v>9.821428571408960459183676970</v>
      </c>
      <c r="AA16" s="170">
        <v>11.904761904744142101284961240</v>
      </c>
      <c r="AB16" s="360">
        <v>2.8289189867852966340731450700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29</v>
      </c>
      <c r="C17" s="351" t="s">
        <v>49</v>
      </c>
      <c r="D17" s="327">
        <v>80.30303030303030303030303030</v>
      </c>
      <c r="E17" s="171">
        <v>63.081395348837209302325581400</v>
      </c>
      <c r="F17" s="328">
        <v>51.703808889601268579650846940</v>
      </c>
      <c r="G17" s="327">
        <v>0</v>
      </c>
      <c r="H17" s="171">
        <v>0.581395348837209302325581400</v>
      </c>
      <c r="I17" s="328">
        <v>4.6301918408598150966851504700</v>
      </c>
      <c r="J17" s="171">
        <v>0</v>
      </c>
      <c r="K17" s="171">
        <v>0</v>
      </c>
      <c r="L17" s="328">
        <v>6.9229196847638298184736911700</v>
      </c>
      <c r="M17" s="327">
        <v>80.30303030303030303030303030</v>
      </c>
      <c r="N17" s="171">
        <v>63.662790697674418604651162790</v>
      </c>
      <c r="O17" s="328">
        <v>63.256920415224913494809688580</v>
      </c>
      <c r="P17" s="4"/>
      <c r="Q17" s="327">
        <v>19.101123595580558010352275400</v>
      </c>
      <c r="R17" s="171">
        <v>5.8536585366101511005354014100</v>
      </c>
      <c r="S17" s="328">
        <v>9.305257712047359657093039430</v>
      </c>
      <c r="T17" s="327">
        <v>0</v>
      </c>
      <c r="U17" s="171">
        <v>0</v>
      </c>
      <c r="V17" s="328">
        <v>-33.450402500176687765299410880</v>
      </c>
      <c r="W17" s="171">
        <v>0</v>
      </c>
      <c r="X17" s="171">
        <v>0</v>
      </c>
      <c r="Y17" s="328">
        <v>-9.529783451265890095875516700</v>
      </c>
      <c r="Z17" s="327">
        <v>19.101123595580558010352275400</v>
      </c>
      <c r="AA17" s="171">
        <v>6.8292682927079405116002438100</v>
      </c>
      <c r="AB17" s="328">
        <v>2.1725168106542112752093953100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30</v>
      </c>
      <c r="C18" s="352" t="s">
        <v>47</v>
      </c>
      <c r="D18" s="359">
        <v>78.030303030303030303030303030</v>
      </c>
      <c r="E18" s="170">
        <v>53.197674418604651162790697670</v>
      </c>
      <c r="F18" s="360">
        <v>44.141657530998671317836736420</v>
      </c>
      <c r="G18" s="359">
        <v>0</v>
      </c>
      <c r="H18" s="170">
        <v>2.9069767441860465116279069800</v>
      </c>
      <c r="I18" s="360">
        <v>3.5050447667294230326818252200</v>
      </c>
      <c r="J18" s="170">
        <v>0</v>
      </c>
      <c r="K18" s="170">
        <v>0</v>
      </c>
      <c r="L18" s="360">
        <v>6.1703392247632551304502964900</v>
      </c>
      <c r="M18" s="359">
        <v>78.030303030303030303030303030</v>
      </c>
      <c r="N18" s="170">
        <v>56.104651162790697674418604650</v>
      </c>
      <c r="O18" s="360">
        <v>53.817041522491349480968858130</v>
      </c>
      <c r="P18" s="4"/>
      <c r="Q18" s="359">
        <v>51.470588235151557093425739710</v>
      </c>
      <c r="R18" s="170">
        <v>-10.294117647065859284890426210</v>
      </c>
      <c r="S18" s="360">
        <v>10.334328070147875999148350360</v>
      </c>
      <c r="T18" s="359">
        <v>0</v>
      </c>
      <c r="U18" s="170">
        <v>0</v>
      </c>
      <c r="V18" s="360">
        <v>9.902360201214312922928355850</v>
      </c>
      <c r="W18" s="170">
        <v>0</v>
      </c>
      <c r="X18" s="170">
        <v>0</v>
      </c>
      <c r="Y18" s="360">
        <v>-14.783090401832375946343052150</v>
      </c>
      <c r="Z18" s="359">
        <v>51.470588235151557093425739710</v>
      </c>
      <c r="AA18" s="170">
        <v>-5.3921568627525182622068429400</v>
      </c>
      <c r="AB18" s="360">
        <v>6.7011644053313830882797815500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t="s">
        <v>179</v>
      </c>
      <c r="B19" s="668">
        <v>1</v>
      </c>
      <c r="C19" s="669" t="s">
        <v>48</v>
      </c>
      <c r="D19" s="670">
        <v>73.484848484848484848484848480</v>
      </c>
      <c r="E19" s="671">
        <v>61.337209302325581395348837210</v>
      </c>
      <c r="F19" s="672">
        <v>45.051356136920755957373902450</v>
      </c>
      <c r="G19" s="670">
        <v>0</v>
      </c>
      <c r="H19" s="671">
        <v>2.9069767441860465116279069800</v>
      </c>
      <c r="I19" s="672">
        <v>3.0933990560611017478684625500</v>
      </c>
      <c r="J19" s="671">
        <v>0</v>
      </c>
      <c r="K19" s="671">
        <v>0</v>
      </c>
      <c r="L19" s="672">
        <v>5.9359819724415736242881308400</v>
      </c>
      <c r="M19" s="670">
        <v>73.484848484848484848484848480</v>
      </c>
      <c r="N19" s="671">
        <v>64.244186046511627906976744190</v>
      </c>
      <c r="O19" s="672">
        <v>54.080737165423431329530495830</v>
      </c>
      <c r="P19" s="4"/>
      <c r="Q19" s="670">
        <v>19.753086419824051211705574740</v>
      </c>
      <c r="R19" s="671">
        <v>3.9408866994664272367686831800</v>
      </c>
      <c r="S19" s="672">
        <v>5.7302689561654539766819261900</v>
      </c>
      <c r="T19" s="670">
        <v>0</v>
      </c>
      <c r="U19" s="671">
        <v>0</v>
      </c>
      <c r="V19" s="672">
        <v>41.322497241007668873613113490</v>
      </c>
      <c r="W19" s="671">
        <v>0</v>
      </c>
      <c r="X19" s="671">
        <v>0</v>
      </c>
      <c r="Y19" s="672">
        <v>-23.256630748741238702899346440</v>
      </c>
      <c r="Z19" s="670">
        <v>19.753086419824051211705574740</v>
      </c>
      <c r="AA19" s="671">
        <v>8.866995073848722366473360120</v>
      </c>
      <c r="AB19" s="672">
        <v>2.9453454805795889092213927900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2</v>
      </c>
      <c r="C20" s="352" t="s">
        <v>50</v>
      </c>
      <c r="D20" s="359">
        <v>86.36363636363636363636363636</v>
      </c>
      <c r="E20" s="170">
        <v>60.174418604651162790697674420</v>
      </c>
      <c r="F20" s="360">
        <v>42.557427319721247319840581240</v>
      </c>
      <c r="G20" s="359">
        <v>0</v>
      </c>
      <c r="H20" s="170">
        <v>0.290697674418604651162790700</v>
      </c>
      <c r="I20" s="360">
        <v>2.9220568584473311678330294900</v>
      </c>
      <c r="J20" s="170">
        <v>0</v>
      </c>
      <c r="K20" s="170">
        <v>0</v>
      </c>
      <c r="L20" s="360">
        <v>7.197128371195177545674348900</v>
      </c>
      <c r="M20" s="359">
        <v>86.36363636363636363636363636</v>
      </c>
      <c r="N20" s="170">
        <v>60.465116279069767441860465120</v>
      </c>
      <c r="O20" s="360">
        <v>52.676612549363756033347959630</v>
      </c>
      <c r="P20" s="4"/>
      <c r="Q20" s="359">
        <v>28.089887640530034086605277320</v>
      </c>
      <c r="R20" s="170">
        <v>-18.181818181810420409629895060</v>
      </c>
      <c r="S20" s="360">
        <v>-17.293321100066127539653225650</v>
      </c>
      <c r="T20" s="359">
        <v>0</v>
      </c>
      <c r="U20" s="170">
        <v>0</v>
      </c>
      <c r="V20" s="360">
        <v>40.355480797131375003602458810</v>
      </c>
      <c r="W20" s="170">
        <v>0</v>
      </c>
      <c r="X20" s="170">
        <v>0</v>
      </c>
      <c r="Y20" s="360">
        <v>1.8730837053045617721048321500</v>
      </c>
      <c r="Z20" s="359">
        <v>28.089887640530034086605277320</v>
      </c>
      <c r="AA20" s="170">
        <v>-17.786561264814335484072551550</v>
      </c>
      <c r="AB20" s="360">
        <v>-13.078553288506683853541448590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3</v>
      </c>
      <c r="C21" s="351" t="s">
        <v>51</v>
      </c>
      <c r="D21" s="327">
        <v>93.18181818181818181818181818</v>
      </c>
      <c r="E21" s="171">
        <v>76.162790697674418604651162790</v>
      </c>
      <c r="F21" s="328">
        <v>53.938592351500794688515478610</v>
      </c>
      <c r="G21" s="327">
        <v>0</v>
      </c>
      <c r="H21" s="171">
        <v>0</v>
      </c>
      <c r="I21" s="328">
        <v>2.523849137717787774650434500</v>
      </c>
      <c r="J21" s="171">
        <v>0</v>
      </c>
      <c r="K21" s="171">
        <v>0</v>
      </c>
      <c r="L21" s="328">
        <v>7.9188661018301231094536568700</v>
      </c>
      <c r="M21" s="327">
        <v>93.18181818181818181818181818</v>
      </c>
      <c r="N21" s="171">
        <v>76.162790697674418604651162790</v>
      </c>
      <c r="O21" s="328">
        <v>64.381307591048705572619569990</v>
      </c>
      <c r="P21" s="4"/>
      <c r="Q21" s="327">
        <v>7.8947368421506925207756423900</v>
      </c>
      <c r="R21" s="171">
        <v>-13.531353135277003343898730880</v>
      </c>
      <c r="S21" s="328">
        <v>-20.755705676477102902354671320</v>
      </c>
      <c r="T21" s="327">
        <v>0</v>
      </c>
      <c r="U21" s="171">
        <v>0</v>
      </c>
      <c r="V21" s="328">
        <v>26.028948604155373985579308410</v>
      </c>
      <c r="W21" s="171">
        <v>0</v>
      </c>
      <c r="X21" s="171">
        <v>0</v>
      </c>
      <c r="Y21" s="328">
        <v>21.568092562116160175853847630</v>
      </c>
      <c r="Z21" s="327">
        <v>7.8947368421506925207756423900</v>
      </c>
      <c r="AA21" s="171">
        <v>-13.531353135277003343898730880</v>
      </c>
      <c r="AB21" s="328">
        <v>-15.932358602269378608823257590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4</v>
      </c>
      <c r="C22" s="352" t="s">
        <v>52</v>
      </c>
      <c r="D22" s="359">
        <v>95.45454545454545454545454545</v>
      </c>
      <c r="E22" s="170">
        <v>88.95348837209302325581395349</v>
      </c>
      <c r="F22" s="360">
        <v>68.700374208015224074059582800</v>
      </c>
      <c r="G22" s="359">
        <v>0</v>
      </c>
      <c r="H22" s="170">
        <v>0</v>
      </c>
      <c r="I22" s="360">
        <v>2.9958876499267126399399221100</v>
      </c>
      <c r="J22" s="170">
        <v>0</v>
      </c>
      <c r="K22" s="170">
        <v>0</v>
      </c>
      <c r="L22" s="360">
        <v>6.8688983000220825927139659100</v>
      </c>
      <c r="M22" s="359">
        <v>95.45454545454545454545454545</v>
      </c>
      <c r="N22" s="170">
        <v>88.95348837209302325581395349</v>
      </c>
      <c r="O22" s="360">
        <v>78.565160157964019306713470820</v>
      </c>
      <c r="P22" s="4"/>
      <c r="Q22" s="359">
        <v>5.8823529411942659416707889500</v>
      </c>
      <c r="R22" s="170">
        <v>1.9999999999782400000000046400</v>
      </c>
      <c r="S22" s="360">
        <v>-8.569505842812038497104452460</v>
      </c>
      <c r="T22" s="359">
        <v>0</v>
      </c>
      <c r="U22" s="170">
        <v>0</v>
      </c>
      <c r="V22" s="360">
        <v>-15.665976156673501443561601570</v>
      </c>
      <c r="W22" s="170">
        <v>0</v>
      </c>
      <c r="X22" s="170">
        <v>0</v>
      </c>
      <c r="Y22" s="360">
        <v>-7.6110114862453980403288460300</v>
      </c>
      <c r="Z22" s="359">
        <v>5.8823529411942659416707889500</v>
      </c>
      <c r="AA22" s="170">
        <v>1.9999999999782400000000046400</v>
      </c>
      <c r="AB22" s="360">
        <v>-8.779468520163489335256370870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5</v>
      </c>
      <c r="C23" s="351" t="s">
        <v>53</v>
      </c>
      <c r="D23" s="327">
        <v>88.63636363636363636363636364</v>
      </c>
      <c r="E23" s="171">
        <v>86.91860465116279069767441860</v>
      </c>
      <c r="F23" s="328">
        <v>66.849776956462586259869372440</v>
      </c>
      <c r="G23" s="327">
        <v>0</v>
      </c>
      <c r="H23" s="171">
        <v>0</v>
      </c>
      <c r="I23" s="328">
        <v>3.0174060455565636789074065200</v>
      </c>
      <c r="J23" s="171">
        <v>0</v>
      </c>
      <c r="K23" s="171">
        <v>0</v>
      </c>
      <c r="L23" s="328">
        <v>7.7655506530927412415654764100</v>
      </c>
      <c r="M23" s="327">
        <v>88.63636363636363636363636364</v>
      </c>
      <c r="N23" s="171">
        <v>86.91860465116279069767441860</v>
      </c>
      <c r="O23" s="328">
        <v>77.632733655111891180342255380</v>
      </c>
      <c r="P23" s="4"/>
      <c r="Q23" s="327">
        <v>-7.1428571428129251700680061500</v>
      </c>
      <c r="R23" s="171">
        <v>3.4602076124281079010069403100</v>
      </c>
      <c r="S23" s="328">
        <v>-7.997289274973719343096461300</v>
      </c>
      <c r="T23" s="327">
        <v>0</v>
      </c>
      <c r="U23" s="171">
        <v>0</v>
      </c>
      <c r="V23" s="328">
        <v>-34.660975704590478134487907560</v>
      </c>
      <c r="W23" s="171">
        <v>0</v>
      </c>
      <c r="X23" s="171">
        <v>0</v>
      </c>
      <c r="Y23" s="328">
        <v>4.7240780042786575304972944800</v>
      </c>
      <c r="Z23" s="327">
        <v>-7.1428571428129251700680061500</v>
      </c>
      <c r="AA23" s="171">
        <v>3.4602076124281079010069403100</v>
      </c>
      <c r="AB23" s="328">
        <v>-8.337370573624281182459467040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6</v>
      </c>
      <c r="C24" s="352" t="s">
        <v>49</v>
      </c>
      <c r="D24" s="359">
        <v>81.81818181818181818181818182</v>
      </c>
      <c r="E24" s="170">
        <v>67.441860465116279069767441860</v>
      </c>
      <c r="F24" s="360">
        <v>50.563320211212053731501017180</v>
      </c>
      <c r="G24" s="359">
        <v>0</v>
      </c>
      <c r="H24" s="170">
        <v>0</v>
      </c>
      <c r="I24" s="360">
        <v>2.7957412456602772945988934500</v>
      </c>
      <c r="J24" s="170">
        <v>0</v>
      </c>
      <c r="K24" s="170">
        <v>0</v>
      </c>
      <c r="L24" s="360">
        <v>6.6233869854269230326978076600</v>
      </c>
      <c r="M24" s="359">
        <v>81.81818181818181818181818182</v>
      </c>
      <c r="N24" s="170">
        <v>67.441860465116279069767441860</v>
      </c>
      <c r="O24" s="360">
        <v>59.982448442299254058797718300</v>
      </c>
      <c r="P24" s="4"/>
      <c r="Q24" s="359">
        <v>18.681318681308247796159884990</v>
      </c>
      <c r="R24" s="170">
        <v>0.0000000000241379310344885800</v>
      </c>
      <c r="S24" s="360">
        <v>-5.7349820668338522570079176800</v>
      </c>
      <c r="T24" s="359">
        <v>0</v>
      </c>
      <c r="U24" s="170">
        <v>0</v>
      </c>
      <c r="V24" s="360">
        <v>-33.739769121355060468030864340</v>
      </c>
      <c r="W24" s="170">
        <v>0</v>
      </c>
      <c r="X24" s="170">
        <v>0</v>
      </c>
      <c r="Y24" s="360">
        <v>-9.590674293830419146538395340</v>
      </c>
      <c r="Z24" s="359">
        <v>18.681318681308247796159884990</v>
      </c>
      <c r="AA24" s="170">
        <v>0.0000000000241379310344885800</v>
      </c>
      <c r="AB24" s="360">
        <v>-7.981030532898272698967740690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7</v>
      </c>
      <c r="C25" s="351" t="s">
        <v>47</v>
      </c>
      <c r="D25" s="327">
        <v>65.151515151515151515151515150</v>
      </c>
      <c r="E25" s="171">
        <v>57.267441860465116279069767440</v>
      </c>
      <c r="F25" s="328">
        <v>43.171270000113695861258674850</v>
      </c>
      <c r="G25" s="327">
        <v>0</v>
      </c>
      <c r="H25" s="171">
        <v>0</v>
      </c>
      <c r="I25" s="328">
        <v>5.1442680038841589483556784200</v>
      </c>
      <c r="J25" s="171">
        <v>0</v>
      </c>
      <c r="K25" s="171">
        <v>0</v>
      </c>
      <c r="L25" s="328">
        <v>6.0394422504997318512017941600</v>
      </c>
      <c r="M25" s="327">
        <v>65.151515151515151515151515150</v>
      </c>
      <c r="N25" s="171">
        <v>57.267441860465116279069767440</v>
      </c>
      <c r="O25" s="328">
        <v>54.354980254497586660816147430</v>
      </c>
      <c r="P25" s="4"/>
      <c r="Q25" s="327">
        <v>0.0000000000232558139534937800</v>
      </c>
      <c r="R25" s="171">
        <v>1.0256410256907613412229041700</v>
      </c>
      <c r="S25" s="328">
        <v>-12.862688619519751172380240340</v>
      </c>
      <c r="T25" s="327">
        <v>0</v>
      </c>
      <c r="U25" s="171">
        <v>0</v>
      </c>
      <c r="V25" s="328">
        <v>-34.142254925155618026660965540</v>
      </c>
      <c r="W25" s="171">
        <v>0</v>
      </c>
      <c r="X25" s="171">
        <v>0</v>
      </c>
      <c r="Y25" s="328">
        <v>-16.336851693026954032054851690</v>
      </c>
      <c r="Z25" s="327">
        <v>0.0000000000232558139534937800</v>
      </c>
      <c r="AA25" s="171">
        <v>1.0256410256907613412229041700</v>
      </c>
      <c r="AB25" s="328">
        <v>-15.825150480326489161271191950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8</v>
      </c>
      <c r="C26" s="352" t="s">
        <v>48</v>
      </c>
      <c r="D26" s="359">
        <v>62.121212121212121212121212120</v>
      </c>
      <c r="E26" s="170">
        <v>58.720930232558139534883720930</v>
      </c>
      <c r="F26" s="360">
        <v>47.681717080440648337074425790</v>
      </c>
      <c r="G26" s="359">
        <v>0</v>
      </c>
      <c r="H26" s="170">
        <v>0</v>
      </c>
      <c r="I26" s="360">
        <v>5.3375056433329083959411670700</v>
      </c>
      <c r="J26" s="170">
        <v>0</v>
      </c>
      <c r="K26" s="170">
        <v>0</v>
      </c>
      <c r="L26" s="360">
        <v>6.0966175570513664789194663800</v>
      </c>
      <c r="M26" s="359">
        <v>62.121212121212121212121212120</v>
      </c>
      <c r="N26" s="170">
        <v>58.720930232558139534883720930</v>
      </c>
      <c r="O26" s="360">
        <v>59.115840280824923211935059240</v>
      </c>
      <c r="P26" s="4"/>
      <c r="Q26" s="359">
        <v>-1.2048192771274785890550115700</v>
      </c>
      <c r="R26" s="170">
        <v>9.189189189274179693206786390</v>
      </c>
      <c r="S26" s="360">
        <v>3.0186336394329113973597640300</v>
      </c>
      <c r="T26" s="359">
        <v>0</v>
      </c>
      <c r="U26" s="170">
        <v>0</v>
      </c>
      <c r="V26" s="360">
        <v>-44.016010297632799864104485720</v>
      </c>
      <c r="W26" s="170">
        <v>0</v>
      </c>
      <c r="X26" s="170">
        <v>0</v>
      </c>
      <c r="Y26" s="360">
        <v>-6.0690061697573885061974076600</v>
      </c>
      <c r="Z26" s="359">
        <v>-1.2048192771274785890550115700</v>
      </c>
      <c r="AA26" s="170">
        <v>9.189189189274179693206786390</v>
      </c>
      <c r="AB26" s="360">
        <v>-5.1248230285392964884100524600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9</v>
      </c>
      <c r="C27" s="351" t="s">
        <v>50</v>
      </c>
      <c r="D27" s="327">
        <v>77.272727272727272727272727270</v>
      </c>
      <c r="E27" s="171">
        <v>62.790697674418604651162790700</v>
      </c>
      <c r="F27" s="328">
        <v>47.885988778720864653756098530</v>
      </c>
      <c r="G27" s="327">
        <v>0</v>
      </c>
      <c r="H27" s="171">
        <v>0</v>
      </c>
      <c r="I27" s="328">
        <v>7.997776682267091386927262430</v>
      </c>
      <c r="J27" s="171">
        <v>0</v>
      </c>
      <c r="K27" s="171">
        <v>0</v>
      </c>
      <c r="L27" s="328">
        <v>6.6107496772305608526909260100</v>
      </c>
      <c r="M27" s="327">
        <v>77.272727272727272727272727270</v>
      </c>
      <c r="N27" s="171">
        <v>62.790697674418604651162790700</v>
      </c>
      <c r="O27" s="328">
        <v>62.494515138218516893374286970</v>
      </c>
      <c r="P27" s="4"/>
      <c r="Q27" s="327">
        <v>35.999999999956480000000013920</v>
      </c>
      <c r="R27" s="171">
        <v>11.917098445577298719428712580</v>
      </c>
      <c r="S27" s="328">
        <v>0.3469228201742605780119256200</v>
      </c>
      <c r="T27" s="327">
        <v>-100</v>
      </c>
      <c r="U27" s="171">
        <v>0</v>
      </c>
      <c r="V27" s="328">
        <v>-32.638518770869514284111529320</v>
      </c>
      <c r="W27" s="171">
        <v>0</v>
      </c>
      <c r="X27" s="171">
        <v>0</v>
      </c>
      <c r="Y27" s="328">
        <v>-9.417404043056921131324059240</v>
      </c>
      <c r="Z27" s="327">
        <v>32.467532467608163265306165700</v>
      </c>
      <c r="AA27" s="171">
        <v>11.917098445577298719428712580</v>
      </c>
      <c r="AB27" s="328">
        <v>-6.5731602823658084788978220200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10</v>
      </c>
      <c r="C28" s="352" t="s">
        <v>51</v>
      </c>
      <c r="D28" s="359">
        <v>87.12121212121212121212121212</v>
      </c>
      <c r="E28" s="170">
        <v>72.674418604651162790697674420</v>
      </c>
      <c r="F28" s="360">
        <v>53.413755386560327935702328210</v>
      </c>
      <c r="G28" s="359">
        <v>0</v>
      </c>
      <c r="H28" s="170">
        <v>0</v>
      </c>
      <c r="I28" s="360">
        <v>11.266178160630426984554916680</v>
      </c>
      <c r="J28" s="170">
        <v>0</v>
      </c>
      <c r="K28" s="170">
        <v>0</v>
      </c>
      <c r="L28" s="360">
        <v>6.9743007661045500380578055700</v>
      </c>
      <c r="M28" s="359">
        <v>87.12121212121212121212121212</v>
      </c>
      <c r="N28" s="170">
        <v>72.674418604651162790697674420</v>
      </c>
      <c r="O28" s="360">
        <v>71.654234313295304958315050460</v>
      </c>
      <c r="P28" s="4"/>
      <c r="Q28" s="359">
        <v>53.333333333284266666666682370</v>
      </c>
      <c r="R28" s="170">
        <v>13.636363636351239669421488960</v>
      </c>
      <c r="S28" s="360">
        <v>-4.5880479006666296400058303300</v>
      </c>
      <c r="T28" s="359">
        <v>-100</v>
      </c>
      <c r="U28" s="170">
        <v>0</v>
      </c>
      <c r="V28" s="360">
        <v>-30.968724877578118209702498100</v>
      </c>
      <c r="W28" s="170">
        <v>0</v>
      </c>
      <c r="X28" s="170">
        <v>0</v>
      </c>
      <c r="Y28" s="360">
        <v>0.1149894520241507560164578400</v>
      </c>
      <c r="Z28" s="359">
        <v>-1.7094017094420337497260408800</v>
      </c>
      <c r="AA28" s="170">
        <v>13.636363636351239669421488960</v>
      </c>
      <c r="AB28" s="360">
        <v>-9.606159955287913889326780520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11</v>
      </c>
      <c r="C29" s="351" t="s">
        <v>52</v>
      </c>
      <c r="D29" s="327">
        <v>90.15151515151515151515151515</v>
      </c>
      <c r="E29" s="171">
        <v>88.66279069767441860465116279</v>
      </c>
      <c r="F29" s="328">
        <v>66.626448958000760272392207590</v>
      </c>
      <c r="G29" s="327">
        <v>0</v>
      </c>
      <c r="H29" s="171">
        <v>0</v>
      </c>
      <c r="I29" s="328">
        <v>14.559195560983086429248464650</v>
      </c>
      <c r="J29" s="171">
        <v>0</v>
      </c>
      <c r="K29" s="171">
        <v>0</v>
      </c>
      <c r="L29" s="328">
        <v>7.2851760163386631711105344200</v>
      </c>
      <c r="M29" s="327">
        <v>90.15151515151515151515151515</v>
      </c>
      <c r="N29" s="171">
        <v>88.66279069767441860465116279</v>
      </c>
      <c r="O29" s="328">
        <v>88.47082053532250987275120667</v>
      </c>
      <c r="P29" s="4"/>
      <c r="Q29" s="327">
        <v>72.463768116032010081915610900</v>
      </c>
      <c r="R29" s="171">
        <v>29.787234042500172023540085040</v>
      </c>
      <c r="S29" s="328">
        <v>2.6608418428589307538780966600</v>
      </c>
      <c r="T29" s="327">
        <v>-100</v>
      </c>
      <c r="U29" s="171">
        <v>-100</v>
      </c>
      <c r="V29" s="328">
        <v>-15.920839901798567017342299950</v>
      </c>
      <c r="W29" s="171">
        <v>0</v>
      </c>
      <c r="X29" s="171">
        <v>0</v>
      </c>
      <c r="Y29" s="328">
        <v>3.799004966050537393210441800</v>
      </c>
      <c r="Z29" s="327">
        <v>0.8474576271630853203102752600</v>
      </c>
      <c r="AA29" s="171">
        <v>28.691983122380245331054498600</v>
      </c>
      <c r="AB29" s="328">
        <v>-0.8554480767613597293680489300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12</v>
      </c>
      <c r="C30" s="352" t="s">
        <v>53</v>
      </c>
      <c r="D30" s="359">
        <v>96.21212121212121212121212121</v>
      </c>
      <c r="E30" s="170">
        <v>89.82558139534883720930232558</v>
      </c>
      <c r="F30" s="360">
        <v>67.532258179643233477291487120</v>
      </c>
      <c r="G30" s="359">
        <v>0</v>
      </c>
      <c r="H30" s="170">
        <v>0</v>
      </c>
      <c r="I30" s="360">
        <v>15.371564547662434048845006480</v>
      </c>
      <c r="J30" s="170">
        <v>0</v>
      </c>
      <c r="K30" s="170">
        <v>0</v>
      </c>
      <c r="L30" s="360">
        <v>6.9272435298246527897915450100</v>
      </c>
      <c r="M30" s="359">
        <v>96.21212121212121212121212121</v>
      </c>
      <c r="N30" s="170">
        <v>89.82558139534883720930232558</v>
      </c>
      <c r="O30" s="360">
        <v>89.83106625713032031592803861</v>
      </c>
      <c r="P30" s="4"/>
      <c r="Q30" s="359">
        <v>17.592592592566460905349800040</v>
      </c>
      <c r="R30" s="170">
        <v>20.703124999939648437500030170</v>
      </c>
      <c r="S30" s="360">
        <v>-2.3581504822123867562486120800</v>
      </c>
      <c r="T30" s="359">
        <v>-100</v>
      </c>
      <c r="U30" s="170">
        <v>-100</v>
      </c>
      <c r="V30" s="360">
        <v>31.761318615894518508643033580</v>
      </c>
      <c r="W30" s="170">
        <v>0</v>
      </c>
      <c r="X30" s="170">
        <v>0</v>
      </c>
      <c r="Y30" s="360">
        <v>-1.6830151059080640279536771100</v>
      </c>
      <c r="Z30" s="359">
        <v>1.599999999967488000000010400</v>
      </c>
      <c r="AA30" s="170">
        <v>14.869888475843263636489269490</v>
      </c>
      <c r="AB30" s="360">
        <v>2.2256427690401861506122285800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13</v>
      </c>
      <c r="C31" s="351" t="s">
        <v>49</v>
      </c>
      <c r="D31" s="327">
        <v>81.06060606060606060606060606</v>
      </c>
      <c r="E31" s="171">
        <v>59.883720930232558139534883720</v>
      </c>
      <c r="F31" s="328">
        <v>50.651046485194838150319575800</v>
      </c>
      <c r="G31" s="327">
        <v>0</v>
      </c>
      <c r="H31" s="171">
        <v>0</v>
      </c>
      <c r="I31" s="328">
        <v>4.925361824657119042206562100</v>
      </c>
      <c r="J31" s="171">
        <v>0</v>
      </c>
      <c r="K31" s="171">
        <v>0</v>
      </c>
      <c r="L31" s="328">
        <v>7.1704104703147826056309485400</v>
      </c>
      <c r="M31" s="327">
        <v>81.06060606060606060606060606</v>
      </c>
      <c r="N31" s="171">
        <v>59.883720930232558139534883720</v>
      </c>
      <c r="O31" s="328">
        <v>62.746818780166739798157086440</v>
      </c>
      <c r="P31" s="4"/>
      <c r="Q31" s="327">
        <v>15.053763440934443288241463080</v>
      </c>
      <c r="R31" s="171">
        <v>-11.965811965872160128570343820</v>
      </c>
      <c r="S31" s="328">
        <v>-13.951778340553958368175125150</v>
      </c>
      <c r="T31" s="327">
        <v>-100</v>
      </c>
      <c r="U31" s="171">
        <v>-100</v>
      </c>
      <c r="V31" s="328">
        <v>-30.445000274067321961542336690</v>
      </c>
      <c r="W31" s="171">
        <v>0</v>
      </c>
      <c r="X31" s="171">
        <v>0</v>
      </c>
      <c r="Y31" s="328">
        <v>6.2147250645774739354029309500</v>
      </c>
      <c r="Z31" s="327">
        <v>0.0000000000074766355140192500</v>
      </c>
      <c r="AA31" s="171">
        <v>-22.264150943365718761124943530</v>
      </c>
      <c r="AB31" s="328">
        <v>-13.685617927761457647616856380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14</v>
      </c>
      <c r="C32" s="352" t="s">
        <v>47</v>
      </c>
      <c r="D32" s="359">
        <v>73.484848484848484848484848480</v>
      </c>
      <c r="E32" s="170">
        <v>54.651162790697674418604651160</v>
      </c>
      <c r="F32" s="360">
        <v>49.168006274722771673945056100</v>
      </c>
      <c r="G32" s="359">
        <v>0</v>
      </c>
      <c r="H32" s="170">
        <v>0</v>
      </c>
      <c r="I32" s="360">
        <v>5.3166988840529867295992789600</v>
      </c>
      <c r="J32" s="170">
        <v>0</v>
      </c>
      <c r="K32" s="170">
        <v>0</v>
      </c>
      <c r="L32" s="360">
        <v>6.9896256880869006574473279500</v>
      </c>
      <c r="M32" s="359">
        <v>73.484848484848484848484848480</v>
      </c>
      <c r="N32" s="170">
        <v>54.651162790697674418604651160</v>
      </c>
      <c r="O32" s="360">
        <v>61.474330846862659060991663010</v>
      </c>
      <c r="P32" s="4"/>
      <c r="Q32" s="359">
        <v>21.249999999921187500000051220</v>
      </c>
      <c r="R32" s="170">
        <v>-12.558139534883720930232558140</v>
      </c>
      <c r="S32" s="360">
        <v>-11.550112511626908386231679730</v>
      </c>
      <c r="T32" s="359">
        <v>0</v>
      </c>
      <c r="U32" s="170">
        <v>-100</v>
      </c>
      <c r="V32" s="360">
        <v>-8.097121887565329825308010710</v>
      </c>
      <c r="W32" s="170">
        <v>0</v>
      </c>
      <c r="X32" s="170">
        <v>0</v>
      </c>
      <c r="Y32" s="360">
        <v>0.7176716956131977287911541400</v>
      </c>
      <c r="Z32" s="359">
        <v>21.249999999921187500000051220</v>
      </c>
      <c r="AA32" s="170">
        <v>-22.950819672088202096210672120</v>
      </c>
      <c r="AB32" s="360">
        <v>-10.011438283862002044568678990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15</v>
      </c>
      <c r="C33" s="351" t="s">
        <v>48</v>
      </c>
      <c r="D33" s="327">
        <v>67.424242424242424242424242420</v>
      </c>
      <c r="E33" s="171">
        <v>56.686046511627906976744186050</v>
      </c>
      <c r="F33" s="328">
        <v>49.842397281209712163661798680</v>
      </c>
      <c r="G33" s="327">
        <v>0</v>
      </c>
      <c r="H33" s="171">
        <v>0</v>
      </c>
      <c r="I33" s="328">
        <v>7.3365074194972897389014607100</v>
      </c>
      <c r="J33" s="171">
        <v>0</v>
      </c>
      <c r="K33" s="171">
        <v>0</v>
      </c>
      <c r="L33" s="328">
        <v>7.2791909552824671628162930500</v>
      </c>
      <c r="M33" s="327">
        <v>67.424242424242424242424242420</v>
      </c>
      <c r="N33" s="171">
        <v>56.686046511627906976744186050</v>
      </c>
      <c r="O33" s="328">
        <v>64.458095655989469065379552440</v>
      </c>
      <c r="P33" s="4"/>
      <c r="Q33" s="327">
        <v>18.666666666628693333333345480</v>
      </c>
      <c r="R33" s="171">
        <v>-7.5829383885870488084274675800</v>
      </c>
      <c r="S33" s="328">
        <v>-2.9535291279510050304386355800</v>
      </c>
      <c r="T33" s="327">
        <v>0</v>
      </c>
      <c r="U33" s="171">
        <v>-100</v>
      </c>
      <c r="V33" s="328">
        <v>28.397515384621502092214495810</v>
      </c>
      <c r="W33" s="171">
        <v>0</v>
      </c>
      <c r="X33" s="171">
        <v>0</v>
      </c>
      <c r="Y33" s="328">
        <v>-2.6796370918902886998634426600</v>
      </c>
      <c r="Z33" s="327">
        <v>18.666666666628693333333345480</v>
      </c>
      <c r="AA33" s="171">
        <v>-18.410041840949563207926995520</v>
      </c>
      <c r="AB33" s="328">
        <v>-0.1467522744683913600521893700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16</v>
      </c>
      <c r="C34" s="352" t="s">
        <v>50</v>
      </c>
      <c r="D34" s="359">
        <v>73.484848484848484848484848480</v>
      </c>
      <c r="E34" s="170">
        <v>60.465116279069767441860465120</v>
      </c>
      <c r="F34" s="360">
        <v>52.864439825095083249244431050</v>
      </c>
      <c r="G34" s="359">
        <v>0.7575757575757575757575757600</v>
      </c>
      <c r="H34" s="170">
        <v>0</v>
      </c>
      <c r="I34" s="360">
        <v>11.083003502924520914867558130</v>
      </c>
      <c r="J34" s="170">
        <v>0</v>
      </c>
      <c r="K34" s="170">
        <v>0</v>
      </c>
      <c r="L34" s="360">
        <v>7.3886690019496806099117054200</v>
      </c>
      <c r="M34" s="359">
        <v>74.242424242424242424242424240</v>
      </c>
      <c r="N34" s="170">
        <v>60.465116279069767441860465120</v>
      </c>
      <c r="O34" s="360">
        <v>71.336112329969284774023694600</v>
      </c>
      <c r="P34" s="4"/>
      <c r="Q34" s="359">
        <v>10.227272727217613636363663910</v>
      </c>
      <c r="R34" s="170">
        <v>-9.565217391332657844990539340</v>
      </c>
      <c r="S34" s="360">
        <v>-5.5842360331111072581355949900</v>
      </c>
      <c r="T34" s="359">
        <v>-80.00000000011199999999937274</v>
      </c>
      <c r="U34" s="170">
        <v>-100</v>
      </c>
      <c r="V34" s="360">
        <v>39.296689505096555373030210770</v>
      </c>
      <c r="W34" s="170">
        <v>0</v>
      </c>
      <c r="X34" s="170">
        <v>0</v>
      </c>
      <c r="Y34" s="360">
        <v>-1.1354871346404504302156389900</v>
      </c>
      <c r="Z34" s="359">
        <v>5.3763440860894901144641437500</v>
      </c>
      <c r="AA34" s="170">
        <v>-9.956709956713075092295871400</v>
      </c>
      <c r="AB34" s="360">
        <v>-0.1189211875133908766096850500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17</v>
      </c>
      <c r="C35" s="351" t="s">
        <v>51</v>
      </c>
      <c r="D35" s="327">
        <v>88.63636363636363636363636364</v>
      </c>
      <c r="E35" s="171">
        <v>65.697674418604651162790697670</v>
      </c>
      <c r="F35" s="328">
        <v>58.334860330808818485676656940</v>
      </c>
      <c r="G35" s="327">
        <v>1.5151515151515151515151515200</v>
      </c>
      <c r="H35" s="171">
        <v>0</v>
      </c>
      <c r="I35" s="328">
        <v>12.814430449582855886429560090</v>
      </c>
      <c r="J35" s="171">
        <v>0</v>
      </c>
      <c r="K35" s="171">
        <v>0</v>
      </c>
      <c r="L35" s="328">
        <v>7.3061721419426828020929931500</v>
      </c>
      <c r="M35" s="327">
        <v>90.15151515151515151515151515</v>
      </c>
      <c r="N35" s="171">
        <v>65.697674418604651162790697670</v>
      </c>
      <c r="O35" s="328">
        <v>78.455462922334357174199210180</v>
      </c>
      <c r="P35" s="4"/>
      <c r="Q35" s="327">
        <v>37.647058823613619377162681280</v>
      </c>
      <c r="R35" s="171">
        <v>-8.870967741917845993756500230</v>
      </c>
      <c r="S35" s="328">
        <v>-3.1152844825565870215122474600</v>
      </c>
      <c r="T35" s="327">
        <v>-60.000000000223999999998745470</v>
      </c>
      <c r="U35" s="171">
        <v>0</v>
      </c>
      <c r="V35" s="328">
        <v>60.470271225864891988778828350</v>
      </c>
      <c r="W35" s="171">
        <v>0</v>
      </c>
      <c r="X35" s="171">
        <v>0</v>
      </c>
      <c r="Y35" s="328">
        <v>-5.7822600109457826869822396400</v>
      </c>
      <c r="Z35" s="327">
        <v>32.222222222257481481481490880</v>
      </c>
      <c r="AA35" s="171">
        <v>-8.870967741917845993756500230</v>
      </c>
      <c r="AB35" s="328">
        <v>3.2978792678812761349086483400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18</v>
      </c>
      <c r="C36" s="352" t="s">
        <v>52</v>
      </c>
      <c r="D36" s="359">
        <v>84.84848484848484848484848485</v>
      </c>
      <c r="E36" s="170">
        <v>89.53488372093023255813953488</v>
      </c>
      <c r="F36" s="360">
        <v>66.542305773315542673952543180</v>
      </c>
      <c r="G36" s="359">
        <v>4.5454545454545454545454545500</v>
      </c>
      <c r="H36" s="170">
        <v>0</v>
      </c>
      <c r="I36" s="360">
        <v>7.553016594590586006462096500</v>
      </c>
      <c r="J36" s="170">
        <v>0</v>
      </c>
      <c r="K36" s="170">
        <v>0</v>
      </c>
      <c r="L36" s="360">
        <v>6.7954191854067278356011567300</v>
      </c>
      <c r="M36" s="359">
        <v>89.39393939393939393939393939</v>
      </c>
      <c r="N36" s="170">
        <v>89.53488372093023255813953488</v>
      </c>
      <c r="O36" s="360">
        <v>80.89074155331285651601579640</v>
      </c>
      <c r="P36" s="4"/>
      <c r="Q36" s="359">
        <v>14.285714285751603498542286240</v>
      </c>
      <c r="R36" s="170">
        <v>16.666666666684343434343437020</v>
      </c>
      <c r="S36" s="360">
        <v>-0.3723794092901683704679464800</v>
      </c>
      <c r="T36" s="359">
        <v>19.999999999328000000003763320</v>
      </c>
      <c r="U36" s="170">
        <v>-100</v>
      </c>
      <c r="V36" s="360">
        <v>6.2743583703219164226192709600</v>
      </c>
      <c r="W36" s="170">
        <v>0</v>
      </c>
      <c r="X36" s="170">
        <v>0</v>
      </c>
      <c r="Y36" s="360">
        <v>-19.348940969191439986815720290</v>
      </c>
      <c r="Z36" s="359">
        <v>14.563106796120953907060043530</v>
      </c>
      <c r="AA36" s="170">
        <v>13.235294117590441176470616540</v>
      </c>
      <c r="AB36" s="360">
        <v>-1.7407793262505536499342099700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19</v>
      </c>
      <c r="C37" s="353" t="s">
        <v>53</v>
      </c>
      <c r="D37" s="329">
        <v>87.87878787878787878787878788</v>
      </c>
      <c r="E37" s="330">
        <v>89.82558139534883720930232558</v>
      </c>
      <c r="F37" s="332">
        <v>72.812133960061026545813053880</v>
      </c>
      <c r="G37" s="329">
        <v>8.333333333333333333333333330</v>
      </c>
      <c r="H37" s="330">
        <v>0</v>
      </c>
      <c r="I37" s="332">
        <v>7.1862360721229490288811249200</v>
      </c>
      <c r="J37" s="330">
        <v>0</v>
      </c>
      <c r="K37" s="330">
        <v>0</v>
      </c>
      <c r="L37" s="332">
        <v>7.518084553160473745182960300</v>
      </c>
      <c r="M37" s="329">
        <v>96.21212121212121212121212121</v>
      </c>
      <c r="N37" s="330">
        <v>89.82558139534883720930232558</v>
      </c>
      <c r="O37" s="332">
        <v>87.51645458534444931987713910</v>
      </c>
      <c r="P37" s="4"/>
      <c r="Q37" s="329">
        <v>13.725490196118569780853532050</v>
      </c>
      <c r="R37" s="330">
        <v>24.596774193572502601456820480</v>
      </c>
      <c r="S37" s="332">
        <v>5.4563811083040140325845210500</v>
      </c>
      <c r="T37" s="329">
        <v>119.99999999876800000000689911</v>
      </c>
      <c r="U37" s="330">
        <v>-100</v>
      </c>
      <c r="V37" s="332">
        <v>6.1590276094215626091816496300</v>
      </c>
      <c r="W37" s="330">
        <v>0</v>
      </c>
      <c r="X37" s="330">
        <v>0</v>
      </c>
      <c r="Y37" s="332">
        <v>-7.5489921199978756116003224800</v>
      </c>
      <c r="Z37" s="329">
        <v>18.691588785055603109441873310</v>
      </c>
      <c r="AA37" s="330">
        <v>20.703124999939648437500030170</v>
      </c>
      <c r="AB37" s="332">
        <v>4.2531940492300340497155660100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76.893939393939393939393939390</v>
      </c>
      <c r="E39" s="355">
        <v>67.587209302325581395348837210</v>
      </c>
      <c r="F39" s="356">
        <v>52.447993853320247519663863740</v>
      </c>
      <c r="G39" s="354">
        <v>0</v>
      </c>
      <c r="H39" s="355">
        <v>0.7994186046511627906976744200</v>
      </c>
      <c r="I39" s="356">
        <v>6.3698964608189869246468711600</v>
      </c>
      <c r="J39" s="355">
        <v>0</v>
      </c>
      <c r="K39" s="355">
        <v>0</v>
      </c>
      <c r="L39" s="356">
        <v>7.0228851160502667536853443800</v>
      </c>
      <c r="M39" s="354">
        <v>76.893939393939393939393939390</v>
      </c>
      <c r="N39" s="355">
        <v>68.386627906976744186046511630</v>
      </c>
      <c r="O39" s="356">
        <v>65.840775430189501197996079290</v>
      </c>
      <c r="P39" s="4"/>
      <c r="Q39" s="354">
        <v>8.556149732671406102547995090</v>
      </c>
      <c r="R39" s="355">
        <v>2.8761061946975487508810405400</v>
      </c>
      <c r="S39" s="356">
        <v>-1.05628883438365321167342500</v>
      </c>
      <c r="T39" s="354">
        <v>-100</v>
      </c>
      <c r="U39" s="355">
        <v>-64.516129031562122788748057060</v>
      </c>
      <c r="V39" s="356">
        <v>1.2364326017676001321252271100</v>
      </c>
      <c r="W39" s="355">
        <v>0</v>
      </c>
      <c r="X39" s="355">
        <v>0</v>
      </c>
      <c r="Y39" s="356">
        <v>-4.3684200304354341524297362300</v>
      </c>
      <c r="Z39" s="354">
        <v>4.6391752578009990434690645700</v>
      </c>
      <c r="AA39" s="355">
        <v>0.641711230018856930424141900</v>
      </c>
      <c r="AB39" s="356">
        <v>-1.204798435915947882009473800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68.939393939393939393939393940</v>
      </c>
      <c r="E40" s="171">
        <v>59.593023255813953488372093020</v>
      </c>
      <c r="F40" s="328">
        <v>47.545277511099105736401880490</v>
      </c>
      <c r="G40" s="327">
        <v>0</v>
      </c>
      <c r="H40" s="171">
        <v>0.7267441860465116279069767400</v>
      </c>
      <c r="I40" s="328">
        <v>6.7001594942474436402502140100</v>
      </c>
      <c r="J40" s="171">
        <v>0</v>
      </c>
      <c r="K40" s="171">
        <v>0</v>
      </c>
      <c r="L40" s="328">
        <v>6.5937047938257442412960649400</v>
      </c>
      <c r="M40" s="327">
        <v>68.939393939393939393939393940</v>
      </c>
      <c r="N40" s="171">
        <v>60.319767441860465116279069770</v>
      </c>
      <c r="O40" s="328">
        <v>60.839141799172293617948159440</v>
      </c>
      <c r="P40" s="4"/>
      <c r="Q40" s="327">
        <v>15.555555555537947089947092630</v>
      </c>
      <c r="R40" s="171">
        <v>-0.8464328898869911935302632200</v>
      </c>
      <c r="S40" s="328">
        <v>-1.915880147038419042090599800</v>
      </c>
      <c r="T40" s="327">
        <v>-100</v>
      </c>
      <c r="U40" s="171">
        <v>-65.517241378739595719372241780</v>
      </c>
      <c r="V40" s="328">
        <v>17.458387183219858960232040170</v>
      </c>
      <c r="W40" s="171">
        <v>0</v>
      </c>
      <c r="X40" s="171">
        <v>0</v>
      </c>
      <c r="Y40" s="328">
        <v>-8.692120742981304432779864260</v>
      </c>
      <c r="Z40" s="327">
        <v>9.969788519626830715309280790</v>
      </c>
      <c r="AA40" s="171">
        <v>-3.0373831775990916237225871800</v>
      </c>
      <c r="AB40" s="328">
        <v>-0.9129041185603543463828258900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65.530303030303030303030303030</v>
      </c>
      <c r="E41" s="170">
        <v>59.956395348837209302325581400</v>
      </c>
      <c r="F41" s="360">
        <v>48.682774734273343159399960750</v>
      </c>
      <c r="G41" s="359">
        <v>0</v>
      </c>
      <c r="H41" s="170">
        <v>0.7267441860465116279069767400</v>
      </c>
      <c r="I41" s="360">
        <v>7.2399233052814043298585786700</v>
      </c>
      <c r="J41" s="170">
        <v>0</v>
      </c>
      <c r="K41" s="170">
        <v>0</v>
      </c>
      <c r="L41" s="360">
        <v>6.5568079173804366838751363900</v>
      </c>
      <c r="M41" s="359">
        <v>65.530303030303030303030303030</v>
      </c>
      <c r="N41" s="170">
        <v>60.683139534883720930232558140</v>
      </c>
      <c r="O41" s="360">
        <v>62.479505956935184173133675810</v>
      </c>
      <c r="P41" s="4"/>
      <c r="Q41" s="359">
        <v>12.337662337726530612244934640</v>
      </c>
      <c r="R41" s="170">
        <v>2.9962546816932018497477603200</v>
      </c>
      <c r="S41" s="360">
        <v>1.8469013380401717664990483100</v>
      </c>
      <c r="T41" s="359">
        <v>-100</v>
      </c>
      <c r="U41" s="170">
        <v>-64.285714285183673469379871930</v>
      </c>
      <c r="V41" s="360">
        <v>17.268609544063284548451086940</v>
      </c>
      <c r="W41" s="170">
        <v>0</v>
      </c>
      <c r="X41" s="170">
        <v>0</v>
      </c>
      <c r="Y41" s="360">
        <v>-11.166384433549197952713719790</v>
      </c>
      <c r="Z41" s="359">
        <v>7.4534161491537517842676501900</v>
      </c>
      <c r="AA41" s="170">
        <v>0.7237635704930759369712185900</v>
      </c>
      <c r="AB41" s="360">
        <v>1.8332009765852779103517664500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76.704545454545454545454545450</v>
      </c>
      <c r="E42" s="171">
        <v>61.918604651162790697674418600</v>
      </c>
      <c r="F42" s="328">
        <v>48.660466489207585673880942950</v>
      </c>
      <c r="G42" s="327">
        <v>2.4621212121212121212121212100</v>
      </c>
      <c r="H42" s="171">
        <v>0.0726744186046511627906976700</v>
      </c>
      <c r="I42" s="328">
        <v>8.626257207084453382956366430</v>
      </c>
      <c r="J42" s="171">
        <v>0</v>
      </c>
      <c r="K42" s="171">
        <v>0</v>
      </c>
      <c r="L42" s="328">
        <v>7.0673040663049660803361522100</v>
      </c>
      <c r="M42" s="327">
        <v>79.166666666666666666666666670</v>
      </c>
      <c r="N42" s="171">
        <v>61.991279069767441860465116280</v>
      </c>
      <c r="O42" s="328">
        <v>64.354027762597005137173461580</v>
      </c>
      <c r="P42" s="4"/>
      <c r="Q42" s="327">
        <v>27.760252365885460100110475790</v>
      </c>
      <c r="R42" s="171">
        <v>-2.7397260274363420278976511600</v>
      </c>
      <c r="S42" s="328">
        <v>-6.1445798505850363601031962700</v>
      </c>
      <c r="T42" s="327">
        <v>85.71428570834285714304731413</v>
      </c>
      <c r="U42" s="171">
        <v>0.0000000064000000004095939200</v>
      </c>
      <c r="V42" s="328">
        <v>14.541552354839477904667354980</v>
      </c>
      <c r="W42" s="171">
        <v>0</v>
      </c>
      <c r="X42" s="171">
        <v>0</v>
      </c>
      <c r="Y42" s="328">
        <v>-4.5112755004280641705135435400</v>
      </c>
      <c r="Z42" s="327">
        <v>29.012345679088797439414768680</v>
      </c>
      <c r="AA42" s="171">
        <v>-2.7366020524834798843886941400</v>
      </c>
      <c r="AB42" s="328">
        <v>-3.6306263057785575209417329200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87.87878787878787878787878788</v>
      </c>
      <c r="E43" s="170">
        <v>70.930232558139534883720930230</v>
      </c>
      <c r="F43" s="360">
        <v>54.626904005079398334387903190</v>
      </c>
      <c r="G43" s="359">
        <v>2.6515151515151515151515151500</v>
      </c>
      <c r="H43" s="170">
        <v>0</v>
      </c>
      <c r="I43" s="360">
        <v>9.880109174834674055872967460</v>
      </c>
      <c r="J43" s="170">
        <v>0</v>
      </c>
      <c r="K43" s="170">
        <v>0</v>
      </c>
      <c r="L43" s="360">
        <v>7.4380081338907150181990703200</v>
      </c>
      <c r="M43" s="359">
        <v>90.53030303030303030303030303</v>
      </c>
      <c r="N43" s="170">
        <v>70.930232558139534883720930230</v>
      </c>
      <c r="O43" s="360">
        <v>71.945021313804787408459940980</v>
      </c>
      <c r="P43" s="4"/>
      <c r="Q43" s="359">
        <v>28.176795580121827783034706900</v>
      </c>
      <c r="R43" s="170">
        <v>-3.3663366336664279972551709700</v>
      </c>
      <c r="S43" s="360">
        <v>-8.339398406511205959247514070</v>
      </c>
      <c r="T43" s="359">
        <v>-70.212765957396106835672163600</v>
      </c>
      <c r="U43" s="170">
        <v>0</v>
      </c>
      <c r="V43" s="360">
        <v>10.674361084400311339324939310</v>
      </c>
      <c r="W43" s="170">
        <v>0</v>
      </c>
      <c r="X43" s="170">
        <v>0</v>
      </c>
      <c r="Y43" s="360">
        <v>2.7436925526351867014918710600</v>
      </c>
      <c r="Z43" s="359">
        <v>16.870415647953764025800906650</v>
      </c>
      <c r="AA43" s="170">
        <v>-3.3663366336664279972551709700</v>
      </c>
      <c r="AB43" s="360">
        <v>-5.039997671776424481759701100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90.34090909090909090909090909</v>
      </c>
      <c r="E44" s="171">
        <v>85.61046511627906976744186047</v>
      </c>
      <c r="F44" s="328">
        <v>66.341661519648157404047906690</v>
      </c>
      <c r="G44" s="327">
        <v>1.1363636363636363636363636400</v>
      </c>
      <c r="H44" s="171">
        <v>0</v>
      </c>
      <c r="I44" s="328">
        <v>8.877629396108916179153757120</v>
      </c>
      <c r="J44" s="171">
        <v>0</v>
      </c>
      <c r="K44" s="171">
        <v>0</v>
      </c>
      <c r="L44" s="328">
        <v>7.2050177518568732962387121900</v>
      </c>
      <c r="M44" s="327">
        <v>91.47727272727272727272727273</v>
      </c>
      <c r="N44" s="171">
        <v>85.61046511627906976744186047</v>
      </c>
      <c r="O44" s="328">
        <v>82.42430866761394687944037600</v>
      </c>
      <c r="P44" s="4"/>
      <c r="Q44" s="327">
        <v>21.994884910535854684362367610</v>
      </c>
      <c r="R44" s="171">
        <v>11.764705882356334412322803990</v>
      </c>
      <c r="S44" s="328">
        <v>-1.329732509296802488341249800</v>
      </c>
      <c r="T44" s="327">
        <v>-88.88888888891851851851843947</v>
      </c>
      <c r="U44" s="171">
        <v>-100</v>
      </c>
      <c r="V44" s="328">
        <v>-5.6646058212617829572856468900</v>
      </c>
      <c r="W44" s="171">
        <v>0</v>
      </c>
      <c r="X44" s="171">
        <v>0</v>
      </c>
      <c r="Y44" s="328">
        <v>-6.4665602397449076293849555900</v>
      </c>
      <c r="Z44" s="327">
        <v>8.539325842700531751041535300</v>
      </c>
      <c r="AA44" s="171">
        <v>10.714285714355639097744405070</v>
      </c>
      <c r="AB44" s="328">
        <v>-2.2824814680638614581050582800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91.47727272727272727272727273</v>
      </c>
      <c r="E45" s="365">
        <v>87.13662790697674418604651163</v>
      </c>
      <c r="F45" s="366">
        <v>69.189551110010034807179799090</v>
      </c>
      <c r="G45" s="364">
        <v>2.0833333333333333333333333300</v>
      </c>
      <c r="H45" s="365">
        <v>0</v>
      </c>
      <c r="I45" s="366">
        <v>8.210610448838828421015857250</v>
      </c>
      <c r="J45" s="365">
        <v>0</v>
      </c>
      <c r="K45" s="365">
        <v>0</v>
      </c>
      <c r="L45" s="366">
        <v>7.4178513387355722292313848700</v>
      </c>
      <c r="M45" s="364">
        <v>93.56060606060606060606060606</v>
      </c>
      <c r="N45" s="365">
        <v>87.13662790697674418604651163</v>
      </c>
      <c r="O45" s="366">
        <v>84.81801289758443545742704121</v>
      </c>
      <c r="P45" s="4"/>
      <c r="Q45" s="364">
        <v>7.812499999980747767857146300</v>
      </c>
      <c r="R45" s="365">
        <v>14.736842105203428859229444340</v>
      </c>
      <c r="S45" s="366">
        <v>0.4042343942281495262876441100</v>
      </c>
      <c r="T45" s="364">
        <v>-50.000000000399999999996800080</v>
      </c>
      <c r="U45" s="365">
        <v>-100</v>
      </c>
      <c r="V45" s="366">
        <v>0.4862370174115629782393962500</v>
      </c>
      <c r="W45" s="365">
        <v>0</v>
      </c>
      <c r="X45" s="365">
        <v>0</v>
      </c>
      <c r="Y45" s="366">
        <v>-1.7552859508864587429692573800</v>
      </c>
      <c r="Z45" s="364">
        <v>5.1063829786661548211860882200</v>
      </c>
      <c r="AA45" s="365">
        <v>12.476547842340725617676183630</v>
      </c>
      <c r="AB45" s="366">
        <v>0.2194919368814062756599756900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79.54545454545454545454545455</v>
      </c>
      <c r="E47" s="355">
        <v>68.106312292358803986710963460</v>
      </c>
      <c r="F47" s="356">
        <v>57.173598561486827563230445090</v>
      </c>
      <c r="G47" s="354">
        <v>2.1645021645021645021645021600</v>
      </c>
      <c r="H47" s="355">
        <v>0</v>
      </c>
      <c r="I47" s="356">
        <v>8.030750678204043906763948770</v>
      </c>
      <c r="J47" s="355">
        <v>0</v>
      </c>
      <c r="K47" s="355">
        <v>0</v>
      </c>
      <c r="L47" s="356">
        <v>7.2067959994491022026690550200</v>
      </c>
      <c r="M47" s="354">
        <v>81.70995670995670995670995671</v>
      </c>
      <c r="N47" s="355">
        <v>68.106312292358803986710963460</v>
      </c>
      <c r="O47" s="356">
        <v>72.411145239139973672663448880</v>
      </c>
      <c r="P47" s="4"/>
      <c r="Q47" s="354">
        <v>18.357487922691591402366451220</v>
      </c>
      <c r="R47" s="355">
        <v>-0.6060606060818101010100964800</v>
      </c>
      <c r="S47" s="356">
        <v>-4.2201236829280288791830307400</v>
      </c>
      <c r="T47" s="354">
        <v>-41.176470588975778546703481500</v>
      </c>
      <c r="U47" s="355">
        <v>-100</v>
      </c>
      <c r="V47" s="356">
        <v>16.150507277601102205509163880</v>
      </c>
      <c r="W47" s="355">
        <v>0</v>
      </c>
      <c r="X47" s="355">
        <v>0</v>
      </c>
      <c r="Y47" s="356">
        <v>-4.7369263784454902710600039500</v>
      </c>
      <c r="Z47" s="354">
        <v>15.267175572593699667851572100</v>
      </c>
      <c r="AA47" s="355">
        <v>-6.5527065527521315573737003800</v>
      </c>
      <c r="AB47" s="356">
        <v>-2.3739447271853273928305189800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79.68073593073593073593073593</v>
      </c>
      <c r="E48" s="171">
        <v>70.390365448504983388704318940</v>
      </c>
      <c r="F48" s="328">
        <v>55.350857769001852086208174480</v>
      </c>
      <c r="G48" s="327">
        <v>1.1904761904761904761904761900</v>
      </c>
      <c r="H48" s="171">
        <v>0.332225913621262458471760800</v>
      </c>
      <c r="I48" s="328">
        <v>7.984875204246588559259426130</v>
      </c>
      <c r="J48" s="171">
        <v>0</v>
      </c>
      <c r="K48" s="171">
        <v>0</v>
      </c>
      <c r="L48" s="328">
        <v>7.0428410179228457573775537300</v>
      </c>
      <c r="M48" s="327">
        <v>80.87121212121212121212121212</v>
      </c>
      <c r="N48" s="171">
        <v>70.722591362126245847176079730</v>
      </c>
      <c r="O48" s="328">
        <v>70.378573991171286402845154350</v>
      </c>
      <c r="P48" s="4"/>
      <c r="Q48" s="327">
        <v>17.097415507021571564647932140</v>
      </c>
      <c r="R48" s="171">
        <v>4.0355992021333361462139960600</v>
      </c>
      <c r="S48" s="328">
        <v>-2.3753511161339655137720389200</v>
      </c>
      <c r="T48" s="327">
        <v>-74.712643678202774474831480480</v>
      </c>
      <c r="U48" s="171">
        <v>-73.333333333767111111104054780</v>
      </c>
      <c r="V48" s="328">
        <v>7.0486290412922618789312265700</v>
      </c>
      <c r="W48" s="171">
        <v>0</v>
      </c>
      <c r="X48" s="171">
        <v>0</v>
      </c>
      <c r="Y48" s="328">
        <v>-4.9006126642188560268904605800</v>
      </c>
      <c r="Z48" s="327">
        <v>11.156563778400580080465022470</v>
      </c>
      <c r="AA48" s="171">
        <v>2.6367334639292649185061582100</v>
      </c>
      <c r="AB48" s="328">
        <v>-1.6544009090575364072764957900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81.77830940988835725677830941</v>
      </c>
      <c r="E49" s="365">
        <v>70.930232558139534883720930230</v>
      </c>
      <c r="F49" s="366">
        <v>55.483551341985262395328856450</v>
      </c>
      <c r="G49" s="364">
        <v>0.7974481658692185007974481700</v>
      </c>
      <c r="H49" s="365">
        <v>0.1682986536107711138310893500</v>
      </c>
      <c r="I49" s="366">
        <v>7.0126359652399046234220150400</v>
      </c>
      <c r="J49" s="365">
        <v>0</v>
      </c>
      <c r="K49" s="365">
        <v>0</v>
      </c>
      <c r="L49" s="366">
        <v>6.9837323251158874603604654400</v>
      </c>
      <c r="M49" s="364">
        <v>82.57575757575757575757575758</v>
      </c>
      <c r="N49" s="365">
        <v>71.098531211750305997552019580</v>
      </c>
      <c r="O49" s="366">
        <v>69.479919632341054479111336920</v>
      </c>
      <c r="P49" s="4"/>
      <c r="Q49" s="364">
        <v>20.434527304692382376580480380</v>
      </c>
      <c r="R49" s="365">
        <v>3.7136465324035827014799250500</v>
      </c>
      <c r="S49" s="366">
        <v>-2.9272522277564756594822020600</v>
      </c>
      <c r="T49" s="364">
        <v>-85.61151079139009368045128495</v>
      </c>
      <c r="U49" s="365">
        <v>-90.17857142851600765306091183</v>
      </c>
      <c r="V49" s="366">
        <v>-3.4509789467861745563536251800</v>
      </c>
      <c r="W49" s="365">
        <v>0</v>
      </c>
      <c r="X49" s="365">
        <v>0</v>
      </c>
      <c r="Y49" s="366">
        <v>-3.5623293018484134363464299400</v>
      </c>
      <c r="Z49" s="364">
        <v>12.432138979301398776998560280</v>
      </c>
      <c r="AA49" s="365">
        <v>1.4185945001989443443028866200</v>
      </c>
      <c r="AB49" s="366">
        <v>-3.0445118577759555692316027500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1"/>
</worksheet>
</file>

<file path=xl/worksheets/sheet4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178</v>
      </c>
      <c r="B4" s="442"/>
      <c r="C4" s="211"/>
      <c r="D4" s="212"/>
      <c r="E4" s="212"/>
      <c r="F4" s="212"/>
      <c r="G4" s="212"/>
      <c r="H4" s="212"/>
      <c r="I4" s="212"/>
      <c r="J4" s="212"/>
      <c r="K4" s="212"/>
      <c r="L4" s="212"/>
      <c r="M4" s="212"/>
      <c r="N4" s="212"/>
      <c r="O4" s="212"/>
      <c r="P4" s="212"/>
      <c r="Q4" s="212"/>
      <c r="R4" s="677" t="s">
        <v>180</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8" t="s">
        <v>21</v>
      </c>
      <c r="E8" s="678"/>
      <c r="F8" s="678"/>
      <c r="G8" s="678" t="s">
        <v>24</v>
      </c>
      <c r="H8" s="678"/>
      <c r="I8" s="678"/>
      <c r="J8" s="678" t="s">
        <v>25</v>
      </c>
      <c r="K8" s="678"/>
      <c r="L8" s="678"/>
      <c r="M8" s="678" t="s">
        <v>23</v>
      </c>
      <c r="N8" s="678"/>
      <c r="O8" s="678"/>
      <c r="Q8" s="678" t="s">
        <v>21</v>
      </c>
      <c r="R8" s="678"/>
      <c r="S8" s="678"/>
      <c r="T8" s="678" t="s">
        <v>24</v>
      </c>
      <c r="U8" s="678"/>
      <c r="V8" s="678"/>
      <c r="W8" s="678" t="s">
        <v>25</v>
      </c>
      <c r="X8" s="678"/>
      <c r="Y8" s="678"/>
      <c r="Z8" s="678" t="s">
        <v>23</v>
      </c>
      <c r="AA8" s="678"/>
      <c r="AB8" s="678"/>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182</v>
      </c>
      <c r="B10" s="342">
        <v>22</v>
      </c>
      <c r="C10" s="343" t="s">
        <v>49</v>
      </c>
      <c r="D10" s="374">
        <v>224.25882352941176470588235294</v>
      </c>
      <c r="E10" s="382">
        <v>206.73818181818181818181818182</v>
      </c>
      <c r="F10" s="375">
        <v>176.26903860180185656078345468</v>
      </c>
      <c r="G10" s="374">
        <v>0</v>
      </c>
      <c r="H10" s="382">
        <v>323.11111111111111111111111111</v>
      </c>
      <c r="I10" s="375">
        <v>203.27948003314238024753887249</v>
      </c>
      <c r="J10" s="374">
        <v>0</v>
      </c>
      <c r="K10" s="382">
        <v>0</v>
      </c>
      <c r="L10" s="375">
        <v>146.83991436211566774058421691</v>
      </c>
      <c r="M10" s="374">
        <v>224.25882352941176470588235294</v>
      </c>
      <c r="N10" s="382">
        <v>210.42605633802816901408450705</v>
      </c>
      <c r="O10" s="375">
        <v>178.02617581187010078387458007</v>
      </c>
      <c r="P10" s="4"/>
      <c r="Q10" s="354">
        <v>43.984115291298632243191151950</v>
      </c>
      <c r="R10" s="355">
        <v>-5.3820538919150456094326161800</v>
      </c>
      <c r="S10" s="356">
        <v>3.9028323650931721956147706700</v>
      </c>
      <c r="T10" s="354">
        <v>0</v>
      </c>
      <c r="U10" s="355">
        <v>0</v>
      </c>
      <c r="V10" s="356">
        <v>10.549998095442219423451528600</v>
      </c>
      <c r="W10" s="354">
        <v>0</v>
      </c>
      <c r="X10" s="355">
        <v>0</v>
      </c>
      <c r="Y10" s="356">
        <v>3.805560589740842303696782700</v>
      </c>
      <c r="Z10" s="354">
        <v>43.984115291298632243191151950</v>
      </c>
      <c r="AA10" s="355">
        <v>-3.694222889903621978831880500</v>
      </c>
      <c r="AB10" s="356">
        <v>6.0362862229985572003086507400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23</v>
      </c>
      <c r="C11" s="345" t="s">
        <v>47</v>
      </c>
      <c r="D11" s="370">
        <v>215.70512820512820512820512821</v>
      </c>
      <c r="E11" s="172">
        <v>189.1984126984126984126984127</v>
      </c>
      <c r="F11" s="371">
        <v>174.13708954510504168599219728</v>
      </c>
      <c r="G11" s="370">
        <v>0</v>
      </c>
      <c r="H11" s="172">
        <v>0</v>
      </c>
      <c r="I11" s="371">
        <v>199.67905275695692573014486748</v>
      </c>
      <c r="J11" s="370">
        <v>0</v>
      </c>
      <c r="K11" s="172">
        <v>0</v>
      </c>
      <c r="L11" s="371">
        <v>151.79479266545396462445754863</v>
      </c>
      <c r="M11" s="370">
        <v>215.70512820512820512820512821</v>
      </c>
      <c r="N11" s="172">
        <v>189.19841269841269841269841271</v>
      </c>
      <c r="O11" s="371">
        <v>176.39829637244823028344837715</v>
      </c>
      <c r="P11" s="4"/>
      <c r="Q11" s="327">
        <v>52.076902990863008758641509280</v>
      </c>
      <c r="R11" s="171">
        <v>-17.527705663133680693764422300</v>
      </c>
      <c r="S11" s="328">
        <v>7.1770666282350716401889233100</v>
      </c>
      <c r="T11" s="327">
        <v>-100</v>
      </c>
      <c r="U11" s="171">
        <v>0</v>
      </c>
      <c r="V11" s="328">
        <v>6.3657424512777403804294531800</v>
      </c>
      <c r="W11" s="327">
        <v>0</v>
      </c>
      <c r="X11" s="171">
        <v>0</v>
      </c>
      <c r="Y11" s="328">
        <v>8.419634172293356972760326930</v>
      </c>
      <c r="Z11" s="327">
        <v>47.037227237543465658200800520</v>
      </c>
      <c r="AA11" s="171">
        <v>-17.527705663133680693764422300</v>
      </c>
      <c r="AB11" s="328">
        <v>8.739288211584523014284455500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24</v>
      </c>
      <c r="C12" s="347" t="s">
        <v>48</v>
      </c>
      <c r="D12" s="378">
        <v>211</v>
      </c>
      <c r="E12" s="173">
        <v>196.51612903225806451612903224</v>
      </c>
      <c r="F12" s="379">
        <v>175.6512327215246216189027322</v>
      </c>
      <c r="G12" s="378">
        <v>0</v>
      </c>
      <c r="H12" s="173">
        <v>0</v>
      </c>
      <c r="I12" s="379">
        <v>197.01806028128715722135153854</v>
      </c>
      <c r="J12" s="378">
        <v>0</v>
      </c>
      <c r="K12" s="173">
        <v>0</v>
      </c>
      <c r="L12" s="379">
        <v>156.00250811714584060846992265</v>
      </c>
      <c r="M12" s="378">
        <v>211.000000000</v>
      </c>
      <c r="N12" s="173">
        <v>196.51612903225806451612903224</v>
      </c>
      <c r="O12" s="379">
        <v>177.65172413793103448275862069</v>
      </c>
      <c r="P12" s="4"/>
      <c r="Q12" s="359">
        <v>48.728164266003755552297517390</v>
      </c>
      <c r="R12" s="170">
        <v>-11.790013633794030772725262040</v>
      </c>
      <c r="S12" s="360">
        <v>2.8861273023929523237610627200</v>
      </c>
      <c r="T12" s="359">
        <v>-100</v>
      </c>
      <c r="U12" s="170">
        <v>0</v>
      </c>
      <c r="V12" s="360">
        <v>-3.4891416148258109526470955300</v>
      </c>
      <c r="W12" s="359">
        <v>0</v>
      </c>
      <c r="X12" s="170">
        <v>0</v>
      </c>
      <c r="Y12" s="360">
        <v>9.290907740536131843920198900</v>
      </c>
      <c r="Z12" s="359">
        <v>44.080625257125479355256504620</v>
      </c>
      <c r="AA12" s="170">
        <v>-11.790013633794030772725262040</v>
      </c>
      <c r="AB12" s="360">
        <v>3.8364679042888669065656782700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25</v>
      </c>
      <c r="C13" s="345" t="s">
        <v>50</v>
      </c>
      <c r="D13" s="370">
        <v>163.4130434782608695652173913</v>
      </c>
      <c r="E13" s="172">
        <v>184.7466063348416289592760181</v>
      </c>
      <c r="F13" s="371">
        <v>172.05618476206742545327314644</v>
      </c>
      <c r="G13" s="370">
        <v>209</v>
      </c>
      <c r="H13" s="172">
        <v>0</v>
      </c>
      <c r="I13" s="371">
        <v>193.71234681290668216190857747</v>
      </c>
      <c r="J13" s="370">
        <v>0</v>
      </c>
      <c r="K13" s="172">
        <v>0</v>
      </c>
      <c r="L13" s="371">
        <v>141.49834525331542186094920752</v>
      </c>
      <c r="M13" s="370">
        <v>168.67307692307692307692307692</v>
      </c>
      <c r="N13" s="172">
        <v>184.74660633484162895927601809</v>
      </c>
      <c r="O13" s="371">
        <v>172.81065811574286150557336998</v>
      </c>
      <c r="P13" s="4"/>
      <c r="Q13" s="327">
        <v>27.559118843356775863395144120</v>
      </c>
      <c r="R13" s="171">
        <v>-4.1273449222409813392444119900</v>
      </c>
      <c r="S13" s="328">
        <v>1.1831097537915584176982888800</v>
      </c>
      <c r="T13" s="327">
        <v>0</v>
      </c>
      <c r="U13" s="171">
        <v>0</v>
      </c>
      <c r="V13" s="328">
        <v>-5.1111987730505867616443457400</v>
      </c>
      <c r="W13" s="327">
        <v>0</v>
      </c>
      <c r="X13" s="171">
        <v>0</v>
      </c>
      <c r="Y13" s="328">
        <v>-1.2607654804621518379067654100</v>
      </c>
      <c r="Z13" s="327">
        <v>31.665065449733897858445434490</v>
      </c>
      <c r="AA13" s="171">
        <v>-4.1273449222409813392444119900</v>
      </c>
      <c r="AB13" s="328">
        <v>0.9952212982558579674002814900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26</v>
      </c>
      <c r="C14" s="347" t="s">
        <v>51</v>
      </c>
      <c r="D14" s="378">
        <v>146.85321100917431192660550459</v>
      </c>
      <c r="E14" s="173">
        <v>199.99579831932773109243697479</v>
      </c>
      <c r="F14" s="379">
        <v>174.63676372502555765149126932</v>
      </c>
      <c r="G14" s="378">
        <v>209</v>
      </c>
      <c r="H14" s="173">
        <v>0</v>
      </c>
      <c r="I14" s="379">
        <v>190.18001150076911777173737817</v>
      </c>
      <c r="J14" s="378">
        <v>0</v>
      </c>
      <c r="K14" s="173">
        <v>0</v>
      </c>
      <c r="L14" s="379">
        <v>142.46196173891112780269418602</v>
      </c>
      <c r="M14" s="378">
        <v>153.01652892561983471074380165</v>
      </c>
      <c r="N14" s="173">
        <v>199.99579831932773109243697479</v>
      </c>
      <c r="O14" s="379">
        <v>174.05165289256198347107438017</v>
      </c>
      <c r="P14" s="4"/>
      <c r="Q14" s="359">
        <v>-1.5008950548161018111216015600</v>
      </c>
      <c r="R14" s="170">
        <v>-4.9324851362833907944471868900</v>
      </c>
      <c r="S14" s="360">
        <v>-1.8373823648598434380026129300</v>
      </c>
      <c r="T14" s="359">
        <v>0</v>
      </c>
      <c r="U14" s="170">
        <v>0</v>
      </c>
      <c r="V14" s="360">
        <v>-4.4857841222357750890819300900</v>
      </c>
      <c r="W14" s="359">
        <v>0</v>
      </c>
      <c r="X14" s="170">
        <v>0</v>
      </c>
      <c r="Y14" s="360">
        <v>2.5433849939869261876460094400</v>
      </c>
      <c r="Z14" s="359">
        <v>2.6330376940195618814558437600</v>
      </c>
      <c r="AA14" s="170">
        <v>-4.9324851362833907944471868900</v>
      </c>
      <c r="AB14" s="360">
        <v>-1.3737254206479589428247740800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27</v>
      </c>
      <c r="C15" s="345" t="s">
        <v>52</v>
      </c>
      <c r="D15" s="370">
        <v>187.79166666666666666666666667</v>
      </c>
      <c r="E15" s="172">
        <v>238.34362934362934362934362934</v>
      </c>
      <c r="F15" s="371">
        <v>193.55644020645810690974573702</v>
      </c>
      <c r="G15" s="370">
        <v>0</v>
      </c>
      <c r="H15" s="172">
        <v>0</v>
      </c>
      <c r="I15" s="371">
        <v>195.8418281766659933559375451</v>
      </c>
      <c r="J15" s="370">
        <v>0</v>
      </c>
      <c r="K15" s="172">
        <v>0</v>
      </c>
      <c r="L15" s="371">
        <v>140.59531893716307106882674428</v>
      </c>
      <c r="M15" s="370">
        <v>187.79166666666666666666666667</v>
      </c>
      <c r="N15" s="172">
        <v>238.34362934362934362934362933</v>
      </c>
      <c r="O15" s="371">
        <v>188.75565251884172947243157477</v>
      </c>
      <c r="P15" s="4"/>
      <c r="Q15" s="327">
        <v>-7.7773490482333224803730087500</v>
      </c>
      <c r="R15" s="171">
        <v>-6.7241279291880592818816574500</v>
      </c>
      <c r="S15" s="328">
        <v>-3.8940593396875119072543900600</v>
      </c>
      <c r="T15" s="327">
        <v>0</v>
      </c>
      <c r="U15" s="171">
        <v>0</v>
      </c>
      <c r="V15" s="328">
        <v>1.3878243251256721360137417100</v>
      </c>
      <c r="W15" s="327">
        <v>0</v>
      </c>
      <c r="X15" s="171">
        <v>0</v>
      </c>
      <c r="Y15" s="328">
        <v>2.7415545411001221539333129900</v>
      </c>
      <c r="Z15" s="327">
        <v>-7.7773490482333224803730087500</v>
      </c>
      <c r="AA15" s="171">
        <v>-6.7241279291880592818816574500</v>
      </c>
      <c r="AB15" s="328">
        <v>-2.6866096121288425462376536100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28</v>
      </c>
      <c r="C16" s="347" t="s">
        <v>53</v>
      </c>
      <c r="D16" s="378">
        <v>195.56910569105691056910569106</v>
      </c>
      <c r="E16" s="173">
        <v>251.92553191489361702127659574</v>
      </c>
      <c r="F16" s="379">
        <v>194.95222252168735163145232341</v>
      </c>
      <c r="G16" s="378">
        <v>0</v>
      </c>
      <c r="H16" s="173">
        <v>0</v>
      </c>
      <c r="I16" s="379">
        <v>199.22183464969505357668007381</v>
      </c>
      <c r="J16" s="378">
        <v>0</v>
      </c>
      <c r="K16" s="173">
        <v>0</v>
      </c>
      <c r="L16" s="379">
        <v>149.53890379567909257303141276</v>
      </c>
      <c r="M16" s="378">
        <v>195.56910569105691056910569106</v>
      </c>
      <c r="N16" s="173">
        <v>251.92553191489361702127659575</v>
      </c>
      <c r="O16" s="379">
        <v>191.30220625962031811185223191</v>
      </c>
      <c r="P16" s="4"/>
      <c r="Q16" s="359">
        <v>-1.6534669656829444265199146100</v>
      </c>
      <c r="R16" s="170">
        <v>2.9468023003007806390330338200</v>
      </c>
      <c r="S16" s="360">
        <v>-5.3952072137745062305700116900</v>
      </c>
      <c r="T16" s="359">
        <v>0</v>
      </c>
      <c r="U16" s="170">
        <v>0</v>
      </c>
      <c r="V16" s="360">
        <v>5.1964824662579068833435143200</v>
      </c>
      <c r="W16" s="359">
        <v>0</v>
      </c>
      <c r="X16" s="170">
        <v>0</v>
      </c>
      <c r="Y16" s="360">
        <v>5.307974442972944594561609200</v>
      </c>
      <c r="Z16" s="359">
        <v>-1.6534669656829444265199146100</v>
      </c>
      <c r="AA16" s="170">
        <v>2.9468023003007806390330338300</v>
      </c>
      <c r="AB16" s="360">
        <v>-3.4603273296139323797209159300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29</v>
      </c>
      <c r="C17" s="345" t="s">
        <v>49</v>
      </c>
      <c r="D17" s="370">
        <v>141.92452830188679245283018868</v>
      </c>
      <c r="E17" s="172">
        <v>201.63133640552995391705069124</v>
      </c>
      <c r="F17" s="371">
        <v>161.63509997759574578995576434</v>
      </c>
      <c r="G17" s="370">
        <v>0</v>
      </c>
      <c r="H17" s="172">
        <v>200</v>
      </c>
      <c r="I17" s="371">
        <v>190.48158544303116516890913904</v>
      </c>
      <c r="J17" s="370">
        <v>0</v>
      </c>
      <c r="K17" s="172">
        <v>0</v>
      </c>
      <c r="L17" s="371">
        <v>154.76195604060472343693875971</v>
      </c>
      <c r="M17" s="370">
        <v>141.92452830188679245283018868</v>
      </c>
      <c r="N17" s="172">
        <v>201.61643835616438356164383562</v>
      </c>
      <c r="O17" s="371">
        <v>162.99435897435897435897435897</v>
      </c>
      <c r="P17" s="4"/>
      <c r="Q17" s="327">
        <v>4.3821421276824000353810585900</v>
      </c>
      <c r="R17" s="171">
        <v>6.5182939392862560253362939800</v>
      </c>
      <c r="S17" s="328">
        <v>-1.6862966360768517058444281700</v>
      </c>
      <c r="T17" s="327">
        <v>0</v>
      </c>
      <c r="U17" s="171">
        <v>0</v>
      </c>
      <c r="V17" s="328">
        <v>2.5609396355012016935069812800</v>
      </c>
      <c r="W17" s="327">
        <v>0</v>
      </c>
      <c r="X17" s="171">
        <v>0</v>
      </c>
      <c r="Y17" s="328">
        <v>0.1854540609157489391031174700</v>
      </c>
      <c r="Z17" s="327">
        <v>4.3821421276824000353810585900</v>
      </c>
      <c r="AA17" s="171">
        <v>6.510423561448496986343701100</v>
      </c>
      <c r="AB17" s="328">
        <v>-1.5589289391020505932070333900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30</v>
      </c>
      <c r="C18" s="347" t="s">
        <v>47</v>
      </c>
      <c r="D18" s="378">
        <v>136.65048543689320388349514563</v>
      </c>
      <c r="E18" s="173">
        <v>195.0928961748633879781420765</v>
      </c>
      <c r="F18" s="379">
        <v>157.99045745330435644492998717</v>
      </c>
      <c r="G18" s="378">
        <v>0</v>
      </c>
      <c r="H18" s="173">
        <v>200</v>
      </c>
      <c r="I18" s="379">
        <v>189.46447508147895358563043742</v>
      </c>
      <c r="J18" s="378">
        <v>0</v>
      </c>
      <c r="K18" s="173">
        <v>0</v>
      </c>
      <c r="L18" s="379">
        <v>136.01713784836188162408244519</v>
      </c>
      <c r="M18" s="378">
        <v>136.65048543689320388349514563</v>
      </c>
      <c r="N18" s="173">
        <v>195.34715025906735751295336788</v>
      </c>
      <c r="O18" s="379">
        <v>157.52099658428772352822985734</v>
      </c>
      <c r="P18" s="4"/>
      <c r="Q18" s="359">
        <v>2.653921892514144131992378800</v>
      </c>
      <c r="R18" s="170">
        <v>5.3802282936613257515367592400</v>
      </c>
      <c r="S18" s="360">
        <v>0.6740239733139862834714310500</v>
      </c>
      <c r="T18" s="359">
        <v>0</v>
      </c>
      <c r="U18" s="170">
        <v>0</v>
      </c>
      <c r="V18" s="360">
        <v>19.157593352679505728690835440</v>
      </c>
      <c r="W18" s="359">
        <v>0</v>
      </c>
      <c r="X18" s="170">
        <v>0</v>
      </c>
      <c r="Y18" s="360">
        <v>-0.707296750941892702424912300</v>
      </c>
      <c r="Z18" s="359">
        <v>2.653921892514144131992378800</v>
      </c>
      <c r="AA18" s="170">
        <v>5.517564680394725791134662800</v>
      </c>
      <c r="AB18" s="360">
        <v>2.153638938320605965338897900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t="s">
        <v>179</v>
      </c>
      <c r="B19" s="668">
        <v>1</v>
      </c>
      <c r="C19" s="679" t="s">
        <v>48</v>
      </c>
      <c r="D19" s="680">
        <v>142.7319587628865979381443299</v>
      </c>
      <c r="E19" s="681">
        <v>184.07109004739336492890995261</v>
      </c>
      <c r="F19" s="682">
        <v>154.95498925214653869958827988</v>
      </c>
      <c r="G19" s="680">
        <v>0</v>
      </c>
      <c r="H19" s="681">
        <v>200</v>
      </c>
      <c r="I19" s="682">
        <v>193.48104773784348593205957803</v>
      </c>
      <c r="J19" s="680">
        <v>0</v>
      </c>
      <c r="K19" s="681">
        <v>0</v>
      </c>
      <c r="L19" s="682">
        <v>145.4003896162503786703733219</v>
      </c>
      <c r="M19" s="680">
        <v>142.7319587628865979381443299</v>
      </c>
      <c r="N19" s="681">
        <v>184.79185520361990950226244343</v>
      </c>
      <c r="O19" s="682">
        <v>156.10993914807302231237322515</v>
      </c>
      <c r="P19" s="4"/>
      <c r="Q19" s="670">
        <v>-0.6932772736978312350764845200</v>
      </c>
      <c r="R19" s="671">
        <v>0.0011542033646983287528850100</v>
      </c>
      <c r="S19" s="672">
        <v>-0.9335021116208005775593387800</v>
      </c>
      <c r="T19" s="670">
        <v>0</v>
      </c>
      <c r="U19" s="671">
        <v>0</v>
      </c>
      <c r="V19" s="672">
        <v>19.731589085770817862985069750</v>
      </c>
      <c r="W19" s="670">
        <v>0</v>
      </c>
      <c r="X19" s="671">
        <v>0</v>
      </c>
      <c r="Y19" s="672">
        <v>-18.168621768878743468695333470</v>
      </c>
      <c r="Z19" s="670">
        <v>-0.6932772736978312350764845200</v>
      </c>
      <c r="AA19" s="671">
        <v>0.3927276303143890651400268300</v>
      </c>
      <c r="AB19" s="672">
        <v>-2.2861721235469951144796059100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2</v>
      </c>
      <c r="C20" s="347" t="s">
        <v>50</v>
      </c>
      <c r="D20" s="378">
        <v>124.29824561403508771929824561</v>
      </c>
      <c r="E20" s="173">
        <v>203.2850241545893719806763285</v>
      </c>
      <c r="F20" s="379">
        <v>153.7116822079026644025288955</v>
      </c>
      <c r="G20" s="378">
        <v>0</v>
      </c>
      <c r="H20" s="173">
        <v>200</v>
      </c>
      <c r="I20" s="379">
        <v>176.01262690111134922982730509</v>
      </c>
      <c r="J20" s="378">
        <v>0</v>
      </c>
      <c r="K20" s="173">
        <v>0</v>
      </c>
      <c r="L20" s="379">
        <v>141.35681818051426679420318738</v>
      </c>
      <c r="M20" s="378">
        <v>124.29824561403508771929824561</v>
      </c>
      <c r="N20" s="173">
        <v>203.26923076923076923076923076</v>
      </c>
      <c r="O20" s="379">
        <v>153.26072469804248229904206581</v>
      </c>
      <c r="P20" s="4"/>
      <c r="Q20" s="359">
        <v>-16.135669322669314370192545910</v>
      </c>
      <c r="R20" s="170">
        <v>0.3279384958098388030992780500</v>
      </c>
      <c r="S20" s="360">
        <v>-4.7001117423032239202851500100</v>
      </c>
      <c r="T20" s="359">
        <v>0</v>
      </c>
      <c r="U20" s="170">
        <v>0</v>
      </c>
      <c r="V20" s="360">
        <v>10.748977418198097526331833150</v>
      </c>
      <c r="W20" s="359">
        <v>0</v>
      </c>
      <c r="X20" s="170">
        <v>0</v>
      </c>
      <c r="Y20" s="360">
        <v>7.994799362915143505520548230</v>
      </c>
      <c r="Z20" s="359">
        <v>-16.135669322669314370192545910</v>
      </c>
      <c r="AA20" s="170">
        <v>0.3201439334632610059562323500</v>
      </c>
      <c r="AB20" s="360">
        <v>-2.7949664699377910060417829400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3</v>
      </c>
      <c r="C21" s="345" t="s">
        <v>51</v>
      </c>
      <c r="D21" s="370">
        <v>145.59349593495934959349593496</v>
      </c>
      <c r="E21" s="172">
        <v>232.12213740458015267175572519</v>
      </c>
      <c r="F21" s="371">
        <v>165.01707793044297805511195064</v>
      </c>
      <c r="G21" s="370">
        <v>0</v>
      </c>
      <c r="H21" s="172">
        <v>0</v>
      </c>
      <c r="I21" s="371">
        <v>168.92612599694515153541973704</v>
      </c>
      <c r="J21" s="370">
        <v>0</v>
      </c>
      <c r="K21" s="172">
        <v>0</v>
      </c>
      <c r="L21" s="371">
        <v>147.65195565928792905085060227</v>
      </c>
      <c r="M21" s="370">
        <v>145.59349593495934959349593496</v>
      </c>
      <c r="N21" s="172">
        <v>232.12213740458015267175572519</v>
      </c>
      <c r="O21" s="371">
        <v>163.03441812915317771340943943</v>
      </c>
      <c r="P21" s="4"/>
      <c r="Q21" s="327">
        <v>-20.40637540601613385763064800</v>
      </c>
      <c r="R21" s="171">
        <v>-7.4175868344746407159181019300</v>
      </c>
      <c r="S21" s="328">
        <v>-11.547790223743693913091537080</v>
      </c>
      <c r="T21" s="327">
        <v>0</v>
      </c>
      <c r="U21" s="171">
        <v>0</v>
      </c>
      <c r="V21" s="328">
        <v>-6.3720185000541936946724583500</v>
      </c>
      <c r="W21" s="327">
        <v>0</v>
      </c>
      <c r="X21" s="171">
        <v>0</v>
      </c>
      <c r="Y21" s="328">
        <v>4.4604269185076681319724390300</v>
      </c>
      <c r="Z21" s="327">
        <v>-20.40637540601613385763064800</v>
      </c>
      <c r="AA21" s="171">
        <v>-7.4175868344746407159181019300</v>
      </c>
      <c r="AB21" s="328">
        <v>-10.692727628993708933318031420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4</v>
      </c>
      <c r="C22" s="347" t="s">
        <v>52</v>
      </c>
      <c r="D22" s="378">
        <v>228.65079365079365079365079365</v>
      </c>
      <c r="E22" s="173">
        <v>261.0457516339869281045751634</v>
      </c>
      <c r="F22" s="379">
        <v>203.11537798899754624933947823</v>
      </c>
      <c r="G22" s="378">
        <v>0</v>
      </c>
      <c r="H22" s="173">
        <v>0</v>
      </c>
      <c r="I22" s="379">
        <v>184.94879299199052745180702607</v>
      </c>
      <c r="J22" s="378">
        <v>0</v>
      </c>
      <c r="K22" s="173">
        <v>0</v>
      </c>
      <c r="L22" s="379">
        <v>151.1837719696344952859792692</v>
      </c>
      <c r="M22" s="378">
        <v>228.65079365079365079365079365</v>
      </c>
      <c r="N22" s="173">
        <v>261.04575163398692810457516339</v>
      </c>
      <c r="O22" s="379">
        <v>197.88229544819882714325607372</v>
      </c>
      <c r="P22" s="4"/>
      <c r="Q22" s="359">
        <v>6.4324054153945441068023226500</v>
      </c>
      <c r="R22" s="170">
        <v>0.6590217223249219537028014100</v>
      </c>
      <c r="S22" s="360">
        <v>2.113095441257070643886704400</v>
      </c>
      <c r="T22" s="359">
        <v>0</v>
      </c>
      <c r="U22" s="170">
        <v>0</v>
      </c>
      <c r="V22" s="360">
        <v>2.4312341360942139847841704800</v>
      </c>
      <c r="W22" s="359">
        <v>0</v>
      </c>
      <c r="X22" s="170">
        <v>0</v>
      </c>
      <c r="Y22" s="360">
        <v>7.2455290294126982954107618700</v>
      </c>
      <c r="Z22" s="359">
        <v>6.4324054153945441068023226500</v>
      </c>
      <c r="AA22" s="170">
        <v>0.6590217223249219537028014100</v>
      </c>
      <c r="AB22" s="360">
        <v>2.4482718442434464727077225800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5</v>
      </c>
      <c r="C23" s="345" t="s">
        <v>53</v>
      </c>
      <c r="D23" s="370">
        <v>225.7008547008547008547008547</v>
      </c>
      <c r="E23" s="172">
        <v>248.7926421404682274247491639</v>
      </c>
      <c r="F23" s="371">
        <v>196.95951641003446446116544333</v>
      </c>
      <c r="G23" s="370">
        <v>0</v>
      </c>
      <c r="H23" s="172">
        <v>0</v>
      </c>
      <c r="I23" s="371">
        <v>186.7572091548140338228053765</v>
      </c>
      <c r="J23" s="370">
        <v>0</v>
      </c>
      <c r="K23" s="172">
        <v>0</v>
      </c>
      <c r="L23" s="371">
        <v>149.1987883090973217300229069</v>
      </c>
      <c r="M23" s="370">
        <v>225.7008547008547008547008547</v>
      </c>
      <c r="N23" s="172">
        <v>248.79264214046822742474916389</v>
      </c>
      <c r="O23" s="371">
        <v>191.78550233149639677829588809</v>
      </c>
      <c r="P23" s="4"/>
      <c r="Q23" s="327">
        <v>-1.6588018109405352970156842500</v>
      </c>
      <c r="R23" s="171">
        <v>0.53141535856719977852271300</v>
      </c>
      <c r="S23" s="328">
        <v>1.0025430970976925151721357100</v>
      </c>
      <c r="T23" s="327">
        <v>0</v>
      </c>
      <c r="U23" s="171">
        <v>0</v>
      </c>
      <c r="V23" s="328">
        <v>4.7906348843586269279574629600</v>
      </c>
      <c r="W23" s="327">
        <v>0</v>
      </c>
      <c r="X23" s="171">
        <v>0</v>
      </c>
      <c r="Y23" s="328">
        <v>11.229051653507384888559142820</v>
      </c>
      <c r="Z23" s="327">
        <v>-1.6588018109405352970156842500</v>
      </c>
      <c r="AA23" s="171">
        <v>0.5314153585671997785227129900</v>
      </c>
      <c r="AB23" s="328">
        <v>1.602790055352757448743875600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6</v>
      </c>
      <c r="C24" s="347" t="s">
        <v>49</v>
      </c>
      <c r="D24" s="378">
        <v>141.83333333333333333333333333</v>
      </c>
      <c r="E24" s="173">
        <v>198.36206896551724137931034483</v>
      </c>
      <c r="F24" s="379">
        <v>154.01456641665545690786915026</v>
      </c>
      <c r="G24" s="378">
        <v>0</v>
      </c>
      <c r="H24" s="173">
        <v>0</v>
      </c>
      <c r="I24" s="379">
        <v>191.43214448483189928638024316</v>
      </c>
      <c r="J24" s="378">
        <v>0</v>
      </c>
      <c r="K24" s="173">
        <v>0</v>
      </c>
      <c r="L24" s="379">
        <v>145.7949844965227390207756901</v>
      </c>
      <c r="M24" s="378">
        <v>141.83333333333333333333333333</v>
      </c>
      <c r="N24" s="173">
        <v>198.36206896551724137931034483</v>
      </c>
      <c r="O24" s="379">
        <v>154.8509509875640087783467447</v>
      </c>
      <c r="P24" s="4"/>
      <c r="Q24" s="359">
        <v>-7.5243008287199774298671343900</v>
      </c>
      <c r="R24" s="170">
        <v>6.6957247519520307919229774400</v>
      </c>
      <c r="S24" s="360">
        <v>-3.0040652500499607089032290400</v>
      </c>
      <c r="T24" s="359">
        <v>0</v>
      </c>
      <c r="U24" s="170">
        <v>0</v>
      </c>
      <c r="V24" s="360">
        <v>6.0342934740456082039854909500</v>
      </c>
      <c r="W24" s="359">
        <v>0</v>
      </c>
      <c r="X24" s="170">
        <v>0</v>
      </c>
      <c r="Y24" s="360">
        <v>3.895050437609618305523026500</v>
      </c>
      <c r="Z24" s="359">
        <v>-7.5243008287199774298671343900</v>
      </c>
      <c r="AA24" s="170">
        <v>6.6957247519520307919229774400</v>
      </c>
      <c r="AB24" s="360">
        <v>-2.066491280350916785995995300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7</v>
      </c>
      <c r="C25" s="345" t="s">
        <v>47</v>
      </c>
      <c r="D25" s="370">
        <v>139.02325581395348837209302326</v>
      </c>
      <c r="E25" s="172">
        <v>187.35532994923857868020304568</v>
      </c>
      <c r="F25" s="371">
        <v>154.40622625698178216528078839</v>
      </c>
      <c r="G25" s="370">
        <v>0</v>
      </c>
      <c r="H25" s="172">
        <v>0</v>
      </c>
      <c r="I25" s="371">
        <v>192.3748210606642164520608117</v>
      </c>
      <c r="J25" s="370">
        <v>0</v>
      </c>
      <c r="K25" s="172">
        <v>0</v>
      </c>
      <c r="L25" s="371">
        <v>142.63760557585155942571105956</v>
      </c>
      <c r="M25" s="370">
        <v>139.02325581395348837209302326</v>
      </c>
      <c r="N25" s="172">
        <v>187.35532994923857868020304568</v>
      </c>
      <c r="O25" s="371">
        <v>156.69202825428859737638748739</v>
      </c>
      <c r="P25" s="4"/>
      <c r="Q25" s="327">
        <v>-14.158529580704444635428746220</v>
      </c>
      <c r="R25" s="171">
        <v>-9.402645092244401025046883130</v>
      </c>
      <c r="S25" s="328">
        <v>-2.9072874583797371143199806300</v>
      </c>
      <c r="T25" s="327">
        <v>0</v>
      </c>
      <c r="U25" s="171">
        <v>0</v>
      </c>
      <c r="V25" s="328">
        <v>7.7871671922748920490580165900</v>
      </c>
      <c r="W25" s="327">
        <v>0</v>
      </c>
      <c r="X25" s="171">
        <v>0</v>
      </c>
      <c r="Y25" s="328">
        <v>3.5214163840255900003402962400</v>
      </c>
      <c r="Z25" s="327">
        <v>-14.158529580704444635428746220</v>
      </c>
      <c r="AA25" s="171">
        <v>-9.402645092244401025046883130</v>
      </c>
      <c r="AB25" s="328">
        <v>-1.4560031764223678831392862500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8</v>
      </c>
      <c r="C26" s="347" t="s">
        <v>48</v>
      </c>
      <c r="D26" s="378">
        <v>152.06097560975609756097560976</v>
      </c>
      <c r="E26" s="173">
        <v>192.60891089108910891089108911</v>
      </c>
      <c r="F26" s="379">
        <v>156.29368444000143098058418715</v>
      </c>
      <c r="G26" s="378">
        <v>0</v>
      </c>
      <c r="H26" s="173">
        <v>0</v>
      </c>
      <c r="I26" s="379">
        <v>201.98338150190363516847427201</v>
      </c>
      <c r="J26" s="378">
        <v>0</v>
      </c>
      <c r="K26" s="173">
        <v>0</v>
      </c>
      <c r="L26" s="379">
        <v>143.6233448562514897713281648</v>
      </c>
      <c r="M26" s="378">
        <v>152.06097560975609756097560976</v>
      </c>
      <c r="N26" s="173">
        <v>192.6089108910891089108910891</v>
      </c>
      <c r="O26" s="379">
        <v>159.11226572647986639450732975</v>
      </c>
      <c r="P26" s="4"/>
      <c r="Q26" s="359">
        <v>13.305152846849351231088100870</v>
      </c>
      <c r="R26" s="170">
        <v>-0.5785476706000186149749763300</v>
      </c>
      <c r="S26" s="360">
        <v>-1.7259759042168956359091746700</v>
      </c>
      <c r="T26" s="359">
        <v>0</v>
      </c>
      <c r="U26" s="170">
        <v>0</v>
      </c>
      <c r="V26" s="360">
        <v>18.123653579847038752091202710</v>
      </c>
      <c r="W26" s="359">
        <v>0</v>
      </c>
      <c r="X26" s="170">
        <v>0</v>
      </c>
      <c r="Y26" s="360">
        <v>16.218165969620258480819526360</v>
      </c>
      <c r="Z26" s="359">
        <v>13.305152846849351231088100870</v>
      </c>
      <c r="AA26" s="170">
        <v>-0.5785476706000186149749763300</v>
      </c>
      <c r="AB26" s="360">
        <v>1.2330025161041184595693478600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9</v>
      </c>
      <c r="C27" s="345" t="s">
        <v>50</v>
      </c>
      <c r="D27" s="370">
        <v>144.70588235294117647058823529</v>
      </c>
      <c r="E27" s="172">
        <v>193.46296296296296296296296296</v>
      </c>
      <c r="F27" s="371">
        <v>155.27024002428271320866853141</v>
      </c>
      <c r="G27" s="370">
        <v>0</v>
      </c>
      <c r="H27" s="172">
        <v>0</v>
      </c>
      <c r="I27" s="371">
        <v>211.81914869748958567410437511</v>
      </c>
      <c r="J27" s="370">
        <v>0</v>
      </c>
      <c r="K27" s="172">
        <v>0</v>
      </c>
      <c r="L27" s="371">
        <v>154.72582454250706615505195104</v>
      </c>
      <c r="M27" s="370">
        <v>144.70588235294117647058823529</v>
      </c>
      <c r="N27" s="172">
        <v>193.46296296296296296296296295</v>
      </c>
      <c r="O27" s="371">
        <v>162.44953484289977180972441636</v>
      </c>
      <c r="P27" s="4"/>
      <c r="Q27" s="327">
        <v>3.7566078056213606128009284200</v>
      </c>
      <c r="R27" s="171">
        <v>2.3669687507930074979660070100</v>
      </c>
      <c r="S27" s="328">
        <v>-4.1158562024259191082395654700</v>
      </c>
      <c r="T27" s="327">
        <v>-100</v>
      </c>
      <c r="U27" s="171">
        <v>0</v>
      </c>
      <c r="V27" s="328">
        <v>21.580398272300306411796064020</v>
      </c>
      <c r="W27" s="327">
        <v>0</v>
      </c>
      <c r="X27" s="171">
        <v>0</v>
      </c>
      <c r="Y27" s="328">
        <v>16.840176118126988166510553880</v>
      </c>
      <c r="Z27" s="327">
        <v>2.0548904669086180397334270800</v>
      </c>
      <c r="AA27" s="171">
        <v>2.3669687507930074979660070100</v>
      </c>
      <c r="AB27" s="328">
        <v>0.9653150119733587137529234300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10</v>
      </c>
      <c r="C28" s="347" t="s">
        <v>51</v>
      </c>
      <c r="D28" s="378">
        <v>151.90434782608695652173913043</v>
      </c>
      <c r="E28" s="173">
        <v>252.372</v>
      </c>
      <c r="F28" s="379">
        <v>163.11367342537802210096348646</v>
      </c>
      <c r="G28" s="378">
        <v>0</v>
      </c>
      <c r="H28" s="173">
        <v>0</v>
      </c>
      <c r="I28" s="379">
        <v>198.48006009939905091405521235</v>
      </c>
      <c r="J28" s="378">
        <v>0</v>
      </c>
      <c r="K28" s="173">
        <v>0</v>
      </c>
      <c r="L28" s="379">
        <v>143.08988223443972154042698033</v>
      </c>
      <c r="M28" s="378">
        <v>151.90434782608695652173913043</v>
      </c>
      <c r="N28" s="173">
        <v>252.372</v>
      </c>
      <c r="O28" s="379">
        <v>166.72535211267605633802816901</v>
      </c>
      <c r="P28" s="4"/>
      <c r="Q28" s="359">
        <v>-16.949802544434717275156395610</v>
      </c>
      <c r="R28" s="170">
        <v>12.070243429821649115636422500</v>
      </c>
      <c r="S28" s="360">
        <v>-7.6167429767630490158209829300</v>
      </c>
      <c r="T28" s="359">
        <v>-100</v>
      </c>
      <c r="U28" s="170">
        <v>0</v>
      </c>
      <c r="V28" s="360">
        <v>4.3382689361517103118156328400</v>
      </c>
      <c r="W28" s="359">
        <v>0</v>
      </c>
      <c r="X28" s="170">
        <v>0</v>
      </c>
      <c r="Y28" s="360">
        <v>8.786905711519203887666071890</v>
      </c>
      <c r="Z28" s="359">
        <v>-24.653176633646391498763787440</v>
      </c>
      <c r="AA28" s="170">
        <v>12.070243429821649115636422500</v>
      </c>
      <c r="AB28" s="360">
        <v>-4.955502662255073279999563200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11</v>
      </c>
      <c r="C29" s="345" t="s">
        <v>52</v>
      </c>
      <c r="D29" s="370">
        <v>212.64705882352941176470588235</v>
      </c>
      <c r="E29" s="172">
        <v>266.09180327868852459016393443</v>
      </c>
      <c r="F29" s="371">
        <v>202.02134686368473553947991213</v>
      </c>
      <c r="G29" s="370">
        <v>0</v>
      </c>
      <c r="H29" s="172">
        <v>0</v>
      </c>
      <c r="I29" s="371">
        <v>191.24789547612004878139969248</v>
      </c>
      <c r="J29" s="370">
        <v>0</v>
      </c>
      <c r="K29" s="172">
        <v>0</v>
      </c>
      <c r="L29" s="371">
        <v>148.16264184105174207808063848</v>
      </c>
      <c r="M29" s="370">
        <v>212.64705882352941176470588235</v>
      </c>
      <c r="N29" s="172">
        <v>266.09180327868852459016393443</v>
      </c>
      <c r="O29" s="371">
        <v>195.81339119652820830750154991</v>
      </c>
      <c r="P29" s="4"/>
      <c r="Q29" s="327">
        <v>-9.978237567786366464660599230</v>
      </c>
      <c r="R29" s="171">
        <v>-15.446455587199337345651062740</v>
      </c>
      <c r="S29" s="328">
        <v>-10.448691934838315724117762470</v>
      </c>
      <c r="T29" s="327">
        <v>-100</v>
      </c>
      <c r="U29" s="171">
        <v>-100</v>
      </c>
      <c r="V29" s="328">
        <v>-7.5217392986572311254754954700</v>
      </c>
      <c r="W29" s="327">
        <v>0</v>
      </c>
      <c r="X29" s="171">
        <v>0</v>
      </c>
      <c r="Y29" s="328">
        <v>5.1139787166709017421477055200</v>
      </c>
      <c r="Z29" s="327">
        <v>-13.668147458524259892183199220</v>
      </c>
      <c r="AA29" s="171">
        <v>-15.251693417754332734793355200</v>
      </c>
      <c r="AB29" s="328">
        <v>-9.046506267665379712557799880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12</v>
      </c>
      <c r="C30" s="347" t="s">
        <v>53</v>
      </c>
      <c r="D30" s="378">
        <v>228.33858267716535433070866142</v>
      </c>
      <c r="E30" s="173">
        <v>257.42071197411003236245954693</v>
      </c>
      <c r="F30" s="379">
        <v>205.65287472725387990850386708</v>
      </c>
      <c r="G30" s="378">
        <v>0</v>
      </c>
      <c r="H30" s="173">
        <v>0</v>
      </c>
      <c r="I30" s="379">
        <v>188.70604394009804091915669251</v>
      </c>
      <c r="J30" s="378">
        <v>0</v>
      </c>
      <c r="K30" s="173">
        <v>0</v>
      </c>
      <c r="L30" s="379">
        <v>140.88156358722051797832187758</v>
      </c>
      <c r="M30" s="378">
        <v>228.33858267716535433070866142</v>
      </c>
      <c r="N30" s="173">
        <v>257.42071197411003236245954693</v>
      </c>
      <c r="O30" s="379">
        <v>197.75821223592624252045426792</v>
      </c>
      <c r="P30" s="4"/>
      <c r="Q30" s="359">
        <v>0.4626509517980884578751267200</v>
      </c>
      <c r="R30" s="170">
        <v>-16.157072907578762726256512150</v>
      </c>
      <c r="S30" s="360">
        <v>-8.696528467290270077718327010</v>
      </c>
      <c r="T30" s="359">
        <v>-100</v>
      </c>
      <c r="U30" s="170">
        <v>-100</v>
      </c>
      <c r="V30" s="360">
        <v>-13.343662392094630192761103220</v>
      </c>
      <c r="W30" s="359">
        <v>0</v>
      </c>
      <c r="X30" s="170">
        <v>0</v>
      </c>
      <c r="Y30" s="360">
        <v>-0.2202620071923304704101666200</v>
      </c>
      <c r="Z30" s="359">
        <v>-6.9008975319796813512343183600</v>
      </c>
      <c r="AA30" s="170">
        <v>-15.114529370111961623693885870</v>
      </c>
      <c r="AB30" s="360">
        <v>-9.080592634173456721345317750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13</v>
      </c>
      <c r="C31" s="345" t="s">
        <v>49</v>
      </c>
      <c r="D31" s="370">
        <v>148.8878504672897196261682243</v>
      </c>
      <c r="E31" s="172">
        <v>193.8640776699029126213592233</v>
      </c>
      <c r="F31" s="371">
        <v>158.47566060865189971443266055</v>
      </c>
      <c r="G31" s="370">
        <v>0</v>
      </c>
      <c r="H31" s="172">
        <v>0</v>
      </c>
      <c r="I31" s="371">
        <v>171.61134896331208932999850809</v>
      </c>
      <c r="J31" s="370">
        <v>0</v>
      </c>
      <c r="K31" s="172">
        <v>0</v>
      </c>
      <c r="L31" s="371">
        <v>150.30674410741242487852450412</v>
      </c>
      <c r="M31" s="370">
        <v>148.8878504672897196261682243</v>
      </c>
      <c r="N31" s="172">
        <v>193.8640776699029126213592233</v>
      </c>
      <c r="O31" s="371">
        <v>158.57325174825174825174825175</v>
      </c>
      <c r="P31" s="4"/>
      <c r="Q31" s="327">
        <v>-8.234010912225639302338565280</v>
      </c>
      <c r="R31" s="171">
        <v>-20.458349391996622708493515540</v>
      </c>
      <c r="S31" s="328">
        <v>-14.405147369738330302905629150</v>
      </c>
      <c r="T31" s="327">
        <v>-100</v>
      </c>
      <c r="U31" s="171">
        <v>-100</v>
      </c>
      <c r="V31" s="328">
        <v>-19.822119029192442340676178830</v>
      </c>
      <c r="W31" s="327">
        <v>0</v>
      </c>
      <c r="X31" s="171">
        <v>0</v>
      </c>
      <c r="Y31" s="328">
        <v>6.3388170047364773404844576600</v>
      </c>
      <c r="Z31" s="327">
        <v>-14.948481127564371752206913190</v>
      </c>
      <c r="AA31" s="171">
        <v>-19.892126144102737423760688850</v>
      </c>
      <c r="AB31" s="328">
        <v>-13.7688351720104592465765800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14</v>
      </c>
      <c r="C32" s="347" t="s">
        <v>47</v>
      </c>
      <c r="D32" s="378">
        <v>147.11340206185567010309278351</v>
      </c>
      <c r="E32" s="173">
        <v>190.68085106382978723404255321</v>
      </c>
      <c r="F32" s="379">
        <v>159.07324505771745713327446754</v>
      </c>
      <c r="G32" s="378">
        <v>0</v>
      </c>
      <c r="H32" s="173">
        <v>0</v>
      </c>
      <c r="I32" s="379">
        <v>175.39578744855281049375595349</v>
      </c>
      <c r="J32" s="378">
        <v>0</v>
      </c>
      <c r="K32" s="173">
        <v>0</v>
      </c>
      <c r="L32" s="379">
        <v>148.27633034222563298837494628</v>
      </c>
      <c r="M32" s="378">
        <v>147.11340206185567010309278351</v>
      </c>
      <c r="N32" s="173">
        <v>190.6808510638297872340425532</v>
      </c>
      <c r="O32" s="379">
        <v>159.25731620271234832262669522</v>
      </c>
      <c r="P32" s="4"/>
      <c r="Q32" s="359">
        <v>10.114821902586579418482622390</v>
      </c>
      <c r="R32" s="170">
        <v>-1.5669452358603713378816798300</v>
      </c>
      <c r="S32" s="360">
        <v>-2.0851545995105545484369134200</v>
      </c>
      <c r="T32" s="359">
        <v>0</v>
      </c>
      <c r="U32" s="170">
        <v>-100</v>
      </c>
      <c r="V32" s="360">
        <v>-10.780042603726841721220542850</v>
      </c>
      <c r="W32" s="359">
        <v>0</v>
      </c>
      <c r="X32" s="170">
        <v>0</v>
      </c>
      <c r="Y32" s="360">
        <v>11.368649217997480142024437140</v>
      </c>
      <c r="Z32" s="359">
        <v>10.114821902586579418482622390</v>
      </c>
      <c r="AA32" s="170">
        <v>-3.6526658530372709552268018900</v>
      </c>
      <c r="AB32" s="360">
        <v>-1.9183866445851365403538288300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15</v>
      </c>
      <c r="C33" s="345" t="s">
        <v>48</v>
      </c>
      <c r="D33" s="370">
        <v>142.64044943820224719101123596</v>
      </c>
      <c r="E33" s="172">
        <v>177.44615384615384615384615383</v>
      </c>
      <c r="F33" s="371">
        <v>162.17194106448032229516434027</v>
      </c>
      <c r="G33" s="370">
        <v>0</v>
      </c>
      <c r="H33" s="172">
        <v>0</v>
      </c>
      <c r="I33" s="371">
        <v>174.33197306647985726735903823</v>
      </c>
      <c r="J33" s="370">
        <v>0</v>
      </c>
      <c r="K33" s="172">
        <v>0</v>
      </c>
      <c r="L33" s="371">
        <v>147.28746608006604639074040463</v>
      </c>
      <c r="M33" s="370">
        <v>142.64044943820224719101123596</v>
      </c>
      <c r="N33" s="172">
        <v>177.44615384615384615384615384</v>
      </c>
      <c r="O33" s="371">
        <v>161.87508509189925119128658952</v>
      </c>
      <c r="P33" s="4"/>
      <c r="Q33" s="327">
        <v>-4.4562498180980875852425627900</v>
      </c>
      <c r="R33" s="171">
        <v>-10.675783802027782929884871300</v>
      </c>
      <c r="S33" s="328">
        <v>0.1753120603689335678001267600</v>
      </c>
      <c r="T33" s="327">
        <v>0</v>
      </c>
      <c r="U33" s="171">
        <v>-100</v>
      </c>
      <c r="V33" s="328">
        <v>-3.9477726074603069626948829900</v>
      </c>
      <c r="W33" s="327">
        <v>0</v>
      </c>
      <c r="X33" s="171">
        <v>0</v>
      </c>
      <c r="Y33" s="328">
        <v>8.812481824737693060252121320</v>
      </c>
      <c r="Z33" s="327">
        <v>-4.4562498180980875852425627900</v>
      </c>
      <c r="AA33" s="171">
        <v>-12.246253167449368555777135930</v>
      </c>
      <c r="AB33" s="328">
        <v>0.8253820646906202812653087200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16</v>
      </c>
      <c r="C34" s="347" t="s">
        <v>50</v>
      </c>
      <c r="D34" s="378">
        <v>137.38144329896907216494845361</v>
      </c>
      <c r="E34" s="173">
        <v>180.66826923076923076923076923</v>
      </c>
      <c r="F34" s="379">
        <v>162.91926084185559157691596243</v>
      </c>
      <c r="G34" s="378">
        <v>149</v>
      </c>
      <c r="H34" s="173">
        <v>0</v>
      </c>
      <c r="I34" s="379">
        <v>174.44778941175133533952999919</v>
      </c>
      <c r="J34" s="378">
        <v>0</v>
      </c>
      <c r="K34" s="173">
        <v>0</v>
      </c>
      <c r="L34" s="379">
        <v>147.48385758693976103766504305</v>
      </c>
      <c r="M34" s="378">
        <v>137.500000000</v>
      </c>
      <c r="N34" s="173">
        <v>180.66826923076923076923076922</v>
      </c>
      <c r="O34" s="379">
        <v>163.11164078117791788405351376</v>
      </c>
      <c r="P34" s="4"/>
      <c r="Q34" s="359">
        <v>-8.723540881039203444139998700</v>
      </c>
      <c r="R34" s="170">
        <v>-8.641056364692379291668392280</v>
      </c>
      <c r="S34" s="360">
        <v>1.0968162502161546647653484600</v>
      </c>
      <c r="T34" s="359">
        <v>-24.899193548387096774193548390</v>
      </c>
      <c r="U34" s="170">
        <v>-100</v>
      </c>
      <c r="V34" s="360">
        <v>1.4094922637983410418739879400</v>
      </c>
      <c r="W34" s="359">
        <v>0</v>
      </c>
      <c r="X34" s="170">
        <v>0</v>
      </c>
      <c r="Y34" s="360">
        <v>7.0359099359982518427541018600</v>
      </c>
      <c r="Z34" s="359">
        <v>-10.181217953234361264346623900</v>
      </c>
      <c r="AA34" s="170">
        <v>-8.703497490205418348070046590</v>
      </c>
      <c r="AB34" s="360">
        <v>1.9969586667706135658308746400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17</v>
      </c>
      <c r="C35" s="345" t="s">
        <v>51</v>
      </c>
      <c r="D35" s="370">
        <v>144.09401709401709401709401709</v>
      </c>
      <c r="E35" s="172">
        <v>216.98672566371681415929203542</v>
      </c>
      <c r="F35" s="371">
        <v>172.95808263255355915832936593</v>
      </c>
      <c r="G35" s="370">
        <v>149</v>
      </c>
      <c r="H35" s="172">
        <v>0</v>
      </c>
      <c r="I35" s="371">
        <v>176.13531443810059958169794615</v>
      </c>
      <c r="J35" s="370">
        <v>0</v>
      </c>
      <c r="K35" s="172">
        <v>0</v>
      </c>
      <c r="L35" s="371">
        <v>147.56175426897290409014097139</v>
      </c>
      <c r="M35" s="370">
        <v>144.17647058823529411764705882</v>
      </c>
      <c r="N35" s="172">
        <v>216.98672566371681415929203541</v>
      </c>
      <c r="O35" s="371">
        <v>171.11199664429530201342281879</v>
      </c>
      <c r="P35" s="4"/>
      <c r="Q35" s="327">
        <v>4.4961304751113013129115481400</v>
      </c>
      <c r="R35" s="171">
        <v>-0.4279698678777299233446900300</v>
      </c>
      <c r="S35" s="328">
        <v>2.9770624147482696548534325200</v>
      </c>
      <c r="T35" s="327">
        <v>-21.080508474576271186440677970</v>
      </c>
      <c r="U35" s="171">
        <v>0</v>
      </c>
      <c r="V35" s="328">
        <v>-0.6878617066052933644986677300</v>
      </c>
      <c r="W35" s="327">
        <v>0</v>
      </c>
      <c r="X35" s="171">
        <v>0</v>
      </c>
      <c r="Y35" s="328">
        <v>10.391942079584848694897936780</v>
      </c>
      <c r="Z35" s="327">
        <v>2.4546573465710664329661801400</v>
      </c>
      <c r="AA35" s="171">
        <v>-0.4279698678777299233446900400</v>
      </c>
      <c r="AB35" s="328">
        <v>3.4251710850674875058289574500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18</v>
      </c>
      <c r="C36" s="347" t="s">
        <v>52</v>
      </c>
      <c r="D36" s="378">
        <v>228.78571428571428571428571429</v>
      </c>
      <c r="E36" s="173">
        <v>254.67207792207792207792207792</v>
      </c>
      <c r="F36" s="379">
        <v>196.78437468273449034436903157</v>
      </c>
      <c r="G36" s="378">
        <v>179</v>
      </c>
      <c r="H36" s="173">
        <v>0</v>
      </c>
      <c r="I36" s="379">
        <v>206.66845151175466891722462949</v>
      </c>
      <c r="J36" s="378">
        <v>0</v>
      </c>
      <c r="K36" s="173">
        <v>0</v>
      </c>
      <c r="L36" s="379">
        <v>149.41892946165644836475670998</v>
      </c>
      <c r="M36" s="378">
        <v>226.25423728813559322033898305</v>
      </c>
      <c r="N36" s="173">
        <v>254.67207792207792207792207793</v>
      </c>
      <c r="O36" s="379">
        <v>193.72823433685923515052888527</v>
      </c>
      <c r="P36" s="4"/>
      <c r="Q36" s="359">
        <v>-2.1984732824546933162403108800</v>
      </c>
      <c r="R36" s="170">
        <v>-9.112081851137591614960267040</v>
      </c>
      <c r="S36" s="360">
        <v>-2.2518399214257642004012800700</v>
      </c>
      <c r="T36" s="359">
        <v>-39.649359406608226567768037760</v>
      </c>
      <c r="U36" s="170">
        <v>-100</v>
      </c>
      <c r="V36" s="360">
        <v>16.730618178683116074088890080</v>
      </c>
      <c r="W36" s="359">
        <v>0</v>
      </c>
      <c r="X36" s="170">
        <v>0</v>
      </c>
      <c r="Y36" s="360">
        <v>3.1529651463197306271768418800</v>
      </c>
      <c r="Z36" s="359">
        <v>-4.5223433272749511514737092200</v>
      </c>
      <c r="AA36" s="170">
        <v>-9.305290535476313208903873540</v>
      </c>
      <c r="AB36" s="360">
        <v>0.1473218510977599428377920300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19</v>
      </c>
      <c r="C37" s="349" t="s">
        <v>53</v>
      </c>
      <c r="D37" s="380">
        <v>214.2327586206896551724137931</v>
      </c>
      <c r="E37" s="383">
        <v>247.06796116504854368932038835</v>
      </c>
      <c r="F37" s="381">
        <v>203.40546609103091741030437586</v>
      </c>
      <c r="G37" s="380">
        <v>201.72727272727272727272727273</v>
      </c>
      <c r="H37" s="383">
        <v>0</v>
      </c>
      <c r="I37" s="381">
        <v>202.25458794875287785604974631</v>
      </c>
      <c r="J37" s="380">
        <v>0</v>
      </c>
      <c r="K37" s="383">
        <v>0</v>
      </c>
      <c r="L37" s="381">
        <v>145.42639961777436381596768922</v>
      </c>
      <c r="M37" s="380">
        <v>213.14960629921259842519685039</v>
      </c>
      <c r="N37" s="383">
        <v>247.06796116504854368932038835</v>
      </c>
      <c r="O37" s="381">
        <v>198.33028327901729756831286037</v>
      </c>
      <c r="P37" s="4"/>
      <c r="Q37" s="329">
        <v>-7.3921792705819058590820176700</v>
      </c>
      <c r="R37" s="330">
        <v>-13.760936848802491734828191290</v>
      </c>
      <c r="S37" s="332">
        <v>-1.2698334022220729387027752400</v>
      </c>
      <c r="T37" s="329">
        <v>-33.202889825406381697772426250</v>
      </c>
      <c r="U37" s="330">
        <v>-100</v>
      </c>
      <c r="V37" s="332">
        <v>15.456171842603535266594639940</v>
      </c>
      <c r="W37" s="329">
        <v>0</v>
      </c>
      <c r="X37" s="330">
        <v>0</v>
      </c>
      <c r="Y37" s="332">
        <v>3.5278721460363711864978950100</v>
      </c>
      <c r="Z37" s="329">
        <v>-9.157142220923562312689989230</v>
      </c>
      <c r="AA37" s="330">
        <v>-13.892506795746416553943938500</v>
      </c>
      <c r="AB37" s="332">
        <v>0.5810896305005999551630772100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160.97290640394088669950738916</v>
      </c>
      <c r="E39" s="382">
        <v>200.60537634408602150537634409</v>
      </c>
      <c r="F39" s="375">
        <v>163.04634173040466280565796677</v>
      </c>
      <c r="G39" s="374">
        <v>0</v>
      </c>
      <c r="H39" s="382">
        <v>300.72727272727272727272727273</v>
      </c>
      <c r="I39" s="375">
        <v>193.5688633408776992917045045</v>
      </c>
      <c r="J39" s="374">
        <v>0</v>
      </c>
      <c r="K39" s="382">
        <v>0</v>
      </c>
      <c r="L39" s="375">
        <v>149.44021873339304916063786537</v>
      </c>
      <c r="M39" s="374">
        <v>160.97290640394088669950738916</v>
      </c>
      <c r="N39" s="382">
        <v>201.77577045696068012752391073</v>
      </c>
      <c r="O39" s="375">
        <v>164.54801091721114878835497477</v>
      </c>
      <c r="P39" s="4"/>
      <c r="Q39" s="354">
        <v>5.8473698004343311992746473300</v>
      </c>
      <c r="R39" s="355">
        <v>-4.4932508518207191512997856300</v>
      </c>
      <c r="S39" s="356">
        <v>-4.1189047317504900621650792300</v>
      </c>
      <c r="T39" s="354">
        <v>-100</v>
      </c>
      <c r="U39" s="355">
        <v>31.321953156014291385470424770</v>
      </c>
      <c r="V39" s="356">
        <v>0.6272869594048223403910692500</v>
      </c>
      <c r="W39" s="354">
        <v>0</v>
      </c>
      <c r="X39" s="355">
        <v>0</v>
      </c>
      <c r="Y39" s="356">
        <v>3.4058463988768463859197884100</v>
      </c>
      <c r="Z39" s="354">
        <v>3.2014006687519022369566952800</v>
      </c>
      <c r="AA39" s="355">
        <v>-4.2226312698535807774939987300</v>
      </c>
      <c r="AB39" s="356">
        <v>-2.8318653222096034368930739400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156.93956043956043956043956044</v>
      </c>
      <c r="E40" s="172">
        <v>190.41097560975609756097560976</v>
      </c>
      <c r="F40" s="371">
        <v>162.04923667363047993794528558</v>
      </c>
      <c r="G40" s="370">
        <v>0</v>
      </c>
      <c r="H40" s="172">
        <v>200</v>
      </c>
      <c r="I40" s="371">
        <v>192.15895078456440042270905131</v>
      </c>
      <c r="J40" s="370">
        <v>0</v>
      </c>
      <c r="K40" s="172">
        <v>0</v>
      </c>
      <c r="L40" s="371">
        <v>145.06959030586608353078556321</v>
      </c>
      <c r="M40" s="370">
        <v>156.93956043956043956043956044</v>
      </c>
      <c r="N40" s="172">
        <v>190.5265060240963855421686747</v>
      </c>
      <c r="O40" s="371">
        <v>163.5249496531662564332065339</v>
      </c>
      <c r="P40" s="4"/>
      <c r="Q40" s="327">
        <v>9.475743602201678272325781840</v>
      </c>
      <c r="R40" s="171">
        <v>-6.6048202144084769621088247800</v>
      </c>
      <c r="S40" s="328">
        <v>1.0024715257513072983809217600</v>
      </c>
      <c r="T40" s="327">
        <v>-100</v>
      </c>
      <c r="U40" s="171">
        <v>-12.663755458515283842794759830</v>
      </c>
      <c r="V40" s="328">
        <v>5.133081830579399272703286100</v>
      </c>
      <c r="W40" s="327">
        <v>0</v>
      </c>
      <c r="X40" s="171">
        <v>0</v>
      </c>
      <c r="Y40" s="328">
        <v>5.8629011331549447834862323900</v>
      </c>
      <c r="Z40" s="327">
        <v>8.453368628102510666898302370</v>
      </c>
      <c r="AA40" s="171">
        <v>-6.9366727209934254795558300300</v>
      </c>
      <c r="AB40" s="328">
        <v>2.3545929522798308948426439200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160.30924855491329479768786127</v>
      </c>
      <c r="E41" s="173">
        <v>187.86909090909090909090909091</v>
      </c>
      <c r="F41" s="379">
        <v>162.71996707157912186493381218</v>
      </c>
      <c r="G41" s="378">
        <v>0</v>
      </c>
      <c r="H41" s="173">
        <v>200</v>
      </c>
      <c r="I41" s="379">
        <v>191.82700365523523427517201058</v>
      </c>
      <c r="J41" s="378">
        <v>0</v>
      </c>
      <c r="K41" s="173">
        <v>0</v>
      </c>
      <c r="L41" s="379">
        <v>148.33431703717380237641445141</v>
      </c>
      <c r="M41" s="378">
        <v>160.30924855491329479768786127</v>
      </c>
      <c r="N41" s="173">
        <v>188.01437125748502994011976048</v>
      </c>
      <c r="O41" s="379">
        <v>164.58311830308331511043078942</v>
      </c>
      <c r="P41" s="4"/>
      <c r="Q41" s="359">
        <v>12.813874734229996359465954330</v>
      </c>
      <c r="R41" s="170">
        <v>-6.0208701892172240335391873700</v>
      </c>
      <c r="S41" s="360">
        <v>0.2548012933395070307998782200</v>
      </c>
      <c r="T41" s="359">
        <v>-100</v>
      </c>
      <c r="U41" s="170">
        <v>-12.663755458515283842794759830</v>
      </c>
      <c r="V41" s="360">
        <v>5.2466822798556541353359359600</v>
      </c>
      <c r="W41" s="359">
        <v>0</v>
      </c>
      <c r="X41" s="170">
        <v>0</v>
      </c>
      <c r="Y41" s="360">
        <v>1.7224621759267564545273763700</v>
      </c>
      <c r="Z41" s="359">
        <v>11.892957394237148332742770200</v>
      </c>
      <c r="AA41" s="170">
        <v>-6.4082758247912151012584270800</v>
      </c>
      <c r="AB41" s="360">
        <v>1.3869622855893026112859387100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141.45679012345679012345679012</v>
      </c>
      <c r="E42" s="172">
        <v>190.46478873239436619718309859</v>
      </c>
      <c r="F42" s="371">
        <v>161.47229887267232730534594263</v>
      </c>
      <c r="G42" s="370">
        <v>204.38461538461538461538461538</v>
      </c>
      <c r="H42" s="172">
        <v>200</v>
      </c>
      <c r="I42" s="371">
        <v>190.23516503083774380962109641</v>
      </c>
      <c r="J42" s="370">
        <v>0</v>
      </c>
      <c r="K42" s="172">
        <v>0</v>
      </c>
      <c r="L42" s="371">
        <v>146.10330798588015714021277323</v>
      </c>
      <c r="M42" s="370">
        <v>143.4138755980861244019138756</v>
      </c>
      <c r="N42" s="172">
        <v>190.4759671746776084407971864</v>
      </c>
      <c r="O42" s="371">
        <v>163.63997282493312385885949641</v>
      </c>
      <c r="P42" s="4"/>
      <c r="Q42" s="327">
        <v>-0.8429284454084715431070045900</v>
      </c>
      <c r="R42" s="171">
        <v>-2.8614274813184335003407201300</v>
      </c>
      <c r="S42" s="328">
        <v>-1.2918901950756360505933298400</v>
      </c>
      <c r="T42" s="327">
        <v>-1.3315649867578146894722357900</v>
      </c>
      <c r="U42" s="171">
        <v>-12.663755458515283842794759830</v>
      </c>
      <c r="V42" s="328">
        <v>5.2950101788784476870275025400</v>
      </c>
      <c r="W42" s="327">
        <v>0</v>
      </c>
      <c r="X42" s="171">
        <v>0</v>
      </c>
      <c r="Y42" s="328">
        <v>7.2348674108022554557023310700</v>
      </c>
      <c r="Z42" s="327">
        <v>-0.4433062074846254584654172300</v>
      </c>
      <c r="AA42" s="171">
        <v>-2.8743229516885886403354122400</v>
      </c>
      <c r="AB42" s="328">
        <v>0.7125921211480596824685658600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147.07543103448275862068965517</v>
      </c>
      <c r="E43" s="173">
        <v>225.9702868852459016393442623</v>
      </c>
      <c r="F43" s="379">
        <v>169.01753324606640229352085677</v>
      </c>
      <c r="G43" s="378">
        <v>200.42857142857142857142857143</v>
      </c>
      <c r="H43" s="173">
        <v>0</v>
      </c>
      <c r="I43" s="379">
        <v>186.64763124145894136661093023</v>
      </c>
      <c r="J43" s="378">
        <v>0</v>
      </c>
      <c r="K43" s="173">
        <v>0</v>
      </c>
      <c r="L43" s="379">
        <v>145.2328548832302342557247911</v>
      </c>
      <c r="M43" s="378">
        <v>148.63807531380753138075313808</v>
      </c>
      <c r="N43" s="173">
        <v>225.9702868852459016393442623</v>
      </c>
      <c r="O43" s="379">
        <v>168.97968020053932925671313001</v>
      </c>
      <c r="P43" s="4"/>
      <c r="Q43" s="359">
        <v>-10.386275441844774943112297580</v>
      </c>
      <c r="R43" s="170">
        <v>-0.6974673984708279501806497200</v>
      </c>
      <c r="S43" s="360">
        <v>-4.804412517774358364521272600</v>
      </c>
      <c r="T43" s="359">
        <v>-12.889376205456019635479957300</v>
      </c>
      <c r="U43" s="170">
        <v>0</v>
      </c>
      <c r="V43" s="360">
        <v>-1.3000655467929119239558466300</v>
      </c>
      <c r="W43" s="359">
        <v>0</v>
      </c>
      <c r="X43" s="170">
        <v>0</v>
      </c>
      <c r="Y43" s="360">
        <v>6.5718566218878627378826506200</v>
      </c>
      <c r="Z43" s="359">
        <v>-13.432385721296466978594070730</v>
      </c>
      <c r="AA43" s="170">
        <v>-0.6974673984708279501806497200</v>
      </c>
      <c r="AB43" s="360">
        <v>-3.4214584001469543955605342600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214.41090146750524109014675052</v>
      </c>
      <c r="E44" s="172">
        <v>255.69439728353140916808149406</v>
      </c>
      <c r="F44" s="371">
        <v>198.94636308750515711041698005</v>
      </c>
      <c r="G44" s="370">
        <v>179</v>
      </c>
      <c r="H44" s="172">
        <v>0</v>
      </c>
      <c r="I44" s="371">
        <v>195.34393049149663573007501074</v>
      </c>
      <c r="J44" s="370">
        <v>0</v>
      </c>
      <c r="K44" s="172">
        <v>0</v>
      </c>
      <c r="L44" s="371">
        <v>147.08881298167269012552413945</v>
      </c>
      <c r="M44" s="370">
        <v>213.9710144927536231884057971</v>
      </c>
      <c r="N44" s="172">
        <v>255.69439728353140916808149406</v>
      </c>
      <c r="O44" s="371">
        <v>194.02529505370640498607611723</v>
      </c>
      <c r="P44" s="4"/>
      <c r="Q44" s="327">
        <v>-2.710151475249592372163138700</v>
      </c>
      <c r="R44" s="171">
        <v>-7.3523252041535684855725174200</v>
      </c>
      <c r="S44" s="328">
        <v>-3.675932713688183964928313400</v>
      </c>
      <c r="T44" s="327">
        <v>-32.163660607769565453226722490</v>
      </c>
      <c r="U44" s="171">
        <v>-100</v>
      </c>
      <c r="V44" s="328">
        <v>0.0678873212580953199373302200</v>
      </c>
      <c r="W44" s="327">
        <v>0</v>
      </c>
      <c r="X44" s="171">
        <v>0</v>
      </c>
      <c r="Y44" s="328">
        <v>4.3342410857466200732317174900</v>
      </c>
      <c r="Z44" s="327">
        <v>-5.1801935397914890449641175100</v>
      </c>
      <c r="AA44" s="171">
        <v>-7.3845404067830403839483106200</v>
      </c>
      <c r="AB44" s="328">
        <v>-2.6405659020035453883466271900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215.9668737060041407867494824</v>
      </c>
      <c r="E45" s="385">
        <v>251.30859049207673060884070058</v>
      </c>
      <c r="F45" s="386">
        <v>200.25293061486592059692295624</v>
      </c>
      <c r="G45" s="384">
        <v>201.72727272727272727272727273</v>
      </c>
      <c r="H45" s="385">
        <v>0</v>
      </c>
      <c r="I45" s="386">
        <v>193.83792260625510001240319225</v>
      </c>
      <c r="J45" s="384">
        <v>0</v>
      </c>
      <c r="K45" s="385">
        <v>0</v>
      </c>
      <c r="L45" s="386">
        <v>146.39805219850402350072055284</v>
      </c>
      <c r="M45" s="384">
        <v>215.64979757085020242914979757</v>
      </c>
      <c r="N45" s="385">
        <v>251.30859049207673060884070058</v>
      </c>
      <c r="O45" s="386">
        <v>194.92200386597938144329896907</v>
      </c>
      <c r="P45" s="4"/>
      <c r="Q45" s="364">
        <v>-2.5971636613437754729924394500</v>
      </c>
      <c r="R45" s="365">
        <v>-7.1491535563606822264188280200</v>
      </c>
      <c r="S45" s="366">
        <v>-3.7047709455156096389829970200</v>
      </c>
      <c r="T45" s="364">
        <v>-41.766172418319334308557451270</v>
      </c>
      <c r="U45" s="365">
        <v>-100</v>
      </c>
      <c r="V45" s="366">
        <v>-0.601605588088727151414929600</v>
      </c>
      <c r="W45" s="364">
        <v>0</v>
      </c>
      <c r="X45" s="365">
        <v>0</v>
      </c>
      <c r="Y45" s="366">
        <v>4.9737808559434942062236360100</v>
      </c>
      <c r="Z45" s="364">
        <v>-5.2345822893191561677586855100</v>
      </c>
      <c r="AA45" s="365">
        <v>-7.0515970617738260819208326200</v>
      </c>
      <c r="AB45" s="366">
        <v>-2.8288583540540079138712326300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168.10340136054421768707482993</v>
      </c>
      <c r="E47" s="382">
        <v>214.50426829268292682926829268</v>
      </c>
      <c r="F47" s="375">
        <v>176.25094095359387424961062965</v>
      </c>
      <c r="G47" s="374">
        <v>187</v>
      </c>
      <c r="H47" s="382">
        <v>0</v>
      </c>
      <c r="I47" s="375">
        <v>182.54228485571415987307032761</v>
      </c>
      <c r="J47" s="374">
        <v>0</v>
      </c>
      <c r="K47" s="382">
        <v>0</v>
      </c>
      <c r="L47" s="375">
        <v>147.93187478478652359354736251</v>
      </c>
      <c r="M47" s="374">
        <v>168.60397350993377483443708609</v>
      </c>
      <c r="N47" s="382">
        <v>214.50426829268292682926829268</v>
      </c>
      <c r="O47" s="375">
        <v>174.13019672344017140260133746</v>
      </c>
      <c r="P47" s="4"/>
      <c r="Q47" s="354">
        <v>-3.7513832208131060662554534200</v>
      </c>
      <c r="R47" s="355">
        <v>-8.105163798171106203050305140</v>
      </c>
      <c r="S47" s="356">
        <v>-1.8712223894866582577402690400</v>
      </c>
      <c r="T47" s="354">
        <v>-25.819624314543867900430372920</v>
      </c>
      <c r="U47" s="355">
        <v>-100</v>
      </c>
      <c r="V47" s="356">
        <v>-0.945161041367612851454015300</v>
      </c>
      <c r="W47" s="354">
        <v>0</v>
      </c>
      <c r="X47" s="355">
        <v>0</v>
      </c>
      <c r="Y47" s="356">
        <v>7.024334017771717336248329100</v>
      </c>
      <c r="Z47" s="354">
        <v>-5.6364048730177000799903139600</v>
      </c>
      <c r="AA47" s="355">
        <v>-8.257341300659276448106792360</v>
      </c>
      <c r="AB47" s="356">
        <v>-0.9644336753591266547408341100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173.19762308998302207130730051</v>
      </c>
      <c r="E48" s="172">
        <v>218.7377581120943952802359882</v>
      </c>
      <c r="F48" s="371">
        <v>176.30412326779219077224871331</v>
      </c>
      <c r="G48" s="370">
        <v>199</v>
      </c>
      <c r="H48" s="172">
        <v>234.625</v>
      </c>
      <c r="I48" s="371">
        <v>191.75901788227819669890619814</v>
      </c>
      <c r="J48" s="370">
        <v>0</v>
      </c>
      <c r="K48" s="172">
        <v>0</v>
      </c>
      <c r="L48" s="371">
        <v>146.79467546958557653155314379</v>
      </c>
      <c r="M48" s="370">
        <v>173.57745065239210438273670124</v>
      </c>
      <c r="N48" s="172">
        <v>218.81238990017615971814445097</v>
      </c>
      <c r="O48" s="371">
        <v>175.10454021587357875839446796</v>
      </c>
      <c r="P48" s="4"/>
      <c r="Q48" s="327">
        <v>-0.0798224362581443703590304500</v>
      </c>
      <c r="R48" s="171">
        <v>-4.5796646822187485881178477900</v>
      </c>
      <c r="S48" s="328">
        <v>-2.590930076816929628508981400</v>
      </c>
      <c r="T48" s="327">
        <v>-19.254716321151021493746266610</v>
      </c>
      <c r="U48" s="171">
        <v>-1.6384851872417046513676972800</v>
      </c>
      <c r="V48" s="328">
        <v>1.5650517564809885104569596300</v>
      </c>
      <c r="W48" s="327">
        <v>0</v>
      </c>
      <c r="X48" s="171">
        <v>0</v>
      </c>
      <c r="Y48" s="328">
        <v>4.8045413897433206162241269400</v>
      </c>
      <c r="Z48" s="327">
        <v>-2.5214401137039210259220944200</v>
      </c>
      <c r="AA48" s="171">
        <v>-4.6170527982774706336507505100</v>
      </c>
      <c r="AB48" s="328">
        <v>-1.3896172758143643845195173600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171.12237932715748415407118479</v>
      </c>
      <c r="E49" s="385">
        <v>223.29788610871440897325280414</v>
      </c>
      <c r="F49" s="386">
        <v>175.94982691439415120412870525</v>
      </c>
      <c r="G49" s="384">
        <v>187</v>
      </c>
      <c r="H49" s="385">
        <v>200</v>
      </c>
      <c r="I49" s="386">
        <v>188.65698694814894582743305334</v>
      </c>
      <c r="J49" s="384">
        <v>0</v>
      </c>
      <c r="K49" s="385">
        <v>0</v>
      </c>
      <c r="L49" s="386">
        <v>146.87076531564722713851785406</v>
      </c>
      <c r="M49" s="384">
        <v>171.27571221632061805890873974</v>
      </c>
      <c r="N49" s="385">
        <v>223.24273724983860555196901227</v>
      </c>
      <c r="O49" s="386">
        <v>174.3095012547572750993003274</v>
      </c>
      <c r="P49" s="4"/>
      <c r="Q49" s="364">
        <v>-2.2515338759964701407020483300</v>
      </c>
      <c r="R49" s="365">
        <v>-2.4922922290122894170033746500</v>
      </c>
      <c r="S49" s="366">
        <v>-2.2475615454684722951775692900</v>
      </c>
      <c r="T49" s="364">
        <v>-28.326807478066585604301996530</v>
      </c>
      <c r="U49" s="365">
        <v>-14.569031273821126291003598070</v>
      </c>
      <c r="V49" s="366">
        <v>0.7886590689860457573468078200</v>
      </c>
      <c r="W49" s="364">
        <v>0</v>
      </c>
      <c r="X49" s="365">
        <v>0</v>
      </c>
      <c r="Y49" s="366">
        <v>5.6726963275242816231866255100</v>
      </c>
      <c r="Z49" s="364">
        <v>-5.6549456033264495088361803400</v>
      </c>
      <c r="AA49" s="365">
        <v>-2.5694300383873544901622598400</v>
      </c>
      <c r="AB49" s="366">
        <v>-1.2855405581670383952362401300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5"/>
</worksheet>
</file>

<file path=xl/worksheets/sheet4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135</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178</v>
      </c>
      <c r="B4" s="442"/>
      <c r="C4" s="211"/>
      <c r="D4" s="212"/>
      <c r="E4" s="212"/>
      <c r="F4" s="212"/>
      <c r="G4" s="212"/>
      <c r="H4" s="212"/>
      <c r="I4" s="212"/>
      <c r="J4" s="212"/>
      <c r="K4" s="212"/>
      <c r="L4" s="212"/>
      <c r="M4" s="212"/>
      <c r="N4" s="212"/>
      <c r="O4" s="212"/>
      <c r="P4" s="212"/>
      <c r="Q4" s="212"/>
      <c r="R4" s="677" t="s">
        <v>180</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182</v>
      </c>
      <c r="B10" s="342">
        <v>22</v>
      </c>
      <c r="C10" s="343" t="s">
        <v>49</v>
      </c>
      <c r="D10" s="374">
        <v>144.40909090909090909090909091</v>
      </c>
      <c r="E10" s="382">
        <v>165.27034883720930232558139535</v>
      </c>
      <c r="F10" s="375">
        <v>100.15827239820081439443115913</v>
      </c>
      <c r="G10" s="374">
        <v>0</v>
      </c>
      <c r="H10" s="382">
        <v>8.453488372093023255813953488</v>
      </c>
      <c r="I10" s="375">
        <v>26.541505238242947993470329198</v>
      </c>
      <c r="J10" s="374">
        <v>0</v>
      </c>
      <c r="K10" s="382">
        <v>0</v>
      </c>
      <c r="L10" s="375">
        <v>10.823903159403988477150414785</v>
      </c>
      <c r="M10" s="374">
        <v>144.40909090909090909090909091</v>
      </c>
      <c r="N10" s="382">
        <v>173.72383720930232558139534884</v>
      </c>
      <c r="O10" s="375">
        <v>137.52368079584775086505190311</v>
      </c>
      <c r="P10" s="4"/>
      <c r="Q10" s="354">
        <v>21.174750492700945814173232810</v>
      </c>
      <c r="R10" s="355">
        <v>11.673541543909775960836292260</v>
      </c>
      <c r="S10" s="356">
        <v>13.224362695035957932295213020</v>
      </c>
      <c r="T10" s="354">
        <v>0</v>
      </c>
      <c r="U10" s="355">
        <v>0</v>
      </c>
      <c r="V10" s="356">
        <v>108.38276419381453950286136292</v>
      </c>
      <c r="W10" s="354">
        <v>0</v>
      </c>
      <c r="X10" s="355">
        <v>0</v>
      </c>
      <c r="Y10" s="356">
        <v>-0.0236489819059280277527636700</v>
      </c>
      <c r="Z10" s="354">
        <v>21.174750492700945814173232810</v>
      </c>
      <c r="AA10" s="355">
        <v>17.385582400323503090347697780</v>
      </c>
      <c r="AB10" s="356">
        <v>22.763390311365915818823707060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23</v>
      </c>
      <c r="C11" s="345" t="s">
        <v>47</v>
      </c>
      <c r="D11" s="370">
        <v>127.46212121212121212121212121</v>
      </c>
      <c r="E11" s="172">
        <v>138.59883720930232558139534884</v>
      </c>
      <c r="F11" s="371">
        <v>93.44354037849290459447187952</v>
      </c>
      <c r="G11" s="370">
        <v>0</v>
      </c>
      <c r="H11" s="172">
        <v>0</v>
      </c>
      <c r="I11" s="371">
        <v>25.544286076623910661371503148</v>
      </c>
      <c r="J11" s="370">
        <v>0</v>
      </c>
      <c r="K11" s="172">
        <v>0</v>
      </c>
      <c r="L11" s="371">
        <v>10.888471122737856024433433937</v>
      </c>
      <c r="M11" s="370">
        <v>127.46212121212121212121212121</v>
      </c>
      <c r="N11" s="172">
        <v>138.59883720930232558139534884</v>
      </c>
      <c r="O11" s="371">
        <v>129.87629757785467128027681661</v>
      </c>
      <c r="P11" s="4"/>
      <c r="Q11" s="327">
        <v>46.444425102236048011986573160</v>
      </c>
      <c r="R11" s="171">
        <v>-2.4271447282204859435852105700</v>
      </c>
      <c r="S11" s="328">
        <v>17.949874509625443910919034670</v>
      </c>
      <c r="T11" s="327">
        <v>-100</v>
      </c>
      <c r="U11" s="171">
        <v>0</v>
      </c>
      <c r="V11" s="328">
        <v>125.43929341804108355968635056</v>
      </c>
      <c r="W11" s="327">
        <v>0</v>
      </c>
      <c r="X11" s="171">
        <v>0</v>
      </c>
      <c r="Y11" s="328">
        <v>3.8379703921478156574499986600</v>
      </c>
      <c r="Z11" s="327">
        <v>18.236120871431689703688385570</v>
      </c>
      <c r="AA11" s="171">
        <v>-2.4271447282204859435852105700</v>
      </c>
      <c r="AB11" s="328">
        <v>28.539476055773268970622291600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24</v>
      </c>
      <c r="C12" s="347" t="s">
        <v>48</v>
      </c>
      <c r="D12" s="378">
        <v>124.68181818181818181818181818</v>
      </c>
      <c r="E12" s="173">
        <v>123.96511627906976744186046512</v>
      </c>
      <c r="F12" s="379">
        <v>91.5249352369214394323975794</v>
      </c>
      <c r="G12" s="378">
        <v>0</v>
      </c>
      <c r="H12" s="173">
        <v>0</v>
      </c>
      <c r="I12" s="379">
        <v>25.823789545638438621280647119</v>
      </c>
      <c r="J12" s="378">
        <v>0</v>
      </c>
      <c r="K12" s="173">
        <v>0</v>
      </c>
      <c r="L12" s="379">
        <v>10.780276082492025060508624688</v>
      </c>
      <c r="M12" s="378">
        <v>124.68181818181818181818181818</v>
      </c>
      <c r="N12" s="173">
        <v>123.96511627906976744186046512</v>
      </c>
      <c r="O12" s="379">
        <v>128.12900086505190311418685121</v>
      </c>
      <c r="P12" s="4"/>
      <c r="Q12" s="359">
        <v>68.127490039820027276734315650</v>
      </c>
      <c r="R12" s="170">
        <v>-5.2397671214899057634582404600</v>
      </c>
      <c r="S12" s="360">
        <v>5.1452192398061073820762883200</v>
      </c>
      <c r="T12" s="359">
        <v>-100</v>
      </c>
      <c r="U12" s="170">
        <v>0</v>
      </c>
      <c r="V12" s="360">
        <v>73.947930854643570826518119230</v>
      </c>
      <c r="W12" s="359">
        <v>0</v>
      </c>
      <c r="X12" s="170">
        <v>0</v>
      </c>
      <c r="Y12" s="360">
        <v>-3.4794795067752456239795007600</v>
      </c>
      <c r="Z12" s="359">
        <v>35.401069518765591501923699600</v>
      </c>
      <c r="AA12" s="170">
        <v>-5.2397671214899057634582404600</v>
      </c>
      <c r="AB12" s="360">
        <v>13.327507113536340841974591030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25</v>
      </c>
      <c r="C13" s="345" t="s">
        <v>50</v>
      </c>
      <c r="D13" s="370">
        <v>113.89393939393939393939393939</v>
      </c>
      <c r="E13" s="172">
        <v>118.68895348837209302325581395</v>
      </c>
      <c r="F13" s="371">
        <v>88.25768175175066214117668681</v>
      </c>
      <c r="G13" s="370">
        <v>19</v>
      </c>
      <c r="H13" s="172">
        <v>0</v>
      </c>
      <c r="I13" s="371">
        <v>24.111122410907478237333055613</v>
      </c>
      <c r="J13" s="370">
        <v>0</v>
      </c>
      <c r="K13" s="172">
        <v>0</v>
      </c>
      <c r="L13" s="371">
        <v>10.007601546684420175123475581</v>
      </c>
      <c r="M13" s="370">
        <v>132.89393939393939393939393939</v>
      </c>
      <c r="N13" s="172">
        <v>118.68895348837209302325581395</v>
      </c>
      <c r="O13" s="371">
        <v>122.37640570934256055363321799</v>
      </c>
      <c r="P13" s="4"/>
      <c r="Q13" s="327">
        <v>80.54521436301121639764588079</v>
      </c>
      <c r="R13" s="171">
        <v>5.9392838609523032836573405300</v>
      </c>
      <c r="S13" s="328">
        <v>-0.6116210007696618979064511700</v>
      </c>
      <c r="T13" s="327">
        <v>0</v>
      </c>
      <c r="U13" s="171">
        <v>0</v>
      </c>
      <c r="V13" s="328">
        <v>43.647768793132965875685466130</v>
      </c>
      <c r="W13" s="327">
        <v>0</v>
      </c>
      <c r="X13" s="171">
        <v>0</v>
      </c>
      <c r="Y13" s="328">
        <v>-10.159163251559289833911734710</v>
      </c>
      <c r="Z13" s="327">
        <v>110.66410471969820128026500205</v>
      </c>
      <c r="AA13" s="171">
        <v>5.9392838609523032836573405300</v>
      </c>
      <c r="AB13" s="328">
        <v>4.8416819427769576928585518600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26</v>
      </c>
      <c r="C14" s="347" t="s">
        <v>51</v>
      </c>
      <c r="D14" s="378">
        <v>121.26515151515151515151515152</v>
      </c>
      <c r="E14" s="173">
        <v>138.36918604651162790697674419</v>
      </c>
      <c r="F14" s="379">
        <v>92.28888070667477295157897326</v>
      </c>
      <c r="G14" s="378">
        <v>19</v>
      </c>
      <c r="H14" s="173">
        <v>0</v>
      </c>
      <c r="I14" s="379">
        <v>24.48120135506055465472103156</v>
      </c>
      <c r="J14" s="378">
        <v>0</v>
      </c>
      <c r="K14" s="173">
        <v>0</v>
      </c>
      <c r="L14" s="379">
        <v>10.757383336188547826225946732</v>
      </c>
      <c r="M14" s="378">
        <v>140.26515151515151515151515152</v>
      </c>
      <c r="N14" s="173">
        <v>138.36918604651162790697674419</v>
      </c>
      <c r="O14" s="379">
        <v>127.52746539792387543252595156</v>
      </c>
      <c r="P14" s="4"/>
      <c r="Q14" s="359">
        <v>22.004573170780062788146955520</v>
      </c>
      <c r="R14" s="170">
        <v>-5.3302571649996108648643766900</v>
      </c>
      <c r="S14" s="360">
        <v>-4.039034480660586322194140300</v>
      </c>
      <c r="T14" s="359">
        <v>0</v>
      </c>
      <c r="U14" s="170">
        <v>0</v>
      </c>
      <c r="V14" s="360">
        <v>30.712872881227003205840193040</v>
      </c>
      <c r="W14" s="359">
        <v>0</v>
      </c>
      <c r="X14" s="170">
        <v>0</v>
      </c>
      <c r="Y14" s="360">
        <v>0.1834615698488093280922495500</v>
      </c>
      <c r="Z14" s="359">
        <v>41.120426829324224559414061440</v>
      </c>
      <c r="AA14" s="170">
        <v>-5.3302571649996108648643766900</v>
      </c>
      <c r="AB14" s="360">
        <v>1.5022565076048940749092204400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27</v>
      </c>
      <c r="C15" s="345" t="s">
        <v>52</v>
      </c>
      <c r="D15" s="370">
        <v>170.71969696969696969696969697</v>
      </c>
      <c r="E15" s="172">
        <v>179.45058139534883720930232558</v>
      </c>
      <c r="F15" s="371">
        <v>122.98210897259636965085095275</v>
      </c>
      <c r="G15" s="370">
        <v>0</v>
      </c>
      <c r="H15" s="172">
        <v>0</v>
      </c>
      <c r="I15" s="371">
        <v>20.329662434988083022908297433</v>
      </c>
      <c r="J15" s="370">
        <v>0</v>
      </c>
      <c r="K15" s="172">
        <v>0</v>
      </c>
      <c r="L15" s="371">
        <v>11.05230731213873071724421003</v>
      </c>
      <c r="M15" s="370">
        <v>170.71969696969696969696969697</v>
      </c>
      <c r="N15" s="172">
        <v>179.45058139534883720930232558</v>
      </c>
      <c r="O15" s="371">
        <v>154.36407871972318339100346021</v>
      </c>
      <c r="P15" s="4"/>
      <c r="Q15" s="327">
        <v>5.3973153734446737600980122200</v>
      </c>
      <c r="R15" s="171">
        <v>-5.2609769947266482029000790500</v>
      </c>
      <c r="S15" s="328">
        <v>-1.5848073210796742194306786300</v>
      </c>
      <c r="T15" s="327">
        <v>0</v>
      </c>
      <c r="U15" s="171">
        <v>0</v>
      </c>
      <c r="V15" s="328">
        <v>8.832523462405174950637481160</v>
      </c>
      <c r="W15" s="327">
        <v>0</v>
      </c>
      <c r="X15" s="171">
        <v>0</v>
      </c>
      <c r="Y15" s="328">
        <v>1.7647680060862324958905555700</v>
      </c>
      <c r="Z15" s="327">
        <v>5.3973153734446737600980122200</v>
      </c>
      <c r="AA15" s="171">
        <v>-5.2609769947266482029000790500</v>
      </c>
      <c r="AB15" s="328">
        <v>-0.0898722347327620851313456100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28</v>
      </c>
      <c r="C16" s="347" t="s">
        <v>53</v>
      </c>
      <c r="D16" s="378">
        <v>182.23484848484848484848484848</v>
      </c>
      <c r="E16" s="173">
        <v>206.52034883720930232558139535</v>
      </c>
      <c r="F16" s="379">
        <v>135.60621249590308994145788208</v>
      </c>
      <c r="G16" s="378">
        <v>0</v>
      </c>
      <c r="H16" s="173">
        <v>0</v>
      </c>
      <c r="I16" s="379">
        <v>14.504744637618779616109203867</v>
      </c>
      <c r="J16" s="378">
        <v>0</v>
      </c>
      <c r="K16" s="173">
        <v>0</v>
      </c>
      <c r="L16" s="379">
        <v>11.155478852637299992605924424</v>
      </c>
      <c r="M16" s="378">
        <v>182.23484848484848484848484848</v>
      </c>
      <c r="N16" s="173">
        <v>206.52034883720930232558139535</v>
      </c>
      <c r="O16" s="379">
        <v>161.26643598615916955017301038</v>
      </c>
      <c r="P16" s="4"/>
      <c r="Q16" s="359">
        <v>8.005567528718174387432498860</v>
      </c>
      <c r="R16" s="170">
        <v>15.202374002701848146720626220</v>
      </c>
      <c r="S16" s="360">
        <v>1.6741130714539534994534528100</v>
      </c>
      <c r="T16" s="359">
        <v>0</v>
      </c>
      <c r="U16" s="170">
        <v>0</v>
      </c>
      <c r="V16" s="360">
        <v>-20.620137994371659270617993460</v>
      </c>
      <c r="W16" s="359">
        <v>0</v>
      </c>
      <c r="X16" s="170">
        <v>0</v>
      </c>
      <c r="Y16" s="360">
        <v>3.2415354564701018045887296800</v>
      </c>
      <c r="Z16" s="359">
        <v>8.005567528718174387432498860</v>
      </c>
      <c r="AA16" s="170">
        <v>15.202374002701848146720626220</v>
      </c>
      <c r="AB16" s="360">
        <v>-0.729298199632826768527168900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29</v>
      </c>
      <c r="C17" s="345" t="s">
        <v>49</v>
      </c>
      <c r="D17" s="370">
        <v>113.96969696969696969696969697</v>
      </c>
      <c r="E17" s="172">
        <v>127.19186046511627906976744186</v>
      </c>
      <c r="F17" s="371">
        <v>83.57150319093204729008550812</v>
      </c>
      <c r="G17" s="370">
        <v>0</v>
      </c>
      <c r="H17" s="172">
        <v>1.1627906976744186046511627907</v>
      </c>
      <c r="I17" s="371">
        <v>8.819662827523646286352159094</v>
      </c>
      <c r="J17" s="370">
        <v>0</v>
      </c>
      <c r="K17" s="172">
        <v>0</v>
      </c>
      <c r="L17" s="371">
        <v>10.714045919260569399340879502</v>
      </c>
      <c r="M17" s="370">
        <v>113.96969696969696969696969697</v>
      </c>
      <c r="N17" s="172">
        <v>128.35465116279069767441860465</v>
      </c>
      <c r="O17" s="371">
        <v>103.10521193771626297577854671</v>
      </c>
      <c r="P17" s="4"/>
      <c r="Q17" s="327">
        <v>24.320304107156118808610864740</v>
      </c>
      <c r="R17" s="171">
        <v>12.753511145510461222821258660</v>
      </c>
      <c r="S17" s="328">
        <v>7.462046828074476116653472700</v>
      </c>
      <c r="T17" s="327">
        <v>0</v>
      </c>
      <c r="U17" s="171">
        <v>0</v>
      </c>
      <c r="V17" s="328">
        <v>-31.746107480679160730545088620</v>
      </c>
      <c r="W17" s="327">
        <v>0</v>
      </c>
      <c r="X17" s="171">
        <v>0</v>
      </c>
      <c r="Y17" s="328">
        <v>-9.362002761121939716898626810</v>
      </c>
      <c r="Z17" s="327">
        <v>24.320304107156118808610864740</v>
      </c>
      <c r="AA17" s="171">
        <v>13.784306146155069361257253160</v>
      </c>
      <c r="AB17" s="328">
        <v>0.5797198782291756749048764300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30</v>
      </c>
      <c r="C18" s="347" t="s">
        <v>47</v>
      </c>
      <c r="D18" s="378">
        <v>106.62878787878787878787878788</v>
      </c>
      <c r="E18" s="173">
        <v>103.78488372093023255813953488</v>
      </c>
      <c r="F18" s="379">
        <v>69.73960666069577407399668096</v>
      </c>
      <c r="G18" s="378">
        <v>0</v>
      </c>
      <c r="H18" s="173">
        <v>5.8139534883720930232558139535</v>
      </c>
      <c r="I18" s="379">
        <v>6.640814668654749818038733811</v>
      </c>
      <c r="J18" s="378">
        <v>0</v>
      </c>
      <c r="K18" s="173">
        <v>0</v>
      </c>
      <c r="L18" s="379">
        <v>8.392718809057780606234481424</v>
      </c>
      <c r="M18" s="378">
        <v>106.62878787878787878787878788</v>
      </c>
      <c r="N18" s="173">
        <v>109.59883720930232558139534884</v>
      </c>
      <c r="O18" s="379">
        <v>84.77314013840830449826989619</v>
      </c>
      <c r="P18" s="4"/>
      <c r="Q18" s="359">
        <v>55.490499337066864030458730180</v>
      </c>
      <c r="R18" s="170">
        <v>-5.4677363836373522895603037400</v>
      </c>
      <c r="S18" s="360">
        <v>11.078007891926239097142593470</v>
      </c>
      <c r="T18" s="359">
        <v>0</v>
      </c>
      <c r="U18" s="170">
        <v>0</v>
      </c>
      <c r="V18" s="360">
        <v>30.957007454396388573822318900</v>
      </c>
      <c r="W18" s="359">
        <v>0</v>
      </c>
      <c r="X18" s="170">
        <v>0</v>
      </c>
      <c r="Y18" s="360">
        <v>-15.385826835614725085779425300</v>
      </c>
      <c r="Z18" s="359">
        <v>55.490499337066864030458730180</v>
      </c>
      <c r="AA18" s="170">
        <v>-0.1721079249312491182847619600</v>
      </c>
      <c r="AB18" s="360">
        <v>8.999122229705888954191602420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t="s">
        <v>179</v>
      </c>
      <c r="B19" s="668">
        <v>1</v>
      </c>
      <c r="C19" s="679" t="s">
        <v>48</v>
      </c>
      <c r="D19" s="680">
        <v>104.88636363636363636363636364</v>
      </c>
      <c r="E19" s="681">
        <v>112.90406976744186046511627907</v>
      </c>
      <c r="F19" s="682">
        <v>69.809324059911817468935808641</v>
      </c>
      <c r="G19" s="680">
        <v>0</v>
      </c>
      <c r="H19" s="681">
        <v>5.8139534883720930232558139535</v>
      </c>
      <c r="I19" s="682">
        <v>5.9851409043795800505418605769</v>
      </c>
      <c r="J19" s="680">
        <v>0</v>
      </c>
      <c r="K19" s="681">
        <v>0</v>
      </c>
      <c r="L19" s="682">
        <v>8.630940915480432230412633543</v>
      </c>
      <c r="M19" s="680">
        <v>104.88636363636363636363636364</v>
      </c>
      <c r="N19" s="681">
        <v>118.71802325581395348837209302</v>
      </c>
      <c r="O19" s="682">
        <v>84.42540587977182974989030276</v>
      </c>
      <c r="P19" s="4"/>
      <c r="Q19" s="670">
        <v>18.922865486988860035908954180</v>
      </c>
      <c r="R19" s="671">
        <v>3.9420863886533233497535853300</v>
      </c>
      <c r="S19" s="672">
        <v>4.7432746629925089490160376800</v>
      </c>
      <c r="T19" s="670">
        <v>0</v>
      </c>
      <c r="U19" s="671">
        <v>0</v>
      </c>
      <c r="V19" s="672">
        <v>69.207671679998031847065572930</v>
      </c>
      <c r="W19" s="670">
        <v>0</v>
      </c>
      <c r="X19" s="671">
        <v>0</v>
      </c>
      <c r="Y19" s="672">
        <v>-37.199843240520905248396699230</v>
      </c>
      <c r="Z19" s="670">
        <v>18.922865486988860035908954180</v>
      </c>
      <c r="AA19" s="671">
        <v>9.294545843770773508086888730</v>
      </c>
      <c r="AB19" s="672">
        <v>0.5918376896432719657656171500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v>
      </c>
      <c r="C20" s="347" t="s">
        <v>50</v>
      </c>
      <c r="D20" s="378">
        <v>107.34848484848484848484848485</v>
      </c>
      <c r="E20" s="173">
        <v>122.32558139534883720930232558</v>
      </c>
      <c r="F20" s="379">
        <v>65.415737437549072265577089843</v>
      </c>
      <c r="G20" s="378">
        <v>0</v>
      </c>
      <c r="H20" s="173">
        <v>0.5813953488372093023255813953</v>
      </c>
      <c r="I20" s="379">
        <v>5.1431890360972363978368333719</v>
      </c>
      <c r="J20" s="378">
        <v>0</v>
      </c>
      <c r="K20" s="173">
        <v>0</v>
      </c>
      <c r="L20" s="379">
        <v>10.173631665888575057516309343</v>
      </c>
      <c r="M20" s="378">
        <v>107.34848484848484848484848485</v>
      </c>
      <c r="N20" s="173">
        <v>122.90697674418604651162790698</v>
      </c>
      <c r="O20" s="379">
        <v>80.73255813953488372093023256</v>
      </c>
      <c r="P20" s="4"/>
      <c r="Q20" s="359">
        <v>7.4217269350510053934231007800</v>
      </c>
      <c r="R20" s="170">
        <v>-17.913504867052987987741149940</v>
      </c>
      <c r="S20" s="360">
        <v>-21.180627426662372985377914130</v>
      </c>
      <c r="T20" s="359">
        <v>0</v>
      </c>
      <c r="U20" s="170">
        <v>0</v>
      </c>
      <c r="V20" s="360">
        <v>55.442259733230811726368341150</v>
      </c>
      <c r="W20" s="359">
        <v>0</v>
      </c>
      <c r="X20" s="170">
        <v>0</v>
      </c>
      <c r="Y20" s="360">
        <v>10.017632353037431693502799220</v>
      </c>
      <c r="Z20" s="359">
        <v>7.4217269350510053934231007800</v>
      </c>
      <c r="AA20" s="170">
        <v>-17.52335992820818279756881700</v>
      </c>
      <c r="AB20" s="360">
        <v>-15.507978579349378318026329720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3</v>
      </c>
      <c r="C21" s="345" t="s">
        <v>51</v>
      </c>
      <c r="D21" s="370">
        <v>135.66666666666666666666666667</v>
      </c>
      <c r="E21" s="172">
        <v>176.7906976744186046511627907</v>
      </c>
      <c r="F21" s="371">
        <v>89.00788897526002202307032968</v>
      </c>
      <c r="G21" s="370">
        <v>0</v>
      </c>
      <c r="H21" s="172">
        <v>0</v>
      </c>
      <c r="I21" s="371">
        <v>4.2634405743539639339866949975</v>
      </c>
      <c r="J21" s="370">
        <v>0</v>
      </c>
      <c r="K21" s="172">
        <v>0</v>
      </c>
      <c r="L21" s="371">
        <v>11.692360665392595877080755044</v>
      </c>
      <c r="M21" s="370">
        <v>135.66666666666666666666666667</v>
      </c>
      <c r="N21" s="172">
        <v>176.7906976744186046511627907</v>
      </c>
      <c r="O21" s="371">
        <v>104.96369021500658183413777973</v>
      </c>
      <c r="P21" s="4"/>
      <c r="Q21" s="327">
        <v>-14.122668201232875768209637060</v>
      </c>
      <c r="R21" s="171">
        <v>-19.945240101085924574990648120</v>
      </c>
      <c r="S21" s="328">
        <v>-29.906670549224337977658007690</v>
      </c>
      <c r="T21" s="327">
        <v>0</v>
      </c>
      <c r="U21" s="171">
        <v>0</v>
      </c>
      <c r="V21" s="328">
        <v>17.998360684584999009527715870</v>
      </c>
      <c r="W21" s="327">
        <v>0</v>
      </c>
      <c r="X21" s="171">
        <v>0</v>
      </c>
      <c r="Y21" s="328">
        <v>26.990548487750660194144909560</v>
      </c>
      <c r="Z21" s="327">
        <v>-14.122668201232875768209637060</v>
      </c>
      <c r="AA21" s="171">
        <v>-19.945240101085924574990648120</v>
      </c>
      <c r="AB21" s="328">
        <v>-24.921482521033775483962861610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4</v>
      </c>
      <c r="C22" s="347" t="s">
        <v>52</v>
      </c>
      <c r="D22" s="378">
        <v>218.25757575757575757575757576</v>
      </c>
      <c r="E22" s="173">
        <v>232.2093023255813953488372093</v>
      </c>
      <c r="F22" s="379">
        <v>139.54102475246590177680553679</v>
      </c>
      <c r="G22" s="378">
        <v>0</v>
      </c>
      <c r="H22" s="173">
        <v>0</v>
      </c>
      <c r="I22" s="379">
        <v>5.5408580479355656132517382036</v>
      </c>
      <c r="J22" s="378">
        <v>0</v>
      </c>
      <c r="K22" s="173">
        <v>0</v>
      </c>
      <c r="L22" s="379">
        <v>10.384659542731485659525875509</v>
      </c>
      <c r="M22" s="378">
        <v>218.25757575757575757575757576</v>
      </c>
      <c r="N22" s="173">
        <v>232.2093023255813953488372093</v>
      </c>
      <c r="O22" s="379">
        <v>155.4665423431329530495831505</v>
      </c>
      <c r="P22" s="4"/>
      <c r="Q22" s="359">
        <v>12.693135145731706691054805300</v>
      </c>
      <c r="R22" s="170">
        <v>2.672202156793063098081046200</v>
      </c>
      <c r="S22" s="360">
        <v>-6.6374922388514792656265791900</v>
      </c>
      <c r="T22" s="359">
        <v>0</v>
      </c>
      <c r="U22" s="170">
        <v>0</v>
      </c>
      <c r="V22" s="360">
        <v>-13.615618580052669876246881630</v>
      </c>
      <c r="W22" s="359">
        <v>0</v>
      </c>
      <c r="X22" s="170">
        <v>0</v>
      </c>
      <c r="Y22" s="360">
        <v>-0.9169405024659082574369762900</v>
      </c>
      <c r="Z22" s="359">
        <v>12.693135145731706691054805300</v>
      </c>
      <c r="AA22" s="170">
        <v>2.672202156793063098081046200</v>
      </c>
      <c r="AB22" s="360">
        <v>-6.5461419317161215269949186900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5</v>
      </c>
      <c r="C23" s="345" t="s">
        <v>53</v>
      </c>
      <c r="D23" s="370">
        <v>200.0530303030303030303030303</v>
      </c>
      <c r="E23" s="172">
        <v>216.24709302325581395348837209</v>
      </c>
      <c r="F23" s="371">
        <v>131.66699741463536555543616739</v>
      </c>
      <c r="G23" s="370">
        <v>0</v>
      </c>
      <c r="H23" s="172">
        <v>0</v>
      </c>
      <c r="I23" s="371">
        <v>5.6352233195500748589745068176</v>
      </c>
      <c r="J23" s="370">
        <v>0</v>
      </c>
      <c r="K23" s="172">
        <v>0</v>
      </c>
      <c r="L23" s="371">
        <v>11.586107479943563534689808468</v>
      </c>
      <c r="M23" s="370">
        <v>200.0530303030303030303030303</v>
      </c>
      <c r="N23" s="172">
        <v>216.24709302325581395348837209</v>
      </c>
      <c r="O23" s="371">
        <v>148.88832821412900394910048267</v>
      </c>
      <c r="P23" s="4"/>
      <c r="Q23" s="327">
        <v>-8.683173110191277897177637760</v>
      </c>
      <c r="R23" s="171">
        <v>4.0100110457219796159851723100</v>
      </c>
      <c r="S23" s="328">
        <v>-7.0749224494889411662725195800</v>
      </c>
      <c r="T23" s="327">
        <v>0</v>
      </c>
      <c r="U23" s="171">
        <v>0</v>
      </c>
      <c r="V23" s="328">
        <v>-31.530821614392374885781532760</v>
      </c>
      <c r="W23" s="327">
        <v>0</v>
      </c>
      <c r="X23" s="171">
        <v>0</v>
      </c>
      <c r="Y23" s="328">
        <v>16.483598816459078284692068300</v>
      </c>
      <c r="Z23" s="327">
        <v>-8.683173110191277897177637760</v>
      </c>
      <c r="AA23" s="171">
        <v>4.0100110457219796159851723100</v>
      </c>
      <c r="AB23" s="328">
        <v>-6.8682110646920144703404722500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6</v>
      </c>
      <c r="C24" s="347" t="s">
        <v>49</v>
      </c>
      <c r="D24" s="378">
        <v>116.04545454545454545454545455</v>
      </c>
      <c r="E24" s="173">
        <v>133.77906976744186046511627907</v>
      </c>
      <c r="F24" s="379">
        <v>77.874878389163360748072628046</v>
      </c>
      <c r="G24" s="378">
        <v>0</v>
      </c>
      <c r="H24" s="173">
        <v>0</v>
      </c>
      <c r="I24" s="379">
        <v>5.3519474208144211618632860078</v>
      </c>
      <c r="J24" s="378">
        <v>0</v>
      </c>
      <c r="K24" s="173">
        <v>0</v>
      </c>
      <c r="L24" s="379">
        <v>9.656566028547887243201426888</v>
      </c>
      <c r="M24" s="378">
        <v>116.04545454545454545454545455</v>
      </c>
      <c r="N24" s="173">
        <v>133.77906976744186046511627907</v>
      </c>
      <c r="O24" s="379">
        <v>92.88339183852566915313734094</v>
      </c>
      <c r="P24" s="4"/>
      <c r="Q24" s="359">
        <v>9.751379236275876537014556540</v>
      </c>
      <c r="R24" s="170">
        <v>6.6957247519520307919229774400</v>
      </c>
      <c r="S24" s="360">
        <v>-8.566764713637073519662178070</v>
      </c>
      <c r="T24" s="359">
        <v>0</v>
      </c>
      <c r="U24" s="170">
        <v>0</v>
      </c>
      <c r="V24" s="360">
        <v>-29.741432333203612511141660540</v>
      </c>
      <c r="W24" s="359">
        <v>0</v>
      </c>
      <c r="X24" s="170">
        <v>0</v>
      </c>
      <c r="Y24" s="360">
        <v>-6.0691854581058576055444994800</v>
      </c>
      <c r="Z24" s="359">
        <v>9.751379236275876537014556540</v>
      </c>
      <c r="AA24" s="170">
        <v>6.6957247519520307919229774400</v>
      </c>
      <c r="AB24" s="360">
        <v>-9.882594513141054328683237660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7</v>
      </c>
      <c r="C25" s="345" t="s">
        <v>47</v>
      </c>
      <c r="D25" s="370">
        <v>90.57575757575757575757575758</v>
      </c>
      <c r="E25" s="172">
        <v>107.29360465116279069767441859</v>
      </c>
      <c r="F25" s="371">
        <v>66.659128834388052518165108996</v>
      </c>
      <c r="G25" s="370">
        <v>0</v>
      </c>
      <c r="H25" s="172">
        <v>0</v>
      </c>
      <c r="I25" s="371">
        <v>9.89627636735315370100511308</v>
      </c>
      <c r="J25" s="370">
        <v>0</v>
      </c>
      <c r="K25" s="172">
        <v>0</v>
      </c>
      <c r="L25" s="371">
        <v>8.614515816249140424094367658</v>
      </c>
      <c r="M25" s="370">
        <v>90.57575757575757575757575758</v>
      </c>
      <c r="N25" s="172">
        <v>107.2936046511627906976744186</v>
      </c>
      <c r="O25" s="371">
        <v>85.16992101799034664326458973</v>
      </c>
      <c r="P25" s="4"/>
      <c r="Q25" s="327">
        <v>-14.158529580740191370669389910</v>
      </c>
      <c r="R25" s="171">
        <v>-8.473441452128541761226852580</v>
      </c>
      <c r="S25" s="328">
        <v>-15.396020744878067991807667570</v>
      </c>
      <c r="T25" s="327">
        <v>0</v>
      </c>
      <c r="U25" s="171">
        <v>0</v>
      </c>
      <c r="V25" s="328">
        <v>-29.013802207488955967757162110</v>
      </c>
      <c r="W25" s="327">
        <v>0</v>
      </c>
      <c r="X25" s="171">
        <v>0</v>
      </c>
      <c r="Y25" s="328">
        <v>-13.390723881103119416572819660</v>
      </c>
      <c r="Z25" s="327">
        <v>-14.158529580740191370669389910</v>
      </c>
      <c r="AA25" s="171">
        <v>-8.473441452128541761226852570</v>
      </c>
      <c r="AB25" s="328">
        <v>-17.050738963022468041308912280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8</v>
      </c>
      <c r="C26" s="347" t="s">
        <v>48</v>
      </c>
      <c r="D26" s="378">
        <v>94.46212121212121212121212121</v>
      </c>
      <c r="E26" s="173">
        <v>113.10174418604651162790697674</v>
      </c>
      <c r="F26" s="379">
        <v>74.523512429278170189550838724</v>
      </c>
      <c r="G26" s="378">
        <v>0</v>
      </c>
      <c r="H26" s="173">
        <v>0</v>
      </c>
      <c r="I26" s="379">
        <v>10.780874386258744314965162177</v>
      </c>
      <c r="J26" s="378">
        <v>0</v>
      </c>
      <c r="K26" s="173">
        <v>0</v>
      </c>
      <c r="L26" s="379">
        <v>8.756166058530658992631870973</v>
      </c>
      <c r="M26" s="378">
        <v>94.46212121212121212121212121</v>
      </c>
      <c r="N26" s="173">
        <v>113.10174418604651162790697674</v>
      </c>
      <c r="O26" s="379">
        <v>94.06055287406757349714787187</v>
      </c>
      <c r="P26" s="4"/>
      <c r="Q26" s="359">
        <v>11.940030523338063367760838250</v>
      </c>
      <c r="R26" s="170">
        <v>8.557477678600506467235339420</v>
      </c>
      <c r="S26" s="360">
        <v>1.2405568459734700649115788300</v>
      </c>
      <c r="T26" s="359">
        <v>0</v>
      </c>
      <c r="U26" s="170">
        <v>0</v>
      </c>
      <c r="V26" s="360">
        <v>-33.869665943862958210618722850</v>
      </c>
      <c r="W26" s="359">
        <v>0</v>
      </c>
      <c r="X26" s="170">
        <v>0</v>
      </c>
      <c r="Y26" s="360">
        <v>9.164878305860822071408997470</v>
      </c>
      <c r="Z26" s="359">
        <v>11.940030523338063367760838250</v>
      </c>
      <c r="AA26" s="170">
        <v>8.557477678600506467235339420</v>
      </c>
      <c r="AB26" s="360">
        <v>-3.9550097093672164156814998100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9</v>
      </c>
      <c r="C27" s="345" t="s">
        <v>50</v>
      </c>
      <c r="D27" s="370">
        <v>111.81818181818181818181818182</v>
      </c>
      <c r="E27" s="172">
        <v>121.47674418604651162790697674</v>
      </c>
      <c r="F27" s="371">
        <v>74.35268971472097280023424538</v>
      </c>
      <c r="G27" s="370">
        <v>0</v>
      </c>
      <c r="H27" s="172">
        <v>0</v>
      </c>
      <c r="I27" s="371">
        <v>16.940822483104479504455577487</v>
      </c>
      <c r="J27" s="370">
        <v>0</v>
      </c>
      <c r="K27" s="172">
        <v>0</v>
      </c>
      <c r="L27" s="371">
        <v>10.228536946536109783945543527</v>
      </c>
      <c r="M27" s="370">
        <v>111.81818181818181818181818182</v>
      </c>
      <c r="N27" s="172">
        <v>121.47674418604651162790697674</v>
      </c>
      <c r="O27" s="371">
        <v>101.52204914436156208863536639</v>
      </c>
      <c r="P27" s="4"/>
      <c r="Q27" s="327">
        <v>41.108986615721945387874790650</v>
      </c>
      <c r="R27" s="171">
        <v>14.566141192582593078061017230</v>
      </c>
      <c r="S27" s="328">
        <v>-3.783212226702188221214452700</v>
      </c>
      <c r="T27" s="327">
        <v>-100</v>
      </c>
      <c r="U27" s="171">
        <v>0</v>
      </c>
      <c r="V27" s="328">
        <v>-18.101642839391677518435803320</v>
      </c>
      <c r="W27" s="327">
        <v>0</v>
      </c>
      <c r="X27" s="171">
        <v>0</v>
      </c>
      <c r="Y27" s="328">
        <v>5.8368646478557001939297438700</v>
      </c>
      <c r="Z27" s="327">
        <v>35.189595163984111638254181680</v>
      </c>
      <c r="AA27" s="171">
        <v>14.566141192582593078061017230</v>
      </c>
      <c r="AB27" s="328">
        <v>-5.6712969732930679851483939300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10</v>
      </c>
      <c r="C28" s="347" t="s">
        <v>51</v>
      </c>
      <c r="D28" s="378">
        <v>132.34090909090909090909090909</v>
      </c>
      <c r="E28" s="173">
        <v>183.40988372093023255813953488</v>
      </c>
      <c r="F28" s="379">
        <v>87.12513852546427544996631238</v>
      </c>
      <c r="G28" s="378">
        <v>0</v>
      </c>
      <c r="H28" s="173">
        <v>0</v>
      </c>
      <c r="I28" s="379">
        <v>22.361117184124642023153996511</v>
      </c>
      <c r="J28" s="378">
        <v>0</v>
      </c>
      <c r="K28" s="173">
        <v>0</v>
      </c>
      <c r="L28" s="379">
        <v>9.979518752894627941535241784</v>
      </c>
      <c r="M28" s="378">
        <v>132.34090909090909090909090909</v>
      </c>
      <c r="N28" s="173">
        <v>183.40988372093023255813953488</v>
      </c>
      <c r="O28" s="379">
        <v>119.46577446248354541465555068</v>
      </c>
      <c r="P28" s="4"/>
      <c r="Q28" s="359">
        <v>27.343636098608625482005555350</v>
      </c>
      <c r="R28" s="170">
        <v>27.352549352034067445960510090</v>
      </c>
      <c r="S28" s="360">
        <v>-11.855331061293778919300531710</v>
      </c>
      <c r="T28" s="359">
        <v>-100</v>
      </c>
      <c r="U28" s="170">
        <v>0</v>
      </c>
      <c r="V28" s="360">
        <v>-27.973962512724808771180664910</v>
      </c>
      <c r="W28" s="359">
        <v>0</v>
      </c>
      <c r="X28" s="170">
        <v>0</v>
      </c>
      <c r="Y28" s="360">
        <v>8.911999177872025467751225540</v>
      </c>
      <c r="Z28" s="359">
        <v>-25.941156520277100024330968780</v>
      </c>
      <c r="AA28" s="170">
        <v>27.352549352034067445960510090</v>
      </c>
      <c r="AB28" s="360">
        <v>-14.085629105232895599968984480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11</v>
      </c>
      <c r="C29" s="345" t="s">
        <v>52</v>
      </c>
      <c r="D29" s="370">
        <v>191.70454545454545454545454545</v>
      </c>
      <c r="E29" s="172">
        <v>235.92441860465116279069767442</v>
      </c>
      <c r="F29" s="371">
        <v>134.59964955239858007477544013</v>
      </c>
      <c r="G29" s="370">
        <v>0</v>
      </c>
      <c r="H29" s="172">
        <v>0</v>
      </c>
      <c r="I29" s="371">
        <v>27.84415510863284310910040269</v>
      </c>
      <c r="J29" s="370">
        <v>0</v>
      </c>
      <c r="K29" s="172">
        <v>0</v>
      </c>
      <c r="L29" s="371">
        <v>10.793909248578054657282559995</v>
      </c>
      <c r="M29" s="370">
        <v>191.70454545454545454545454545</v>
      </c>
      <c r="N29" s="172">
        <v>235.92441860465116279069767442</v>
      </c>
      <c r="O29" s="371">
        <v>173.23771390960947784115840281</v>
      </c>
      <c r="P29" s="4"/>
      <c r="Q29" s="327">
        <v>55.254923614911410655560851520</v>
      </c>
      <c r="R29" s="171">
        <v>9.739706578313973012137599070</v>
      </c>
      <c r="S29" s="328">
        <v>-8.065873259037324018564824670</v>
      </c>
      <c r="T29" s="327">
        <v>-100</v>
      </c>
      <c r="U29" s="171">
        <v>-100</v>
      </c>
      <c r="V29" s="328">
        <v>-22.245055128860937427993717220</v>
      </c>
      <c r="W29" s="327">
        <v>0</v>
      </c>
      <c r="X29" s="171">
        <v>0</v>
      </c>
      <c r="Y29" s="328">
        <v>9.107263988771083639176055930</v>
      </c>
      <c r="Z29" s="327">
        <v>-12.936521589543081052218419600</v>
      </c>
      <c r="AA29" s="171">
        <v>9.064276403324832488246121230</v>
      </c>
      <c r="AB29" s="328">
        <v>-9.824566180514295666874295150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12</v>
      </c>
      <c r="C30" s="347" t="s">
        <v>53</v>
      </c>
      <c r="D30" s="378">
        <v>219.68939393939393939393939394</v>
      </c>
      <c r="E30" s="173">
        <v>231.22965116279069767441860465</v>
      </c>
      <c r="F30" s="379">
        <v>138.88203031466736039386346153</v>
      </c>
      <c r="G30" s="378">
        <v>0</v>
      </c>
      <c r="H30" s="173">
        <v>0</v>
      </c>
      <c r="I30" s="379">
        <v>29.00707134959240546225827153</v>
      </c>
      <c r="J30" s="378">
        <v>0</v>
      </c>
      <c r="K30" s="173">
        <v>0</v>
      </c>
      <c r="L30" s="379">
        <v>9.759208998311537347037547326</v>
      </c>
      <c r="M30" s="378">
        <v>219.68939393939393939393939394</v>
      </c>
      <c r="N30" s="173">
        <v>231.22965116279069767441860465</v>
      </c>
      <c r="O30" s="379">
        <v>177.64831066257130320315928039</v>
      </c>
      <c r="P30" s="4"/>
      <c r="Q30" s="359">
        <v>18.136635841460495481336052850</v>
      </c>
      <c r="R30" s="170">
        <v>1.2010330920148011114866282400</v>
      </c>
      <c r="S30" s="360">
        <v>-10.849601721550969274899884250</v>
      </c>
      <c r="T30" s="359">
        <v>-100</v>
      </c>
      <c r="U30" s="170">
        <v>-100</v>
      </c>
      <c r="V30" s="360">
        <v>14.179533096141656515105239220</v>
      </c>
      <c r="W30" s="359">
        <v>0</v>
      </c>
      <c r="X30" s="170">
        <v>0</v>
      </c>
      <c r="Y30" s="360">
        <v>-1.8995700698588634235965488900</v>
      </c>
      <c r="Z30" s="359">
        <v>-5.4113118925012291670018917100</v>
      </c>
      <c r="AA30" s="170">
        <v>-2.4921545552527452132097408500</v>
      </c>
      <c r="AB30" s="360">
        <v>-7.0570514185113075427174332300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13</v>
      </c>
      <c r="C31" s="345" t="s">
        <v>49</v>
      </c>
      <c r="D31" s="370">
        <v>120.68939393939393939393939394</v>
      </c>
      <c r="E31" s="172">
        <v>116.09302325581395348837209302</v>
      </c>
      <c r="F31" s="371">
        <v>80.26958052260787870202949512</v>
      </c>
      <c r="G31" s="370">
        <v>0</v>
      </c>
      <c r="H31" s="172">
        <v>0</v>
      </c>
      <c r="I31" s="371">
        <v>8.452479868618084266462001232</v>
      </c>
      <c r="J31" s="370">
        <v>0</v>
      </c>
      <c r="K31" s="172">
        <v>0</v>
      </c>
      <c r="L31" s="371">
        <v>10.777610517067148045110960864</v>
      </c>
      <c r="M31" s="370">
        <v>120.68939393939393939393939394</v>
      </c>
      <c r="N31" s="172">
        <v>116.09302325581395348837209302</v>
      </c>
      <c r="O31" s="371">
        <v>99.49967090829311101360245722</v>
      </c>
      <c r="P31" s="4"/>
      <c r="Q31" s="327">
        <v>5.5802240042470981628473323400</v>
      </c>
      <c r="R31" s="171">
        <v>-29.976153738244351370878187050</v>
      </c>
      <c r="S31" s="328">
        <v>-26.347151479560491090436403800</v>
      </c>
      <c r="T31" s="327">
        <v>-100</v>
      </c>
      <c r="U31" s="171">
        <v>-100</v>
      </c>
      <c r="V31" s="328">
        <v>-44.232275110522611439930384640</v>
      </c>
      <c r="W31" s="327">
        <v>0</v>
      </c>
      <c r="X31" s="171">
        <v>0</v>
      </c>
      <c r="Y31" s="328">
        <v>12.947482118464468181458375390</v>
      </c>
      <c r="Z31" s="327">
        <v>-14.948481127533495113034812180</v>
      </c>
      <c r="AA31" s="171">
        <v>-37.727464096928156992054465310</v>
      </c>
      <c r="AB31" s="328">
        <v>-25.570102925078121257833303560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14</v>
      </c>
      <c r="C32" s="347" t="s">
        <v>47</v>
      </c>
      <c r="D32" s="378">
        <v>108.10606060606060606060606061</v>
      </c>
      <c r="E32" s="173">
        <v>104.2093023255813953488372093</v>
      </c>
      <c r="F32" s="379">
        <v>78.213143111383650600584036425</v>
      </c>
      <c r="G32" s="378">
        <v>0</v>
      </c>
      <c r="H32" s="173">
        <v>0</v>
      </c>
      <c r="I32" s="379">
        <v>9.325265873953155841296048417</v>
      </c>
      <c r="J32" s="378">
        <v>0</v>
      </c>
      <c r="K32" s="173">
        <v>0</v>
      </c>
      <c r="L32" s="379">
        <v>10.363960474952794260182223187</v>
      </c>
      <c r="M32" s="378">
        <v>108.10606060606060606060606061</v>
      </c>
      <c r="N32" s="173">
        <v>104.2093023255813953488372093</v>
      </c>
      <c r="O32" s="379">
        <v>97.90236946028960070206230803</v>
      </c>
      <c r="P32" s="4"/>
      <c r="Q32" s="359">
        <v>33.514221556881230755181254450</v>
      </c>
      <c r="R32" s="170">
        <v>-13.928305601571761273715155580</v>
      </c>
      <c r="S32" s="360">
        <v>-13.394429408837643516888972510</v>
      </c>
      <c r="T32" s="359">
        <v>0</v>
      </c>
      <c r="U32" s="170">
        <v>-100</v>
      </c>
      <c r="V32" s="360">
        <v>-18.004291302544767737791951200</v>
      </c>
      <c r="W32" s="359">
        <v>0</v>
      </c>
      <c r="X32" s="170">
        <v>0</v>
      </c>
      <c r="Y32" s="360">
        <v>12.167910490948643015004377310</v>
      </c>
      <c r="Z32" s="359">
        <v>33.514221556881230755181254450</v>
      </c>
      <c r="AA32" s="170">
        <v>-25.765168771979118462732120160</v>
      </c>
      <c r="AB32" s="360">
        <v>-11.737766833451560562997149220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15</v>
      </c>
      <c r="C33" s="345" t="s">
        <v>48</v>
      </c>
      <c r="D33" s="370">
        <v>96.17424242424242424242424242</v>
      </c>
      <c r="E33" s="172">
        <v>100.58720930232558139534883721</v>
      </c>
      <c r="F33" s="371">
        <v>80.8303831440075569028836866</v>
      </c>
      <c r="G33" s="370">
        <v>0</v>
      </c>
      <c r="H33" s="172">
        <v>0</v>
      </c>
      <c r="I33" s="371">
        <v>12.789878138578311544244468991</v>
      </c>
      <c r="J33" s="370">
        <v>0</v>
      </c>
      <c r="K33" s="172">
        <v>0</v>
      </c>
      <c r="L33" s="371">
        <v>10.721335909164899433521252043</v>
      </c>
      <c r="M33" s="370">
        <v>96.17424242424242424242424242</v>
      </c>
      <c r="N33" s="172">
        <v>100.58720930232558139534883721</v>
      </c>
      <c r="O33" s="371">
        <v>104.34159719175076788064940763</v>
      </c>
      <c r="P33" s="4"/>
      <c r="Q33" s="327">
        <v>13.378583549108250418158881280</v>
      </c>
      <c r="R33" s="171">
        <v>-17.449184082449039969158935950</v>
      </c>
      <c r="S33" s="328">
        <v>-2.783394960278221782752694600</v>
      </c>
      <c r="T33" s="327">
        <v>0</v>
      </c>
      <c r="U33" s="171">
        <v>-100</v>
      </c>
      <c r="V33" s="328">
        <v>23.328673443142154530849514040</v>
      </c>
      <c r="W33" s="327">
        <v>0</v>
      </c>
      <c r="X33" s="171">
        <v>0</v>
      </c>
      <c r="Y33" s="328">
        <v>5.8967022010948552394616867600</v>
      </c>
      <c r="Z33" s="327">
        <v>13.378583549108250418158881280</v>
      </c>
      <c r="AA33" s="171">
        <v>-28.401754676366231046958511210</v>
      </c>
      <c r="AB33" s="328">
        <v>0.6774185232664577548544586700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16</v>
      </c>
      <c r="C34" s="347" t="s">
        <v>50</v>
      </c>
      <c r="D34" s="378">
        <v>100.95454545454545454545454545</v>
      </c>
      <c r="E34" s="173">
        <v>109.24127906976744186046511628</v>
      </c>
      <c r="F34" s="379">
        <v>86.12635461123244654942995385</v>
      </c>
      <c r="G34" s="378">
        <v>1.1287878787878787878787878788</v>
      </c>
      <c r="H34" s="173">
        <v>0</v>
      </c>
      <c r="I34" s="379">
        <v>19.334054611278791993847628053</v>
      </c>
      <c r="J34" s="378">
        <v>0</v>
      </c>
      <c r="K34" s="173">
        <v>0</v>
      </c>
      <c r="L34" s="379">
        <v>10.897094068405830346586393522</v>
      </c>
      <c r="M34" s="378">
        <v>102.08333333333333333333333333</v>
      </c>
      <c r="N34" s="173">
        <v>109.24127906976744186046511628</v>
      </c>
      <c r="O34" s="379">
        <v>116.35750329091706888986397543</v>
      </c>
      <c r="P34" s="4"/>
      <c r="Q34" s="359">
        <v>0.6115515288879376264125832700</v>
      </c>
      <c r="R34" s="170">
        <v>-17.379737929847632832948073920</v>
      </c>
      <c r="S34" s="360">
        <v>-4.5486685911595755083231618200</v>
      </c>
      <c r="T34" s="359">
        <v>-84.97983870977432362122726243</v>
      </c>
      <c r="U34" s="170">
        <v>-100</v>
      </c>
      <c r="V34" s="360">
        <v>41.260065567610341211808943390</v>
      </c>
      <c r="W34" s="359">
        <v>0</v>
      </c>
      <c r="X34" s="170">
        <v>0</v>
      </c>
      <c r="Y34" s="360">
        <v>5.8205309491280073098253595200</v>
      </c>
      <c r="Z34" s="359">
        <v>-5.3522511765464752612124716100</v>
      </c>
      <c r="AA34" s="170">
        <v>-17.793625445730047273126553930</v>
      </c>
      <c r="AB34" s="360">
        <v>1.8756626722075254439233141500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17</v>
      </c>
      <c r="C35" s="345" t="s">
        <v>51</v>
      </c>
      <c r="D35" s="370">
        <v>127.71969696969696969696969697</v>
      </c>
      <c r="E35" s="172">
        <v>142.55523255813953488372093023</v>
      </c>
      <c r="F35" s="371">
        <v>100.89485593454502279225935985</v>
      </c>
      <c r="G35" s="370">
        <v>2.2575757575757575757575757576</v>
      </c>
      <c r="H35" s="172">
        <v>0</v>
      </c>
      <c r="I35" s="371">
        <v>22.570737365824471538332352433</v>
      </c>
      <c r="J35" s="370">
        <v>0</v>
      </c>
      <c r="K35" s="172">
        <v>0</v>
      </c>
      <c r="L35" s="371">
        <v>10.781115782561615805432859897</v>
      </c>
      <c r="M35" s="370">
        <v>129.97727272727272727272727273</v>
      </c>
      <c r="N35" s="172">
        <v>142.55523255813953488372093023</v>
      </c>
      <c r="O35" s="371">
        <v>134.24670908293111013602457218</v>
      </c>
      <c r="P35" s="4"/>
      <c r="Q35" s="327">
        <v>43.835850183357818010314807020</v>
      </c>
      <c r="R35" s="171">
        <v>-9.260972540897978774477631680</v>
      </c>
      <c r="S35" s="328">
        <v>-0.2309660312070071011017824500</v>
      </c>
      <c r="T35" s="327">
        <v>-68.432203389763627549554583960</v>
      </c>
      <c r="U35" s="171">
        <v>0</v>
      </c>
      <c r="V35" s="328">
        <v>59.366457679214123594716440240</v>
      </c>
      <c r="W35" s="327">
        <v>0</v>
      </c>
      <c r="X35" s="171">
        <v>0</v>
      </c>
      <c r="Y35" s="328">
        <v>4.0087929577034096947584071200</v>
      </c>
      <c r="Z35" s="327">
        <v>35.467824713735343758479673010</v>
      </c>
      <c r="AA35" s="171">
        <v>-9.260972540897978774477631680</v>
      </c>
      <c r="AB35" s="328">
        <v>6.8360083600828122873683888500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18</v>
      </c>
      <c r="C36" s="347" t="s">
        <v>52</v>
      </c>
      <c r="D36" s="378">
        <v>194.12121212121212121212121212</v>
      </c>
      <c r="E36" s="173">
        <v>228.02034883720930232558139535</v>
      </c>
      <c r="F36" s="379">
        <v>130.94486031549212188047789348</v>
      </c>
      <c r="G36" s="378">
        <v>8.136363636363636363636363636</v>
      </c>
      <c r="H36" s="173">
        <v>0</v>
      </c>
      <c r="I36" s="379">
        <v>15.60970243846622895828806259</v>
      </c>
      <c r="J36" s="378">
        <v>0</v>
      </c>
      <c r="K36" s="173">
        <v>0</v>
      </c>
      <c r="L36" s="379">
        <v>10.153642599266747888746110625</v>
      </c>
      <c r="M36" s="378">
        <v>202.25757575757575757575757576</v>
      </c>
      <c r="N36" s="173">
        <v>228.02034883720930232558139535</v>
      </c>
      <c r="O36" s="379">
        <v>156.7082053532250987275120667</v>
      </c>
      <c r="P36" s="4"/>
      <c r="Q36" s="359">
        <v>11.773173391521305551624537370</v>
      </c>
      <c r="R36" s="170">
        <v>6.0359045069981159568070509600</v>
      </c>
      <c r="S36" s="360">
        <v>-2.6158339425097137444339390300</v>
      </c>
      <c r="T36" s="359">
        <v>-27.579231287617334511288436240</v>
      </c>
      <c r="U36" s="170">
        <v>-100</v>
      </c>
      <c r="V36" s="360">
        <v>24.054715491917243301798167920</v>
      </c>
      <c r="W36" s="359">
        <v>0</v>
      </c>
      <c r="X36" s="170">
        <v>0</v>
      </c>
      <c r="Y36" s="360">
        <v>-16.806041187983889457784024550</v>
      </c>
      <c r="Z36" s="359">
        <v>9.382169780394491207647637110</v>
      </c>
      <c r="AA36" s="170">
        <v>2.698421011305334746426494500</v>
      </c>
      <c r="AB36" s="360">
        <v>-1.5960220234554856375090746300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19</v>
      </c>
      <c r="C37" s="349" t="s">
        <v>53</v>
      </c>
      <c r="D37" s="380">
        <v>188.26515151515151515151515152</v>
      </c>
      <c r="E37" s="383">
        <v>221.93023255813953488372093023</v>
      </c>
      <c r="F37" s="381">
        <v>148.10386045228793845975808374</v>
      </c>
      <c r="G37" s="380">
        <v>16.810606060606060606060606061</v>
      </c>
      <c r="H37" s="383">
        <v>0</v>
      </c>
      <c r="I37" s="381">
        <v>14.534492156696914234380059471</v>
      </c>
      <c r="J37" s="380">
        <v>0</v>
      </c>
      <c r="K37" s="383">
        <v>0</v>
      </c>
      <c r="L37" s="381">
        <v>10.933279685881316678393668977</v>
      </c>
      <c r="M37" s="380">
        <v>205.07575757575757575757575758</v>
      </c>
      <c r="N37" s="383">
        <v>221.93023255813953488372093023</v>
      </c>
      <c r="O37" s="381">
        <v>173.5716322948661693725318122</v>
      </c>
      <c r="P37" s="4"/>
      <c r="Q37" s="329">
        <v>5.3186980844068053977847897200</v>
      </c>
      <c r="R37" s="330">
        <v>7.4510907811497211397747974400</v>
      </c>
      <c r="S37" s="332">
        <v>4.1172607561889118583391317200</v>
      </c>
      <c r="T37" s="329">
        <v>46.953642384028104030525018230</v>
      </c>
      <c r="U37" s="330">
        <v>-100</v>
      </c>
      <c r="V37" s="332">
        <v>22.567149344018955499156179960</v>
      </c>
      <c r="W37" s="329">
        <v>0</v>
      </c>
      <c r="X37" s="330">
        <v>0</v>
      </c>
      <c r="Y37" s="332">
        <v>-4.2874387642174196992246288100</v>
      </c>
      <c r="Z37" s="329">
        <v>7.8228311957129255427076056900</v>
      </c>
      <c r="AA37" s="330">
        <v>3.9344351567170835606809258300</v>
      </c>
      <c r="AB37" s="332">
        <v>4.8589985493388578642127784500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123.77840909090909090909090909</v>
      </c>
      <c r="E39" s="382">
        <v>135.58357558139534883720930233</v>
      </c>
      <c r="F39" s="375">
        <v>85.51453528882616324563115589</v>
      </c>
      <c r="G39" s="374">
        <v>0</v>
      </c>
      <c r="H39" s="382">
        <v>2.4040697674418604651162790698</v>
      </c>
      <c r="I39" s="375">
        <v>12.330136175198109981061089365</v>
      </c>
      <c r="J39" s="374">
        <v>0</v>
      </c>
      <c r="K39" s="382">
        <v>0</v>
      </c>
      <c r="L39" s="375">
        <v>10.495014878820422917938554136</v>
      </c>
      <c r="M39" s="374">
        <v>123.77840909090909090909090909</v>
      </c>
      <c r="N39" s="382">
        <v>137.9876453488372093023255814</v>
      </c>
      <c r="O39" s="375">
        <v>108.33968634284469614463079939</v>
      </c>
      <c r="P39" s="4"/>
      <c r="Q39" s="354">
        <v>14.903829248550947103730996030</v>
      </c>
      <c r="R39" s="355">
        <v>-1.7463753232139492645915405600</v>
      </c>
      <c r="S39" s="356">
        <v>-5.1316860353984818744350159700</v>
      </c>
      <c r="T39" s="354">
        <v>-100</v>
      </c>
      <c r="U39" s="355">
        <v>-53.401887589402286908780907030</v>
      </c>
      <c r="V39" s="356">
        <v>1.871475541778686093995803500</v>
      </c>
      <c r="W39" s="354">
        <v>0</v>
      </c>
      <c r="X39" s="355">
        <v>0</v>
      </c>
      <c r="Y39" s="356">
        <v>-1.1113553086132482986472377600</v>
      </c>
      <c r="Z39" s="354">
        <v>7.989094514221598317992250800</v>
      </c>
      <c r="AA39" s="355">
        <v>-3.6080171389901913233306156400</v>
      </c>
      <c r="AB39" s="356">
        <v>-4.0025454889334487165051227500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108.19318181818181818181818182</v>
      </c>
      <c r="E40" s="172">
        <v>113.47165697674418604651162791</v>
      </c>
      <c r="F40" s="371">
        <v>77.046759281095397134516294299</v>
      </c>
      <c r="G40" s="370">
        <v>0</v>
      </c>
      <c r="H40" s="172">
        <v>1.4534883720930232558139534884</v>
      </c>
      <c r="I40" s="371">
        <v>12.874956185038264264354259954</v>
      </c>
      <c r="J40" s="370">
        <v>0</v>
      </c>
      <c r="K40" s="172">
        <v>0</v>
      </c>
      <c r="L40" s="371">
        <v>9.565460530381259097753274978</v>
      </c>
      <c r="M40" s="370">
        <v>108.19318181818181818181818182</v>
      </c>
      <c r="N40" s="172">
        <v>114.9251453488372093023255814</v>
      </c>
      <c r="O40" s="371">
        <v>99.48717599651492049662382923</v>
      </c>
      <c r="P40" s="4"/>
      <c r="Q40" s="327">
        <v>26.505303718170313780845572280</v>
      </c>
      <c r="R40" s="171">
        <v>-7.395347733801490029836026200</v>
      </c>
      <c r="S40" s="328">
        <v>-0.9326147742468386477912410500</v>
      </c>
      <c r="T40" s="327">
        <v>-100</v>
      </c>
      <c r="U40" s="171">
        <v>-69.884053606166907780920947380</v>
      </c>
      <c r="V40" s="328">
        <v>23.487622314564839282877134310</v>
      </c>
      <c r="W40" s="327">
        <v>0</v>
      </c>
      <c r="X40" s="171">
        <v>0</v>
      </c>
      <c r="Y40" s="328">
        <v>-3.3388300556698633690938651300</v>
      </c>
      <c r="Z40" s="327">
        <v>19.265940122772818834034600810</v>
      </c>
      <c r="AA40" s="171">
        <v>-9.763362568265740764288944450</v>
      </c>
      <c r="AB40" s="328">
        <v>1.4201936577564368079634703500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105.05113636363636363636363636</v>
      </c>
      <c r="E41" s="173">
        <v>112.63953488372093023255813953</v>
      </c>
      <c r="F41" s="379">
        <v>79.216595017140624333049097683</v>
      </c>
      <c r="G41" s="378">
        <v>0</v>
      </c>
      <c r="H41" s="173">
        <v>1.4534883720930232558139534884</v>
      </c>
      <c r="I41" s="379">
        <v>13.888127943458387072983332149</v>
      </c>
      <c r="J41" s="378">
        <v>0</v>
      </c>
      <c r="K41" s="173">
        <v>0</v>
      </c>
      <c r="L41" s="379">
        <v>9.725996243685609864051732372</v>
      </c>
      <c r="M41" s="378">
        <v>105.05113636363636363636363636</v>
      </c>
      <c r="N41" s="173">
        <v>114.09302325581395348837209302</v>
      </c>
      <c r="O41" s="379">
        <v>102.8307192042846212700841622</v>
      </c>
      <c r="P41" s="4"/>
      <c r="Q41" s="359">
        <v>26.732469668998139677657960450</v>
      </c>
      <c r="R41" s="170">
        <v>-3.2050161125031305754153034600</v>
      </c>
      <c r="S41" s="360">
        <v>2.1064085599098992828910803600</v>
      </c>
      <c r="T41" s="359">
        <v>-100</v>
      </c>
      <c r="U41" s="170">
        <v>-68.808484092124521668470427340</v>
      </c>
      <c r="V41" s="360">
        <v>23.421320901278193774248253460</v>
      </c>
      <c r="W41" s="359">
        <v>0</v>
      </c>
      <c r="X41" s="170">
        <v>0</v>
      </c>
      <c r="Y41" s="360">
        <v>-9.636259006040932947548144160</v>
      </c>
      <c r="Z41" s="359">
        <v>20.232805150334570588873064190</v>
      </c>
      <c r="AA41" s="170">
        <v>-5.7308930200951752139955173800</v>
      </c>
      <c r="AB41" s="360">
        <v>3.2455890684381684931062344400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108.50378787878787878787878788</v>
      </c>
      <c r="E42" s="172">
        <v>117.93313953488372093023255814</v>
      </c>
      <c r="F42" s="371">
        <v>78.573173882289835966940146213</v>
      </c>
      <c r="G42" s="370">
        <v>5.0321969696969696969696969697</v>
      </c>
      <c r="H42" s="172">
        <v>0.1453488372093023255813953488</v>
      </c>
      <c r="I42" s="371">
        <v>16.410174633881644680294805253</v>
      </c>
      <c r="J42" s="370">
        <v>0</v>
      </c>
      <c r="K42" s="172">
        <v>0</v>
      </c>
      <c r="L42" s="371">
        <v>10.325565026292176583063441805</v>
      </c>
      <c r="M42" s="370">
        <v>113.53598484848484848484848485</v>
      </c>
      <c r="N42" s="172">
        <v>118.07848837209302325581395349</v>
      </c>
      <c r="O42" s="371">
        <v>105.30891354246365723029839327</v>
      </c>
      <c r="P42" s="4"/>
      <c r="Q42" s="327">
        <v>26.683324856852018955805602080</v>
      </c>
      <c r="R42" s="171">
        <v>-5.5227582352166314751643217900</v>
      </c>
      <c r="S42" s="328">
        <v>-7.3570888209876525251523795100</v>
      </c>
      <c r="T42" s="327">
        <v>83.24137931115361712247681597</v>
      </c>
      <c r="U42" s="171">
        <v>-12.663755456074445567331338240</v>
      </c>
      <c r="V42" s="328">
        <v>20.606539210684167485073600360</v>
      </c>
      <c r="W42" s="327">
        <v>0</v>
      </c>
      <c r="X42" s="171">
        <v>0</v>
      </c>
      <c r="Y42" s="328">
        <v>2.3972071098438520186911022500</v>
      </c>
      <c r="Z42" s="327">
        <v>28.440425942241993261555577300</v>
      </c>
      <c r="AA42" s="171">
        <v>-5.5322662232132770654921310300</v>
      </c>
      <c r="AB42" s="328">
        <v>-2.9439057416052609637911532300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129.24810606060606060606060606</v>
      </c>
      <c r="E43" s="173">
        <v>160.28125</v>
      </c>
      <c r="F43" s="379">
        <v>92.32904563808185112565965401</v>
      </c>
      <c r="G43" s="378">
        <v>5.3143939393939393939393939394</v>
      </c>
      <c r="H43" s="173">
        <v>0</v>
      </c>
      <c r="I43" s="379">
        <v>18.440989738898974311279712768</v>
      </c>
      <c r="J43" s="378">
        <v>0</v>
      </c>
      <c r="K43" s="173">
        <v>0</v>
      </c>
      <c r="L43" s="379">
        <v>10.802431559296363326859955549</v>
      </c>
      <c r="M43" s="378">
        <v>134.562500000</v>
      </c>
      <c r="N43" s="173">
        <v>160.28125000000000000000000</v>
      </c>
      <c r="O43" s="379">
        <v>121.57246693627718876379932233</v>
      </c>
      <c r="P43" s="4"/>
      <c r="Q43" s="359">
        <v>14.864000538639568464413862680</v>
      </c>
      <c r="R43" s="170">
        <v>-4.0403249315647237275646755900</v>
      </c>
      <c r="S43" s="360">
        <v>-12.743151823391951092237921030</v>
      </c>
      <c r="T43" s="359">
        <v>-74.052154614438664248568492310</v>
      </c>
      <c r="U43" s="170">
        <v>0</v>
      </c>
      <c r="V43" s="360">
        <v>9.235521847523728060642849270</v>
      </c>
      <c r="W43" s="359">
        <v>0</v>
      </c>
      <c r="X43" s="170">
        <v>0</v>
      </c>
      <c r="Y43" s="360">
        <v>9.495860715541231764863657870</v>
      </c>
      <c r="Z43" s="359">
        <v>1.1719306239761982690742253900</v>
      </c>
      <c r="AA43" s="170">
        <v>-4.0403249315647237275646755900</v>
      </c>
      <c r="AB43" s="360">
        <v>-8.289014648180005218053052530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193.70075757575757575757575758</v>
      </c>
      <c r="E44" s="172">
        <v>218.90116279069767441860465116</v>
      </c>
      <c r="F44" s="371">
        <v>131.98432280516291469429769028</v>
      </c>
      <c r="G44" s="370">
        <v>2.0340909090909090909090909091</v>
      </c>
      <c r="H44" s="172">
        <v>0</v>
      </c>
      <c r="I44" s="371">
        <v>17.341910196827673759224287616</v>
      </c>
      <c r="J44" s="370">
        <v>0</v>
      </c>
      <c r="K44" s="172">
        <v>0</v>
      </c>
      <c r="L44" s="371">
        <v>10.597775086325074460457692012</v>
      </c>
      <c r="M44" s="370">
        <v>195.73484848484848484848484848</v>
      </c>
      <c r="N44" s="172">
        <v>218.90116279069767441860465116</v>
      </c>
      <c r="O44" s="371">
        <v>159.92400808831566291397966991</v>
      </c>
      <c r="P44" s="4"/>
      <c r="Q44" s="327">
        <v>18.688638737348745207059108600</v>
      </c>
      <c r="R44" s="171">
        <v>3.5474012423903294322307493800</v>
      </c>
      <c r="S44" s="328">
        <v>-4.9567851507060129515759926600</v>
      </c>
      <c r="T44" s="327">
        <v>-92.46262895640614519535570901</v>
      </c>
      <c r="U44" s="171">
        <v>-100</v>
      </c>
      <c r="V44" s="328">
        <v>-5.6005640488388734486964727500</v>
      </c>
      <c r="W44" s="327">
        <v>0</v>
      </c>
      <c r="X44" s="171">
        <v>0</v>
      </c>
      <c r="Y44" s="328">
        <v>-2.4125954639187287421097177400</v>
      </c>
      <c r="Z44" s="327">
        <v>2.9167786972584869397225624600</v>
      </c>
      <c r="AA44" s="171">
        <v>2.5385445496590329571430806600</v>
      </c>
      <c r="AB44" s="328">
        <v>-4.8627769427764639083783876600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197.56060606060606060606060606</v>
      </c>
      <c r="E45" s="385">
        <v>218.98183139534883720930232558</v>
      </c>
      <c r="F45" s="386">
        <v>138.55410377706558838483912455</v>
      </c>
      <c r="G45" s="384">
        <v>4.2026515151515151515151515152</v>
      </c>
      <c r="H45" s="385">
        <v>0</v>
      </c>
      <c r="I45" s="386">
        <v>15.915276727321302728679214857</v>
      </c>
      <c r="J45" s="384">
        <v>0</v>
      </c>
      <c r="K45" s="385">
        <v>0</v>
      </c>
      <c r="L45" s="386">
        <v>10.859589874889532539339896461</v>
      </c>
      <c r="M45" s="384">
        <v>201.76325757575757575757575758</v>
      </c>
      <c r="N45" s="385">
        <v>218.98183139534883720930232558</v>
      </c>
      <c r="O45" s="386">
        <v>165.32897037927642365285823587</v>
      </c>
      <c r="P45" s="4"/>
      <c r="Q45" s="364">
        <v>5.0124329276171250303916611400</v>
      </c>
      <c r="R45" s="365">
        <v>6.5341290774344645773569248200</v>
      </c>
      <c r="S45" s="366">
        <v>-3.3155125096221103998347040300</v>
      </c>
      <c r="T45" s="364">
        <v>-70.883086209134451089324033660</v>
      </c>
      <c r="U45" s="365">
        <v>-100</v>
      </c>
      <c r="V45" s="366">
        <v>-0.1182937997554362458072889400</v>
      </c>
      <c r="W45" s="364">
        <v>0</v>
      </c>
      <c r="X45" s="365">
        <v>0</v>
      </c>
      <c r="Y45" s="366">
        <v>3.1311908286017540660449644300</v>
      </c>
      <c r="Z45" s="364">
        <v>-0.3954971296101009257174602900</v>
      </c>
      <c r="AA45" s="365">
        <v>4.5451548995926266360876203100</v>
      </c>
      <c r="AB45" s="366">
        <v>-2.6155755331199212951515881100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133.71861471861471861471861472</v>
      </c>
      <c r="E47" s="382">
        <v>146.09094684385382059800664452</v>
      </c>
      <c r="F47" s="375">
        <v>100.76900544165094512677464415</v>
      </c>
      <c r="G47" s="374">
        <v>4.0476190476190476190476190476</v>
      </c>
      <c r="H47" s="382">
        <v>0</v>
      </c>
      <c r="I47" s="375">
        <v>14.659515779059422625264374455</v>
      </c>
      <c r="J47" s="374">
        <v>0</v>
      </c>
      <c r="K47" s="382">
        <v>0</v>
      </c>
      <c r="L47" s="375">
        <v>10.661148433900050351139067016</v>
      </c>
      <c r="M47" s="374">
        <v>137.76623376623376623376623377</v>
      </c>
      <c r="N47" s="382">
        <v>146.09094684385382059800664452</v>
      </c>
      <c r="O47" s="375">
        <v>126.08966965461041810317808563</v>
      </c>
      <c r="P47" s="4"/>
      <c r="Q47" s="354">
        <v>13.917444980256915925903027090</v>
      </c>
      <c r="R47" s="355">
        <v>-8.662102199383118162985685720</v>
      </c>
      <c r="S47" s="356">
        <v>-6.0123781731732090393427221700</v>
      </c>
      <c r="T47" s="354">
        <v>-56.364484891033397778860716190</v>
      </c>
      <c r="U47" s="355">
        <v>-100</v>
      </c>
      <c r="V47" s="356">
        <v>15.052697932420276952931395610</v>
      </c>
      <c r="W47" s="354">
        <v>0</v>
      </c>
      <c r="X47" s="355">
        <v>0</v>
      </c>
      <c r="Y47" s="356">
        <v>1.9546701090265071209086269500</v>
      </c>
      <c r="Z47" s="354">
        <v>8.770250871563932616779791100</v>
      </c>
      <c r="AA47" s="355">
        <v>-14.268968508886792086155419820</v>
      </c>
      <c r="AB47" s="356">
        <v>-3.3154832801692860701317642800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138.00514069264069264069264069</v>
      </c>
      <c r="E48" s="172">
        <v>153.97030730897009966777408638</v>
      </c>
      <c r="F48" s="371">
        <v>97.58584451084135580518801374</v>
      </c>
      <c r="G48" s="370">
        <v>2.369047619047619047619047619</v>
      </c>
      <c r="H48" s="172">
        <v>0.7794850498338870431893687708</v>
      </c>
      <c r="I48" s="371">
        <v>15.311718270788813437955242677</v>
      </c>
      <c r="J48" s="370">
        <v>0</v>
      </c>
      <c r="K48" s="172">
        <v>0</v>
      </c>
      <c r="L48" s="371">
        <v>10.33851561609869877850736985</v>
      </c>
      <c r="M48" s="370">
        <v>140.37418831168831168831168831</v>
      </c>
      <c r="N48" s="172">
        <v>154.74979235880398671096345515</v>
      </c>
      <c r="O48" s="371">
        <v>123.23607839772886802165062628</v>
      </c>
      <c r="P48" s="4"/>
      <c r="Q48" s="327">
        <v>17.003945497120680136511529230</v>
      </c>
      <c r="R48" s="171">
        <v>-0.728882391512051380330916400</v>
      </c>
      <c r="S48" s="328">
        <v>-4.9047375065305078713836102100</v>
      </c>
      <c r="T48" s="327">
        <v>-79.58165240297397720272545849</v>
      </c>
      <c r="U48" s="171">
        <v>-73.770262716229046770817338060</v>
      </c>
      <c r="V48" s="328">
        <v>8.723995489693928623022283010</v>
      </c>
      <c r="W48" s="327">
        <v>0</v>
      </c>
      <c r="X48" s="171">
        <v>0</v>
      </c>
      <c r="Y48" s="328">
        <v>-0.3315232380921853300153175700</v>
      </c>
      <c r="Z48" s="327">
        <v>8.353817590197181343370087890</v>
      </c>
      <c r="AA48" s="171">
        <v>-2.1020587105186574749401323400</v>
      </c>
      <c r="AB48" s="328">
        <v>-3.0210283439980043478242743700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139.94098883572567783094098884</v>
      </c>
      <c r="E49" s="385">
        <v>158.38570991432068543451652387</v>
      </c>
      <c r="F49" s="386">
        <v>97.62321255218208248167765665</v>
      </c>
      <c r="G49" s="384">
        <v>1.4912280701754385964912280702</v>
      </c>
      <c r="H49" s="385">
        <v>0.3365973072215422276621787026</v>
      </c>
      <c r="I49" s="386">
        <v>13.229827717663845710960213928</v>
      </c>
      <c r="J49" s="384">
        <v>0</v>
      </c>
      <c r="K49" s="385">
        <v>0</v>
      </c>
      <c r="L49" s="386">
        <v>10.257061113493948484575126798</v>
      </c>
      <c r="M49" s="384">
        <v>141.43221690590111642743221691</v>
      </c>
      <c r="N49" s="385">
        <v>158.72230722154222766217870257</v>
      </c>
      <c r="O49" s="386">
        <v>121.11010138333987667721299739</v>
      </c>
      <c r="P49" s="4"/>
      <c r="Q49" s="364">
        <v>17.722903124125094685912848610</v>
      </c>
      <c r="R49" s="365">
        <v>1.1287993794956139319421496100</v>
      </c>
      <c r="S49" s="366">
        <v>-5.1090219778564282065552750300</v>
      </c>
      <c r="T49" s="364">
        <v>-89.68731042849586036207542415</v>
      </c>
      <c r="U49" s="365">
        <v>-91.60945842872903746448639154</v>
      </c>
      <c r="V49" s="366">
        <v>-2.6895363361063279873376687700</v>
      </c>
      <c r="W49" s="364">
        <v>0</v>
      </c>
      <c r="X49" s="365">
        <v>0</v>
      </c>
      <c r="Y49" s="366">
        <v>1.9082869032419640110151867500</v>
      </c>
      <c r="Z49" s="364">
        <v>6.0741626794523558612440257700</v>
      </c>
      <c r="AA49" s="365">
        <v>-1.1872853313799877356609256300</v>
      </c>
      <c r="AB49" s="366">
        <v>-4.2909139812332366538392492400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9"/>
</worksheet>
</file>

<file path=xl/worksheets/sheet4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137</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178</v>
      </c>
      <c r="B4" s="443"/>
      <c r="C4" s="211"/>
      <c r="D4" s="212"/>
      <c r="E4" s="212"/>
      <c r="F4" s="212"/>
      <c r="G4" s="212"/>
      <c r="H4" s="212"/>
      <c r="I4" s="212"/>
      <c r="J4" s="212"/>
      <c r="K4" s="212"/>
      <c r="L4" s="212"/>
      <c r="M4" s="212"/>
      <c r="N4" s="212"/>
      <c r="O4" s="212"/>
      <c r="P4" s="212"/>
      <c r="Q4" s="667" t="s">
        <v>180</v>
      </c>
      <c r="R4" s="667"/>
      <c r="S4" s="667"/>
      <c r="T4" s="667"/>
      <c r="U4" s="667"/>
      <c r="V4" s="667"/>
      <c r="W4" s="667"/>
      <c r="X4" s="66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3" t="s">
        <v>33</v>
      </c>
      <c r="E8" s="683"/>
      <c r="F8" s="683"/>
      <c r="G8" s="683" t="s">
        <v>30</v>
      </c>
      <c r="H8" s="683"/>
      <c r="I8" s="683"/>
      <c r="J8" s="683" t="s">
        <v>29</v>
      </c>
      <c r="K8" s="683"/>
      <c r="L8" s="683"/>
      <c r="M8" s="683" t="s">
        <v>94</v>
      </c>
      <c r="N8" s="683"/>
      <c r="O8" s="683"/>
      <c r="Q8" s="683" t="s">
        <v>33</v>
      </c>
      <c r="R8" s="683"/>
      <c r="S8" s="683"/>
      <c r="T8" s="683" t="s">
        <v>30</v>
      </c>
      <c r="U8" s="683"/>
      <c r="V8" s="683"/>
      <c r="W8" s="683" t="s">
        <v>29</v>
      </c>
      <c r="X8" s="683"/>
      <c r="Y8" s="683"/>
      <c r="Z8" s="684" t="s">
        <v>23</v>
      </c>
      <c r="AA8" s="684"/>
      <c r="AB8" s="684"/>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94" t="s">
        <v>63</v>
      </c>
      <c r="AA9" s="94" t="s">
        <v>26</v>
      </c>
      <c r="AB9" s="95" t="s">
        <v>181</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182</v>
      </c>
      <c r="B10" s="342">
        <v>22</v>
      </c>
      <c r="C10" s="343" t="s">
        <v>49</v>
      </c>
      <c r="D10" s="374">
        <v>224.25882352941176470588235294</v>
      </c>
      <c r="E10" s="382">
        <v>210.42605633802816901408450705</v>
      </c>
      <c r="F10" s="375">
        <v>178.02617581187010078387458007</v>
      </c>
      <c r="G10" s="374">
        <v>5.0588235294117647058823529412</v>
      </c>
      <c r="H10" s="382">
        <v>59.253751800932946056112237669</v>
      </c>
      <c r="I10" s="375">
        <v>55.65041674674813511023584285</v>
      </c>
      <c r="J10" s="374">
        <v>28.882352941176470588235294118</v>
      </c>
      <c r="K10" s="382">
        <v>18.534564466613068906440788217</v>
      </c>
      <c r="L10" s="375">
        <v>18.515665304505254472861874457</v>
      </c>
      <c r="M10" s="374">
        <v>258.200000000</v>
      </c>
      <c r="N10" s="382">
        <v>288.21437260557418397663753292</v>
      </c>
      <c r="O10" s="375">
        <v>252.19225786312349036697229737</v>
      </c>
      <c r="P10" s="4"/>
      <c r="Q10" s="354">
        <v>86.85469540256071444844397868</v>
      </c>
      <c r="R10" s="355">
        <v>73.010257759074171488690163070</v>
      </c>
      <c r="S10" s="356">
        <v>70.591451664822008898452692250</v>
      </c>
      <c r="T10" s="354">
        <v>1.9592655032578484530915387100</v>
      </c>
      <c r="U10" s="355">
        <v>20.558916359810625986322987900</v>
      </c>
      <c r="V10" s="356">
        <v>22.066663433003646689978437350</v>
      </c>
      <c r="W10" s="354">
        <v>11.186039094181437098464482620</v>
      </c>
      <c r="X10" s="355">
        <v>6.4308258811152025249868490300</v>
      </c>
      <c r="Y10" s="356">
        <v>7.3418849021743444115688704100</v>
      </c>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23</v>
      </c>
      <c r="C11" s="345" t="s">
        <v>47</v>
      </c>
      <c r="D11" s="370">
        <v>215.70512820512820512820512821</v>
      </c>
      <c r="E11" s="172">
        <v>189.19841269841269841269841271</v>
      </c>
      <c r="F11" s="371">
        <v>176.39829637244823028344837715</v>
      </c>
      <c r="G11" s="370">
        <v>3.3717948717948717948717948718</v>
      </c>
      <c r="H11" s="172">
        <v>46.450627702851509465212188105</v>
      </c>
      <c r="I11" s="371">
        <v>46.855388638050552284715628818</v>
      </c>
      <c r="J11" s="370">
        <v>31.230769230769230769230769231</v>
      </c>
      <c r="K11" s="172">
        <v>28.396248944188103555252329613</v>
      </c>
      <c r="L11" s="371">
        <v>31.203871278968171629090628402</v>
      </c>
      <c r="M11" s="370">
        <v>250.30769230769230769230769231</v>
      </c>
      <c r="N11" s="172">
        <v>264.04528934545231143316293043</v>
      </c>
      <c r="O11" s="371">
        <v>254.45755628946695419725463437</v>
      </c>
      <c r="P11" s="4"/>
      <c r="Q11" s="327">
        <v>86.17598852694120057365293997</v>
      </c>
      <c r="R11" s="171">
        <v>71.653773171799737264632900310</v>
      </c>
      <c r="S11" s="328">
        <v>69.323269053083365622485171830</v>
      </c>
      <c r="T11" s="327">
        <v>1.3470600286826469985658676500</v>
      </c>
      <c r="U11" s="171">
        <v>17.591916832903550171102353270</v>
      </c>
      <c r="V11" s="328">
        <v>18.413832672647611099520133530</v>
      </c>
      <c r="W11" s="327">
        <v>12.476951444376152427781192380</v>
      </c>
      <c r="X11" s="171">
        <v>10.754309995296712564264746430</v>
      </c>
      <c r="Y11" s="328">
        <v>12.262898274269023277994694640</v>
      </c>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24</v>
      </c>
      <c r="C12" s="347" t="s">
        <v>48</v>
      </c>
      <c r="D12" s="378">
        <v>211.000000000</v>
      </c>
      <c r="E12" s="173">
        <v>196.51612903225806451612903224</v>
      </c>
      <c r="F12" s="379">
        <v>177.65172413793103448275862069</v>
      </c>
      <c r="G12" s="378">
        <v>1.1538461538461538461538461538</v>
      </c>
      <c r="H12" s="173">
        <v>70.429976958525345622119815666</v>
      </c>
      <c r="I12" s="379">
        <v>92.02359463419627262164549987</v>
      </c>
      <c r="J12" s="378">
        <v>33.307692307692307692307692308</v>
      </c>
      <c r="K12" s="173">
        <v>22.428907175773535220539828833</v>
      </c>
      <c r="L12" s="379">
        <v>23.948169722304384985839860507</v>
      </c>
      <c r="M12" s="378">
        <v>245.46153846153846153846153846</v>
      </c>
      <c r="N12" s="173">
        <v>289.37501316655694535878867674</v>
      </c>
      <c r="O12" s="379">
        <v>293.62348849443169209024398108</v>
      </c>
      <c r="P12" s="4"/>
      <c r="Q12" s="359">
        <v>85.96051394547163898464431213</v>
      </c>
      <c r="R12" s="170">
        <v>67.910538260312180586594598340</v>
      </c>
      <c r="S12" s="360">
        <v>60.503240067355865225709921430</v>
      </c>
      <c r="T12" s="359">
        <v>0.4700720777185835161391413400</v>
      </c>
      <c r="U12" s="170">
        <v>24.338651837222597578088456940</v>
      </c>
      <c r="V12" s="360">
        <v>31.340678876220564392102889730</v>
      </c>
      <c r="W12" s="359">
        <v>13.569413976809777499216546540</v>
      </c>
      <c r="X12" s="170">
        <v>7.7508099024652218353169447200</v>
      </c>
      <c r="Y12" s="360">
        <v>8.156081056423570382187188830</v>
      </c>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25</v>
      </c>
      <c r="C13" s="345" t="s">
        <v>50</v>
      </c>
      <c r="D13" s="370">
        <v>168.67307692307692307692307692</v>
      </c>
      <c r="E13" s="172">
        <v>184.74660633484162895927601809</v>
      </c>
      <c r="F13" s="371">
        <v>172.81065811574286150557336998</v>
      </c>
      <c r="G13" s="370">
        <v>0.8076923076923076923076923077</v>
      </c>
      <c r="H13" s="172">
        <v>52.690003169763119941458841984</v>
      </c>
      <c r="I13" s="371">
        <v>62.017416736122885734783506337</v>
      </c>
      <c r="J13" s="370">
        <v>27.5</v>
      </c>
      <c r="K13" s="172">
        <v>18.824037068219823131219836195</v>
      </c>
      <c r="L13" s="371">
        <v>22.645555620189851212343830844</v>
      </c>
      <c r="M13" s="370">
        <v>196.98076923076923076923076923</v>
      </c>
      <c r="N13" s="172">
        <v>256.26064657282457203195469626</v>
      </c>
      <c r="O13" s="371">
        <v>257.47363047205559845270070716</v>
      </c>
      <c r="P13" s="4"/>
      <c r="Q13" s="327">
        <v>85.62921019232646685541345309</v>
      </c>
      <c r="R13" s="171">
        <v>72.093241317230515340184532290</v>
      </c>
      <c r="S13" s="328">
        <v>67.117808452426560788820909330</v>
      </c>
      <c r="T13" s="327">
        <v>0.4100361222298154837449965800</v>
      </c>
      <c r="U13" s="171">
        <v>20.561098192183632135623734150</v>
      </c>
      <c r="V13" s="328">
        <v>24.086900325450541966092774690</v>
      </c>
      <c r="W13" s="327">
        <v>13.960753685443717660841550330</v>
      </c>
      <c r="X13" s="171">
        <v>7.3456604905858525241917335500</v>
      </c>
      <c r="Y13" s="328">
        <v>8.795291222122897245086315980</v>
      </c>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26</v>
      </c>
      <c r="C14" s="347" t="s">
        <v>51</v>
      </c>
      <c r="D14" s="378">
        <v>153.01652892561983471074380165</v>
      </c>
      <c r="E14" s="173">
        <v>199.99579831932773109243697479</v>
      </c>
      <c r="F14" s="379">
        <v>174.05165289256198347107438017</v>
      </c>
      <c r="G14" s="378">
        <v>1.8099173553719008264462809917</v>
      </c>
      <c r="H14" s="173">
        <v>50.71612232852466672992122167</v>
      </c>
      <c r="I14" s="379">
        <v>45.709621976458969399132655494</v>
      </c>
      <c r="J14" s="378">
        <v>24.206611570247933884297520661</v>
      </c>
      <c r="K14" s="173">
        <v>22.101041889291576021191659226</v>
      </c>
      <c r="L14" s="379">
        <v>21.161865550486839579510100779</v>
      </c>
      <c r="M14" s="378">
        <v>179.03305785123966942148760331</v>
      </c>
      <c r="N14" s="173">
        <v>272.81296253714397384354985568</v>
      </c>
      <c r="O14" s="379">
        <v>240.92314041950779244971713644</v>
      </c>
      <c r="P14" s="4"/>
      <c r="Q14" s="359">
        <v>85.46831002169597931957715921</v>
      </c>
      <c r="R14" s="170">
        <v>73.308759400352153236024946930</v>
      </c>
      <c r="S14" s="360">
        <v>72.243642760713758147243228040</v>
      </c>
      <c r="T14" s="359">
        <v>1.0109403129760420994322116100</v>
      </c>
      <c r="U14" s="170">
        <v>18.590070595204791916931330120</v>
      </c>
      <c r="V14" s="360">
        <v>18.972698885157739160246429670</v>
      </c>
      <c r="W14" s="359">
        <v>13.520749665327978580990629180</v>
      </c>
      <c r="X14" s="170">
        <v>8.101170004443054847043722950</v>
      </c>
      <c r="Y14" s="360">
        <v>8.783658354128502692510342290</v>
      </c>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27</v>
      </c>
      <c r="C15" s="345" t="s">
        <v>52</v>
      </c>
      <c r="D15" s="370">
        <v>187.79166666666666666666666667</v>
      </c>
      <c r="E15" s="172">
        <v>238.34362934362934362934362933</v>
      </c>
      <c r="F15" s="371">
        <v>188.75565251884172947243157477</v>
      </c>
      <c r="G15" s="370">
        <v>1.8666666666666666666666666667</v>
      </c>
      <c r="H15" s="172">
        <v>57.379099241665627307048441778</v>
      </c>
      <c r="I15" s="371">
        <v>52.474710053977765988063956521</v>
      </c>
      <c r="J15" s="370">
        <v>34.275</v>
      </c>
      <c r="K15" s="172">
        <v>20.161014411378108291504607209</v>
      </c>
      <c r="L15" s="371">
        <v>26.945966120847854293366872666</v>
      </c>
      <c r="M15" s="370">
        <v>223.93333333333333333333333333</v>
      </c>
      <c r="N15" s="172">
        <v>315.88374299667307922789667833</v>
      </c>
      <c r="O15" s="371">
        <v>268.17632869366734975386240397</v>
      </c>
      <c r="P15" s="4"/>
      <c r="Q15" s="327">
        <v>83.86052396546591247395058053</v>
      </c>
      <c r="R15" s="171">
        <v>75.452958446848467215065993070</v>
      </c>
      <c r="S15" s="328">
        <v>70.384904379257750385054157210</v>
      </c>
      <c r="T15" s="327">
        <v>0.8335814230425721941053885100</v>
      </c>
      <c r="U15" s="171">
        <v>18.164625598434152405639167350</v>
      </c>
      <c r="V15" s="328">
        <v>19.567241564380805455911611040</v>
      </c>
      <c r="W15" s="327">
        <v>15.305894611491515331944030960</v>
      </c>
      <c r="X15" s="171">
        <v>6.3824159547173803792948395800</v>
      </c>
      <c r="Y15" s="328">
        <v>10.047854056361444159034231750</v>
      </c>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28</v>
      </c>
      <c r="C16" s="347" t="s">
        <v>53</v>
      </c>
      <c r="D16" s="378">
        <v>195.56910569105691056910569106</v>
      </c>
      <c r="E16" s="173">
        <v>251.92553191489361702127659575</v>
      </c>
      <c r="F16" s="379">
        <v>191.30220625962031811185223191</v>
      </c>
      <c r="G16" s="378">
        <v>1.3414634146341463414634146341</v>
      </c>
      <c r="H16" s="173">
        <v>68.012743988375663408135236978</v>
      </c>
      <c r="I16" s="379">
        <v>72.148409981309987818733278615</v>
      </c>
      <c r="J16" s="378">
        <v>28.30081300813008130081300813</v>
      </c>
      <c r="K16" s="173">
        <v>22.597390112890191901763563975</v>
      </c>
      <c r="L16" s="379">
        <v>24.803465955541577646696731795</v>
      </c>
      <c r="M16" s="378">
        <v>225.21138211382113821138211382</v>
      </c>
      <c r="N16" s="173">
        <v>342.53566601615947233117539671</v>
      </c>
      <c r="O16" s="379">
        <v>288.25408219647188357728224233</v>
      </c>
      <c r="P16" s="4"/>
      <c r="Q16" s="359">
        <v>86.83802028807624273491931699</v>
      </c>
      <c r="R16" s="170">
        <v>73.547241034750749417120017760</v>
      </c>
      <c r="S16" s="360">
        <v>66.365827259726412909227183840</v>
      </c>
      <c r="T16" s="359">
        <v>0.5956463665571640012995920700</v>
      </c>
      <c r="U16" s="170">
        <v>19.855667813922504718552237150</v>
      </c>
      <c r="V16" s="360">
        <v>25.029449516046803772767099500</v>
      </c>
      <c r="W16" s="359">
        <v>12.566333345366593263781090940</v>
      </c>
      <c r="X16" s="170">
        <v>6.5970911513267458643277450900</v>
      </c>
      <c r="Y16" s="360">
        <v>8.604723224226783318005716650</v>
      </c>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29</v>
      </c>
      <c r="C17" s="345" t="s">
        <v>49</v>
      </c>
      <c r="D17" s="370">
        <v>141.92452830188679245283018868</v>
      </c>
      <c r="E17" s="172">
        <v>201.61643835616438356164383562</v>
      </c>
      <c r="F17" s="371">
        <v>162.99435897435897435897435897</v>
      </c>
      <c r="G17" s="370">
        <v>3</v>
      </c>
      <c r="H17" s="172">
        <v>80.55296579499789483726644868</v>
      </c>
      <c r="I17" s="371">
        <v>48.003326325378760502124179296</v>
      </c>
      <c r="J17" s="370">
        <v>34.188679245283018867924528302</v>
      </c>
      <c r="K17" s="172">
        <v>25.879139477051738639160531993</v>
      </c>
      <c r="L17" s="371">
        <v>26.24081940219365050627157495</v>
      </c>
      <c r="M17" s="370">
        <v>179.11320754716981132075471698</v>
      </c>
      <c r="N17" s="172">
        <v>308.04854362821401703807081628</v>
      </c>
      <c r="O17" s="371">
        <v>237.23850470193138536737011323</v>
      </c>
      <c r="P17" s="4"/>
      <c r="Q17" s="327">
        <v>79.23733277151585378700094807</v>
      </c>
      <c r="R17" s="171">
        <v>65.449567130398999730940284570</v>
      </c>
      <c r="S17" s="328">
        <v>68.704850074462646424681588830</v>
      </c>
      <c r="T17" s="327">
        <v>1.6749183608975034235752659900</v>
      </c>
      <c r="U17" s="171">
        <v>26.149438931358118481237041610</v>
      </c>
      <c r="V17" s="328">
        <v>20.234205398356635325672201350</v>
      </c>
      <c r="W17" s="327">
        <v>19.087748867586642789423785950</v>
      </c>
      <c r="X17" s="171">
        <v>8.400993938242881787822673820</v>
      </c>
      <c r="Y17" s="328">
        <v>11.060944527180718249646209810</v>
      </c>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30</v>
      </c>
      <c r="C18" s="347" t="s">
        <v>47</v>
      </c>
      <c r="D18" s="378">
        <v>136.65048543689320388349514563</v>
      </c>
      <c r="E18" s="173">
        <v>195.34715025906735751295336788</v>
      </c>
      <c r="F18" s="379">
        <v>157.52099658428772352822985734</v>
      </c>
      <c r="G18" s="378">
        <v>2.0097087378640776699029126214</v>
      </c>
      <c r="H18" s="173">
        <v>72.634032909342686118542786767</v>
      </c>
      <c r="I18" s="379">
        <v>49.248999233053647732842134756</v>
      </c>
      <c r="J18" s="378">
        <v>22.902912621359223300970873786</v>
      </c>
      <c r="K18" s="173">
        <v>25.598844709645430617819018586</v>
      </c>
      <c r="L18" s="379">
        <v>125.91859426612215097834989265</v>
      </c>
      <c r="M18" s="378">
        <v>161.56310679611650485436893204</v>
      </c>
      <c r="N18" s="173">
        <v>293.58002787805547424931517323</v>
      </c>
      <c r="O18" s="379">
        <v>332.68859008346352223942188475</v>
      </c>
      <c r="P18" s="4"/>
      <c r="Q18" s="359">
        <v>84.58025359052941529956132444</v>
      </c>
      <c r="R18" s="170">
        <v>66.539659278256090859131709100</v>
      </c>
      <c r="S18" s="360">
        <v>47.347880654629458325624653110</v>
      </c>
      <c r="T18" s="359">
        <v>1.2439156300703082747431043800</v>
      </c>
      <c r="U18" s="170">
        <v>24.740795017402454662026012090</v>
      </c>
      <c r="V18" s="360">
        <v>14.803332816643415620369583300</v>
      </c>
      <c r="W18" s="359">
        <v>14.175830779400276425695571180</v>
      </c>
      <c r="X18" s="170">
        <v>8.719545704341454478842278810</v>
      </c>
      <c r="Y18" s="360">
        <v>37.848786528727126054005763590</v>
      </c>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t="s">
        <v>179</v>
      </c>
      <c r="B19" s="668">
        <v>1</v>
      </c>
      <c r="C19" s="679" t="s">
        <v>48</v>
      </c>
      <c r="D19" s="680">
        <v>142.7319587628865979381443299</v>
      </c>
      <c r="E19" s="681">
        <v>184.79185520361990950226244343</v>
      </c>
      <c r="F19" s="682">
        <v>156.10993914807302231237322515</v>
      </c>
      <c r="G19" s="680">
        <v>1.7525773195876288659793814433</v>
      </c>
      <c r="H19" s="681">
        <v>61.637892826989018725177170902</v>
      </c>
      <c r="I19" s="682">
        <v>37.523802962801643322531363523</v>
      </c>
      <c r="J19" s="680">
        <v>33.731958762886597938144329897</v>
      </c>
      <c r="K19" s="681">
        <v>28.32859749387879948403049603</v>
      </c>
      <c r="L19" s="682">
        <v>31.745650160329226264209905268</v>
      </c>
      <c r="M19" s="680">
        <v>178.21649484536082474226804124</v>
      </c>
      <c r="N19" s="681">
        <v>274.75834552448772771147011036</v>
      </c>
      <c r="O19" s="682">
        <v>225.37939227120389189911449396</v>
      </c>
      <c r="P19" s="4"/>
      <c r="Q19" s="670">
        <v>80.08908428298721582692196448</v>
      </c>
      <c r="R19" s="671">
        <v>67.256139154160982264665757160</v>
      </c>
      <c r="S19" s="672">
        <v>69.265400698313428709147808040</v>
      </c>
      <c r="T19" s="670">
        <v>0.9833979290796552322554520700</v>
      </c>
      <c r="U19" s="671">
        <v>22.433492496589358799454297410</v>
      </c>
      <c r="V19" s="672">
        <v>16.649172129121921022561836460</v>
      </c>
      <c r="W19" s="670">
        <v>18.927517787933128940822583440</v>
      </c>
      <c r="X19" s="671">
        <v>10.310368349249658935879945430</v>
      </c>
      <c r="Y19" s="672">
        <v>14.085427172564650268290355490</v>
      </c>
      <c r="Z19" s="685"/>
      <c r="AA19" s="685"/>
      <c r="AB19" s="686"/>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v>
      </c>
      <c r="C20" s="347" t="s">
        <v>50</v>
      </c>
      <c r="D20" s="378">
        <v>124.29824561403508771929824561</v>
      </c>
      <c r="E20" s="173">
        <v>203.26923076923076923076923076</v>
      </c>
      <c r="F20" s="379">
        <v>153.26072469804248229904206581</v>
      </c>
      <c r="G20" s="378">
        <v>0.9473684210526315789473684211</v>
      </c>
      <c r="H20" s="173">
        <v>59.692329612601691103029194016</v>
      </c>
      <c r="I20" s="379">
        <v>39.901923308965051120016646522</v>
      </c>
      <c r="J20" s="378">
        <v>32.087719298245614035087719298</v>
      </c>
      <c r="K20" s="173">
        <v>26.680471686604603642962251346</v>
      </c>
      <c r="L20" s="379">
        <v>29.639429256200547531525750958</v>
      </c>
      <c r="M20" s="378">
        <v>157.33333333333333333333333333</v>
      </c>
      <c r="N20" s="173">
        <v>289.64203206843706397676067613</v>
      </c>
      <c r="O20" s="379">
        <v>222.80207726320808095058446329</v>
      </c>
      <c r="P20" s="4"/>
      <c r="Q20" s="359">
        <v>79.003122212310437109723461200</v>
      </c>
      <c r="R20" s="170">
        <v>70.179465776293823038397328880</v>
      </c>
      <c r="S20" s="360">
        <v>68.787834736831175303975827300</v>
      </c>
      <c r="T20" s="359">
        <v>0.6021409455842997323818019600</v>
      </c>
      <c r="U20" s="170">
        <v>20.609001112966054535336672230</v>
      </c>
      <c r="V20" s="360">
        <v>17.909134330837841486080970230</v>
      </c>
      <c r="W20" s="359">
        <v>20.394736842105263157894736840</v>
      </c>
      <c r="X20" s="170">
        <v>9.211533110740122426265998890</v>
      </c>
      <c r="Y20" s="360">
        <v>13.303030932330983209943202470</v>
      </c>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3</v>
      </c>
      <c r="C21" s="345" t="s">
        <v>51</v>
      </c>
      <c r="D21" s="370">
        <v>145.59349593495934959349593496</v>
      </c>
      <c r="E21" s="172">
        <v>232.12213740458015267175572519</v>
      </c>
      <c r="F21" s="371">
        <v>163.03441812915317771340943943</v>
      </c>
      <c r="G21" s="370">
        <v>1.1788617886178861788617886179</v>
      </c>
      <c r="H21" s="172">
        <v>54.180415433508130752057994828</v>
      </c>
      <c r="I21" s="371">
        <v>38.326336298013063795269459717</v>
      </c>
      <c r="J21" s="370">
        <v>33.918699186991869918699186992</v>
      </c>
      <c r="K21" s="172">
        <v>21.343200942135071867445745901</v>
      </c>
      <c r="L21" s="371">
        <v>28.446091804651587810166821084</v>
      </c>
      <c r="M21" s="370">
        <v>180.69105691056910569105691057</v>
      </c>
      <c r="N21" s="172">
        <v>307.64575378022335529125946592</v>
      </c>
      <c r="O21" s="371">
        <v>229.80684623181782931884572022</v>
      </c>
      <c r="P21" s="4"/>
      <c r="Q21" s="327">
        <v>80.57592800899887514060742407</v>
      </c>
      <c r="R21" s="171">
        <v>75.451110425663170882171499080</v>
      </c>
      <c r="S21" s="328">
        <v>70.944108412110614651943826790</v>
      </c>
      <c r="T21" s="327">
        <v>0.6524184476940382452193475800</v>
      </c>
      <c r="U21" s="171">
        <v>17.611299609294674069504421140</v>
      </c>
      <c r="V21" s="328">
        <v>16.677630334542489292034282300</v>
      </c>
      <c r="W21" s="327">
        <v>18.771653543307086614173228350</v>
      </c>
      <c r="X21" s="171">
        <v>6.9375899650421550483240797900</v>
      </c>
      <c r="Y21" s="328">
        <v>12.378261253346896056021890910</v>
      </c>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4</v>
      </c>
      <c r="C22" s="347" t="s">
        <v>52</v>
      </c>
      <c r="D22" s="378">
        <v>228.65079365079365079365079365</v>
      </c>
      <c r="E22" s="173">
        <v>261.04575163398692810457516339</v>
      </c>
      <c r="F22" s="379">
        <v>197.88229544819882714325607372</v>
      </c>
      <c r="G22" s="378">
        <v>0.9682539682539682539682539683</v>
      </c>
      <c r="H22" s="173">
        <v>89.06948049493636214421335884</v>
      </c>
      <c r="I22" s="379">
        <v>50.883247292292952311524742984</v>
      </c>
      <c r="J22" s="378">
        <v>33.5</v>
      </c>
      <c r="K22" s="173">
        <v>21.617668201541709750348509661</v>
      </c>
      <c r="L22" s="379">
        <v>26.721150585231731957374087474</v>
      </c>
      <c r="M22" s="378">
        <v>263.11904761904761904761904762</v>
      </c>
      <c r="N22" s="173">
        <v>371.73290033046499999913703192</v>
      </c>
      <c r="O22" s="379">
        <v>275.48669332572351141215490417</v>
      </c>
      <c r="P22" s="4"/>
      <c r="Q22" s="359">
        <v>86.90012970168612191958495460</v>
      </c>
      <c r="R22" s="170">
        <v>70.224010681304009197789563470</v>
      </c>
      <c r="S22" s="360">
        <v>71.830073917302200919691223010</v>
      </c>
      <c r="T22" s="359">
        <v>0.3679908303924230084758543700</v>
      </c>
      <c r="U22" s="170">
        <v>23.960612691466083150984682710</v>
      </c>
      <c r="V22" s="360">
        <v>18.470310372534331012998312160</v>
      </c>
      <c r="W22" s="359">
        <v>12.731879467921455071939191020</v>
      </c>
      <c r="X22" s="170">
        <v>5.8153766272299076512257538100</v>
      </c>
      <c r="Y22" s="360">
        <v>9.699615710163468067310464830</v>
      </c>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5</v>
      </c>
      <c r="C23" s="345" t="s">
        <v>53</v>
      </c>
      <c r="D23" s="370">
        <v>225.7008547008547008547008547</v>
      </c>
      <c r="E23" s="172">
        <v>248.79264214046822742474916389</v>
      </c>
      <c r="F23" s="371">
        <v>191.78550233149639677829588809</v>
      </c>
      <c r="G23" s="370">
        <v>1.5726495726495726495726495726</v>
      </c>
      <c r="H23" s="172">
        <v>54.278759990576574061147563873</v>
      </c>
      <c r="I23" s="371">
        <v>62.141767258171872455700112406</v>
      </c>
      <c r="J23" s="370">
        <v>33.743589743589743589743589744</v>
      </c>
      <c r="K23" s="172">
        <v>16.805355988503723846578734926</v>
      </c>
      <c r="L23" s="371">
        <v>26.854469610198431875263590959</v>
      </c>
      <c r="M23" s="370">
        <v>261.01709401709401709401709402</v>
      </c>
      <c r="N23" s="172">
        <v>319.8767581195485253324754627</v>
      </c>
      <c r="O23" s="371">
        <v>280.78173919986670110925959145</v>
      </c>
      <c r="P23" s="4"/>
      <c r="Q23" s="327">
        <v>86.46975997904319067421985003</v>
      </c>
      <c r="R23" s="171">
        <v>77.777655245426173645496752280</v>
      </c>
      <c r="S23" s="328">
        <v>68.304122226046616572689560820</v>
      </c>
      <c r="T23" s="327">
        <v>0.6025082681161793116997937100</v>
      </c>
      <c r="U23" s="171">
        <v>16.968647647195050673254005890</v>
      </c>
      <c r="V23" s="328">
        <v>22.131698249058133109522430550</v>
      </c>
      <c r="W23" s="327">
        <v>12.927731752840630014080356270</v>
      </c>
      <c r="X23" s="171">
        <v>5.2536971073787756812492418300</v>
      </c>
      <c r="Y23" s="328">
        <v>9.564179524895250317788008630</v>
      </c>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6</v>
      </c>
      <c r="C24" s="347" t="s">
        <v>49</v>
      </c>
      <c r="D24" s="378">
        <v>141.83333333333333333333333333</v>
      </c>
      <c r="E24" s="173">
        <v>198.36206896551724137931034483</v>
      </c>
      <c r="F24" s="379">
        <v>154.8509509875640087783467447</v>
      </c>
      <c r="G24" s="378">
        <v>1.6944444444444444444444444444</v>
      </c>
      <c r="H24" s="173">
        <v>66.440149166989538938395970556</v>
      </c>
      <c r="I24" s="379">
        <v>52.815151051504762631130401752</v>
      </c>
      <c r="J24" s="378">
        <v>34.305555555555555555555555556</v>
      </c>
      <c r="K24" s="173">
        <v>24.516660209221232080588919024</v>
      </c>
      <c r="L24" s="379">
        <v>22.211797380558554455519988541</v>
      </c>
      <c r="M24" s="378">
        <v>177.83333333333333333333333333</v>
      </c>
      <c r="N24" s="173">
        <v>289.31887834172801239829523441</v>
      </c>
      <c r="O24" s="379">
        <v>229.87789941962732586499713499</v>
      </c>
      <c r="P24" s="4"/>
      <c r="Q24" s="359">
        <v>79.75632614807872539831302718</v>
      </c>
      <c r="R24" s="170">
        <v>68.561744087512518295971034590</v>
      </c>
      <c r="S24" s="360">
        <v>67.362261173656173694687417130</v>
      </c>
      <c r="T24" s="359">
        <v>0.9528272414870353014682911600</v>
      </c>
      <c r="U24" s="170">
        <v>22.964332485940990678684230800</v>
      </c>
      <c r="V24" s="360">
        <v>22.975306101563987248656696380</v>
      </c>
      <c r="W24" s="359">
        <v>19.290846610434239300218681660</v>
      </c>
      <c r="X24" s="170">
        <v>8.473923426546491025344734610</v>
      </c>
      <c r="Y24" s="360">
        <v>9.662432724779839056655886490</v>
      </c>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7</v>
      </c>
      <c r="C25" s="345" t="s">
        <v>47</v>
      </c>
      <c r="D25" s="370">
        <v>139.02325581395348837209302326</v>
      </c>
      <c r="E25" s="172">
        <v>187.35532994923857868020304568</v>
      </c>
      <c r="F25" s="371">
        <v>156.69202825428859737638748739</v>
      </c>
      <c r="G25" s="370">
        <v>1.872093023255813953488372093</v>
      </c>
      <c r="H25" s="172">
        <v>64.299741401401387190176802506</v>
      </c>
      <c r="I25" s="371">
        <v>40.818303351746840012675894575</v>
      </c>
      <c r="J25" s="370">
        <v>33.44186046511627906976744186</v>
      </c>
      <c r="K25" s="172">
        <v>22.469015657176199842839061946</v>
      </c>
      <c r="L25" s="371">
        <v>23.538086007371697556057239705</v>
      </c>
      <c r="M25" s="370">
        <v>174.33720930232558139534883721</v>
      </c>
      <c r="N25" s="172">
        <v>274.12408700781616571321891014</v>
      </c>
      <c r="O25" s="371">
        <v>221.04841761340713494512062165</v>
      </c>
      <c r="P25" s="4"/>
      <c r="Q25" s="327">
        <v>79.74388047755619289001534049</v>
      </c>
      <c r="R25" s="171">
        <v>68.346905226134495546125320180</v>
      </c>
      <c r="S25" s="328">
        <v>70.885840281529722704904866910</v>
      </c>
      <c r="T25" s="327">
        <v>1.0738344560795037684252651200</v>
      </c>
      <c r="U25" s="171">
        <v>23.456436135642466643728256300</v>
      </c>
      <c r="V25" s="328">
        <v>18.465774961182580591777034690</v>
      </c>
      <c r="W25" s="327">
        <v>19.182285066364303341559394380</v>
      </c>
      <c r="X25" s="171">
        <v>8.196658638223037810146423520</v>
      </c>
      <c r="Y25" s="328">
        <v>10.648384757287696703318098410</v>
      </c>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8</v>
      </c>
      <c r="C26" s="347" t="s">
        <v>48</v>
      </c>
      <c r="D26" s="378">
        <v>152.06097560975609756097560976</v>
      </c>
      <c r="E26" s="173">
        <v>192.6089108910891089108910891</v>
      </c>
      <c r="F26" s="379">
        <v>159.11226572647986639450732975</v>
      </c>
      <c r="G26" s="378">
        <v>0.9634146341463414634146341463</v>
      </c>
      <c r="H26" s="173">
        <v>64.197980945903107562854513614</v>
      </c>
      <c r="I26" s="379">
        <v>51.045327018135856245657330737</v>
      </c>
      <c r="J26" s="378">
        <v>31.085365853658536585365853659</v>
      </c>
      <c r="K26" s="173">
        <v>24.737202885660030099994767895</v>
      </c>
      <c r="L26" s="379">
        <v>18.926781258989283694940008811</v>
      </c>
      <c r="M26" s="378">
        <v>184.10975609756097560975609756</v>
      </c>
      <c r="N26" s="173">
        <v>281.54409472265224657374037061</v>
      </c>
      <c r="O26" s="379">
        <v>229.08437400360500633510466929</v>
      </c>
      <c r="P26" s="4"/>
      <c r="Q26" s="359">
        <v>82.59256805987944624759886070</v>
      </c>
      <c r="R26" s="170">
        <v>68.411632316716581899377979410</v>
      </c>
      <c r="S26" s="360">
        <v>69.455748092174974045017178450</v>
      </c>
      <c r="T26" s="359">
        <v>0.523282771411538716301251900</v>
      </c>
      <c r="U26" s="170">
        <v>22.802105300466072409576636130</v>
      </c>
      <c r="V26" s="360">
        <v>22.282325994584238635998758440</v>
      </c>
      <c r="W26" s="359">
        <v>16.884149168709015036099887390</v>
      </c>
      <c r="X26" s="170">
        <v>8.786262382817345691045384470</v>
      </c>
      <c r="Y26" s="360">
        <v>8.261925913240787318984063110</v>
      </c>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9</v>
      </c>
      <c r="C27" s="345" t="s">
        <v>50</v>
      </c>
      <c r="D27" s="370">
        <v>144.70588235294117647058823529</v>
      </c>
      <c r="E27" s="172">
        <v>193.46296296296296296296296295</v>
      </c>
      <c r="F27" s="371">
        <v>162.44953484289977180972441636</v>
      </c>
      <c r="G27" s="370">
        <v>0.5490196078431372549019607843</v>
      </c>
      <c r="H27" s="172">
        <v>54.133893318636886452753728632</v>
      </c>
      <c r="I27" s="371">
        <v>46.349111967020763273862823639</v>
      </c>
      <c r="J27" s="370">
        <v>34.764705882352941176470588235</v>
      </c>
      <c r="K27" s="172">
        <v>24.093647768520102187363408561</v>
      </c>
      <c r="L27" s="371">
        <v>25.887529794095402890744478127</v>
      </c>
      <c r="M27" s="370">
        <v>180.01960784313725490196078431</v>
      </c>
      <c r="N27" s="172">
        <v>271.69050405011995160308010014</v>
      </c>
      <c r="O27" s="371">
        <v>234.68617660401593797433171813</v>
      </c>
      <c r="P27" s="4"/>
      <c r="Q27" s="327">
        <v>80.38340050103474567040627383</v>
      </c>
      <c r="R27" s="171">
        <v>71.207112533927204398357575330</v>
      </c>
      <c r="S27" s="328">
        <v>69.219899183495387683869359260</v>
      </c>
      <c r="T27" s="327">
        <v>0.30497767127763860145953600</v>
      </c>
      <c r="U27" s="171">
        <v>19.924838193332869371563783140</v>
      </c>
      <c r="V27" s="328">
        <v>19.749400087260034904013961600</v>
      </c>
      <c r="W27" s="327">
        <v>19.311621827687615728134190180</v>
      </c>
      <c r="X27" s="171">
        <v>8.868049272739926230078641520</v>
      </c>
      <c r="Y27" s="328">
        <v>11.030700729244577412116679130</v>
      </c>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10</v>
      </c>
      <c r="C28" s="347" t="s">
        <v>51</v>
      </c>
      <c r="D28" s="378">
        <v>151.90434782608695652173913043</v>
      </c>
      <c r="E28" s="173">
        <v>252.372</v>
      </c>
      <c r="F28" s="379">
        <v>166.72535211267605633802816901</v>
      </c>
      <c r="G28" s="378">
        <v>0.6869565217391304347826086957</v>
      </c>
      <c r="H28" s="173">
        <v>52.03448633460212699916684364</v>
      </c>
      <c r="I28" s="379">
        <v>57.712026276745110478942760928</v>
      </c>
      <c r="J28" s="378">
        <v>34.904347826086956521739130435</v>
      </c>
      <c r="K28" s="173">
        <v>67.103502066554490059301128844</v>
      </c>
      <c r="L28" s="379">
        <v>26.30457366973421468416558164</v>
      </c>
      <c r="M28" s="378">
        <v>187.49565217391304347826086957</v>
      </c>
      <c r="N28" s="173">
        <v>371.50998840115661705846797248</v>
      </c>
      <c r="O28" s="379">
        <v>250.74195205915538150113651159</v>
      </c>
      <c r="P28" s="4"/>
      <c r="Q28" s="359">
        <v>81.01753084129487060569520453</v>
      </c>
      <c r="R28" s="170">
        <v>67.931417156808345355676395520</v>
      </c>
      <c r="S28" s="360">
        <v>66.492802956779240945745860070</v>
      </c>
      <c r="T28" s="359">
        <v>0.3663853074853909655876078300</v>
      </c>
      <c r="U28" s="170">
        <v>14.006214626567528576184663190</v>
      </c>
      <c r="V28" s="360">
        <v>23.016501946642582946865560550</v>
      </c>
      <c r="W28" s="359">
        <v>18.616083851219738428717187640</v>
      </c>
      <c r="X28" s="170">
        <v>18.062368216624126068138941290</v>
      </c>
      <c r="Y28" s="360">
        <v>10.490695096578176107388579380</v>
      </c>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11</v>
      </c>
      <c r="C29" s="345" t="s">
        <v>52</v>
      </c>
      <c r="D29" s="370">
        <v>212.64705882352941176470588235</v>
      </c>
      <c r="E29" s="172">
        <v>266.09180327868852459016393443</v>
      </c>
      <c r="F29" s="371">
        <v>195.81339119652820830750154991</v>
      </c>
      <c r="G29" s="370">
        <v>0.8319327731092436974789915966</v>
      </c>
      <c r="H29" s="172">
        <v>53.752974324425480949172842279</v>
      </c>
      <c r="I29" s="371">
        <v>64.895826241410434579940563809</v>
      </c>
      <c r="J29" s="370">
        <v>32.075630252100840336134453782</v>
      </c>
      <c r="K29" s="172">
        <v>46.507917658507373306385208472</v>
      </c>
      <c r="L29" s="371">
        <v>26.802171908618173478622836277</v>
      </c>
      <c r="M29" s="370">
        <v>245.55462184873949579831932773</v>
      </c>
      <c r="N29" s="172">
        <v>366.35269526162137884572198518</v>
      </c>
      <c r="O29" s="371">
        <v>287.51138934655681636606494999</v>
      </c>
      <c r="P29" s="4"/>
      <c r="Q29" s="327">
        <v>86.59867903220286780055439581</v>
      </c>
      <c r="R29" s="171">
        <v>72.632686130141854052363760410</v>
      </c>
      <c r="S29" s="328">
        <v>68.106307594131916967226106920</v>
      </c>
      <c r="T29" s="327">
        <v>0.3387974401971185106601416800</v>
      </c>
      <c r="U29" s="171">
        <v>14.672465910490756270669282010</v>
      </c>
      <c r="V29" s="328">
        <v>22.571567126054658705696085060</v>
      </c>
      <c r="W29" s="327">
        <v>13.062523527600013688785462510</v>
      </c>
      <c r="X29" s="171">
        <v>12.694847959367389676966957580</v>
      </c>
      <c r="Y29" s="328">
        <v>9.322125279813424327077808020</v>
      </c>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12</v>
      </c>
      <c r="C30" s="347" t="s">
        <v>53</v>
      </c>
      <c r="D30" s="378">
        <v>228.33858267716535433070866142</v>
      </c>
      <c r="E30" s="173">
        <v>257.42071197411003236245954693</v>
      </c>
      <c r="F30" s="379">
        <v>197.75821223592624252045426792</v>
      </c>
      <c r="G30" s="378">
        <v>1.7322834645669291338582677165</v>
      </c>
      <c r="H30" s="173">
        <v>71.604263454872924100074350275</v>
      </c>
      <c r="I30" s="379">
        <v>83.00829051578946989329779934</v>
      </c>
      <c r="J30" s="378">
        <v>32.220472440944881889763779528</v>
      </c>
      <c r="K30" s="173">
        <v>39.267740965534045385206584469</v>
      </c>
      <c r="L30" s="379">
        <v>22.873692795919071384042877351</v>
      </c>
      <c r="M30" s="378">
        <v>262.29133858267716535433070866</v>
      </c>
      <c r="N30" s="173">
        <v>368.29271639451700184774048168</v>
      </c>
      <c r="O30" s="379">
        <v>303.64019554763478379779494461</v>
      </c>
      <c r="P30" s="4"/>
      <c r="Q30" s="359">
        <v>87.05532706913632133529464741</v>
      </c>
      <c r="R30" s="170">
        <v>69.895683654617724448093754080</v>
      </c>
      <c r="S30" s="360">
        <v>65.129128203614966751420626090</v>
      </c>
      <c r="T30" s="359">
        <v>0.6604424964726366665665996200</v>
      </c>
      <c r="U30" s="170">
        <v>19.442215462705506932651575940</v>
      </c>
      <c r="V30" s="360">
        <v>27.337714746915715438717860030</v>
      </c>
      <c r="W30" s="359">
        <v>12.284230434391041998138752960</v>
      </c>
      <c r="X30" s="170">
        <v>10.662100882676768619254669980</v>
      </c>
      <c r="Y30" s="360">
        <v>7.5331570494693178098615138900</v>
      </c>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13</v>
      </c>
      <c r="C31" s="345" t="s">
        <v>49</v>
      </c>
      <c r="D31" s="370">
        <v>148.8878504672897196261682243</v>
      </c>
      <c r="E31" s="172">
        <v>193.8640776699029126213592233</v>
      </c>
      <c r="F31" s="371">
        <v>158.57325174825174825174825175</v>
      </c>
      <c r="G31" s="370">
        <v>25.392523364485981308411214953</v>
      </c>
      <c r="H31" s="172">
        <v>83.33595236502034763891279707</v>
      </c>
      <c r="I31" s="371">
        <v>65.078870022887600450226422007</v>
      </c>
      <c r="J31" s="370">
        <v>7.1962616822429906542056074766</v>
      </c>
      <c r="K31" s="172">
        <v>39.232818159482377723894262767</v>
      </c>
      <c r="L31" s="371">
        <v>22.438242586720015276018731245</v>
      </c>
      <c r="M31" s="370">
        <v>181.47663551401869158878504673</v>
      </c>
      <c r="N31" s="172">
        <v>316.43284819440563798416628314</v>
      </c>
      <c r="O31" s="371">
        <v>246.090364357859363977993405</v>
      </c>
      <c r="P31" s="4"/>
      <c r="Q31" s="327">
        <v>82.04243485425893500875476362</v>
      </c>
      <c r="R31" s="171">
        <v>61.265471892728210417741103660</v>
      </c>
      <c r="S31" s="328">
        <v>64.437001490094063395675055130</v>
      </c>
      <c r="T31" s="327">
        <v>13.992172211350293542074363990</v>
      </c>
      <c r="U31" s="171">
        <v>26.336062403300670448684889120</v>
      </c>
      <c r="V31" s="328">
        <v>26.445111003310675915170935630</v>
      </c>
      <c r="W31" s="327">
        <v>3.9653929343907714491708723900</v>
      </c>
      <c r="X31" s="171">
        <v>12.398465703971119133574007220</v>
      </c>
      <c r="Y31" s="328">
        <v>9.117887506595260689154009240</v>
      </c>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14</v>
      </c>
      <c r="C32" s="347" t="s">
        <v>47</v>
      </c>
      <c r="D32" s="378">
        <v>147.11340206185567010309278351</v>
      </c>
      <c r="E32" s="173">
        <v>190.6808510638297872340425532</v>
      </c>
      <c r="F32" s="379">
        <v>159.25731620271234832262669522</v>
      </c>
      <c r="G32" s="378">
        <v>2.4123711340206185567010309278</v>
      </c>
      <c r="H32" s="173">
        <v>46.092894527088395556503626072</v>
      </c>
      <c r="I32" s="379">
        <v>52.217557253470389284177184484</v>
      </c>
      <c r="J32" s="378">
        <v>27.144329896907216494845360825</v>
      </c>
      <c r="K32" s="173">
        <v>32.986936971506922492617035177</v>
      </c>
      <c r="L32" s="379">
        <v>20.997373921417219468840278135</v>
      </c>
      <c r="M32" s="378">
        <v>176.67010309278350515463917526</v>
      </c>
      <c r="N32" s="173">
        <v>269.76068256242510528316321445</v>
      </c>
      <c r="O32" s="379">
        <v>232.47224737759995707564415783</v>
      </c>
      <c r="P32" s="4"/>
      <c r="Q32" s="359">
        <v>83.27011729007410865379004493</v>
      </c>
      <c r="R32" s="170">
        <v>70.685190018269057035594547390</v>
      </c>
      <c r="S32" s="360">
        <v>68.505947698795168103534054860</v>
      </c>
      <c r="T32" s="359">
        <v>1.3654665343992530781350294700</v>
      </c>
      <c r="U32" s="170">
        <v>17.086587299993977233944309490</v>
      </c>
      <c r="V32" s="360">
        <v>22.461845593403013807962176050</v>
      </c>
      <c r="W32" s="359">
        <v>15.364416175526638268074925600</v>
      </c>
      <c r="X32" s="170">
        <v>12.228222681736965730461143120</v>
      </c>
      <c r="Y32" s="360">
        <v>9.032206707801818088503769090</v>
      </c>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15</v>
      </c>
      <c r="C33" s="345" t="s">
        <v>48</v>
      </c>
      <c r="D33" s="370">
        <v>142.64044943820224719101123596</v>
      </c>
      <c r="E33" s="172">
        <v>177.44615384615384615384615384</v>
      </c>
      <c r="F33" s="371">
        <v>161.87508509189925119128658952</v>
      </c>
      <c r="G33" s="370">
        <v>1.4382022471910112359550561798</v>
      </c>
      <c r="H33" s="172">
        <v>54.854425985167951141486113125</v>
      </c>
      <c r="I33" s="371">
        <v>73.745209343872785085895191702</v>
      </c>
      <c r="J33" s="370">
        <v>26.943820224719101123595505618</v>
      </c>
      <c r="K33" s="172">
        <v>33.192535807765013814163152535</v>
      </c>
      <c r="L33" s="371">
        <v>20.141625904473775268243687754</v>
      </c>
      <c r="M33" s="370">
        <v>171.02247191011235955056179775</v>
      </c>
      <c r="N33" s="172">
        <v>265.4931156390868111094954195</v>
      </c>
      <c r="O33" s="371">
        <v>255.76192034024581154542546896</v>
      </c>
      <c r="P33" s="4"/>
      <c r="Q33" s="327">
        <v>83.40450693121345509493462979</v>
      </c>
      <c r="R33" s="171">
        <v>66.836442601914914618497680390</v>
      </c>
      <c r="S33" s="328">
        <v>63.291315953740572320814074880</v>
      </c>
      <c r="T33" s="327">
        <v>0.8409434334143617370737796500</v>
      </c>
      <c r="U33" s="171">
        <v>20.66133649195538446352778600</v>
      </c>
      <c r="V33" s="328">
        <v>28.833537551551021061448639270</v>
      </c>
      <c r="W33" s="327">
        <v>15.754549635372183167991590570</v>
      </c>
      <c r="X33" s="171">
        <v>12.502220906129700917974533610</v>
      </c>
      <c r="Y33" s="328">
        <v>7.8751464947084066177372858600</v>
      </c>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16</v>
      </c>
      <c r="C34" s="347" t="s">
        <v>50</v>
      </c>
      <c r="D34" s="378">
        <v>137.500000000</v>
      </c>
      <c r="E34" s="173">
        <v>180.66826923076923076923076922</v>
      </c>
      <c r="F34" s="379">
        <v>163.11164078117791788405351376</v>
      </c>
      <c r="G34" s="378">
        <v>1.6734693877551020408163265306</v>
      </c>
      <c r="H34" s="173">
        <v>95.78103254909253041275127366</v>
      </c>
      <c r="I34" s="379">
        <v>61.411577710466981232524225853</v>
      </c>
      <c r="J34" s="378">
        <v>29.27551020408163265306122449</v>
      </c>
      <c r="K34" s="173">
        <v>31.003891928813981941471434093</v>
      </c>
      <c r="L34" s="379">
        <v>21.56786054080170168197007716</v>
      </c>
      <c r="M34" s="378">
        <v>168.44897959183673469387755102</v>
      </c>
      <c r="N34" s="173">
        <v>307.45319370867574312345347698</v>
      </c>
      <c r="O34" s="379">
        <v>246.09107903244660079854781678</v>
      </c>
      <c r="P34" s="4"/>
      <c r="Q34" s="359">
        <v>81.62708989580809304579597771</v>
      </c>
      <c r="R34" s="170">
        <v>58.762853314823483833475923740</v>
      </c>
      <c r="S34" s="360">
        <v>66.281005155685462590833434820</v>
      </c>
      <c r="T34" s="359">
        <v>0.9934577174703174218560697800</v>
      </c>
      <c r="U34" s="170">
        <v>31.153045246896640785161988090</v>
      </c>
      <c r="V34" s="360">
        <v>24.954816709292412617220801360</v>
      </c>
      <c r="W34" s="359">
        <v>17.379452386721589532347952510</v>
      </c>
      <c r="X34" s="170">
        <v>10.084101438279875381362088170</v>
      </c>
      <c r="Y34" s="360">
        <v>8.764178135022124791945763810</v>
      </c>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17</v>
      </c>
      <c r="C35" s="345" t="s">
        <v>51</v>
      </c>
      <c r="D35" s="370">
        <v>144.17647058823529411764705882</v>
      </c>
      <c r="E35" s="172">
        <v>216.98672566371681415929203541</v>
      </c>
      <c r="F35" s="371">
        <v>171.11199664429530201342281879</v>
      </c>
      <c r="G35" s="370">
        <v>0.1260504201680672268907563025</v>
      </c>
      <c r="H35" s="172">
        <v>69.071431555367881006306918643</v>
      </c>
      <c r="I35" s="371">
        <v>54.195059407267732348702380919</v>
      </c>
      <c r="J35" s="370">
        <v>27.714285714285714285714285714</v>
      </c>
      <c r="K35" s="172">
        <v>30.166267168269552840296234742</v>
      </c>
      <c r="L35" s="371">
        <v>22.341895089368968977938829769</v>
      </c>
      <c r="M35" s="370">
        <v>172.01680672268907563025210084</v>
      </c>
      <c r="N35" s="172">
        <v>316.2244243873542480058951888</v>
      </c>
      <c r="O35" s="371">
        <v>247.64895114093200334006402947</v>
      </c>
      <c r="P35" s="4"/>
      <c r="Q35" s="327">
        <v>83.81533952125061064973131412</v>
      </c>
      <c r="R35" s="171">
        <v>68.617952608847904750787907090</v>
      </c>
      <c r="S35" s="328">
        <v>69.094577568761407612993628280</v>
      </c>
      <c r="T35" s="327">
        <v>0.0732779677576941866145578900</v>
      </c>
      <c r="U35" s="171">
        <v>21.842535309910120228784872180</v>
      </c>
      <c r="V35" s="328">
        <v>21.883823516145812973782411150</v>
      </c>
      <c r="W35" s="327">
        <v>16.111382510991695163654127990</v>
      </c>
      <c r="X35" s="171">
        <v>9.539512081241975020427220730</v>
      </c>
      <c r="Y35" s="328">
        <v>9.021598915092779413223960570</v>
      </c>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18</v>
      </c>
      <c r="C36" s="347" t="s">
        <v>52</v>
      </c>
      <c r="D36" s="378">
        <v>226.25423728813559322033898305</v>
      </c>
      <c r="E36" s="173">
        <v>254.67207792207792207792207793</v>
      </c>
      <c r="F36" s="379">
        <v>193.72823433685923515052888527</v>
      </c>
      <c r="G36" s="378">
        <v>0.5</v>
      </c>
      <c r="H36" s="173">
        <v>65.794208395979907187427071736</v>
      </c>
      <c r="I36" s="379">
        <v>55.255417903957960486777679175</v>
      </c>
      <c r="J36" s="378">
        <v>29.415254237288135593220338983</v>
      </c>
      <c r="K36" s="173">
        <v>33.429077687664094027073058167</v>
      </c>
      <c r="L36" s="379">
        <v>28.642938211175289766979103027</v>
      </c>
      <c r="M36" s="378">
        <v>256.16949152542372881355932203</v>
      </c>
      <c r="N36" s="173">
        <v>353.8953640057219232924222078</v>
      </c>
      <c r="O36" s="379">
        <v>277.62659045199248540428566747</v>
      </c>
      <c r="P36" s="4"/>
      <c r="Q36" s="359">
        <v>88.32208548365753605928278417</v>
      </c>
      <c r="R36" s="170">
        <v>71.962535773133292862717890910</v>
      </c>
      <c r="S36" s="360">
        <v>69.780143905329179166211838850</v>
      </c>
      <c r="T36" s="359">
        <v>0.1951832737858938732301177700</v>
      </c>
      <c r="U36" s="170">
        <v>18.591429865387024349820291200</v>
      </c>
      <c r="V36" s="360">
        <v>19.902783020170682083904882020</v>
      </c>
      <c r="W36" s="359">
        <v>11.482731242556570067487098050</v>
      </c>
      <c r="X36" s="170">
        <v>9.446034361479682787461817900</v>
      </c>
      <c r="Y36" s="360">
        <v>10.317073074500138749883279130</v>
      </c>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19</v>
      </c>
      <c r="C37" s="349" t="s">
        <v>53</v>
      </c>
      <c r="D37" s="380">
        <v>213.14960629921259842519685039</v>
      </c>
      <c r="E37" s="383">
        <v>247.06796116504854368932038835</v>
      </c>
      <c r="F37" s="381">
        <v>198.33028327901729756831286037</v>
      </c>
      <c r="G37" s="380">
        <v>0.9448818897637795275590551181</v>
      </c>
      <c r="H37" s="383">
        <v>70.381862227979073734831392178</v>
      </c>
      <c r="I37" s="381">
        <v>72.572962777932014411832629692</v>
      </c>
      <c r="J37" s="380">
        <v>32.732283464566929133858267717</v>
      </c>
      <c r="K37" s="383">
        <v>34.381240316896583486282194961</v>
      </c>
      <c r="L37" s="381">
        <v>25.130316319706166073607344669</v>
      </c>
      <c r="M37" s="380">
        <v>246.82677165354330708661417323</v>
      </c>
      <c r="N37" s="383">
        <v>351.83106370992420091043397547</v>
      </c>
      <c r="O37" s="381">
        <v>296.03356237665547805375283473</v>
      </c>
      <c r="P37" s="4"/>
      <c r="Q37" s="329">
        <v>86.35595112769962037834561521</v>
      </c>
      <c r="R37" s="330">
        <v>70.223464227351402574044886240</v>
      </c>
      <c r="S37" s="332">
        <v>66.995877658856009811496091070</v>
      </c>
      <c r="T37" s="329">
        <v>0.3828117523207962484448272600</v>
      </c>
      <c r="U37" s="330">
        <v>20.004448011448794685593277700</v>
      </c>
      <c r="V37" s="332">
        <v>24.515113149769990533082883250</v>
      </c>
      <c r="W37" s="329">
        <v>13.261237119979583373209557530</v>
      </c>
      <c r="X37" s="330">
        <v>9.772087761199802740361836060</v>
      </c>
      <c r="Y37" s="332">
        <v>8.489009191373999655421025680</v>
      </c>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160.97290640394088669950738916</v>
      </c>
      <c r="E39" s="382">
        <v>201.77577045696068012752391073</v>
      </c>
      <c r="F39" s="375">
        <v>164.54801091721114878835497477</v>
      </c>
      <c r="G39" s="374">
        <v>8.985221674876847290640394089</v>
      </c>
      <c r="H39" s="382">
        <v>71.25450139692376227058568451</v>
      </c>
      <c r="I39" s="375">
        <v>55.389563258737058258509117563</v>
      </c>
      <c r="J39" s="374">
        <v>25.99507389162561576354679803</v>
      </c>
      <c r="K39" s="382">
        <v>26.249918770866246530525172905</v>
      </c>
      <c r="L39" s="375">
        <v>22.148108597764910121471523639</v>
      </c>
      <c r="M39" s="374">
        <v>195.95320197044334975369458128</v>
      </c>
      <c r="N39" s="382">
        <v>299.28019062475068892863476814</v>
      </c>
      <c r="O39" s="375">
        <v>242.08568277371311716833561597</v>
      </c>
      <c r="P39" s="4"/>
      <c r="Q39" s="354">
        <v>82.14864813907010068252950715</v>
      </c>
      <c r="R39" s="355">
        <v>67.420356167159456994148495070</v>
      </c>
      <c r="S39" s="356">
        <v>67.970979957133838667976291120</v>
      </c>
      <c r="T39" s="354">
        <v>4.5853916060183264828990535100</v>
      </c>
      <c r="U39" s="355">
        <v>23.808626039758664635554760390</v>
      </c>
      <c r="V39" s="356">
        <v>22.880148311171228023063301790</v>
      </c>
      <c r="W39" s="354">
        <v>13.265960254911572834571439350</v>
      </c>
      <c r="X39" s="355">
        <v>8.771017793081878370296744540</v>
      </c>
      <c r="Y39" s="356">
        <v>9.148871731694933308960407090</v>
      </c>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156.93956043956043956043956044</v>
      </c>
      <c r="E40" s="172">
        <v>190.5265060240963855421686747</v>
      </c>
      <c r="F40" s="371">
        <v>163.5249496531662564332065339</v>
      </c>
      <c r="G40" s="370">
        <v>2.3763736263736263736263736264</v>
      </c>
      <c r="H40" s="172">
        <v>56.694505734687241502650290412</v>
      </c>
      <c r="I40" s="371">
        <v>47.394607042996100652688387595</v>
      </c>
      <c r="J40" s="370">
        <v>28.307692307692307692307692308</v>
      </c>
      <c r="K40" s="172">
        <v>27.378761443378292774474645139</v>
      </c>
      <c r="L40" s="371">
        <v>48.040478980672771776029091336</v>
      </c>
      <c r="M40" s="370">
        <v>187.62362637362637362637362637</v>
      </c>
      <c r="N40" s="172">
        <v>274.59977320216191981929361024</v>
      </c>
      <c r="O40" s="371">
        <v>258.96003567683512886192401283</v>
      </c>
      <c r="P40" s="4"/>
      <c r="Q40" s="327">
        <v>83.64594772677355589721063035</v>
      </c>
      <c r="R40" s="171">
        <v>69.383344276773923158855828380</v>
      </c>
      <c r="S40" s="328">
        <v>63.146789899749048011625287140</v>
      </c>
      <c r="T40" s="327">
        <v>1.2665641701442272494326085400</v>
      </c>
      <c r="U40" s="171">
        <v>20.646231813508608726387959460</v>
      </c>
      <c r="V40" s="328">
        <v>18.301900105598306506554759610</v>
      </c>
      <c r="W40" s="327">
        <v>15.087488103082216853356761110</v>
      </c>
      <c r="X40" s="171">
        <v>9.970423909717468114756212170</v>
      </c>
      <c r="Y40" s="328">
        <v>18.551309994652645481819953260</v>
      </c>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160.30924855491329479768786127</v>
      </c>
      <c r="E41" s="173">
        <v>188.01437125748502994011976048</v>
      </c>
      <c r="F41" s="379">
        <v>164.58311830308331511043078942</v>
      </c>
      <c r="G41" s="378">
        <v>1.3497109826589595375722543353</v>
      </c>
      <c r="H41" s="173">
        <v>62.957945548436827950359950396</v>
      </c>
      <c r="I41" s="379">
        <v>65.917334013646702577696156046</v>
      </c>
      <c r="J41" s="378">
        <v>31.263005780346820809248554913</v>
      </c>
      <c r="K41" s="173">
        <v>27.062457926595898925495377653</v>
      </c>
      <c r="L41" s="379">
        <v>23.46770021244585552793957224</v>
      </c>
      <c r="M41" s="378">
        <v>192.92196531791907514450867052</v>
      </c>
      <c r="N41" s="173">
        <v>278.03477473251775681597508853</v>
      </c>
      <c r="O41" s="379">
        <v>253.9681525291758732160665177</v>
      </c>
      <c r="P41" s="4"/>
      <c r="Q41" s="359">
        <v>83.09538433881140357447828497</v>
      </c>
      <c r="R41" s="170">
        <v>67.622609955306311574930448290</v>
      </c>
      <c r="S41" s="360">
        <v>64.804628715868616163653167710</v>
      </c>
      <c r="T41" s="359">
        <v>0.6996149870413926383125346400</v>
      </c>
      <c r="U41" s="170">
        <v>22.643910499686691241951607080</v>
      </c>
      <c r="V41" s="360">
        <v>25.954960634709549328092751470</v>
      </c>
      <c r="W41" s="359">
        <v>16.205000674147203787209180390</v>
      </c>
      <c r="X41" s="170">
        <v>9.733479545006997183117944630</v>
      </c>
      <c r="Y41" s="360">
        <v>9.240410649421834508254080820</v>
      </c>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143.4138755980861244019138756</v>
      </c>
      <c r="E42" s="172">
        <v>190.4759671746776084407971864</v>
      </c>
      <c r="F42" s="371">
        <v>163.63997282493312385885949641</v>
      </c>
      <c r="G42" s="370">
        <v>0.985645933014354066985645933</v>
      </c>
      <c r="H42" s="172">
        <v>65.270657663511858213528190788</v>
      </c>
      <c r="I42" s="371">
        <v>53.550655117056728864240103036</v>
      </c>
      <c r="J42" s="370">
        <v>30.940191387559808612440191388</v>
      </c>
      <c r="K42" s="172">
        <v>25.044182581575602328291074586</v>
      </c>
      <c r="L42" s="371">
        <v>24.558249644545596413844384865</v>
      </c>
      <c r="M42" s="370">
        <v>175.33971291866028708133971292</v>
      </c>
      <c r="N42" s="172">
        <v>280.79080741976506898261645177</v>
      </c>
      <c r="O42" s="371">
        <v>241.74887758653544913694398431</v>
      </c>
      <c r="P42" s="4"/>
      <c r="Q42" s="327">
        <v>81.79201004202368607760737870</v>
      </c>
      <c r="R42" s="171">
        <v>67.835542382955470889847235640</v>
      </c>
      <c r="S42" s="328">
        <v>67.690065186076085060208148630</v>
      </c>
      <c r="T42" s="327">
        <v>0.5621350215576051956557332300</v>
      </c>
      <c r="U42" s="171">
        <v>23.245297188784467731457058350</v>
      </c>
      <c r="V42" s="328">
        <v>22.151356255165219221714212530</v>
      </c>
      <c r="W42" s="327">
        <v>17.645854936418708726736888060</v>
      </c>
      <c r="X42" s="171">
        <v>8.919160428260061378695706020</v>
      </c>
      <c r="Y42" s="328">
        <v>10.158578558758695718077638840</v>
      </c>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148.63807531380753138075313808</v>
      </c>
      <c r="E43" s="173">
        <v>225.9702868852459016393442623</v>
      </c>
      <c r="F43" s="379">
        <v>168.97968020053932925671313001</v>
      </c>
      <c r="G43" s="378">
        <v>0.958158995815899581589958159</v>
      </c>
      <c r="H43" s="173">
        <v>56.234089214069337905714672054</v>
      </c>
      <c r="I43" s="379">
        <v>49.346488160051750217225602013</v>
      </c>
      <c r="J43" s="378">
        <v>30.15271966527196652719665272</v>
      </c>
      <c r="K43" s="173">
        <v>35.292437001186808790006794656</v>
      </c>
      <c r="L43" s="379">
        <v>24.38199789819095864999876963</v>
      </c>
      <c r="M43" s="378">
        <v>179.74895397489539748953974895</v>
      </c>
      <c r="N43" s="173">
        <v>317.496813100502048335065729</v>
      </c>
      <c r="O43" s="379">
        <v>242.70816625878203812393750165</v>
      </c>
      <c r="P43" s="4"/>
      <c r="Q43" s="359">
        <v>82.69203910614525139664804469</v>
      </c>
      <c r="R43" s="170">
        <v>71.172458292901391487214080790</v>
      </c>
      <c r="S43" s="360">
        <v>69.622577107837651091904718250</v>
      </c>
      <c r="T43" s="359">
        <v>0.5330540037243947858472998100</v>
      </c>
      <c r="U43" s="170">
        <v>17.711701942743190514563097350</v>
      </c>
      <c r="V43" s="360">
        <v>20.331614267744573716427375070</v>
      </c>
      <c r="W43" s="359">
        <v>16.774906890130353817504655490</v>
      </c>
      <c r="X43" s="170">
        <v>11.115839764355417998222821850</v>
      </c>
      <c r="Y43" s="360">
        <v>10.045808624417775191667906680</v>
      </c>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213.9710144927536231884057971</v>
      </c>
      <c r="E44" s="172">
        <v>255.69439728353140916808149406</v>
      </c>
      <c r="F44" s="371">
        <v>194.02529505370640498607611723</v>
      </c>
      <c r="G44" s="370">
        <v>1.0434782608695652173913043478</v>
      </c>
      <c r="H44" s="172">
        <v>66.872428769060702370017053665</v>
      </c>
      <c r="I44" s="371">
        <v>56.09767734738088861356541459</v>
      </c>
      <c r="J44" s="370">
        <v>32.343685300207039337474120083</v>
      </c>
      <c r="K44" s="172">
        <v>30.830033969324264049144590597</v>
      </c>
      <c r="L44" s="371">
        <v>27.268988366119020758064048296</v>
      </c>
      <c r="M44" s="370">
        <v>247.35817805383022774327122153</v>
      </c>
      <c r="N44" s="172">
        <v>353.39686002191637558724313832</v>
      </c>
      <c r="O44" s="371">
        <v>277.3919607672063143577055801</v>
      </c>
      <c r="P44" s="4"/>
      <c r="Q44" s="327">
        <v>86.50250263655690777909838124</v>
      </c>
      <c r="R44" s="171">
        <v>72.353330266622680676045056030</v>
      </c>
      <c r="S44" s="328">
        <v>69.946257460769339201524084510</v>
      </c>
      <c r="T44" s="327">
        <v>0.4218491052446557409980414100</v>
      </c>
      <c r="U44" s="171">
        <v>18.922756915529334327687184300</v>
      </c>
      <c r="V44" s="328">
        <v>20.223252754775883378309233330</v>
      </c>
      <c r="W44" s="327">
        <v>13.075648258198436479903577350</v>
      </c>
      <c r="X44" s="171">
        <v>8.723912817847984996267759670</v>
      </c>
      <c r="Y44" s="328">
        <v>9.830489784454777420166682170</v>
      </c>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215.64979757085020242914979757</v>
      </c>
      <c r="E45" s="385">
        <v>251.30859049207673060884070058</v>
      </c>
      <c r="F45" s="386">
        <v>194.92200386597938144329896907</v>
      </c>
      <c r="G45" s="384">
        <v>1.3947368421052631578947368421</v>
      </c>
      <c r="H45" s="385">
        <v>66.123983217602668937750736314</v>
      </c>
      <c r="I45" s="386">
        <v>72.84111724151148796190885097</v>
      </c>
      <c r="J45" s="384">
        <v>31.736842105263157894736842105</v>
      </c>
      <c r="K45" s="385">
        <v>28.486072284127366028118765327</v>
      </c>
      <c r="L45" s="386">
        <v>24.84598053882646617957650363</v>
      </c>
      <c r="M45" s="384">
        <v>248.78137651821862348178137652</v>
      </c>
      <c r="N45" s="385">
        <v>345.91864599380676557471020223</v>
      </c>
      <c r="O45" s="386">
        <v>292.60910164631733558478432368</v>
      </c>
      <c r="P45" s="4"/>
      <c r="Q45" s="364">
        <v>86.68245211476183501765691875</v>
      </c>
      <c r="R45" s="365">
        <v>72.649622505916056354973180150</v>
      </c>
      <c r="S45" s="366">
        <v>66.615154063657812408017553170</v>
      </c>
      <c r="T45" s="364">
        <v>0.5606275122459275171280248700</v>
      </c>
      <c r="U45" s="365">
        <v>19.115472375775469170136617680</v>
      </c>
      <c r="V45" s="366">
        <v>24.893660802648596611052301470</v>
      </c>
      <c r="W45" s="364">
        <v>12.756920372992237465215056390</v>
      </c>
      <c r="X45" s="365">
        <v>8.234905118308474474890202170</v>
      </c>
      <c r="Y45" s="366">
        <v>8.491185133693590980930145360</v>
      </c>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168.60397350993377483443708609</v>
      </c>
      <c r="E47" s="382">
        <v>214.50426829268292682926829268</v>
      </c>
      <c r="F47" s="375">
        <v>174.13019672344017140260133746</v>
      </c>
      <c r="G47" s="374">
        <v>4.5523178807947019867549668874</v>
      </c>
      <c r="H47" s="382">
        <v>69.557617891174568952375961445</v>
      </c>
      <c r="I47" s="375">
        <v>62.146607243102448408437423271</v>
      </c>
      <c r="J47" s="374">
        <v>25.954966887417218543046357616</v>
      </c>
      <c r="K47" s="382">
        <v>33.501459915216256937090696945</v>
      </c>
      <c r="L47" s="375">
        <v>23.289024295240357534646724401</v>
      </c>
      <c r="M47" s="374">
        <v>199.1112582781456953642384106</v>
      </c>
      <c r="N47" s="382">
        <v>317.56334609907375271873495107</v>
      </c>
      <c r="O47" s="375">
        <v>259.56582826178297734568548512</v>
      </c>
      <c r="P47" s="4"/>
      <c r="Q47" s="354">
        <v>84.67827232270553253197985751</v>
      </c>
      <c r="R47" s="355">
        <v>67.546922819537760993967074880</v>
      </c>
      <c r="S47" s="356">
        <v>67.085177540328072877101299830</v>
      </c>
      <c r="T47" s="354">
        <v>2.2863186743742059083742990400</v>
      </c>
      <c r="U47" s="355">
        <v>21.903541055860366470016434270</v>
      </c>
      <c r="V47" s="356">
        <v>23.942522657653148296380395550</v>
      </c>
      <c r="W47" s="354">
        <v>13.035409002920261559645843450</v>
      </c>
      <c r="X47" s="355">
        <v>10.549536124601872536016490850</v>
      </c>
      <c r="Y47" s="356">
        <v>8.972299802018778826518304630</v>
      </c>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173.57745065239210438273670124</v>
      </c>
      <c r="E48" s="172">
        <v>218.81238990017615971814445097</v>
      </c>
      <c r="F48" s="371">
        <v>175.10454021587357875839446796</v>
      </c>
      <c r="G48" s="370">
        <v>2.3563064570090331214452994312</v>
      </c>
      <c r="H48" s="172">
        <v>63.901281434968704988657034275</v>
      </c>
      <c r="I48" s="371">
        <v>57.731756795536683712842159351</v>
      </c>
      <c r="J48" s="370">
        <v>30.217798594847775175644028103</v>
      </c>
      <c r="K48" s="172">
        <v>28.817290791231900421830949654</v>
      </c>
      <c r="L48" s="371">
        <v>27.481354813564182341905284298</v>
      </c>
      <c r="M48" s="370">
        <v>206.15155570424891267982602877</v>
      </c>
      <c r="N48" s="172">
        <v>311.53096212637676512863243489</v>
      </c>
      <c r="O48" s="371">
        <v>260.31765182497444481314191161</v>
      </c>
      <c r="P48" s="4"/>
      <c r="Q48" s="327">
        <v>84.19895259069081301617853022</v>
      </c>
      <c r="R48" s="171">
        <v>70.237766547073398905805175770</v>
      </c>
      <c r="S48" s="328">
        <v>67.265719012249609915049595790</v>
      </c>
      <c r="T48" s="327">
        <v>1.1429971745590218553783185900</v>
      </c>
      <c r="U48" s="171">
        <v>20.512016205004458736949403230</v>
      </c>
      <c r="V48" s="328">
        <v>22.177426844013193608835850900</v>
      </c>
      <c r="W48" s="327">
        <v>14.658050234750165128443151190</v>
      </c>
      <c r="X48" s="171">
        <v>9.25021724792214235724542100</v>
      </c>
      <c r="Y48" s="328">
        <v>10.556854143737196476114553310</v>
      </c>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171.27571221632061805890873974</v>
      </c>
      <c r="E49" s="385">
        <v>223.24273724983860555196901227</v>
      </c>
      <c r="F49" s="386">
        <v>174.3095012547572750993003274</v>
      </c>
      <c r="G49" s="384">
        <v>2.4350555287300820859488169966</v>
      </c>
      <c r="H49" s="385">
        <v>65.001812838131213510849778864</v>
      </c>
      <c r="I49" s="386">
        <v>57.233940099796243085592713566</v>
      </c>
      <c r="J49" s="384">
        <v>30.645098985997102848865282472</v>
      </c>
      <c r="K49" s="385">
        <v>31.718141917307832112168511121</v>
      </c>
      <c r="L49" s="386">
        <v>24.814140387875719890726639079</v>
      </c>
      <c r="M49" s="384">
        <v>204.35586673104780299372283921</v>
      </c>
      <c r="N49" s="385">
        <v>319.96269200527765117498730226</v>
      </c>
      <c r="O49" s="386">
        <v>256.35758174242923807561968005</v>
      </c>
      <c r="P49" s="4"/>
      <c r="Q49" s="364">
        <v>83.81247622400589762795324429</v>
      </c>
      <c r="R49" s="365">
        <v>69.771489872999415099583082650</v>
      </c>
      <c r="S49" s="366">
        <v>67.994673717078387118027778290</v>
      </c>
      <c r="T49" s="364">
        <v>1.1915760323802457817546860900</v>
      </c>
      <c r="U49" s="365">
        <v>20.315435037363367262485899140</v>
      </c>
      <c r="V49" s="366">
        <v>22.325823059643711121524784400</v>
      </c>
      <c r="W49" s="364">
        <v>14.995947743613856590292069630</v>
      </c>
      <c r="X49" s="365">
        <v>9.913075089637217637931018200</v>
      </c>
      <c r="Y49" s="366">
        <v>9.679503223277901760447437300</v>
      </c>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0" t="s">
        <v>114</v>
      </c>
      <c r="E53" s="650"/>
      <c r="F53" s="650"/>
      <c r="G53" s="650"/>
      <c r="H53" s="650"/>
      <c r="I53" s="650"/>
      <c r="J53" s="650"/>
      <c r="K53" s="650"/>
      <c r="L53" s="650"/>
      <c r="M53" s="650"/>
      <c r="N53" s="650"/>
      <c r="O53" s="650"/>
      <c r="P53" s="650"/>
      <c r="Q53" s="650"/>
      <c r="R53" s="650"/>
      <c r="S53" s="650"/>
      <c r="T53" s="650"/>
      <c r="U53" s="650"/>
      <c r="V53" s="650"/>
      <c r="W53" s="650"/>
      <c r="X53" s="650"/>
      <c r="Y53" s="650"/>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53"/>
</worksheet>
</file>

<file path=xl/worksheets/sheet5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138</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168</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177</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184</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7" t="s">
        <v>208</v>
      </c>
      <c r="I5" s="687"/>
      <c r="J5" s="687"/>
      <c r="K5" s="687"/>
      <c r="L5" s="687"/>
      <c r="M5" s="687"/>
      <c r="N5" s="687"/>
      <c r="O5" s="687"/>
      <c r="P5" s="687"/>
      <c r="Q5" s="687"/>
      <c r="R5" s="687"/>
      <c r="S5" s="687"/>
      <c r="T5" s="687"/>
      <c r="U5" s="687"/>
      <c r="V5" s="687"/>
      <c r="AB5" s="687" t="s">
        <v>210</v>
      </c>
      <c r="AC5" s="687"/>
      <c r="AD5" s="687"/>
      <c r="AE5" s="687"/>
      <c r="AF5" s="687"/>
      <c r="AG5" s="687"/>
      <c r="AH5" s="687"/>
      <c r="AI5" s="687"/>
      <c r="AJ5" s="687"/>
      <c r="AK5" s="687"/>
      <c r="AL5" s="687"/>
      <c r="AM5" s="687"/>
      <c r="AN5" s="687"/>
      <c r="AO5" s="687"/>
      <c r="AP5" s="687"/>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211</v>
      </c>
      <c r="D6" s="104" t="s">
        <v>212</v>
      </c>
      <c r="I6" s="688" t="s">
        <v>0</v>
      </c>
      <c r="J6" s="688"/>
      <c r="K6" s="688" t="s">
        <v>1</v>
      </c>
      <c r="L6" s="688"/>
      <c r="M6" s="688" t="s">
        <v>2</v>
      </c>
      <c r="N6" s="688"/>
      <c r="O6" s="688" t="s">
        <v>3</v>
      </c>
      <c r="P6" s="688"/>
      <c r="Q6" s="688" t="s">
        <v>4</v>
      </c>
      <c r="R6" s="688"/>
      <c r="S6" s="688" t="s">
        <v>5</v>
      </c>
      <c r="T6" s="688"/>
      <c r="U6" s="688" t="s">
        <v>6</v>
      </c>
      <c r="V6" s="688"/>
      <c r="AC6" s="688" t="s">
        <v>0</v>
      </c>
      <c r="AD6" s="688"/>
      <c r="AE6" s="688" t="s">
        <v>1</v>
      </c>
      <c r="AF6" s="688"/>
      <c r="AG6" s="688" t="s">
        <v>2</v>
      </c>
      <c r="AH6" s="688"/>
      <c r="AI6" s="688" t="s">
        <v>3</v>
      </c>
      <c r="AJ6" s="688"/>
      <c r="AK6" s="688" t="s">
        <v>4</v>
      </c>
      <c r="AL6" s="688"/>
      <c r="AM6" s="688" t="s">
        <v>5</v>
      </c>
      <c r="AN6" s="688"/>
      <c r="AO6" s="688" t="s">
        <v>6</v>
      </c>
      <c r="AP6" s="688"/>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213</v>
      </c>
      <c r="D7" s="104" t="s">
        <v>214</v>
      </c>
      <c r="E7" s="104"/>
      <c r="F7" s="104"/>
      <c r="G7" s="104"/>
      <c r="H7" s="97" t="s">
        <v>182</v>
      </c>
      <c r="I7" s="689">
        <v>8</v>
      </c>
      <c r="J7" s="689"/>
      <c r="K7" s="690">
        <v>9</v>
      </c>
      <c r="L7" s="690"/>
      <c r="M7" s="690">
        <v>10</v>
      </c>
      <c r="N7" s="690"/>
      <c r="O7" s="690">
        <v>11</v>
      </c>
      <c r="P7" s="690"/>
      <c r="Q7" s="690">
        <v>12</v>
      </c>
      <c r="R7" s="690"/>
      <c r="S7" s="690">
        <v>13</v>
      </c>
      <c r="T7" s="690"/>
      <c r="U7" s="691">
        <v>14</v>
      </c>
      <c r="V7" s="691"/>
      <c r="Y7" s="3"/>
      <c r="AB7" s="97" t="s">
        <v>182</v>
      </c>
      <c r="AC7" s="689">
        <v>9</v>
      </c>
      <c r="AD7" s="689"/>
      <c r="AE7" s="690">
        <v>10</v>
      </c>
      <c r="AF7" s="690"/>
      <c r="AG7" s="690">
        <v>11</v>
      </c>
      <c r="AH7" s="690"/>
      <c r="AI7" s="690">
        <v>12</v>
      </c>
      <c r="AJ7" s="690"/>
      <c r="AK7" s="690">
        <v>13</v>
      </c>
      <c r="AL7" s="690"/>
      <c r="AM7" s="690">
        <v>14</v>
      </c>
      <c r="AN7" s="690"/>
      <c r="AO7" s="691">
        <v>15</v>
      </c>
      <c r="AP7" s="691"/>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215</v>
      </c>
      <c r="D8" t="s">
        <v>216</v>
      </c>
      <c r="H8" s="97" t="s">
        <v>182</v>
      </c>
      <c r="I8" s="692">
        <v>15</v>
      </c>
      <c r="J8" s="692"/>
      <c r="K8" s="693">
        <v>16</v>
      </c>
      <c r="L8" s="693"/>
      <c r="M8" s="693">
        <v>17</v>
      </c>
      <c r="N8" s="693"/>
      <c r="O8" s="693">
        <v>18</v>
      </c>
      <c r="P8" s="693"/>
      <c r="Q8" s="693">
        <v>19</v>
      </c>
      <c r="R8" s="693"/>
      <c r="S8" s="693">
        <v>20</v>
      </c>
      <c r="T8" s="693"/>
      <c r="U8" s="694">
        <v>21</v>
      </c>
      <c r="V8" s="694"/>
      <c r="Y8" s="3"/>
      <c r="AB8" s="97" t="s">
        <v>182</v>
      </c>
      <c r="AC8" s="692">
        <v>16</v>
      </c>
      <c r="AD8" s="692"/>
      <c r="AE8" s="693">
        <v>17</v>
      </c>
      <c r="AF8" s="693"/>
      <c r="AG8" s="693">
        <v>18</v>
      </c>
      <c r="AH8" s="693"/>
      <c r="AI8" s="693">
        <v>19</v>
      </c>
      <c r="AJ8" s="693"/>
      <c r="AK8" s="693">
        <v>20</v>
      </c>
      <c r="AL8" s="693"/>
      <c r="AM8" s="693">
        <v>21</v>
      </c>
      <c r="AN8" s="693"/>
      <c r="AO8" s="694">
        <v>22</v>
      </c>
      <c r="AP8" s="69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182</v>
      </c>
      <c r="I9" s="695">
        <v>22</v>
      </c>
      <c r="J9" s="695"/>
      <c r="K9" s="696">
        <v>23</v>
      </c>
      <c r="L9" s="696"/>
      <c r="M9" s="696">
        <v>24</v>
      </c>
      <c r="N9" s="696"/>
      <c r="O9" s="696">
        <v>25</v>
      </c>
      <c r="P9" s="696"/>
      <c r="Q9" s="696">
        <v>26</v>
      </c>
      <c r="R9" s="696"/>
      <c r="S9" s="696">
        <v>27</v>
      </c>
      <c r="T9" s="696"/>
      <c r="U9" s="697">
        <v>28</v>
      </c>
      <c r="V9" s="697"/>
      <c r="Y9" s="3"/>
      <c r="AB9" s="97" t="s">
        <v>182</v>
      </c>
      <c r="AC9" s="695">
        <v>23</v>
      </c>
      <c r="AD9" s="695"/>
      <c r="AE9" s="696">
        <v>24</v>
      </c>
      <c r="AF9" s="696"/>
      <c r="AG9" s="696">
        <v>25</v>
      </c>
      <c r="AH9" s="696"/>
      <c r="AI9" s="696">
        <v>26</v>
      </c>
      <c r="AJ9" s="696"/>
      <c r="AK9" s="696">
        <v>27</v>
      </c>
      <c r="AL9" s="696"/>
      <c r="AM9" s="696">
        <v>28</v>
      </c>
      <c r="AN9" s="696"/>
      <c r="AO9" s="697">
        <v>29</v>
      </c>
      <c r="AP9" s="697"/>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209</v>
      </c>
      <c r="I10" s="692">
        <v>29</v>
      </c>
      <c r="J10" s="692"/>
      <c r="K10" s="693">
        <v>30</v>
      </c>
      <c r="L10" s="693"/>
      <c r="M10" s="693">
        <v>1</v>
      </c>
      <c r="N10" s="693"/>
      <c r="O10" s="693">
        <v>2</v>
      </c>
      <c r="P10" s="693"/>
      <c r="Q10" s="693">
        <v>3</v>
      </c>
      <c r="R10" s="693"/>
      <c r="S10" s="693">
        <v>4</v>
      </c>
      <c r="T10" s="693"/>
      <c r="U10" s="694">
        <v>5</v>
      </c>
      <c r="V10" s="694"/>
      <c r="Y10" s="3"/>
      <c r="AB10" s="97" t="s">
        <v>209</v>
      </c>
      <c r="AC10" s="692">
        <v>30</v>
      </c>
      <c r="AD10" s="692"/>
      <c r="AE10" s="693">
        <v>1</v>
      </c>
      <c r="AF10" s="693"/>
      <c r="AG10" s="693">
        <v>2</v>
      </c>
      <c r="AH10" s="693"/>
      <c r="AI10" s="693">
        <v>3</v>
      </c>
      <c r="AJ10" s="693"/>
      <c r="AK10" s="693">
        <v>4</v>
      </c>
      <c r="AL10" s="693"/>
      <c r="AM10" s="693">
        <v>5</v>
      </c>
      <c r="AN10" s="693"/>
      <c r="AO10" s="694">
        <v>6</v>
      </c>
      <c r="AP10" s="69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179</v>
      </c>
      <c r="I11" s="695">
        <v>6</v>
      </c>
      <c r="J11" s="695"/>
      <c r="K11" s="696">
        <v>7</v>
      </c>
      <c r="L11" s="696"/>
      <c r="M11" s="696">
        <v>8</v>
      </c>
      <c r="N11" s="696"/>
      <c r="O11" s="696">
        <v>9</v>
      </c>
      <c r="P11" s="696"/>
      <c r="Q11" s="696">
        <v>10</v>
      </c>
      <c r="R11" s="696"/>
      <c r="S11" s="696">
        <v>11</v>
      </c>
      <c r="T11" s="696"/>
      <c r="U11" s="697">
        <v>12</v>
      </c>
      <c r="V11" s="697"/>
      <c r="Y11" s="3"/>
      <c r="AB11" s="97" t="s">
        <v>179</v>
      </c>
      <c r="AC11" s="695">
        <v>7</v>
      </c>
      <c r="AD11" s="695"/>
      <c r="AE11" s="696">
        <v>8</v>
      </c>
      <c r="AF11" s="696"/>
      <c r="AG11" s="696">
        <v>9</v>
      </c>
      <c r="AH11" s="696"/>
      <c r="AI11" s="696">
        <v>10</v>
      </c>
      <c r="AJ11" s="696"/>
      <c r="AK11" s="696">
        <v>11</v>
      </c>
      <c r="AL11" s="696"/>
      <c r="AM11" s="696">
        <v>12</v>
      </c>
      <c r="AN11" s="696"/>
      <c r="AO11" s="697">
        <v>13</v>
      </c>
      <c r="AP11" s="697"/>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179</v>
      </c>
      <c r="I12" s="698">
        <v>13</v>
      </c>
      <c r="J12" s="698"/>
      <c r="K12" s="699">
        <v>14</v>
      </c>
      <c r="L12" s="699"/>
      <c r="M12" s="699">
        <v>15</v>
      </c>
      <c r="N12" s="699"/>
      <c r="O12" s="699">
        <v>16</v>
      </c>
      <c r="P12" s="699"/>
      <c r="Q12" s="699">
        <v>17</v>
      </c>
      <c r="R12" s="699"/>
      <c r="S12" s="699">
        <v>18</v>
      </c>
      <c r="T12" s="699"/>
      <c r="U12" s="700">
        <v>19</v>
      </c>
      <c r="V12" s="700"/>
      <c r="Y12" s="3"/>
      <c r="AB12" s="97" t="s">
        <v>179</v>
      </c>
      <c r="AC12" s="698">
        <v>14</v>
      </c>
      <c r="AD12" s="698"/>
      <c r="AE12" s="699">
        <v>15</v>
      </c>
      <c r="AF12" s="699"/>
      <c r="AG12" s="699">
        <v>16</v>
      </c>
      <c r="AH12" s="699"/>
      <c r="AI12" s="699">
        <v>17</v>
      </c>
      <c r="AJ12" s="699"/>
      <c r="AK12" s="699">
        <v>18</v>
      </c>
      <c r="AL12" s="699"/>
      <c r="AM12" s="699">
        <v>19</v>
      </c>
      <c r="AN12" s="699"/>
      <c r="AO12" s="700">
        <v>20</v>
      </c>
      <c r="AP12" s="700"/>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217</v>
      </c>
      <c r="D14" s="106" t="s">
        <v>212</v>
      </c>
      <c r="H14" s="97"/>
      <c r="O14" s="648"/>
      <c r="P14" s="648"/>
      <c r="Q14" s="648"/>
      <c r="R14" s="648"/>
      <c r="S14" s="648"/>
      <c r="T14" s="648"/>
      <c r="U14" s="648"/>
      <c r="W14" s="648"/>
      <c r="X14" s="648"/>
      <c r="Y14" s="648"/>
      <c r="Z14" s="648"/>
      <c r="AA14" s="648"/>
      <c r="AB14" s="648"/>
      <c r="AC14" s="648"/>
      <c r="AE14" s="648"/>
      <c r="AF14" s="648"/>
      <c r="AG14" s="648"/>
      <c r="AH14" s="648"/>
      <c r="AI14" s="648"/>
      <c r="AJ14" s="648"/>
      <c r="AK14" s="648"/>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218</v>
      </c>
      <c r="D15" s="104" t="s">
        <v>214</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215</v>
      </c>
      <c r="D16" s="104" t="s">
        <v>216</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219</v>
      </c>
      <c r="D17" s="104" t="s">
        <v>220</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221</v>
      </c>
      <c r="D18" s="104" t="s">
        <v>222</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223</v>
      </c>
      <c r="D19" s="104" t="s">
        <v>224</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1"/>
      <c r="AW20" s="701"/>
      <c r="AX20" s="701"/>
      <c r="AY20" s="701"/>
      <c r="AZ20" s="701"/>
      <c r="BA20" s="701"/>
      <c r="BB20" s="701"/>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45851</v>
      </c>
      <c r="R21" s="119">
        <v>45852</v>
      </c>
      <c r="S21" s="119">
        <v>45853</v>
      </c>
      <c r="T21" s="119">
        <v>45854</v>
      </c>
      <c r="U21" s="119">
        <v>45855</v>
      </c>
      <c r="V21" s="119">
        <v>45856</v>
      </c>
      <c r="W21" s="119">
        <v>45857</v>
      </c>
      <c r="X21" s="120"/>
      <c r="Y21" s="120"/>
      <c r="Z21" s="119">
        <v>45851</v>
      </c>
      <c r="AA21" s="119">
        <v>45852</v>
      </c>
      <c r="AB21" s="119">
        <v>45853</v>
      </c>
      <c r="AC21" s="119">
        <v>45854</v>
      </c>
      <c r="AD21" s="119">
        <v>45855</v>
      </c>
      <c r="AE21" s="119">
        <v>45856</v>
      </c>
      <c r="AF21" s="119">
        <v>45857</v>
      </c>
      <c r="AG21" s="120"/>
      <c r="AH21" s="120"/>
      <c r="AI21" s="119">
        <v>45851</v>
      </c>
      <c r="AJ21" s="119">
        <v>45852</v>
      </c>
      <c r="AK21" s="119">
        <v>45853</v>
      </c>
      <c r="AL21" s="119">
        <v>45854</v>
      </c>
      <c r="AM21" s="119">
        <v>45855</v>
      </c>
      <c r="AN21" s="119">
        <v>45856</v>
      </c>
      <c r="AO21" s="119">
        <v>45857</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2">
        <v>56387</v>
      </c>
      <c r="D22" s="702" t="s">
        <v>185</v>
      </c>
      <c r="E22" s="702" t="s">
        <v>186</v>
      </c>
      <c r="F22" s="702" t="s">
        <v>187</v>
      </c>
      <c r="G22" s="702" t="s">
        <v>188</v>
      </c>
      <c r="H22" s="703">
        <v>132</v>
      </c>
      <c r="I22" s="703" t="s">
        <v>189</v>
      </c>
      <c r="J22" s="703"/>
      <c r="K22" s="703"/>
      <c r="L22" s="703"/>
      <c r="M22" s="703"/>
      <c r="N22" s="703"/>
      <c r="O22" s="113"/>
      <c r="Q22" s="704" t="s">
        <v>190</v>
      </c>
      <c r="R22" s="705" t="s">
        <v>190</v>
      </c>
      <c r="S22" s="705" t="s">
        <v>190</v>
      </c>
      <c r="T22" s="705" t="s">
        <v>190</v>
      </c>
      <c r="U22" s="705" t="s">
        <v>190</v>
      </c>
      <c r="V22" s="705" t="s">
        <v>190</v>
      </c>
      <c r="W22" s="706" t="s">
        <v>190</v>
      </c>
      <c r="Z22" s="704" t="s">
        <v>190</v>
      </c>
      <c r="AA22" s="705" t="s">
        <v>190</v>
      </c>
      <c r="AB22" s="705" t="s">
        <v>190</v>
      </c>
      <c r="AC22" s="705" t="s">
        <v>190</v>
      </c>
      <c r="AD22" s="705" t="s">
        <v>190</v>
      </c>
      <c r="AE22" s="705" t="s">
        <v>190</v>
      </c>
      <c r="AF22" s="706" t="s">
        <v>190</v>
      </c>
      <c r="AI22" s="704" t="s">
        <v>190</v>
      </c>
      <c r="AJ22" s="705" t="s">
        <v>190</v>
      </c>
      <c r="AK22" s="705" t="s">
        <v>190</v>
      </c>
      <c r="AL22" s="705" t="s">
        <v>190</v>
      </c>
      <c r="AM22" s="705" t="s">
        <v>190</v>
      </c>
      <c r="AN22" s="705" t="s">
        <v>190</v>
      </c>
      <c r="AO22" s="706" t="s">
        <v>190</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7">
        <v>33931</v>
      </c>
      <c r="D23" s="707" t="s">
        <v>191</v>
      </c>
      <c r="E23" s="707" t="s">
        <v>186</v>
      </c>
      <c r="F23" s="707" t="s">
        <v>192</v>
      </c>
      <c r="G23" s="707" t="s">
        <v>193</v>
      </c>
      <c r="H23" s="708">
        <v>107</v>
      </c>
      <c r="I23" s="708" t="s">
        <v>194</v>
      </c>
      <c r="J23" s="708"/>
      <c r="K23" s="708"/>
      <c r="L23" s="708"/>
      <c r="M23" s="708"/>
      <c r="N23" s="708"/>
      <c r="O23" s="113"/>
      <c r="Q23" s="709" t="s">
        <v>190</v>
      </c>
      <c r="R23" s="710" t="s">
        <v>190</v>
      </c>
      <c r="S23" s="710" t="s">
        <v>190</v>
      </c>
      <c r="T23" s="710" t="s">
        <v>190</v>
      </c>
      <c r="U23" s="710" t="s">
        <v>190</v>
      </c>
      <c r="V23" s="710" t="s">
        <v>190</v>
      </c>
      <c r="W23" s="711" t="s">
        <v>190</v>
      </c>
      <c r="Z23" s="709" t="s">
        <v>190</v>
      </c>
      <c r="AA23" s="710" t="s">
        <v>190</v>
      </c>
      <c r="AB23" s="710" t="s">
        <v>190</v>
      </c>
      <c r="AC23" s="710" t="s">
        <v>190</v>
      </c>
      <c r="AD23" s="710" t="s">
        <v>190</v>
      </c>
      <c r="AE23" s="710" t="s">
        <v>190</v>
      </c>
      <c r="AF23" s="711" t="s">
        <v>190</v>
      </c>
      <c r="AI23" s="709" t="s">
        <v>190</v>
      </c>
      <c r="AJ23" s="710" t="s">
        <v>190</v>
      </c>
      <c r="AK23" s="710" t="s">
        <v>190</v>
      </c>
      <c r="AL23" s="710" t="s">
        <v>190</v>
      </c>
      <c r="AM23" s="710" t="s">
        <v>190</v>
      </c>
      <c r="AN23" s="710" t="s">
        <v>190</v>
      </c>
      <c r="AO23" s="711" t="s">
        <v>190</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2">
        <v>34401</v>
      </c>
      <c r="D24" s="702" t="s">
        <v>195</v>
      </c>
      <c r="E24" s="702" t="s">
        <v>186</v>
      </c>
      <c r="F24" s="702" t="s">
        <v>192</v>
      </c>
      <c r="G24" s="702" t="s">
        <v>174</v>
      </c>
      <c r="H24" s="703">
        <v>0</v>
      </c>
      <c r="I24" s="703" t="s">
        <v>196</v>
      </c>
      <c r="J24" s="703"/>
      <c r="K24" s="703"/>
      <c r="L24" s="703"/>
      <c r="M24" s="703"/>
      <c r="N24" s="703"/>
      <c r="O24" s="113"/>
      <c r="Q24" s="704" t="s">
        <v>174</v>
      </c>
      <c r="R24" s="705" t="s">
        <v>174</v>
      </c>
      <c r="S24" s="705" t="s">
        <v>174</v>
      </c>
      <c r="T24" s="705" t="s">
        <v>174</v>
      </c>
      <c r="U24" s="705" t="s">
        <v>174</v>
      </c>
      <c r="V24" s="705" t="s">
        <v>174</v>
      </c>
      <c r="W24" s="706" t="s">
        <v>174</v>
      </c>
      <c r="Z24" s="704" t="s">
        <v>174</v>
      </c>
      <c r="AA24" s="705" t="s">
        <v>174</v>
      </c>
      <c r="AB24" s="705" t="s">
        <v>174</v>
      </c>
      <c r="AC24" s="705" t="s">
        <v>174</v>
      </c>
      <c r="AD24" s="705" t="s">
        <v>174</v>
      </c>
      <c r="AE24" s="705" t="s">
        <v>174</v>
      </c>
      <c r="AF24" s="706" t="s">
        <v>174</v>
      </c>
      <c r="AI24" s="704" t="s">
        <v>174</v>
      </c>
      <c r="AJ24" s="705" t="s">
        <v>174</v>
      </c>
      <c r="AK24" s="705" t="s">
        <v>174</v>
      </c>
      <c r="AL24" s="705" t="s">
        <v>174</v>
      </c>
      <c r="AM24" s="705" t="s">
        <v>174</v>
      </c>
      <c r="AN24" s="705" t="s">
        <v>174</v>
      </c>
      <c r="AO24" s="706" t="s">
        <v>174</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7">
        <v>39070</v>
      </c>
      <c r="D25" s="707" t="s">
        <v>197</v>
      </c>
      <c r="E25" s="707" t="s">
        <v>186</v>
      </c>
      <c r="F25" s="707" t="s">
        <v>192</v>
      </c>
      <c r="G25" s="707" t="s">
        <v>198</v>
      </c>
      <c r="H25" s="708">
        <v>73</v>
      </c>
      <c r="I25" s="708" t="s">
        <v>199</v>
      </c>
      <c r="J25" s="708"/>
      <c r="K25" s="708"/>
      <c r="L25" s="708"/>
      <c r="M25" s="708"/>
      <c r="N25" s="708"/>
      <c r="O25" s="113"/>
      <c r="Q25" s="709" t="s">
        <v>190</v>
      </c>
      <c r="R25" s="710" t="s">
        <v>190</v>
      </c>
      <c r="S25" s="710" t="s">
        <v>190</v>
      </c>
      <c r="T25" s="710" t="s">
        <v>190</v>
      </c>
      <c r="U25" s="710" t="s">
        <v>190</v>
      </c>
      <c r="V25" s="710" t="s">
        <v>190</v>
      </c>
      <c r="W25" s="711" t="s">
        <v>190</v>
      </c>
      <c r="Z25" s="709" t="s">
        <v>190</v>
      </c>
      <c r="AA25" s="710" t="s">
        <v>190</v>
      </c>
      <c r="AB25" s="710" t="s">
        <v>190</v>
      </c>
      <c r="AC25" s="710" t="s">
        <v>190</v>
      </c>
      <c r="AD25" s="710" t="s">
        <v>190</v>
      </c>
      <c r="AE25" s="710" t="s">
        <v>190</v>
      </c>
      <c r="AF25" s="711" t="s">
        <v>190</v>
      </c>
      <c r="AI25" s="709" t="s">
        <v>190</v>
      </c>
      <c r="AJ25" s="710" t="s">
        <v>190</v>
      </c>
      <c r="AK25" s="710" t="s">
        <v>190</v>
      </c>
      <c r="AL25" s="710" t="s">
        <v>190</v>
      </c>
      <c r="AM25" s="710" t="s">
        <v>190</v>
      </c>
      <c r="AN25" s="710" t="s">
        <v>190</v>
      </c>
      <c r="AO25" s="711" t="s">
        <v>190</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2">
        <v>44117</v>
      </c>
      <c r="D26" s="702" t="s">
        <v>200</v>
      </c>
      <c r="E26" s="702" t="s">
        <v>186</v>
      </c>
      <c r="F26" s="702" t="s">
        <v>192</v>
      </c>
      <c r="G26" s="702" t="s">
        <v>201</v>
      </c>
      <c r="H26" s="703">
        <v>129</v>
      </c>
      <c r="I26" s="703" t="s">
        <v>202</v>
      </c>
      <c r="J26" s="703"/>
      <c r="K26" s="703"/>
      <c r="L26" s="703"/>
      <c r="M26" s="703"/>
      <c r="N26" s="703"/>
      <c r="O26" s="113"/>
      <c r="Q26" s="704" t="s">
        <v>190</v>
      </c>
      <c r="R26" s="705" t="s">
        <v>190</v>
      </c>
      <c r="S26" s="705" t="s">
        <v>190</v>
      </c>
      <c r="T26" s="705" t="s">
        <v>190</v>
      </c>
      <c r="U26" s="705" t="s">
        <v>190</v>
      </c>
      <c r="V26" s="705" t="s">
        <v>190</v>
      </c>
      <c r="W26" s="706" t="s">
        <v>190</v>
      </c>
      <c r="Z26" s="704" t="s">
        <v>190</v>
      </c>
      <c r="AA26" s="705" t="s">
        <v>190</v>
      </c>
      <c r="AB26" s="705" t="s">
        <v>190</v>
      </c>
      <c r="AC26" s="705" t="s">
        <v>190</v>
      </c>
      <c r="AD26" s="705" t="s">
        <v>190</v>
      </c>
      <c r="AE26" s="705" t="s">
        <v>190</v>
      </c>
      <c r="AF26" s="706" t="s">
        <v>190</v>
      </c>
      <c r="AI26" s="704" t="s">
        <v>190</v>
      </c>
      <c r="AJ26" s="705" t="s">
        <v>190</v>
      </c>
      <c r="AK26" s="705" t="s">
        <v>190</v>
      </c>
      <c r="AL26" s="705" t="s">
        <v>190</v>
      </c>
      <c r="AM26" s="705" t="s">
        <v>190</v>
      </c>
      <c r="AN26" s="705" t="s">
        <v>190</v>
      </c>
      <c r="AO26" s="706" t="s">
        <v>190</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7">
        <v>53909</v>
      </c>
      <c r="D27" s="707" t="s">
        <v>203</v>
      </c>
      <c r="E27" s="707" t="s">
        <v>186</v>
      </c>
      <c r="F27" s="707" t="s">
        <v>204</v>
      </c>
      <c r="G27" s="707" t="s">
        <v>205</v>
      </c>
      <c r="H27" s="708">
        <v>35</v>
      </c>
      <c r="I27" s="708" t="s">
        <v>206</v>
      </c>
      <c r="J27" s="708"/>
      <c r="K27" s="708"/>
      <c r="L27" s="708"/>
      <c r="M27" s="708"/>
      <c r="N27" s="708"/>
      <c r="O27" s="113"/>
      <c r="Q27" s="709" t="s">
        <v>190</v>
      </c>
      <c r="R27" s="710" t="s">
        <v>190</v>
      </c>
      <c r="S27" s="710" t="s">
        <v>190</v>
      </c>
      <c r="T27" s="710" t="s">
        <v>190</v>
      </c>
      <c r="U27" s="710" t="s">
        <v>190</v>
      </c>
      <c r="V27" s="710" t="s">
        <v>190</v>
      </c>
      <c r="W27" s="711" t="s">
        <v>190</v>
      </c>
      <c r="Z27" s="709" t="s">
        <v>190</v>
      </c>
      <c r="AA27" s="710" t="s">
        <v>190</v>
      </c>
      <c r="AB27" s="710" t="s">
        <v>190</v>
      </c>
      <c r="AC27" s="710" t="s">
        <v>190</v>
      </c>
      <c r="AD27" s="710" t="s">
        <v>190</v>
      </c>
      <c r="AE27" s="710" t="s">
        <v>190</v>
      </c>
      <c r="AF27" s="711" t="s">
        <v>190</v>
      </c>
      <c r="AI27" s="709" t="s">
        <v>174</v>
      </c>
      <c r="AJ27" s="710" t="s">
        <v>174</v>
      </c>
      <c r="AK27" s="710" t="s">
        <v>174</v>
      </c>
      <c r="AL27" s="710" t="s">
        <v>174</v>
      </c>
      <c r="AM27" s="710" t="s">
        <v>174</v>
      </c>
      <c r="AN27" s="710" t="s">
        <v>174</v>
      </c>
      <c r="AO27" s="711" t="s">
        <v>174</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114"/>
      <c r="D28" s="118"/>
      <c r="E28" s="118"/>
      <c r="F28" s="118"/>
      <c r="G28" s="118"/>
      <c r="H28" s="703">
        <v>476</v>
      </c>
      <c r="I28" s="712"/>
      <c r="J28" s="712"/>
      <c r="K28" s="712"/>
      <c r="L28" s="712"/>
      <c r="M28" s="712"/>
      <c r="N28" s="712"/>
      <c r="O28" s="113"/>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114"/>
      <c r="D29" s="118"/>
      <c r="E29" s="118"/>
      <c r="F29" s="118"/>
      <c r="G29" s="118"/>
      <c r="H29" s="118"/>
      <c r="I29" s="712"/>
      <c r="J29" s="712"/>
      <c r="K29" s="712"/>
      <c r="L29" s="712"/>
      <c r="M29" s="712"/>
      <c r="N29" s="712"/>
      <c r="O29" s="113"/>
      <c r="P29" t="s">
        <v>207</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118"/>
      <c r="I30" s="712"/>
      <c r="J30" s="712"/>
      <c r="K30" s="712"/>
      <c r="L30" s="712"/>
      <c r="M30" s="712"/>
      <c r="N30" s="712"/>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2"/>
      <c r="J31" s="712"/>
      <c r="K31" s="712"/>
      <c r="L31" s="712"/>
      <c r="M31" s="712"/>
      <c r="N31" s="712"/>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2"/>
      <c r="J32" s="712"/>
      <c r="K32" s="712"/>
      <c r="L32" s="712"/>
      <c r="M32" s="712"/>
      <c r="N32" s="712"/>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2"/>
      <c r="J33" s="712"/>
      <c r="K33" s="712"/>
      <c r="L33" s="712"/>
      <c r="M33" s="712"/>
      <c r="N33" s="712"/>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2"/>
      <c r="J34" s="712"/>
      <c r="K34" s="712"/>
      <c r="L34" s="712"/>
      <c r="M34" s="712"/>
      <c r="N34" s="712"/>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2"/>
      <c r="J35" s="712"/>
      <c r="K35" s="712"/>
      <c r="L35" s="712"/>
      <c r="M35" s="712"/>
      <c r="N35" s="712"/>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2"/>
      <c r="J36" s="712"/>
      <c r="K36" s="712"/>
      <c r="L36" s="712"/>
      <c r="M36" s="712"/>
      <c r="N36" s="712"/>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2"/>
      <c r="J37" s="712"/>
      <c r="K37" s="712"/>
      <c r="L37" s="712"/>
      <c r="M37" s="712"/>
      <c r="N37" s="712"/>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2"/>
      <c r="J38" s="712"/>
      <c r="K38" s="712"/>
      <c r="L38" s="712"/>
      <c r="M38" s="712"/>
      <c r="N38" s="712"/>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2"/>
      <c r="J39" s="712"/>
      <c r="K39" s="712"/>
      <c r="L39" s="712"/>
      <c r="M39" s="712"/>
      <c r="N39" s="712"/>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2"/>
      <c r="J40" s="712"/>
      <c r="K40" s="712"/>
      <c r="L40" s="712"/>
      <c r="M40" s="712"/>
      <c r="N40" s="712"/>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2"/>
      <c r="J41" s="712"/>
      <c r="K41" s="712"/>
      <c r="L41" s="712"/>
      <c r="M41" s="712"/>
      <c r="N41" s="712"/>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2"/>
      <c r="J42" s="712"/>
      <c r="K42" s="712"/>
      <c r="L42" s="712"/>
      <c r="M42" s="712"/>
      <c r="N42" s="712"/>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2"/>
      <c r="J43" s="712"/>
      <c r="K43" s="712"/>
      <c r="L43" s="712"/>
      <c r="M43" s="712"/>
      <c r="N43" s="712"/>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2"/>
      <c r="J44" s="712"/>
      <c r="K44" s="712"/>
      <c r="L44" s="712"/>
      <c r="M44" s="712"/>
      <c r="N44" s="712"/>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2"/>
      <c r="J45" s="712"/>
      <c r="K45" s="712"/>
      <c r="L45" s="712"/>
      <c r="M45" s="712"/>
      <c r="N45" s="712"/>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2"/>
      <c r="J46" s="712"/>
      <c r="K46" s="712"/>
      <c r="L46" s="712"/>
      <c r="M46" s="712"/>
      <c r="N46" s="712"/>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2"/>
      <c r="J47" s="712"/>
      <c r="K47" s="712"/>
      <c r="L47" s="712"/>
      <c r="M47" s="712"/>
      <c r="N47" s="712"/>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2"/>
      <c r="J48" s="712"/>
      <c r="K48" s="712"/>
      <c r="L48" s="712"/>
      <c r="M48" s="712"/>
      <c r="N48" s="712"/>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2"/>
      <c r="J49" s="712"/>
      <c r="K49" s="712"/>
      <c r="L49" s="712"/>
      <c r="M49" s="712"/>
      <c r="N49" s="712"/>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2"/>
      <c r="J50" s="712"/>
      <c r="K50" s="712"/>
      <c r="L50" s="712"/>
      <c r="M50" s="712"/>
      <c r="N50" s="712"/>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2"/>
      <c r="J51" s="712"/>
      <c r="K51" s="712"/>
      <c r="L51" s="712"/>
      <c r="M51" s="712"/>
      <c r="N51" s="712"/>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2"/>
      <c r="J52" s="712"/>
      <c r="K52" s="712"/>
      <c r="L52" s="712"/>
      <c r="M52" s="712"/>
      <c r="N52" s="712"/>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2"/>
      <c r="J53" s="712"/>
      <c r="K53" s="712"/>
      <c r="L53" s="712"/>
      <c r="M53" s="712"/>
      <c r="N53" s="712"/>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2"/>
      <c r="J54" s="712"/>
      <c r="K54" s="712"/>
      <c r="L54" s="712"/>
      <c r="M54" s="712"/>
      <c r="N54" s="712"/>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2"/>
      <c r="J55" s="712"/>
      <c r="K55" s="712"/>
      <c r="L55" s="712"/>
      <c r="M55" s="712"/>
      <c r="N55" s="712"/>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2"/>
      <c r="J56" s="712"/>
      <c r="K56" s="712"/>
      <c r="L56" s="712"/>
      <c r="M56" s="712"/>
      <c r="N56" s="712"/>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2"/>
      <c r="J57" s="712"/>
      <c r="K57" s="712"/>
      <c r="L57" s="712"/>
      <c r="M57" s="712"/>
      <c r="N57" s="712"/>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2"/>
      <c r="J58" s="712"/>
      <c r="K58" s="712"/>
      <c r="L58" s="712"/>
      <c r="M58" s="712"/>
      <c r="N58" s="712"/>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2"/>
      <c r="J59" s="712"/>
      <c r="K59" s="712"/>
      <c r="L59" s="712"/>
      <c r="M59" s="712"/>
      <c r="N59" s="712"/>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2"/>
      <c r="J60" s="712"/>
      <c r="K60" s="712"/>
      <c r="L60" s="712"/>
      <c r="M60" s="712"/>
      <c r="N60" s="712"/>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2"/>
      <c r="J61" s="712"/>
      <c r="K61" s="712"/>
      <c r="L61" s="712"/>
      <c r="M61" s="712"/>
      <c r="N61" s="712"/>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2"/>
      <c r="J62" s="712"/>
      <c r="K62" s="712"/>
      <c r="L62" s="712"/>
      <c r="M62" s="712"/>
      <c r="N62" s="712"/>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2"/>
      <c r="J63" s="712"/>
      <c r="K63" s="712"/>
      <c r="L63" s="712"/>
      <c r="M63" s="712"/>
      <c r="N63" s="712"/>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2"/>
      <c r="J64" s="712"/>
      <c r="K64" s="712"/>
      <c r="L64" s="712"/>
      <c r="M64" s="712"/>
      <c r="N64" s="712"/>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2"/>
      <c r="J65" s="712"/>
      <c r="K65" s="712"/>
      <c r="L65" s="712"/>
      <c r="M65" s="712"/>
      <c r="N65" s="712"/>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2"/>
      <c r="J66" s="712"/>
      <c r="K66" s="712"/>
      <c r="L66" s="712"/>
      <c r="M66" s="712"/>
      <c r="N66" s="712"/>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2"/>
      <c r="J67" s="712"/>
      <c r="K67" s="712"/>
      <c r="L67" s="712"/>
      <c r="M67" s="712"/>
      <c r="N67" s="712"/>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2"/>
      <c r="J68" s="712"/>
      <c r="K68" s="712"/>
      <c r="L68" s="712"/>
      <c r="M68" s="712"/>
      <c r="N68" s="712"/>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2"/>
      <c r="J69" s="712"/>
      <c r="K69" s="712"/>
      <c r="L69" s="712"/>
      <c r="M69" s="712"/>
      <c r="N69" s="712"/>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2"/>
      <c r="J70" s="712"/>
      <c r="K70" s="712"/>
      <c r="L70" s="712"/>
      <c r="M70" s="712"/>
      <c r="N70" s="712"/>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2"/>
      <c r="J71" s="712"/>
      <c r="K71" s="712"/>
      <c r="L71" s="712"/>
      <c r="M71" s="712"/>
      <c r="N71" s="712"/>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2"/>
      <c r="J72" s="712"/>
      <c r="K72" s="712"/>
      <c r="L72" s="712"/>
      <c r="M72" s="712"/>
      <c r="N72" s="712"/>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2"/>
      <c r="J73" s="712"/>
      <c r="K73" s="712"/>
      <c r="L73" s="712"/>
      <c r="M73" s="712"/>
      <c r="N73" s="712"/>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2"/>
      <c r="J74" s="712"/>
      <c r="K74" s="712"/>
      <c r="L74" s="712"/>
      <c r="M74" s="712"/>
      <c r="N74" s="712"/>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2"/>
      <c r="J75" s="712"/>
      <c r="K75" s="712"/>
      <c r="L75" s="712"/>
      <c r="M75" s="712"/>
      <c r="N75" s="712"/>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2"/>
      <c r="J76" s="712"/>
      <c r="K76" s="712"/>
      <c r="L76" s="712"/>
      <c r="M76" s="712"/>
      <c r="N76" s="712"/>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2"/>
      <c r="J77" s="712"/>
      <c r="K77" s="712"/>
      <c r="L77" s="712"/>
      <c r="M77" s="712"/>
      <c r="N77" s="712"/>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2"/>
      <c r="J78" s="712"/>
      <c r="K78" s="712"/>
      <c r="L78" s="712"/>
      <c r="M78" s="712"/>
      <c r="N78" s="712"/>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2"/>
      <c r="J79" s="712"/>
      <c r="K79" s="712"/>
      <c r="L79" s="712"/>
      <c r="M79" s="712"/>
      <c r="N79" s="712"/>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2"/>
      <c r="J80" s="712"/>
      <c r="K80" s="712"/>
      <c r="L80" s="712"/>
      <c r="M80" s="712"/>
      <c r="N80" s="712"/>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2"/>
      <c r="J81" s="712"/>
      <c r="K81" s="712"/>
      <c r="L81" s="712"/>
      <c r="M81" s="712"/>
      <c r="N81" s="712"/>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2"/>
      <c r="J82" s="712"/>
      <c r="K82" s="712"/>
      <c r="L82" s="712"/>
      <c r="M82" s="712"/>
      <c r="N82" s="712"/>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2"/>
      <c r="J83" s="712"/>
      <c r="K83" s="712"/>
      <c r="L83" s="712"/>
      <c r="M83" s="712"/>
      <c r="N83" s="712"/>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2"/>
      <c r="J84" s="712"/>
      <c r="K84" s="712"/>
      <c r="L84" s="712"/>
      <c r="M84" s="712"/>
      <c r="N84" s="712"/>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2"/>
      <c r="J85" s="712"/>
      <c r="K85" s="712"/>
      <c r="L85" s="712"/>
      <c r="M85" s="712"/>
      <c r="N85" s="712"/>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2"/>
      <c r="J86" s="712"/>
      <c r="K86" s="712"/>
      <c r="L86" s="712"/>
      <c r="M86" s="712"/>
      <c r="N86" s="712"/>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2"/>
      <c r="J87" s="712"/>
      <c r="K87" s="712"/>
      <c r="L87" s="712"/>
      <c r="M87" s="712"/>
      <c r="N87" s="712"/>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2"/>
      <c r="J88" s="712"/>
      <c r="K88" s="712"/>
      <c r="L88" s="712"/>
      <c r="M88" s="712"/>
      <c r="N88" s="712"/>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2"/>
      <c r="J89" s="712"/>
      <c r="K89" s="712"/>
      <c r="L89" s="712"/>
      <c r="M89" s="712"/>
      <c r="N89" s="712"/>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2"/>
      <c r="J90" s="712"/>
      <c r="K90" s="712"/>
      <c r="L90" s="712"/>
      <c r="M90" s="712"/>
      <c r="N90" s="712"/>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2"/>
      <c r="J91" s="712"/>
      <c r="K91" s="712"/>
      <c r="L91" s="712"/>
      <c r="M91" s="712"/>
      <c r="N91" s="712"/>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2"/>
      <c r="J92" s="712"/>
      <c r="K92" s="712"/>
      <c r="L92" s="712"/>
      <c r="M92" s="712"/>
      <c r="N92" s="712"/>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2"/>
      <c r="J93" s="712"/>
      <c r="K93" s="712"/>
      <c r="L93" s="712"/>
      <c r="M93" s="712"/>
      <c r="N93" s="712"/>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2"/>
      <c r="J94" s="712"/>
      <c r="K94" s="712"/>
      <c r="L94" s="712"/>
      <c r="M94" s="712"/>
      <c r="N94" s="712"/>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2"/>
      <c r="J95" s="712"/>
      <c r="K95" s="712"/>
      <c r="L95" s="712"/>
      <c r="M95" s="712"/>
      <c r="N95" s="712"/>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2"/>
      <c r="J96" s="712"/>
      <c r="K96" s="712"/>
      <c r="L96" s="712"/>
      <c r="M96" s="712"/>
      <c r="N96" s="712"/>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2"/>
      <c r="J97" s="712"/>
      <c r="K97" s="712"/>
      <c r="L97" s="712"/>
      <c r="M97" s="712"/>
      <c r="N97" s="712"/>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2"/>
      <c r="J98" s="712"/>
      <c r="K98" s="712"/>
      <c r="L98" s="712"/>
      <c r="M98" s="712"/>
      <c r="N98" s="712"/>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2"/>
      <c r="J99" s="712"/>
      <c r="K99" s="712"/>
      <c r="L99" s="712"/>
      <c r="M99" s="712"/>
      <c r="N99" s="712"/>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2"/>
      <c r="J100" s="712"/>
      <c r="K100" s="712"/>
      <c r="L100" s="712"/>
      <c r="M100" s="712"/>
      <c r="N100" s="712"/>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3" t="s">
        <v>114</v>
      </c>
      <c r="D103" s="713"/>
      <c r="E103" s="713"/>
      <c r="F103" s="713"/>
      <c r="G103" s="713"/>
      <c r="H103" s="713"/>
      <c r="I103" s="713"/>
      <c r="J103" s="713"/>
      <c r="K103" s="713"/>
      <c r="L103" s="713"/>
      <c r="M103" s="713"/>
      <c r="N103" s="713"/>
      <c r="O103" s="713"/>
      <c r="P103" s="713"/>
      <c r="Q103" s="713"/>
      <c r="R103" s="713"/>
      <c r="S103" s="713"/>
      <c r="T103" s="713"/>
      <c r="U103" s="713"/>
      <c r="V103" s="713"/>
      <c r="W103" s="713"/>
      <c r="X103" s="713"/>
      <c r="Y103" s="713"/>
      <c r="Z103" s="713"/>
      <c r="AA103" s="713"/>
      <c r="AB103" s="713"/>
      <c r="AC103" s="713"/>
      <c r="AD103" s="713"/>
      <c r="AE103" s="713"/>
      <c r="AF103" s="713"/>
      <c r="AG103" s="713"/>
      <c r="AH103" s="713"/>
      <c r="AI103" s="713"/>
      <c r="AJ103" s="713"/>
      <c r="AK103" s="713"/>
      <c r="AL103" s="713"/>
      <c r="AM103" s="713"/>
      <c r="AN103" s="713"/>
      <c r="AO103" s="713"/>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4"/>
      <c r="B105" s="714"/>
      <c r="C105" s="714"/>
      <c r="D105" s="714"/>
      <c r="E105" s="714"/>
      <c r="F105" s="714"/>
      <c r="G105" s="714"/>
      <c r="H105" s="714"/>
      <c r="I105" s="714"/>
      <c r="J105" s="714"/>
      <c r="K105" s="714"/>
      <c r="L105" s="714"/>
      <c r="M105" s="714"/>
      <c r="N105" s="714"/>
      <c r="O105" s="714"/>
      <c r="P105" s="714"/>
      <c r="Q105" s="714"/>
      <c r="R105" s="714"/>
      <c r="S105" s="714"/>
      <c r="T105" s="714"/>
      <c r="U105" s="714"/>
      <c r="V105" s="714"/>
      <c r="W105" s="714"/>
      <c r="X105" s="714"/>
      <c r="Y105" s="714"/>
      <c r="Z105" s="714"/>
      <c r="AA105" s="714"/>
      <c r="AB105" s="714"/>
      <c r="AC105" s="714"/>
      <c r="AD105" s="714"/>
      <c r="AE105" s="714"/>
      <c r="AF105" s="714"/>
      <c r="AG105" s="714"/>
      <c r="AH105" s="714"/>
      <c r="AI105" s="714"/>
      <c r="AJ105" s="714"/>
      <c r="AK105" s="714"/>
      <c r="AL105" s="714"/>
      <c r="AM105" s="714"/>
      <c r="AN105" s="714"/>
      <c r="AO105" s="714"/>
      <c r="AP105" s="714"/>
      <c r="AQ105" s="714"/>
      <c r="AR105" s="714"/>
      <c r="AS105" s="714"/>
      <c r="AT105" s="714"/>
      <c r="AU105" s="714"/>
      <c r="AV105" s="714"/>
      <c r="AW105" s="714"/>
      <c r="AX105" s="714"/>
      <c r="AY105" s="714"/>
      <c r="AZ105" s="714"/>
      <c r="BA105" s="714"/>
      <c r="BB105" s="714"/>
      <c r="BC105" s="714"/>
      <c r="BD105" s="714"/>
      <c r="BE105" s="714"/>
      <c r="BF105" s="714"/>
      <c r="BG105" s="714"/>
      <c r="BH105" s="714"/>
      <c r="BI105" s="714"/>
      <c r="BJ105" s="714"/>
      <c r="BK105" s="714"/>
      <c r="BL105" s="714"/>
      <c r="BM105" s="714"/>
      <c r="BN105" s="714"/>
      <c r="BO105" s="714"/>
      <c r="BP105" s="714"/>
      <c r="BQ105" s="714"/>
      <c r="BR105" s="244"/>
      <c r="BS105" s="244"/>
      <c r="BT105" s="244"/>
      <c r="BU105" s="244"/>
      <c r="BV105" s="244"/>
      <c r="BW105" s="244"/>
      <c r="BX105" s="244"/>
      <c r="BY105" s="244"/>
      <c r="BZ105" s="244"/>
      <c r="CA105" s="244"/>
      <c r="CB105" s="244"/>
      <c r="CC105" s="244"/>
      <c r="CD105" s="244"/>
      <c r="CE105" s="244"/>
      <c r="CF105" s="244"/>
    </row>
    <row r="106" ht="12.75" customHeight="1">
      <c r="A106" s="714"/>
      <c r="B106" s="714"/>
      <c r="C106" s="714"/>
      <c r="D106" s="714"/>
      <c r="E106" s="714"/>
      <c r="F106" s="714"/>
      <c r="G106" s="714"/>
      <c r="H106" s="714"/>
      <c r="I106" s="714"/>
      <c r="J106" s="714"/>
      <c r="K106" s="714"/>
      <c r="L106" s="714"/>
      <c r="M106" s="714"/>
      <c r="N106" s="714"/>
      <c r="O106" s="714"/>
      <c r="P106" s="714"/>
      <c r="Q106" s="714"/>
      <c r="R106" s="714"/>
      <c r="S106" s="714"/>
      <c r="T106" s="714"/>
      <c r="U106" s="714"/>
      <c r="V106" s="714"/>
      <c r="W106" s="714"/>
      <c r="X106" s="714"/>
      <c r="Y106" s="714"/>
      <c r="Z106" s="714"/>
      <c r="AA106" s="714"/>
      <c r="AB106" s="714"/>
      <c r="AC106" s="714"/>
      <c r="AD106" s="714"/>
      <c r="AE106" s="714"/>
      <c r="AF106" s="714"/>
      <c r="AG106" s="714"/>
      <c r="AH106" s="714"/>
      <c r="AI106" s="714"/>
      <c r="AJ106" s="714"/>
      <c r="AK106" s="714"/>
      <c r="AL106" s="714"/>
      <c r="AM106" s="714"/>
      <c r="AN106" s="714"/>
      <c r="AO106" s="714"/>
      <c r="AP106" s="714"/>
      <c r="AQ106" s="714"/>
      <c r="AR106" s="714"/>
      <c r="AS106" s="714"/>
      <c r="AT106" s="714"/>
      <c r="AU106" s="714"/>
      <c r="AV106" s="714"/>
      <c r="AW106" s="714"/>
      <c r="AX106" s="714"/>
      <c r="AY106" s="714"/>
      <c r="AZ106" s="714"/>
      <c r="BA106" s="714"/>
      <c r="BB106" s="714"/>
      <c r="BC106" s="714"/>
      <c r="BD106" s="714"/>
      <c r="BE106" s="714"/>
      <c r="BF106" s="714"/>
      <c r="BG106" s="714"/>
      <c r="BH106" s="714"/>
      <c r="BI106" s="714"/>
      <c r="BJ106" s="714"/>
      <c r="BK106" s="714"/>
      <c r="BL106" s="714"/>
      <c r="BM106" s="714"/>
      <c r="BN106" s="714"/>
      <c r="BO106" s="714"/>
      <c r="BP106" s="714"/>
      <c r="BQ106" s="714"/>
      <c r="BR106" s="244"/>
      <c r="BS106" s="244"/>
      <c r="BT106" s="244"/>
      <c r="BU106" s="244"/>
      <c r="BV106" s="244"/>
      <c r="BW106" s="244"/>
      <c r="BX106" s="244"/>
      <c r="BY106" s="244"/>
      <c r="BZ106" s="244"/>
      <c r="CA106" s="244"/>
      <c r="CB106" s="244"/>
      <c r="CC106" s="244"/>
      <c r="CD106" s="244"/>
      <c r="CE106" s="244"/>
      <c r="CF106" s="244"/>
    </row>
    <row r="107" ht="12.75" customHeight="1">
      <c r="A107" s="714"/>
      <c r="B107" s="714"/>
      <c r="C107" s="714"/>
      <c r="D107" s="714"/>
      <c r="E107" s="714"/>
      <c r="F107" s="714"/>
      <c r="G107" s="714"/>
      <c r="H107" s="714"/>
      <c r="I107" s="714"/>
      <c r="J107" s="714"/>
      <c r="K107" s="714"/>
      <c r="L107" s="714"/>
      <c r="M107" s="714"/>
      <c r="N107" s="714"/>
      <c r="O107" s="714"/>
      <c r="P107" s="714"/>
      <c r="Q107" s="714"/>
      <c r="R107" s="714"/>
      <c r="S107" s="714"/>
      <c r="T107" s="714"/>
      <c r="U107" s="714"/>
      <c r="V107" s="714"/>
      <c r="W107" s="714"/>
      <c r="X107" s="714"/>
      <c r="Y107" s="714"/>
      <c r="Z107" s="714"/>
      <c r="AA107" s="714"/>
      <c r="AB107" s="714"/>
      <c r="AC107" s="714"/>
      <c r="AD107" s="714"/>
      <c r="AE107" s="714"/>
      <c r="AF107" s="714"/>
      <c r="AG107" s="714"/>
      <c r="AH107" s="714"/>
      <c r="AI107" s="714"/>
      <c r="AJ107" s="714"/>
      <c r="AK107" s="714"/>
      <c r="AL107" s="714"/>
      <c r="AM107" s="714"/>
      <c r="AN107" s="714"/>
      <c r="AO107" s="714"/>
      <c r="AP107" s="714"/>
      <c r="AQ107" s="714"/>
      <c r="AR107" s="714"/>
      <c r="AS107" s="714"/>
      <c r="AT107" s="714"/>
      <c r="AU107" s="714"/>
      <c r="AV107" s="714"/>
      <c r="AW107" s="714"/>
      <c r="AX107" s="714"/>
      <c r="AY107" s="714"/>
      <c r="AZ107" s="714"/>
      <c r="BA107" s="714"/>
      <c r="BB107" s="714"/>
      <c r="BC107" s="714"/>
      <c r="BD107" s="714"/>
      <c r="BE107" s="714"/>
      <c r="BF107" s="714"/>
      <c r="BG107" s="714"/>
      <c r="BH107" s="714"/>
      <c r="BI107" s="714"/>
      <c r="BJ107" s="714"/>
      <c r="BK107" s="714"/>
      <c r="BL107" s="714"/>
      <c r="BM107" s="714"/>
      <c r="BN107" s="714"/>
      <c r="BO107" s="714"/>
      <c r="BP107" s="714"/>
      <c r="BQ107" s="714"/>
      <c r="BR107" s="244"/>
      <c r="BS107" s="244"/>
      <c r="BT107" s="244"/>
      <c r="BU107" s="244"/>
      <c r="BV107" s="244"/>
      <c r="BW107" s="244"/>
      <c r="BX107" s="244"/>
      <c r="BY107" s="244"/>
      <c r="BZ107" s="244"/>
      <c r="CA107" s="244"/>
      <c r="CB107" s="244"/>
      <c r="CC107" s="244"/>
      <c r="CD107" s="244"/>
      <c r="CE107" s="244"/>
      <c r="CF107" s="244"/>
    </row>
    <row r="108" ht="12.75" customHeight="1">
      <c r="A108" s="714"/>
      <c r="B108" s="714"/>
      <c r="C108" s="714"/>
      <c r="D108" s="714"/>
      <c r="E108" s="714"/>
      <c r="F108" s="714"/>
      <c r="G108" s="714"/>
      <c r="H108" s="714"/>
      <c r="I108" s="714"/>
      <c r="J108" s="714"/>
      <c r="K108" s="714"/>
      <c r="L108" s="714"/>
      <c r="M108" s="714"/>
      <c r="N108" s="714"/>
      <c r="O108" s="714"/>
      <c r="P108" s="714"/>
      <c r="Q108" s="714"/>
      <c r="R108" s="714"/>
      <c r="S108" s="714"/>
      <c r="T108" s="714"/>
      <c r="U108" s="714"/>
      <c r="V108" s="714"/>
      <c r="W108" s="714"/>
      <c r="X108" s="714"/>
      <c r="Y108" s="714"/>
      <c r="Z108" s="714"/>
      <c r="AA108" s="714"/>
      <c r="AB108" s="714"/>
      <c r="AC108" s="714"/>
      <c r="AD108" s="714"/>
      <c r="AE108" s="714"/>
      <c r="AF108" s="714"/>
      <c r="AG108" s="714"/>
      <c r="AH108" s="714"/>
      <c r="AI108" s="714"/>
      <c r="AJ108" s="714"/>
      <c r="AK108" s="714"/>
      <c r="AL108" s="714"/>
      <c r="AM108" s="714"/>
      <c r="AN108" s="714"/>
      <c r="AO108" s="714"/>
      <c r="AP108" s="714"/>
      <c r="AQ108" s="714"/>
      <c r="AR108" s="714"/>
      <c r="AS108" s="714"/>
      <c r="AT108" s="714"/>
      <c r="AU108" s="714"/>
      <c r="AV108" s="714"/>
      <c r="AW108" s="714"/>
      <c r="AX108" s="714"/>
      <c r="AY108" s="714"/>
      <c r="AZ108" s="714"/>
      <c r="BA108" s="714"/>
      <c r="BB108" s="714"/>
      <c r="BC108" s="714"/>
      <c r="BD108" s="714"/>
      <c r="BE108" s="714"/>
      <c r="BF108" s="714"/>
      <c r="BG108" s="714"/>
      <c r="BH108" s="714"/>
      <c r="BI108" s="714"/>
      <c r="BJ108" s="714"/>
      <c r="BK108" s="714"/>
      <c r="BL108" s="714"/>
      <c r="BM108" s="714"/>
      <c r="BN108" s="714"/>
      <c r="BO108" s="714"/>
      <c r="BP108" s="714"/>
      <c r="BQ108" s="714"/>
      <c r="BR108" s="244"/>
      <c r="BS108" s="244"/>
      <c r="BT108" s="244"/>
      <c r="BU108" s="244"/>
      <c r="BV108" s="244"/>
      <c r="BW108" s="244"/>
      <c r="BX108" s="244"/>
      <c r="BY108" s="244"/>
      <c r="BZ108" s="244"/>
      <c r="CA108" s="244"/>
      <c r="CB108" s="244"/>
      <c r="CC108" s="244"/>
      <c r="CD108" s="244"/>
      <c r="CE108" s="244"/>
      <c r="CF108" s="244"/>
    </row>
    <row r="109" ht="12.75" customHeight="1">
      <c r="A109" s="714"/>
      <c r="B109" s="714"/>
      <c r="C109" s="714"/>
      <c r="D109" s="714"/>
      <c r="E109" s="714"/>
      <c r="F109" s="714"/>
      <c r="G109" s="714"/>
      <c r="H109" s="714"/>
      <c r="I109" s="714"/>
      <c r="J109" s="714"/>
      <c r="K109" s="714"/>
      <c r="L109" s="714"/>
      <c r="M109" s="714"/>
      <c r="N109" s="714"/>
      <c r="O109" s="714"/>
      <c r="P109" s="714"/>
      <c r="Q109" s="714"/>
      <c r="R109" s="714"/>
      <c r="S109" s="714"/>
      <c r="T109" s="714"/>
      <c r="U109" s="714"/>
      <c r="V109" s="714"/>
      <c r="W109" s="714"/>
      <c r="X109" s="714"/>
      <c r="Y109" s="714"/>
      <c r="Z109" s="714"/>
      <c r="AA109" s="714"/>
      <c r="AB109" s="714"/>
      <c r="AC109" s="714"/>
      <c r="AD109" s="714"/>
      <c r="AE109" s="714"/>
      <c r="AF109" s="714"/>
      <c r="AG109" s="714"/>
      <c r="AH109" s="714"/>
      <c r="AI109" s="714"/>
      <c r="AJ109" s="714"/>
      <c r="AK109" s="714"/>
      <c r="AL109" s="714"/>
      <c r="AM109" s="714"/>
      <c r="AN109" s="714"/>
      <c r="AO109" s="714"/>
      <c r="AP109" s="714"/>
      <c r="AQ109" s="714"/>
      <c r="AR109" s="714"/>
      <c r="AS109" s="714"/>
      <c r="AT109" s="714"/>
      <c r="AU109" s="714"/>
      <c r="AV109" s="714"/>
      <c r="AW109" s="714"/>
      <c r="AX109" s="714"/>
      <c r="AY109" s="714"/>
      <c r="AZ109" s="714"/>
      <c r="BA109" s="714"/>
      <c r="BB109" s="714"/>
      <c r="BC109" s="714"/>
      <c r="BD109" s="714"/>
      <c r="BE109" s="714"/>
      <c r="BF109" s="714"/>
      <c r="BG109" s="714"/>
      <c r="BH109" s="714"/>
      <c r="BI109" s="714"/>
      <c r="BJ109" s="714"/>
      <c r="BK109" s="714"/>
      <c r="BL109" s="714"/>
      <c r="BM109" s="714"/>
      <c r="BN109" s="714"/>
      <c r="BO109" s="714"/>
      <c r="BP109" s="714"/>
      <c r="BQ109" s="714"/>
      <c r="BR109" s="244"/>
      <c r="BS109" s="244"/>
      <c r="BT109" s="244"/>
      <c r="BU109" s="244"/>
      <c r="BV109" s="244"/>
      <c r="BW109" s="244"/>
      <c r="BX109" s="244"/>
      <c r="BY109" s="244"/>
      <c r="BZ109" s="244"/>
      <c r="CA109" s="244"/>
      <c r="CB109" s="244"/>
      <c r="CC109" s="244"/>
      <c r="CD109" s="244"/>
      <c r="CE109" s="244"/>
      <c r="CF109" s="244"/>
    </row>
    <row r="110" ht="12.75" customHeight="1">
      <c r="A110" s="714"/>
      <c r="B110" s="714"/>
      <c r="C110" s="714"/>
      <c r="D110" s="714"/>
      <c r="E110" s="714"/>
      <c r="F110" s="714"/>
      <c r="G110" s="714"/>
      <c r="H110" s="714"/>
      <c r="I110" s="714"/>
      <c r="J110" s="714"/>
      <c r="K110" s="714"/>
      <c r="L110" s="714"/>
      <c r="M110" s="714"/>
      <c r="N110" s="714"/>
      <c r="O110" s="714"/>
      <c r="P110" s="714"/>
      <c r="Q110" s="714"/>
      <c r="R110" s="714"/>
      <c r="S110" s="714"/>
      <c r="T110" s="714"/>
      <c r="U110" s="714"/>
      <c r="V110" s="714"/>
      <c r="W110" s="714"/>
      <c r="X110" s="714"/>
      <c r="Y110" s="714"/>
      <c r="Z110" s="714"/>
      <c r="AA110" s="714"/>
      <c r="AB110" s="714"/>
      <c r="AC110" s="714"/>
      <c r="AD110" s="714"/>
      <c r="AE110" s="714"/>
      <c r="AF110" s="714"/>
      <c r="AG110" s="714"/>
      <c r="AH110" s="714"/>
      <c r="AI110" s="714"/>
      <c r="AJ110" s="714"/>
      <c r="AK110" s="714"/>
      <c r="AL110" s="714"/>
      <c r="AM110" s="714"/>
      <c r="AN110" s="714"/>
      <c r="AO110" s="714"/>
      <c r="AP110" s="714"/>
      <c r="AQ110" s="714"/>
      <c r="AR110" s="714"/>
      <c r="AS110" s="714"/>
      <c r="AT110" s="714"/>
      <c r="AU110" s="714"/>
      <c r="AV110" s="714"/>
      <c r="AW110" s="714"/>
      <c r="AX110" s="714"/>
      <c r="AY110" s="714"/>
      <c r="AZ110" s="714"/>
      <c r="BA110" s="714"/>
      <c r="BB110" s="714"/>
      <c r="BC110" s="714"/>
      <c r="BD110" s="714"/>
      <c r="BE110" s="714"/>
      <c r="BF110" s="714"/>
      <c r="BG110" s="714"/>
      <c r="BH110" s="714"/>
      <c r="BI110" s="714"/>
      <c r="BJ110" s="714"/>
      <c r="BK110" s="714"/>
      <c r="BL110" s="714"/>
      <c r="BM110" s="714"/>
      <c r="BN110" s="714"/>
      <c r="BO110" s="714"/>
      <c r="BP110" s="714"/>
      <c r="BQ110" s="714"/>
      <c r="BR110" s="244"/>
      <c r="BS110" s="244"/>
      <c r="BT110" s="244"/>
      <c r="BU110" s="244"/>
      <c r="BV110" s="244"/>
      <c r="BW110" s="244"/>
      <c r="BX110" s="244"/>
      <c r="BY110" s="244"/>
      <c r="BZ110" s="244"/>
      <c r="CA110" s="244"/>
      <c r="CB110" s="244"/>
      <c r="CC110" s="244"/>
      <c r="CD110" s="244"/>
      <c r="CE110" s="244"/>
      <c r="CF110" s="244"/>
    </row>
    <row r="111" ht="12.75" customHeight="1">
      <c r="A111" s="714"/>
      <c r="B111" s="714"/>
      <c r="C111" s="714"/>
      <c r="D111" s="714"/>
      <c r="E111" s="714"/>
      <c r="F111" s="714"/>
      <c r="G111" s="714"/>
      <c r="H111" s="714"/>
      <c r="I111" s="714"/>
      <c r="J111" s="714"/>
      <c r="K111" s="714"/>
      <c r="L111" s="714"/>
      <c r="M111" s="714"/>
      <c r="N111" s="714"/>
      <c r="O111" s="714"/>
      <c r="P111" s="714"/>
      <c r="Q111" s="714"/>
      <c r="R111" s="714"/>
      <c r="S111" s="714"/>
      <c r="T111" s="714"/>
      <c r="U111" s="714"/>
      <c r="V111" s="714"/>
      <c r="W111" s="714"/>
      <c r="X111" s="714"/>
      <c r="Y111" s="714"/>
      <c r="Z111" s="714"/>
      <c r="AA111" s="714"/>
      <c r="AB111" s="714"/>
      <c r="AC111" s="714"/>
      <c r="AD111" s="714"/>
      <c r="AE111" s="714"/>
      <c r="AF111" s="714"/>
      <c r="AG111" s="714"/>
      <c r="AH111" s="714"/>
      <c r="AI111" s="714"/>
      <c r="AJ111" s="714"/>
      <c r="AK111" s="714"/>
      <c r="AL111" s="714"/>
      <c r="AM111" s="714"/>
      <c r="AN111" s="714"/>
      <c r="AO111" s="714"/>
      <c r="AP111" s="714"/>
      <c r="AQ111" s="714"/>
      <c r="AR111" s="714"/>
      <c r="AS111" s="714"/>
      <c r="AT111" s="714"/>
      <c r="AU111" s="714"/>
      <c r="AV111" s="714"/>
      <c r="AW111" s="714"/>
      <c r="AX111" s="714"/>
      <c r="AY111" s="714"/>
      <c r="AZ111" s="714"/>
      <c r="BA111" s="714"/>
      <c r="BB111" s="714"/>
      <c r="BC111" s="714"/>
      <c r="BD111" s="714"/>
      <c r="BE111" s="714"/>
      <c r="BF111" s="714"/>
      <c r="BG111" s="714"/>
      <c r="BH111" s="714"/>
      <c r="BI111" s="714"/>
      <c r="BJ111" s="714"/>
      <c r="BK111" s="714"/>
      <c r="BL111" s="714"/>
      <c r="BM111" s="714"/>
      <c r="BN111" s="714"/>
      <c r="BO111" s="714"/>
      <c r="BP111" s="714"/>
      <c r="BQ111" s="714"/>
      <c r="BR111" s="244"/>
      <c r="BS111" s="244"/>
      <c r="BT111" s="244"/>
      <c r="BU111" s="244"/>
      <c r="BV111" s="244"/>
      <c r="BW111" s="244"/>
      <c r="BX111" s="244"/>
      <c r="BY111" s="244"/>
      <c r="BZ111" s="244"/>
      <c r="CA111" s="244"/>
      <c r="CB111" s="244"/>
      <c r="CC111" s="244"/>
      <c r="CD111" s="244"/>
      <c r="CE111" s="244"/>
      <c r="CF111" s="244"/>
    </row>
    <row r="112" ht="12.75" customHeight="1">
      <c r="A112" s="714"/>
      <c r="B112" s="714"/>
      <c r="C112" s="714"/>
      <c r="D112" s="714"/>
      <c r="E112" s="714"/>
      <c r="F112" s="714"/>
      <c r="G112" s="714"/>
      <c r="H112" s="714"/>
      <c r="I112" s="714"/>
      <c r="J112" s="714"/>
      <c r="K112" s="714"/>
      <c r="L112" s="714"/>
      <c r="M112" s="714"/>
      <c r="N112" s="714"/>
      <c r="O112" s="714"/>
      <c r="P112" s="714"/>
      <c r="Q112" s="714"/>
      <c r="R112" s="714"/>
      <c r="S112" s="714"/>
      <c r="T112" s="714"/>
      <c r="U112" s="714"/>
      <c r="V112" s="714"/>
      <c r="W112" s="714"/>
      <c r="X112" s="714"/>
      <c r="Y112" s="714"/>
      <c r="Z112" s="714"/>
      <c r="AA112" s="714"/>
      <c r="AB112" s="714"/>
      <c r="AC112" s="714"/>
      <c r="AD112" s="714"/>
      <c r="AE112" s="714"/>
      <c r="AF112" s="714"/>
      <c r="AG112" s="714"/>
      <c r="AH112" s="714"/>
      <c r="AI112" s="714"/>
      <c r="AJ112" s="714"/>
      <c r="AK112" s="714"/>
      <c r="AL112" s="714"/>
      <c r="AM112" s="714"/>
      <c r="AN112" s="714"/>
      <c r="AO112" s="714"/>
      <c r="AP112" s="714"/>
      <c r="AQ112" s="714"/>
      <c r="AR112" s="714"/>
      <c r="AS112" s="714"/>
      <c r="AT112" s="714"/>
      <c r="AU112" s="714"/>
      <c r="AV112" s="714"/>
      <c r="AW112" s="714"/>
      <c r="AX112" s="714"/>
      <c r="AY112" s="714"/>
      <c r="AZ112" s="714"/>
      <c r="BA112" s="714"/>
      <c r="BB112" s="714"/>
      <c r="BC112" s="714"/>
      <c r="BD112" s="714"/>
      <c r="BE112" s="714"/>
      <c r="BF112" s="714"/>
      <c r="BG112" s="714"/>
      <c r="BH112" s="714"/>
      <c r="BI112" s="714"/>
      <c r="BJ112" s="714"/>
      <c r="BK112" s="714"/>
      <c r="BL112" s="714"/>
      <c r="BM112" s="714"/>
      <c r="BN112" s="714"/>
      <c r="BO112" s="714"/>
      <c r="BP112" s="714"/>
      <c r="BQ112" s="714"/>
      <c r="BR112" s="244"/>
      <c r="BS112" s="244"/>
      <c r="BT112" s="244"/>
      <c r="BU112" s="244"/>
      <c r="BV112" s="244"/>
      <c r="BW112" s="244"/>
      <c r="BX112" s="244"/>
      <c r="BY112" s="244"/>
      <c r="BZ112" s="244"/>
      <c r="CA112" s="244"/>
      <c r="CB112" s="244"/>
      <c r="CC112" s="244"/>
      <c r="CD112" s="244"/>
      <c r="CE112" s="244"/>
      <c r="CF112" s="244"/>
    </row>
    <row r="113" ht="12.75" customHeight="1">
      <c r="A113" s="714"/>
      <c r="B113" s="714"/>
      <c r="C113" s="714"/>
      <c r="D113" s="714"/>
      <c r="E113" s="714"/>
      <c r="F113" s="714"/>
      <c r="G113" s="714"/>
      <c r="H113" s="714"/>
      <c r="I113" s="714"/>
      <c r="J113" s="714"/>
      <c r="K113" s="714"/>
      <c r="L113" s="714"/>
      <c r="M113" s="714"/>
      <c r="N113" s="714"/>
      <c r="O113" s="714"/>
      <c r="P113" s="714"/>
      <c r="Q113" s="714"/>
      <c r="R113" s="714"/>
      <c r="S113" s="714"/>
      <c r="T113" s="714"/>
      <c r="U113" s="714"/>
      <c r="V113" s="714"/>
      <c r="W113" s="714"/>
      <c r="X113" s="714"/>
      <c r="Y113" s="714"/>
      <c r="Z113" s="714"/>
      <c r="AA113" s="714"/>
      <c r="AB113" s="714"/>
      <c r="AC113" s="714"/>
      <c r="AD113" s="714"/>
      <c r="AE113" s="714"/>
      <c r="AF113" s="714"/>
      <c r="AG113" s="714"/>
      <c r="AH113" s="714"/>
      <c r="AI113" s="714"/>
      <c r="AJ113" s="714"/>
      <c r="AK113" s="714"/>
      <c r="AL113" s="714"/>
      <c r="AM113" s="714"/>
      <c r="AN113" s="714"/>
      <c r="AO113" s="714"/>
      <c r="AP113" s="714"/>
      <c r="AQ113" s="714"/>
      <c r="AR113" s="714"/>
      <c r="AS113" s="714"/>
      <c r="AT113" s="714"/>
      <c r="AU113" s="714"/>
      <c r="AV113" s="714"/>
      <c r="AW113" s="714"/>
      <c r="AX113" s="714"/>
      <c r="AY113" s="714"/>
      <c r="AZ113" s="714"/>
      <c r="BA113" s="714"/>
      <c r="BB113" s="714"/>
      <c r="BC113" s="714"/>
      <c r="BD113" s="714"/>
      <c r="BE113" s="714"/>
      <c r="BF113" s="714"/>
      <c r="BG113" s="714"/>
      <c r="BH113" s="714"/>
      <c r="BI113" s="714"/>
      <c r="BJ113" s="714"/>
      <c r="BK113" s="714"/>
      <c r="BL113" s="714"/>
      <c r="BM113" s="714"/>
      <c r="BN113" s="714"/>
      <c r="BO113" s="714"/>
      <c r="BP113" s="714"/>
      <c r="BQ113" s="714"/>
      <c r="BR113" s="244"/>
      <c r="BS113" s="244"/>
      <c r="BT113" s="244"/>
      <c r="BU113" s="244"/>
      <c r="BV113" s="244"/>
      <c r="BW113" s="244"/>
      <c r="BX113" s="244"/>
      <c r="BY113" s="244"/>
      <c r="BZ113" s="244"/>
      <c r="CA113" s="244"/>
      <c r="CB113" s="244"/>
      <c r="CC113" s="244"/>
      <c r="CD113" s="244"/>
      <c r="CE113" s="244"/>
      <c r="CF113" s="244"/>
    </row>
    <row r="114">
      <c r="A114" s="714"/>
      <c r="B114" s="714"/>
      <c r="C114" s="714"/>
      <c r="D114" s="714"/>
      <c r="E114" s="714"/>
      <c r="F114" s="714"/>
      <c r="G114" s="714"/>
      <c r="H114" s="714"/>
      <c r="I114" s="714"/>
      <c r="J114" s="714"/>
      <c r="K114" s="714"/>
      <c r="L114" s="714"/>
      <c r="M114" s="714"/>
      <c r="N114" s="714"/>
      <c r="O114" s="714"/>
      <c r="P114" s="714"/>
      <c r="Q114" s="714"/>
      <c r="R114" s="714"/>
      <c r="S114" s="714"/>
      <c r="T114" s="714"/>
      <c r="U114" s="714"/>
      <c r="V114" s="714"/>
      <c r="W114" s="714"/>
      <c r="X114" s="714"/>
      <c r="Y114" s="714"/>
      <c r="Z114" s="714"/>
      <c r="AA114" s="714"/>
      <c r="AB114" s="714"/>
      <c r="AC114" s="714"/>
      <c r="AD114" s="714"/>
      <c r="AE114" s="714"/>
      <c r="AF114" s="714"/>
      <c r="AG114" s="714"/>
      <c r="AH114" s="714"/>
      <c r="AI114" s="714"/>
      <c r="AJ114" s="714"/>
      <c r="AK114" s="714"/>
      <c r="AL114" s="714"/>
      <c r="AM114" s="714"/>
      <c r="AN114" s="714"/>
      <c r="AO114" s="714"/>
      <c r="AP114" s="714"/>
      <c r="AQ114" s="714"/>
      <c r="AR114" s="714"/>
      <c r="AS114" s="714"/>
      <c r="AT114" s="714"/>
      <c r="AU114" s="714"/>
      <c r="AV114" s="714"/>
      <c r="AW114" s="714"/>
      <c r="AX114" s="714"/>
      <c r="AY114" s="714"/>
      <c r="AZ114" s="714"/>
      <c r="BA114" s="714"/>
      <c r="BB114" s="714"/>
      <c r="BC114" s="714"/>
      <c r="BD114" s="714"/>
      <c r="BE114" s="714"/>
      <c r="BF114" s="714"/>
      <c r="BG114" s="714"/>
      <c r="BH114" s="714"/>
      <c r="BI114" s="714"/>
      <c r="BJ114" s="714"/>
      <c r="BK114" s="714"/>
      <c r="BL114" s="714"/>
      <c r="BM114" s="714"/>
      <c r="BN114" s="714"/>
      <c r="BO114" s="714"/>
      <c r="BP114" s="714"/>
      <c r="BQ114" s="714"/>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7"/>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140</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168</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177</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178</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167</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1" t="s">
        <v>40</v>
      </c>
      <c r="F8" s="651"/>
      <c r="G8" s="64"/>
      <c r="H8" s="651" t="s">
        <v>39</v>
      </c>
      <c r="I8" s="651"/>
      <c r="J8" s="1"/>
      <c r="K8" s="651" t="s">
        <v>41</v>
      </c>
      <c r="L8" s="651"/>
      <c r="M8" s="64"/>
      <c r="N8" s="651" t="s">
        <v>42</v>
      </c>
      <c r="O8" s="651"/>
      <c r="P8" s="64"/>
      <c r="Q8" s="651" t="s">
        <v>43</v>
      </c>
      <c r="R8" s="651"/>
      <c r="S8" s="64"/>
      <c r="T8" s="651" t="s">
        <v>44</v>
      </c>
      <c r="U8" s="651"/>
      <c r="V8" s="64"/>
      <c r="W8" s="651" t="s">
        <v>45</v>
      </c>
      <c r="X8" s="651"/>
      <c r="Y8" s="64"/>
      <c r="Z8" s="651" t="s">
        <v>23</v>
      </c>
      <c r="AA8" s="651"/>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2" t="s">
        <v>57</v>
      </c>
      <c r="F9" s="652"/>
      <c r="G9" s="65"/>
      <c r="H9" s="652" t="s">
        <v>57</v>
      </c>
      <c r="I9" s="652"/>
      <c r="J9" s="3"/>
      <c r="K9" s="652" t="s">
        <v>57</v>
      </c>
      <c r="L9" s="652"/>
      <c r="M9" s="79"/>
      <c r="N9" s="652" t="s">
        <v>57</v>
      </c>
      <c r="O9" s="652"/>
      <c r="P9" s="65"/>
      <c r="Q9" s="652" t="s">
        <v>57</v>
      </c>
      <c r="R9" s="652"/>
      <c r="S9" s="65"/>
      <c r="T9" s="652" t="s">
        <v>57</v>
      </c>
      <c r="U9" s="652"/>
      <c r="V9" s="65"/>
      <c r="W9" s="652" t="s">
        <v>57</v>
      </c>
      <c r="X9" s="652"/>
      <c r="Y9" s="1"/>
      <c r="Z9" s="652" t="s">
        <v>57</v>
      </c>
      <c r="AA9" s="652"/>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3" t="s">
        <v>28</v>
      </c>
      <c r="C10" s="1"/>
      <c r="D10" s="17" t="s">
        <v>32</v>
      </c>
      <c r="E10" s="67">
        <v>0.8106060606060606060606060606</v>
      </c>
      <c r="F10" s="73">
        <v>0.0000000000074766355140192500</v>
      </c>
      <c r="G10" s="66"/>
      <c r="H10" s="67">
        <v>0.7348484848484848484848484848</v>
      </c>
      <c r="I10" s="73">
        <v>21.249999999921187500000051220</v>
      </c>
      <c r="J10" s="66"/>
      <c r="K10" s="67">
        <v>0.6742424242424242424242424242</v>
      </c>
      <c r="L10" s="73">
        <v>18.666666666628693333333345480</v>
      </c>
      <c r="M10" s="67"/>
      <c r="N10" s="67">
        <v>0.7424242424242424242424242424</v>
      </c>
      <c r="O10" s="73">
        <v>5.3763440860894901144641437500</v>
      </c>
      <c r="P10" s="66"/>
      <c r="Q10" s="67">
        <v>0.9015151515151515151515151515</v>
      </c>
      <c r="R10" s="73">
        <v>32.222222222257481481481490880</v>
      </c>
      <c r="S10" s="66"/>
      <c r="T10" s="67">
        <v>0.8939393939393939393939393939</v>
      </c>
      <c r="U10" s="73">
        <v>14.563106796120953907060043530</v>
      </c>
      <c r="V10" s="66"/>
      <c r="W10" s="67">
        <v>0.9621212121212121212121212121</v>
      </c>
      <c r="X10" s="73">
        <v>18.691588785055603109441873310</v>
      </c>
      <c r="Y10" s="177"/>
      <c r="Z10" s="67">
        <v>0.8170995670995670995670995671</v>
      </c>
      <c r="AA10" s="73">
        <v>15.267175572593699667851572100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3"/>
      <c r="C11" s="15"/>
      <c r="D11" s="187" t="s">
        <v>26</v>
      </c>
      <c r="E11" s="180">
        <v>0.6903440621531631520532741398</v>
      </c>
      <c r="F11" s="81">
        <v>-5.4210323336572736606407386700</v>
      </c>
      <c r="G11" s="181"/>
      <c r="H11" s="180">
        <v>0.5871254162042175360710321865</v>
      </c>
      <c r="I11" s="81">
        <v>-12.481882404214187384559884160</v>
      </c>
      <c r="J11" s="181"/>
      <c r="K11" s="180">
        <v>0.607103218645948945615982242</v>
      </c>
      <c r="L11" s="81">
        <v>-0.9261256143869840243465586100</v>
      </c>
      <c r="M11" s="180"/>
      <c r="N11" s="180">
        <v>0.6359600443951165371809100999</v>
      </c>
      <c r="O11" s="81">
        <v>-1.507237502242265954084307800</v>
      </c>
      <c r="P11" s="181"/>
      <c r="Q11" s="180">
        <v>0.7769145394006659267480577137</v>
      </c>
      <c r="R11" s="81">
        <v>10.696926786324327219986776720</v>
      </c>
      <c r="S11" s="182"/>
      <c r="T11" s="180">
        <v>0.880133185349611542730299667</v>
      </c>
      <c r="U11" s="81">
        <v>10.471151940060079116765911640</v>
      </c>
      <c r="V11" s="181"/>
      <c r="W11" s="180">
        <v>0.9322974472807991120976692564</v>
      </c>
      <c r="X11" s="81">
        <v>15.336917729455797931143635790</v>
      </c>
      <c r="Y11" s="183"/>
      <c r="Z11" s="180">
        <v>0.7299825590613603932138893293</v>
      </c>
      <c r="AA11" s="81">
        <v>2.8948125647025089411176235600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117.42058852190244603307608637</v>
      </c>
      <c r="F12" s="73">
        <v>5.7317524894490468956375934400</v>
      </c>
      <c r="G12" s="68"/>
      <c r="H12" s="68">
        <v>125.16039411129114609778953033</v>
      </c>
      <c r="I12" s="73">
        <v>38.542742155398022692738936220</v>
      </c>
      <c r="J12" s="68"/>
      <c r="K12" s="68">
        <v>111.05894410281044886836474066</v>
      </c>
      <c r="L12" s="73">
        <v>19.775942348640808455842389410</v>
      </c>
      <c r="M12" s="68"/>
      <c r="N12" s="68">
        <v>116.74070548418237381905456089</v>
      </c>
      <c r="O12" s="73">
        <v>6.9889212300637962099016650600</v>
      </c>
      <c r="P12" s="68"/>
      <c r="Q12" s="68">
        <v>116.03787878782889159090911236</v>
      </c>
      <c r="R12" s="73">
        <v>19.445251156232529382028902820</v>
      </c>
      <c r="S12" s="68"/>
      <c r="T12" s="68">
        <v>101.56864992926083847656834565</v>
      </c>
      <c r="U12" s="73">
        <v>3.7040935883903641904518878300</v>
      </c>
      <c r="V12" s="68"/>
      <c r="W12" s="68">
        <v>103.19895382393158703639284475</v>
      </c>
      <c r="X12" s="73">
        <v>2.9085839310017213008117510200</v>
      </c>
      <c r="Y12" s="174"/>
      <c r="Z12" s="68">
        <v>111.93412184403809642830608070</v>
      </c>
      <c r="AA12" s="73">
        <v>12.024282565374440611562145690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3" t="s">
        <v>12</v>
      </c>
      <c r="C14" s="1"/>
      <c r="D14" s="17" t="s">
        <v>32</v>
      </c>
      <c r="E14" s="237">
        <v>148.8878504672897196261682243</v>
      </c>
      <c r="F14" s="73">
        <v>-14.948481127564371752206913190</v>
      </c>
      <c r="G14" s="70"/>
      <c r="H14" s="237">
        <v>147.11340206185567010309278351</v>
      </c>
      <c r="I14" s="73">
        <v>10.114821902586579418482622390</v>
      </c>
      <c r="J14" s="70"/>
      <c r="K14" s="237">
        <v>142.64044943820224719101123596</v>
      </c>
      <c r="L14" s="73">
        <v>-4.4562498180980875852425627900</v>
      </c>
      <c r="M14" s="70"/>
      <c r="N14" s="237">
        <v>137.500000000</v>
      </c>
      <c r="O14" s="73">
        <v>-10.181217953234361264346623900</v>
      </c>
      <c r="P14" s="70"/>
      <c r="Q14" s="237">
        <v>144.17647058823529411764705882</v>
      </c>
      <c r="R14" s="73">
        <v>2.4546573465710664329661801400</v>
      </c>
      <c r="S14" s="70"/>
      <c r="T14" s="237">
        <v>226.25423728813559322033898305</v>
      </c>
      <c r="U14" s="73">
        <v>-4.5223433272749511514737092200</v>
      </c>
      <c r="V14" s="70"/>
      <c r="W14" s="237">
        <v>213.14960629921259842519685039</v>
      </c>
      <c r="X14" s="73">
        <v>-9.157142220923562312689989230</v>
      </c>
      <c r="Y14" s="178"/>
      <c r="Z14" s="237">
        <v>168.60397350993377483443708609</v>
      </c>
      <c r="AA14" s="73">
        <v>-5.6364048730177000799903139600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3"/>
      <c r="C15" s="15"/>
      <c r="D15" s="187" t="s">
        <v>26</v>
      </c>
      <c r="E15" s="238">
        <v>143.0707395498392282958199357</v>
      </c>
      <c r="F15" s="81">
        <v>-22.185674663347169607518610100</v>
      </c>
      <c r="G15" s="184"/>
      <c r="H15" s="238">
        <v>135.24574669187145557655954631</v>
      </c>
      <c r="I15" s="81">
        <v>-4.9447895993682546595746729100</v>
      </c>
      <c r="J15" s="184"/>
      <c r="K15" s="238">
        <v>138.24314442413162705667276051</v>
      </c>
      <c r="L15" s="81">
        <v>-6.4767189008376472947548938500</v>
      </c>
      <c r="M15" s="184"/>
      <c r="N15" s="238">
        <v>141.76963350785340314136125653</v>
      </c>
      <c r="O15" s="81">
        <v>-2.0364090987343135833931645900</v>
      </c>
      <c r="P15" s="184"/>
      <c r="Q15" s="238">
        <v>154.29285714285714285714285712</v>
      </c>
      <c r="R15" s="81">
        <v>-2.2401610088581120880753088700</v>
      </c>
      <c r="S15" s="184"/>
      <c r="T15" s="238">
        <v>207.54854981084489281210592686</v>
      </c>
      <c r="U15" s="81">
        <v>-8.112431575863920505129858240</v>
      </c>
      <c r="V15" s="184"/>
      <c r="W15" s="238">
        <v>224.98690476190476190476190476</v>
      </c>
      <c r="X15" s="81">
        <v>3.0666042824599937096324731700</v>
      </c>
      <c r="Y15" s="186"/>
      <c r="Z15" s="238">
        <v>169.19374456993918331885317115</v>
      </c>
      <c r="AA15" s="81">
        <v>-4.6109280480171214037914690300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104.06589840507877029631135491</v>
      </c>
      <c r="F16" s="73">
        <v>9.300592795076594302721209910</v>
      </c>
      <c r="G16" s="68"/>
      <c r="H16" s="68">
        <v>108.77488250849846177549416341</v>
      </c>
      <c r="I16" s="73">
        <v>15.843015273393158610884440480</v>
      </c>
      <c r="J16" s="68"/>
      <c r="K16" s="68">
        <v>103.18084852049680569734748148</v>
      </c>
      <c r="L16" s="73">
        <v>2.160391572058132036989119800</v>
      </c>
      <c r="M16" s="68"/>
      <c r="N16" s="68">
        <v>96.98833000957001269897757688</v>
      </c>
      <c r="O16" s="73">
        <v>-8.31411831636542116582254100</v>
      </c>
      <c r="P16" s="68"/>
      <c r="Q16" s="68">
        <v>93.44338633557397608115575111</v>
      </c>
      <c r="R16" s="73">
        <v>4.802399844203679897055806600</v>
      </c>
      <c r="S16" s="68"/>
      <c r="T16" s="68">
        <v>109.01268040388024129509958011</v>
      </c>
      <c r="U16" s="73">
        <v>3.9070445656758829074351019200</v>
      </c>
      <c r="V16" s="68"/>
      <c r="W16" s="68">
        <v>94.73867224618489553574821906</v>
      </c>
      <c r="X16" s="73">
        <v>-11.860045830035749995631077310</v>
      </c>
      <c r="Y16" s="174"/>
      <c r="Z16" s="68">
        <v>99.65142265663221987350198068</v>
      </c>
      <c r="AA16" s="73">
        <v>-1.0750464429971224275469326300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3" t="s">
        <v>13</v>
      </c>
      <c r="C18" s="1"/>
      <c r="D18" s="17" t="s">
        <v>32</v>
      </c>
      <c r="E18" s="237">
        <v>120.68939393939393939393939394</v>
      </c>
      <c r="F18" s="73">
        <v>-14.948481127533495113034812180</v>
      </c>
      <c r="G18" s="70"/>
      <c r="H18" s="237">
        <v>108.10606060606060606060606061</v>
      </c>
      <c r="I18" s="73">
        <v>33.514221556881230755181254450</v>
      </c>
      <c r="J18" s="70"/>
      <c r="K18" s="237">
        <v>96.17424242424242424242424242</v>
      </c>
      <c r="L18" s="73">
        <v>13.378583549108250418158881280</v>
      </c>
      <c r="M18" s="70"/>
      <c r="N18" s="237">
        <v>102.08333333333333333333333333</v>
      </c>
      <c r="O18" s="73">
        <v>-5.3522511765464752612124716100</v>
      </c>
      <c r="P18" s="70"/>
      <c r="Q18" s="237">
        <v>129.97727272727272727272727273</v>
      </c>
      <c r="R18" s="73">
        <v>35.467824713735343758479673010</v>
      </c>
      <c r="S18" s="70"/>
      <c r="T18" s="237">
        <v>202.25757575757575757575757576</v>
      </c>
      <c r="U18" s="73">
        <v>9.382169780394491207647637110</v>
      </c>
      <c r="V18" s="70"/>
      <c r="W18" s="237">
        <v>205.07575757575757575757575758</v>
      </c>
      <c r="X18" s="73">
        <v>7.8228311957129255427076056900</v>
      </c>
      <c r="Y18" s="178"/>
      <c r="Z18" s="237">
        <v>137.76623376623376623376623377</v>
      </c>
      <c r="AA18" s="73">
        <v>8.770250871563932616779791100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3" t="s"/>
      <c r="C19" s="15"/>
      <c r="D19" s="187" t="s">
        <v>26</v>
      </c>
      <c r="E19" s="238">
        <v>98.76803551609322974472807991</v>
      </c>
      <c r="F19" s="81">
        <v>-26.404014400056838411449209470</v>
      </c>
      <c r="G19" s="184"/>
      <c r="H19" s="238">
        <v>79.40621531631520532741398446</v>
      </c>
      <c r="I19" s="81">
        <v>-16.809469180636963031921931750</v>
      </c>
      <c r="J19" s="184"/>
      <c r="K19" s="238">
        <v>83.92785793562708102108768036</v>
      </c>
      <c r="L19" s="81">
        <v>-7.3428619624836486599844305900</v>
      </c>
      <c r="M19" s="184"/>
      <c r="N19" s="238">
        <v>90.15982241953385127635960044</v>
      </c>
      <c r="O19" s="81">
        <v>-3.5129530793161394411295311200</v>
      </c>
      <c r="P19" s="184"/>
      <c r="Q19" s="238">
        <v>119.87236403995560488346281909</v>
      </c>
      <c r="R19" s="81">
        <v>8.217137394415245809386696170</v>
      </c>
      <c r="S19" s="184"/>
      <c r="T19" s="238">
        <v>182.67036625971143174250832408</v>
      </c>
      <c r="U19" s="81">
        <v>1.5092553277862812401041238400</v>
      </c>
      <c r="V19" s="184"/>
      <c r="W19" s="238">
        <v>209.75471698113207547169811321</v>
      </c>
      <c r="X19" s="81">
        <v>18.873844587774739245113772290</v>
      </c>
      <c r="Y19" s="186"/>
      <c r="Z19" s="238">
        <v>123.50848263833835420960837165</v>
      </c>
      <c r="AA19" s="81">
        <v>-1.8495932076896033722791112300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122.19479035777782392597771603</v>
      </c>
      <c r="F20" s="73">
        <v>15.565432243558782623224898550</v>
      </c>
      <c r="G20" s="68"/>
      <c r="H20" s="68">
        <v>136.14307164173493278554892487</v>
      </c>
      <c r="I20" s="73">
        <v>60.492089955293578822076247260</v>
      </c>
      <c r="J20" s="68"/>
      <c r="K20" s="68">
        <v>114.59156088320446525777879145</v>
      </c>
      <c r="L20" s="73">
        <v>22.363571712410706751917636880</v>
      </c>
      <c r="M20" s="68"/>
      <c r="N20" s="68">
        <v>113.22486069055797685186492542</v>
      </c>
      <c r="O20" s="73">
        <v>-1.9062642663837220986659830600</v>
      </c>
      <c r="P20" s="68"/>
      <c r="Q20" s="68">
        <v>108.42972337135258125399632582</v>
      </c>
      <c r="R20" s="73">
        <v>25.181489711685514984198072530</v>
      </c>
      <c r="S20" s="68"/>
      <c r="T20" s="68">
        <v>110.72270773795290122771960246</v>
      </c>
      <c r="U20" s="73">
        <v>7.7558587413659086033008935300</v>
      </c>
      <c r="V20" s="68"/>
      <c r="W20" s="68">
        <v>97.76931862478018884202695345</v>
      </c>
      <c r="X20" s="73">
        <v>-9.296421286247343630345883990</v>
      </c>
      <c r="Y20" s="174"/>
      <c r="Z20" s="68">
        <v>111.54394485574583146406138449</v>
      </c>
      <c r="AA20" s="73">
        <v>10.819969500219312240463215790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1" t="s">
        <v>40</v>
      </c>
      <c r="F25" s="651"/>
      <c r="G25" s="64"/>
      <c r="H25" s="651" t="s">
        <v>39</v>
      </c>
      <c r="I25" s="651"/>
      <c r="J25" s="1"/>
      <c r="K25" s="651" t="s">
        <v>41</v>
      </c>
      <c r="L25" s="651"/>
      <c r="M25" s="64"/>
      <c r="N25" s="651" t="s">
        <v>42</v>
      </c>
      <c r="O25" s="651"/>
      <c r="P25" s="64"/>
      <c r="Q25" s="651" t="s">
        <v>43</v>
      </c>
      <c r="R25" s="651"/>
      <c r="S25" s="64"/>
      <c r="T25" s="651" t="s">
        <v>44</v>
      </c>
      <c r="U25" s="651"/>
      <c r="V25" s="64"/>
      <c r="W25" s="651" t="s">
        <v>45</v>
      </c>
      <c r="X25" s="651"/>
      <c r="Y25" s="64"/>
      <c r="Z25" s="651" t="s">
        <v>23</v>
      </c>
      <c r="AA25" s="651"/>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2" t="s">
        <v>57</v>
      </c>
      <c r="F26" s="652"/>
      <c r="G26" s="65"/>
      <c r="H26" s="652" t="s">
        <v>57</v>
      </c>
      <c r="I26" s="652"/>
      <c r="J26" s="3"/>
      <c r="K26" s="652" t="s">
        <v>57</v>
      </c>
      <c r="L26" s="652"/>
      <c r="M26" s="65"/>
      <c r="N26" s="652" t="s">
        <v>57</v>
      </c>
      <c r="O26" s="652"/>
      <c r="P26" s="65"/>
      <c r="Q26" s="652" t="s">
        <v>57</v>
      </c>
      <c r="R26" s="652"/>
      <c r="S26" s="65"/>
      <c r="T26" s="652" t="s">
        <v>57</v>
      </c>
      <c r="U26" s="652"/>
      <c r="V26" s="65"/>
      <c r="W26" s="652" t="s">
        <v>57</v>
      </c>
      <c r="X26" s="652"/>
      <c r="Y26" s="1"/>
      <c r="Z26" s="652" t="s">
        <v>57</v>
      </c>
      <c r="AA26" s="652"/>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3" t="s">
        <v>28</v>
      </c>
      <c r="C27" s="1"/>
      <c r="D27" s="17" t="s">
        <v>32</v>
      </c>
      <c r="E27" s="67">
        <v>0.7689393939393939393939393939</v>
      </c>
      <c r="F27" s="73">
        <v>4.6391752578009990434690645700</v>
      </c>
      <c r="G27" s="66"/>
      <c r="H27" s="67">
        <v>0.6893939393939393939393939394</v>
      </c>
      <c r="I27" s="73">
        <v>9.969788519626830715309280790</v>
      </c>
      <c r="J27" s="66"/>
      <c r="K27" s="67">
        <v>0.6553030303030303030303030303</v>
      </c>
      <c r="L27" s="73">
        <v>7.4534161491537517842676501900</v>
      </c>
      <c r="M27" s="67"/>
      <c r="N27" s="67">
        <v>0.7916666666666666666666666667</v>
      </c>
      <c r="O27" s="73">
        <v>29.012345679088797439414768680</v>
      </c>
      <c r="P27" s="66"/>
      <c r="Q27" s="67">
        <v>0.9053030303030303030303030303</v>
      </c>
      <c r="R27" s="73">
        <v>16.870415647953764025800906650</v>
      </c>
      <c r="S27" s="66"/>
      <c r="T27" s="67">
        <v>0.9147727272727272727272727273</v>
      </c>
      <c r="U27" s="73">
        <v>8.539325842700531751041535300</v>
      </c>
      <c r="V27" s="66"/>
      <c r="W27" s="67">
        <v>0.9356060606060606060606060606</v>
      </c>
      <c r="X27" s="73">
        <v>5.1063829786661548211860882200</v>
      </c>
      <c r="Y27" s="177"/>
      <c r="Z27" s="67">
        <v>0.8087121212121212121212121212</v>
      </c>
      <c r="AA27" s="73">
        <v>11.156563778400580080465022470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3"/>
      <c r="C28" s="15"/>
      <c r="D28" s="187" t="s">
        <v>26</v>
      </c>
      <c r="E28" s="180">
        <v>0.748336257551843546967819987</v>
      </c>
      <c r="F28" s="81">
        <v>7.7395615402475717790287047500</v>
      </c>
      <c r="G28" s="181"/>
      <c r="H28" s="180">
        <v>0.6503538071605927800991261726</v>
      </c>
      <c r="I28" s="81">
        <v>4.889224480463799641846721500</v>
      </c>
      <c r="J28" s="181"/>
      <c r="K28" s="180">
        <v>0.639174983588204135879999957</v>
      </c>
      <c r="L28" s="81">
        <v>3.9382539230352883308012254300</v>
      </c>
      <c r="M28" s="180"/>
      <c r="N28" s="180">
        <v>0.6372590205784043329289925252</v>
      </c>
      <c r="O28" s="81">
        <v>-4.8715941824737800377467419700</v>
      </c>
      <c r="P28" s="181"/>
      <c r="Q28" s="180">
        <v>0.7685834713070236039766506614</v>
      </c>
      <c r="R28" s="81">
        <v>-1.6784240420328113690629783500</v>
      </c>
      <c r="S28" s="182"/>
      <c r="T28" s="180">
        <v>0.9068059798030154727510467556</v>
      </c>
      <c r="U28" s="81">
        <v>10.106444564936700306309718510</v>
      </c>
      <c r="V28" s="181"/>
      <c r="W28" s="180">
        <v>0.9176272894589533195878947024</v>
      </c>
      <c r="X28" s="81">
        <v>7.7169306830186935406940289600</v>
      </c>
      <c r="Y28" s="183"/>
      <c r="Z28" s="180">
        <v>0.7525915442068624560273615373</v>
      </c>
      <c r="AA28" s="81">
        <v>4.1828171945689810827291678100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102.75319232223119690099729953</v>
      </c>
      <c r="F29" s="73">
        <v>-2.8776674401313406656274182600</v>
      </c>
      <c r="G29" s="68"/>
      <c r="H29" s="68">
        <v>106.00290669525898756828942026</v>
      </c>
      <c r="I29" s="73">
        <v>4.8437425905602975763011448600</v>
      </c>
      <c r="J29" s="68"/>
      <c r="K29" s="68">
        <v>102.52326000377795358866363254</v>
      </c>
      <c r="L29" s="73">
        <v>3.3819715969861725023013752700</v>
      </c>
      <c r="M29" s="68"/>
      <c r="N29" s="68">
        <v>124.22996632493604583400582102</v>
      </c>
      <c r="O29" s="73">
        <v>35.619160828275634896435552590</v>
      </c>
      <c r="P29" s="68"/>
      <c r="Q29" s="68">
        <v>117.78851147599290133563187481</v>
      </c>
      <c r="R29" s="73">
        <v>18.865482483583677648628771610</v>
      </c>
      <c r="S29" s="68"/>
      <c r="T29" s="68">
        <v>100.87855038973805807886894413</v>
      </c>
      <c r="U29" s="73">
        <v>-1.4232761111006985219803638600</v>
      </c>
      <c r="V29" s="68"/>
      <c r="W29" s="68">
        <v>101.95926727044705067497770307</v>
      </c>
      <c r="X29" s="73">
        <v>-2.4235258912138692284127165900</v>
      </c>
      <c r="Y29" s="174"/>
      <c r="Z29" s="68">
        <v>107.45697682057470341476790299</v>
      </c>
      <c r="AA29" s="73">
        <v>6.6937588861192399123170070800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3" t="s">
        <v>12</v>
      </c>
      <c r="C31" s="1"/>
      <c r="D31" s="17" t="s">
        <v>32</v>
      </c>
      <c r="E31" s="237">
        <v>160.97290640394088669950738916</v>
      </c>
      <c r="F31" s="73">
        <v>3.2014006687519022369566952800</v>
      </c>
      <c r="G31" s="70"/>
      <c r="H31" s="237">
        <v>156.93956043956043956043956044</v>
      </c>
      <c r="I31" s="73">
        <v>8.453368628102510666898302370</v>
      </c>
      <c r="J31" s="70"/>
      <c r="K31" s="237">
        <v>160.30924855491329479768786127</v>
      </c>
      <c r="L31" s="73">
        <v>11.892957394237148332742770200</v>
      </c>
      <c r="M31" s="70"/>
      <c r="N31" s="237">
        <v>143.4138755980861244019138756</v>
      </c>
      <c r="O31" s="73">
        <v>-0.4433062074846254584654172300</v>
      </c>
      <c r="P31" s="70"/>
      <c r="Q31" s="237">
        <v>148.63807531380753138075313808</v>
      </c>
      <c r="R31" s="73">
        <v>-13.432385721296466978594070730</v>
      </c>
      <c r="S31" s="70"/>
      <c r="T31" s="237">
        <v>213.9710144927536231884057971</v>
      </c>
      <c r="U31" s="73">
        <v>-5.1801935397914890449641175100</v>
      </c>
      <c r="V31" s="70"/>
      <c r="W31" s="237">
        <v>215.64979757085020242914979757</v>
      </c>
      <c r="X31" s="73">
        <v>-5.2345822893191561677586855100</v>
      </c>
      <c r="Y31" s="178"/>
      <c r="Z31" s="237">
        <v>173.57745065239210438273670124</v>
      </c>
      <c r="AA31" s="73">
        <v>-2.5214401137039210259220944200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3"/>
      <c r="C32" s="15"/>
      <c r="D32" s="187" t="s">
        <v>26</v>
      </c>
      <c r="E32" s="238">
        <v>172.21670825429243666109716243</v>
      </c>
      <c r="F32" s="81">
        <v>7.7722068097598850693572394100</v>
      </c>
      <c r="G32" s="184"/>
      <c r="H32" s="238">
        <v>166.79825643899797746841162503</v>
      </c>
      <c r="I32" s="81">
        <v>17.412400869384054654766476240</v>
      </c>
      <c r="J32" s="184"/>
      <c r="K32" s="238">
        <v>166.24257177136541568873825698</v>
      </c>
      <c r="L32" s="81">
        <v>16.368934685922783453072914560</v>
      </c>
      <c r="M32" s="184"/>
      <c r="N32" s="238">
        <v>153.71933388465701597321275024</v>
      </c>
      <c r="O32" s="81">
        <v>6.2359883154471609664824306400</v>
      </c>
      <c r="P32" s="184"/>
      <c r="Q32" s="238">
        <v>159.85631166596304445680831373</v>
      </c>
      <c r="R32" s="81">
        <v>-7.7788127232153075805362203700</v>
      </c>
      <c r="S32" s="184"/>
      <c r="T32" s="238">
        <v>208.69676070068012904116349134</v>
      </c>
      <c r="U32" s="81">
        <v>-6.2235750490350131389122258600</v>
      </c>
      <c r="V32" s="184"/>
      <c r="W32" s="238">
        <v>209.02472674828409045670943464</v>
      </c>
      <c r="X32" s="81">
        <v>-5.3469509785888392259055952800</v>
      </c>
      <c r="Y32" s="186"/>
      <c r="Z32" s="238">
        <v>179.4728406887701123697479163</v>
      </c>
      <c r="AA32" s="81">
        <v>1.8816574405935814715383295600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93.47113182899988917356419970</v>
      </c>
      <c r="F33" s="73">
        <v>-4.2411733751220334000482714200</v>
      </c>
      <c r="G33" s="68"/>
      <c r="H33" s="68">
        <v>94.08944900869212829915986484</v>
      </c>
      <c r="I33" s="73">
        <v>-7.6303969384715213545314897300</v>
      </c>
      <c r="J33" s="68"/>
      <c r="K33" s="68">
        <v>96.43092430942080694530148748</v>
      </c>
      <c r="L33" s="73">
        <v>-3.8463678504432493165758983700</v>
      </c>
      <c r="M33" s="68"/>
      <c r="N33" s="68">
        <v>93.29592574585076382576560362</v>
      </c>
      <c r="O33" s="73">
        <v>-6.2872239707316229370244925300</v>
      </c>
      <c r="P33" s="68"/>
      <c r="Q33" s="68">
        <v>92.98230001976300657227822198</v>
      </c>
      <c r="R33" s="73">
        <v>-6.1304491571392434628215268500</v>
      </c>
      <c r="S33" s="68"/>
      <c r="T33" s="68">
        <v>102.52723318481096700420042520</v>
      </c>
      <c r="U33" s="73">
        <v>1.112626664711242170022257700</v>
      </c>
      <c r="V33" s="68"/>
      <c r="W33" s="68">
        <v>103.16951536098782829304025900</v>
      </c>
      <c r="X33" s="73">
        <v>0.1187163968528301139265397700</v>
      </c>
      <c r="Y33" s="174"/>
      <c r="Z33" s="68">
        <v>96.71516313344016884092368420</v>
      </c>
      <c r="AA33" s="73">
        <v>-4.3217765247906511261549598200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3" t="s">
        <v>13</v>
      </c>
      <c r="C35" s="1"/>
      <c r="D35" s="17" t="s">
        <v>32</v>
      </c>
      <c r="E35" s="237">
        <v>123.77840909090909090909090909</v>
      </c>
      <c r="F35" s="73">
        <v>7.989094514221598317992250800</v>
      </c>
      <c r="G35" s="70"/>
      <c r="H35" s="237">
        <v>108.19318181818181818181818182</v>
      </c>
      <c r="I35" s="73">
        <v>19.265940122772818834034600810</v>
      </c>
      <c r="J35" s="70"/>
      <c r="K35" s="237">
        <v>105.05113636363636363636363636</v>
      </c>
      <c r="L35" s="73">
        <v>20.232805150334570588873064190</v>
      </c>
      <c r="M35" s="70"/>
      <c r="N35" s="237">
        <v>113.53598484848484848484848485</v>
      </c>
      <c r="O35" s="73">
        <v>28.440425942241993261555577300</v>
      </c>
      <c r="P35" s="70"/>
      <c r="Q35" s="237">
        <v>134.562500000</v>
      </c>
      <c r="R35" s="73">
        <v>1.1719306239761982690742253900</v>
      </c>
      <c r="S35" s="70"/>
      <c r="T35" s="237">
        <v>195.73484848484848484848484848</v>
      </c>
      <c r="U35" s="73">
        <v>2.9167786972584869397225624600</v>
      </c>
      <c r="V35" s="70"/>
      <c r="W35" s="237">
        <v>201.76325757575757575757575758</v>
      </c>
      <c r="X35" s="73">
        <v>-0.3954971296101009257174602900</v>
      </c>
      <c r="Y35" s="178"/>
      <c r="Z35" s="237">
        <v>140.37418831168831168831168831</v>
      </c>
      <c r="AA35" s="73">
        <v>8.353817590197181343370087890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3" t="s"/>
      <c r="C36" s="15"/>
      <c r="D36" s="187" t="s">
        <v>26</v>
      </c>
      <c r="E36" s="238">
        <v>128.87600694291488536454600836</v>
      </c>
      <c r="F36" s="81">
        <v>16.113303079097991599208105240</v>
      </c>
      <c r="G36" s="184"/>
      <c r="H36" s="238">
        <v>108.47788110285119362910738096</v>
      </c>
      <c r="I36" s="81">
        <v>23.152956715705638295898109890</v>
      </c>
      <c r="J36" s="184"/>
      <c r="K36" s="238">
        <v>106.25809308362333773488207682</v>
      </c>
      <c r="L36" s="81">
        <v>20.951838821445767093081368060</v>
      </c>
      <c r="M36" s="184"/>
      <c r="N36" s="238">
        <v>97.95903215530125180905802201</v>
      </c>
      <c r="O36" s="81">
        <v>1.0606020889898969072763647900</v>
      </c>
      <c r="P36" s="184"/>
      <c r="Q36" s="238">
        <v>122.86291893056333019243972224</v>
      </c>
      <c r="R36" s="81">
        <v>-9.326675302336982618241558610</v>
      </c>
      <c r="S36" s="184"/>
      <c r="T36" s="238">
        <v>189.24747056889569833668732063</v>
      </c>
      <c r="U36" s="81">
        <v>3.2538873536212007541328698800</v>
      </c>
      <c r="V36" s="184"/>
      <c r="W36" s="238">
        <v>191.80679343592630754469864076</v>
      </c>
      <c r="X36" s="81">
        <v>1.9573592037917558537632851700</v>
      </c>
      <c r="Y36" s="186"/>
      <c r="Z36" s="238">
        <v>135.06974231715371494448845311</v>
      </c>
      <c r="AA36" s="81">
        <v>6.1431809261507963796267647400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96.04457185405390581177432764</v>
      </c>
      <c r="F37" s="73">
        <v>-6.9967939499196225615276918700</v>
      </c>
      <c r="G37" s="68"/>
      <c r="H37" s="68">
        <v>99.73755084278598543475549896</v>
      </c>
      <c r="I37" s="73">
        <v>-3.1562511341036382725257184600</v>
      </c>
      <c r="J37" s="68"/>
      <c r="K37" s="68">
        <v>98.86412725380452033162599423</v>
      </c>
      <c r="L37" s="73">
        <v>-0.5944793217262407338308627900</v>
      </c>
      <c r="M37" s="68"/>
      <c r="N37" s="68">
        <v>115.90149713656809453951957593</v>
      </c>
      <c r="O37" s="73">
        <v>27.092480439729301566796012810</v>
      </c>
      <c r="P37" s="68"/>
      <c r="Q37" s="68">
        <v>109.52246712940996639336764958</v>
      </c>
      <c r="R37" s="73">
        <v>11.578494514564446364521639390</v>
      </c>
      <c r="S37" s="68"/>
      <c r="T37" s="68">
        <v>103.42798659154950347772666297</v>
      </c>
      <c r="U37" s="73">
        <v>-0.3264851959082970351187476600</v>
      </c>
      <c r="V37" s="68"/>
      <c r="W37" s="68">
        <v>105.19088190856229034503107195</v>
      </c>
      <c r="X37" s="73">
        <v>-2.3076866169840008334098364200</v>
      </c>
      <c r="Y37" s="174"/>
      <c r="Z37" s="68">
        <v>103.92719043028250075687239849</v>
      </c>
      <c r="AA37" s="73">
        <v>2.0826930611914887027786033700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142</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168</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177</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178</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167</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51" t="s">
        <v>21</v>
      </c>
      <c r="E8" s="651"/>
      <c r="F8" s="651"/>
      <c r="G8" s="1"/>
      <c r="H8" s="651" t="s">
        <v>24</v>
      </c>
      <c r="I8" s="651"/>
      <c r="J8" s="651"/>
      <c r="K8" s="1"/>
      <c r="L8" s="651" t="s">
        <v>25</v>
      </c>
      <c r="M8" s="651"/>
      <c r="N8" s="651"/>
      <c r="O8" s="1"/>
      <c r="P8" s="651" t="s">
        <v>23</v>
      </c>
      <c r="Q8" s="651"/>
      <c r="R8" s="651"/>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0.7954545454545454545454545455</v>
      </c>
      <c r="F10" s="73">
        <v>18.357487922691591402366451220</v>
      </c>
      <c r="G10" s="66"/>
      <c r="H10" s="17" t="s">
        <v>32</v>
      </c>
      <c r="I10" s="19">
        <v>0.0216450216450216450216450216</v>
      </c>
      <c r="J10" s="73">
        <v>-41.176470588975778546703481500</v>
      </c>
      <c r="K10" s="1"/>
      <c r="L10" s="17" t="s">
        <v>32</v>
      </c>
      <c r="M10" s="19">
        <v>0</v>
      </c>
      <c r="N10" s="73">
        <v>0</v>
      </c>
      <c r="O10" s="1"/>
      <c r="P10" s="17" t="s">
        <v>32</v>
      </c>
      <c r="Q10" s="19">
        <v>0.8170995670995670995670995671</v>
      </c>
      <c r="R10" s="73">
        <v>15.267175572593699667851572100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0.6713175836372284762961788489</v>
      </c>
      <c r="F11" s="81">
        <v>-0.1994768239708963675070834100</v>
      </c>
      <c r="G11" s="181"/>
      <c r="H11" s="187" t="s">
        <v>27</v>
      </c>
      <c r="I11" s="190">
        <v>0.0586649754241319169177104804</v>
      </c>
      <c r="J11" s="81">
        <v>77.492233176189153344495642270</v>
      </c>
      <c r="K11" s="191"/>
      <c r="L11" s="187" t="s">
        <v>27</v>
      </c>
      <c r="M11" s="190">
        <v>0</v>
      </c>
      <c r="N11" s="81">
        <v>-100</v>
      </c>
      <c r="O11" s="191"/>
      <c r="P11" s="187" t="s">
        <v>27</v>
      </c>
      <c r="Q11" s="190">
        <v>0.7299825590613603932138893293</v>
      </c>
      <c r="R11" s="81">
        <v>2.8948125647025089411176235600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118.49154034443848948782581902</v>
      </c>
      <c r="F12" s="73">
        <v>18.594055578181950615700858440</v>
      </c>
      <c r="G12" s="68"/>
      <c r="H12" s="406" t="s">
        <v>91</v>
      </c>
      <c r="I12" s="74">
        <v>36.895986896069862097970392560</v>
      </c>
      <c r="J12" s="73">
        <v>-66.858533266903313202862369960</v>
      </c>
      <c r="K12" s="1"/>
      <c r="L12" s="406" t="s">
        <v>91</v>
      </c>
      <c r="M12" s="74">
        <v>0</v>
      </c>
      <c r="N12" s="73">
        <v>0</v>
      </c>
      <c r="O12" s="1"/>
      <c r="P12" s="406" t="s">
        <v>91</v>
      </c>
      <c r="Q12" s="74">
        <v>111.93412184403809642830608070</v>
      </c>
      <c r="R12" s="73">
        <v>12.024282565374440611562145690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168.10340136054421768707482993</v>
      </c>
      <c r="F14" s="73">
        <v>-3.7513832208131060662554534200</v>
      </c>
      <c r="G14" s="70"/>
      <c r="H14" s="76" t="s">
        <v>32</v>
      </c>
      <c r="I14" s="239">
        <v>187</v>
      </c>
      <c r="J14" s="73">
        <v>-25.819624314543867900430372920</v>
      </c>
      <c r="K14" s="77"/>
      <c r="L14" s="76" t="s">
        <v>32</v>
      </c>
      <c r="M14" s="239">
        <v>0</v>
      </c>
      <c r="N14" s="73">
        <v>0</v>
      </c>
      <c r="O14" s="77"/>
      <c r="P14" s="76" t="s">
        <v>32</v>
      </c>
      <c r="Q14" s="239">
        <v>168.60397350993377483443708609</v>
      </c>
      <c r="R14" s="73">
        <v>-5.6364048730177000799903139600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166.49645725082664147378365611</v>
      </c>
      <c r="F15" s="81">
        <v>-5.197813897128919542972323500</v>
      </c>
      <c r="G15" s="184"/>
      <c r="H15" s="189" t="s">
        <v>27</v>
      </c>
      <c r="I15" s="240">
        <v>200.05945945945945945945945945</v>
      </c>
      <c r="J15" s="81">
        <v>-6.6567034087144235206312313500</v>
      </c>
      <c r="K15" s="188"/>
      <c r="L15" s="189" t="s">
        <v>27</v>
      </c>
      <c r="M15" s="240">
        <v>0</v>
      </c>
      <c r="N15" s="81">
        <v>-100</v>
      </c>
      <c r="O15" s="188"/>
      <c r="P15" s="189" t="s">
        <v>27</v>
      </c>
      <c r="Q15" s="240">
        <v>169.19374456993918331885317115</v>
      </c>
      <c r="R15" s="81">
        <v>-4.6109280480171214037914690300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100.96515213373196051593762920</v>
      </c>
      <c r="F16" s="73">
        <v>1.5257355719872164850594150200</v>
      </c>
      <c r="G16" s="68"/>
      <c r="H16" s="406" t="s">
        <v>92</v>
      </c>
      <c r="I16" s="74">
        <v>93.47221096428896702109556166</v>
      </c>
      <c r="J16" s="73">
        <v>-20.529509462017050045014903590</v>
      </c>
      <c r="K16" s="1"/>
      <c r="L16" s="406" t="s">
        <v>92</v>
      </c>
      <c r="M16" s="74">
        <v>0</v>
      </c>
      <c r="N16" s="73">
        <v>0</v>
      </c>
      <c r="O16" s="1"/>
      <c r="P16" s="406" t="s">
        <v>92</v>
      </c>
      <c r="Q16" s="74">
        <v>99.65142265663221987350198068</v>
      </c>
      <c r="R16" s="73">
        <v>-1.0750464429971224275469326300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133.71861471861471861471861472</v>
      </c>
      <c r="F18" s="73">
        <v>13.917444980256915925903027090</v>
      </c>
      <c r="G18" s="70"/>
      <c r="H18" s="76" t="s">
        <v>32</v>
      </c>
      <c r="I18" s="239">
        <v>4.0476190476190476190476190476</v>
      </c>
      <c r="J18" s="73">
        <v>-56.364484891033397778860716190</v>
      </c>
      <c r="K18" s="77"/>
      <c r="L18" s="76" t="s">
        <v>32</v>
      </c>
      <c r="M18" s="239">
        <v>0</v>
      </c>
      <c r="N18" s="73">
        <v>0</v>
      </c>
      <c r="O18" s="77"/>
      <c r="P18" s="76" t="s">
        <v>32</v>
      </c>
      <c r="Q18" s="239">
        <v>137.76623376623376623376623377</v>
      </c>
      <c r="R18" s="73">
        <v>8.770250871563932616779791100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111.77199936578404946884414143</v>
      </c>
      <c r="F19" s="81">
        <v>-5.3869222870807849905515421900</v>
      </c>
      <c r="G19" s="184"/>
      <c r="H19" s="189" t="s">
        <v>27</v>
      </c>
      <c r="I19" s="240">
        <v>11.73648327255430474076423022</v>
      </c>
      <c r="J19" s="81">
        <v>65.677101639627962579109824110</v>
      </c>
      <c r="K19" s="188"/>
      <c r="L19" s="189" t="s">
        <v>27</v>
      </c>
      <c r="M19" s="240">
        <v>0</v>
      </c>
      <c r="N19" s="81">
        <v>-100</v>
      </c>
      <c r="O19" s="188"/>
      <c r="P19" s="189" t="s">
        <v>27</v>
      </c>
      <c r="Q19" s="240">
        <v>123.50848263833835420960837165</v>
      </c>
      <c r="R19" s="81">
        <v>-1.8495932076896033722791112300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119.63516397428777201772506966</v>
      </c>
      <c r="F20" s="73">
        <v>20.403487270429601452525390130</v>
      </c>
      <c r="G20" s="68"/>
      <c r="H20" s="406" t="s">
        <v>93</v>
      </c>
      <c r="I20" s="74">
        <v>34.487494708645997640678467980</v>
      </c>
      <c r="J20" s="73">
        <v>-73.662313815801316076187311730</v>
      </c>
      <c r="K20" s="1"/>
      <c r="L20" s="406" t="s">
        <v>93</v>
      </c>
      <c r="M20" s="74">
        <v>0</v>
      </c>
      <c r="N20" s="73">
        <v>0</v>
      </c>
      <c r="O20" s="1"/>
      <c r="P20" s="406" t="s">
        <v>93</v>
      </c>
      <c r="Q20" s="74">
        <v>111.54394485574583146406138449</v>
      </c>
      <c r="R20" s="73">
        <v>10.819969500219312240463215790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51" t="s">
        <v>21</v>
      </c>
      <c r="E25" s="651"/>
      <c r="F25" s="651"/>
      <c r="G25" s="1"/>
      <c r="H25" s="651" t="s">
        <v>24</v>
      </c>
      <c r="I25" s="651"/>
      <c r="J25" s="651"/>
      <c r="K25" s="1"/>
      <c r="L25" s="651" t="s">
        <v>25</v>
      </c>
      <c r="M25" s="651"/>
      <c r="N25" s="651"/>
      <c r="O25" s="1"/>
      <c r="P25" s="651" t="s">
        <v>23</v>
      </c>
      <c r="Q25" s="651"/>
      <c r="R25" s="651"/>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0.7968073593073593073593073593</v>
      </c>
      <c r="F27" s="73">
        <v>17.097415507021571564647932140</v>
      </c>
      <c r="G27" s="1"/>
      <c r="H27" s="17" t="s">
        <v>32</v>
      </c>
      <c r="I27" s="19">
        <v>0.0119047619047619047619047619</v>
      </c>
      <c r="J27" s="73">
        <v>-74.712643678202774474831480480</v>
      </c>
      <c r="K27" s="1"/>
      <c r="L27" s="17" t="s">
        <v>32</v>
      </c>
      <c r="M27" s="19">
        <v>0</v>
      </c>
      <c r="N27" s="73">
        <v>0</v>
      </c>
      <c r="O27" s="1"/>
      <c r="P27" s="17" t="s">
        <v>32</v>
      </c>
      <c r="Q27" s="19">
        <v>0.8087121212121212121212121212</v>
      </c>
      <c r="R27" s="73">
        <v>11.156563778400580080465022470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0.6787581532749311286525069366</v>
      </c>
      <c r="F28" s="81">
        <v>0.4266245093648439879191503800</v>
      </c>
      <c r="G28" s="191"/>
      <c r="H28" s="187" t="s">
        <v>27</v>
      </c>
      <c r="I28" s="190">
        <v>0.0738333909319313273748546007</v>
      </c>
      <c r="J28" s="81">
        <v>79.45857137112079211680037719</v>
      </c>
      <c r="K28" s="191"/>
      <c r="L28" s="187" t="s">
        <v>27</v>
      </c>
      <c r="M28" s="190">
        <v>0</v>
      </c>
      <c r="N28" s="81">
        <v>-100</v>
      </c>
      <c r="O28" s="191"/>
      <c r="P28" s="187" t="s">
        <v>27</v>
      </c>
      <c r="Q28" s="190">
        <v>0.7525915442068624560273615373</v>
      </c>
      <c r="R28" s="81">
        <v>4.1828171945689810827291678100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117.39193930308951652118294170</v>
      </c>
      <c r="F29" s="73">
        <v>16.599971450786478899090475690</v>
      </c>
      <c r="G29" s="75"/>
      <c r="H29" s="406" t="s">
        <v>91</v>
      </c>
      <c r="I29" s="74">
        <v>16.123818443779862831540635350</v>
      </c>
      <c r="J29" s="73">
        <v>-85.90908412532118552928921347</v>
      </c>
      <c r="K29" s="75"/>
      <c r="L29" s="406" t="s">
        <v>91</v>
      </c>
      <c r="M29" s="74">
        <v>0</v>
      </c>
      <c r="N29" s="73">
        <v>0</v>
      </c>
      <c r="O29" s="75"/>
      <c r="P29" s="406" t="s">
        <v>91</v>
      </c>
      <c r="Q29" s="74">
        <v>107.45697682057470341476790299</v>
      </c>
      <c r="R29" s="73">
        <v>6.6937588861192399123170070800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173.19762308998302207130730051</v>
      </c>
      <c r="F31" s="73">
        <v>-0.0798224362581443703590304500</v>
      </c>
      <c r="G31" s="77"/>
      <c r="H31" s="76" t="s">
        <v>32</v>
      </c>
      <c r="I31" s="239">
        <v>199</v>
      </c>
      <c r="J31" s="73">
        <v>-19.254716321151021493746266610</v>
      </c>
      <c r="K31" s="77"/>
      <c r="L31" s="76" t="s">
        <v>32</v>
      </c>
      <c r="M31" s="239">
        <v>0</v>
      </c>
      <c r="N31" s="73">
        <v>0</v>
      </c>
      <c r="O31" s="77"/>
      <c r="P31" s="76" t="s">
        <v>32</v>
      </c>
      <c r="Q31" s="239">
        <v>173.57745065239210438273670124</v>
      </c>
      <c r="R31" s="73">
        <v>-2.5214401137039210259220944200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174.00992300644102359848022628</v>
      </c>
      <c r="F32" s="81">
        <v>-0.4462774179251110931667970400</v>
      </c>
      <c r="G32" s="188"/>
      <c r="H32" s="189" t="s">
        <v>27</v>
      </c>
      <c r="I32" s="240">
        <v>229.69401935533234741866137327</v>
      </c>
      <c r="J32" s="81">
        <v>14.877816969200682900939047490</v>
      </c>
      <c r="K32" s="188"/>
      <c r="L32" s="189" t="s">
        <v>27</v>
      </c>
      <c r="M32" s="240">
        <v>0</v>
      </c>
      <c r="N32" s="81">
        <v>-100</v>
      </c>
      <c r="O32" s="188"/>
      <c r="P32" s="189" t="s">
        <v>27</v>
      </c>
      <c r="Q32" s="240">
        <v>179.4728406887701123697479163</v>
      </c>
      <c r="R32" s="81">
        <v>1.8816574405935814715383295600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99.53318758931517834508272789</v>
      </c>
      <c r="F33" s="73">
        <v>0.3680977186506037869955715800</v>
      </c>
      <c r="G33" s="75"/>
      <c r="H33" s="406" t="s">
        <v>92</v>
      </c>
      <c r="I33" s="74">
        <v>86.63699671351858346684615804</v>
      </c>
      <c r="J33" s="73">
        <v>-29.712031609621573791383197690</v>
      </c>
      <c r="K33" s="75"/>
      <c r="L33" s="406" t="s">
        <v>92</v>
      </c>
      <c r="M33" s="74">
        <v>0</v>
      </c>
      <c r="N33" s="73">
        <v>0</v>
      </c>
      <c r="O33" s="75"/>
      <c r="P33" s="406" t="s">
        <v>92</v>
      </c>
      <c r="Q33" s="74">
        <v>96.71516313344016884092368420</v>
      </c>
      <c r="R33" s="73">
        <v>-4.3217765247906511261549598200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138.00514069264069264069264069</v>
      </c>
      <c r="F35" s="73">
        <v>17.003945497120680136511529230</v>
      </c>
      <c r="G35" s="77"/>
      <c r="H35" s="76" t="s">
        <v>32</v>
      </c>
      <c r="I35" s="239">
        <v>2.369047619047619047619047619</v>
      </c>
      <c r="J35" s="73">
        <v>-79.58165240297397720272545849</v>
      </c>
      <c r="K35" s="77"/>
      <c r="L35" s="76" t="s">
        <v>32</v>
      </c>
      <c r="M35" s="239">
        <v>0</v>
      </c>
      <c r="N35" s="73">
        <v>0</v>
      </c>
      <c r="O35" s="77"/>
      <c r="P35" s="76" t="s">
        <v>32</v>
      </c>
      <c r="Q35" s="239">
        <v>140.37418831168831168831168831</v>
      </c>
      <c r="R35" s="73">
        <v>8.353817590197181343370087890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118.11065399136486081003051568</v>
      </c>
      <c r="F36" s="81">
        <v>-0.0215568374416801980244454300</v>
      </c>
      <c r="G36" s="188"/>
      <c r="H36" s="189" t="s">
        <v>27</v>
      </c>
      <c r="I36" s="240">
        <v>16.959088325788854134457937424</v>
      </c>
      <c r="J36" s="81">
        <v>106.15808915595846239365321355</v>
      </c>
      <c r="K36" s="188"/>
      <c r="L36" s="189" t="s">
        <v>27</v>
      </c>
      <c r="M36" s="240">
        <v>0</v>
      </c>
      <c r="N36" s="81">
        <v>-100</v>
      </c>
      <c r="O36" s="188"/>
      <c r="P36" s="189" t="s">
        <v>27</v>
      </c>
      <c r="Q36" s="240">
        <v>135.06974231715371494448845311</v>
      </c>
      <c r="R36" s="81">
        <v>6.1431809261507963796267647400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116.84393916122864869460320191</v>
      </c>
      <c r="F37" s="73">
        <v>17.029173285686227593554610830</v>
      </c>
      <c r="G37" s="75"/>
      <c r="H37" s="406" t="s">
        <v>93</v>
      </c>
      <c r="I37" s="74">
        <v>13.969192055233107651010377990</v>
      </c>
      <c r="J37" s="73">
        <v>-90.09578150412356156396428284</v>
      </c>
      <c r="K37" s="75"/>
      <c r="L37" s="406" t="s">
        <v>93</v>
      </c>
      <c r="M37" s="74">
        <v>0</v>
      </c>
      <c r="N37" s="73">
        <v>0</v>
      </c>
      <c r="O37" s="75"/>
      <c r="P37" s="406" t="s">
        <v>93</v>
      </c>
      <c r="Q37" s="74">
        <v>103.92719043028250075687239849</v>
      </c>
      <c r="R37" s="73">
        <v>2.0826930611914887027786033700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33"/>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144</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168</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177</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178</v>
      </c>
      <c r="T4" s="655"/>
      <c r="U4" s="655"/>
      <c r="V4" s="655"/>
      <c r="W4" s="655"/>
      <c r="X4" s="655"/>
      <c r="Y4" s="655"/>
      <c r="Z4" s="655"/>
      <c r="AA4" s="655"/>
      <c r="AB4" s="655"/>
      <c r="AC4" s="655"/>
      <c r="AD4" s="655"/>
      <c r="AE4" s="655"/>
      <c r="AF4" s="655"/>
      <c r="AG4" s="655"/>
      <c r="AH4" s="655"/>
      <c r="AI4" s="655"/>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167</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6"/>
      <c r="Y22" s="656"/>
      <c r="Z22" s="656"/>
      <c r="AA22" s="656"/>
      <c r="AB22" s="656"/>
      <c r="AC22" s="656"/>
      <c r="AD22" s="656"/>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48</v>
      </c>
      <c r="D23" s="50" t="s">
        <v>50</v>
      </c>
      <c r="E23" s="50" t="s">
        <v>51</v>
      </c>
      <c r="F23" s="50" t="s">
        <v>52</v>
      </c>
      <c r="G23" s="50" t="s">
        <v>53</v>
      </c>
      <c r="H23" s="50" t="s">
        <v>49</v>
      </c>
      <c r="I23" s="50" t="s">
        <v>47</v>
      </c>
      <c r="J23" s="50" t="s">
        <v>48</v>
      </c>
      <c r="K23" s="50" t="s">
        <v>50</v>
      </c>
      <c r="L23" s="50" t="s">
        <v>51</v>
      </c>
      <c r="M23" s="50" t="s">
        <v>52</v>
      </c>
      <c r="N23" s="50" t="s">
        <v>53</v>
      </c>
      <c r="O23" s="50" t="s">
        <v>49</v>
      </c>
      <c r="P23" s="50" t="s">
        <v>47</v>
      </c>
      <c r="Q23" s="50" t="s">
        <v>48</v>
      </c>
      <c r="R23" s="50" t="s">
        <v>50</v>
      </c>
      <c r="S23" s="50" t="s">
        <v>51</v>
      </c>
      <c r="T23" s="50" t="s">
        <v>52</v>
      </c>
      <c r="U23" s="50" t="s">
        <v>53</v>
      </c>
      <c r="V23" s="50" t="s">
        <v>49</v>
      </c>
      <c r="W23" s="50" t="s">
        <v>47</v>
      </c>
      <c r="X23" s="50" t="s">
        <v>48</v>
      </c>
      <c r="Y23" s="50" t="s">
        <v>50</v>
      </c>
      <c r="Z23" s="50" t="s">
        <v>51</v>
      </c>
      <c r="AA23" s="50" t="s">
        <v>52</v>
      </c>
      <c r="AB23" s="50" t="s">
        <v>53</v>
      </c>
      <c r="AC23" s="50" t="s">
        <v>49</v>
      </c>
      <c r="AD23" s="50" t="s">
        <v>47</v>
      </c>
      <c r="AE23" s="50" t="s">
        <v>48</v>
      </c>
      <c r="AF23" s="50" t="s">
        <v>50</v>
      </c>
      <c r="AG23" s="50" t="s">
        <v>51</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179</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73.484848484848484848484848480</v>
      </c>
      <c r="D26" s="287">
        <v>86.36363636363636363636363636</v>
      </c>
      <c r="E26" s="287">
        <v>93.18181818181818181818181818</v>
      </c>
      <c r="F26" s="287">
        <v>95.45454545454545454545454545</v>
      </c>
      <c r="G26" s="287">
        <v>88.63636363636363636363636364</v>
      </c>
      <c r="H26" s="287">
        <v>81.81818181818181818181818182</v>
      </c>
      <c r="I26" s="287">
        <v>65.151515151515151515151515150</v>
      </c>
      <c r="J26" s="287">
        <v>62.121212121212121212121212120</v>
      </c>
      <c r="K26" s="287">
        <v>77.272727272727272727272727270</v>
      </c>
      <c r="L26" s="287">
        <v>87.12121212121212121212121212</v>
      </c>
      <c r="M26" s="287">
        <v>90.15151515151515151515151515</v>
      </c>
      <c r="N26" s="287">
        <v>96.21212121212121212121212121</v>
      </c>
      <c r="O26" s="287">
        <v>81.06060606060606060606060606</v>
      </c>
      <c r="P26" s="287">
        <v>73.484848484848484848484848480</v>
      </c>
      <c r="Q26" s="287">
        <v>67.424242424242424242424242420</v>
      </c>
      <c r="R26" s="287">
        <v>74.242424242424242424242424240</v>
      </c>
      <c r="S26" s="287">
        <v>90.15151515151515151515151515</v>
      </c>
      <c r="T26" s="287">
        <v>89.39393939393939393939393939</v>
      </c>
      <c r="U26" s="287">
        <v>96.21212121212121212121212121</v>
      </c>
      <c r="V26" s="287"/>
      <c r="W26" s="287"/>
      <c r="X26" s="287"/>
      <c r="Y26" s="287"/>
      <c r="Z26" s="287"/>
      <c r="AA26" s="287"/>
      <c r="AB26" s="287"/>
      <c r="AC26" s="287"/>
      <c r="AD26" s="287"/>
      <c r="AE26" s="287"/>
      <c r="AF26" s="287"/>
      <c r="AG26" s="288"/>
      <c r="AH26" s="218"/>
      <c r="AI26" s="302">
        <v>82.57575757575757575757575758</v>
      </c>
      <c r="AJ26" s="302">
        <v>77.913752913752913752913752910</v>
      </c>
      <c r="AK26" s="302">
        <v>92.67676767676767676767676768</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56.340755082284607938044530490</v>
      </c>
      <c r="D27" s="202">
        <v>57.212003872216844143272023230</v>
      </c>
      <c r="E27" s="202">
        <v>80.05808325266214908034849952</v>
      </c>
      <c r="F27" s="202">
        <v>91.96515004840271055179090029</v>
      </c>
      <c r="G27" s="202">
        <v>87.60890609874152952565343659</v>
      </c>
      <c r="H27" s="202">
        <v>64.181994191674733785091965150</v>
      </c>
      <c r="I27" s="202">
        <v>53.607103218645948945615982240</v>
      </c>
      <c r="J27" s="202">
        <v>54.495005549389567147613762490</v>
      </c>
      <c r="K27" s="202">
        <v>58.490566037735849056603773580</v>
      </c>
      <c r="L27" s="202">
        <v>76.692563817980022197558268590</v>
      </c>
      <c r="M27" s="202">
        <v>92.23085460599334073251942286</v>
      </c>
      <c r="N27" s="202">
        <v>91.34295227524972253052164262</v>
      </c>
      <c r="O27" s="202">
        <v>69.034406215316315205327413980</v>
      </c>
      <c r="P27" s="202">
        <v>58.712541620421753607103218650</v>
      </c>
      <c r="Q27" s="202">
        <v>60.710321864594894561598224200</v>
      </c>
      <c r="R27" s="202">
        <v>63.596004439511653718091009990</v>
      </c>
      <c r="S27" s="202">
        <v>77.691453940066592674805771370</v>
      </c>
      <c r="T27" s="202">
        <v>88.01331853496115427302996670</v>
      </c>
      <c r="U27" s="202">
        <v>93.22974472807991120976692564</v>
      </c>
      <c r="V27" s="202"/>
      <c r="W27" s="202"/>
      <c r="X27" s="202"/>
      <c r="Y27" s="202"/>
      <c r="Z27" s="202"/>
      <c r="AA27" s="202"/>
      <c r="AB27" s="202"/>
      <c r="AC27" s="202"/>
      <c r="AD27" s="202"/>
      <c r="AE27" s="202"/>
      <c r="AF27" s="202"/>
      <c r="AG27" s="290"/>
      <c r="AH27" s="218"/>
      <c r="AI27" s="303">
        <v>72.379669968101542151808249380</v>
      </c>
      <c r="AJ27" s="303">
        <v>63.909446392500071697005726420</v>
      </c>
      <c r="AK27" s="303">
        <v>90.73182104857139480388038245</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130.42929292925729654795377417</v>
      </c>
      <c r="D28" s="292">
        <v>150.95369943090123448403487847</v>
      </c>
      <c r="E28" s="292">
        <v>116.39276684615800755301689286</v>
      </c>
      <c r="F28" s="292">
        <v>103.79425837320880082598841610</v>
      </c>
      <c r="G28" s="292">
        <v>101.17277749879230882340701165</v>
      </c>
      <c r="H28" s="292">
        <v>127.47840394894200048022248561</v>
      </c>
      <c r="I28" s="292">
        <v>121.53522805707136045459035754</v>
      </c>
      <c r="J28" s="292">
        <v>113.99432203910673267993795537</v>
      </c>
      <c r="K28" s="292">
        <v>132.11143695022759909185512483</v>
      </c>
      <c r="L28" s="292">
        <v>113.59799149231790676360722850</v>
      </c>
      <c r="M28" s="292">
        <v>97.74550559748409962071680638</v>
      </c>
      <c r="N28" s="292">
        <v>105.33064545828481196886686854</v>
      </c>
      <c r="O28" s="292">
        <v>117.42058852190244603307608637</v>
      </c>
      <c r="P28" s="292">
        <v>125.16039411129114609778953033</v>
      </c>
      <c r="Q28" s="292">
        <v>111.05894410281044886836474066</v>
      </c>
      <c r="R28" s="292">
        <v>116.74070548418237381905456089</v>
      </c>
      <c r="S28" s="292">
        <v>116.03787878782889159090911236</v>
      </c>
      <c r="T28" s="292">
        <v>101.56864992926083847656834565</v>
      </c>
      <c r="U28" s="292">
        <v>103.19895382393158703639284475</v>
      </c>
      <c r="V28" s="292"/>
      <c r="W28" s="292"/>
      <c r="X28" s="292"/>
      <c r="Y28" s="292"/>
      <c r="Z28" s="292"/>
      <c r="AA28" s="292"/>
      <c r="AB28" s="292"/>
      <c r="AC28" s="292"/>
      <c r="AD28" s="292"/>
      <c r="AE28" s="292"/>
      <c r="AF28" s="292"/>
      <c r="AG28" s="293"/>
      <c r="AH28" s="218"/>
      <c r="AI28" s="304">
        <v>114.08694957044058458755932994</v>
      </c>
      <c r="AJ28" s="304">
        <v>121.91273326832693194481852499</v>
      </c>
      <c r="AK28" s="304">
        <v>102.14362128489174357386630684</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19.753086419824051211705574740</v>
      </c>
      <c r="D31" s="287">
        <v>28.089887640530034086605277320</v>
      </c>
      <c r="E31" s="287">
        <v>7.8947368421506925207756423900</v>
      </c>
      <c r="F31" s="287">
        <v>5.8823529411942659416707889500</v>
      </c>
      <c r="G31" s="287">
        <v>-7.1428571428129251700680061500</v>
      </c>
      <c r="H31" s="287">
        <v>18.681318681308247796159884990</v>
      </c>
      <c r="I31" s="287">
        <v>0.0000000000232558139534937800</v>
      </c>
      <c r="J31" s="287">
        <v>-1.2048192771274785890550115700</v>
      </c>
      <c r="K31" s="287">
        <v>32.467532467608163265306165700</v>
      </c>
      <c r="L31" s="287">
        <v>-1.7094017094420337497260408800</v>
      </c>
      <c r="M31" s="287">
        <v>0.8474576271630853203102752600</v>
      </c>
      <c r="N31" s="287">
        <v>1.599999999967488000000010400</v>
      </c>
      <c r="O31" s="287">
        <v>0.0000000000074766355140192500</v>
      </c>
      <c r="P31" s="287">
        <v>21.249999999921187500000051220</v>
      </c>
      <c r="Q31" s="287">
        <v>18.666666666628693333333345480</v>
      </c>
      <c r="R31" s="287">
        <v>5.3763440860894901144641437500</v>
      </c>
      <c r="S31" s="287">
        <v>32.222222222257481481481490880</v>
      </c>
      <c r="T31" s="287">
        <v>14.563106796120953907060043530</v>
      </c>
      <c r="U31" s="287">
        <v>18.691588785055603109441873310</v>
      </c>
      <c r="V31" s="287"/>
      <c r="W31" s="287"/>
      <c r="X31" s="287"/>
      <c r="Y31" s="287"/>
      <c r="Z31" s="287"/>
      <c r="AA31" s="287"/>
      <c r="AB31" s="287"/>
      <c r="AC31" s="287"/>
      <c r="AD31" s="287"/>
      <c r="AE31" s="287"/>
      <c r="AF31" s="287"/>
      <c r="AG31" s="288"/>
      <c r="AH31" s="218"/>
      <c r="AI31" s="302">
        <v>12.432138979301398776998560280</v>
      </c>
      <c r="AJ31" s="302">
        <v>15.095615815049107749402765860</v>
      </c>
      <c r="AK31" s="302">
        <v>3.4968979130890314675004060200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-9.627329192536901064773734550</v>
      </c>
      <c r="D32" s="202">
        <v>-25.378787878752075681052936610</v>
      </c>
      <c r="E32" s="202">
        <v>-11.170784103080772438999895720</v>
      </c>
      <c r="F32" s="202">
        <v>2.2604951561130699468507385500</v>
      </c>
      <c r="G32" s="202">
        <v>0.4439511654031351279439270600</v>
      </c>
      <c r="H32" s="202">
        <v>-12.068965517240562974480929290</v>
      </c>
      <c r="I32" s="202">
        <v>-14.805942115559912720514335820</v>
      </c>
      <c r="J32" s="202">
        <v>-12.452036185813025819086981900</v>
      </c>
      <c r="K32" s="202">
        <v>-8.729977768951761920170927900</v>
      </c>
      <c r="L32" s="202">
        <v>0.9215521324656999208735284100</v>
      </c>
      <c r="M32" s="202">
        <v>18.944410496820298084061899270</v>
      </c>
      <c r="N32" s="202">
        <v>2.8977859327333693874368805800</v>
      </c>
      <c r="O32" s="202">
        <v>-5.4210323336572736606407386700</v>
      </c>
      <c r="P32" s="202">
        <v>-12.481882404214187384559884160</v>
      </c>
      <c r="Q32" s="202">
        <v>-0.9261256143869840243465586100</v>
      </c>
      <c r="R32" s="202">
        <v>-1.507237502242265954084307800</v>
      </c>
      <c r="S32" s="202">
        <v>10.696926786324327219986776720</v>
      </c>
      <c r="T32" s="202">
        <v>10.471151940060079116765911640</v>
      </c>
      <c r="U32" s="202">
        <v>15.336917729455797931143635790</v>
      </c>
      <c r="V32" s="202"/>
      <c r="W32" s="202"/>
      <c r="X32" s="202"/>
      <c r="Y32" s="202"/>
      <c r="Z32" s="202"/>
      <c r="AA32" s="202"/>
      <c r="AB32" s="202"/>
      <c r="AC32" s="202"/>
      <c r="AD32" s="202"/>
      <c r="AE32" s="202"/>
      <c r="AF32" s="202"/>
      <c r="AG32" s="290"/>
      <c r="AH32" s="218"/>
      <c r="AI32" s="303">
        <v>-0.6715296837123370235672257100</v>
      </c>
      <c r="AJ32" s="303">
        <v>-6.9319893536807530786541922500</v>
      </c>
      <c r="AK32" s="303">
        <v>7.2134192897737534535419687700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32.510288065758845857001678910</v>
      </c>
      <c r="D33" s="292">
        <v>71.653453487704283384238440470</v>
      </c>
      <c r="E33" s="292">
        <v>21.463119709686450145863548240</v>
      </c>
      <c r="F33" s="292">
        <v>3.5417956656028721776718283400</v>
      </c>
      <c r="G33" s="292">
        <v>-7.5532754538200679975428842900</v>
      </c>
      <c r="H33" s="292">
        <v>34.970911441458937403095073790</v>
      </c>
      <c r="I33" s="292">
        <v>17.379078404466236305433081490</v>
      </c>
      <c r="J33" s="292">
        <v>12.846920040914897442755877590</v>
      </c>
      <c r="K33" s="292">
        <v>45.138052155072799783935554490</v>
      </c>
      <c r="L33" s="292">
        <v>-2.6069296263597415349063216900</v>
      </c>
      <c r="M33" s="292">
        <v>-15.21463076251410356825354800</v>
      </c>
      <c r="N33" s="292">
        <v>-1.2612379565924609097866107700</v>
      </c>
      <c r="O33" s="292">
        <v>5.7317524894490468956375934400</v>
      </c>
      <c r="P33" s="292">
        <v>38.542742155398022692738936220</v>
      </c>
      <c r="Q33" s="292">
        <v>19.775942348640808455842389410</v>
      </c>
      <c r="R33" s="292">
        <v>6.9889212300637962099016650600</v>
      </c>
      <c r="S33" s="292">
        <v>19.445251156232529382028902820</v>
      </c>
      <c r="T33" s="292">
        <v>3.7040935883903641904518878300</v>
      </c>
      <c r="U33" s="292">
        <v>2.9085839310017213008117510200</v>
      </c>
      <c r="V33" s="292"/>
      <c r="W33" s="292"/>
      <c r="X33" s="292"/>
      <c r="Y33" s="292"/>
      <c r="Z33" s="292"/>
      <c r="AA33" s="292"/>
      <c r="AB33" s="292"/>
      <c r="AC33" s="292"/>
      <c r="AD33" s="292"/>
      <c r="AE33" s="292"/>
      <c r="AF33" s="292"/>
      <c r="AG33" s="293"/>
      <c r="AH33" s="218"/>
      <c r="AI33" s="304">
        <v>13.192258595494464221284762090</v>
      </c>
      <c r="AJ33" s="304">
        <v>23.668288400888516756905814440</v>
      </c>
      <c r="AK33" s="304">
        <v>-3.4664703366867365881539943300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6"/>
      <c r="Y35" s="656"/>
      <c r="Z35" s="656"/>
      <c r="AA35" s="656"/>
      <c r="AB35" s="656"/>
      <c r="AC35" s="656"/>
      <c r="AD35" s="656"/>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179</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142.7319587628865979381443299</v>
      </c>
      <c r="D38" s="295">
        <v>124.29824561403508771929824561</v>
      </c>
      <c r="E38" s="295">
        <v>145.59349593495934959349593496</v>
      </c>
      <c r="F38" s="295">
        <v>228.65079365079365079365079365</v>
      </c>
      <c r="G38" s="295">
        <v>225.7008547008547008547008547</v>
      </c>
      <c r="H38" s="295">
        <v>141.83333333333333333333333333</v>
      </c>
      <c r="I38" s="295">
        <v>139.02325581395348837209302326</v>
      </c>
      <c r="J38" s="295">
        <v>152.06097560975609756097560976</v>
      </c>
      <c r="K38" s="295">
        <v>144.70588235294117647058823529</v>
      </c>
      <c r="L38" s="295">
        <v>151.90434782608695652173913043</v>
      </c>
      <c r="M38" s="295">
        <v>212.64705882352941176470588235</v>
      </c>
      <c r="N38" s="295">
        <v>228.33858267716535433070866142</v>
      </c>
      <c r="O38" s="295">
        <v>148.8878504672897196261682243</v>
      </c>
      <c r="P38" s="295">
        <v>147.11340206185567010309278351</v>
      </c>
      <c r="Q38" s="295">
        <v>142.64044943820224719101123596</v>
      </c>
      <c r="R38" s="295">
        <v>137.500000000</v>
      </c>
      <c r="S38" s="295">
        <v>144.17647058823529411764705882</v>
      </c>
      <c r="T38" s="295">
        <v>226.25423728813559322033898305</v>
      </c>
      <c r="U38" s="295">
        <v>213.14960629921259842519685039</v>
      </c>
      <c r="V38" s="295"/>
      <c r="W38" s="295"/>
      <c r="X38" s="295"/>
      <c r="Y38" s="295"/>
      <c r="Z38" s="295"/>
      <c r="AA38" s="295"/>
      <c r="AB38" s="295"/>
      <c r="AC38" s="295"/>
      <c r="AD38" s="295"/>
      <c r="AE38" s="295"/>
      <c r="AF38" s="295"/>
      <c r="AG38" s="296"/>
      <c r="AH38" s="218"/>
      <c r="AI38" s="305">
        <v>171.27571221632061805890873974</v>
      </c>
      <c r="AJ38" s="305">
        <v>143.1735228122662677636499626</v>
      </c>
      <c r="AK38" s="305">
        <v>222.46457765667574931880108992</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141.84192439862542955326460482</v>
      </c>
      <c r="D39" s="207">
        <v>142.32487309644670050761421321</v>
      </c>
      <c r="E39" s="207">
        <v>164.78113663845223700120918984</v>
      </c>
      <c r="F39" s="207">
        <v>225.06</v>
      </c>
      <c r="G39" s="207">
        <v>208.62651933701657458563535912</v>
      </c>
      <c r="H39" s="207">
        <v>149.06938159879336349924585219</v>
      </c>
      <c r="I39" s="207">
        <v>134.46790890269151138716356108</v>
      </c>
      <c r="J39" s="207">
        <v>130.74541751527494908350305498</v>
      </c>
      <c r="K39" s="207">
        <v>135.94686907020872865275142316</v>
      </c>
      <c r="L39" s="207">
        <v>164.09406657018813314037626627</v>
      </c>
      <c r="M39" s="207">
        <v>208.961492178098676293622142</v>
      </c>
      <c r="N39" s="207">
        <v>203.42041312272174969623329282</v>
      </c>
      <c r="O39" s="207">
        <v>143.0707395498392282958199357</v>
      </c>
      <c r="P39" s="207">
        <v>135.24574669187145557655954631</v>
      </c>
      <c r="Q39" s="207">
        <v>138.24314442413162705667276051</v>
      </c>
      <c r="R39" s="207">
        <v>141.76963350785340314136125653</v>
      </c>
      <c r="S39" s="207">
        <v>154.29285714285714285714285712</v>
      </c>
      <c r="T39" s="207">
        <v>207.54854981084489281210592686</v>
      </c>
      <c r="U39" s="207">
        <v>224.98690476190476190476190476</v>
      </c>
      <c r="V39" s="207"/>
      <c r="W39" s="207"/>
      <c r="X39" s="207"/>
      <c r="Y39" s="207"/>
      <c r="Z39" s="207"/>
      <c r="AA39" s="207"/>
      <c r="AB39" s="207"/>
      <c r="AC39" s="207"/>
      <c r="AD39" s="207"/>
      <c r="AE39" s="207"/>
      <c r="AF39" s="207"/>
      <c r="AG39" s="298"/>
      <c r="AH39" s="218"/>
      <c r="AI39" s="306">
        <v>172.37210802739592461245567039</v>
      </c>
      <c r="AJ39" s="306">
        <v>145.61112772157664124834373111</v>
      </c>
      <c r="AK39" s="306">
        <v>213.21340717048503343118551929</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100.62748328328192274872313902</v>
      </c>
      <c r="D40" s="292">
        <v>87.33416929157909631313424517</v>
      </c>
      <c r="E40" s="292">
        <v>88.35568130250560020231786584</v>
      </c>
      <c r="F40" s="292">
        <v>101.59548282715438140658082007</v>
      </c>
      <c r="G40" s="292">
        <v>108.18416346019466010159755873</v>
      </c>
      <c r="H40" s="292">
        <v>95.14585209393200002277363531</v>
      </c>
      <c r="I40" s="292">
        <v>103.38768331301240375177849468</v>
      </c>
      <c r="J40" s="292">
        <v>116.30310147731313262657691270</v>
      </c>
      <c r="K40" s="292">
        <v>106.44296800849323931735859344</v>
      </c>
      <c r="L40" s="292">
        <v>92.57150547920741526344922710</v>
      </c>
      <c r="M40" s="292">
        <v>101.76375398501086789589037134</v>
      </c>
      <c r="N40" s="292">
        <v>112.24959146033938374162687280</v>
      </c>
      <c r="O40" s="292">
        <v>104.06589840507877029631135491</v>
      </c>
      <c r="P40" s="292">
        <v>108.77488250849846177549416341</v>
      </c>
      <c r="Q40" s="292">
        <v>103.18084852049680569734748148</v>
      </c>
      <c r="R40" s="292">
        <v>96.98833000957001269897757688</v>
      </c>
      <c r="S40" s="292">
        <v>93.44338633557397608115575111</v>
      </c>
      <c r="T40" s="292">
        <v>109.01268040388024129509958011</v>
      </c>
      <c r="U40" s="292">
        <v>94.73867224618489553574821906</v>
      </c>
      <c r="V40" s="292"/>
      <c r="W40" s="292"/>
      <c r="X40" s="292"/>
      <c r="Y40" s="292"/>
      <c r="Z40" s="292"/>
      <c r="AA40" s="292"/>
      <c r="AB40" s="292"/>
      <c r="AC40" s="292"/>
      <c r="AD40" s="292"/>
      <c r="AE40" s="292"/>
      <c r="AF40" s="292"/>
      <c r="AG40" s="293"/>
      <c r="AH40" s="218"/>
      <c r="AI40" s="304">
        <v>99.36393664634820119378555875</v>
      </c>
      <c r="AJ40" s="304">
        <v>98.32594874617392502652556189</v>
      </c>
      <c r="AK40" s="304">
        <v>104.33892530912837093154147548</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-0.6932772736978312350764845200</v>
      </c>
      <c r="D43" s="287">
        <v>-16.135669322669314370192545910</v>
      </c>
      <c r="E43" s="287">
        <v>-20.40637540601613385763064800</v>
      </c>
      <c r="F43" s="287">
        <v>6.4324054153945441068023226500</v>
      </c>
      <c r="G43" s="287">
        <v>-1.6588018109405352970156842500</v>
      </c>
      <c r="H43" s="287">
        <v>-7.5243008287199774298671343900</v>
      </c>
      <c r="I43" s="287">
        <v>-14.158529580704444635428746220</v>
      </c>
      <c r="J43" s="287">
        <v>13.305152846849351231088100870</v>
      </c>
      <c r="K43" s="287">
        <v>2.0548904669086180397334270800</v>
      </c>
      <c r="L43" s="287">
        <v>-24.653176633646391498763787440</v>
      </c>
      <c r="M43" s="287">
        <v>-13.668147458524259892183199220</v>
      </c>
      <c r="N43" s="287">
        <v>-6.9008975319796813512343183600</v>
      </c>
      <c r="O43" s="287">
        <v>-14.948481127564371752206913190</v>
      </c>
      <c r="P43" s="287">
        <v>10.114821902586579418482622390</v>
      </c>
      <c r="Q43" s="287">
        <v>-4.4562498180980875852425627900</v>
      </c>
      <c r="R43" s="287">
        <v>-10.181217953234361264346623900</v>
      </c>
      <c r="S43" s="287">
        <v>2.4546573465710664329661801400</v>
      </c>
      <c r="T43" s="287">
        <v>-4.5223433272749511514737092200</v>
      </c>
      <c r="U43" s="287">
        <v>-9.157142220923562312689989230</v>
      </c>
      <c r="V43" s="287"/>
      <c r="W43" s="287"/>
      <c r="X43" s="287"/>
      <c r="Y43" s="287"/>
      <c r="Z43" s="287"/>
      <c r="AA43" s="287"/>
      <c r="AB43" s="287"/>
      <c r="AC43" s="287"/>
      <c r="AD43" s="287"/>
      <c r="AE43" s="287"/>
      <c r="AF43" s="287"/>
      <c r="AG43" s="288"/>
      <c r="AH43" s="218"/>
      <c r="AI43" s="302">
        <v>-5.6549456033264495088361803400</v>
      </c>
      <c r="AJ43" s="302">
        <v>-8.517423596095956298259830310</v>
      </c>
      <c r="AK43" s="302">
        <v>-5.1491441015191007960864381500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-0.7729933664078567791963288400</v>
      </c>
      <c r="D44" s="202">
        <v>-4.7704942209208334801813679400</v>
      </c>
      <c r="E44" s="202">
        <v>-18.081798777812220418051679880</v>
      </c>
      <c r="F44" s="202">
        <v>6.2155647111885285133696276700</v>
      </c>
      <c r="G44" s="202">
        <v>0.4720868933900015327196375500</v>
      </c>
      <c r="H44" s="202">
        <v>1.1251363392111145256333169500</v>
      </c>
      <c r="I44" s="202">
        <v>-4.3455270008027753746421339900</v>
      </c>
      <c r="J44" s="202">
        <v>-6.4874015981289229966423664700</v>
      </c>
      <c r="K44" s="202">
        <v>-3.2021561678566511607278616200</v>
      </c>
      <c r="L44" s="202">
        <v>3.9181334578745493744460894500</v>
      </c>
      <c r="M44" s="202">
        <v>-13.501981401807930585576784980</v>
      </c>
      <c r="N44" s="202">
        <v>-17.446053997516738185758056290</v>
      </c>
      <c r="O44" s="202">
        <v>-22.185674663347169607518610100</v>
      </c>
      <c r="P44" s="202">
        <v>-4.9447895993682546595746729100</v>
      </c>
      <c r="Q44" s="202">
        <v>-6.4767189008376472947548938500</v>
      </c>
      <c r="R44" s="202">
        <v>-2.0364090987343135833931645900</v>
      </c>
      <c r="S44" s="202">
        <v>-2.2401610088581120880753088700</v>
      </c>
      <c r="T44" s="202">
        <v>-8.112431575863920505129858240</v>
      </c>
      <c r="U44" s="202">
        <v>3.0666042824599937096324731700</v>
      </c>
      <c r="V44" s="202"/>
      <c r="W44" s="202"/>
      <c r="X44" s="202"/>
      <c r="Y44" s="202"/>
      <c r="Z44" s="202"/>
      <c r="AA44" s="202"/>
      <c r="AB44" s="202"/>
      <c r="AC44" s="202"/>
      <c r="AD44" s="202"/>
      <c r="AE44" s="202"/>
      <c r="AF44" s="202"/>
      <c r="AG44" s="290"/>
      <c r="AH44" s="218"/>
      <c r="AI44" s="303">
        <v>-2.2330374041893570742059303700</v>
      </c>
      <c r="AJ44" s="303">
        <v>-5.6268519849926940128614608900</v>
      </c>
      <c r="AK44" s="303">
        <v>-5.7955027488404006089952366100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0.0803370930851315068505605900</v>
      </c>
      <c r="D45" s="292">
        <v>-11.934510222176127047180701730</v>
      </c>
      <c r="E45" s="292">
        <v>-2.837680263386671110585276400</v>
      </c>
      <c r="F45" s="292">
        <v>0.2041515335372276756550936600</v>
      </c>
      <c r="G45" s="292">
        <v>-2.1208763252085229897122545800</v>
      </c>
      <c r="H45" s="292">
        <v>-8.553201984298615765128073630</v>
      </c>
      <c r="I45" s="292">
        <v>-10.258801572146427314790858470</v>
      </c>
      <c r="J45" s="292">
        <v>21.165655519399845396523672290</v>
      </c>
      <c r="K45" s="292">
        <v>5.4309542719163559871150866200</v>
      </c>
      <c r="L45" s="292">
        <v>-27.494056273774041177719554780</v>
      </c>
      <c r="M45" s="292">
        <v>-0.1921038879997391339550374800</v>
      </c>
      <c r="N45" s="292">
        <v>12.773655259599513704352663450</v>
      </c>
      <c r="O45" s="292">
        <v>9.300592795076594302721209910</v>
      </c>
      <c r="P45" s="292">
        <v>15.843015273393158610884440480</v>
      </c>
      <c r="Q45" s="292">
        <v>2.160391572058132036989119800</v>
      </c>
      <c r="R45" s="292">
        <v>-8.31411831636542116582254100</v>
      </c>
      <c r="S45" s="292">
        <v>4.802399844203679897055806600</v>
      </c>
      <c r="T45" s="292">
        <v>3.9070445656758829074351019200</v>
      </c>
      <c r="U45" s="292">
        <v>-11.860045830035749995631077310</v>
      </c>
      <c r="V45" s="292"/>
      <c r="W45" s="292"/>
      <c r="X45" s="292"/>
      <c r="Y45" s="292"/>
      <c r="Z45" s="292"/>
      <c r="AA45" s="292"/>
      <c r="AB45" s="292"/>
      <c r="AC45" s="292"/>
      <c r="AD45" s="292"/>
      <c r="AE45" s="292"/>
      <c r="AF45" s="292"/>
      <c r="AG45" s="293"/>
      <c r="AH45" s="218"/>
      <c r="AI45" s="304">
        <v>-3.5000659816838364366966125700</v>
      </c>
      <c r="AJ45" s="304">
        <v>-3.0629174420200639053184570400</v>
      </c>
      <c r="AK45" s="304">
        <v>0.6861229200178279245222370500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6"/>
      <c r="Y47" s="656"/>
      <c r="Z47" s="656"/>
      <c r="AA47" s="656"/>
      <c r="AB47" s="656"/>
      <c r="AC47" s="656"/>
      <c r="AD47" s="656"/>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179</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104.88636363636363636363636364</v>
      </c>
      <c r="D50" s="295">
        <v>107.34848484848484848484848485</v>
      </c>
      <c r="E50" s="295">
        <v>135.66666666666666666666666667</v>
      </c>
      <c r="F50" s="295">
        <v>218.25757575757575757575757576</v>
      </c>
      <c r="G50" s="295">
        <v>200.0530303030303030303030303</v>
      </c>
      <c r="H50" s="295">
        <v>116.04545454545454545454545455</v>
      </c>
      <c r="I50" s="295">
        <v>90.57575757575757575757575758</v>
      </c>
      <c r="J50" s="295">
        <v>94.46212121212121212121212121</v>
      </c>
      <c r="K50" s="295">
        <v>111.81818181818181818181818182</v>
      </c>
      <c r="L50" s="295">
        <v>132.34090909090909090909090909</v>
      </c>
      <c r="M50" s="295">
        <v>191.70454545454545454545454545</v>
      </c>
      <c r="N50" s="295">
        <v>219.68939393939393939393939394</v>
      </c>
      <c r="O50" s="295">
        <v>120.68939393939393939393939394</v>
      </c>
      <c r="P50" s="295">
        <v>108.10606060606060606060606061</v>
      </c>
      <c r="Q50" s="295">
        <v>96.17424242424242424242424242</v>
      </c>
      <c r="R50" s="295">
        <v>102.08333333333333333333333333</v>
      </c>
      <c r="S50" s="295">
        <v>129.97727272727272727272727273</v>
      </c>
      <c r="T50" s="295">
        <v>202.25757575757575757575757576</v>
      </c>
      <c r="U50" s="295">
        <v>205.07575757575757575757575758</v>
      </c>
      <c r="V50" s="295"/>
      <c r="W50" s="295"/>
      <c r="X50" s="295"/>
      <c r="Y50" s="295"/>
      <c r="Z50" s="295"/>
      <c r="AA50" s="295"/>
      <c r="AB50" s="295"/>
      <c r="AC50" s="295"/>
      <c r="AD50" s="295"/>
      <c r="AE50" s="295"/>
      <c r="AF50" s="295"/>
      <c r="AG50" s="296"/>
      <c r="AH50" s="218"/>
      <c r="AI50" s="305">
        <v>141.43221690590111642743221691</v>
      </c>
      <c r="AJ50" s="305">
        <v>111.5518648018648018648018648</v>
      </c>
      <c r="AK50" s="305">
        <v>206.1729797979797979797979798</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79.91481122942884801548886738</v>
      </c>
      <c r="D51" s="207">
        <v>81.42691190706679574056147144</v>
      </c>
      <c r="E51" s="207">
        <v>131.92061955469506292352371733</v>
      </c>
      <c r="F51" s="207">
        <v>206.97676669893514036786060019</v>
      </c>
      <c r="G51" s="207">
        <v>182.77541142303969022265246854</v>
      </c>
      <c r="H51" s="207">
        <v>95.67570183930300096805421104</v>
      </c>
      <c r="I51" s="207">
        <v>72.084350721420643729189789123</v>
      </c>
      <c r="J51" s="207">
        <v>71.249722530521642619311875694</v>
      </c>
      <c r="K51" s="207">
        <v>79.51609322974472807991120977</v>
      </c>
      <c r="L51" s="207">
        <v>125.84794672586015538290788013</v>
      </c>
      <c r="M51" s="207">
        <v>192.72697003329633740288568257</v>
      </c>
      <c r="N51" s="207">
        <v>185.81021087680355160932297447</v>
      </c>
      <c r="O51" s="207">
        <v>98.76803551609322974472807991</v>
      </c>
      <c r="P51" s="207">
        <v>79.40621531631520532741398446</v>
      </c>
      <c r="Q51" s="207">
        <v>83.92785793562708102108768036</v>
      </c>
      <c r="R51" s="207">
        <v>90.15982241953385127635960044</v>
      </c>
      <c r="S51" s="207">
        <v>119.87236403995560488346281909</v>
      </c>
      <c r="T51" s="207">
        <v>182.67036625971143174250832408</v>
      </c>
      <c r="U51" s="207">
        <v>209.75471698113207547169811321</v>
      </c>
      <c r="V51" s="207"/>
      <c r="W51" s="207"/>
      <c r="X51" s="207"/>
      <c r="Y51" s="207"/>
      <c r="Z51" s="207"/>
      <c r="AA51" s="207"/>
      <c r="AB51" s="207"/>
      <c r="AC51" s="207"/>
      <c r="AD51" s="207"/>
      <c r="AE51" s="207"/>
      <c r="AF51" s="207"/>
      <c r="AG51" s="298"/>
      <c r="AH51" s="218"/>
      <c r="AI51" s="306">
        <v>124.76236290728863560678575522</v>
      </c>
      <c r="AJ51" s="306">
        <v>93.05926561273583459323086047</v>
      </c>
      <c r="AK51" s="306">
        <v>193.45240704548637113615469384</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131.24771493895090147142185654</v>
      </c>
      <c r="D52" s="292">
        <v>131.83415941274892332806656677</v>
      </c>
      <c r="E52" s="292">
        <v>102.83962213383434979962270214</v>
      </c>
      <c r="F52" s="292">
        <v>105.45027794114039111284953707</v>
      </c>
      <c r="G52" s="292">
        <v>109.45292298647570202838214968</v>
      </c>
      <c r="H52" s="292">
        <v>121.29041367302247777297999479</v>
      </c>
      <c r="I52" s="292">
        <v>125.65245669732855070906180435</v>
      </c>
      <c r="J52" s="292">
        <v>132.57893203960848808798031788</v>
      </c>
      <c r="K52" s="292">
        <v>140.62333456847536344376260035</v>
      </c>
      <c r="L52" s="292">
        <v>105.15937091858234810689849811</v>
      </c>
      <c r="M52" s="292">
        <v>99.46949584763466806342267560</v>
      </c>
      <c r="N52" s="292">
        <v>118.23321920938847944148021048</v>
      </c>
      <c r="O52" s="292">
        <v>122.19479035777782392597771603</v>
      </c>
      <c r="P52" s="292">
        <v>136.14307164173493278554892487</v>
      </c>
      <c r="Q52" s="292">
        <v>114.59156088320446525777879145</v>
      </c>
      <c r="R52" s="292">
        <v>113.22486069055797685186492542</v>
      </c>
      <c r="S52" s="292">
        <v>108.42972337135258125399632582</v>
      </c>
      <c r="T52" s="292">
        <v>110.72270773795290122771960246</v>
      </c>
      <c r="U52" s="292">
        <v>97.76931862478018884202695345</v>
      </c>
      <c r="V52" s="292"/>
      <c r="W52" s="292"/>
      <c r="X52" s="292"/>
      <c r="Y52" s="292"/>
      <c r="Z52" s="292"/>
      <c r="AA52" s="292"/>
      <c r="AB52" s="292"/>
      <c r="AC52" s="292"/>
      <c r="AD52" s="292"/>
      <c r="AE52" s="292"/>
      <c r="AF52" s="292"/>
      <c r="AG52" s="293"/>
      <c r="AH52" s="218"/>
      <c r="AI52" s="304">
        <v>113.36128429291374271819719895</v>
      </c>
      <c r="AJ52" s="304">
        <v>119.87185162854012111178456304</v>
      </c>
      <c r="AK52" s="304">
        <v>106.57555672051571820037541741</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18.922865486988860035908954180</v>
      </c>
      <c r="D55" s="287">
        <v>7.4217269350510053934231007800</v>
      </c>
      <c r="E55" s="287">
        <v>-14.122668201232875768209637060</v>
      </c>
      <c r="F55" s="287">
        <v>12.693135145731706691054805300</v>
      </c>
      <c r="G55" s="287">
        <v>-8.683173110191277897177637760</v>
      </c>
      <c r="H55" s="287">
        <v>9.751379236275876537014556540</v>
      </c>
      <c r="I55" s="287">
        <v>-14.158529580740191370669389910</v>
      </c>
      <c r="J55" s="287">
        <v>11.940030523338063367760838250</v>
      </c>
      <c r="K55" s="287">
        <v>35.189595163984111638254181680</v>
      </c>
      <c r="L55" s="287">
        <v>-25.941156520277100024330968780</v>
      </c>
      <c r="M55" s="287">
        <v>-12.936521589543081052218419600</v>
      </c>
      <c r="N55" s="287">
        <v>-5.4113118925012291670018917100</v>
      </c>
      <c r="O55" s="287">
        <v>-14.948481127533495113034812180</v>
      </c>
      <c r="P55" s="287">
        <v>33.514221556881230755181254450</v>
      </c>
      <c r="Q55" s="287">
        <v>13.378583549108250418158881280</v>
      </c>
      <c r="R55" s="287">
        <v>-5.3522511765464752612124716100</v>
      </c>
      <c r="S55" s="287">
        <v>35.467824713735343758479673010</v>
      </c>
      <c r="T55" s="287">
        <v>9.382169780394491207647637110</v>
      </c>
      <c r="U55" s="287">
        <v>7.8228311957129255427076056900</v>
      </c>
      <c r="V55" s="287"/>
      <c r="W55" s="287"/>
      <c r="X55" s="287"/>
      <c r="Y55" s="287"/>
      <c r="Z55" s="287"/>
      <c r="AA55" s="287"/>
      <c r="AB55" s="287"/>
      <c r="AC55" s="287"/>
      <c r="AD55" s="287"/>
      <c r="AE55" s="287"/>
      <c r="AF55" s="287"/>
      <c r="AG55" s="288"/>
      <c r="AH55" s="218"/>
      <c r="AI55" s="302">
        <v>6.0741626794523558612440257700</v>
      </c>
      <c r="AJ55" s="302">
        <v>5.2924346755417966146112072200</v>
      </c>
      <c r="AK55" s="302">
        <v>-1.8323065010211666338561869800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-10.325903942964492808670258810</v>
      </c>
      <c r="D56" s="202">
        <v>-28.938588490636653964544603090</v>
      </c>
      <c r="E56" s="202">
        <v>-27.232704177499627591577865230</v>
      </c>
      <c r="F56" s="202">
        <v>8.616562406459314930432250490</v>
      </c>
      <c r="G56" s="202">
        <v>0.9181338940591635798778029700</v>
      </c>
      <c r="H56" s="202">
        <v>-11.079621494848166598699320020</v>
      </c>
      <c r="I56" s="202">
        <v>-18.508072904041075107547847810</v>
      </c>
      <c r="J56" s="202">
        <v>-18.131624189467610145698127090</v>
      </c>
      <c r="K56" s="202">
        <v>-11.652586415162743856193166390</v>
      </c>
      <c r="L56" s="202">
        <v>4.8757932327617859986603408900</v>
      </c>
      <c r="M56" s="202">
        <v>2.8845583130769263402102171100</v>
      </c>
      <c r="N56" s="202">
        <v>-15.053817363329564675444017740</v>
      </c>
      <c r="O56" s="202">
        <v>-26.404014400056838411449209470</v>
      </c>
      <c r="P56" s="202">
        <v>-16.809469180636963031921931750</v>
      </c>
      <c r="Q56" s="202">
        <v>-7.3428619624836486599844305900</v>
      </c>
      <c r="R56" s="202">
        <v>-3.5129530793161394411295311200</v>
      </c>
      <c r="S56" s="202">
        <v>8.217137394415245809386696170</v>
      </c>
      <c r="T56" s="202">
        <v>1.5092553277862812401041238400</v>
      </c>
      <c r="U56" s="202">
        <v>18.873844587774739245113772290</v>
      </c>
      <c r="V56" s="202"/>
      <c r="W56" s="202"/>
      <c r="X56" s="202"/>
      <c r="Y56" s="202"/>
      <c r="Z56" s="202"/>
      <c r="AA56" s="202"/>
      <c r="AB56" s="202"/>
      <c r="AC56" s="202"/>
      <c r="AD56" s="202"/>
      <c r="AE56" s="202"/>
      <c r="AF56" s="202"/>
      <c r="AG56" s="290"/>
      <c r="AH56" s="218"/>
      <c r="AI56" s="303">
        <v>-2.8895715788663592789928270600</v>
      </c>
      <c r="AJ56" s="303">
        <v>-12.168788558201767974568316810</v>
      </c>
      <c r="AK56" s="303">
        <v>0.9998626277787744467610265300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32.616742979465036762448403250</v>
      </c>
      <c r="D57" s="292">
        <v>51.167454534576013371043923010</v>
      </c>
      <c r="E57" s="292">
        <v>18.016384734569763828757796560</v>
      </c>
      <c r="F57" s="292">
        <v>3.7531778294000363174768836400</v>
      </c>
      <c r="G57" s="292">
        <v>-9.513956148117188114832113490</v>
      </c>
      <c r="H57" s="292">
        <v>23.426576765959717303169600170</v>
      </c>
      <c r="I57" s="292">
        <v>5.3373916636463428719755987700</v>
      </c>
      <c r="J57" s="292">
        <v>36.731710401189253130570470720</v>
      </c>
      <c r="K57" s="292">
        <v>53.020433398607406636725825210</v>
      </c>
      <c r="L57" s="292">
        <v>-29.384235201583132034086753510</v>
      </c>
      <c r="M57" s="292">
        <v>-15.377506753258891378867394950</v>
      </c>
      <c r="N57" s="292">
        <v>11.351311114326069232038336420</v>
      </c>
      <c r="O57" s="292">
        <v>15.565432243558782623224898550</v>
      </c>
      <c r="P57" s="292">
        <v>60.492089955293578822076247260</v>
      </c>
      <c r="Q57" s="292">
        <v>22.363571712410706751917636880</v>
      </c>
      <c r="R57" s="292">
        <v>-1.9062642663837220986659830600</v>
      </c>
      <c r="S57" s="292">
        <v>25.181489711685514984198072530</v>
      </c>
      <c r="T57" s="292">
        <v>7.7558587413659086033008935300</v>
      </c>
      <c r="U57" s="292">
        <v>-9.296421286247343630345883990</v>
      </c>
      <c r="V57" s="292"/>
      <c r="W57" s="292"/>
      <c r="X57" s="292"/>
      <c r="Y57" s="292"/>
      <c r="Z57" s="292"/>
      <c r="AA57" s="292"/>
      <c r="AB57" s="292"/>
      <c r="AC57" s="292"/>
      <c r="AD57" s="292"/>
      <c r="AE57" s="292"/>
      <c r="AF57" s="292"/>
      <c r="AG57" s="293"/>
      <c r="AH57" s="218"/>
      <c r="AI57" s="304">
        <v>9.230454858461636906361741380</v>
      </c>
      <c r="AJ57" s="304">
        <v>19.880430825418176295785173030</v>
      </c>
      <c r="AK57" s="304">
        <v>-2.8041316642375387061371455600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7" t="s">
        <v>82</v>
      </c>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0" t="s">
        <v>114</v>
      </c>
      <c r="C62" s="650"/>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c r="AC62" s="650"/>
      <c r="AD62" s="650"/>
      <c r="AE62" s="650"/>
      <c r="AF62" s="650"/>
      <c r="AG62" s="650"/>
      <c r="AH62" s="650"/>
      <c r="AI62" s="650"/>
      <c r="AJ62" s="650"/>
      <c r="AK62" s="650"/>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7"/>
</worksheet>
</file>

<file path=xl/worksheets/sheet6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146</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177</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178</v>
      </c>
      <c r="R4" s="715" t="s">
        <v>180</v>
      </c>
      <c r="S4" s="715"/>
      <c r="T4" s="715"/>
      <c r="U4" s="715"/>
      <c r="V4" s="715"/>
      <c r="W4" s="715"/>
      <c r="X4" s="715"/>
      <c r="Y4" s="715"/>
      <c r="Z4" s="715"/>
      <c r="AA4" s="715"/>
      <c r="AB4" s="715"/>
      <c r="AC4" s="715"/>
      <c r="AD4" s="715"/>
      <c r="AE4" s="715"/>
      <c r="AF4" s="715"/>
      <c r="AG4" s="715"/>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716" t="s">
        <v>72</v>
      </c>
      <c r="Y22" s="716"/>
      <c r="Z22" s="716"/>
      <c r="AA22" s="716"/>
      <c r="AB22" s="716"/>
      <c r="AC22" s="716"/>
      <c r="AD22" s="716"/>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275" t="s">
        <v>182</v>
      </c>
      <c r="D24" s="276"/>
      <c r="E24" s="276"/>
      <c r="F24" s="276"/>
      <c r="G24" s="276"/>
      <c r="H24" s="276"/>
      <c r="I24" s="276"/>
      <c r="J24" s="276"/>
      <c r="K24" s="276"/>
      <c r="L24" s="658" t="s">
        <v>179</v>
      </c>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22</v>
      </c>
      <c r="D25">
        <v>23</v>
      </c>
      <c r="E25">
        <v>24</v>
      </c>
      <c r="F25">
        <v>25</v>
      </c>
      <c r="G25">
        <v>26</v>
      </c>
      <c r="H25">
        <v>27</v>
      </c>
      <c r="I25">
        <v>28</v>
      </c>
      <c r="J25">
        <v>29</v>
      </c>
      <c r="K25">
        <v>30</v>
      </c>
      <c r="L25" s="717">
        <v>1</v>
      </c>
      <c r="M25">
        <v>2</v>
      </c>
      <c r="N25">
        <v>3</v>
      </c>
      <c r="O25">
        <v>4</v>
      </c>
      <c r="P25">
        <v>5</v>
      </c>
      <c r="Q25">
        <v>6</v>
      </c>
      <c r="R25">
        <v>7</v>
      </c>
      <c r="S25">
        <v>8</v>
      </c>
      <c r="T25">
        <v>9</v>
      </c>
      <c r="U25">
        <v>10</v>
      </c>
      <c r="V25">
        <v>11</v>
      </c>
      <c r="W25">
        <v>12</v>
      </c>
      <c r="X25" s="323">
        <v>13</v>
      </c>
      <c r="Y25">
        <v>14</v>
      </c>
      <c r="Z25">
        <v>15</v>
      </c>
      <c r="AA25">
        <v>16</v>
      </c>
      <c r="AB25">
        <v>17</v>
      </c>
      <c r="AC25">
        <v>18</v>
      </c>
      <c r="AD25" s="337">
        <v>19</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44">
        <v>64.393939393939393939393939390</v>
      </c>
      <c r="D26" s="445">
        <v>59.090909090909090909090909090</v>
      </c>
      <c r="E26" s="445">
        <v>59.090909090909090909090909090</v>
      </c>
      <c r="F26" s="445">
        <v>78.787878787878787878787878790</v>
      </c>
      <c r="G26" s="445">
        <v>91.66666666666666666666666667</v>
      </c>
      <c r="H26" s="445">
        <v>90.90909090909090909090909091</v>
      </c>
      <c r="I26" s="445">
        <v>93.18181818181818181818181818</v>
      </c>
      <c r="J26" s="445">
        <v>80.30303030303030303030303030</v>
      </c>
      <c r="K26" s="445">
        <v>78.030303030303030303030303030</v>
      </c>
      <c r="L26" s="660">
        <v>73.484848484848484848484848480</v>
      </c>
      <c r="M26" s="445">
        <v>86.36363636363636363636363636</v>
      </c>
      <c r="N26" s="445">
        <v>93.18181818181818181818181818</v>
      </c>
      <c r="O26" s="445">
        <v>95.45454545454545454545454545</v>
      </c>
      <c r="P26" s="445">
        <v>88.63636363636363636363636364</v>
      </c>
      <c r="Q26" s="445">
        <v>81.81818181818181818181818182</v>
      </c>
      <c r="R26" s="445">
        <v>65.151515151515151515151515150</v>
      </c>
      <c r="S26" s="445">
        <v>62.121212121212121212121212120</v>
      </c>
      <c r="T26" s="445">
        <v>77.272727272727272727272727270</v>
      </c>
      <c r="U26" s="445">
        <v>87.12121212121212121212121212</v>
      </c>
      <c r="V26" s="445">
        <v>90.15151515151515151515151515</v>
      </c>
      <c r="W26" s="445">
        <v>96.21212121212121212121212121</v>
      </c>
      <c r="X26" s="446">
        <v>81.06060606060606060606060606</v>
      </c>
      <c r="Y26" s="445">
        <v>73.484848484848484848484848480</v>
      </c>
      <c r="Z26" s="445">
        <v>67.424242424242424242424242420</v>
      </c>
      <c r="AA26" s="445">
        <v>74.242424242424242424242424240</v>
      </c>
      <c r="AB26" s="445">
        <v>90.15151515151515151515151515</v>
      </c>
      <c r="AC26" s="445">
        <v>89.39393939393939393939393939</v>
      </c>
      <c r="AD26" s="447">
        <v>96.21212121212121212121212121</v>
      </c>
      <c r="AE26" s="448"/>
      <c r="AF26" s="444">
        <v>81.70995670995670995670995671</v>
      </c>
      <c r="AG26" s="445">
        <v>80.87121212121212121212121212</v>
      </c>
      <c r="AH26" s="449">
        <v>82.57575757575757575757575758</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90.99709583736689254598257502</v>
      </c>
      <c r="D27" s="81">
        <v>87.12487899322362052274927396</v>
      </c>
      <c r="E27" s="81">
        <v>84.12391093901258470474346563</v>
      </c>
      <c r="F27" s="81">
        <v>75.605033881897386253630203290</v>
      </c>
      <c r="G27" s="81">
        <v>72.991287512100677637947725070</v>
      </c>
      <c r="H27" s="81">
        <v>90.51306873184898354307841239</v>
      </c>
      <c r="I27" s="81">
        <v>94.86931268151016456921587609</v>
      </c>
      <c r="J27" s="81">
        <v>75.121006776379477250726040660</v>
      </c>
      <c r="K27" s="81">
        <v>60.696999031945788964181994190</v>
      </c>
      <c r="L27" s="661">
        <v>56.340755082284607938044530490</v>
      </c>
      <c r="M27" s="81">
        <v>57.212003872216844143272023230</v>
      </c>
      <c r="N27" s="81">
        <v>80.05808325266214908034849952</v>
      </c>
      <c r="O27" s="81">
        <v>91.96515004840271055179090029</v>
      </c>
      <c r="P27" s="81">
        <v>87.60890609874152952565343659</v>
      </c>
      <c r="Q27" s="81">
        <v>64.181994191674733785091965150</v>
      </c>
      <c r="R27" s="81">
        <v>53.607103218645948945615982240</v>
      </c>
      <c r="S27" s="81">
        <v>54.495005549389567147613762490</v>
      </c>
      <c r="T27" s="81">
        <v>58.490566037735849056603773580</v>
      </c>
      <c r="U27" s="81">
        <v>76.692563817980022197558268590</v>
      </c>
      <c r="V27" s="81">
        <v>92.23085460599334073251942286</v>
      </c>
      <c r="W27" s="81">
        <v>91.34295227524972253052164262</v>
      </c>
      <c r="X27" s="82">
        <v>69.034406215316315205327413980</v>
      </c>
      <c r="Y27" s="81">
        <v>58.712541620421753607103218650</v>
      </c>
      <c r="Z27" s="81">
        <v>60.710321864594894561598224200</v>
      </c>
      <c r="AA27" s="81">
        <v>63.596004439511653718091009990</v>
      </c>
      <c r="AB27" s="81">
        <v>77.691453940066592674805771370</v>
      </c>
      <c r="AC27" s="81">
        <v>88.01331853496115427302996670</v>
      </c>
      <c r="AD27" s="83">
        <v>93.22974472807991120976692564</v>
      </c>
      <c r="AE27" s="88"/>
      <c r="AF27" s="327">
        <v>72.998255906136039321388932930</v>
      </c>
      <c r="AG27" s="81">
        <v>75.259154420686245602736153730</v>
      </c>
      <c r="AH27" s="328">
        <v>72.379669968101542151808249380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181</v>
      </c>
      <c r="C28" s="450">
        <v>77.249134948096885813148788930</v>
      </c>
      <c r="D28" s="451">
        <v>73.626730103806228373702422150</v>
      </c>
      <c r="E28" s="451">
        <v>72.123702422145328719723183390</v>
      </c>
      <c r="F28" s="451">
        <v>70.815311418685121107266435990</v>
      </c>
      <c r="G28" s="451">
        <v>73.269896193771626297577854670</v>
      </c>
      <c r="H28" s="451">
        <v>81.77984429065743944636678201</v>
      </c>
      <c r="I28" s="451">
        <v>84.29930795847750865051903114</v>
      </c>
      <c r="J28" s="451">
        <v>63.256920415224913494809688580</v>
      </c>
      <c r="K28" s="451">
        <v>53.817041522491349480968858130</v>
      </c>
      <c r="L28" s="662">
        <v>54.080737165423431329530495830</v>
      </c>
      <c r="M28" s="451">
        <v>52.676612549363756033347959630</v>
      </c>
      <c r="N28" s="451">
        <v>64.381307591048705572619569990</v>
      </c>
      <c r="O28" s="451">
        <v>78.565160157964019306713470820</v>
      </c>
      <c r="P28" s="451">
        <v>77.632733655111891180342255380</v>
      </c>
      <c r="Q28" s="451">
        <v>59.982448442299254058797718300</v>
      </c>
      <c r="R28" s="451">
        <v>54.354980254497586660816147430</v>
      </c>
      <c r="S28" s="451">
        <v>59.115840280824923211935059240</v>
      </c>
      <c r="T28" s="451">
        <v>62.494515138218516893374286970</v>
      </c>
      <c r="U28" s="451">
        <v>71.654234313295304958315050460</v>
      </c>
      <c r="V28" s="451">
        <v>88.47082053532250987275120667</v>
      </c>
      <c r="W28" s="451">
        <v>89.83106625713032031592803861</v>
      </c>
      <c r="X28" s="452">
        <v>62.746818780166739798157086440</v>
      </c>
      <c r="Y28" s="451">
        <v>61.474330846862659060991663010</v>
      </c>
      <c r="Z28" s="451">
        <v>64.458095655989469065379552440</v>
      </c>
      <c r="AA28" s="451">
        <v>71.336112329969284774023694600</v>
      </c>
      <c r="AB28" s="451">
        <v>78.455462922334357174199210180</v>
      </c>
      <c r="AC28" s="451">
        <v>80.89074155331285651601579640</v>
      </c>
      <c r="AD28" s="453">
        <v>87.51645458534444931987713910</v>
      </c>
      <c r="AE28" s="448"/>
      <c r="AF28" s="450">
        <v>72.411145239139973672663448880</v>
      </c>
      <c r="AG28" s="451">
        <v>70.378573991171286402845154350</v>
      </c>
      <c r="AH28" s="454">
        <v>69.479919632341054479111336920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275" t="s">
        <v>182</v>
      </c>
      <c r="D31" s="276"/>
      <c r="E31" s="276"/>
      <c r="F31" s="276"/>
      <c r="G31" s="276"/>
      <c r="H31" s="276"/>
      <c r="I31" s="276"/>
      <c r="J31" s="276"/>
      <c r="K31" s="276"/>
      <c r="L31" s="658" t="s">
        <v>179</v>
      </c>
      <c r="M31" s="276"/>
      <c r="N31" s="276"/>
      <c r="O31" s="276"/>
      <c r="P31" s="276"/>
      <c r="Q31" s="276"/>
      <c r="R31" s="276"/>
      <c r="S31" s="277"/>
      <c r="T31" s="277"/>
      <c r="U31" s="277"/>
      <c r="V31" s="277"/>
      <c r="W31" s="277"/>
      <c r="X31" s="312"/>
      <c r="Y31" s="277"/>
      <c r="Z31" s="277"/>
      <c r="AA31" s="277"/>
      <c r="AB31" s="277"/>
      <c r="AC31" s="277"/>
      <c r="AD31" s="336"/>
      <c r="AE31" s="25"/>
      <c r="AF31" s="316" t="s">
        <v>58</v>
      </c>
      <c r="AG31" s="317" t="s">
        <v>59</v>
      </c>
      <c r="AH31" s="318" t="s">
        <v>59</v>
      </c>
      <c r="AI31" s="25"/>
      <c r="AJ31" s="248"/>
      <c r="AK31" s="248"/>
      <c r="AL31" s="248"/>
      <c r="AM31" s="248"/>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row>
    <row r="32" s="42" customFormat="1">
      <c r="C32" s="284">
        <v>22</v>
      </c>
      <c r="D32">
        <v>23</v>
      </c>
      <c r="E32">
        <v>24</v>
      </c>
      <c r="F32">
        <v>25</v>
      </c>
      <c r="G32">
        <v>26</v>
      </c>
      <c r="H32">
        <v>27</v>
      </c>
      <c r="I32">
        <v>28</v>
      </c>
      <c r="J32">
        <v>29</v>
      </c>
      <c r="K32">
        <v>30</v>
      </c>
      <c r="L32" s="717">
        <v>1</v>
      </c>
      <c r="M32">
        <v>2</v>
      </c>
      <c r="N32">
        <v>3</v>
      </c>
      <c r="O32">
        <v>4</v>
      </c>
      <c r="P32">
        <v>5</v>
      </c>
      <c r="Q32">
        <v>6</v>
      </c>
      <c r="R32">
        <v>7</v>
      </c>
      <c r="S32">
        <v>8</v>
      </c>
      <c r="T32">
        <v>9</v>
      </c>
      <c r="U32">
        <v>10</v>
      </c>
      <c r="V32">
        <v>11</v>
      </c>
      <c r="W32">
        <v>12</v>
      </c>
      <c r="X32" s="323">
        <v>13</v>
      </c>
      <c r="Y32">
        <v>14</v>
      </c>
      <c r="Z32">
        <v>15</v>
      </c>
      <c r="AA32">
        <v>16</v>
      </c>
      <c r="AB32">
        <v>17</v>
      </c>
      <c r="AC32">
        <v>18</v>
      </c>
      <c r="AD32" s="337">
        <v>19</v>
      </c>
      <c r="AE32" s="25"/>
      <c r="AF32" s="324" t="s">
        <v>60</v>
      </c>
      <c r="AG32" s="325">
        <v>28</v>
      </c>
      <c r="AH32" s="326" t="s">
        <v>31</v>
      </c>
      <c r="AI32" s="25"/>
      <c r="AJ32" s="248"/>
      <c r="AK32" s="248"/>
      <c r="AL32" s="248"/>
      <c r="AM32" s="248"/>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row>
    <row r="33" ht="14.25" customHeight="1">
      <c r="B33" s="46" t="s">
        <v>32</v>
      </c>
      <c r="C33" s="444">
        <v>-15.841584158469169689246118550</v>
      </c>
      <c r="D33" s="445">
        <v>-19.587628865926325858220817370</v>
      </c>
      <c r="E33" s="445">
        <v>-6.0240963855602845115401329600</v>
      </c>
      <c r="F33" s="445">
        <v>60.000000000078769230769269550</v>
      </c>
      <c r="G33" s="445">
        <v>37.499999999931250000000034380</v>
      </c>
      <c r="H33" s="445">
        <v>14.285714285648979591836772010</v>
      </c>
      <c r="I33" s="445">
        <v>9.821428571408960459183676970</v>
      </c>
      <c r="J33" s="445">
        <v>19.101123595580558010352275400</v>
      </c>
      <c r="K33" s="445">
        <v>51.470588235151557093425739710</v>
      </c>
      <c r="L33" s="660">
        <v>19.753086419824051211705574740</v>
      </c>
      <c r="M33" s="445">
        <v>28.089887640530034086605277320</v>
      </c>
      <c r="N33" s="445">
        <v>7.8947368421506925207756423900</v>
      </c>
      <c r="O33" s="445">
        <v>5.8823529411942659416707889500</v>
      </c>
      <c r="P33" s="445">
        <v>-7.1428571428129251700680061500</v>
      </c>
      <c r="Q33" s="445">
        <v>18.681318681308247796159884990</v>
      </c>
      <c r="R33" s="445">
        <v>0.0000000000232558139534937800</v>
      </c>
      <c r="S33" s="445">
        <v>-1.2048192771274785890550115700</v>
      </c>
      <c r="T33" s="445">
        <v>32.467532467608163265306165700</v>
      </c>
      <c r="U33" s="445">
        <v>-1.7094017094420337497260408800</v>
      </c>
      <c r="V33" s="445">
        <v>0.8474576271630853203102752600</v>
      </c>
      <c r="W33" s="445">
        <v>1.599999999967488000000010400</v>
      </c>
      <c r="X33" s="446">
        <v>0.0000000000074766355140192500</v>
      </c>
      <c r="Y33" s="445">
        <v>21.249999999921187500000051220</v>
      </c>
      <c r="Z33" s="445">
        <v>18.666666666628693333333345480</v>
      </c>
      <c r="AA33" s="445">
        <v>5.3763440860894901144641437500</v>
      </c>
      <c r="AB33" s="445">
        <v>32.222222222257481481481490880</v>
      </c>
      <c r="AC33" s="445">
        <v>14.563106796120953907060043530</v>
      </c>
      <c r="AD33" s="447">
        <v>18.691588785055603109441873310</v>
      </c>
      <c r="AE33" s="448"/>
      <c r="AF33" s="444">
        <v>15.267175572593699667851572100</v>
      </c>
      <c r="AG33" s="445">
        <v>11.156563778400580080465022470</v>
      </c>
      <c r="AH33" s="449">
        <v>12.432138979301398776998560280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36.429608127655595602469692800</v>
      </c>
      <c r="D34" s="81">
        <v>44.927536231942635767462508220</v>
      </c>
      <c r="E34" s="81">
        <v>39.935587761731278313249910700</v>
      </c>
      <c r="F34" s="81">
        <v>20.710973724917663022056391310</v>
      </c>
      <c r="G34" s="81">
        <v>-4.4359949302589268474477055200</v>
      </c>
      <c r="H34" s="81">
        <v>10.000000000059529411764738100</v>
      </c>
      <c r="I34" s="81">
        <v>13.033448673594382783305330200</v>
      </c>
      <c r="J34" s="81">
        <v>15.304606240731899260148944690</v>
      </c>
      <c r="K34" s="81">
        <v>4.8494983278351167772173120500</v>
      </c>
      <c r="L34" s="661">
        <v>-9.627329192536901064773734550</v>
      </c>
      <c r="M34" s="81">
        <v>-25.378787878752075681052936610</v>
      </c>
      <c r="N34" s="81">
        <v>-11.170784103080772438999895720</v>
      </c>
      <c r="O34" s="81">
        <v>2.2604951561130699468507385500</v>
      </c>
      <c r="P34" s="81">
        <v>0.4439511654031351279439270600</v>
      </c>
      <c r="Q34" s="81">
        <v>-12.068965517240562974480929290</v>
      </c>
      <c r="R34" s="81">
        <v>-14.805942115559912720514335820</v>
      </c>
      <c r="S34" s="81">
        <v>-12.452036185813025819086981900</v>
      </c>
      <c r="T34" s="81">
        <v>-8.729977768951761920170927900</v>
      </c>
      <c r="U34" s="81">
        <v>0.9215521324656999208735284100</v>
      </c>
      <c r="V34" s="81">
        <v>18.944410496820298084061899270</v>
      </c>
      <c r="W34" s="81">
        <v>2.8977859327333693874368805800</v>
      </c>
      <c r="X34" s="82">
        <v>-5.4210323336572736606407386700</v>
      </c>
      <c r="Y34" s="81">
        <v>-12.481882404214187384559884160</v>
      </c>
      <c r="Z34" s="81">
        <v>-0.9261256143869840243465586100</v>
      </c>
      <c r="AA34" s="81">
        <v>-1.507237502242265954084307800</v>
      </c>
      <c r="AB34" s="81">
        <v>10.696926786324327219986776720</v>
      </c>
      <c r="AC34" s="81">
        <v>10.471151940060079116765911640</v>
      </c>
      <c r="AD34" s="83">
        <v>15.336917729455797931143635790</v>
      </c>
      <c r="AE34" s="88"/>
      <c r="AF34" s="327">
        <v>2.8948125647025089411176235600</v>
      </c>
      <c r="AG34" s="81">
        <v>4.1828171945689810827291678100</v>
      </c>
      <c r="AH34" s="328">
        <v>-0.6715296837123370235672257100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181</v>
      </c>
      <c r="C35" s="450">
        <v>15.774886771500198830574223120</v>
      </c>
      <c r="D35" s="451">
        <v>18.208862840534767987307896930</v>
      </c>
      <c r="E35" s="451">
        <v>9.140371779546431193504305510</v>
      </c>
      <c r="F35" s="451">
        <v>3.8085570734486980737069543400</v>
      </c>
      <c r="G35" s="451">
        <v>2.9160403153341137072391266100</v>
      </c>
      <c r="H35" s="451">
        <v>2.6684276099684271787293801900</v>
      </c>
      <c r="I35" s="451">
        <v>2.8289189867852966340731450700</v>
      </c>
      <c r="J35" s="451">
        <v>2.1725168106542112752093953100</v>
      </c>
      <c r="K35" s="451">
        <v>6.7011644053313830882797815500</v>
      </c>
      <c r="L35" s="662">
        <v>2.9453454805795889092213927900</v>
      </c>
      <c r="M35" s="451">
        <v>-13.078553288506683853541448590</v>
      </c>
      <c r="N35" s="451">
        <v>-15.932358602269378608823257590</v>
      </c>
      <c r="O35" s="451">
        <v>-8.779468520163489335256370870</v>
      </c>
      <c r="P35" s="451">
        <v>-8.337370573624281182459467040</v>
      </c>
      <c r="Q35" s="451">
        <v>-7.981030532898272698967740690</v>
      </c>
      <c r="R35" s="451">
        <v>-15.825150480326489161271191950</v>
      </c>
      <c r="S35" s="451">
        <v>-5.1248230285392964884100524600</v>
      </c>
      <c r="T35" s="451">
        <v>-6.5731602823658084788978220200</v>
      </c>
      <c r="U35" s="451">
        <v>-9.606159955287913889326780520</v>
      </c>
      <c r="V35" s="451">
        <v>-0.8554480767613597293680489300</v>
      </c>
      <c r="W35" s="451">
        <v>2.2256427690401861506122285800</v>
      </c>
      <c r="X35" s="452">
        <v>-13.685617927761457647616856380</v>
      </c>
      <c r="Y35" s="451">
        <v>-10.011438283862002044568678990</v>
      </c>
      <c r="Z35" s="451">
        <v>-0.1467522744683913600521893700</v>
      </c>
      <c r="AA35" s="451">
        <v>-0.1189211875133908766096850500</v>
      </c>
      <c r="AB35" s="451">
        <v>3.2978792678812761349086483400</v>
      </c>
      <c r="AC35" s="451">
        <v>-1.7407793262505536499342099700</v>
      </c>
      <c r="AD35" s="453">
        <v>4.2531940492300340497155660100</v>
      </c>
      <c r="AE35" s="448"/>
      <c r="AF35" s="450">
        <v>-2.3739447271853273928305189800</v>
      </c>
      <c r="AG35" s="451">
        <v>-1.6544009090575364072764957900</v>
      </c>
      <c r="AH35" s="454">
        <v>-3.0445118577759555692316027500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275" t="s">
        <v>182</v>
      </c>
      <c r="D38" s="276"/>
      <c r="E38" s="276"/>
      <c r="F38" s="276"/>
      <c r="G38" s="276"/>
      <c r="H38" s="276"/>
      <c r="I38" s="276"/>
      <c r="J38" s="276"/>
      <c r="K38" s="276"/>
      <c r="L38" s="658" t="s">
        <v>179</v>
      </c>
      <c r="M38" s="276"/>
      <c r="N38" s="276"/>
      <c r="O38" s="276"/>
      <c r="P38" s="276"/>
      <c r="Q38" s="276"/>
      <c r="R38" s="276"/>
      <c r="S38" s="277"/>
      <c r="T38" s="277"/>
      <c r="U38" s="277"/>
      <c r="V38" s="277"/>
      <c r="W38" s="277"/>
      <c r="X38" s="312"/>
      <c r="Y38" s="277"/>
      <c r="Z38" s="277"/>
      <c r="AA38" s="277"/>
      <c r="AB38" s="277"/>
      <c r="AC38" s="277"/>
      <c r="AD38" s="336"/>
      <c r="AE38" s="25"/>
      <c r="AF38" s="316" t="s">
        <v>58</v>
      </c>
      <c r="AG38" s="317" t="s">
        <v>59</v>
      </c>
      <c r="AH38" s="318" t="s">
        <v>59</v>
      </c>
      <c r="AI38" s="25"/>
      <c r="AJ38" s="248"/>
      <c r="AK38" s="248"/>
      <c r="AL38" s="248"/>
      <c r="AM38" s="248"/>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row>
    <row r="39" s="42" customFormat="1">
      <c r="C39" s="279">
        <v>22</v>
      </c>
      <c r="D39">
        <v>23</v>
      </c>
      <c r="E39">
        <v>24</v>
      </c>
      <c r="F39">
        <v>25</v>
      </c>
      <c r="G39">
        <v>26</v>
      </c>
      <c r="H39">
        <v>27</v>
      </c>
      <c r="I39">
        <v>28</v>
      </c>
      <c r="J39">
        <v>29</v>
      </c>
      <c r="K39">
        <v>30</v>
      </c>
      <c r="L39" s="717">
        <v>1</v>
      </c>
      <c r="M39">
        <v>2</v>
      </c>
      <c r="N39">
        <v>3</v>
      </c>
      <c r="O39">
        <v>4</v>
      </c>
      <c r="P39">
        <v>5</v>
      </c>
      <c r="Q39">
        <v>6</v>
      </c>
      <c r="R39">
        <v>7</v>
      </c>
      <c r="S39">
        <v>8</v>
      </c>
      <c r="T39">
        <v>9</v>
      </c>
      <c r="U39">
        <v>10</v>
      </c>
      <c r="V39">
        <v>11</v>
      </c>
      <c r="W39">
        <v>12</v>
      </c>
      <c r="X39" s="323">
        <v>13</v>
      </c>
      <c r="Y39">
        <v>14</v>
      </c>
      <c r="Z39">
        <v>15</v>
      </c>
      <c r="AA39">
        <v>16</v>
      </c>
      <c r="AB39">
        <v>17</v>
      </c>
      <c r="AC39">
        <v>18</v>
      </c>
      <c r="AD39" s="337">
        <v>19</v>
      </c>
      <c r="AE39" s="25"/>
      <c r="AF39" s="324" t="s">
        <v>60</v>
      </c>
      <c r="AG39" s="325">
        <v>28</v>
      </c>
      <c r="AH39" s="326" t="s">
        <v>31</v>
      </c>
      <c r="AI39" s="25"/>
      <c r="AJ39" s="248"/>
      <c r="AK39" s="248"/>
      <c r="AL39" s="248"/>
      <c r="AM39" s="248"/>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row>
    <row r="40" ht="14.25" customHeight="1">
      <c r="A40" s="1"/>
      <c r="B40" s="46" t="s">
        <v>26</v>
      </c>
      <c r="C40" s="444">
        <v>70.764829142462970604071507500</v>
      </c>
      <c r="D40" s="445">
        <v>67.823232323250710864197535850</v>
      </c>
      <c r="E40" s="445">
        <v>70.242703211643524120262857020</v>
      </c>
      <c r="F40" s="445">
        <v>104.20983199471955725137518740</v>
      </c>
      <c r="G40" s="445">
        <v>125.58576480990390685281211671</v>
      </c>
      <c r="H40" s="445">
        <v>100.43753038410880265377909087</v>
      </c>
      <c r="I40" s="445">
        <v>98.22124304268213780479724470</v>
      </c>
      <c r="J40" s="445">
        <v>106.89823492655623789239510358</v>
      </c>
      <c r="K40" s="445">
        <v>128.55710212179240480436030437</v>
      </c>
      <c r="L40" s="660">
        <v>130.42929292925729654795377417</v>
      </c>
      <c r="M40" s="445">
        <v>150.95369943090123448403487847</v>
      </c>
      <c r="N40" s="445">
        <v>116.39276684615800755301689286</v>
      </c>
      <c r="O40" s="445">
        <v>103.79425837320880082598841610</v>
      </c>
      <c r="P40" s="445">
        <v>101.17277749879230882340701165</v>
      </c>
      <c r="Q40" s="445">
        <v>127.47840394894200048022248561</v>
      </c>
      <c r="R40" s="445">
        <v>121.53522805707136045459035754</v>
      </c>
      <c r="S40" s="445">
        <v>113.99432203910673267993795537</v>
      </c>
      <c r="T40" s="445">
        <v>132.11143695022759909185512483</v>
      </c>
      <c r="U40" s="445">
        <v>113.59799149231790676360722850</v>
      </c>
      <c r="V40" s="445">
        <v>97.74550559748409962071680638</v>
      </c>
      <c r="W40" s="445">
        <v>105.33064545828481196886686854</v>
      </c>
      <c r="X40" s="446">
        <v>117.42058852190244603307608637</v>
      </c>
      <c r="Y40" s="445">
        <v>125.16039411129114609778953033</v>
      </c>
      <c r="Z40" s="445">
        <v>111.05894410281044886836474066</v>
      </c>
      <c r="AA40" s="445">
        <v>116.74070548418237381905456089</v>
      </c>
      <c r="AB40" s="445">
        <v>116.03787878782889159090911236</v>
      </c>
      <c r="AC40" s="445">
        <v>101.56864992926083847656834565</v>
      </c>
      <c r="AD40" s="447">
        <v>103.19895382393158703639284475</v>
      </c>
      <c r="AE40" s="448"/>
      <c r="AF40" s="444">
        <v>111.93412184403809642830608070</v>
      </c>
      <c r="AG40" s="445">
        <v>107.45697682057470341476790299</v>
      </c>
      <c r="AH40" s="449">
        <v>114.08694957044058458755932994</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181</v>
      </c>
      <c r="C41" s="329">
        <v>83.35878380670877769061853574</v>
      </c>
      <c r="D41" s="330">
        <v>80.25741331660647686845984617</v>
      </c>
      <c r="E41" s="330">
        <v>81.92994411890115787901336745</v>
      </c>
      <c r="F41" s="330">
        <v>111.25825363111161077203143892</v>
      </c>
      <c r="G41" s="330">
        <v>125.10822510817666017571568445</v>
      </c>
      <c r="H41" s="330">
        <v>111.16319882676651975699393359</v>
      </c>
      <c r="I41" s="330">
        <v>110.53687205557011656755642236</v>
      </c>
      <c r="J41" s="330">
        <v>126.94742294747294517721596613</v>
      </c>
      <c r="K41" s="330">
        <v>144.99181081457231882535113212</v>
      </c>
      <c r="L41" s="663">
        <v>135.87989427751907248133157393</v>
      </c>
      <c r="M41" s="330">
        <v>163.95062663272957060364355905</v>
      </c>
      <c r="N41" s="330">
        <v>144.73427407498673805272421122</v>
      </c>
      <c r="O41" s="330">
        <v>121.49729633667102101429479969</v>
      </c>
      <c r="P41" s="330">
        <v>114.17395660720851683762488413</v>
      </c>
      <c r="Q41" s="330">
        <v>136.40353793974692375729236333</v>
      </c>
      <c r="R41" s="330">
        <v>119.86300950982558049445591332</v>
      </c>
      <c r="S41" s="330">
        <v>105.08386893620494479864910509</v>
      </c>
      <c r="T41" s="330">
        <v>123.64721464251194219416091661</v>
      </c>
      <c r="U41" s="330">
        <v>121.58557405035481603551797578</v>
      </c>
      <c r="V41" s="330">
        <v>101.89971632007702658772597770</v>
      </c>
      <c r="W41" s="330">
        <v>107.10339442789021901076668525</v>
      </c>
      <c r="X41" s="331">
        <v>129.18679805036593603376919149</v>
      </c>
      <c r="Y41" s="330">
        <v>119.53745160376015032004437530</v>
      </c>
      <c r="Z41" s="330">
        <v>104.60166676979127328009537003</v>
      </c>
      <c r="AA41" s="330">
        <v>104.07411031733784198531529962</v>
      </c>
      <c r="AB41" s="330">
        <v>114.90788760089094137529183481</v>
      </c>
      <c r="AC41" s="330">
        <v>110.51195436876607474397007666</v>
      </c>
      <c r="AD41" s="338">
        <v>109.93603622087521064373736316</v>
      </c>
      <c r="AE41" s="88"/>
      <c r="AF41" s="329">
        <v>112.84168540651061400802746403</v>
      </c>
      <c r="AG41" s="330">
        <v>114.90885298602966902240989281</v>
      </c>
      <c r="AH41" s="332">
        <v>118.84837808213230810509893288</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275" t="s">
        <v>182</v>
      </c>
      <c r="D44" s="276"/>
      <c r="E44" s="276"/>
      <c r="F44" s="276"/>
      <c r="G44" s="276"/>
      <c r="H44" s="276"/>
      <c r="I44" s="276"/>
      <c r="J44" s="276"/>
      <c r="K44" s="276"/>
      <c r="L44" s="658" t="s">
        <v>179</v>
      </c>
      <c r="M44" s="276"/>
      <c r="N44" s="276"/>
      <c r="O44" s="276"/>
      <c r="P44" s="276"/>
      <c r="Q44" s="276"/>
      <c r="R44" s="276"/>
      <c r="S44" s="277"/>
      <c r="T44" s="277"/>
      <c r="U44" s="277"/>
      <c r="V44" s="277"/>
      <c r="W44" s="277"/>
      <c r="X44" s="312"/>
      <c r="Y44" s="277"/>
      <c r="Z44" s="277"/>
      <c r="AA44" s="277"/>
      <c r="AB44" s="277"/>
      <c r="AC44" s="277"/>
      <c r="AD44" s="336"/>
      <c r="AE44" s="25"/>
      <c r="AF44" s="316" t="s">
        <v>58</v>
      </c>
      <c r="AG44" s="317" t="s">
        <v>59</v>
      </c>
      <c r="AH44" s="318" t="s">
        <v>59</v>
      </c>
      <c r="AI44" s="25"/>
      <c r="AJ44" s="248"/>
      <c r="AK44" s="248"/>
      <c r="AL44" s="248"/>
      <c r="AM44" s="248"/>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row>
    <row r="45" s="42" customFormat="1">
      <c r="C45" s="284">
        <v>22</v>
      </c>
      <c r="D45">
        <v>23</v>
      </c>
      <c r="E45">
        <v>24</v>
      </c>
      <c r="F45">
        <v>25</v>
      </c>
      <c r="G45">
        <v>26</v>
      </c>
      <c r="H45">
        <v>27</v>
      </c>
      <c r="I45">
        <v>28</v>
      </c>
      <c r="J45">
        <v>29</v>
      </c>
      <c r="K45">
        <v>30</v>
      </c>
      <c r="L45" s="717">
        <v>1</v>
      </c>
      <c r="M45">
        <v>2</v>
      </c>
      <c r="N45">
        <v>3</v>
      </c>
      <c r="O45">
        <v>4</v>
      </c>
      <c r="P45">
        <v>5</v>
      </c>
      <c r="Q45">
        <v>6</v>
      </c>
      <c r="R45">
        <v>7</v>
      </c>
      <c r="S45">
        <v>8</v>
      </c>
      <c r="T45">
        <v>9</v>
      </c>
      <c r="U45">
        <v>10</v>
      </c>
      <c r="V45">
        <v>11</v>
      </c>
      <c r="W45">
        <v>12</v>
      </c>
      <c r="X45" s="323">
        <v>13</v>
      </c>
      <c r="Y45">
        <v>14</v>
      </c>
      <c r="Z45">
        <v>15</v>
      </c>
      <c r="AA45">
        <v>16</v>
      </c>
      <c r="AB45">
        <v>17</v>
      </c>
      <c r="AC45">
        <v>18</v>
      </c>
      <c r="AD45" s="337">
        <v>19</v>
      </c>
      <c r="AE45" s="25"/>
      <c r="AF45" s="324" t="s">
        <v>60</v>
      </c>
      <c r="AG45" s="325">
        <v>28</v>
      </c>
      <c r="AH45" s="326" t="s">
        <v>31</v>
      </c>
      <c r="AI45" s="25"/>
      <c r="AJ45" s="248"/>
      <c r="AK45" s="248"/>
      <c r="AL45" s="248"/>
      <c r="AM45" s="248"/>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row>
    <row r="46" ht="14.25" customHeight="1">
      <c r="A46" s="1"/>
      <c r="B46" s="46" t="s">
        <v>26</v>
      </c>
      <c r="C46" s="444">
        <v>-38.313671792703648502105459950</v>
      </c>
      <c r="D46" s="445">
        <v>-44.515463917532377227019045870</v>
      </c>
      <c r="E46" s="445">
        <v>-32.843456680594792588507645100</v>
      </c>
      <c r="F46" s="445">
        <v>32.548015364887025771041401820</v>
      </c>
      <c r="G46" s="445">
        <v>43.882625994582568824955046910</v>
      </c>
      <c r="H46" s="445">
        <v>3.8961038961089716111737590600</v>
      </c>
      <c r="I46" s="445">
        <v>-2.8416545189313274495972225200</v>
      </c>
      <c r="J46" s="445">
        <v>3.2925981697561072696427609800</v>
      </c>
      <c r="K46" s="445">
        <v>44.464771554501247286247149520</v>
      </c>
      <c r="L46" s="660">
        <v>32.510288065758845857001678910</v>
      </c>
      <c r="M46" s="445">
        <v>71.653453487704283384238440470</v>
      </c>
      <c r="N46" s="445">
        <v>21.463119709686450145863548240</v>
      </c>
      <c r="O46" s="445">
        <v>3.5417956656028721776718283400</v>
      </c>
      <c r="P46" s="445">
        <v>-7.5532754538200679975428842900</v>
      </c>
      <c r="Q46" s="445">
        <v>34.970911441458937403095073790</v>
      </c>
      <c r="R46" s="445">
        <v>17.379078404466236305433081490</v>
      </c>
      <c r="S46" s="445">
        <v>12.846920040914897442755877590</v>
      </c>
      <c r="T46" s="445">
        <v>45.138052155072799783935554490</v>
      </c>
      <c r="U46" s="445">
        <v>-2.6069296263597415349063216900</v>
      </c>
      <c r="V46" s="445">
        <v>-15.21463076251410356825354800</v>
      </c>
      <c r="W46" s="445">
        <v>-1.2612379565924609097866107700</v>
      </c>
      <c r="X46" s="446">
        <v>5.7317524894490468956375934400</v>
      </c>
      <c r="Y46" s="445">
        <v>38.542742155398022692738936220</v>
      </c>
      <c r="Z46" s="445">
        <v>19.775942348640808455842389410</v>
      </c>
      <c r="AA46" s="445">
        <v>6.9889212300637962099016650600</v>
      </c>
      <c r="AB46" s="445">
        <v>19.445251156232529382028902820</v>
      </c>
      <c r="AC46" s="445">
        <v>3.7040935883903641904518878300</v>
      </c>
      <c r="AD46" s="447">
        <v>2.9085839310017213008117510200</v>
      </c>
      <c r="AE46" s="448"/>
      <c r="AF46" s="444">
        <v>12.024282565374440611562145690</v>
      </c>
      <c r="AG46" s="445">
        <v>6.6937588861192399123170070800</v>
      </c>
      <c r="AH46" s="449">
        <v>13.192258595494464221284762090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181</v>
      </c>
      <c r="C47" s="329">
        <v>-27.308574261301964773105216570</v>
      </c>
      <c r="D47" s="330">
        <v>-31.974329841482085752959407740</v>
      </c>
      <c r="E47" s="330">
        <v>-13.894462624415277677709461650</v>
      </c>
      <c r="F47" s="330">
        <v>54.129875716189308152635297010</v>
      </c>
      <c r="G47" s="330">
        <v>33.604051981310432524742582550</v>
      </c>
      <c r="H47" s="330">
        <v>11.315344888504662375783055630</v>
      </c>
      <c r="I47" s="330">
        <v>6.8001391569003401076374372200</v>
      </c>
      <c r="J47" s="330">
        <v>16.568650076664427559202174900</v>
      </c>
      <c r="K47" s="330">
        <v>41.957765015515389543689879390</v>
      </c>
      <c r="L47" s="663">
        <v>16.326858548831401481293335530</v>
      </c>
      <c r="M47" s="330">
        <v>47.362811465294115415754425830</v>
      </c>
      <c r="N47" s="330">
        <v>28.342766667747713600005063900</v>
      </c>
      <c r="O47" s="330">
        <v>16.072940185163026893650110040</v>
      </c>
      <c r="P47" s="330">
        <v>1.3031629555738191927820703700</v>
      </c>
      <c r="Q47" s="330">
        <v>28.974840045081941710748336460</v>
      </c>
      <c r="R47" s="330">
        <v>18.800331180367480800262803880</v>
      </c>
      <c r="S47" s="330">
        <v>4.1317485528341375754263187500</v>
      </c>
      <c r="T47" s="330">
        <v>41.787448733053637867428236210</v>
      </c>
      <c r="U47" s="330">
        <v>8.735947318913713358977004860</v>
      </c>
      <c r="V47" s="330">
        <v>1.7175988703858528624354933300</v>
      </c>
      <c r="W47" s="330">
        <v>-0.6120213598362150477471391500</v>
      </c>
      <c r="X47" s="331">
        <v>15.855547591470158120308301510</v>
      </c>
      <c r="Y47" s="330">
        <v>34.739346520914091305476299190</v>
      </c>
      <c r="Z47" s="330">
        <v>18.841068637859013450616536640</v>
      </c>
      <c r="AA47" s="330">
        <v>5.501808088982154006887772100</v>
      </c>
      <c r="AB47" s="330">
        <v>28.000906852466800850340805020</v>
      </c>
      <c r="AC47" s="330">
        <v>16.592728917008506493750861280</v>
      </c>
      <c r="AD47" s="338">
        <v>13.849354801609050654842441320</v>
      </c>
      <c r="AE47" s="88"/>
      <c r="AF47" s="329">
        <v>18.070094351774372888971135490</v>
      </c>
      <c r="AG47" s="330">
        <v>13.026474804942742653485781080</v>
      </c>
      <c r="AH47" s="332">
        <v>15.962635157423673420040005220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275" t="s">
        <v>182</v>
      </c>
      <c r="D50" s="276"/>
      <c r="E50" s="276"/>
      <c r="F50" s="276"/>
      <c r="G50" s="276"/>
      <c r="H50" s="276"/>
      <c r="I50" s="276"/>
      <c r="J50" s="276"/>
      <c r="K50" s="276"/>
      <c r="L50" s="658" t="s">
        <v>179</v>
      </c>
      <c r="M50" s="276"/>
      <c r="N50" s="276"/>
      <c r="O50" s="276"/>
      <c r="P50" s="276"/>
      <c r="Q50" s="276"/>
      <c r="R50" s="276"/>
      <c r="S50" s="277"/>
      <c r="T50" s="277"/>
      <c r="U50" s="277"/>
      <c r="V50" s="277"/>
      <c r="W50" s="277"/>
      <c r="X50" s="312"/>
      <c r="Y50" s="277"/>
      <c r="Z50" s="277"/>
      <c r="AA50" s="277"/>
      <c r="AB50" s="277"/>
      <c r="AC50" s="277"/>
      <c r="AD50" s="336"/>
      <c r="AE50" s="25"/>
      <c r="AF50" s="316" t="s">
        <v>58</v>
      </c>
      <c r="AG50" s="317" t="s">
        <v>59</v>
      </c>
      <c r="AH50" s="318" t="s">
        <v>59</v>
      </c>
      <c r="AI50" s="25"/>
      <c r="AJ50" s="248"/>
      <c r="AK50" s="248"/>
      <c r="AL50" s="248"/>
      <c r="AM50" s="248"/>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row>
    <row r="51" s="42" customFormat="1">
      <c r="C51" s="284">
        <v>22</v>
      </c>
      <c r="D51">
        <v>23</v>
      </c>
      <c r="E51">
        <v>24</v>
      </c>
      <c r="F51">
        <v>25</v>
      </c>
      <c r="G51">
        <v>26</v>
      </c>
      <c r="H51">
        <v>27</v>
      </c>
      <c r="I51">
        <v>28</v>
      </c>
      <c r="J51">
        <v>29</v>
      </c>
      <c r="K51">
        <v>30</v>
      </c>
      <c r="L51" s="717">
        <v>1</v>
      </c>
      <c r="M51">
        <v>2</v>
      </c>
      <c r="N51">
        <v>3</v>
      </c>
      <c r="O51">
        <v>4</v>
      </c>
      <c r="P51">
        <v>5</v>
      </c>
      <c r="Q51">
        <v>6</v>
      </c>
      <c r="R51">
        <v>7</v>
      </c>
      <c r="S51">
        <v>8</v>
      </c>
      <c r="T51">
        <v>9</v>
      </c>
      <c r="U51">
        <v>10</v>
      </c>
      <c r="V51">
        <v>11</v>
      </c>
      <c r="W51">
        <v>12</v>
      </c>
      <c r="X51" s="323">
        <v>13</v>
      </c>
      <c r="Y51">
        <v>14</v>
      </c>
      <c r="Z51">
        <v>15</v>
      </c>
      <c r="AA51">
        <v>16</v>
      </c>
      <c r="AB51">
        <v>17</v>
      </c>
      <c r="AC51">
        <v>18</v>
      </c>
      <c r="AD51" s="337">
        <v>19</v>
      </c>
      <c r="AE51" s="25"/>
      <c r="AF51" s="324" t="s">
        <v>60</v>
      </c>
      <c r="AG51" s="325">
        <v>28</v>
      </c>
      <c r="AH51" s="326" t="s">
        <v>31</v>
      </c>
      <c r="AI51" s="25"/>
      <c r="AJ51" s="248"/>
      <c r="AK51" s="248"/>
      <c r="AL51" s="248"/>
      <c r="AM51" s="248"/>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row>
    <row r="52" ht="14.25" customHeight="1">
      <c r="A52" s="1"/>
      <c r="B52" s="46" t="s">
        <v>56</v>
      </c>
      <c r="C52" s="455" t="s">
        <v>225</v>
      </c>
      <c r="D52" s="456" t="s">
        <v>225</v>
      </c>
      <c r="E52" s="456" t="s">
        <v>226</v>
      </c>
      <c r="F52" s="456" t="s">
        <v>227</v>
      </c>
      <c r="G52" s="456" t="s">
        <v>229</v>
      </c>
      <c r="H52" s="456" t="s">
        <v>231</v>
      </c>
      <c r="I52" s="456" t="s">
        <v>232</v>
      </c>
      <c r="J52" s="456" t="s">
        <v>227</v>
      </c>
      <c r="K52" s="456" t="s">
        <v>230</v>
      </c>
      <c r="L52" s="664" t="s">
        <v>228</v>
      </c>
      <c r="M52" s="456" t="s">
        <v>229</v>
      </c>
      <c r="N52" s="456" t="s">
        <v>229</v>
      </c>
      <c r="O52" s="456" t="s">
        <v>231</v>
      </c>
      <c r="P52" s="456" t="s">
        <v>231</v>
      </c>
      <c r="Q52" s="456" t="s">
        <v>230</v>
      </c>
      <c r="R52" s="456" t="s">
        <v>233</v>
      </c>
      <c r="S52" s="456" t="s">
        <v>233</v>
      </c>
      <c r="T52" s="456" t="s">
        <v>236</v>
      </c>
      <c r="U52" s="456" t="s">
        <v>234</v>
      </c>
      <c r="V52" s="456" t="s">
        <v>238</v>
      </c>
      <c r="W52" s="456" t="s">
        <v>235</v>
      </c>
      <c r="X52" s="457" t="s">
        <v>235</v>
      </c>
      <c r="Y52" s="456" t="s">
        <v>234</v>
      </c>
      <c r="Z52" s="456" t="s">
        <v>235</v>
      </c>
      <c r="AA52" s="456" t="s">
        <v>234</v>
      </c>
      <c r="AB52" s="456" t="s">
        <v>234</v>
      </c>
      <c r="AC52" s="456" t="s">
        <v>235</v>
      </c>
      <c r="AD52" s="458" t="s">
        <v>235</v>
      </c>
      <c r="AE52" s="459"/>
      <c r="AF52" s="455" t="s">
        <v>235</v>
      </c>
      <c r="AG52" s="456" t="s">
        <v>227</v>
      </c>
      <c r="AH52" s="460" t="s">
        <v>234</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225</v>
      </c>
      <c r="D53" s="334" t="s">
        <v>225</v>
      </c>
      <c r="E53" s="334" t="s">
        <v>225</v>
      </c>
      <c r="F53" s="334" t="s">
        <v>228</v>
      </c>
      <c r="G53" s="334" t="s">
        <v>230</v>
      </c>
      <c r="H53" s="334" t="s">
        <v>228</v>
      </c>
      <c r="I53" s="334" t="s">
        <v>231</v>
      </c>
      <c r="J53" s="334" t="s">
        <v>231</v>
      </c>
      <c r="K53" s="334" t="s">
        <v>228</v>
      </c>
      <c r="L53" s="665" t="s">
        <v>230</v>
      </c>
      <c r="M53" s="334" t="s">
        <v>229</v>
      </c>
      <c r="N53" s="334" t="s">
        <v>229</v>
      </c>
      <c r="O53" s="334" t="s">
        <v>231</v>
      </c>
      <c r="P53" s="334" t="s">
        <v>226</v>
      </c>
      <c r="Q53" s="334" t="s">
        <v>230</v>
      </c>
      <c r="R53" s="334" t="s">
        <v>234</v>
      </c>
      <c r="S53" s="334" t="s">
        <v>235</v>
      </c>
      <c r="T53" s="334" t="s">
        <v>236</v>
      </c>
      <c r="U53" s="334" t="s">
        <v>237</v>
      </c>
      <c r="V53" s="334" t="s">
        <v>239</v>
      </c>
      <c r="W53" s="334" t="s">
        <v>233</v>
      </c>
      <c r="X53" s="60" t="s">
        <v>237</v>
      </c>
      <c r="Y53" s="61" t="s">
        <v>235</v>
      </c>
      <c r="Z53" s="61" t="s">
        <v>235</v>
      </c>
      <c r="AA53" s="61" t="s">
        <v>237</v>
      </c>
      <c r="AB53" s="61" t="s">
        <v>233</v>
      </c>
      <c r="AC53" s="61" t="s">
        <v>237</v>
      </c>
      <c r="AD53" s="62" t="s">
        <v>233</v>
      </c>
      <c r="AE53" s="59"/>
      <c r="AF53" s="333" t="s">
        <v>235</v>
      </c>
      <c r="AG53" s="334" t="s">
        <v>231</v>
      </c>
      <c r="AH53" s="335" t="s">
        <v>234</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50" t="s">
        <v>114</v>
      </c>
      <c r="C56" s="650"/>
      <c r="D56" s="650"/>
      <c r="E56" s="650"/>
      <c r="F56" s="650"/>
      <c r="G56" s="650"/>
      <c r="H56" s="650"/>
      <c r="I56" s="650"/>
      <c r="J56" s="650"/>
      <c r="K56" s="650"/>
      <c r="L56" s="650"/>
      <c r="M56" s="650"/>
      <c r="N56" s="650"/>
      <c r="O56" s="650"/>
      <c r="P56" s="650"/>
      <c r="Q56" s="650"/>
      <c r="R56" s="650"/>
      <c r="S56" s="650"/>
      <c r="T56" s="650"/>
      <c r="U56" s="650"/>
      <c r="V56" s="650"/>
      <c r="W56" s="650"/>
      <c r="X56" s="650"/>
      <c r="Y56" s="650"/>
      <c r="Z56" s="650"/>
      <c r="AA56" s="650"/>
      <c r="AB56" s="650"/>
      <c r="AC56" s="650"/>
      <c r="AD56" s="650"/>
      <c r="AE56" s="650"/>
      <c r="AF56" s="650"/>
      <c r="AG56" s="650"/>
      <c r="AH56" s="650"/>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53"/>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row>
    <row r="66" s="25" customFormat="1" ht="10.5" customHeight="1">
      <c r="A66" s="248"/>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row>
    <row r="67" s="25" customFormat="1">
      <c r="A67" s="248"/>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row>
    <row r="68" s="84" customFormat="1">
      <c r="A68" s="249"/>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row>
    <row r="69" s="84" customFormat="1">
      <c r="A69" s="249"/>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row>
    <row r="70" s="84" customFormat="1">
      <c r="A70" s="249"/>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49"/>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45780</v>
      </c>
      <c r="C72" s="666">
        <v>45787</v>
      </c>
      <c r="D72" s="666">
        <v>45794</v>
      </c>
      <c r="E72" s="666">
        <v>45801</v>
      </c>
      <c r="F72" s="666">
        <v>45808</v>
      </c>
      <c r="G72" s="666">
        <v>45815</v>
      </c>
      <c r="H72" s="666">
        <v>45822</v>
      </c>
      <c r="I72" s="666">
        <v>45829</v>
      </c>
      <c r="J72" s="666">
        <v>45836</v>
      </c>
      <c r="K72" s="666">
        <v>45843</v>
      </c>
      <c r="L72" s="666">
        <v>45850</v>
      </c>
      <c r="M72" s="666">
        <v>45857</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94.04761904761904761904761905</v>
      </c>
      <c r="C73" s="666">
        <v>78.138528138528138528138528140</v>
      </c>
      <c r="D73" s="666">
        <v>75.216450216450216450216450220</v>
      </c>
      <c r="E73" s="666">
        <v>89.17748917748917748917748918</v>
      </c>
      <c r="F73" s="666">
        <v>75.865800865800865800865800870</v>
      </c>
      <c r="G73" s="666">
        <v>73.701298701298701298701298700</v>
      </c>
      <c r="H73" s="666">
        <v>82.57575757575757575757575758</v>
      </c>
      <c r="I73" s="666">
        <v>91.45021645021645021645021645</v>
      </c>
      <c r="J73" s="666">
        <v>76.731601731601731601731601730</v>
      </c>
      <c r="K73" s="666">
        <v>85.06493506493506493506493506</v>
      </c>
      <c r="L73" s="666">
        <v>79.97835497835497835497835498</v>
      </c>
      <c r="M73" s="666">
        <v>81.70995670995670995670995671</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94.55123772645553865302171207</v>
      </c>
      <c r="C74" s="666">
        <v>81.39952980224035403125432167</v>
      </c>
      <c r="D74" s="666">
        <v>78.495367169132900013829345870</v>
      </c>
      <c r="E74" s="666">
        <v>86.61319319596183100539344489</v>
      </c>
      <c r="F74" s="666">
        <v>77.707094454432305351956852440</v>
      </c>
      <c r="G74" s="666">
        <v>73.751901535057391785368552070</v>
      </c>
      <c r="H74" s="666">
        <v>84.22071636011616650532429816</v>
      </c>
      <c r="I74" s="666">
        <v>82.45056008850781358041764625</v>
      </c>
      <c r="J74" s="666">
        <v>85.17494122528004425390679021</v>
      </c>
      <c r="K74" s="666">
        <v>72.714700594661872493431060710</v>
      </c>
      <c r="L74" s="666">
        <v>70.148719956667026342217831070</v>
      </c>
      <c r="M74" s="666">
        <v>72.998255906136039321388932930</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ht="14.25">
      <c r="A75" s="260" t="s">
        <v>181</v>
      </c>
      <c r="B75" s="666">
        <v>89.64108636128172870569081625</v>
      </c>
      <c r="C75" s="666">
        <v>74.251134197342948765313511360</v>
      </c>
      <c r="D75" s="666">
        <v>72.859063973163486973355598580</v>
      </c>
      <c r="E75" s="666">
        <v>74.432901328525617343244321620</v>
      </c>
      <c r="F75" s="666">
        <v>68.144940814848749057914259110</v>
      </c>
      <c r="G75" s="666">
        <v>69.571799307958477508650519030</v>
      </c>
      <c r="H75" s="666">
        <v>76.221885813148788927335640140</v>
      </c>
      <c r="I75" s="666">
        <v>76.938643104300543746910528920</v>
      </c>
      <c r="J75" s="666">
        <v>76.166275333662876915472071180</v>
      </c>
      <c r="K75" s="666">
        <v>63.466820650477557899993757410</v>
      </c>
      <c r="L75" s="666">
        <v>69.414843603084059424559643950</v>
      </c>
      <c r="M75" s="666">
        <v>72.411145239139973672663448880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70"/>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148</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178</v>
      </c>
      <c r="B4" s="442"/>
      <c r="C4" s="211"/>
      <c r="D4" s="212"/>
      <c r="E4" s="212"/>
      <c r="F4" s="212"/>
      <c r="G4" s="212"/>
      <c r="H4" s="212"/>
      <c r="I4" s="212"/>
      <c r="J4" s="212"/>
      <c r="K4" s="212"/>
      <c r="L4" s="212"/>
      <c r="M4" s="212"/>
      <c r="N4" s="212"/>
      <c r="O4" s="212"/>
      <c r="P4" s="212"/>
      <c r="Q4" s="212"/>
      <c r="R4" s="667" t="s">
        <v>180</v>
      </c>
      <c r="S4" s="667"/>
      <c r="T4" s="667"/>
      <c r="U4" s="667"/>
      <c r="V4" s="667"/>
      <c r="W4" s="667"/>
      <c r="X4" s="667"/>
      <c r="Y4" s="667"/>
      <c r="Z4" s="667"/>
      <c r="AA4" s="66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181</v>
      </c>
      <c r="G9" s="339" t="s">
        <v>63</v>
      </c>
      <c r="H9" s="340" t="s">
        <v>26</v>
      </c>
      <c r="I9" s="341" t="s">
        <v>181</v>
      </c>
      <c r="J9" s="340" t="s">
        <v>63</v>
      </c>
      <c r="K9" s="340" t="s">
        <v>26</v>
      </c>
      <c r="L9" s="341" t="s">
        <v>181</v>
      </c>
      <c r="M9" s="339" t="s">
        <v>63</v>
      </c>
      <c r="N9" s="340" t="s">
        <v>26</v>
      </c>
      <c r="O9" s="341" t="s">
        <v>181</v>
      </c>
      <c r="P9" s="96"/>
      <c r="Q9" s="339" t="s">
        <v>63</v>
      </c>
      <c r="R9" s="340" t="s">
        <v>26</v>
      </c>
      <c r="S9" s="341" t="s">
        <v>181</v>
      </c>
      <c r="T9" s="339" t="s">
        <v>63</v>
      </c>
      <c r="U9" s="340" t="s">
        <v>26</v>
      </c>
      <c r="V9" s="341" t="s">
        <v>181</v>
      </c>
      <c r="W9" s="340"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182</v>
      </c>
      <c r="B10" s="342">
        <v>22</v>
      </c>
      <c r="C10" s="350" t="s">
        <v>49</v>
      </c>
      <c r="D10" s="354">
        <v>64.393939393939393939393939390</v>
      </c>
      <c r="E10" s="355">
        <v>56.824782187802516940948693130</v>
      </c>
      <c r="F10" s="356">
        <v>56.821250738458941682842433960</v>
      </c>
      <c r="G10" s="354">
        <v>0</v>
      </c>
      <c r="H10" s="355">
        <v>34.172313649564375605033881900</v>
      </c>
      <c r="I10" s="356">
        <v>13.056657383182828368076068300</v>
      </c>
      <c r="J10" s="355">
        <v>0</v>
      </c>
      <c r="K10" s="355">
        <v>0</v>
      </c>
      <c r="L10" s="356">
        <v>7.3712268264551157622302866600</v>
      </c>
      <c r="M10" s="354">
        <v>64.393939393939393939393939390</v>
      </c>
      <c r="N10" s="355">
        <v>90.99709583736689254598257502</v>
      </c>
      <c r="O10" s="356">
        <v>77.249134948096885813148788930</v>
      </c>
      <c r="P10" s="4"/>
      <c r="Q10" s="354">
        <v>-15.841584158469169689246118550</v>
      </c>
      <c r="R10" s="355">
        <v>-11.195158850271935887723387140</v>
      </c>
      <c r="S10" s="356">
        <v>8.971391941658297323052020090</v>
      </c>
      <c r="T10" s="354">
        <v>0</v>
      </c>
      <c r="U10" s="355">
        <v>1861.1111110711262345687164819</v>
      </c>
      <c r="V10" s="356">
        <v>88.49639781576172210997702447</v>
      </c>
      <c r="W10" s="355">
        <v>0</v>
      </c>
      <c r="X10" s="355">
        <v>-100</v>
      </c>
      <c r="Y10" s="356">
        <v>-3.6888289510936484375668110300</v>
      </c>
      <c r="Z10" s="354">
        <v>-15.841584158469169689246118550</v>
      </c>
      <c r="AA10" s="355">
        <v>36.429608127655595602469692800</v>
      </c>
      <c r="AB10" s="356">
        <v>15.774886771500198830574223120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23</v>
      </c>
      <c r="C11" s="351" t="s">
        <v>47</v>
      </c>
      <c r="D11" s="327">
        <v>59.090909090909090909090909090</v>
      </c>
      <c r="E11" s="171">
        <v>48.209099709583736689254598260</v>
      </c>
      <c r="F11" s="328">
        <v>53.660906256440636363353905400</v>
      </c>
      <c r="G11" s="327">
        <v>0</v>
      </c>
      <c r="H11" s="171">
        <v>38.915779283639883833494675700</v>
      </c>
      <c r="I11" s="328">
        <v>12.792671902202788258286218510</v>
      </c>
      <c r="J11" s="171">
        <v>0</v>
      </c>
      <c r="K11" s="171">
        <v>0</v>
      </c>
      <c r="L11" s="328">
        <v>7.1731519451628037520622982400</v>
      </c>
      <c r="M11" s="327">
        <v>59.090909090909090909090909090</v>
      </c>
      <c r="N11" s="171">
        <v>87.12487899322362052274927396</v>
      </c>
      <c r="O11" s="328">
        <v>73.626730103806228373702422150</v>
      </c>
      <c r="P11" s="4"/>
      <c r="Q11" s="327">
        <v>-3.703703703646639231824383200</v>
      </c>
      <c r="R11" s="171">
        <v>-15.306122448970517492711369290</v>
      </c>
      <c r="S11" s="328">
        <v>10.051411388926775575249645680</v>
      </c>
      <c r="T11" s="327">
        <v>-100</v>
      </c>
      <c r="U11" s="171">
        <v>1647.8260869426911153120187050</v>
      </c>
      <c r="V11" s="328">
        <v>111.94727571280035528281634192</v>
      </c>
      <c r="W11" s="171">
        <v>0</v>
      </c>
      <c r="X11" s="171">
        <v>-100</v>
      </c>
      <c r="Y11" s="328">
        <v>-4.2258616857190177571011195300</v>
      </c>
      <c r="Z11" s="327">
        <v>-19.587628865926325858220817370</v>
      </c>
      <c r="AA11" s="171">
        <v>44.927536231942635767462508220</v>
      </c>
      <c r="AB11" s="328">
        <v>18.208862840534767987307896930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24</v>
      </c>
      <c r="C12" s="352" t="s">
        <v>48</v>
      </c>
      <c r="D12" s="359">
        <v>59.090909090909090909090909090</v>
      </c>
      <c r="E12" s="170">
        <v>45.595353339787028073572120040</v>
      </c>
      <c r="F12" s="360">
        <v>52.106059159871644531711618350</v>
      </c>
      <c r="G12" s="359">
        <v>0</v>
      </c>
      <c r="H12" s="170">
        <v>38.528557599225556631171345600</v>
      </c>
      <c r="I12" s="360">
        <v>13.107320977969851116426280900</v>
      </c>
      <c r="J12" s="170">
        <v>0</v>
      </c>
      <c r="K12" s="170">
        <v>0</v>
      </c>
      <c r="L12" s="360">
        <v>6.9103222843038330715852841500</v>
      </c>
      <c r="M12" s="359">
        <v>59.090909090909090909090909090</v>
      </c>
      <c r="N12" s="170">
        <v>84.12391093901258470474346563</v>
      </c>
      <c r="O12" s="360">
        <v>72.123702422145328719723183390</v>
      </c>
      <c r="P12" s="4"/>
      <c r="Q12" s="359">
        <v>13.043478260928544423440484460</v>
      </c>
      <c r="R12" s="170">
        <v>-20.439189189160832211011677250</v>
      </c>
      <c r="S12" s="360">
        <v>2.1957206444358822241396237300</v>
      </c>
      <c r="T12" s="359">
        <v>-100</v>
      </c>
      <c r="U12" s="170">
        <v>1491.9999999931225600000297107</v>
      </c>
      <c r="V12" s="360">
        <v>80.23664255585846047952642661</v>
      </c>
      <c r="W12" s="170">
        <v>0</v>
      </c>
      <c r="X12" s="170">
        <v>-100</v>
      </c>
      <c r="Y12" s="360">
        <v>-11.684766383365099928882452860</v>
      </c>
      <c r="Z12" s="359">
        <v>-6.0240963855602845115401329600</v>
      </c>
      <c r="AA12" s="170">
        <v>39.935587761731278313249910700</v>
      </c>
      <c r="AB12" s="360">
        <v>9.140371779546431193504305510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25</v>
      </c>
      <c r="C13" s="351" t="s">
        <v>50</v>
      </c>
      <c r="D13" s="327">
        <v>69.696969696969696969696969700</v>
      </c>
      <c r="E13" s="171">
        <v>53.727008712487899322362052270</v>
      </c>
      <c r="F13" s="328">
        <v>51.295849593433794730744747180</v>
      </c>
      <c r="G13" s="327">
        <v>9.090909090909090909090909090</v>
      </c>
      <c r="H13" s="171">
        <v>21.878025169409486931268151020</v>
      </c>
      <c r="I13" s="328">
        <v>12.446869189084131415824362530</v>
      </c>
      <c r="J13" s="171">
        <v>0</v>
      </c>
      <c r="K13" s="171">
        <v>0</v>
      </c>
      <c r="L13" s="328">
        <v>7.0725926361671949606973262800</v>
      </c>
      <c r="M13" s="327">
        <v>78.787878787878787878787878790</v>
      </c>
      <c r="N13" s="171">
        <v>75.605033881897386253630203290</v>
      </c>
      <c r="O13" s="328">
        <v>70.815311418685121107266435990</v>
      </c>
      <c r="P13" s="4"/>
      <c r="Q13" s="327">
        <v>41.538461538531218934911276910</v>
      </c>
      <c r="R13" s="171">
        <v>-6.5656565656117360473420864500</v>
      </c>
      <c r="S13" s="328">
        <v>-1.7737453998014797447964226300</v>
      </c>
      <c r="T13" s="327">
        <v>0</v>
      </c>
      <c r="U13" s="171">
        <v>370.83333333048871527779496409</v>
      </c>
      <c r="V13" s="328">
        <v>51.385376288542339585752241190</v>
      </c>
      <c r="W13" s="171">
        <v>0</v>
      </c>
      <c r="X13" s="171">
        <v>-100</v>
      </c>
      <c r="Y13" s="328">
        <v>-9.012018185895375499774449610</v>
      </c>
      <c r="Z13" s="327">
        <v>60.000000000078769230769269550</v>
      </c>
      <c r="AA13" s="171">
        <v>20.710973724917663022056391310</v>
      </c>
      <c r="AB13" s="328">
        <v>3.8085570734486980737069543400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26</v>
      </c>
      <c r="C14" s="352" t="s">
        <v>51</v>
      </c>
      <c r="D14" s="359">
        <v>82.57575757575757575757575758</v>
      </c>
      <c r="E14" s="170">
        <v>69.796708615682478218780251690</v>
      </c>
      <c r="F14" s="360">
        <v>52.846192713458831994751489370</v>
      </c>
      <c r="G14" s="359">
        <v>9.090909090909090909090909090</v>
      </c>
      <c r="H14" s="170">
        <v>3.1945788964181994191674733800</v>
      </c>
      <c r="I14" s="360">
        <v>12.872646900098409574299228600</v>
      </c>
      <c r="J14" s="170">
        <v>0</v>
      </c>
      <c r="K14" s="170">
        <v>0</v>
      </c>
      <c r="L14" s="360">
        <v>7.551056580214384728527136700</v>
      </c>
      <c r="M14" s="359">
        <v>91.66666666666666666666666667</v>
      </c>
      <c r="N14" s="170">
        <v>72.991287512100677637947725070</v>
      </c>
      <c r="O14" s="360">
        <v>73.269896193771626297577854670</v>
      </c>
      <c r="P14" s="4"/>
      <c r="Q14" s="359">
        <v>23.863636363574431818181849150</v>
      </c>
      <c r="R14" s="170">
        <v>3.0000000000110357142857154600</v>
      </c>
      <c r="S14" s="360">
        <v>-2.2428620678999521057799409600</v>
      </c>
      <c r="T14" s="359">
        <v>0</v>
      </c>
      <c r="U14" s="170">
        <v>-58.750000000071671874999875450</v>
      </c>
      <c r="V14" s="360">
        <v>36.851746811024073843400561370</v>
      </c>
      <c r="W14" s="170">
        <v>0</v>
      </c>
      <c r="X14" s="170">
        <v>-100</v>
      </c>
      <c r="Y14" s="360">
        <v>-2.3013902103032167840478097500</v>
      </c>
      <c r="Z14" s="359">
        <v>37.499999999931250000000034380</v>
      </c>
      <c r="AA14" s="170">
        <v>-4.4359949302589268474477055200</v>
      </c>
      <c r="AB14" s="360">
        <v>2.9160403153341137072391266100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27</v>
      </c>
      <c r="C15" s="351" t="s">
        <v>52</v>
      </c>
      <c r="D15" s="327">
        <v>90.90909090909090909090909091</v>
      </c>
      <c r="E15" s="171">
        <v>88.18973862536302032913843175</v>
      </c>
      <c r="F15" s="328">
        <v>63.538112625659360731026307150</v>
      </c>
      <c r="G15" s="327">
        <v>0</v>
      </c>
      <c r="H15" s="171">
        <v>2.3233301064859632139399806400</v>
      </c>
      <c r="I15" s="328">
        <v>10.380653930910508882210325470</v>
      </c>
      <c r="J15" s="171">
        <v>0</v>
      </c>
      <c r="K15" s="171">
        <v>0</v>
      </c>
      <c r="L15" s="328">
        <v>7.8610777340875698331301493900</v>
      </c>
      <c r="M15" s="327">
        <v>90.90909090909090909090909091</v>
      </c>
      <c r="N15" s="171">
        <v>90.51306873184898354307841239</v>
      </c>
      <c r="O15" s="328">
        <v>81.77984429065743944636678201</v>
      </c>
      <c r="P15" s="4"/>
      <c r="Q15" s="327">
        <v>14.285714285648979591836772010</v>
      </c>
      <c r="R15" s="171">
        <v>20.026350461163432225676605240</v>
      </c>
      <c r="S15" s="328">
        <v>2.4028192250828345288644346900</v>
      </c>
      <c r="T15" s="327">
        <v>0</v>
      </c>
      <c r="U15" s="171">
        <v>-70.731707317096371207614496770</v>
      </c>
      <c r="V15" s="328">
        <v>7.3427940549266381371606367400</v>
      </c>
      <c r="W15" s="171">
        <v>0</v>
      </c>
      <c r="X15" s="171">
        <v>-100</v>
      </c>
      <c r="Y15" s="328">
        <v>-0.950721973654116158194834900</v>
      </c>
      <c r="Z15" s="327">
        <v>14.285714285648979591836772010</v>
      </c>
      <c r="AA15" s="171">
        <v>10.000000000059529411764738100</v>
      </c>
      <c r="AB15" s="328">
        <v>2.6684276099684271787293801900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28</v>
      </c>
      <c r="C16" s="352" t="s">
        <v>53</v>
      </c>
      <c r="D16" s="359">
        <v>93.18181818181818181818181818</v>
      </c>
      <c r="E16" s="170">
        <v>91.67473378509196515004840271</v>
      </c>
      <c r="F16" s="360">
        <v>69.558690196936663396189633720</v>
      </c>
      <c r="G16" s="359">
        <v>0</v>
      </c>
      <c r="H16" s="170">
        <v>3.1945788964181994191674733800</v>
      </c>
      <c r="I16" s="360">
        <v>7.2807002621592320785061613400</v>
      </c>
      <c r="J16" s="170">
        <v>0</v>
      </c>
      <c r="K16" s="170">
        <v>0</v>
      </c>
      <c r="L16" s="360">
        <v>7.4599174993816131758232360800</v>
      </c>
      <c r="M16" s="359">
        <v>93.18181818181818181818181818</v>
      </c>
      <c r="N16" s="170">
        <v>94.86931268151016456921587609</v>
      </c>
      <c r="O16" s="360">
        <v>84.29930795847750865051903114</v>
      </c>
      <c r="P16" s="4"/>
      <c r="Q16" s="359">
        <v>9.821428571408960459183676970</v>
      </c>
      <c r="R16" s="170">
        <v>21.410256410246448389217620800</v>
      </c>
      <c r="S16" s="360">
        <v>7.4724758409129914755142403400</v>
      </c>
      <c r="T16" s="359">
        <v>0</v>
      </c>
      <c r="U16" s="170">
        <v>-58.227848101358884794103301710</v>
      </c>
      <c r="V16" s="360">
        <v>-24.541334325802470330664843150</v>
      </c>
      <c r="W16" s="170">
        <v>0</v>
      </c>
      <c r="X16" s="170">
        <v>-100</v>
      </c>
      <c r="Y16" s="360">
        <v>-1.9622815820110336643474425900</v>
      </c>
      <c r="Z16" s="359">
        <v>9.821428571408960459183676970</v>
      </c>
      <c r="AA16" s="170">
        <v>13.033448673594382783305330200</v>
      </c>
      <c r="AB16" s="360">
        <v>2.8289189867852966340731450700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29</v>
      </c>
      <c r="C17" s="351" t="s">
        <v>49</v>
      </c>
      <c r="D17" s="327">
        <v>80.30303030303030303030303030</v>
      </c>
      <c r="E17" s="171">
        <v>72.700871248789932236205227490</v>
      </c>
      <c r="F17" s="328">
        <v>51.703808889601268579650846940</v>
      </c>
      <c r="G17" s="327">
        <v>0</v>
      </c>
      <c r="H17" s="171">
        <v>2.4201355275895450145208131700</v>
      </c>
      <c r="I17" s="328">
        <v>4.6301918408598150966851504700</v>
      </c>
      <c r="J17" s="171">
        <v>0</v>
      </c>
      <c r="K17" s="171">
        <v>0</v>
      </c>
      <c r="L17" s="328">
        <v>6.9229196847638298184736911700</v>
      </c>
      <c r="M17" s="327">
        <v>80.30303030303030303030303030</v>
      </c>
      <c r="N17" s="171">
        <v>75.121006776379477250726040660</v>
      </c>
      <c r="O17" s="328">
        <v>63.256920415224913494809688580</v>
      </c>
      <c r="P17" s="4"/>
      <c r="Q17" s="327">
        <v>19.101123595580558010352275400</v>
      </c>
      <c r="R17" s="171">
        <v>20.160000000076710144000048970</v>
      </c>
      <c r="S17" s="328">
        <v>9.305257712047359657093039430</v>
      </c>
      <c r="T17" s="327">
        <v>0</v>
      </c>
      <c r="U17" s="171">
        <v>-34.210526315143698060935489340</v>
      </c>
      <c r="V17" s="328">
        <v>-33.450402500176687765299410880</v>
      </c>
      <c r="W17" s="171">
        <v>0</v>
      </c>
      <c r="X17" s="171">
        <v>-100</v>
      </c>
      <c r="Y17" s="328">
        <v>-9.529783451265890095875516700</v>
      </c>
      <c r="Z17" s="327">
        <v>19.101123595580558010352275400</v>
      </c>
      <c r="AA17" s="171">
        <v>15.304606240731899260148944690</v>
      </c>
      <c r="AB17" s="328">
        <v>2.1725168106542112752093953100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30</v>
      </c>
      <c r="C18" s="352" t="s">
        <v>47</v>
      </c>
      <c r="D18" s="359">
        <v>78.030303030303030303030303030</v>
      </c>
      <c r="E18" s="170">
        <v>58.470474346563407550822846080</v>
      </c>
      <c r="F18" s="360">
        <v>44.141657530998671317836736420</v>
      </c>
      <c r="G18" s="359">
        <v>0</v>
      </c>
      <c r="H18" s="170">
        <v>2.2265246853823814133591481100</v>
      </c>
      <c r="I18" s="360">
        <v>3.5050447667294230326818252200</v>
      </c>
      <c r="J18" s="170">
        <v>0</v>
      </c>
      <c r="K18" s="170">
        <v>0</v>
      </c>
      <c r="L18" s="360">
        <v>6.1703392247632551304502964900</v>
      </c>
      <c r="M18" s="359">
        <v>78.030303030303030303030303030</v>
      </c>
      <c r="N18" s="170">
        <v>60.696999031945788964181994190</v>
      </c>
      <c r="O18" s="360">
        <v>53.817041522491349480968858130</v>
      </c>
      <c r="P18" s="4"/>
      <c r="Q18" s="359">
        <v>51.470588235151557093425739710</v>
      </c>
      <c r="R18" s="170">
        <v>5.5944055944986356301042435500</v>
      </c>
      <c r="S18" s="360">
        <v>10.334328070147875999148350360</v>
      </c>
      <c r="T18" s="359">
        <v>0</v>
      </c>
      <c r="U18" s="170">
        <v>21.052631576844875346296904670</v>
      </c>
      <c r="V18" s="360">
        <v>9.902360201214312922928355850</v>
      </c>
      <c r="W18" s="170">
        <v>0</v>
      </c>
      <c r="X18" s="170">
        <v>-100</v>
      </c>
      <c r="Y18" s="360">
        <v>-14.783090401832375946343052150</v>
      </c>
      <c r="Z18" s="359">
        <v>51.470588235151557093425739710</v>
      </c>
      <c r="AA18" s="170">
        <v>4.8494983278351167772173120500</v>
      </c>
      <c r="AB18" s="360">
        <v>6.7011644053313830882797815500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t="s">
        <v>179</v>
      </c>
      <c r="B19" s="668">
        <v>1</v>
      </c>
      <c r="C19" s="669" t="s">
        <v>48</v>
      </c>
      <c r="D19" s="670">
        <v>73.484848484848484848484848480</v>
      </c>
      <c r="E19" s="671">
        <v>54.114230396902226524685382380</v>
      </c>
      <c r="F19" s="672">
        <v>45.051356136920755957373902450</v>
      </c>
      <c r="G19" s="670">
        <v>0</v>
      </c>
      <c r="H19" s="671">
        <v>2.2265246853823814133591481100</v>
      </c>
      <c r="I19" s="672">
        <v>3.0933990560611017478684625500</v>
      </c>
      <c r="J19" s="671">
        <v>0</v>
      </c>
      <c r="K19" s="671">
        <v>0</v>
      </c>
      <c r="L19" s="672">
        <v>5.9359819724415736242881308400</v>
      </c>
      <c r="M19" s="670">
        <v>73.484848484848484848484848480</v>
      </c>
      <c r="N19" s="671">
        <v>56.340755082284607938044530490</v>
      </c>
      <c r="O19" s="672">
        <v>54.080737165423431329530495830</v>
      </c>
      <c r="P19" s="4"/>
      <c r="Q19" s="670">
        <v>19.753086419824051211705574740</v>
      </c>
      <c r="R19" s="671">
        <v>-10.845295055754114552729460440</v>
      </c>
      <c r="S19" s="672">
        <v>5.7302689561654539766819261900</v>
      </c>
      <c r="T19" s="670">
        <v>0</v>
      </c>
      <c r="U19" s="671">
        <v>76.923076929623076923319130590</v>
      </c>
      <c r="V19" s="672">
        <v>41.322497241007668873613113490</v>
      </c>
      <c r="W19" s="671">
        <v>0</v>
      </c>
      <c r="X19" s="671">
        <v>-100</v>
      </c>
      <c r="Y19" s="672">
        <v>-23.256630748741238702899346440</v>
      </c>
      <c r="Z19" s="670">
        <v>19.753086419824051211705574740</v>
      </c>
      <c r="AA19" s="671">
        <v>-9.627329192536901064773734550</v>
      </c>
      <c r="AB19" s="672">
        <v>2.9453454805795889092213927900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2</v>
      </c>
      <c r="C20" s="352" t="s">
        <v>50</v>
      </c>
      <c r="D20" s="359">
        <v>86.36363636363636363636363636</v>
      </c>
      <c r="E20" s="170">
        <v>54.017424975798644724104549850</v>
      </c>
      <c r="F20" s="360">
        <v>42.557427319721247319840581240</v>
      </c>
      <c r="G20" s="359">
        <v>0</v>
      </c>
      <c r="H20" s="170">
        <v>3.1945788964181994191674733800</v>
      </c>
      <c r="I20" s="360">
        <v>2.9220568584473311678330294900</v>
      </c>
      <c r="J20" s="170">
        <v>0</v>
      </c>
      <c r="K20" s="170">
        <v>0</v>
      </c>
      <c r="L20" s="360">
        <v>7.197128371195177545674348900</v>
      </c>
      <c r="M20" s="359">
        <v>86.36363636363636363636363636</v>
      </c>
      <c r="N20" s="170">
        <v>57.212003872216844143272023230</v>
      </c>
      <c r="O20" s="360">
        <v>52.676612549363756033347959630</v>
      </c>
      <c r="P20" s="4"/>
      <c r="Q20" s="359">
        <v>28.089887640530034086605277320</v>
      </c>
      <c r="R20" s="170">
        <v>-28.735632183903768294652162810</v>
      </c>
      <c r="S20" s="360">
        <v>-17.293321100066127539653225650</v>
      </c>
      <c r="T20" s="359">
        <v>0</v>
      </c>
      <c r="U20" s="170">
        <v>3200.0000001221000000045177015</v>
      </c>
      <c r="V20" s="360">
        <v>40.355480797131375003602458810</v>
      </c>
      <c r="W20" s="170">
        <v>0</v>
      </c>
      <c r="X20" s="170">
        <v>-100</v>
      </c>
      <c r="Y20" s="360">
        <v>1.8730837053045617721048321500</v>
      </c>
      <c r="Z20" s="359">
        <v>28.089887640530034086605277320</v>
      </c>
      <c r="AA20" s="170">
        <v>-25.378787878752075681052936610</v>
      </c>
      <c r="AB20" s="360">
        <v>-13.078553288506683853541448590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3</v>
      </c>
      <c r="C21" s="351" t="s">
        <v>51</v>
      </c>
      <c r="D21" s="327">
        <v>93.18181818181818181818181818</v>
      </c>
      <c r="E21" s="171">
        <v>75.373833700644682910753640500</v>
      </c>
      <c r="F21" s="328">
        <v>53.938592351500794688515478610</v>
      </c>
      <c r="G21" s="327">
        <v>0</v>
      </c>
      <c r="H21" s="171">
        <v>4.6842495520174661695948590100</v>
      </c>
      <c r="I21" s="328">
        <v>2.523849137717787774650434500</v>
      </c>
      <c r="J21" s="171">
        <v>0</v>
      </c>
      <c r="K21" s="171">
        <v>0</v>
      </c>
      <c r="L21" s="328">
        <v>7.9188661018301231094536568700</v>
      </c>
      <c r="M21" s="327">
        <v>93.18181818181818181818181818</v>
      </c>
      <c r="N21" s="171">
        <v>80.05808325266214908034849952</v>
      </c>
      <c r="O21" s="328">
        <v>64.381307591048705572619569990</v>
      </c>
      <c r="P21" s="4"/>
      <c r="Q21" s="327">
        <v>7.8947368421506925207756423900</v>
      </c>
      <c r="R21" s="171">
        <v>-15.551876124980402765829299210</v>
      </c>
      <c r="S21" s="328">
        <v>-20.755705676477102902354671320</v>
      </c>
      <c r="T21" s="327">
        <v>0</v>
      </c>
      <c r="U21" s="171">
        <v>4738.8297874130792553257732898</v>
      </c>
      <c r="V21" s="328">
        <v>26.028948604155373985579308410</v>
      </c>
      <c r="W21" s="171">
        <v>0</v>
      </c>
      <c r="X21" s="171">
        <v>-100</v>
      </c>
      <c r="Y21" s="328">
        <v>21.568092562116160175853847630</v>
      </c>
      <c r="Z21" s="327">
        <v>7.8947368421506925207756423900</v>
      </c>
      <c r="AA21" s="171">
        <v>-11.170784103080772438999895720</v>
      </c>
      <c r="AB21" s="328">
        <v>-15.932358602269378608823257590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4</v>
      </c>
      <c r="C22" s="352" t="s">
        <v>52</v>
      </c>
      <c r="D22" s="359">
        <v>95.45454545454545454545454545</v>
      </c>
      <c r="E22" s="170">
        <v>90.80348499515972894482090997</v>
      </c>
      <c r="F22" s="360">
        <v>68.700374208015224074059582800</v>
      </c>
      <c r="G22" s="359">
        <v>0</v>
      </c>
      <c r="H22" s="170">
        <v>1.1616650532429816069699903200</v>
      </c>
      <c r="I22" s="360">
        <v>2.9958876499267126399399221100</v>
      </c>
      <c r="J22" s="170">
        <v>0</v>
      </c>
      <c r="K22" s="170">
        <v>0</v>
      </c>
      <c r="L22" s="360">
        <v>6.8688983000220825927139659100</v>
      </c>
      <c r="M22" s="359">
        <v>95.45454545454545454545454545</v>
      </c>
      <c r="N22" s="170">
        <v>91.96515004840271055179090029</v>
      </c>
      <c r="O22" s="360">
        <v>78.565160157964019306713470820</v>
      </c>
      <c r="P22" s="4"/>
      <c r="Q22" s="359">
        <v>5.8823529411942659416707889500</v>
      </c>
      <c r="R22" s="170">
        <v>1.8458197611278804019140786800</v>
      </c>
      <c r="S22" s="360">
        <v>-8.569505842812038497104452460</v>
      </c>
      <c r="T22" s="359">
        <v>0</v>
      </c>
      <c r="U22" s="170">
        <v>0</v>
      </c>
      <c r="V22" s="360">
        <v>-15.665976156673501443561601570</v>
      </c>
      <c r="W22" s="170">
        <v>0</v>
      </c>
      <c r="X22" s="170">
        <v>-100</v>
      </c>
      <c r="Y22" s="360">
        <v>-7.6110114862453980403288460300</v>
      </c>
      <c r="Z22" s="359">
        <v>5.8823529411942659416707889500</v>
      </c>
      <c r="AA22" s="170">
        <v>2.2604951561130699468507385500</v>
      </c>
      <c r="AB22" s="360">
        <v>-8.779468520163489335256370870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5</v>
      </c>
      <c r="C23" s="351" t="s">
        <v>53</v>
      </c>
      <c r="D23" s="327">
        <v>88.63636363636363636363636364</v>
      </c>
      <c r="E23" s="171">
        <v>87.60890609874152952565343659</v>
      </c>
      <c r="F23" s="328">
        <v>66.849776956462586259869372440</v>
      </c>
      <c r="G23" s="327">
        <v>0</v>
      </c>
      <c r="H23" s="171">
        <v>0</v>
      </c>
      <c r="I23" s="328">
        <v>3.0174060455565636789074065200</v>
      </c>
      <c r="J23" s="171">
        <v>0</v>
      </c>
      <c r="K23" s="171">
        <v>0</v>
      </c>
      <c r="L23" s="328">
        <v>7.7655506530927412415654764100</v>
      </c>
      <c r="M23" s="327">
        <v>88.63636363636363636363636364</v>
      </c>
      <c r="N23" s="171">
        <v>87.60890609874152952565343659</v>
      </c>
      <c r="O23" s="328">
        <v>77.632733655111891180342255380</v>
      </c>
      <c r="P23" s="4"/>
      <c r="Q23" s="327">
        <v>-7.1428571428129251700680061500</v>
      </c>
      <c r="R23" s="171">
        <v>0.891861761441938258209890500</v>
      </c>
      <c r="S23" s="328">
        <v>-7.997289274973719343096461300</v>
      </c>
      <c r="T23" s="327">
        <v>0</v>
      </c>
      <c r="U23" s="171">
        <v>0</v>
      </c>
      <c r="V23" s="328">
        <v>-34.660975704590478134487907560</v>
      </c>
      <c r="W23" s="171">
        <v>0</v>
      </c>
      <c r="X23" s="171">
        <v>-100</v>
      </c>
      <c r="Y23" s="328">
        <v>4.7240780042786575304972944800</v>
      </c>
      <c r="Z23" s="327">
        <v>-7.1428571428129251700680061500</v>
      </c>
      <c r="AA23" s="171">
        <v>0.4439511654031351279439270600</v>
      </c>
      <c r="AB23" s="328">
        <v>-8.337370573624281182459467040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6</v>
      </c>
      <c r="C24" s="352" t="s">
        <v>49</v>
      </c>
      <c r="D24" s="359">
        <v>81.81818181818181818181818182</v>
      </c>
      <c r="E24" s="170">
        <v>64.181994191674733785091965150</v>
      </c>
      <c r="F24" s="360">
        <v>50.563320211212053731501017180</v>
      </c>
      <c r="G24" s="359">
        <v>0</v>
      </c>
      <c r="H24" s="170">
        <v>0</v>
      </c>
      <c r="I24" s="360">
        <v>2.7957412456602772945988934500</v>
      </c>
      <c r="J24" s="170">
        <v>0</v>
      </c>
      <c r="K24" s="170">
        <v>0</v>
      </c>
      <c r="L24" s="360">
        <v>6.6233869854269230326978076600</v>
      </c>
      <c r="M24" s="359">
        <v>81.81818181818181818181818182</v>
      </c>
      <c r="N24" s="170">
        <v>64.181994191674733785091965150</v>
      </c>
      <c r="O24" s="360">
        <v>59.982448442299254058797718300</v>
      </c>
      <c r="P24" s="4"/>
      <c r="Q24" s="359">
        <v>18.681318681308247796159884990</v>
      </c>
      <c r="R24" s="170">
        <v>-10.767160161555441636521369880</v>
      </c>
      <c r="S24" s="360">
        <v>-5.7349820668338522570079176800</v>
      </c>
      <c r="T24" s="359">
        <v>0</v>
      </c>
      <c r="U24" s="170">
        <v>-100</v>
      </c>
      <c r="V24" s="360">
        <v>-33.739769121355060468030864340</v>
      </c>
      <c r="W24" s="170">
        <v>0</v>
      </c>
      <c r="X24" s="170">
        <v>-100</v>
      </c>
      <c r="Y24" s="360">
        <v>-9.590674293830419146538395340</v>
      </c>
      <c r="Z24" s="359">
        <v>18.681318681308247796159884990</v>
      </c>
      <c r="AA24" s="170">
        <v>-12.068965517240562974480929290</v>
      </c>
      <c r="AB24" s="360">
        <v>-7.981030532898272698967740690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7</v>
      </c>
      <c r="C25" s="351" t="s">
        <v>47</v>
      </c>
      <c r="D25" s="327">
        <v>65.151515151515151515151515150</v>
      </c>
      <c r="E25" s="171">
        <v>53.607103218645948945615982240</v>
      </c>
      <c r="F25" s="328">
        <v>43.171270000113695861258674850</v>
      </c>
      <c r="G25" s="327">
        <v>0</v>
      </c>
      <c r="H25" s="171">
        <v>0</v>
      </c>
      <c r="I25" s="328">
        <v>5.1442680038841589483556784200</v>
      </c>
      <c r="J25" s="171">
        <v>0</v>
      </c>
      <c r="K25" s="171">
        <v>0</v>
      </c>
      <c r="L25" s="328">
        <v>6.0394422504997318512017941600</v>
      </c>
      <c r="M25" s="327">
        <v>65.151515151515151515151515150</v>
      </c>
      <c r="N25" s="171">
        <v>53.607103218645948945615982240</v>
      </c>
      <c r="O25" s="328">
        <v>54.354980254497586660816147430</v>
      </c>
      <c r="P25" s="4"/>
      <c r="Q25" s="327">
        <v>0.0000000000232558139534937800</v>
      </c>
      <c r="R25" s="171">
        <v>-10.683648992128421032359686820</v>
      </c>
      <c r="S25" s="328">
        <v>-12.862688619519751172380240340</v>
      </c>
      <c r="T25" s="327">
        <v>0</v>
      </c>
      <c r="U25" s="171">
        <v>-100</v>
      </c>
      <c r="V25" s="328">
        <v>-34.142254925155618026660965540</v>
      </c>
      <c r="W25" s="171">
        <v>0</v>
      </c>
      <c r="X25" s="171">
        <v>-100</v>
      </c>
      <c r="Y25" s="328">
        <v>-16.336851693026954032054851690</v>
      </c>
      <c r="Z25" s="327">
        <v>0.0000000000232558139534937800</v>
      </c>
      <c r="AA25" s="171">
        <v>-14.805942115559912720514335820</v>
      </c>
      <c r="AB25" s="328">
        <v>-15.825150480326489161271191950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8</v>
      </c>
      <c r="C26" s="352" t="s">
        <v>48</v>
      </c>
      <c r="D26" s="359">
        <v>62.121212121212121212121212120</v>
      </c>
      <c r="E26" s="170">
        <v>54.495005549389567147613762490</v>
      </c>
      <c r="F26" s="360">
        <v>47.681717080440648337074425790</v>
      </c>
      <c r="G26" s="359">
        <v>0</v>
      </c>
      <c r="H26" s="170">
        <v>0</v>
      </c>
      <c r="I26" s="360">
        <v>5.3375056433329083959411670700</v>
      </c>
      <c r="J26" s="170">
        <v>0</v>
      </c>
      <c r="K26" s="170">
        <v>0</v>
      </c>
      <c r="L26" s="360">
        <v>6.0966175570513664789194663800</v>
      </c>
      <c r="M26" s="359">
        <v>62.121212121212121212121212120</v>
      </c>
      <c r="N26" s="170">
        <v>54.495005549389567147613762490</v>
      </c>
      <c r="O26" s="360">
        <v>59.115840280824923211935059240</v>
      </c>
      <c r="P26" s="4"/>
      <c r="Q26" s="359">
        <v>-1.2048192771274785890550115700</v>
      </c>
      <c r="R26" s="170">
        <v>-6.7991047475427269452324705200</v>
      </c>
      <c r="S26" s="360">
        <v>3.0186336394329113973597640300</v>
      </c>
      <c r="T26" s="359">
        <v>0</v>
      </c>
      <c r="U26" s="170">
        <v>-100</v>
      </c>
      <c r="V26" s="360">
        <v>-44.016010297632799864104485720</v>
      </c>
      <c r="W26" s="170">
        <v>0</v>
      </c>
      <c r="X26" s="170">
        <v>-100</v>
      </c>
      <c r="Y26" s="360">
        <v>-6.0690061697573885061974076600</v>
      </c>
      <c r="Z26" s="359">
        <v>-1.2048192771274785890550115700</v>
      </c>
      <c r="AA26" s="170">
        <v>-12.452036185813025819086981900</v>
      </c>
      <c r="AB26" s="360">
        <v>-5.1248230285392964884100524600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9</v>
      </c>
      <c r="C27" s="351" t="s">
        <v>50</v>
      </c>
      <c r="D27" s="327">
        <v>77.272727272727272727272727270</v>
      </c>
      <c r="E27" s="171">
        <v>58.490566037735849056603773580</v>
      </c>
      <c r="F27" s="328">
        <v>47.885988778720864653756098530</v>
      </c>
      <c r="G27" s="327">
        <v>0</v>
      </c>
      <c r="H27" s="171">
        <v>0</v>
      </c>
      <c r="I27" s="328">
        <v>7.997776682267091386927262430</v>
      </c>
      <c r="J27" s="171">
        <v>0</v>
      </c>
      <c r="K27" s="171">
        <v>0</v>
      </c>
      <c r="L27" s="328">
        <v>6.6107496772305608526909260100</v>
      </c>
      <c r="M27" s="327">
        <v>77.272727272727272727272727270</v>
      </c>
      <c r="N27" s="171">
        <v>58.490566037735849056603773580</v>
      </c>
      <c r="O27" s="328">
        <v>62.494515138218516893374286970</v>
      </c>
      <c r="P27" s="4"/>
      <c r="Q27" s="327">
        <v>35.999999999956480000000013920</v>
      </c>
      <c r="R27" s="171">
        <v>4.1737150292359648273618726400</v>
      </c>
      <c r="S27" s="328">
        <v>0.3469228201742605780119256200</v>
      </c>
      <c r="T27" s="327">
        <v>-100</v>
      </c>
      <c r="U27" s="171">
        <v>-100</v>
      </c>
      <c r="V27" s="328">
        <v>-32.638518770869514284111529320</v>
      </c>
      <c r="W27" s="171">
        <v>0</v>
      </c>
      <c r="X27" s="171">
        <v>-100</v>
      </c>
      <c r="Y27" s="328">
        <v>-9.417404043056921131324059240</v>
      </c>
      <c r="Z27" s="327">
        <v>32.467532467608163265306165700</v>
      </c>
      <c r="AA27" s="171">
        <v>-8.729977768951761920170927900</v>
      </c>
      <c r="AB27" s="328">
        <v>-6.5731602823658084788978220200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10</v>
      </c>
      <c r="C28" s="352" t="s">
        <v>51</v>
      </c>
      <c r="D28" s="359">
        <v>87.12121212121212121212121212</v>
      </c>
      <c r="E28" s="170">
        <v>75.471698113207547169811320760</v>
      </c>
      <c r="F28" s="360">
        <v>53.413755386560327935702328210</v>
      </c>
      <c r="G28" s="359">
        <v>0</v>
      </c>
      <c r="H28" s="170">
        <v>1.2208657047724750277469478400</v>
      </c>
      <c r="I28" s="360">
        <v>11.266178160630426984554916680</v>
      </c>
      <c r="J28" s="170">
        <v>0</v>
      </c>
      <c r="K28" s="170">
        <v>0</v>
      </c>
      <c r="L28" s="360">
        <v>6.9743007661045500380578055700</v>
      </c>
      <c r="M28" s="359">
        <v>87.12121212121212121212121212</v>
      </c>
      <c r="N28" s="170">
        <v>76.692563817980022197558268590</v>
      </c>
      <c r="O28" s="360">
        <v>71.654234313295304958315050460</v>
      </c>
      <c r="P28" s="4"/>
      <c r="Q28" s="359">
        <v>53.333333333284266666666682370</v>
      </c>
      <c r="R28" s="170">
        <v>16.361588284989796273490334870</v>
      </c>
      <c r="S28" s="360">
        <v>-4.5880479006666296400058303300</v>
      </c>
      <c r="T28" s="359">
        <v>-100</v>
      </c>
      <c r="U28" s="170">
        <v>-89.03344110407551660515829713</v>
      </c>
      <c r="V28" s="360">
        <v>-30.968724877578118209702498100</v>
      </c>
      <c r="W28" s="170">
        <v>0</v>
      </c>
      <c r="X28" s="170">
        <v>0</v>
      </c>
      <c r="Y28" s="360">
        <v>0.1149894520241507560164578400</v>
      </c>
      <c r="Z28" s="359">
        <v>-1.7094017094420337497260408800</v>
      </c>
      <c r="AA28" s="170">
        <v>0.9215521324656999208735284100</v>
      </c>
      <c r="AB28" s="360">
        <v>-9.606159955287913889326780520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11</v>
      </c>
      <c r="C29" s="351" t="s">
        <v>52</v>
      </c>
      <c r="D29" s="327">
        <v>90.15151515151515151515151515</v>
      </c>
      <c r="E29" s="171">
        <v>89.90011098779134295227524972</v>
      </c>
      <c r="F29" s="328">
        <v>66.626448958000760272392207590</v>
      </c>
      <c r="G29" s="327">
        <v>0</v>
      </c>
      <c r="H29" s="171">
        <v>2.3307436182019977802441731400</v>
      </c>
      <c r="I29" s="328">
        <v>14.559195560983086429248464650</v>
      </c>
      <c r="J29" s="171">
        <v>0</v>
      </c>
      <c r="K29" s="171">
        <v>0</v>
      </c>
      <c r="L29" s="328">
        <v>7.2851760163386631711105344200</v>
      </c>
      <c r="M29" s="327">
        <v>90.15151515151515151515151515</v>
      </c>
      <c r="N29" s="171">
        <v>92.23085460599334073251942286</v>
      </c>
      <c r="O29" s="328">
        <v>88.47082053532250987275120667</v>
      </c>
      <c r="P29" s="4"/>
      <c r="Q29" s="327">
        <v>72.463768116032010081915610900</v>
      </c>
      <c r="R29" s="171">
        <v>38.400617958857378973664520070</v>
      </c>
      <c r="S29" s="328">
        <v>2.6608418428589307538780966600</v>
      </c>
      <c r="T29" s="327">
        <v>-100</v>
      </c>
      <c r="U29" s="171">
        <v>-81.19017064379223210782486155</v>
      </c>
      <c r="V29" s="328">
        <v>-15.920839901798567017342299950</v>
      </c>
      <c r="W29" s="171">
        <v>0</v>
      </c>
      <c r="X29" s="171">
        <v>-100</v>
      </c>
      <c r="Y29" s="328">
        <v>3.799004966050537393210441800</v>
      </c>
      <c r="Z29" s="327">
        <v>0.8474576271630853203102752600</v>
      </c>
      <c r="AA29" s="171">
        <v>18.944410496820298084061899270</v>
      </c>
      <c r="AB29" s="328">
        <v>-0.8554480767613597293680489300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12</v>
      </c>
      <c r="C30" s="352" t="s">
        <v>53</v>
      </c>
      <c r="D30" s="359">
        <v>96.21212121212121212121212121</v>
      </c>
      <c r="E30" s="170">
        <v>87.34739178690344062153163152</v>
      </c>
      <c r="F30" s="360">
        <v>67.532258179643233477291487120</v>
      </c>
      <c r="G30" s="359">
        <v>0</v>
      </c>
      <c r="H30" s="170">
        <v>3.995560488346281908990011100</v>
      </c>
      <c r="I30" s="360">
        <v>15.371564547662434048845006480</v>
      </c>
      <c r="J30" s="170">
        <v>0</v>
      </c>
      <c r="K30" s="170">
        <v>0</v>
      </c>
      <c r="L30" s="360">
        <v>6.9272435298246527897915450100</v>
      </c>
      <c r="M30" s="359">
        <v>96.21212121212121212121212121</v>
      </c>
      <c r="N30" s="170">
        <v>91.34295227524972253052164262</v>
      </c>
      <c r="O30" s="360">
        <v>89.83106625713032031592803861</v>
      </c>
      <c r="P30" s="4"/>
      <c r="Q30" s="359">
        <v>17.592592592566460905349800040</v>
      </c>
      <c r="R30" s="170">
        <v>16.275587262688922342193924370</v>
      </c>
      <c r="S30" s="360">
        <v>-2.3581504822123867562486120800</v>
      </c>
      <c r="T30" s="359">
        <v>-100</v>
      </c>
      <c r="U30" s="170">
        <v>-69.426563078099913128074381840</v>
      </c>
      <c r="V30" s="360">
        <v>31.761318615894518508643033580</v>
      </c>
      <c r="W30" s="170">
        <v>0</v>
      </c>
      <c r="X30" s="170">
        <v>-100</v>
      </c>
      <c r="Y30" s="360">
        <v>-1.6830151059080640279536771100</v>
      </c>
      <c r="Z30" s="359">
        <v>1.599999999967488000000010400</v>
      </c>
      <c r="AA30" s="170">
        <v>2.8977859327333693874368805800</v>
      </c>
      <c r="AB30" s="360">
        <v>2.2256427690401861506122285800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13</v>
      </c>
      <c r="C31" s="351" t="s">
        <v>49</v>
      </c>
      <c r="D31" s="327">
        <v>81.06060606060606060606060606</v>
      </c>
      <c r="E31" s="171">
        <v>64.594894561598224195338512760</v>
      </c>
      <c r="F31" s="328">
        <v>50.651046485194838150319575800</v>
      </c>
      <c r="G31" s="327">
        <v>0</v>
      </c>
      <c r="H31" s="171">
        <v>4.4395116537180910099889012200</v>
      </c>
      <c r="I31" s="328">
        <v>4.925361824657119042206562100</v>
      </c>
      <c r="J31" s="171">
        <v>0</v>
      </c>
      <c r="K31" s="171">
        <v>0</v>
      </c>
      <c r="L31" s="328">
        <v>7.1704104703147826056309485400</v>
      </c>
      <c r="M31" s="327">
        <v>81.06060606060606060606060606</v>
      </c>
      <c r="N31" s="171">
        <v>69.034406215316315205327413980</v>
      </c>
      <c r="O31" s="328">
        <v>62.746818780166739798157086440</v>
      </c>
      <c r="P31" s="4"/>
      <c r="Q31" s="327">
        <v>15.053763440934443288241463080</v>
      </c>
      <c r="R31" s="171">
        <v>1.2542125676624470726016839800</v>
      </c>
      <c r="S31" s="328">
        <v>-13.951778340553958368175125150</v>
      </c>
      <c r="T31" s="327">
        <v>-100</v>
      </c>
      <c r="U31" s="171">
        <v>-48.471735524710286554755717250</v>
      </c>
      <c r="V31" s="328">
        <v>-30.445000274067321961542336690</v>
      </c>
      <c r="W31" s="171">
        <v>0</v>
      </c>
      <c r="X31" s="171">
        <v>-100</v>
      </c>
      <c r="Y31" s="328">
        <v>6.2147250645774739354029309500</v>
      </c>
      <c r="Z31" s="327">
        <v>0.0000000000074766355140192500</v>
      </c>
      <c r="AA31" s="171">
        <v>-5.4210323336572736606407386700</v>
      </c>
      <c r="AB31" s="328">
        <v>-13.685617927761457647616856380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14</v>
      </c>
      <c r="C32" s="352" t="s">
        <v>47</v>
      </c>
      <c r="D32" s="359">
        <v>73.484848484848484848484848480</v>
      </c>
      <c r="E32" s="170">
        <v>56.492785793562708102108768040</v>
      </c>
      <c r="F32" s="360">
        <v>49.168006274722771673945056100</v>
      </c>
      <c r="G32" s="359">
        <v>0</v>
      </c>
      <c r="H32" s="170">
        <v>2.2197558268590455049944506100</v>
      </c>
      <c r="I32" s="360">
        <v>5.3166988840529867295992789600</v>
      </c>
      <c r="J32" s="170">
        <v>0</v>
      </c>
      <c r="K32" s="170">
        <v>0</v>
      </c>
      <c r="L32" s="360">
        <v>6.9896256880869006574473279500</v>
      </c>
      <c r="M32" s="359">
        <v>73.484848484848484848484848480</v>
      </c>
      <c r="N32" s="170">
        <v>58.712541620421753607103218650</v>
      </c>
      <c r="O32" s="360">
        <v>61.474330846862659060991663010</v>
      </c>
      <c r="P32" s="4"/>
      <c r="Q32" s="359">
        <v>21.249999999921187500000051220</v>
      </c>
      <c r="R32" s="170">
        <v>-11.176487481419519462812963450</v>
      </c>
      <c r="S32" s="360">
        <v>-11.550112511626908386231679730</v>
      </c>
      <c r="T32" s="359">
        <v>0</v>
      </c>
      <c r="U32" s="170">
        <v>-18.106865387655725497746267390</v>
      </c>
      <c r="V32" s="360">
        <v>-8.097121887565329825308010710</v>
      </c>
      <c r="W32" s="170">
        <v>0</v>
      </c>
      <c r="X32" s="170">
        <v>-100</v>
      </c>
      <c r="Y32" s="360">
        <v>0.7176716956131977287911541400</v>
      </c>
      <c r="Z32" s="359">
        <v>21.249999999921187500000051220</v>
      </c>
      <c r="AA32" s="170">
        <v>-12.481882404214187384559884160</v>
      </c>
      <c r="AB32" s="360">
        <v>-10.011438283862002044568678990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15</v>
      </c>
      <c r="C33" s="351" t="s">
        <v>48</v>
      </c>
      <c r="D33" s="327">
        <v>67.424242424242424242424242420</v>
      </c>
      <c r="E33" s="171">
        <v>58.379578246392896781354051060</v>
      </c>
      <c r="F33" s="328">
        <v>49.842397281209712163661798680</v>
      </c>
      <c r="G33" s="327">
        <v>0</v>
      </c>
      <c r="H33" s="171">
        <v>2.3307436182019977802441731400</v>
      </c>
      <c r="I33" s="328">
        <v>7.3365074194972897389014607100</v>
      </c>
      <c r="J33" s="171">
        <v>0</v>
      </c>
      <c r="K33" s="171">
        <v>0</v>
      </c>
      <c r="L33" s="328">
        <v>7.2791909552824671628162930500</v>
      </c>
      <c r="M33" s="327">
        <v>67.424242424242424242424242420</v>
      </c>
      <c r="N33" s="171">
        <v>60.710321864594894561598224200</v>
      </c>
      <c r="O33" s="328">
        <v>64.458095655989469065379552440</v>
      </c>
      <c r="P33" s="4"/>
      <c r="Q33" s="327">
        <v>18.666666666628693333333345480</v>
      </c>
      <c r="R33" s="171">
        <v>-1.4606138422944736185068580200</v>
      </c>
      <c r="S33" s="328">
        <v>-2.9535291279510050304386355800</v>
      </c>
      <c r="T33" s="327">
        <v>0</v>
      </c>
      <c r="U33" s="171">
        <v>26.718850397939288755837415180</v>
      </c>
      <c r="V33" s="328">
        <v>28.397515384621502092214495810</v>
      </c>
      <c r="W33" s="171">
        <v>0</v>
      </c>
      <c r="X33" s="171">
        <v>-100</v>
      </c>
      <c r="Y33" s="328">
        <v>-2.6796370918902886998634426600</v>
      </c>
      <c r="Z33" s="327">
        <v>18.666666666628693333333345480</v>
      </c>
      <c r="AA33" s="171">
        <v>-0.9261256143869840243465586100</v>
      </c>
      <c r="AB33" s="328">
        <v>-0.1467522744683913600521893700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16</v>
      </c>
      <c r="C34" s="352" t="s">
        <v>50</v>
      </c>
      <c r="D34" s="359">
        <v>73.484848484848484848484848480</v>
      </c>
      <c r="E34" s="170">
        <v>60.821309655937846836847946730</v>
      </c>
      <c r="F34" s="360">
        <v>52.864439825095083249244431050</v>
      </c>
      <c r="G34" s="359">
        <v>0.7575757575757575757575757600</v>
      </c>
      <c r="H34" s="170">
        <v>2.7746947835738068812430632600</v>
      </c>
      <c r="I34" s="360">
        <v>11.083003502924520914867558130</v>
      </c>
      <c r="J34" s="170">
        <v>0</v>
      </c>
      <c r="K34" s="170">
        <v>0</v>
      </c>
      <c r="L34" s="360">
        <v>7.3886690019496806099117054200</v>
      </c>
      <c r="M34" s="359">
        <v>74.242424242424242424242424240</v>
      </c>
      <c r="N34" s="170">
        <v>63.596004439511653718091009990</v>
      </c>
      <c r="O34" s="360">
        <v>71.336112329969284774023694600</v>
      </c>
      <c r="P34" s="4"/>
      <c r="Q34" s="359">
        <v>10.227272727217613636363663910</v>
      </c>
      <c r="R34" s="170">
        <v>-4.9494510218578610460571083900</v>
      </c>
      <c r="S34" s="360">
        <v>-5.5842360331111072581355949900</v>
      </c>
      <c r="T34" s="359">
        <v>-80.00000000011199999999937274</v>
      </c>
      <c r="U34" s="170">
        <v>616.56492788444852941274568248</v>
      </c>
      <c r="V34" s="360">
        <v>39.296689505096555373030210770</v>
      </c>
      <c r="W34" s="170">
        <v>0</v>
      </c>
      <c r="X34" s="170">
        <v>-100</v>
      </c>
      <c r="Y34" s="360">
        <v>-1.1354871346404504302156389900</v>
      </c>
      <c r="Z34" s="359">
        <v>5.3763440860894901144641437500</v>
      </c>
      <c r="AA34" s="170">
        <v>-1.507237502242265954084307800</v>
      </c>
      <c r="AB34" s="360">
        <v>-0.1189211875133908766096850500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17</v>
      </c>
      <c r="C35" s="351" t="s">
        <v>51</v>
      </c>
      <c r="D35" s="327">
        <v>88.63636363636363636363636364</v>
      </c>
      <c r="E35" s="171">
        <v>71.254162042175360710321864600</v>
      </c>
      <c r="F35" s="328">
        <v>58.334860330808818485676656940</v>
      </c>
      <c r="G35" s="327">
        <v>1.5151515151515151515151515200</v>
      </c>
      <c r="H35" s="171">
        <v>6.4372918978912319644839067700</v>
      </c>
      <c r="I35" s="328">
        <v>12.814430449582855886429560090</v>
      </c>
      <c r="J35" s="171">
        <v>0</v>
      </c>
      <c r="K35" s="171">
        <v>0</v>
      </c>
      <c r="L35" s="328">
        <v>7.3061721419426828020929931500</v>
      </c>
      <c r="M35" s="327">
        <v>90.15151515151515151515151515</v>
      </c>
      <c r="N35" s="171">
        <v>77.691453940066592674805771370</v>
      </c>
      <c r="O35" s="328">
        <v>78.455462922334357174199210180</v>
      </c>
      <c r="P35" s="4"/>
      <c r="Q35" s="327">
        <v>37.647058823613619377162681280</v>
      </c>
      <c r="R35" s="171">
        <v>2.3721131982490163072280008800</v>
      </c>
      <c r="S35" s="328">
        <v>-3.1152844825565870215122474600</v>
      </c>
      <c r="T35" s="327">
        <v>-60.000000000223999999998745470</v>
      </c>
      <c r="U35" s="171">
        <v>1008.2870884612803921583799901</v>
      </c>
      <c r="V35" s="328">
        <v>60.470271225864891988778828350</v>
      </c>
      <c r="W35" s="171">
        <v>0</v>
      </c>
      <c r="X35" s="171">
        <v>0</v>
      </c>
      <c r="Y35" s="328">
        <v>-5.7822600109457826869822396400</v>
      </c>
      <c r="Z35" s="327">
        <v>32.222222222257481481481490880</v>
      </c>
      <c r="AA35" s="171">
        <v>10.696926786324327219986776720</v>
      </c>
      <c r="AB35" s="328">
        <v>3.2978792678812761349086483400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18</v>
      </c>
      <c r="C36" s="352" t="s">
        <v>52</v>
      </c>
      <c r="D36" s="359">
        <v>84.84848484848484848484848485</v>
      </c>
      <c r="E36" s="170">
        <v>77.469478357380688124306326300</v>
      </c>
      <c r="F36" s="360">
        <v>66.542305773315542673952543180</v>
      </c>
      <c r="G36" s="359">
        <v>4.5454545454545454545454545500</v>
      </c>
      <c r="H36" s="170">
        <v>10.543840177580466148723640400</v>
      </c>
      <c r="I36" s="360">
        <v>7.553016594590586006462096500</v>
      </c>
      <c r="J36" s="170">
        <v>0</v>
      </c>
      <c r="K36" s="170">
        <v>0</v>
      </c>
      <c r="L36" s="360">
        <v>6.7954191854067278356011567300</v>
      </c>
      <c r="M36" s="359">
        <v>89.39393939393939393939393939</v>
      </c>
      <c r="N36" s="170">
        <v>88.01331853496115427302996670</v>
      </c>
      <c r="O36" s="360">
        <v>80.89074155331285651601579640</v>
      </c>
      <c r="P36" s="4"/>
      <c r="Q36" s="359">
        <v>14.285714285751603498542286240</v>
      </c>
      <c r="R36" s="170">
        <v>2.9935278547699188739174392900</v>
      </c>
      <c r="S36" s="360">
        <v>-0.3723794092901683704679464800</v>
      </c>
      <c r="T36" s="359">
        <v>19.999999999328000000003763320</v>
      </c>
      <c r="U36" s="170">
        <v>165.65333911144384750637705745</v>
      </c>
      <c r="V36" s="360">
        <v>6.2743583703219164226192709600</v>
      </c>
      <c r="W36" s="170">
        <v>0</v>
      </c>
      <c r="X36" s="170">
        <v>-100</v>
      </c>
      <c r="Y36" s="360">
        <v>-19.348940969191439986815720290</v>
      </c>
      <c r="Z36" s="359">
        <v>14.563106796120953907060043530</v>
      </c>
      <c r="AA36" s="170">
        <v>10.471151940060079116765911640</v>
      </c>
      <c r="AB36" s="360">
        <v>-1.7407793262505536499342099700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19</v>
      </c>
      <c r="C37" s="353" t="s">
        <v>53</v>
      </c>
      <c r="D37" s="329">
        <v>87.87878787878787878787878788</v>
      </c>
      <c r="E37" s="330">
        <v>80.91009988901220865704772476</v>
      </c>
      <c r="F37" s="332">
        <v>72.812133960061026545813053880</v>
      </c>
      <c r="G37" s="329">
        <v>8.333333333333333333333333330</v>
      </c>
      <c r="H37" s="330">
        <v>12.319644839067702552719200890</v>
      </c>
      <c r="I37" s="332">
        <v>7.1862360721229490288811249200</v>
      </c>
      <c r="J37" s="330">
        <v>0</v>
      </c>
      <c r="K37" s="330">
        <v>0</v>
      </c>
      <c r="L37" s="332">
        <v>7.518084553160473745182960300</v>
      </c>
      <c r="M37" s="329">
        <v>96.21212121212121212121212121</v>
      </c>
      <c r="N37" s="330">
        <v>93.22974472807991120976692564</v>
      </c>
      <c r="O37" s="332">
        <v>87.51645458534444931987713910</v>
      </c>
      <c r="P37" s="4"/>
      <c r="Q37" s="329">
        <v>13.725490196118569780853532050</v>
      </c>
      <c r="R37" s="330">
        <v>7.2915701994079269501157374500</v>
      </c>
      <c r="S37" s="332">
        <v>5.4563811083040140325845210500</v>
      </c>
      <c r="T37" s="329">
        <v>119.99999999876800000000689911</v>
      </c>
      <c r="U37" s="330">
        <v>144.73448305234970077625963196</v>
      </c>
      <c r="V37" s="332">
        <v>6.1590276094215626091816496300</v>
      </c>
      <c r="W37" s="330">
        <v>0</v>
      </c>
      <c r="X37" s="330">
        <v>-100</v>
      </c>
      <c r="Y37" s="332">
        <v>-7.5489921199978756116003224800</v>
      </c>
      <c r="Z37" s="329">
        <v>18.691588785055603109441873310</v>
      </c>
      <c r="AA37" s="330">
        <v>15.336917729455797931143635790</v>
      </c>
      <c r="AB37" s="332">
        <v>4.2531940492300340497155660100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76.893939393939393939393939390</v>
      </c>
      <c r="E39" s="355">
        <v>64.575635547466351789396099630</v>
      </c>
      <c r="F39" s="356">
        <v>52.447993853320247519663863740</v>
      </c>
      <c r="G39" s="354">
        <v>0</v>
      </c>
      <c r="H39" s="355">
        <v>10.257990207718002907385899070</v>
      </c>
      <c r="I39" s="356">
        <v>6.3698964608189869246468711600</v>
      </c>
      <c r="J39" s="355">
        <v>0</v>
      </c>
      <c r="K39" s="355">
        <v>0</v>
      </c>
      <c r="L39" s="356">
        <v>7.0228851160502667536853443800</v>
      </c>
      <c r="M39" s="354">
        <v>76.893939393939393939393939390</v>
      </c>
      <c r="N39" s="355">
        <v>74.833625755184354696781998700</v>
      </c>
      <c r="O39" s="356">
        <v>65.840775430189501197996079290</v>
      </c>
      <c r="P39" s="4"/>
      <c r="Q39" s="354">
        <v>8.556149732671406102547995090</v>
      </c>
      <c r="R39" s="355">
        <v>-0.734179284910880152473724200</v>
      </c>
      <c r="S39" s="356">
        <v>-1.05628883438365321167342500</v>
      </c>
      <c r="T39" s="354">
        <v>-100</v>
      </c>
      <c r="U39" s="355">
        <v>182.57343692071786950795939852</v>
      </c>
      <c r="V39" s="356">
        <v>1.2364326017676001321252271100</v>
      </c>
      <c r="W39" s="355">
        <v>0</v>
      </c>
      <c r="X39" s="355">
        <v>-100</v>
      </c>
      <c r="Y39" s="356">
        <v>-4.3684200304354341524297362300</v>
      </c>
      <c r="Z39" s="354">
        <v>4.6391752578009990434690645700</v>
      </c>
      <c r="AA39" s="355">
        <v>7.7395615402475717790287047500</v>
      </c>
      <c r="AB39" s="356">
        <v>-1.204798435915947882009473800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68.939393939393939393939393940</v>
      </c>
      <c r="E40" s="171">
        <v>54.194865767088950321950548650</v>
      </c>
      <c r="F40" s="328">
        <v>47.545277511099105736401880490</v>
      </c>
      <c r="G40" s="327">
        <v>0</v>
      </c>
      <c r="H40" s="171">
        <v>10.840514948970327687962068610</v>
      </c>
      <c r="I40" s="328">
        <v>6.7001594942474436402502140100</v>
      </c>
      <c r="J40" s="171">
        <v>0</v>
      </c>
      <c r="K40" s="171">
        <v>0</v>
      </c>
      <c r="L40" s="328">
        <v>6.5937047938257442412960649400</v>
      </c>
      <c r="M40" s="327">
        <v>68.939393939393939393939393940</v>
      </c>
      <c r="N40" s="171">
        <v>65.035380716059278009912617260</v>
      </c>
      <c r="O40" s="328">
        <v>60.839141799172293617948159440</v>
      </c>
      <c r="P40" s="4"/>
      <c r="Q40" s="327">
        <v>15.555555555537947089947092630</v>
      </c>
      <c r="R40" s="171">
        <v>-8.111126241506326138081801310</v>
      </c>
      <c r="S40" s="328">
        <v>-1.915880147038419042090599800</v>
      </c>
      <c r="T40" s="327">
        <v>-100</v>
      </c>
      <c r="U40" s="171">
        <v>376.52135925338555495664944575</v>
      </c>
      <c r="V40" s="328">
        <v>17.458387183219858960232040170</v>
      </c>
      <c r="W40" s="171">
        <v>0</v>
      </c>
      <c r="X40" s="171">
        <v>-100</v>
      </c>
      <c r="Y40" s="328">
        <v>-8.692120742981304432779864260</v>
      </c>
      <c r="Z40" s="327">
        <v>9.969788519626830715309280790</v>
      </c>
      <c r="AA40" s="171">
        <v>4.889224480463799641846721500</v>
      </c>
      <c r="AB40" s="328">
        <v>-0.9129041185603543463828258900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65.530303030303030303030303030</v>
      </c>
      <c r="E41" s="170">
        <v>53.146041883117929631806328990</v>
      </c>
      <c r="F41" s="360">
        <v>48.682774734273343159399960750</v>
      </c>
      <c r="G41" s="359">
        <v>0</v>
      </c>
      <c r="H41" s="170">
        <v>10.771456475702483956193666710</v>
      </c>
      <c r="I41" s="360">
        <v>7.2399233052814043298585786700</v>
      </c>
      <c r="J41" s="170">
        <v>0</v>
      </c>
      <c r="K41" s="170">
        <v>0</v>
      </c>
      <c r="L41" s="360">
        <v>6.5568079173804366838751363900</v>
      </c>
      <c r="M41" s="359">
        <v>65.530303030303030303030303030</v>
      </c>
      <c r="N41" s="170">
        <v>63.917498358820413587999995700</v>
      </c>
      <c r="O41" s="360">
        <v>62.479505956935184173133675810</v>
      </c>
      <c r="P41" s="4"/>
      <c r="Q41" s="359">
        <v>12.337662337726530612244934640</v>
      </c>
      <c r="R41" s="170">
        <v>-9.815422972869204688345860910</v>
      </c>
      <c r="S41" s="360">
        <v>1.8469013380401717664990483100</v>
      </c>
      <c r="T41" s="359">
        <v>-100</v>
      </c>
      <c r="U41" s="170">
        <v>373.48572508799176117889867247</v>
      </c>
      <c r="V41" s="360">
        <v>17.268609544063284548451086940</v>
      </c>
      <c r="W41" s="170">
        <v>0</v>
      </c>
      <c r="X41" s="170">
        <v>-100</v>
      </c>
      <c r="Y41" s="360">
        <v>-11.166384433549197952713719790</v>
      </c>
      <c r="Z41" s="359">
        <v>7.4534161491537517842676501900</v>
      </c>
      <c r="AA41" s="170">
        <v>3.9382539230352883308012254300</v>
      </c>
      <c r="AB41" s="360">
        <v>1.8332009765852779103517664500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76.704545454545454545454545450</v>
      </c>
      <c r="E42" s="171">
        <v>56.764077345490059984979580610</v>
      </c>
      <c r="F42" s="328">
        <v>48.660466489207585673880942950</v>
      </c>
      <c r="G42" s="327">
        <v>2.4621212121212121212121212100</v>
      </c>
      <c r="H42" s="171">
        <v>6.9618247123503733079196719100</v>
      </c>
      <c r="I42" s="328">
        <v>8.626257207084453382956366430</v>
      </c>
      <c r="J42" s="171">
        <v>0</v>
      </c>
      <c r="K42" s="171">
        <v>0</v>
      </c>
      <c r="L42" s="328">
        <v>7.0673040663049660803361522100</v>
      </c>
      <c r="M42" s="327">
        <v>79.166666666666666666666666670</v>
      </c>
      <c r="N42" s="171">
        <v>63.725902057840433292899252520</v>
      </c>
      <c r="O42" s="328">
        <v>64.354027762597005137173461580</v>
      </c>
      <c r="P42" s="4"/>
      <c r="Q42" s="327">
        <v>27.760252365885460100110475790</v>
      </c>
      <c r="R42" s="171">
        <v>-10.409026893986331402489454600</v>
      </c>
      <c r="S42" s="328">
        <v>-6.1445798505850363601031962700</v>
      </c>
      <c r="T42" s="327">
        <v>85.71428570834285714304731413</v>
      </c>
      <c r="U42" s="171">
        <v>116.28766700284938584643149686</v>
      </c>
      <c r="V42" s="328">
        <v>14.541552354839477904667354980</v>
      </c>
      <c r="W42" s="171">
        <v>0</v>
      </c>
      <c r="X42" s="171">
        <v>-100</v>
      </c>
      <c r="Y42" s="328">
        <v>-4.5112755004280641705135435400</v>
      </c>
      <c r="Z42" s="327">
        <v>29.012345679088797439414768680</v>
      </c>
      <c r="AA42" s="171">
        <v>-4.8715941824737800377467419700</v>
      </c>
      <c r="AB42" s="328">
        <v>-3.6306263057785575209417329200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87.87878787878787878787878788</v>
      </c>
      <c r="E43" s="170">
        <v>72.974100617927517252416769390</v>
      </c>
      <c r="F43" s="360">
        <v>54.626904005079398334387903190</v>
      </c>
      <c r="G43" s="359">
        <v>2.6515151515151515151515151500</v>
      </c>
      <c r="H43" s="170">
        <v>3.8842465127748431452482967500</v>
      </c>
      <c r="I43" s="360">
        <v>9.880109174834674055872967460</v>
      </c>
      <c r="J43" s="170">
        <v>0</v>
      </c>
      <c r="K43" s="170">
        <v>0</v>
      </c>
      <c r="L43" s="360">
        <v>7.4380081338907150181990703200</v>
      </c>
      <c r="M43" s="359">
        <v>90.53030303030303030303030303</v>
      </c>
      <c r="N43" s="170">
        <v>76.858347130702360397665066140</v>
      </c>
      <c r="O43" s="360">
        <v>71.945021313804787408459940980</v>
      </c>
      <c r="P43" s="4"/>
      <c r="Q43" s="359">
        <v>28.176795580121827783034706900</v>
      </c>
      <c r="R43" s="170">
        <v>0.1424721864378034183398906100</v>
      </c>
      <c r="S43" s="360">
        <v>-8.339398406511205959247514070</v>
      </c>
      <c r="T43" s="359">
        <v>-70.212765957396106835672163600</v>
      </c>
      <c r="U43" s="170">
        <v>-20.546006975806756577896867580</v>
      </c>
      <c r="V43" s="360">
        <v>10.674361084400311339324939310</v>
      </c>
      <c r="W43" s="170">
        <v>0</v>
      </c>
      <c r="X43" s="170">
        <v>-100</v>
      </c>
      <c r="Y43" s="360">
        <v>2.7436925526351867014918710600</v>
      </c>
      <c r="Z43" s="359">
        <v>16.870415647953764025800906650</v>
      </c>
      <c r="AA43" s="170">
        <v>-1.6784240420328113690629783500</v>
      </c>
      <c r="AB43" s="360">
        <v>-5.039997671776424481759701100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90.34090909090909090909090909</v>
      </c>
      <c r="E44" s="171">
        <v>86.59070324142369508763522944</v>
      </c>
      <c r="F44" s="328">
        <v>66.341661519648157404047906690</v>
      </c>
      <c r="G44" s="327">
        <v>1.1363636363636363636363636400</v>
      </c>
      <c r="H44" s="171">
        <v>4.0898947388778521874694461200</v>
      </c>
      <c r="I44" s="328">
        <v>8.877629396108916179153757120</v>
      </c>
      <c r="J44" s="171">
        <v>0</v>
      </c>
      <c r="K44" s="171">
        <v>0</v>
      </c>
      <c r="L44" s="328">
        <v>7.2050177518568732962387121900</v>
      </c>
      <c r="M44" s="327">
        <v>91.47727272727272727272727273</v>
      </c>
      <c r="N44" s="171">
        <v>90.68059798030154727510467556</v>
      </c>
      <c r="O44" s="328">
        <v>82.42430866761394687944037600</v>
      </c>
      <c r="P44" s="4"/>
      <c r="Q44" s="327">
        <v>21.994884910535854684362367610</v>
      </c>
      <c r="R44" s="171">
        <v>14.383882926332251744701349530</v>
      </c>
      <c r="S44" s="328">
        <v>-1.329732509296802488341249800</v>
      </c>
      <c r="T44" s="327">
        <v>-88.88888888891851851851843947</v>
      </c>
      <c r="U44" s="171">
        <v>-32.671533620789989778886824110</v>
      </c>
      <c r="V44" s="328">
        <v>-5.6646058212617829572856468900</v>
      </c>
      <c r="W44" s="171">
        <v>0</v>
      </c>
      <c r="X44" s="171">
        <v>-100</v>
      </c>
      <c r="Y44" s="328">
        <v>-6.4665602397449076293849555900</v>
      </c>
      <c r="Z44" s="327">
        <v>8.539325842700531751041535300</v>
      </c>
      <c r="AA44" s="171">
        <v>10.106444564936700306309718510</v>
      </c>
      <c r="AB44" s="328">
        <v>-2.2824814680638614581050582800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91.47727272727272727272727273</v>
      </c>
      <c r="E45" s="365">
        <v>86.88528288993728598857029890</v>
      </c>
      <c r="F45" s="366">
        <v>69.189551110010034807179799090</v>
      </c>
      <c r="G45" s="364">
        <v>2.0833333333333333333333333300</v>
      </c>
      <c r="H45" s="365">
        <v>4.8774460559580459702191713400</v>
      </c>
      <c r="I45" s="366">
        <v>8.210610448838828421015857250</v>
      </c>
      <c r="J45" s="365">
        <v>0</v>
      </c>
      <c r="K45" s="365">
        <v>0</v>
      </c>
      <c r="L45" s="366">
        <v>7.4178513387355722292313848700</v>
      </c>
      <c r="M45" s="364">
        <v>93.56060606060606060606060606</v>
      </c>
      <c r="N45" s="365">
        <v>91.76272894589533195878947024</v>
      </c>
      <c r="O45" s="366">
        <v>84.81801289758443545742704121</v>
      </c>
      <c r="P45" s="4"/>
      <c r="Q45" s="364">
        <v>7.812499999980747767857146300</v>
      </c>
      <c r="R45" s="365">
        <v>11.079823298636683857638492480</v>
      </c>
      <c r="S45" s="366">
        <v>0.4042343942281495262876441100</v>
      </c>
      <c r="T45" s="364">
        <v>-50.000000000399999999996800080</v>
      </c>
      <c r="U45" s="365">
        <v>-24.234559762474915736429685200</v>
      </c>
      <c r="V45" s="366">
        <v>0.4862370174115629782393962500</v>
      </c>
      <c r="W45" s="365">
        <v>0</v>
      </c>
      <c r="X45" s="365">
        <v>-100</v>
      </c>
      <c r="Y45" s="366">
        <v>-1.7552859508864587429692573800</v>
      </c>
      <c r="Z45" s="364">
        <v>5.1063829786661548211860882200</v>
      </c>
      <c r="AA45" s="365">
        <v>7.7169306830186935406940289600</v>
      </c>
      <c r="AB45" s="366">
        <v>0.2194919368814062756599756900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79.54545454545454545454545455</v>
      </c>
      <c r="E47" s="355">
        <v>67.131758363722847629617884890</v>
      </c>
      <c r="F47" s="356">
        <v>57.173598561486827563230445090</v>
      </c>
      <c r="G47" s="354">
        <v>2.1645021645021645021645021600</v>
      </c>
      <c r="H47" s="355">
        <v>5.8664975424131916917710480400</v>
      </c>
      <c r="I47" s="356">
        <v>8.030750678204043906763948770</v>
      </c>
      <c r="J47" s="355">
        <v>0</v>
      </c>
      <c r="K47" s="355">
        <v>0</v>
      </c>
      <c r="L47" s="356">
        <v>7.2067959994491022026690550200</v>
      </c>
      <c r="M47" s="354">
        <v>81.70995670995670995670995671</v>
      </c>
      <c r="N47" s="355">
        <v>72.998255906136039321388932930</v>
      </c>
      <c r="O47" s="356">
        <v>72.411145239139973672663448880</v>
      </c>
      <c r="P47" s="4"/>
      <c r="Q47" s="354">
        <v>18.357487922691591402366451220</v>
      </c>
      <c r="R47" s="355">
        <v>-0.1994768239708963675070834100</v>
      </c>
      <c r="S47" s="356">
        <v>-4.2201236829280288791830307400</v>
      </c>
      <c r="T47" s="354">
        <v>-41.176470588975778546703481500</v>
      </c>
      <c r="U47" s="355">
        <v>77.492233176189153344495642270</v>
      </c>
      <c r="V47" s="356">
        <v>16.150507277601102205509163880</v>
      </c>
      <c r="W47" s="355">
        <v>0</v>
      </c>
      <c r="X47" s="355">
        <v>-100</v>
      </c>
      <c r="Y47" s="356">
        <v>-4.7369263784454902710600039500</v>
      </c>
      <c r="Z47" s="354">
        <v>15.267175572593699667851572100</v>
      </c>
      <c r="AA47" s="355">
        <v>2.8948125647025089411176235600</v>
      </c>
      <c r="AB47" s="356">
        <v>-2.3739447271853273928305189800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79.68073593073593073593073593</v>
      </c>
      <c r="E48" s="171">
        <v>67.875815327493112865250693660</v>
      </c>
      <c r="F48" s="328">
        <v>55.350857769001852086208174480</v>
      </c>
      <c r="G48" s="327">
        <v>1.1904761904761904761904761900</v>
      </c>
      <c r="H48" s="171">
        <v>7.3833390931931327374854600700</v>
      </c>
      <c r="I48" s="328">
        <v>7.984875204246588559259426130</v>
      </c>
      <c r="J48" s="171">
        <v>0</v>
      </c>
      <c r="K48" s="171">
        <v>0</v>
      </c>
      <c r="L48" s="328">
        <v>7.0428410179228457573775537300</v>
      </c>
      <c r="M48" s="327">
        <v>80.87121212121212121212121212</v>
      </c>
      <c r="N48" s="171">
        <v>75.259154420686245602736153730</v>
      </c>
      <c r="O48" s="328">
        <v>70.378573991171286402845154350</v>
      </c>
      <c r="P48" s="4"/>
      <c r="Q48" s="327">
        <v>17.097415507021571564647932140</v>
      </c>
      <c r="R48" s="171">
        <v>0.4266245093648439879191503800</v>
      </c>
      <c r="S48" s="328">
        <v>-2.3753511161339655137720389200</v>
      </c>
      <c r="T48" s="327">
        <v>-74.712643678202774474831480480</v>
      </c>
      <c r="U48" s="171">
        <v>79.45857137112079211680037719</v>
      </c>
      <c r="V48" s="328">
        <v>7.0486290412922618789312265700</v>
      </c>
      <c r="W48" s="171">
        <v>0</v>
      </c>
      <c r="X48" s="171">
        <v>-100</v>
      </c>
      <c r="Y48" s="328">
        <v>-4.9006126642188560268904605800</v>
      </c>
      <c r="Z48" s="327">
        <v>11.156563778400580080465022470</v>
      </c>
      <c r="AA48" s="171">
        <v>4.1828171945689810827291678100</v>
      </c>
      <c r="AB48" s="328">
        <v>-1.6544009090575364072764957900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81.77830940988835725677830941</v>
      </c>
      <c r="E49" s="365">
        <v>69.228108347297640827151936790</v>
      </c>
      <c r="F49" s="366">
        <v>55.483551341985262395328856450</v>
      </c>
      <c r="G49" s="364">
        <v>0.7974481658692185007974481700</v>
      </c>
      <c r="H49" s="365">
        <v>3.1515616208039013246563125900</v>
      </c>
      <c r="I49" s="366">
        <v>7.0126359652399046234220150400</v>
      </c>
      <c r="J49" s="365">
        <v>0</v>
      </c>
      <c r="K49" s="365">
        <v>0</v>
      </c>
      <c r="L49" s="366">
        <v>6.9837323251158874603604654400</v>
      </c>
      <c r="M49" s="364">
        <v>82.57575757575757575757575758</v>
      </c>
      <c r="N49" s="365">
        <v>72.379669968101542151808249380</v>
      </c>
      <c r="O49" s="366">
        <v>69.479919632341054479111336920</v>
      </c>
      <c r="P49" s="4"/>
      <c r="Q49" s="364">
        <v>20.434527304692382376580480380</v>
      </c>
      <c r="R49" s="365">
        <v>0.8640845173478357135839613800</v>
      </c>
      <c r="S49" s="366">
        <v>-2.9272522277564756594822020600</v>
      </c>
      <c r="T49" s="364">
        <v>-85.61151079139009368045128495</v>
      </c>
      <c r="U49" s="365">
        <v>-16.972214857174044914066648680</v>
      </c>
      <c r="V49" s="366">
        <v>-3.4509789467861745563536251800</v>
      </c>
      <c r="W49" s="365">
        <v>0</v>
      </c>
      <c r="X49" s="365">
        <v>-100</v>
      </c>
      <c r="Y49" s="366">
        <v>-3.5623293018484134363464299400</v>
      </c>
      <c r="Z49" s="364">
        <v>12.432138979301398776998560280</v>
      </c>
      <c r="AA49" s="365">
        <v>-0.6715296837123370235672257100</v>
      </c>
      <c r="AB49" s="366">
        <v>-3.0445118577759555692316027500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1"/>
</worksheet>
</file>

<file path=xl/worksheets/sheet7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150</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177</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178</v>
      </c>
      <c r="R4" s="715" t="s">
        <v>180</v>
      </c>
      <c r="S4" s="715"/>
      <c r="T4" s="715"/>
      <c r="U4" s="715"/>
      <c r="V4" s="715"/>
      <c r="W4" s="715"/>
      <c r="X4" s="715"/>
      <c r="Y4" s="715"/>
      <c r="Z4" s="715"/>
      <c r="AA4" s="715"/>
      <c r="AB4" s="715"/>
      <c r="AC4" s="715"/>
      <c r="AD4" s="715"/>
      <c r="AE4" s="715"/>
      <c r="AF4" s="715"/>
      <c r="AG4" s="715"/>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716" t="s">
        <v>72</v>
      </c>
      <c r="Y22" s="716"/>
      <c r="Z22" s="716"/>
      <c r="AA22" s="716"/>
      <c r="AB22" s="716"/>
      <c r="AC22" s="716"/>
      <c r="AD22" s="716"/>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275" t="s">
        <v>182</v>
      </c>
      <c r="D24" s="276"/>
      <c r="E24" s="276"/>
      <c r="F24" s="276"/>
      <c r="G24" s="276"/>
      <c r="H24" s="276"/>
      <c r="I24" s="276"/>
      <c r="J24" s="276"/>
      <c r="K24" s="276"/>
      <c r="L24" s="658" t="s">
        <v>179</v>
      </c>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22</v>
      </c>
      <c r="D25">
        <v>23</v>
      </c>
      <c r="E25">
        <v>24</v>
      </c>
      <c r="F25">
        <v>25</v>
      </c>
      <c r="G25">
        <v>26</v>
      </c>
      <c r="H25">
        <v>27</v>
      </c>
      <c r="I25">
        <v>28</v>
      </c>
      <c r="J25">
        <v>29</v>
      </c>
      <c r="K25">
        <v>30</v>
      </c>
      <c r="L25" s="717">
        <v>1</v>
      </c>
      <c r="M25">
        <v>2</v>
      </c>
      <c r="N25">
        <v>3</v>
      </c>
      <c r="O25">
        <v>4</v>
      </c>
      <c r="P25">
        <v>5</v>
      </c>
      <c r="Q25">
        <v>6</v>
      </c>
      <c r="R25">
        <v>7</v>
      </c>
      <c r="S25">
        <v>8</v>
      </c>
      <c r="T25">
        <v>9</v>
      </c>
      <c r="U25">
        <v>10</v>
      </c>
      <c r="V25">
        <v>11</v>
      </c>
      <c r="W25">
        <v>12</v>
      </c>
      <c r="X25" s="323">
        <v>13</v>
      </c>
      <c r="Y25">
        <v>14</v>
      </c>
      <c r="Z25">
        <v>15</v>
      </c>
      <c r="AA25">
        <v>16</v>
      </c>
      <c r="AB25">
        <v>17</v>
      </c>
      <c r="AC25">
        <v>18</v>
      </c>
      <c r="AD25" s="337">
        <v>19</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61">
        <v>224.25882352941176470588235294</v>
      </c>
      <c r="D26" s="462">
        <v>215.70512820512820512820512821</v>
      </c>
      <c r="E26" s="462">
        <v>211.000000000</v>
      </c>
      <c r="F26" s="462">
        <v>168.67307692307692307692307692</v>
      </c>
      <c r="G26" s="462">
        <v>153.01652892561983471074380165</v>
      </c>
      <c r="H26" s="462">
        <v>187.79166666666666666666666667</v>
      </c>
      <c r="I26" s="462">
        <v>195.56910569105691056910569106</v>
      </c>
      <c r="J26" s="462">
        <v>141.92452830188679245283018868</v>
      </c>
      <c r="K26" s="462">
        <v>136.65048543689320388349514563</v>
      </c>
      <c r="L26" s="673">
        <v>142.7319587628865979381443299</v>
      </c>
      <c r="M26" s="462">
        <v>124.29824561403508771929824561</v>
      </c>
      <c r="N26" s="462">
        <v>145.59349593495934959349593496</v>
      </c>
      <c r="O26" s="462">
        <v>228.65079365079365079365079365</v>
      </c>
      <c r="P26" s="462">
        <v>225.7008547008547008547008547</v>
      </c>
      <c r="Q26" s="462">
        <v>141.83333333333333333333333333</v>
      </c>
      <c r="R26" s="462">
        <v>139.02325581395348837209302326</v>
      </c>
      <c r="S26" s="462">
        <v>152.06097560975609756097560976</v>
      </c>
      <c r="T26" s="462">
        <v>144.70588235294117647058823529</v>
      </c>
      <c r="U26" s="462">
        <v>151.90434782608695652173913043</v>
      </c>
      <c r="V26" s="462">
        <v>212.64705882352941176470588235</v>
      </c>
      <c r="W26" s="462">
        <v>228.33858267716535433070866142</v>
      </c>
      <c r="X26" s="463">
        <v>148.8878504672897196261682243</v>
      </c>
      <c r="Y26" s="462">
        <v>147.11340206185567010309278351</v>
      </c>
      <c r="Z26" s="462">
        <v>142.64044943820224719101123596</v>
      </c>
      <c r="AA26" s="462">
        <v>137.500000000</v>
      </c>
      <c r="AB26" s="462">
        <v>144.17647058823529411764705882</v>
      </c>
      <c r="AC26" s="462">
        <v>226.25423728813559322033898305</v>
      </c>
      <c r="AD26" s="464">
        <v>213.14960629921259842519685039</v>
      </c>
      <c r="AE26" s="465"/>
      <c r="AF26" s="461">
        <v>168.60397350993377483443708609</v>
      </c>
      <c r="AG26" s="462">
        <v>173.57745065239210438273670124</v>
      </c>
      <c r="AH26" s="466">
        <v>171.27571221632061805890873974</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234.12</v>
      </c>
      <c r="D27" s="85">
        <v>223.12411111111111111111111111</v>
      </c>
      <c r="E27" s="85">
        <v>225.78596087456846950517836594</v>
      </c>
      <c r="F27" s="85">
        <v>186.14276568501920614596670935</v>
      </c>
      <c r="G27" s="85">
        <v>155.92374005305039787798408489</v>
      </c>
      <c r="H27" s="85">
        <v>192.91775401069518716577540107</v>
      </c>
      <c r="I27" s="85">
        <v>199.10214285714285714285714286</v>
      </c>
      <c r="J27" s="85">
        <v>143.79185567010309278350515464</v>
      </c>
      <c r="K27" s="85">
        <v>145.02256778309409888357256779</v>
      </c>
      <c r="L27" s="674">
        <v>141.84192439862542955326460482</v>
      </c>
      <c r="M27" s="85">
        <v>142.32487309644670050761421321</v>
      </c>
      <c r="N27" s="85">
        <v>164.78113663845223700120918984</v>
      </c>
      <c r="O27" s="85">
        <v>225.06</v>
      </c>
      <c r="P27" s="85">
        <v>208.62651933701657458563535912</v>
      </c>
      <c r="Q27" s="85">
        <v>149.06938159879336349924585219</v>
      </c>
      <c r="R27" s="85">
        <v>134.46790890269151138716356108</v>
      </c>
      <c r="S27" s="85">
        <v>130.74541751527494908350305498</v>
      </c>
      <c r="T27" s="85">
        <v>135.94686907020872865275142316</v>
      </c>
      <c r="U27" s="85">
        <v>164.09406657018813314037626627</v>
      </c>
      <c r="V27" s="85">
        <v>208.961492178098676293622142</v>
      </c>
      <c r="W27" s="85">
        <v>203.42041312272174969623329282</v>
      </c>
      <c r="X27" s="86">
        <v>143.0707395498392282958199357</v>
      </c>
      <c r="Y27" s="85">
        <v>135.24574669187145557655954631</v>
      </c>
      <c r="Z27" s="85">
        <v>138.24314442413162705667276051</v>
      </c>
      <c r="AA27" s="85">
        <v>141.76963350785340314136125653</v>
      </c>
      <c r="AB27" s="85">
        <v>154.29285714285714285714285712</v>
      </c>
      <c r="AC27" s="85">
        <v>207.54854981084489281210592686</v>
      </c>
      <c r="AD27" s="87">
        <v>224.98690476190476190476190476</v>
      </c>
      <c r="AE27" s="169"/>
      <c r="AF27" s="370">
        <v>169.19374456993918331885317115</v>
      </c>
      <c r="AG27" s="85">
        <v>179.4728406887701123697479163</v>
      </c>
      <c r="AH27" s="371">
        <v>172.37210802739592461245567039</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181</v>
      </c>
      <c r="C28" s="467">
        <v>178.02617581187010078387458007</v>
      </c>
      <c r="D28" s="468">
        <v>176.39829637244823028344837715</v>
      </c>
      <c r="E28" s="468">
        <v>177.65172413793103448275862069</v>
      </c>
      <c r="F28" s="468">
        <v>172.81065811574286150557336998</v>
      </c>
      <c r="G28" s="468">
        <v>174.05165289256198347107438017</v>
      </c>
      <c r="H28" s="468">
        <v>188.75565251884172947243157477</v>
      </c>
      <c r="I28" s="468">
        <v>191.30220625962031811185223191</v>
      </c>
      <c r="J28" s="468">
        <v>162.99435897435897435897435897</v>
      </c>
      <c r="K28" s="468">
        <v>157.52099658428772352822985734</v>
      </c>
      <c r="L28" s="675">
        <v>156.10993914807302231237322515</v>
      </c>
      <c r="M28" s="468">
        <v>153.26072469804248229904206581</v>
      </c>
      <c r="N28" s="468">
        <v>163.03441812915317771340943943</v>
      </c>
      <c r="O28" s="468">
        <v>197.88229544819882714325607372</v>
      </c>
      <c r="P28" s="468">
        <v>191.78550233149639677829588809</v>
      </c>
      <c r="Q28" s="468">
        <v>154.8509509875640087783467447</v>
      </c>
      <c r="R28" s="468">
        <v>156.69202825428859737638748739</v>
      </c>
      <c r="S28" s="468">
        <v>159.11226572647986639450732975</v>
      </c>
      <c r="T28" s="468">
        <v>162.44953484289977180972441636</v>
      </c>
      <c r="U28" s="468">
        <v>166.72535211267605633802816901</v>
      </c>
      <c r="V28" s="468">
        <v>195.81339119652820830750154991</v>
      </c>
      <c r="W28" s="468">
        <v>197.75821223592624252045426792</v>
      </c>
      <c r="X28" s="469">
        <v>158.57325174825174825174825175</v>
      </c>
      <c r="Y28" s="468">
        <v>159.25731620271234832262669522</v>
      </c>
      <c r="Z28" s="468">
        <v>161.87508509189925119128658952</v>
      </c>
      <c r="AA28" s="468">
        <v>163.11164078117791788405351376</v>
      </c>
      <c r="AB28" s="468">
        <v>171.11199664429530201342281879</v>
      </c>
      <c r="AC28" s="468">
        <v>193.72823433685923515052888527</v>
      </c>
      <c r="AD28" s="470">
        <v>198.33028327901729756831286037</v>
      </c>
      <c r="AE28" s="465"/>
      <c r="AF28" s="467">
        <v>174.13019672344017140260133746</v>
      </c>
      <c r="AG28" s="468">
        <v>175.10454021587357875839446796</v>
      </c>
      <c r="AH28" s="471">
        <v>174.3095012547572750993003274</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275" t="s">
        <v>182</v>
      </c>
      <c r="D33" s="276"/>
      <c r="E33" s="276"/>
      <c r="F33" s="276"/>
      <c r="G33" s="276"/>
      <c r="H33" s="276"/>
      <c r="I33" s="276"/>
      <c r="J33" s="276"/>
      <c r="K33" s="276"/>
      <c r="L33" s="658" t="s">
        <v>179</v>
      </c>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row>
    <row r="34" s="42" customFormat="1">
      <c r="C34" s="284">
        <v>22</v>
      </c>
      <c r="D34">
        <v>23</v>
      </c>
      <c r="E34">
        <v>24</v>
      </c>
      <c r="F34">
        <v>25</v>
      </c>
      <c r="G34">
        <v>26</v>
      </c>
      <c r="H34">
        <v>27</v>
      </c>
      <c r="I34">
        <v>28</v>
      </c>
      <c r="J34">
        <v>29</v>
      </c>
      <c r="K34">
        <v>30</v>
      </c>
      <c r="L34" s="717">
        <v>1</v>
      </c>
      <c r="M34">
        <v>2</v>
      </c>
      <c r="N34">
        <v>3</v>
      </c>
      <c r="O34">
        <v>4</v>
      </c>
      <c r="P34">
        <v>5</v>
      </c>
      <c r="Q34">
        <v>6</v>
      </c>
      <c r="R34">
        <v>7</v>
      </c>
      <c r="S34">
        <v>8</v>
      </c>
      <c r="T34">
        <v>9</v>
      </c>
      <c r="U34">
        <v>10</v>
      </c>
      <c r="V34">
        <v>11</v>
      </c>
      <c r="W34">
        <v>12</v>
      </c>
      <c r="X34" s="323">
        <v>13</v>
      </c>
      <c r="Y34">
        <v>14</v>
      </c>
      <c r="Z34">
        <v>15</v>
      </c>
      <c r="AA34">
        <v>16</v>
      </c>
      <c r="AB34">
        <v>17</v>
      </c>
      <c r="AC34">
        <v>18</v>
      </c>
      <c r="AD34" s="337">
        <v>19</v>
      </c>
      <c r="AE34" s="25"/>
      <c r="AF34" s="324" t="s">
        <v>60</v>
      </c>
      <c r="AG34" s="325">
        <v>28</v>
      </c>
      <c r="AH34" s="326"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row>
    <row r="35" ht="14.25" customHeight="1">
      <c r="B35" s="46" t="s">
        <v>32</v>
      </c>
      <c r="C35" s="444">
        <v>43.984115291298632243191151950</v>
      </c>
      <c r="D35" s="445">
        <v>47.037227237543465658200800520</v>
      </c>
      <c r="E35" s="445">
        <v>44.080625257125479355256504620</v>
      </c>
      <c r="F35" s="445">
        <v>31.665065449733897858445434490</v>
      </c>
      <c r="G35" s="445">
        <v>2.6330376940195618814558437600</v>
      </c>
      <c r="H35" s="445">
        <v>-7.7773490482333224803730087500</v>
      </c>
      <c r="I35" s="445">
        <v>-1.6534669656829444265199146100</v>
      </c>
      <c r="J35" s="445">
        <v>4.3821421276824000353810585900</v>
      </c>
      <c r="K35" s="445">
        <v>2.653921892514144131992378800</v>
      </c>
      <c r="L35" s="660">
        <v>-0.6932772736978312350764845200</v>
      </c>
      <c r="M35" s="445">
        <v>-16.135669322669314370192545910</v>
      </c>
      <c r="N35" s="445">
        <v>-20.40637540601613385763064800</v>
      </c>
      <c r="O35" s="445">
        <v>6.4324054153945441068023226500</v>
      </c>
      <c r="P35" s="445">
        <v>-1.6588018109405352970156842500</v>
      </c>
      <c r="Q35" s="445">
        <v>-7.5243008287199774298671343900</v>
      </c>
      <c r="R35" s="445">
        <v>-14.158529580704444635428746220</v>
      </c>
      <c r="S35" s="445">
        <v>13.305152846849351231088100870</v>
      </c>
      <c r="T35" s="445">
        <v>2.0548904669086180397334270800</v>
      </c>
      <c r="U35" s="445">
        <v>-24.653176633646391498763787440</v>
      </c>
      <c r="V35" s="445">
        <v>-13.668147458524259892183199220</v>
      </c>
      <c r="W35" s="445">
        <v>-6.9008975319796813512343183600</v>
      </c>
      <c r="X35" s="446">
        <v>-14.948481127564371752206913190</v>
      </c>
      <c r="Y35" s="445">
        <v>10.114821902586579418482622390</v>
      </c>
      <c r="Z35" s="445">
        <v>-4.4562498180980875852425627900</v>
      </c>
      <c r="AA35" s="445">
        <v>-10.181217953234361264346623900</v>
      </c>
      <c r="AB35" s="445">
        <v>2.4546573465710664329661801400</v>
      </c>
      <c r="AC35" s="445">
        <v>-4.5223433272749511514737092200</v>
      </c>
      <c r="AD35" s="447">
        <v>-9.157142220923562312689989230</v>
      </c>
      <c r="AE35" s="448"/>
      <c r="AF35" s="444">
        <v>-5.6364048730177000799903139600</v>
      </c>
      <c r="AG35" s="445">
        <v>-2.5214401137039210259220944200</v>
      </c>
      <c r="AH35" s="449">
        <v>-5.6549456033264495088361803400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50.302690347972767292243521290</v>
      </c>
      <c r="D36" s="81">
        <v>53.087443753680384398876782390</v>
      </c>
      <c r="E36" s="81">
        <v>60.288824147803506424748775110</v>
      </c>
      <c r="F36" s="81">
        <v>29.987459787943244930072610090</v>
      </c>
      <c r="G36" s="81">
        <v>-8.349985397072310577014588730</v>
      </c>
      <c r="H36" s="81">
        <v>-9.445390095268117106630616760</v>
      </c>
      <c r="I36" s="81">
        <v>-5.1580449519260119834806517500</v>
      </c>
      <c r="J36" s="81">
        <v>-4.6725306138854261471694538100</v>
      </c>
      <c r="K36" s="81">
        <v>3.8899112422786359844304014500</v>
      </c>
      <c r="L36" s="661">
        <v>-0.7729933664078567791963288400</v>
      </c>
      <c r="M36" s="81">
        <v>-4.7704942209208334801813679400</v>
      </c>
      <c r="N36" s="81">
        <v>-18.081798777812220418051679880</v>
      </c>
      <c r="O36" s="81">
        <v>6.2155647111885285133696276700</v>
      </c>
      <c r="P36" s="81">
        <v>0.4720868933900015327196375500</v>
      </c>
      <c r="Q36" s="81">
        <v>1.1251363392111145256333169500</v>
      </c>
      <c r="R36" s="81">
        <v>-4.3455270008027753746421339900</v>
      </c>
      <c r="S36" s="81">
        <v>-6.4874015981289229966423664700</v>
      </c>
      <c r="T36" s="81">
        <v>-3.2021561678566511607278616200</v>
      </c>
      <c r="U36" s="81">
        <v>3.9181334578745493744460894500</v>
      </c>
      <c r="V36" s="81">
        <v>-13.501981401807930585576784980</v>
      </c>
      <c r="W36" s="81">
        <v>-17.446053997516738185758056290</v>
      </c>
      <c r="X36" s="82">
        <v>-22.185674663347169607518610100</v>
      </c>
      <c r="Y36" s="81">
        <v>-4.9447895993682546595746729100</v>
      </c>
      <c r="Z36" s="81">
        <v>-6.4767189008376472947548938500</v>
      </c>
      <c r="AA36" s="81">
        <v>-2.0364090987343135833931645900</v>
      </c>
      <c r="AB36" s="81">
        <v>-2.2401610088581120880753088700</v>
      </c>
      <c r="AC36" s="81">
        <v>-8.112431575863920505129858240</v>
      </c>
      <c r="AD36" s="83">
        <v>3.0666042824599937096324731700</v>
      </c>
      <c r="AE36" s="88"/>
      <c r="AF36" s="327">
        <v>-4.6109280480171214037914690300</v>
      </c>
      <c r="AG36" s="81">
        <v>1.8816574405935814715383295600</v>
      </c>
      <c r="AH36" s="328">
        <v>-2.2330374041893570742059303700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181</v>
      </c>
      <c r="C37" s="450">
        <v>6.0362862229985572003086507400</v>
      </c>
      <c r="D37" s="451">
        <v>8.739288211584523014284455500</v>
      </c>
      <c r="E37" s="451">
        <v>3.8364679042888669065656782700</v>
      </c>
      <c r="F37" s="451">
        <v>0.9952212982558579674002814900</v>
      </c>
      <c r="G37" s="451">
        <v>-1.3737254206479589428247740800</v>
      </c>
      <c r="H37" s="451">
        <v>-2.6866096121288425462376536100</v>
      </c>
      <c r="I37" s="451">
        <v>-3.4603273296139323797209159300</v>
      </c>
      <c r="J37" s="451">
        <v>-1.5589289391020505932070333900</v>
      </c>
      <c r="K37" s="451">
        <v>2.153638938320605965338897900</v>
      </c>
      <c r="L37" s="662">
        <v>-2.2861721235469951144796059100</v>
      </c>
      <c r="M37" s="451">
        <v>-2.7949664699377910060417829400</v>
      </c>
      <c r="N37" s="451">
        <v>-10.692727628993708933318031420</v>
      </c>
      <c r="O37" s="451">
        <v>2.4482718442434464727077225800</v>
      </c>
      <c r="P37" s="451">
        <v>1.602790055352757448743875600</v>
      </c>
      <c r="Q37" s="451">
        <v>-2.066491280350916785995995300</v>
      </c>
      <c r="R37" s="451">
        <v>-1.4560031764223678831392862500</v>
      </c>
      <c r="S37" s="451">
        <v>1.2330025161041184595693478600</v>
      </c>
      <c r="T37" s="451">
        <v>0.9653150119733587137529234300</v>
      </c>
      <c r="U37" s="451">
        <v>-4.955502662255073279999563200</v>
      </c>
      <c r="V37" s="451">
        <v>-9.046506267665379712557799880</v>
      </c>
      <c r="W37" s="451">
        <v>-9.080592634173456721345317750</v>
      </c>
      <c r="X37" s="452">
        <v>-13.7688351720104592465765800</v>
      </c>
      <c r="Y37" s="451">
        <v>-1.9183866445851365403538288300</v>
      </c>
      <c r="Z37" s="451">
        <v>0.8253820646906202812653087200</v>
      </c>
      <c r="AA37" s="451">
        <v>1.9969586667706135658308746400</v>
      </c>
      <c r="AB37" s="451">
        <v>3.4251710850674875058289574500</v>
      </c>
      <c r="AC37" s="451">
        <v>0.1473218510977599428377920300</v>
      </c>
      <c r="AD37" s="453">
        <v>0.5810896305005999551630772100</v>
      </c>
      <c r="AE37" s="448"/>
      <c r="AF37" s="450">
        <v>-0.9644336753591266547408341100</v>
      </c>
      <c r="AG37" s="451">
        <v>-1.3896172758143643845195173600</v>
      </c>
      <c r="AH37" s="454">
        <v>-1.2855405581670383952362401300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275" t="s">
        <v>182</v>
      </c>
      <c r="D40" s="276"/>
      <c r="E40" s="276"/>
      <c r="F40" s="276"/>
      <c r="G40" s="276"/>
      <c r="H40" s="276"/>
      <c r="I40" s="276"/>
      <c r="J40" s="276"/>
      <c r="K40" s="276"/>
      <c r="L40" s="658" t="s">
        <v>179</v>
      </c>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row>
    <row r="41" s="42" customFormat="1">
      <c r="C41" s="279">
        <v>22</v>
      </c>
      <c r="D41" s="280">
        <v>23</v>
      </c>
      <c r="E41" s="280">
        <v>24</v>
      </c>
      <c r="F41" s="280">
        <v>25</v>
      </c>
      <c r="G41" s="280">
        <v>26</v>
      </c>
      <c r="H41" s="280">
        <v>27</v>
      </c>
      <c r="I41" s="280">
        <v>28</v>
      </c>
      <c r="J41" s="280">
        <v>29</v>
      </c>
      <c r="K41" s="280">
        <v>30</v>
      </c>
      <c r="L41" s="676">
        <v>1</v>
      </c>
      <c r="M41" s="280">
        <v>2</v>
      </c>
      <c r="N41" s="280">
        <v>3</v>
      </c>
      <c r="O41" s="280">
        <v>4</v>
      </c>
      <c r="P41" s="280">
        <v>5</v>
      </c>
      <c r="Q41" s="280">
        <v>6</v>
      </c>
      <c r="R41" s="280">
        <v>7</v>
      </c>
      <c r="S41" s="280">
        <v>8</v>
      </c>
      <c r="T41" s="280">
        <v>9</v>
      </c>
      <c r="U41" s="280">
        <v>10</v>
      </c>
      <c r="V41" s="280">
        <v>11</v>
      </c>
      <c r="W41" s="280">
        <v>12</v>
      </c>
      <c r="X41" s="315">
        <v>13</v>
      </c>
      <c r="Y41" s="280">
        <v>14</v>
      </c>
      <c r="Z41" s="280">
        <v>15</v>
      </c>
      <c r="AA41" s="280">
        <v>16</v>
      </c>
      <c r="AB41" s="280">
        <v>17</v>
      </c>
      <c r="AC41" s="280">
        <v>18</v>
      </c>
      <c r="AD41" s="373">
        <v>19</v>
      </c>
      <c r="AE41" s="25"/>
      <c r="AF41" s="324" t="s">
        <v>60</v>
      </c>
      <c r="AG41" s="325">
        <v>28</v>
      </c>
      <c r="AH41" s="326"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row>
    <row r="42" ht="14.25" customHeight="1">
      <c r="A42" s="1"/>
      <c r="B42" s="46" t="s">
        <v>26</v>
      </c>
      <c r="C42" s="444">
        <v>95.78798203033135345373413332</v>
      </c>
      <c r="D42" s="445">
        <v>96.67495239800522186238372361</v>
      </c>
      <c r="E42" s="445">
        <v>93.45133735626192323124662819</v>
      </c>
      <c r="F42" s="445">
        <v>90.61489781908250531048462482</v>
      </c>
      <c r="G42" s="445">
        <v>98.13549166631706540385026675</v>
      </c>
      <c r="H42" s="445">
        <v>97.34286386946583476844428862</v>
      </c>
      <c r="I42" s="445">
        <v>98.22551524793039111507615464</v>
      </c>
      <c r="J42" s="445">
        <v>98.70136777948161734371106824</v>
      </c>
      <c r="K42" s="445">
        <v>94.22704860754615261899289403</v>
      </c>
      <c r="L42" s="660">
        <v>100.62748328328192274872313902</v>
      </c>
      <c r="M42" s="445">
        <v>87.33416929157909631313424517</v>
      </c>
      <c r="N42" s="445">
        <v>88.35568130250560020231786584</v>
      </c>
      <c r="O42" s="445">
        <v>101.59548282715438140658082007</v>
      </c>
      <c r="P42" s="445">
        <v>108.18416346019466010159755873</v>
      </c>
      <c r="Q42" s="445">
        <v>95.14585209393200002277363531</v>
      </c>
      <c r="R42" s="445">
        <v>103.38768331301240375177849468</v>
      </c>
      <c r="S42" s="445">
        <v>116.30310147731313262657691270</v>
      </c>
      <c r="T42" s="445">
        <v>106.44296800849323931735859344</v>
      </c>
      <c r="U42" s="445">
        <v>92.57150547920741526344922710</v>
      </c>
      <c r="V42" s="445">
        <v>101.76375398501086789589037134</v>
      </c>
      <c r="W42" s="445">
        <v>112.24959146033938374162687280</v>
      </c>
      <c r="X42" s="446">
        <v>104.06589840507877029631135491</v>
      </c>
      <c r="Y42" s="445">
        <v>108.77488250849846177549416341</v>
      </c>
      <c r="Z42" s="445">
        <v>103.18084852049680569734748148</v>
      </c>
      <c r="AA42" s="445">
        <v>96.98833000957001269897757688</v>
      </c>
      <c r="AB42" s="445">
        <v>93.44338633557397608115575111</v>
      </c>
      <c r="AC42" s="445">
        <v>109.01268040388024129509958011</v>
      </c>
      <c r="AD42" s="447">
        <v>94.73867224618489553574821906</v>
      </c>
      <c r="AE42" s="448"/>
      <c r="AF42" s="444">
        <v>99.65142265663221987350198068</v>
      </c>
      <c r="AG42" s="445">
        <v>96.71516313344016884092368420</v>
      </c>
      <c r="AH42" s="449">
        <v>99.36393664634820119378555875</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181</v>
      </c>
      <c r="C43" s="329">
        <v>125.96957863452649913540057043</v>
      </c>
      <c r="D43" s="330">
        <v>122.28299968937699618422912340</v>
      </c>
      <c r="E43" s="330">
        <v>118.77171528952559144078118229</v>
      </c>
      <c r="F43" s="330">
        <v>97.60571411639848732261063845</v>
      </c>
      <c r="G43" s="330">
        <v>87.91443596346651125198267134</v>
      </c>
      <c r="H43" s="330">
        <v>99.48929431290153249097596087</v>
      </c>
      <c r="I43" s="330">
        <v>102.23044967169205734166657242</v>
      </c>
      <c r="J43" s="330">
        <v>87.07327615195416127728104625</v>
      </c>
      <c r="K43" s="330">
        <v>86.75064810408459264143357170</v>
      </c>
      <c r="L43" s="663">
        <v>91.43041086415270423514429464</v>
      </c>
      <c r="M43" s="330">
        <v>81.10247805428597016178924868</v>
      </c>
      <c r="N43" s="330">
        <v>89.30230659613282973862139891</v>
      </c>
      <c r="O43" s="330">
        <v>115.54888886492019455357462964</v>
      </c>
      <c r="P43" s="330">
        <v>117.68400215712459521775155953</v>
      </c>
      <c r="Q43" s="330">
        <v>91.59345320694279851790786893</v>
      </c>
      <c r="R43" s="330">
        <v>88.72388554976686332698169547</v>
      </c>
      <c r="S43" s="330">
        <v>95.56835540959208613508776585</v>
      </c>
      <c r="T43" s="330">
        <v>89.07743718249598577446800875</v>
      </c>
      <c r="U43" s="330">
        <v>91.11052752397571306505233937</v>
      </c>
      <c r="V43" s="330">
        <v>108.59679081403412181096891019</v>
      </c>
      <c r="W43" s="330">
        <v>115.46351481211153086726813656</v>
      </c>
      <c r="X43" s="331">
        <v>93.89215950721391846452493582</v>
      </c>
      <c r="Y43" s="330">
        <v>92.37465855233441031840002490</v>
      </c>
      <c r="Z43" s="330">
        <v>88.11760584232105108820062705</v>
      </c>
      <c r="AA43" s="330">
        <v>84.29809138174523297405766995</v>
      </c>
      <c r="AB43" s="330">
        <v>84.25854026351110953076894744</v>
      </c>
      <c r="AC43" s="330">
        <v>116.78950054057260744923213854</v>
      </c>
      <c r="AD43" s="338">
        <v>107.47204248146290392875370849</v>
      </c>
      <c r="AE43" s="88"/>
      <c r="AF43" s="329">
        <v>96.82638432767382321676399476</v>
      </c>
      <c r="AG43" s="330">
        <v>99.12789836195850308579565846</v>
      </c>
      <c r="AH43" s="332">
        <v>98.25953891403504901660376783</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275" t="s">
        <v>182</v>
      </c>
      <c r="D46" s="276"/>
      <c r="E46" s="276"/>
      <c r="F46" s="276"/>
      <c r="G46" s="276"/>
      <c r="H46" s="276"/>
      <c r="I46" s="276"/>
      <c r="J46" s="276"/>
      <c r="K46" s="276"/>
      <c r="L46" s="658" t="s">
        <v>179</v>
      </c>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row>
    <row r="47" s="42" customFormat="1">
      <c r="C47" s="284">
        <v>22</v>
      </c>
      <c r="D47">
        <v>23</v>
      </c>
      <c r="E47">
        <v>24</v>
      </c>
      <c r="F47">
        <v>25</v>
      </c>
      <c r="G47">
        <v>26</v>
      </c>
      <c r="H47">
        <v>27</v>
      </c>
      <c r="I47">
        <v>28</v>
      </c>
      <c r="J47">
        <v>29</v>
      </c>
      <c r="K47">
        <v>30</v>
      </c>
      <c r="L47" s="717">
        <v>1</v>
      </c>
      <c r="M47">
        <v>2</v>
      </c>
      <c r="N47">
        <v>3</v>
      </c>
      <c r="O47">
        <v>4</v>
      </c>
      <c r="P47">
        <v>5</v>
      </c>
      <c r="Q47">
        <v>6</v>
      </c>
      <c r="R47">
        <v>7</v>
      </c>
      <c r="S47">
        <v>8</v>
      </c>
      <c r="T47">
        <v>9</v>
      </c>
      <c r="U47">
        <v>10</v>
      </c>
      <c r="V47">
        <v>11</v>
      </c>
      <c r="W47">
        <v>12</v>
      </c>
      <c r="X47" s="323">
        <v>13</v>
      </c>
      <c r="Y47">
        <v>14</v>
      </c>
      <c r="Z47">
        <v>15</v>
      </c>
      <c r="AA47">
        <v>16</v>
      </c>
      <c r="AB47">
        <v>17</v>
      </c>
      <c r="AC47">
        <v>18</v>
      </c>
      <c r="AD47" s="337">
        <v>19</v>
      </c>
      <c r="AE47" s="25"/>
      <c r="AF47" s="324" t="s">
        <v>60</v>
      </c>
      <c r="AG47" s="325">
        <v>28</v>
      </c>
      <c r="AH47" s="326"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row>
    <row r="48" ht="14.25" customHeight="1">
      <c r="A48" s="1"/>
      <c r="B48" s="46" t="s">
        <v>26</v>
      </c>
      <c r="C48" s="444">
        <v>-4.2039001710960545921461782700</v>
      </c>
      <c r="D48" s="445">
        <v>-3.9521311270299860881825082700</v>
      </c>
      <c r="E48" s="445">
        <v>-10.111870853668276688386324060</v>
      </c>
      <c r="F48" s="445">
        <v>1.290590388117461069274358800</v>
      </c>
      <c r="G48" s="445">
        <v>11.983656673314781587944939170</v>
      </c>
      <c r="H48" s="445">
        <v>1.8420277541216928753622541500</v>
      </c>
      <c r="I48" s="445">
        <v>3.6951768702876470342743378600</v>
      </c>
      <c r="J48" s="445">
        <v>9.498492721860327811831980550</v>
      </c>
      <c r="K48" s="445">
        <v>-1.1897106609814401581750432300</v>
      </c>
      <c r="L48" s="660">
        <v>0.0803370930851315068505605900</v>
      </c>
      <c r="M48" s="445">
        <v>-11.934510222176127047180701730</v>
      </c>
      <c r="N48" s="445">
        <v>-2.837680263386671110585276400</v>
      </c>
      <c r="O48" s="445">
        <v>0.2041515335372276756550936600</v>
      </c>
      <c r="P48" s="445">
        <v>-2.1208763252085229897122545800</v>
      </c>
      <c r="Q48" s="445">
        <v>-8.553201984298615765128073630</v>
      </c>
      <c r="R48" s="445">
        <v>-10.258801572146427314790858470</v>
      </c>
      <c r="S48" s="445">
        <v>21.165655519399845396523672290</v>
      </c>
      <c r="T48" s="445">
        <v>5.4309542719163559871150866200</v>
      </c>
      <c r="U48" s="445">
        <v>-27.494056273774041177719554780</v>
      </c>
      <c r="V48" s="445">
        <v>-0.1921038879997391339550374800</v>
      </c>
      <c r="W48" s="445">
        <v>12.773655259599513704352663450</v>
      </c>
      <c r="X48" s="446">
        <v>9.300592795076594302721209910</v>
      </c>
      <c r="Y48" s="445">
        <v>15.843015273393158610884440480</v>
      </c>
      <c r="Z48" s="445">
        <v>2.160391572058132036989119800</v>
      </c>
      <c r="AA48" s="445">
        <v>-8.31411831636542116582254100</v>
      </c>
      <c r="AB48" s="445">
        <v>4.802399844203679897055806600</v>
      </c>
      <c r="AC48" s="445">
        <v>3.9070445656758829074351019200</v>
      </c>
      <c r="AD48" s="447">
        <v>-11.860045830035749995631077310</v>
      </c>
      <c r="AE48" s="448"/>
      <c r="AF48" s="444">
        <v>-1.0750464429971224275469326300</v>
      </c>
      <c r="AG48" s="445">
        <v>-4.3217765247906511261549598200</v>
      </c>
      <c r="AH48" s="449">
        <v>-3.5000659816838364366966125700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181</v>
      </c>
      <c r="C49" s="329">
        <v>35.787587834322078198726665300</v>
      </c>
      <c r="D49" s="330">
        <v>35.219964794494762784969479450</v>
      </c>
      <c r="E49" s="330">
        <v>38.757247973708400459836325450</v>
      </c>
      <c r="F49" s="330">
        <v>30.367619138153292451064323630</v>
      </c>
      <c r="G49" s="330">
        <v>4.0625716947524125232190396600</v>
      </c>
      <c r="H49" s="330">
        <v>-5.2312836042227722063008398300</v>
      </c>
      <c r="I49" s="330">
        <v>1.8716247050738797270497991700</v>
      </c>
      <c r="J49" s="330">
        <v>6.0351548420816217243434151500</v>
      </c>
      <c r="K49" s="330">
        <v>0.4897358130051886049705700600</v>
      </c>
      <c r="L49" s="663">
        <v>1.6301631861129714210244690500</v>
      </c>
      <c r="M49" s="330">
        <v>-13.724292218476419913292478320</v>
      </c>
      <c r="N49" s="330">
        <v>-10.876659334887235252460976550</v>
      </c>
      <c r="O49" s="330">
        <v>3.8889221843096210014653865300</v>
      </c>
      <c r="P49" s="330">
        <v>-3.2101400606265407763672112100</v>
      </c>
      <c r="Q49" s="330">
        <v>-5.5729745822278851468792135800</v>
      </c>
      <c r="R49" s="330">
        <v>-12.890208245805436054214236650</v>
      </c>
      <c r="S49" s="330">
        <v>11.925113382626044856855034970</v>
      </c>
      <c r="T49" s="330">
        <v>1.079158179030065031123428700</v>
      </c>
      <c r="U49" s="330">
        <v>-20.724686355533492452060895410</v>
      </c>
      <c r="V49" s="330">
        <v>-5.0813234337562390875803629600</v>
      </c>
      <c r="W49" s="330">
        <v>2.3973925538629685569613733800</v>
      </c>
      <c r="X49" s="331">
        <v>-1.3680041987977473832111785300</v>
      </c>
      <c r="Y49" s="330">
        <v>12.268567099860914011570907580</v>
      </c>
      <c r="Z49" s="330">
        <v>-5.2383951090564560159166339900</v>
      </c>
      <c r="AA49" s="330">
        <v>-11.939744850426998943034457420</v>
      </c>
      <c r="AB49" s="330">
        <v>-0.9383728625502323509995183200</v>
      </c>
      <c r="AC49" s="330">
        <v>-4.6627958611906520290778859400</v>
      </c>
      <c r="AD49" s="338">
        <v>-9.681970922318590330264155980</v>
      </c>
      <c r="AE49" s="88"/>
      <c r="AF49" s="329">
        <v>-4.7174680480797628625785785500</v>
      </c>
      <c r="AG49" s="330">
        <v>-1.1477724826041121074679204700</v>
      </c>
      <c r="AH49" s="332">
        <v>-4.4263070171198087000355882700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275" t="s">
        <v>182</v>
      </c>
      <c r="D52" s="276"/>
      <c r="E52" s="276"/>
      <c r="F52" s="276"/>
      <c r="G52" s="276"/>
      <c r="H52" s="276"/>
      <c r="I52" s="276"/>
      <c r="J52" s="276"/>
      <c r="K52" s="276"/>
      <c r="L52" s="658" t="s">
        <v>179</v>
      </c>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284">
        <v>22</v>
      </c>
      <c r="D53" s="42">
        <v>23</v>
      </c>
      <c r="E53" s="42">
        <v>24</v>
      </c>
      <c r="F53" s="42">
        <v>25</v>
      </c>
      <c r="G53" s="42">
        <v>26</v>
      </c>
      <c r="H53" s="42">
        <v>27</v>
      </c>
      <c r="I53" s="42">
        <v>28</v>
      </c>
      <c r="J53" s="42">
        <v>29</v>
      </c>
      <c r="K53" s="42">
        <v>30</v>
      </c>
      <c r="L53" s="659">
        <v>1</v>
      </c>
      <c r="M53" s="42">
        <v>2</v>
      </c>
      <c r="N53" s="42">
        <v>3</v>
      </c>
      <c r="O53" s="42">
        <v>4</v>
      </c>
      <c r="P53" s="42">
        <v>5</v>
      </c>
      <c r="Q53" s="42">
        <v>6</v>
      </c>
      <c r="R53" s="42">
        <v>7</v>
      </c>
      <c r="S53" s="42">
        <v>8</v>
      </c>
      <c r="T53" s="42">
        <v>9</v>
      </c>
      <c r="U53" s="42">
        <v>10</v>
      </c>
      <c r="V53" s="42">
        <v>11</v>
      </c>
      <c r="W53" s="42">
        <v>12</v>
      </c>
      <c r="X53" s="323">
        <v>13</v>
      </c>
      <c r="Y53" s="42">
        <v>14</v>
      </c>
      <c r="Z53" s="42">
        <v>15</v>
      </c>
      <c r="AA53" s="42">
        <v>16</v>
      </c>
      <c r="AB53" s="42">
        <v>17</v>
      </c>
      <c r="AC53" s="42">
        <v>18</v>
      </c>
      <c r="AD53" s="337">
        <v>19</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227</v>
      </c>
      <c r="D54" s="456" t="s">
        <v>231</v>
      </c>
      <c r="E54" s="456" t="s">
        <v>231</v>
      </c>
      <c r="F54" s="456" t="s">
        <v>240</v>
      </c>
      <c r="G54" s="456" t="s">
        <v>240</v>
      </c>
      <c r="H54" s="456" t="s">
        <v>231</v>
      </c>
      <c r="I54" s="456" t="s">
        <v>240</v>
      </c>
      <c r="J54" s="456" t="s">
        <v>240</v>
      </c>
      <c r="K54" s="456" t="s">
        <v>232</v>
      </c>
      <c r="L54" s="664" t="s">
        <v>240</v>
      </c>
      <c r="M54" s="456" t="s">
        <v>232</v>
      </c>
      <c r="N54" s="456" t="s">
        <v>232</v>
      </c>
      <c r="O54" s="456" t="s">
        <v>227</v>
      </c>
      <c r="P54" s="456" t="s">
        <v>228</v>
      </c>
      <c r="Q54" s="456" t="s">
        <v>232</v>
      </c>
      <c r="R54" s="456" t="s">
        <v>237</v>
      </c>
      <c r="S54" s="456" t="s">
        <v>234</v>
      </c>
      <c r="T54" s="456" t="s">
        <v>235</v>
      </c>
      <c r="U54" s="456" t="s">
        <v>238</v>
      </c>
      <c r="V54" s="456" t="s">
        <v>233</v>
      </c>
      <c r="W54" s="456" t="s">
        <v>234</v>
      </c>
      <c r="X54" s="457" t="s">
        <v>235</v>
      </c>
      <c r="Y54" s="456" t="s">
        <v>234</v>
      </c>
      <c r="Z54" s="456" t="s">
        <v>233</v>
      </c>
      <c r="AA54" s="456" t="s">
        <v>238</v>
      </c>
      <c r="AB54" s="456" t="s">
        <v>238</v>
      </c>
      <c r="AC54" s="456" t="s">
        <v>235</v>
      </c>
      <c r="AD54" s="458" t="s">
        <v>237</v>
      </c>
      <c r="AE54" s="459"/>
      <c r="AF54" s="455" t="s">
        <v>238</v>
      </c>
      <c r="AG54" s="456" t="s">
        <v>232</v>
      </c>
      <c r="AH54" s="460" t="s">
        <v>233</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231</v>
      </c>
      <c r="D55" s="334" t="s">
        <v>232</v>
      </c>
      <c r="E55" s="334" t="s">
        <v>240</v>
      </c>
      <c r="F55" s="334" t="s">
        <v>227</v>
      </c>
      <c r="G55" s="334" t="s">
        <v>230</v>
      </c>
      <c r="H55" s="334" t="s">
        <v>240</v>
      </c>
      <c r="I55" s="334" t="s">
        <v>240</v>
      </c>
      <c r="J55" s="334" t="s">
        <v>228</v>
      </c>
      <c r="K55" s="334" t="s">
        <v>227</v>
      </c>
      <c r="L55" s="665" t="s">
        <v>240</v>
      </c>
      <c r="M55" s="334" t="s">
        <v>240</v>
      </c>
      <c r="N55" s="334" t="s">
        <v>240</v>
      </c>
      <c r="O55" s="334" t="s">
        <v>240</v>
      </c>
      <c r="P55" s="334" t="s">
        <v>231</v>
      </c>
      <c r="Q55" s="334" t="s">
        <v>226</v>
      </c>
      <c r="R55" s="334" t="s">
        <v>237</v>
      </c>
      <c r="S55" s="334" t="s">
        <v>234</v>
      </c>
      <c r="T55" s="334" t="s">
        <v>235</v>
      </c>
      <c r="U55" s="334" t="s">
        <v>239</v>
      </c>
      <c r="V55" s="334" t="s">
        <v>233</v>
      </c>
      <c r="W55" s="334" t="s">
        <v>234</v>
      </c>
      <c r="X55" s="60" t="s">
        <v>233</v>
      </c>
      <c r="Y55" s="61" t="s">
        <v>233</v>
      </c>
      <c r="Z55" s="61" t="s">
        <v>233</v>
      </c>
      <c r="AA55" s="61" t="s">
        <v>238</v>
      </c>
      <c r="AB55" s="61" t="s">
        <v>235</v>
      </c>
      <c r="AC55" s="61" t="s">
        <v>233</v>
      </c>
      <c r="AD55" s="62" t="s">
        <v>238</v>
      </c>
      <c r="AE55" s="59"/>
      <c r="AF55" s="333" t="s">
        <v>235</v>
      </c>
      <c r="AG55" s="334" t="s">
        <v>232</v>
      </c>
      <c r="AH55" s="335" t="s">
        <v>237</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50" t="s">
        <v>114</v>
      </c>
      <c r="C58" s="650"/>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c r="AC58" s="650"/>
      <c r="AD58" s="650"/>
      <c r="AE58" s="650"/>
      <c r="AF58" s="650"/>
      <c r="AG58" s="650"/>
      <c r="AH58" s="650"/>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53"/>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48"/>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row>
    <row r="69" s="25" customFormat="1" ht="10.5" customHeight="1">
      <c r="A69" s="248"/>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45780</v>
      </c>
      <c r="C72" s="666">
        <v>45787</v>
      </c>
      <c r="D72" s="666">
        <v>45794</v>
      </c>
      <c r="E72" s="666">
        <v>45801</v>
      </c>
      <c r="F72" s="666">
        <v>45808</v>
      </c>
      <c r="G72" s="666">
        <v>45815</v>
      </c>
      <c r="H72" s="666">
        <v>45822</v>
      </c>
      <c r="I72" s="666">
        <v>45829</v>
      </c>
      <c r="J72" s="666">
        <v>45836</v>
      </c>
      <c r="K72" s="666">
        <v>45843</v>
      </c>
      <c r="L72" s="666">
        <v>45850</v>
      </c>
      <c r="M72" s="666">
        <v>45857</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322.13578826237054085155350978</v>
      </c>
      <c r="C73" s="666">
        <v>232.81440443213296398891966759</v>
      </c>
      <c r="D73" s="666">
        <v>199.37266187050359712230215827</v>
      </c>
      <c r="E73" s="666">
        <v>210.57524271844660194174757282</v>
      </c>
      <c r="F73" s="666">
        <v>169.71326676176890156918687589</v>
      </c>
      <c r="G73" s="666">
        <v>161.75036710719530102790014684</v>
      </c>
      <c r="H73" s="666">
        <v>176.35779816513761467889908257</v>
      </c>
      <c r="I73" s="666">
        <v>185.25680473372781065088757396</v>
      </c>
      <c r="J73" s="666">
        <v>190.3977433004231311706629055</v>
      </c>
      <c r="K73" s="666">
        <v>165.72391857506361323155216285</v>
      </c>
      <c r="L73" s="666">
        <v>170.87415426251691474966170501</v>
      </c>
      <c r="M73" s="666">
        <v>168.60397350993377483443708609</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332.01755887084978791867778265</v>
      </c>
      <c r="C74" s="666">
        <v>212.53505946313285762827047231</v>
      </c>
      <c r="D74" s="666">
        <v>202.81512508809020436927413671</v>
      </c>
      <c r="E74" s="666">
        <v>238.66647772632923519080312949</v>
      </c>
      <c r="F74" s="666">
        <v>200.06272112475529453639437622</v>
      </c>
      <c r="G74" s="666">
        <v>175.7963791486967935495968498</v>
      </c>
      <c r="H74" s="666">
        <v>200.89233990147783251231527094</v>
      </c>
      <c r="I74" s="666">
        <v>194.61045622274404562227440456</v>
      </c>
      <c r="J74" s="666">
        <v>203.85366130865400227309628186</v>
      </c>
      <c r="K74" s="666">
        <v>172.70171738303537466717383035</v>
      </c>
      <c r="L74" s="666">
        <v>167.58497344036395136316563467</v>
      </c>
      <c r="M74" s="666">
        <v>169.19374456993918331885317115</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s="84" customFormat="1" ht="14.25">
      <c r="A75" s="260" t="s">
        <v>181</v>
      </c>
      <c r="B75" s="666">
        <v>288.82988805600501931776904534</v>
      </c>
      <c r="C75" s="666">
        <v>226.67393770524430291571300627</v>
      </c>
      <c r="D75" s="666">
        <v>209.1931728292396000243392897</v>
      </c>
      <c r="E75" s="666">
        <v>204.70062341168996188055908513</v>
      </c>
      <c r="F75" s="666">
        <v>187.01548370307722334265825255</v>
      </c>
      <c r="G75" s="666">
        <v>175.57626892846041120831298015</v>
      </c>
      <c r="H75" s="666">
        <v>188.5734957339440244816893987</v>
      </c>
      <c r="I75" s="666">
        <v>192.99825325757423655309494649</v>
      </c>
      <c r="J75" s="666">
        <v>180.25663698866286734135112661</v>
      </c>
      <c r="K75" s="666">
        <v>171.50089753362677355103646691</v>
      </c>
      <c r="L75" s="666">
        <v>173.69436731008014448583361553</v>
      </c>
      <c r="M75" s="666">
        <v>174.13019672344017140260133746</v>
      </c>
      <c r="N75" s="666"/>
      <c r="O75" s="666"/>
      <c r="P75" s="666"/>
      <c r="Q75" s="666"/>
      <c r="R75" s="666"/>
      <c r="S75" s="666"/>
      <c r="T75" s="666"/>
      <c r="U75" s="666"/>
      <c r="V75" s="666"/>
      <c r="W75" s="666"/>
      <c r="X75" s="666"/>
      <c r="Y75" s="666"/>
      <c r="Z75" s="666"/>
      <c r="AA75" s="666"/>
      <c r="AB75" s="666"/>
      <c r="AC75" s="666"/>
      <c r="AD75" s="666"/>
      <c r="AE75" s="666"/>
      <c r="AF75" s="666"/>
      <c r="AG75" s="666"/>
      <c r="AH75" s="666"/>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77"/>
</worksheet>
</file>

<file path=xl/worksheets/sheet7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152</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178</v>
      </c>
      <c r="B4" s="442"/>
      <c r="C4" s="211"/>
      <c r="D4" s="212"/>
      <c r="E4" s="212"/>
      <c r="F4" s="212"/>
      <c r="G4" s="212"/>
      <c r="H4" s="212"/>
      <c r="I4" s="212"/>
      <c r="J4" s="212"/>
      <c r="K4" s="212"/>
      <c r="L4" s="212"/>
      <c r="M4" s="212"/>
      <c r="N4" s="212"/>
      <c r="O4" s="212"/>
      <c r="P4" s="212"/>
      <c r="Q4" s="212"/>
      <c r="R4" s="677" t="s">
        <v>180</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8" t="s">
        <v>21</v>
      </c>
      <c r="E8" s="678"/>
      <c r="F8" s="678"/>
      <c r="G8" s="678" t="s">
        <v>24</v>
      </c>
      <c r="H8" s="678"/>
      <c r="I8" s="678"/>
      <c r="J8" s="678" t="s">
        <v>25</v>
      </c>
      <c r="K8" s="678"/>
      <c r="L8" s="678"/>
      <c r="M8" s="678" t="s">
        <v>23</v>
      </c>
      <c r="N8" s="678"/>
      <c r="O8" s="678"/>
      <c r="Q8" s="678" t="s">
        <v>21</v>
      </c>
      <c r="R8" s="678"/>
      <c r="S8" s="678"/>
      <c r="T8" s="678" t="s">
        <v>24</v>
      </c>
      <c r="U8" s="678"/>
      <c r="V8" s="678"/>
      <c r="W8" s="678" t="s">
        <v>25</v>
      </c>
      <c r="X8" s="678"/>
      <c r="Y8" s="678"/>
      <c r="Z8" s="678" t="s">
        <v>23</v>
      </c>
      <c r="AA8" s="678"/>
      <c r="AB8" s="678"/>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182</v>
      </c>
      <c r="B10" s="342">
        <v>22</v>
      </c>
      <c r="C10" s="343" t="s">
        <v>49</v>
      </c>
      <c r="D10" s="374">
        <v>224.25882352941176470588235294</v>
      </c>
      <c r="E10" s="382">
        <v>216.51598721876791525525319147</v>
      </c>
      <c r="F10" s="375">
        <v>176.26903860180185656078345468</v>
      </c>
      <c r="G10" s="374">
        <v>0</v>
      </c>
      <c r="H10" s="382">
        <v>263.39352833592984063786508955</v>
      </c>
      <c r="I10" s="375">
        <v>203.27948003314238024753887249</v>
      </c>
      <c r="J10" s="374">
        <v>0</v>
      </c>
      <c r="K10" s="382">
        <v>0</v>
      </c>
      <c r="L10" s="375">
        <v>146.83991436211566774058421691</v>
      </c>
      <c r="M10" s="374">
        <v>224.25882352941176470588235294</v>
      </c>
      <c r="N10" s="382">
        <v>234.12</v>
      </c>
      <c r="O10" s="375">
        <v>178.02617581187010078387458007</v>
      </c>
      <c r="P10" s="4"/>
      <c r="Q10" s="354">
        <v>43.984115291298632243191151950</v>
      </c>
      <c r="R10" s="355">
        <v>40.654873822134653010748594950</v>
      </c>
      <c r="S10" s="356">
        <v>3.9028323650931721956147706700</v>
      </c>
      <c r="T10" s="354">
        <v>0</v>
      </c>
      <c r="U10" s="355">
        <v>20.883712729048971877316408930</v>
      </c>
      <c r="V10" s="356">
        <v>10.549998095442219423451528600</v>
      </c>
      <c r="W10" s="354">
        <v>0</v>
      </c>
      <c r="X10" s="355">
        <v>-100</v>
      </c>
      <c r="Y10" s="356">
        <v>3.805560589740842303696782700</v>
      </c>
      <c r="Z10" s="354">
        <v>43.984115291298632243191151950</v>
      </c>
      <c r="AA10" s="355">
        <v>50.302690347972767292243521290</v>
      </c>
      <c r="AB10" s="356">
        <v>6.0362862229985572003086507400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23</v>
      </c>
      <c r="C11" s="345" t="s">
        <v>47</v>
      </c>
      <c r="D11" s="370">
        <v>215.70512820512820512820512821</v>
      </c>
      <c r="E11" s="172">
        <v>203.1101383333465327557266094</v>
      </c>
      <c r="F11" s="371">
        <v>174.13708954510504168599219728</v>
      </c>
      <c r="G11" s="370">
        <v>0</v>
      </c>
      <c r="H11" s="172">
        <v>247.91754007461051414837847891</v>
      </c>
      <c r="I11" s="371">
        <v>199.67905275695692573014486748</v>
      </c>
      <c r="J11" s="370">
        <v>0</v>
      </c>
      <c r="K11" s="172">
        <v>0</v>
      </c>
      <c r="L11" s="371">
        <v>151.79479266545396462445754863</v>
      </c>
      <c r="M11" s="370">
        <v>215.70512820512820512820512821</v>
      </c>
      <c r="N11" s="172">
        <v>223.12411111111111111111111111</v>
      </c>
      <c r="O11" s="371">
        <v>176.39829637244823028344837715</v>
      </c>
      <c r="P11" s="4"/>
      <c r="Q11" s="327">
        <v>52.076902990863008758641509280</v>
      </c>
      <c r="R11" s="171">
        <v>42.222167058165075430025310250</v>
      </c>
      <c r="S11" s="328">
        <v>7.1770666282350716401889233100</v>
      </c>
      <c r="T11" s="327">
        <v>-100</v>
      </c>
      <c r="U11" s="171">
        <v>16.678485613947875811888830540</v>
      </c>
      <c r="V11" s="328">
        <v>6.3657424512777403804294531800</v>
      </c>
      <c r="W11" s="327">
        <v>0</v>
      </c>
      <c r="X11" s="171">
        <v>-100</v>
      </c>
      <c r="Y11" s="328">
        <v>8.419634172293356972760326930</v>
      </c>
      <c r="Z11" s="327">
        <v>47.037227237543465658200800520</v>
      </c>
      <c r="AA11" s="171">
        <v>53.087443753680384398876782390</v>
      </c>
      <c r="AB11" s="328">
        <v>8.739288211584523014284455500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24</v>
      </c>
      <c r="C12" s="347" t="s">
        <v>48</v>
      </c>
      <c r="D12" s="378">
        <v>211</v>
      </c>
      <c r="E12" s="173">
        <v>209.85562632696390658174097665</v>
      </c>
      <c r="F12" s="379">
        <v>175.6512327215246216189027322</v>
      </c>
      <c r="G12" s="378">
        <v>0</v>
      </c>
      <c r="H12" s="173">
        <v>244.63819095477386934673366834</v>
      </c>
      <c r="I12" s="379">
        <v>197.01806028128715722135153854</v>
      </c>
      <c r="J12" s="378">
        <v>0</v>
      </c>
      <c r="K12" s="173">
        <v>0</v>
      </c>
      <c r="L12" s="379">
        <v>156.00250811714584060846992265</v>
      </c>
      <c r="M12" s="378">
        <v>211.000000000</v>
      </c>
      <c r="N12" s="173">
        <v>225.78596087456846950517836594</v>
      </c>
      <c r="O12" s="379">
        <v>177.65172413793103448275862069</v>
      </c>
      <c r="P12" s="4"/>
      <c r="Q12" s="359">
        <v>48.728164266003755552297517390</v>
      </c>
      <c r="R12" s="170">
        <v>50.297081477728093641171403720</v>
      </c>
      <c r="S12" s="360">
        <v>2.8861273023929523237610627200</v>
      </c>
      <c r="T12" s="359">
        <v>-100</v>
      </c>
      <c r="U12" s="170">
        <v>53.244946450275785951363560210</v>
      </c>
      <c r="V12" s="360">
        <v>-3.4891416148258109526470955300</v>
      </c>
      <c r="W12" s="359">
        <v>0</v>
      </c>
      <c r="X12" s="170">
        <v>-100</v>
      </c>
      <c r="Y12" s="360">
        <v>9.290907740536131843920198900</v>
      </c>
      <c r="Z12" s="359">
        <v>44.080625257125479355256504620</v>
      </c>
      <c r="AA12" s="170">
        <v>60.288824147803506424748775110</v>
      </c>
      <c r="AB12" s="360">
        <v>3.8364679042888669065656782700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25</v>
      </c>
      <c r="C13" s="345" t="s">
        <v>50</v>
      </c>
      <c r="D13" s="370">
        <v>163.4130434782608695652173913</v>
      </c>
      <c r="E13" s="172">
        <v>167.93275575855127093966533222</v>
      </c>
      <c r="F13" s="371">
        <v>172.05618476206742545327314644</v>
      </c>
      <c r="G13" s="370">
        <v>209</v>
      </c>
      <c r="H13" s="172">
        <v>230.86203784957541871011389656</v>
      </c>
      <c r="I13" s="371">
        <v>193.71234681290668216190857747</v>
      </c>
      <c r="J13" s="370">
        <v>0</v>
      </c>
      <c r="K13" s="172">
        <v>0</v>
      </c>
      <c r="L13" s="371">
        <v>141.49834525331542186094920752</v>
      </c>
      <c r="M13" s="370">
        <v>168.67307692307692307692307692</v>
      </c>
      <c r="N13" s="172">
        <v>186.14276568501920614596670935</v>
      </c>
      <c r="O13" s="371">
        <v>172.81065811574286150557336998</v>
      </c>
      <c r="P13" s="4"/>
      <c r="Q13" s="327">
        <v>27.559118843356775863395144120</v>
      </c>
      <c r="R13" s="171">
        <v>19.066149430343950029817690100</v>
      </c>
      <c r="S13" s="328">
        <v>1.1831097537915584176982888800</v>
      </c>
      <c r="T13" s="327">
        <v>0</v>
      </c>
      <c r="U13" s="171">
        <v>37.707057511310287955443037150</v>
      </c>
      <c r="V13" s="328">
        <v>-5.1111987730505867616443457400</v>
      </c>
      <c r="W13" s="327">
        <v>0</v>
      </c>
      <c r="X13" s="171">
        <v>-100</v>
      </c>
      <c r="Y13" s="328">
        <v>-1.2607654804621518379067654100</v>
      </c>
      <c r="Z13" s="327">
        <v>31.665065449733897858445434490</v>
      </c>
      <c r="AA13" s="171">
        <v>29.987459787943244930072610090</v>
      </c>
      <c r="AB13" s="328">
        <v>0.9952212982558579674002814900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26</v>
      </c>
      <c r="C14" s="347" t="s">
        <v>51</v>
      </c>
      <c r="D14" s="378">
        <v>146.85321100917431192660550459</v>
      </c>
      <c r="E14" s="173">
        <v>155.59573216238005024832713502</v>
      </c>
      <c r="F14" s="379">
        <v>174.63676372502555765149126932</v>
      </c>
      <c r="G14" s="378">
        <v>209</v>
      </c>
      <c r="H14" s="173">
        <v>163.09021548254496275624653486</v>
      </c>
      <c r="I14" s="379">
        <v>190.18001150076911777173737817</v>
      </c>
      <c r="J14" s="378">
        <v>0</v>
      </c>
      <c r="K14" s="173">
        <v>0</v>
      </c>
      <c r="L14" s="379">
        <v>142.46196173891112780269418602</v>
      </c>
      <c r="M14" s="378">
        <v>153.01652892561983471074380165</v>
      </c>
      <c r="N14" s="173">
        <v>155.92374005305039787798408489</v>
      </c>
      <c r="O14" s="379">
        <v>174.05165289256198347107438017</v>
      </c>
      <c r="P14" s="4"/>
      <c r="Q14" s="359">
        <v>-1.5008950548161018111216015600</v>
      </c>
      <c r="R14" s="170">
        <v>-6.6589678094804322231558270300</v>
      </c>
      <c r="S14" s="360">
        <v>-1.8373823648598434380026129300</v>
      </c>
      <c r="T14" s="359">
        <v>0</v>
      </c>
      <c r="U14" s="170">
        <v>-18.759665013503667249349635010</v>
      </c>
      <c r="V14" s="360">
        <v>-4.4857841222357750890819300900</v>
      </c>
      <c r="W14" s="359">
        <v>0</v>
      </c>
      <c r="X14" s="170">
        <v>-100</v>
      </c>
      <c r="Y14" s="360">
        <v>2.5433849939869261876460094400</v>
      </c>
      <c r="Z14" s="359">
        <v>2.6330376940195618814558437600</v>
      </c>
      <c r="AA14" s="170">
        <v>-8.349985397072310577014588730</v>
      </c>
      <c r="AB14" s="360">
        <v>-1.3737254206479589428247740800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27</v>
      </c>
      <c r="C15" s="345" t="s">
        <v>52</v>
      </c>
      <c r="D15" s="370">
        <v>187.79166666666666666666666667</v>
      </c>
      <c r="E15" s="172">
        <v>192.19000775587998950222583557</v>
      </c>
      <c r="F15" s="371">
        <v>193.55644020645810690974573702</v>
      </c>
      <c r="G15" s="370">
        <v>0</v>
      </c>
      <c r="H15" s="172">
        <v>220.54178893305539847801099174</v>
      </c>
      <c r="I15" s="371">
        <v>195.8418281766659933559375451</v>
      </c>
      <c r="J15" s="370">
        <v>0</v>
      </c>
      <c r="K15" s="172">
        <v>0</v>
      </c>
      <c r="L15" s="371">
        <v>140.59531893716307106882674428</v>
      </c>
      <c r="M15" s="370">
        <v>187.79166666666666666666666667</v>
      </c>
      <c r="N15" s="172">
        <v>192.91775401069518716577540107</v>
      </c>
      <c r="O15" s="371">
        <v>188.75565251884172947243157477</v>
      </c>
      <c r="P15" s="4"/>
      <c r="Q15" s="327">
        <v>-7.7773490482333224803730087500</v>
      </c>
      <c r="R15" s="171">
        <v>-9.515947983799451298908440370</v>
      </c>
      <c r="S15" s="328">
        <v>-3.8940593396875119072543900600</v>
      </c>
      <c r="T15" s="327">
        <v>0</v>
      </c>
      <c r="U15" s="171">
        <v>-1.6403420047478957063137833400</v>
      </c>
      <c r="V15" s="328">
        <v>1.3878243251256721360137417100</v>
      </c>
      <c r="W15" s="327">
        <v>0</v>
      </c>
      <c r="X15" s="171">
        <v>-100</v>
      </c>
      <c r="Y15" s="328">
        <v>2.7415545411001221539333129900</v>
      </c>
      <c r="Z15" s="327">
        <v>-7.7773490482333224803730087500</v>
      </c>
      <c r="AA15" s="171">
        <v>-9.445390095268117106630616760</v>
      </c>
      <c r="AB15" s="328">
        <v>-2.6866096121288425462376536100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28</v>
      </c>
      <c r="C16" s="347" t="s">
        <v>53</v>
      </c>
      <c r="D16" s="378">
        <v>195.56910569105691056910569106</v>
      </c>
      <c r="E16" s="173">
        <v>197.93357557074778773130920326</v>
      </c>
      <c r="F16" s="379">
        <v>194.95222252168735163145232341</v>
      </c>
      <c r="G16" s="378">
        <v>0</v>
      </c>
      <c r="H16" s="173">
        <v>232.63648286369227328636922732</v>
      </c>
      <c r="I16" s="379">
        <v>199.22183464969505357668007381</v>
      </c>
      <c r="J16" s="378">
        <v>0</v>
      </c>
      <c r="K16" s="173">
        <v>0</v>
      </c>
      <c r="L16" s="379">
        <v>149.53890379567909257303141276</v>
      </c>
      <c r="M16" s="378">
        <v>195.56910569105691056910569106</v>
      </c>
      <c r="N16" s="173">
        <v>199.10214285714285714285714286</v>
      </c>
      <c r="O16" s="379">
        <v>191.30220625962031811185223191</v>
      </c>
      <c r="P16" s="4"/>
      <c r="Q16" s="359">
        <v>-1.6534669656829444265199146100</v>
      </c>
      <c r="R16" s="170">
        <v>-5.5462433359405888359906376800</v>
      </c>
      <c r="S16" s="360">
        <v>-5.3952072137745062305700116900</v>
      </c>
      <c r="T16" s="359">
        <v>0</v>
      </c>
      <c r="U16" s="170">
        <v>6.6274799169501007086586229900</v>
      </c>
      <c r="V16" s="360">
        <v>5.1964824662579068833435143200</v>
      </c>
      <c r="W16" s="359">
        <v>0</v>
      </c>
      <c r="X16" s="170">
        <v>-100</v>
      </c>
      <c r="Y16" s="360">
        <v>5.307974442972944594561609200</v>
      </c>
      <c r="Z16" s="359">
        <v>-1.6534669656829444265199146100</v>
      </c>
      <c r="AA16" s="170">
        <v>-5.1580449519260119834806517500</v>
      </c>
      <c r="AB16" s="360">
        <v>-3.4603273296139323797209159300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29</v>
      </c>
      <c r="C17" s="345" t="s">
        <v>49</v>
      </c>
      <c r="D17" s="370">
        <v>141.92452830188679245283018868</v>
      </c>
      <c r="E17" s="172">
        <v>143.17771311854130503846138149</v>
      </c>
      <c r="F17" s="371">
        <v>161.63509997759574578995576434</v>
      </c>
      <c r="G17" s="370">
        <v>0</v>
      </c>
      <c r="H17" s="172">
        <v>162.24069791901919664462010002</v>
      </c>
      <c r="I17" s="371">
        <v>190.48158544303116516890913904</v>
      </c>
      <c r="J17" s="370">
        <v>0</v>
      </c>
      <c r="K17" s="172">
        <v>0</v>
      </c>
      <c r="L17" s="371">
        <v>154.76195604060472343693875971</v>
      </c>
      <c r="M17" s="370">
        <v>141.92452830188679245283018868</v>
      </c>
      <c r="N17" s="172">
        <v>143.79185567010309278350515464</v>
      </c>
      <c r="O17" s="371">
        <v>162.99435897435897435897435897</v>
      </c>
      <c r="P17" s="4"/>
      <c r="Q17" s="327">
        <v>4.3821421276824000353810585900</v>
      </c>
      <c r="R17" s="171">
        <v>-2.3432056975487013984753881300</v>
      </c>
      <c r="S17" s="328">
        <v>-1.6862966360768517058444281700</v>
      </c>
      <c r="T17" s="327">
        <v>0</v>
      </c>
      <c r="U17" s="171">
        <v>-25.107733987910656531397527200</v>
      </c>
      <c r="V17" s="328">
        <v>2.5609396355012016935069812800</v>
      </c>
      <c r="W17" s="327">
        <v>0</v>
      </c>
      <c r="X17" s="171">
        <v>-100</v>
      </c>
      <c r="Y17" s="328">
        <v>0.1854540609157489391031174700</v>
      </c>
      <c r="Z17" s="327">
        <v>4.3821421276824000353810585900</v>
      </c>
      <c r="AA17" s="171">
        <v>-4.6725306138854261471694538100</v>
      </c>
      <c r="AB17" s="328">
        <v>-1.5589289391020505932070333900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30</v>
      </c>
      <c r="C18" s="347" t="s">
        <v>47</v>
      </c>
      <c r="D18" s="378">
        <v>136.65048543689320388349514563</v>
      </c>
      <c r="E18" s="173">
        <v>144.49030458157478081836501647</v>
      </c>
      <c r="F18" s="379">
        <v>157.99045745330435644492998717</v>
      </c>
      <c r="G18" s="378">
        <v>0</v>
      </c>
      <c r="H18" s="173">
        <v>159.00026229255792981337087178</v>
      </c>
      <c r="I18" s="379">
        <v>189.46447508147895358563043742</v>
      </c>
      <c r="J18" s="378">
        <v>0</v>
      </c>
      <c r="K18" s="173">
        <v>0</v>
      </c>
      <c r="L18" s="379">
        <v>136.01713784836188162408244519</v>
      </c>
      <c r="M18" s="378">
        <v>136.65048543689320388349514563</v>
      </c>
      <c r="N18" s="173">
        <v>145.02256778309409888357256779</v>
      </c>
      <c r="O18" s="379">
        <v>157.52099658428772352822985734</v>
      </c>
      <c r="P18" s="4"/>
      <c r="Q18" s="359">
        <v>2.653921892514144131992378800</v>
      </c>
      <c r="R18" s="170">
        <v>4.4064143413668296083428607500</v>
      </c>
      <c r="S18" s="360">
        <v>0.6740239733139862834714310500</v>
      </c>
      <c r="T18" s="359">
        <v>0</v>
      </c>
      <c r="U18" s="170">
        <v>-4.429209776213308392617361800</v>
      </c>
      <c r="V18" s="360">
        <v>19.157593352679505728690835440</v>
      </c>
      <c r="W18" s="359">
        <v>0</v>
      </c>
      <c r="X18" s="170">
        <v>-100</v>
      </c>
      <c r="Y18" s="360">
        <v>-0.707296750941892702424912300</v>
      </c>
      <c r="Z18" s="359">
        <v>2.653921892514144131992378800</v>
      </c>
      <c r="AA18" s="170">
        <v>3.8899112422786359844304014500</v>
      </c>
      <c r="AB18" s="360">
        <v>2.153638938320605965338897900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t="s">
        <v>179</v>
      </c>
      <c r="B19" s="668">
        <v>1</v>
      </c>
      <c r="C19" s="679" t="s">
        <v>48</v>
      </c>
      <c r="D19" s="680">
        <v>142.7319587628865979381443299</v>
      </c>
      <c r="E19" s="681">
        <v>141.03041144901610017889087658</v>
      </c>
      <c r="F19" s="682">
        <v>154.95498925214653869958827988</v>
      </c>
      <c r="G19" s="680">
        <v>0</v>
      </c>
      <c r="H19" s="681">
        <v>161.56521739130434782608695654</v>
      </c>
      <c r="I19" s="682">
        <v>193.48104773784348593205957803</v>
      </c>
      <c r="J19" s="680">
        <v>0</v>
      </c>
      <c r="K19" s="681">
        <v>0</v>
      </c>
      <c r="L19" s="682">
        <v>145.4003896162503786703733219</v>
      </c>
      <c r="M19" s="680">
        <v>142.7319587628865979381443299</v>
      </c>
      <c r="N19" s="681">
        <v>141.84192439862542955326460482</v>
      </c>
      <c r="O19" s="682">
        <v>156.10993914807302231237322515</v>
      </c>
      <c r="P19" s="4"/>
      <c r="Q19" s="670">
        <v>-0.6932772736978312350764845200</v>
      </c>
      <c r="R19" s="671">
        <v>-1.1124231574198907274198893400</v>
      </c>
      <c r="S19" s="672">
        <v>-0.9335021116208005775593387800</v>
      </c>
      <c r="T19" s="670">
        <v>0</v>
      </c>
      <c r="U19" s="671">
        <v>6.2393722404543078393702598100</v>
      </c>
      <c r="V19" s="672">
        <v>19.731589085770817862985069750</v>
      </c>
      <c r="W19" s="670">
        <v>0</v>
      </c>
      <c r="X19" s="671">
        <v>-100</v>
      </c>
      <c r="Y19" s="672">
        <v>-18.168621768878743468695333470</v>
      </c>
      <c r="Z19" s="670">
        <v>-0.6932772736978312350764845200</v>
      </c>
      <c r="AA19" s="671">
        <v>-0.7729933664078567791963288400</v>
      </c>
      <c r="AB19" s="672">
        <v>-2.2861721235469951144796059100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2</v>
      </c>
      <c r="C20" s="347" t="s">
        <v>50</v>
      </c>
      <c r="D20" s="378">
        <v>124.29824561403508771929824561</v>
      </c>
      <c r="E20" s="173">
        <v>140.91218637992831541218637994</v>
      </c>
      <c r="F20" s="379">
        <v>153.7116822079026644025288955</v>
      </c>
      <c r="G20" s="378">
        <v>0</v>
      </c>
      <c r="H20" s="173">
        <v>166.21212121212121212121212123</v>
      </c>
      <c r="I20" s="379">
        <v>176.01262690111134922982730509</v>
      </c>
      <c r="J20" s="378">
        <v>0</v>
      </c>
      <c r="K20" s="173">
        <v>0</v>
      </c>
      <c r="L20" s="379">
        <v>141.35681818051426679420318738</v>
      </c>
      <c r="M20" s="378">
        <v>124.29824561403508771929824561</v>
      </c>
      <c r="N20" s="173">
        <v>142.32487309644670050761421321</v>
      </c>
      <c r="O20" s="379">
        <v>153.26072469804248229904206581</v>
      </c>
      <c r="P20" s="4"/>
      <c r="Q20" s="359">
        <v>-16.135669322669314370192545910</v>
      </c>
      <c r="R20" s="170">
        <v>-5.5511478010171745775916347100</v>
      </c>
      <c r="S20" s="360">
        <v>-4.7001117423032239202851500100</v>
      </c>
      <c r="T20" s="359">
        <v>0</v>
      </c>
      <c r="U20" s="170">
        <v>-27.418312207772287946087630300</v>
      </c>
      <c r="V20" s="360">
        <v>10.748977418198097526331833150</v>
      </c>
      <c r="W20" s="359">
        <v>0</v>
      </c>
      <c r="X20" s="170">
        <v>-100</v>
      </c>
      <c r="Y20" s="360">
        <v>7.994799362915143505520548230</v>
      </c>
      <c r="Z20" s="359">
        <v>-16.135669322669314370192545910</v>
      </c>
      <c r="AA20" s="170">
        <v>-4.7704942209208334801813679400</v>
      </c>
      <c r="AB20" s="360">
        <v>-2.7949664699377910060417829400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3</v>
      </c>
      <c r="C21" s="345" t="s">
        <v>51</v>
      </c>
      <c r="D21" s="370">
        <v>145.59349593495934959349593496</v>
      </c>
      <c r="E21" s="172">
        <v>162.92210874859435838269794702</v>
      </c>
      <c r="F21" s="371">
        <v>165.01707793044297805511195064</v>
      </c>
      <c r="G21" s="370">
        <v>0</v>
      </c>
      <c r="H21" s="172">
        <v>194.69458541161992022634464261</v>
      </c>
      <c r="I21" s="371">
        <v>168.92612599694515153541973704</v>
      </c>
      <c r="J21" s="370">
        <v>0</v>
      </c>
      <c r="K21" s="172">
        <v>0</v>
      </c>
      <c r="L21" s="371">
        <v>147.65195565928792905085060227</v>
      </c>
      <c r="M21" s="370">
        <v>145.59349593495934959349593496</v>
      </c>
      <c r="N21" s="172">
        <v>164.78113663845223700120918984</v>
      </c>
      <c r="O21" s="371">
        <v>163.03441812915317771340943943</v>
      </c>
      <c r="P21" s="4"/>
      <c r="Q21" s="327">
        <v>-20.40637540601613385763064800</v>
      </c>
      <c r="R21" s="171">
        <v>-19.119971506013854389820150380</v>
      </c>
      <c r="S21" s="328">
        <v>-11.547790223743693913091537080</v>
      </c>
      <c r="T21" s="327">
        <v>0</v>
      </c>
      <c r="U21" s="171">
        <v>-14.980389652564670973737444050</v>
      </c>
      <c r="V21" s="328">
        <v>-6.3720185000541936946724583500</v>
      </c>
      <c r="W21" s="327">
        <v>0</v>
      </c>
      <c r="X21" s="171">
        <v>-100</v>
      </c>
      <c r="Y21" s="328">
        <v>4.4604269185076681319724390300</v>
      </c>
      <c r="Z21" s="327">
        <v>-20.40637540601613385763064800</v>
      </c>
      <c r="AA21" s="171">
        <v>-18.081798777812220418051679880</v>
      </c>
      <c r="AB21" s="328">
        <v>-10.692727628993708933318031420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4</v>
      </c>
      <c r="C22" s="347" t="s">
        <v>52</v>
      </c>
      <c r="D22" s="378">
        <v>228.65079365079365079365079365</v>
      </c>
      <c r="E22" s="173">
        <v>224.73240938166311300639658849</v>
      </c>
      <c r="F22" s="379">
        <v>203.11537798899754624933947823</v>
      </c>
      <c r="G22" s="378">
        <v>0</v>
      </c>
      <c r="H22" s="173">
        <v>250.66666666666666666666666667</v>
      </c>
      <c r="I22" s="379">
        <v>184.94879299199052745180702607</v>
      </c>
      <c r="J22" s="378">
        <v>0</v>
      </c>
      <c r="K22" s="173">
        <v>0</v>
      </c>
      <c r="L22" s="379">
        <v>151.1837719696344952859792692</v>
      </c>
      <c r="M22" s="378">
        <v>228.65079365079365079365079365</v>
      </c>
      <c r="N22" s="173">
        <v>225.06</v>
      </c>
      <c r="O22" s="379">
        <v>197.88229544819882714325607372</v>
      </c>
      <c r="P22" s="4"/>
      <c r="Q22" s="359">
        <v>6.4324054153945441068023226500</v>
      </c>
      <c r="R22" s="170">
        <v>5.8591040581982271881308977200</v>
      </c>
      <c r="S22" s="360">
        <v>2.113095441257070643886704400</v>
      </c>
      <c r="T22" s="359">
        <v>0</v>
      </c>
      <c r="U22" s="170">
        <v>0</v>
      </c>
      <c r="V22" s="360">
        <v>2.4312341360942139847841704800</v>
      </c>
      <c r="W22" s="359">
        <v>0</v>
      </c>
      <c r="X22" s="170">
        <v>-100</v>
      </c>
      <c r="Y22" s="360">
        <v>7.2455290294126982954107618700</v>
      </c>
      <c r="Z22" s="359">
        <v>6.4324054153945441068023226500</v>
      </c>
      <c r="AA22" s="170">
        <v>6.2155647111885285133696276700</v>
      </c>
      <c r="AB22" s="360">
        <v>2.4482718442434464727077225800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5</v>
      </c>
      <c r="C23" s="345" t="s">
        <v>53</v>
      </c>
      <c r="D23" s="370">
        <v>225.7008547008547008547008547</v>
      </c>
      <c r="E23" s="172">
        <v>208.62651933701657458563535912</v>
      </c>
      <c r="F23" s="371">
        <v>196.95951641003446446116544333</v>
      </c>
      <c r="G23" s="370">
        <v>0</v>
      </c>
      <c r="H23" s="172">
        <v>0</v>
      </c>
      <c r="I23" s="371">
        <v>186.7572091548140338228053765</v>
      </c>
      <c r="J23" s="370">
        <v>0</v>
      </c>
      <c r="K23" s="172">
        <v>0</v>
      </c>
      <c r="L23" s="371">
        <v>149.1987883090973217300229069</v>
      </c>
      <c r="M23" s="370">
        <v>225.7008547008547008547008547</v>
      </c>
      <c r="N23" s="172">
        <v>208.62651933701657458563535912</v>
      </c>
      <c r="O23" s="371">
        <v>191.78550233149639677829588809</v>
      </c>
      <c r="P23" s="4"/>
      <c r="Q23" s="327">
        <v>-1.6588018109405352970156842500</v>
      </c>
      <c r="R23" s="171">
        <v>0.3801542544436657451097709200</v>
      </c>
      <c r="S23" s="328">
        <v>1.0025430970976925151721357100</v>
      </c>
      <c r="T23" s="327">
        <v>0</v>
      </c>
      <c r="U23" s="171">
        <v>0</v>
      </c>
      <c r="V23" s="328">
        <v>4.7906348843586269279574629600</v>
      </c>
      <c r="W23" s="327">
        <v>0</v>
      </c>
      <c r="X23" s="171">
        <v>-100</v>
      </c>
      <c r="Y23" s="328">
        <v>11.229051653507384888559142820</v>
      </c>
      <c r="Z23" s="327">
        <v>-1.6588018109405352970156842500</v>
      </c>
      <c r="AA23" s="171">
        <v>0.4720868933900015327196375500</v>
      </c>
      <c r="AB23" s="328">
        <v>1.602790055352757448743875600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6</v>
      </c>
      <c r="C24" s="347" t="s">
        <v>49</v>
      </c>
      <c r="D24" s="378">
        <v>141.83333333333333333333333333</v>
      </c>
      <c r="E24" s="173">
        <v>149.06938159879336349924585219</v>
      </c>
      <c r="F24" s="379">
        <v>154.01456641665545690786915026</v>
      </c>
      <c r="G24" s="378">
        <v>0</v>
      </c>
      <c r="H24" s="173">
        <v>0</v>
      </c>
      <c r="I24" s="379">
        <v>191.43214448483189928638024316</v>
      </c>
      <c r="J24" s="378">
        <v>0</v>
      </c>
      <c r="K24" s="173">
        <v>0</v>
      </c>
      <c r="L24" s="379">
        <v>145.7949844965227390207756901</v>
      </c>
      <c r="M24" s="378">
        <v>141.83333333333333333333333333</v>
      </c>
      <c r="N24" s="173">
        <v>149.06938159879336349924585219</v>
      </c>
      <c r="O24" s="379">
        <v>154.8509509875640087783467447</v>
      </c>
      <c r="P24" s="4"/>
      <c r="Q24" s="359">
        <v>-7.5243008287199774298671343900</v>
      </c>
      <c r="R24" s="170">
        <v>1.3569307555922974683798526800</v>
      </c>
      <c r="S24" s="360">
        <v>-3.0040652500499607089032290400</v>
      </c>
      <c r="T24" s="359">
        <v>0</v>
      </c>
      <c r="U24" s="170">
        <v>-100</v>
      </c>
      <c r="V24" s="360">
        <v>6.0342934740456082039854909500</v>
      </c>
      <c r="W24" s="359">
        <v>0</v>
      </c>
      <c r="X24" s="170">
        <v>-100</v>
      </c>
      <c r="Y24" s="360">
        <v>3.895050437609618305523026500</v>
      </c>
      <c r="Z24" s="359">
        <v>-7.5243008287199774298671343900</v>
      </c>
      <c r="AA24" s="170">
        <v>1.1251363392111145256333169500</v>
      </c>
      <c r="AB24" s="360">
        <v>-2.066491280350916785995995300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7</v>
      </c>
      <c r="C25" s="345" t="s">
        <v>47</v>
      </c>
      <c r="D25" s="370">
        <v>139.02325581395348837209302326</v>
      </c>
      <c r="E25" s="172">
        <v>134.46790890269151138716356109</v>
      </c>
      <c r="F25" s="371">
        <v>154.40622625698178216528078839</v>
      </c>
      <c r="G25" s="370">
        <v>0</v>
      </c>
      <c r="H25" s="172">
        <v>0</v>
      </c>
      <c r="I25" s="371">
        <v>192.3748210606642164520608117</v>
      </c>
      <c r="J25" s="370">
        <v>0</v>
      </c>
      <c r="K25" s="172">
        <v>0</v>
      </c>
      <c r="L25" s="371">
        <v>142.63760557585155942571105956</v>
      </c>
      <c r="M25" s="370">
        <v>139.02325581395348837209302326</v>
      </c>
      <c r="N25" s="172">
        <v>134.46790890269151138716356108</v>
      </c>
      <c r="O25" s="371">
        <v>156.69202825428859737638748739</v>
      </c>
      <c r="P25" s="4"/>
      <c r="Q25" s="327">
        <v>-14.158529580704444635428746220</v>
      </c>
      <c r="R25" s="171">
        <v>-3.326532943133053713009234800</v>
      </c>
      <c r="S25" s="328">
        <v>-2.9072874583797371143199806300</v>
      </c>
      <c r="T25" s="327">
        <v>0</v>
      </c>
      <c r="U25" s="171">
        <v>-100</v>
      </c>
      <c r="V25" s="328">
        <v>7.7871671922748920490580165900</v>
      </c>
      <c r="W25" s="327">
        <v>0</v>
      </c>
      <c r="X25" s="171">
        <v>-100</v>
      </c>
      <c r="Y25" s="328">
        <v>3.5214163840255900003402962400</v>
      </c>
      <c r="Z25" s="327">
        <v>-14.158529580704444635428746220</v>
      </c>
      <c r="AA25" s="171">
        <v>-4.3455270008027753746421339900</v>
      </c>
      <c r="AB25" s="328">
        <v>-1.4560031764223678831392862500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8</v>
      </c>
      <c r="C26" s="347" t="s">
        <v>48</v>
      </c>
      <c r="D26" s="378">
        <v>152.06097560975609756097560976</v>
      </c>
      <c r="E26" s="173">
        <v>130.74541751527494908350305498</v>
      </c>
      <c r="F26" s="379">
        <v>156.29368444000143098058418715</v>
      </c>
      <c r="G26" s="378">
        <v>0</v>
      </c>
      <c r="H26" s="173">
        <v>0</v>
      </c>
      <c r="I26" s="379">
        <v>201.98338150190363516847427201</v>
      </c>
      <c r="J26" s="378">
        <v>0</v>
      </c>
      <c r="K26" s="173">
        <v>0</v>
      </c>
      <c r="L26" s="379">
        <v>143.6233448562514897713281648</v>
      </c>
      <c r="M26" s="378">
        <v>152.06097560975609756097560976</v>
      </c>
      <c r="N26" s="173">
        <v>130.74541751527494908350305498</v>
      </c>
      <c r="O26" s="379">
        <v>159.11226572647986639450732975</v>
      </c>
      <c r="P26" s="4"/>
      <c r="Q26" s="359">
        <v>13.305152846849351231088100870</v>
      </c>
      <c r="R26" s="170">
        <v>-5.4674506087930464725929003300</v>
      </c>
      <c r="S26" s="360">
        <v>-1.7259759042168956359091746700</v>
      </c>
      <c r="T26" s="359">
        <v>0</v>
      </c>
      <c r="U26" s="170">
        <v>-100</v>
      </c>
      <c r="V26" s="360">
        <v>18.123653579847038752091202710</v>
      </c>
      <c r="W26" s="359">
        <v>0</v>
      </c>
      <c r="X26" s="170">
        <v>-100</v>
      </c>
      <c r="Y26" s="360">
        <v>16.218165969620258480819526360</v>
      </c>
      <c r="Z26" s="359">
        <v>13.305152846849351231088100870</v>
      </c>
      <c r="AA26" s="170">
        <v>-6.4874015981289229966423664700</v>
      </c>
      <c r="AB26" s="360">
        <v>1.2330025161041184595693478600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9</v>
      </c>
      <c r="C27" s="345" t="s">
        <v>50</v>
      </c>
      <c r="D27" s="370">
        <v>144.70588235294117647058823529</v>
      </c>
      <c r="E27" s="172">
        <v>135.94686907020872865275142316</v>
      </c>
      <c r="F27" s="371">
        <v>155.27024002428271320866853141</v>
      </c>
      <c r="G27" s="370">
        <v>0</v>
      </c>
      <c r="H27" s="172">
        <v>0</v>
      </c>
      <c r="I27" s="371">
        <v>211.81914869748958567410437511</v>
      </c>
      <c r="J27" s="370">
        <v>0</v>
      </c>
      <c r="K27" s="172">
        <v>0</v>
      </c>
      <c r="L27" s="371">
        <v>154.72582454250706615505195104</v>
      </c>
      <c r="M27" s="370">
        <v>144.70588235294117647058823529</v>
      </c>
      <c r="N27" s="172">
        <v>135.94686907020872865275142316</v>
      </c>
      <c r="O27" s="371">
        <v>162.44953484289977180972441636</v>
      </c>
      <c r="P27" s="4"/>
      <c r="Q27" s="327">
        <v>3.7566078056213606128009284200</v>
      </c>
      <c r="R27" s="171">
        <v>-0.4504910477349978922164331800</v>
      </c>
      <c r="S27" s="328">
        <v>-4.1158562024259191082395654700</v>
      </c>
      <c r="T27" s="327">
        <v>-100</v>
      </c>
      <c r="U27" s="171">
        <v>-100</v>
      </c>
      <c r="V27" s="328">
        <v>21.580398272300306411796064020</v>
      </c>
      <c r="W27" s="327">
        <v>0</v>
      </c>
      <c r="X27" s="171">
        <v>-100</v>
      </c>
      <c r="Y27" s="328">
        <v>16.840176118126988166510553880</v>
      </c>
      <c r="Z27" s="327">
        <v>2.0548904669086180397334270800</v>
      </c>
      <c r="AA27" s="171">
        <v>-3.2021561678566511607278616200</v>
      </c>
      <c r="AB27" s="328">
        <v>0.9653150119733587137529234300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10</v>
      </c>
      <c r="C28" s="347" t="s">
        <v>51</v>
      </c>
      <c r="D28" s="378">
        <v>151.90434782608695652173913043</v>
      </c>
      <c r="E28" s="173">
        <v>163.69117647058823529411764704</v>
      </c>
      <c r="F28" s="379">
        <v>163.11367342537802210096348646</v>
      </c>
      <c r="G28" s="378">
        <v>0</v>
      </c>
      <c r="H28" s="173">
        <v>188.99999999999999999999999999</v>
      </c>
      <c r="I28" s="379">
        <v>198.48006009939905091405521235</v>
      </c>
      <c r="J28" s="378">
        <v>0</v>
      </c>
      <c r="K28" s="173">
        <v>0</v>
      </c>
      <c r="L28" s="379">
        <v>143.08988223443972154042698033</v>
      </c>
      <c r="M28" s="378">
        <v>151.90434782608695652173913043</v>
      </c>
      <c r="N28" s="173">
        <v>164.09406657018813314037626627</v>
      </c>
      <c r="O28" s="379">
        <v>166.72535211267605633802816901</v>
      </c>
      <c r="P28" s="4"/>
      <c r="Q28" s="359">
        <v>-16.949802544434717275156395610</v>
      </c>
      <c r="R28" s="170">
        <v>5.4031704112251185266833859200</v>
      </c>
      <c r="S28" s="360">
        <v>-7.6167429767630490158209829300</v>
      </c>
      <c r="T28" s="359">
        <v>-100</v>
      </c>
      <c r="U28" s="170">
        <v>9.188149232786538147304795860</v>
      </c>
      <c r="V28" s="360">
        <v>4.3382689361517103118156328400</v>
      </c>
      <c r="W28" s="359">
        <v>0</v>
      </c>
      <c r="X28" s="170">
        <v>0</v>
      </c>
      <c r="Y28" s="360">
        <v>8.786905711519203887666071890</v>
      </c>
      <c r="Z28" s="359">
        <v>-24.653176633646391498763787440</v>
      </c>
      <c r="AA28" s="170">
        <v>3.9181334578745493744460894500</v>
      </c>
      <c r="AB28" s="360">
        <v>-4.955502662255073279999563200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11</v>
      </c>
      <c r="C29" s="345" t="s">
        <v>52</v>
      </c>
      <c r="D29" s="370">
        <v>212.64705882352941176470588235</v>
      </c>
      <c r="E29" s="172">
        <v>209.46296296296296296296296295</v>
      </c>
      <c r="F29" s="371">
        <v>202.02134686368473553947991213</v>
      </c>
      <c r="G29" s="370">
        <v>0</v>
      </c>
      <c r="H29" s="172">
        <v>189.61904761904761904761904762</v>
      </c>
      <c r="I29" s="371">
        <v>191.24789547612004878139969248</v>
      </c>
      <c r="J29" s="370">
        <v>0</v>
      </c>
      <c r="K29" s="172">
        <v>0</v>
      </c>
      <c r="L29" s="371">
        <v>148.16264184105174207808063848</v>
      </c>
      <c r="M29" s="370">
        <v>212.64705882352941176470588235</v>
      </c>
      <c r="N29" s="172">
        <v>208.961492178098676293622142</v>
      </c>
      <c r="O29" s="371">
        <v>195.81339119652820830750154991</v>
      </c>
      <c r="P29" s="4"/>
      <c r="Q29" s="327">
        <v>-9.978237567786366464660599230</v>
      </c>
      <c r="R29" s="171">
        <v>-15.498587042205076491899789830</v>
      </c>
      <c r="S29" s="328">
        <v>-10.448691934838315724117762470</v>
      </c>
      <c r="T29" s="327">
        <v>-100</v>
      </c>
      <c r="U29" s="171">
        <v>-9.594314956414162481930774210</v>
      </c>
      <c r="V29" s="328">
        <v>-7.5217392986572311254754954700</v>
      </c>
      <c r="W29" s="327">
        <v>0</v>
      </c>
      <c r="X29" s="171">
        <v>-100</v>
      </c>
      <c r="Y29" s="328">
        <v>5.1139787166709017421477055200</v>
      </c>
      <c r="Z29" s="327">
        <v>-13.668147458524259892183199220</v>
      </c>
      <c r="AA29" s="171">
        <v>-13.501981401807930585576784980</v>
      </c>
      <c r="AB29" s="328">
        <v>-9.046506267665379712557799880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12</v>
      </c>
      <c r="C30" s="347" t="s">
        <v>53</v>
      </c>
      <c r="D30" s="378">
        <v>228.33858267716535433070866142</v>
      </c>
      <c r="E30" s="173">
        <v>202.93646759847522236340533673</v>
      </c>
      <c r="F30" s="379">
        <v>205.65287472725387990850386708</v>
      </c>
      <c r="G30" s="378">
        <v>0</v>
      </c>
      <c r="H30" s="173">
        <v>213.99999999999999999999999999</v>
      </c>
      <c r="I30" s="379">
        <v>188.70604394009804091915669251</v>
      </c>
      <c r="J30" s="378">
        <v>0</v>
      </c>
      <c r="K30" s="173">
        <v>0</v>
      </c>
      <c r="L30" s="379">
        <v>140.88156358722051797832187758</v>
      </c>
      <c r="M30" s="378">
        <v>228.33858267716535433070866142</v>
      </c>
      <c r="N30" s="173">
        <v>203.42041312272174969623329282</v>
      </c>
      <c r="O30" s="379">
        <v>197.75821223592624252045426792</v>
      </c>
      <c r="P30" s="4"/>
      <c r="Q30" s="359">
        <v>0.4626509517980884578751267200</v>
      </c>
      <c r="R30" s="170">
        <v>-19.598389082495947329430434660</v>
      </c>
      <c r="S30" s="360">
        <v>-8.696528467290270077718327010</v>
      </c>
      <c r="T30" s="359">
        <v>-100</v>
      </c>
      <c r="U30" s="170">
        <v>-0.7285249904974054825523632300</v>
      </c>
      <c r="V30" s="360">
        <v>-13.343662392094630192761103220</v>
      </c>
      <c r="W30" s="359">
        <v>0</v>
      </c>
      <c r="X30" s="170">
        <v>-100</v>
      </c>
      <c r="Y30" s="360">
        <v>-0.2202620071923304704101666200</v>
      </c>
      <c r="Z30" s="359">
        <v>-6.9008975319796813512343183600</v>
      </c>
      <c r="AA30" s="170">
        <v>-17.446053997516738185758056290</v>
      </c>
      <c r="AB30" s="360">
        <v>-9.080592634173456721345317750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13</v>
      </c>
      <c r="C31" s="345" t="s">
        <v>49</v>
      </c>
      <c r="D31" s="370">
        <v>148.8878504672897196261682243</v>
      </c>
      <c r="E31" s="172">
        <v>139.29553264604810996563573885</v>
      </c>
      <c r="F31" s="371">
        <v>158.47566060865189971443266055</v>
      </c>
      <c r="G31" s="370">
        <v>0</v>
      </c>
      <c r="H31" s="172">
        <v>198.00000000000000000000000001</v>
      </c>
      <c r="I31" s="371">
        <v>171.61134896331208932999850809</v>
      </c>
      <c r="J31" s="370">
        <v>0</v>
      </c>
      <c r="K31" s="172">
        <v>0</v>
      </c>
      <c r="L31" s="371">
        <v>150.30674410741242487852450412</v>
      </c>
      <c r="M31" s="370">
        <v>148.8878504672897196261682243</v>
      </c>
      <c r="N31" s="172">
        <v>143.0707395498392282958199357</v>
      </c>
      <c r="O31" s="371">
        <v>158.57325174825174825174825175</v>
      </c>
      <c r="P31" s="4"/>
      <c r="Q31" s="327">
        <v>-8.234010912225639302338565280</v>
      </c>
      <c r="R31" s="171">
        <v>-23.194792990296711995732808850</v>
      </c>
      <c r="S31" s="328">
        <v>-14.405147369738330302905629150</v>
      </c>
      <c r="T31" s="327">
        <v>-100</v>
      </c>
      <c r="U31" s="171">
        <v>-2.770312965738953253958897300</v>
      </c>
      <c r="V31" s="328">
        <v>-19.822119029192442340676178830</v>
      </c>
      <c r="W31" s="327">
        <v>0</v>
      </c>
      <c r="X31" s="171">
        <v>-100</v>
      </c>
      <c r="Y31" s="328">
        <v>6.3388170047364773404844576600</v>
      </c>
      <c r="Z31" s="327">
        <v>-14.948481127564371752206913190</v>
      </c>
      <c r="AA31" s="171">
        <v>-22.185674663347169607518610100</v>
      </c>
      <c r="AB31" s="328">
        <v>-13.7688351720104592465765800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14</v>
      </c>
      <c r="C32" s="347" t="s">
        <v>47</v>
      </c>
      <c r="D32" s="378">
        <v>147.11340206185567010309278351</v>
      </c>
      <c r="E32" s="173">
        <v>133.75245579567779960707269154</v>
      </c>
      <c r="F32" s="379">
        <v>159.07324505771745713327446754</v>
      </c>
      <c r="G32" s="378">
        <v>0</v>
      </c>
      <c r="H32" s="173">
        <v>173.24999999999999999999999998</v>
      </c>
      <c r="I32" s="379">
        <v>175.39578744855281049375595349</v>
      </c>
      <c r="J32" s="378">
        <v>0</v>
      </c>
      <c r="K32" s="173">
        <v>0</v>
      </c>
      <c r="L32" s="379">
        <v>148.27633034222563298837494628</v>
      </c>
      <c r="M32" s="378">
        <v>147.11340206185567010309278351</v>
      </c>
      <c r="N32" s="173">
        <v>135.24574669187145557655954631</v>
      </c>
      <c r="O32" s="379">
        <v>159.25731620271234832262669522</v>
      </c>
      <c r="P32" s="4"/>
      <c r="Q32" s="359">
        <v>10.114821902586579418482622390</v>
      </c>
      <c r="R32" s="170">
        <v>-4.0671568347355351983326683100</v>
      </c>
      <c r="S32" s="360">
        <v>-2.0851545995105545484369134200</v>
      </c>
      <c r="T32" s="359">
        <v>0</v>
      </c>
      <c r="U32" s="170">
        <v>-14.594992467436557955423541410</v>
      </c>
      <c r="V32" s="360">
        <v>-10.780042603726841721220542850</v>
      </c>
      <c r="W32" s="359">
        <v>0</v>
      </c>
      <c r="X32" s="170">
        <v>-100</v>
      </c>
      <c r="Y32" s="360">
        <v>11.368649217997480142024437140</v>
      </c>
      <c r="Z32" s="359">
        <v>10.114821902586579418482622390</v>
      </c>
      <c r="AA32" s="170">
        <v>-4.9447895993682546595746729100</v>
      </c>
      <c r="AB32" s="360">
        <v>-1.9183866445851365403538288300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15</v>
      </c>
      <c r="C33" s="345" t="s">
        <v>48</v>
      </c>
      <c r="D33" s="370">
        <v>142.64044943820224719101123596</v>
      </c>
      <c r="E33" s="172">
        <v>137.09125475285171102661596956</v>
      </c>
      <c r="F33" s="371">
        <v>162.17194106448032229516434027</v>
      </c>
      <c r="G33" s="370">
        <v>0</v>
      </c>
      <c r="H33" s="172">
        <v>167.09523809523809523809523808</v>
      </c>
      <c r="I33" s="371">
        <v>174.33197306647985726735903823</v>
      </c>
      <c r="J33" s="370">
        <v>0</v>
      </c>
      <c r="K33" s="172">
        <v>0</v>
      </c>
      <c r="L33" s="371">
        <v>147.28746608006604639074040463</v>
      </c>
      <c r="M33" s="370">
        <v>142.64044943820224719101123596</v>
      </c>
      <c r="N33" s="172">
        <v>138.24314442413162705667276051</v>
      </c>
      <c r="O33" s="371">
        <v>161.87508509189925119128658952</v>
      </c>
      <c r="P33" s="4"/>
      <c r="Q33" s="327">
        <v>-4.4562498180980875852425627900</v>
      </c>
      <c r="R33" s="171">
        <v>-6.7396562196192024326423443700</v>
      </c>
      <c r="S33" s="328">
        <v>0.1753120603689335678001267600</v>
      </c>
      <c r="T33" s="327">
        <v>0</v>
      </c>
      <c r="U33" s="171">
        <v>-3.0593029836761712095497962300</v>
      </c>
      <c r="V33" s="328">
        <v>-3.9477726074603069626948829900</v>
      </c>
      <c r="W33" s="327">
        <v>0</v>
      </c>
      <c r="X33" s="171">
        <v>-100</v>
      </c>
      <c r="Y33" s="328">
        <v>8.812481824737693060252121320</v>
      </c>
      <c r="Z33" s="327">
        <v>-4.4562498180980875852425627900</v>
      </c>
      <c r="AA33" s="171">
        <v>-6.4767189008376472947548938500</v>
      </c>
      <c r="AB33" s="328">
        <v>0.8253820646906202812653087200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16</v>
      </c>
      <c r="C34" s="347" t="s">
        <v>50</v>
      </c>
      <c r="D34" s="378">
        <v>137.38144329896907216494845361</v>
      </c>
      <c r="E34" s="173">
        <v>141.17335766423357664233576641</v>
      </c>
      <c r="F34" s="379">
        <v>162.91926084185559157691596243</v>
      </c>
      <c r="G34" s="378">
        <v>149</v>
      </c>
      <c r="H34" s="173">
        <v>154.83999999999999999999999998</v>
      </c>
      <c r="I34" s="379">
        <v>174.44778941175133533952999919</v>
      </c>
      <c r="J34" s="378">
        <v>0</v>
      </c>
      <c r="K34" s="173">
        <v>0</v>
      </c>
      <c r="L34" s="379">
        <v>147.48385758693976103766504305</v>
      </c>
      <c r="M34" s="378">
        <v>137.500000000</v>
      </c>
      <c r="N34" s="173">
        <v>141.76963350785340314136125653</v>
      </c>
      <c r="O34" s="379">
        <v>163.11164078117791788405351376</v>
      </c>
      <c r="P34" s="4"/>
      <c r="Q34" s="359">
        <v>-8.723540881039203444139998700</v>
      </c>
      <c r="R34" s="170">
        <v>-1.5990596543103011877408452900</v>
      </c>
      <c r="S34" s="360">
        <v>1.0968162502161546647653484600</v>
      </c>
      <c r="T34" s="359">
        <v>-24.899193548387096774193548390</v>
      </c>
      <c r="U34" s="170">
        <v>-54.592380070758391572718690310</v>
      </c>
      <c r="V34" s="360">
        <v>1.4094922637983410418739879400</v>
      </c>
      <c r="W34" s="359">
        <v>0</v>
      </c>
      <c r="X34" s="170">
        <v>-100</v>
      </c>
      <c r="Y34" s="360">
        <v>7.0359099359982518427541018600</v>
      </c>
      <c r="Z34" s="359">
        <v>-10.181217953234361264346623900</v>
      </c>
      <c r="AA34" s="170">
        <v>-2.0364090987343135833931645900</v>
      </c>
      <c r="AB34" s="360">
        <v>1.9969586667706135658308746400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17</v>
      </c>
      <c r="C35" s="345" t="s">
        <v>51</v>
      </c>
      <c r="D35" s="370">
        <v>144.09401709401709401709401709</v>
      </c>
      <c r="E35" s="172">
        <v>151.9174454828660436137071651</v>
      </c>
      <c r="F35" s="371">
        <v>172.95808263255355915832936593</v>
      </c>
      <c r="G35" s="370">
        <v>149</v>
      </c>
      <c r="H35" s="172">
        <v>180.58620689655172413793103447</v>
      </c>
      <c r="I35" s="371">
        <v>176.13531443810059958169794615</v>
      </c>
      <c r="J35" s="370">
        <v>0</v>
      </c>
      <c r="K35" s="172">
        <v>0</v>
      </c>
      <c r="L35" s="371">
        <v>147.56175426897290409014097139</v>
      </c>
      <c r="M35" s="370">
        <v>144.17647058823529411764705882</v>
      </c>
      <c r="N35" s="172">
        <v>154.29285714285714285714285712</v>
      </c>
      <c r="O35" s="371">
        <v>171.11199664429530201342281879</v>
      </c>
      <c r="P35" s="4"/>
      <c r="Q35" s="327">
        <v>4.4961304751113013129115481400</v>
      </c>
      <c r="R35" s="171">
        <v>-3.4175226345727937099948459700</v>
      </c>
      <c r="S35" s="328">
        <v>2.9770624147482696548534325200</v>
      </c>
      <c r="T35" s="327">
        <v>-21.080508474576271186440677970</v>
      </c>
      <c r="U35" s="171">
        <v>-18.654605834450874035262950910</v>
      </c>
      <c r="V35" s="328">
        <v>-0.6878617066052933644986677300</v>
      </c>
      <c r="W35" s="327">
        <v>0</v>
      </c>
      <c r="X35" s="171">
        <v>0</v>
      </c>
      <c r="Y35" s="328">
        <v>10.391942079584848694897936780</v>
      </c>
      <c r="Z35" s="327">
        <v>2.4546573465710664329661801400</v>
      </c>
      <c r="AA35" s="171">
        <v>-2.2401610088581120880753088700</v>
      </c>
      <c r="AB35" s="328">
        <v>3.4251710850674875058289574500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18</v>
      </c>
      <c r="C36" s="347" t="s">
        <v>52</v>
      </c>
      <c r="D36" s="378">
        <v>228.78571428571428571428571429</v>
      </c>
      <c r="E36" s="173">
        <v>207.16905444126074498567335243</v>
      </c>
      <c r="F36" s="379">
        <v>196.78437468273449034436903157</v>
      </c>
      <c r="G36" s="378">
        <v>179</v>
      </c>
      <c r="H36" s="173">
        <v>210.33684210526315789473684211</v>
      </c>
      <c r="I36" s="379">
        <v>206.66845151175466891722462949</v>
      </c>
      <c r="J36" s="378">
        <v>0</v>
      </c>
      <c r="K36" s="173">
        <v>0</v>
      </c>
      <c r="L36" s="379">
        <v>149.41892946165644836475670998</v>
      </c>
      <c r="M36" s="378">
        <v>226.25423728813559322033898305</v>
      </c>
      <c r="N36" s="173">
        <v>207.54854981084489281210592686</v>
      </c>
      <c r="O36" s="379">
        <v>193.72823433685923515052888527</v>
      </c>
      <c r="P36" s="4"/>
      <c r="Q36" s="359">
        <v>-2.1984732824546933162403108800</v>
      </c>
      <c r="R36" s="170">
        <v>-8.355707439789855222642280370</v>
      </c>
      <c r="S36" s="360">
        <v>-2.2518399214257642004012800700</v>
      </c>
      <c r="T36" s="359">
        <v>-39.649359406608226567768037760</v>
      </c>
      <c r="U36" s="170">
        <v>-8.461780815662942517864631460</v>
      </c>
      <c r="V36" s="360">
        <v>16.730618178683116074088890080</v>
      </c>
      <c r="W36" s="359">
        <v>0</v>
      </c>
      <c r="X36" s="170">
        <v>-100</v>
      </c>
      <c r="Y36" s="360">
        <v>3.1529651463197306271768418800</v>
      </c>
      <c r="Z36" s="359">
        <v>-4.5223433272749511514737092200</v>
      </c>
      <c r="AA36" s="170">
        <v>-8.112431575863920505129858240</v>
      </c>
      <c r="AB36" s="360">
        <v>0.1473218510977599428377920300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19</v>
      </c>
      <c r="C37" s="349" t="s">
        <v>53</v>
      </c>
      <c r="D37" s="380">
        <v>214.2327586206896551724137931</v>
      </c>
      <c r="E37" s="383">
        <v>225.22359396433470507544581615</v>
      </c>
      <c r="F37" s="381">
        <v>203.40546609103091741030437586</v>
      </c>
      <c r="G37" s="380">
        <v>201.72727272727272727272727273</v>
      </c>
      <c r="H37" s="383">
        <v>223.43243243243243243243243242</v>
      </c>
      <c r="I37" s="381">
        <v>202.25458794875287785604974631</v>
      </c>
      <c r="J37" s="380">
        <v>0</v>
      </c>
      <c r="K37" s="383">
        <v>0</v>
      </c>
      <c r="L37" s="381">
        <v>145.42639961777436381596768922</v>
      </c>
      <c r="M37" s="380">
        <v>213.14960629921259842519685039</v>
      </c>
      <c r="N37" s="383">
        <v>224.98690476190476190476190476</v>
      </c>
      <c r="O37" s="381">
        <v>198.33028327901729756831286037</v>
      </c>
      <c r="P37" s="4"/>
      <c r="Q37" s="329">
        <v>-7.3921792705819058590820176700</v>
      </c>
      <c r="R37" s="330">
        <v>3.45706236599937718126421300</v>
      </c>
      <c r="S37" s="332">
        <v>-1.2698334022220729387027752400</v>
      </c>
      <c r="T37" s="329">
        <v>-33.202889825406381697772426250</v>
      </c>
      <c r="U37" s="330">
        <v>-3.404366317992365237293688900</v>
      </c>
      <c r="V37" s="332">
        <v>15.456171842603535266594639940</v>
      </c>
      <c r="W37" s="329">
        <v>0</v>
      </c>
      <c r="X37" s="330">
        <v>-100</v>
      </c>
      <c r="Y37" s="332">
        <v>3.5278721460363711864978950100</v>
      </c>
      <c r="Z37" s="329">
        <v>-9.157142220923562312689989230</v>
      </c>
      <c r="AA37" s="330">
        <v>3.0666042824599937096324731700</v>
      </c>
      <c r="AB37" s="332">
        <v>0.5810896305005999551630772100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160.97290640394088669950738916</v>
      </c>
      <c r="E39" s="382">
        <v>159.80473277252077340616912098</v>
      </c>
      <c r="F39" s="375">
        <v>163.04634173040466280565796677</v>
      </c>
      <c r="G39" s="374">
        <v>0</v>
      </c>
      <c r="H39" s="382">
        <v>250.3520143819904817747539214</v>
      </c>
      <c r="I39" s="375">
        <v>193.5688633408776992917045045</v>
      </c>
      <c r="J39" s="374">
        <v>0</v>
      </c>
      <c r="K39" s="382">
        <v>0</v>
      </c>
      <c r="L39" s="375">
        <v>149.44021873339304916063786537</v>
      </c>
      <c r="M39" s="374">
        <v>160.97290640394088669950738916</v>
      </c>
      <c r="N39" s="382">
        <v>172.21670825429243666109716243</v>
      </c>
      <c r="O39" s="375">
        <v>164.54801091721114878835497477</v>
      </c>
      <c r="P39" s="4"/>
      <c r="Q39" s="354">
        <v>5.8473698004343311992746473300</v>
      </c>
      <c r="R39" s="355">
        <v>1.7476076413154053202136732700</v>
      </c>
      <c r="S39" s="356">
        <v>-4.1189047317504900621650792300</v>
      </c>
      <c r="T39" s="354">
        <v>-100</v>
      </c>
      <c r="U39" s="355">
        <v>20.515540605201401196255172420</v>
      </c>
      <c r="V39" s="356">
        <v>0.6272869594048223403910692500</v>
      </c>
      <c r="W39" s="354">
        <v>0</v>
      </c>
      <c r="X39" s="355">
        <v>-100</v>
      </c>
      <c r="Y39" s="356">
        <v>3.4058463988768463859197884100</v>
      </c>
      <c r="Z39" s="354">
        <v>3.2014006687519022369566952800</v>
      </c>
      <c r="AA39" s="355">
        <v>7.7722068097598850693572394100</v>
      </c>
      <c r="AB39" s="356">
        <v>-2.8318653222096034368930739400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156.93956043956043956043956044</v>
      </c>
      <c r="E40" s="172">
        <v>152.24992717445212896213618777</v>
      </c>
      <c r="F40" s="371">
        <v>162.04923667363047993794528558</v>
      </c>
      <c r="G40" s="370">
        <v>0</v>
      </c>
      <c r="H40" s="172">
        <v>239.52955705884201698550111226</v>
      </c>
      <c r="I40" s="371">
        <v>192.15895078456440042270905131</v>
      </c>
      <c r="J40" s="370">
        <v>0</v>
      </c>
      <c r="K40" s="172">
        <v>0</v>
      </c>
      <c r="L40" s="371">
        <v>145.06959030586608353078556321</v>
      </c>
      <c r="M40" s="370">
        <v>156.93956043956043956043956044</v>
      </c>
      <c r="N40" s="172">
        <v>166.79825643899797746841162503</v>
      </c>
      <c r="O40" s="371">
        <v>163.5249496531662564332065339</v>
      </c>
      <c r="P40" s="4"/>
      <c r="Q40" s="327">
        <v>9.475743602201678272325781840</v>
      </c>
      <c r="R40" s="171">
        <v>8.815813134119662458271211650</v>
      </c>
      <c r="S40" s="328">
        <v>1.0024715257513072983809217600</v>
      </c>
      <c r="T40" s="327">
        <v>-100</v>
      </c>
      <c r="U40" s="171">
        <v>25.969278233833980379498631500</v>
      </c>
      <c r="V40" s="328">
        <v>5.133081830579399272703286100</v>
      </c>
      <c r="W40" s="327">
        <v>0</v>
      </c>
      <c r="X40" s="171">
        <v>-100</v>
      </c>
      <c r="Y40" s="328">
        <v>5.8629011331549447834862323900</v>
      </c>
      <c r="Z40" s="327">
        <v>8.453368628102510666898302370</v>
      </c>
      <c r="AA40" s="171">
        <v>17.412400869384054654766476240</v>
      </c>
      <c r="AB40" s="328">
        <v>2.3545929522798308948426439200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160.30924855491329479768786127</v>
      </c>
      <c r="E41" s="173">
        <v>152.0738626628747426830507164</v>
      </c>
      <c r="F41" s="379">
        <v>162.71996707157912186493381218</v>
      </c>
      <c r="G41" s="378">
        <v>0</v>
      </c>
      <c r="H41" s="173">
        <v>236.15055584094320896527303285</v>
      </c>
      <c r="I41" s="379">
        <v>191.82700365523523427517201058</v>
      </c>
      <c r="J41" s="378">
        <v>0</v>
      </c>
      <c r="K41" s="173">
        <v>0</v>
      </c>
      <c r="L41" s="379">
        <v>148.33431703717380237641445141</v>
      </c>
      <c r="M41" s="378">
        <v>160.30924855491329479768786127</v>
      </c>
      <c r="N41" s="173">
        <v>166.24257177136541568873825698</v>
      </c>
      <c r="O41" s="379">
        <v>164.58311830308331511043078942</v>
      </c>
      <c r="P41" s="4"/>
      <c r="Q41" s="359">
        <v>12.813874734229996359465954330</v>
      </c>
      <c r="R41" s="170">
        <v>7.1529100400975338846227354600</v>
      </c>
      <c r="S41" s="360">
        <v>0.2548012933395070307998782200</v>
      </c>
      <c r="T41" s="359">
        <v>-100</v>
      </c>
      <c r="U41" s="170">
        <v>45.305002960105631218034056580</v>
      </c>
      <c r="V41" s="360">
        <v>5.2466822798556541353359359600</v>
      </c>
      <c r="W41" s="359">
        <v>0</v>
      </c>
      <c r="X41" s="170">
        <v>-100</v>
      </c>
      <c r="Y41" s="360">
        <v>1.7224621759267564545273763700</v>
      </c>
      <c r="Z41" s="359">
        <v>11.892957394237148332742770200</v>
      </c>
      <c r="AA41" s="170">
        <v>16.368934685922783453072914560</v>
      </c>
      <c r="AB41" s="360">
        <v>1.3869622855893026112859387100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141.45679012345679012345679012</v>
      </c>
      <c r="E42" s="172">
        <v>146.09678102598526835421123278</v>
      </c>
      <c r="F42" s="371">
        <v>161.47229887267232730534594263</v>
      </c>
      <c r="G42" s="370">
        <v>204.38461538461538461538461538</v>
      </c>
      <c r="H42" s="172">
        <v>215.87073785093850010133979065</v>
      </c>
      <c r="I42" s="371">
        <v>190.23516503083774380962109641</v>
      </c>
      <c r="J42" s="370">
        <v>0</v>
      </c>
      <c r="K42" s="172">
        <v>0</v>
      </c>
      <c r="L42" s="371">
        <v>146.10330798588015714021277323</v>
      </c>
      <c r="M42" s="370">
        <v>143.4138755980861244019138756</v>
      </c>
      <c r="N42" s="172">
        <v>153.71933388465701597321275024</v>
      </c>
      <c r="O42" s="371">
        <v>163.63997282493312385885949641</v>
      </c>
      <c r="P42" s="4"/>
      <c r="Q42" s="327">
        <v>-0.8429284454084715431070045900</v>
      </c>
      <c r="R42" s="171">
        <v>2.094203898979499014034678700</v>
      </c>
      <c r="S42" s="328">
        <v>-1.2918901950756360505933298400</v>
      </c>
      <c r="T42" s="327">
        <v>-1.3315649867578146894722357900</v>
      </c>
      <c r="U42" s="171">
        <v>24.407339207208402994823426600</v>
      </c>
      <c r="V42" s="328">
        <v>5.2950101788784476870275025400</v>
      </c>
      <c r="W42" s="327">
        <v>0</v>
      </c>
      <c r="X42" s="171">
        <v>-100</v>
      </c>
      <c r="Y42" s="328">
        <v>7.2348674108022554557023310700</v>
      </c>
      <c r="Z42" s="327">
        <v>-0.4433062074846254584654172300</v>
      </c>
      <c r="AA42" s="171">
        <v>6.2359883154471609664824306400</v>
      </c>
      <c r="AB42" s="328">
        <v>0.7125921211480596824685658600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147.07543103448275862068965517</v>
      </c>
      <c r="E43" s="173">
        <v>158.68278899702758608854095919</v>
      </c>
      <c r="F43" s="379">
        <v>169.01753324606640229352085677</v>
      </c>
      <c r="G43" s="378">
        <v>200.42857142857142857142857143</v>
      </c>
      <c r="H43" s="173">
        <v>181.90351207887851073827315359</v>
      </c>
      <c r="I43" s="379">
        <v>186.64763124145894136661093023</v>
      </c>
      <c r="J43" s="378">
        <v>0</v>
      </c>
      <c r="K43" s="173">
        <v>0</v>
      </c>
      <c r="L43" s="379">
        <v>145.2328548832302342557247911</v>
      </c>
      <c r="M43" s="378">
        <v>148.63807531380753138075313808</v>
      </c>
      <c r="N43" s="173">
        <v>159.85631166596304445680831373</v>
      </c>
      <c r="O43" s="379">
        <v>168.97968020053932925671313001</v>
      </c>
      <c r="P43" s="4"/>
      <c r="Q43" s="359">
        <v>-10.386275441844774943112297580</v>
      </c>
      <c r="R43" s="170">
        <v>-8.038136943312145331654837490</v>
      </c>
      <c r="S43" s="360">
        <v>-4.804412517774358364521272600</v>
      </c>
      <c r="T43" s="359">
        <v>-12.889376205456019635479957300</v>
      </c>
      <c r="U43" s="170">
        <v>-2.0852074638674850691261994800</v>
      </c>
      <c r="V43" s="360">
        <v>-1.3000655467929119239558466300</v>
      </c>
      <c r="W43" s="359">
        <v>0</v>
      </c>
      <c r="X43" s="170">
        <v>-100</v>
      </c>
      <c r="Y43" s="360">
        <v>6.5718566218878627378826506200</v>
      </c>
      <c r="Z43" s="359">
        <v>-13.432385721296466978594070730</v>
      </c>
      <c r="AA43" s="170">
        <v>-7.7788127232153075805362203700</v>
      </c>
      <c r="AB43" s="360">
        <v>-3.4214584001469543955605342600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214.41090146750524109014675052</v>
      </c>
      <c r="E44" s="172">
        <v>208.55499495647150042926013895</v>
      </c>
      <c r="F44" s="371">
        <v>198.94636308750515711041698005</v>
      </c>
      <c r="G44" s="370">
        <v>179</v>
      </c>
      <c r="H44" s="172">
        <v>211.69820603615030431808247312</v>
      </c>
      <c r="I44" s="371">
        <v>195.34393049149663573007501074</v>
      </c>
      <c r="J44" s="370">
        <v>0</v>
      </c>
      <c r="K44" s="172">
        <v>0</v>
      </c>
      <c r="L44" s="371">
        <v>147.08881298167269012552413945</v>
      </c>
      <c r="M44" s="370">
        <v>213.9710144927536231884057971</v>
      </c>
      <c r="N44" s="172">
        <v>208.69676070068012904116349134</v>
      </c>
      <c r="O44" s="371">
        <v>194.02529505370640498607611723</v>
      </c>
      <c r="P44" s="4"/>
      <c r="Q44" s="327">
        <v>-2.710151475249592372163138700</v>
      </c>
      <c r="R44" s="171">
        <v>-6.6337715334808184450684895200</v>
      </c>
      <c r="S44" s="328">
        <v>-3.675932713688183964928313400</v>
      </c>
      <c r="T44" s="327">
        <v>-32.163660607769565453226722490</v>
      </c>
      <c r="U44" s="171">
        <v>-2.7770890260284278401147636500</v>
      </c>
      <c r="V44" s="328">
        <v>0.0678873212580953199373302200</v>
      </c>
      <c r="W44" s="327">
        <v>0</v>
      </c>
      <c r="X44" s="171">
        <v>-100</v>
      </c>
      <c r="Y44" s="328">
        <v>4.3342410857466200732317174900</v>
      </c>
      <c r="Z44" s="327">
        <v>-5.1801935397914890449641175100</v>
      </c>
      <c r="AA44" s="171">
        <v>-6.2235750490350131389122258600</v>
      </c>
      <c r="AB44" s="328">
        <v>-2.6405659020035453883466271900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215.9668737060041407867494824</v>
      </c>
      <c r="E45" s="385">
        <v>208.23976515606299159062917622</v>
      </c>
      <c r="F45" s="386">
        <v>200.25293061486592059692295624</v>
      </c>
      <c r="G45" s="384">
        <v>201.72727272727272727272727273</v>
      </c>
      <c r="H45" s="385">
        <v>223.00778452389066416437360249</v>
      </c>
      <c r="I45" s="386">
        <v>193.83792260625510001240319225</v>
      </c>
      <c r="J45" s="384">
        <v>0</v>
      </c>
      <c r="K45" s="385">
        <v>0</v>
      </c>
      <c r="L45" s="386">
        <v>146.39805219850402350072055284</v>
      </c>
      <c r="M45" s="384">
        <v>215.64979757085020242914979757</v>
      </c>
      <c r="N45" s="385">
        <v>209.02472674828409045670943464</v>
      </c>
      <c r="O45" s="386">
        <v>194.92200386597938144329896907</v>
      </c>
      <c r="P45" s="4"/>
      <c r="Q45" s="364">
        <v>-2.5971636613437754729924394500</v>
      </c>
      <c r="R45" s="365">
        <v>-5.9138274482387181037645851400</v>
      </c>
      <c r="S45" s="366">
        <v>-3.7047709455156096389829970200</v>
      </c>
      <c r="T45" s="364">
        <v>-41.766172418319334308557451270</v>
      </c>
      <c r="U45" s="365">
        <v>1.6347224023520091827633645600</v>
      </c>
      <c r="V45" s="366">
        <v>-0.601605588088727151414929600</v>
      </c>
      <c r="W45" s="364">
        <v>0</v>
      </c>
      <c r="X45" s="365">
        <v>-100</v>
      </c>
      <c r="Y45" s="366">
        <v>4.9737808559434942062236360100</v>
      </c>
      <c r="Z45" s="364">
        <v>-5.2345822893191561677586855100</v>
      </c>
      <c r="AA45" s="365">
        <v>-5.3469509785888392259055952800</v>
      </c>
      <c r="AB45" s="366">
        <v>-2.8288583540540079138712326300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168.10340136054421768707482993</v>
      </c>
      <c r="E47" s="382">
        <v>166.49645725082664147378365611</v>
      </c>
      <c r="F47" s="375">
        <v>176.25094095359387424961062965</v>
      </c>
      <c r="G47" s="374">
        <v>187</v>
      </c>
      <c r="H47" s="382">
        <v>200.05945945945945945945945945</v>
      </c>
      <c r="I47" s="375">
        <v>182.54228485571415987307032761</v>
      </c>
      <c r="J47" s="374">
        <v>0</v>
      </c>
      <c r="K47" s="382">
        <v>0</v>
      </c>
      <c r="L47" s="375">
        <v>147.93187478478652359354736251</v>
      </c>
      <c r="M47" s="374">
        <v>168.60397350993377483443708609</v>
      </c>
      <c r="N47" s="382">
        <v>169.19374456993918331885317115</v>
      </c>
      <c r="O47" s="375">
        <v>174.13019672344017140260133746</v>
      </c>
      <c r="P47" s="4"/>
      <c r="Q47" s="354">
        <v>-3.7513832208131060662554534200</v>
      </c>
      <c r="R47" s="355">
        <v>-5.197813897128919542972323500</v>
      </c>
      <c r="S47" s="356">
        <v>-1.8712223894866582577402690400</v>
      </c>
      <c r="T47" s="354">
        <v>-25.819624314543867900430372920</v>
      </c>
      <c r="U47" s="355">
        <v>-6.6567034087144235206312313500</v>
      </c>
      <c r="V47" s="356">
        <v>-0.945161041367612851454015300</v>
      </c>
      <c r="W47" s="354">
        <v>0</v>
      </c>
      <c r="X47" s="355">
        <v>-100</v>
      </c>
      <c r="Y47" s="356">
        <v>7.024334017771717336248329100</v>
      </c>
      <c r="Z47" s="354">
        <v>-5.6364048730177000799903139600</v>
      </c>
      <c r="AA47" s="355">
        <v>-4.6109280480171214037914690300</v>
      </c>
      <c r="AB47" s="356">
        <v>-0.9644336753591266547408341100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173.19762308998302207130730051</v>
      </c>
      <c r="E48" s="172">
        <v>174.00992300644102359848022628</v>
      </c>
      <c r="F48" s="371">
        <v>176.30412326779219077224871331</v>
      </c>
      <c r="G48" s="370">
        <v>199</v>
      </c>
      <c r="H48" s="172">
        <v>229.69401935533234741866137327</v>
      </c>
      <c r="I48" s="371">
        <v>191.75901788227819669890619814</v>
      </c>
      <c r="J48" s="370">
        <v>0</v>
      </c>
      <c r="K48" s="172">
        <v>0</v>
      </c>
      <c r="L48" s="371">
        <v>146.79467546958557653155314379</v>
      </c>
      <c r="M48" s="370">
        <v>173.57745065239210438273670124</v>
      </c>
      <c r="N48" s="172">
        <v>179.4728406887701123697479163</v>
      </c>
      <c r="O48" s="371">
        <v>175.10454021587357875839446796</v>
      </c>
      <c r="P48" s="4"/>
      <c r="Q48" s="327">
        <v>-0.0798224362581443703590304500</v>
      </c>
      <c r="R48" s="171">
        <v>-0.4462774179251110931667970400</v>
      </c>
      <c r="S48" s="328">
        <v>-2.590930076816929628508981400</v>
      </c>
      <c r="T48" s="327">
        <v>-19.254716321151021493746266610</v>
      </c>
      <c r="U48" s="171">
        <v>14.877816969200682900939047490</v>
      </c>
      <c r="V48" s="328">
        <v>1.5650517564809885104569596300</v>
      </c>
      <c r="W48" s="327">
        <v>0</v>
      </c>
      <c r="X48" s="171">
        <v>-100</v>
      </c>
      <c r="Y48" s="328">
        <v>4.8045413897433206162241269400</v>
      </c>
      <c r="Z48" s="327">
        <v>-2.5214401137039210259220944200</v>
      </c>
      <c r="AA48" s="171">
        <v>1.8816574405935814715383295600</v>
      </c>
      <c r="AB48" s="328">
        <v>-1.3896172758143643845195173600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171.12237932715748415407118479</v>
      </c>
      <c r="E49" s="385">
        <v>171.21985658488496753941604422</v>
      </c>
      <c r="F49" s="386">
        <v>175.94982691439415120412870525</v>
      </c>
      <c r="G49" s="384">
        <v>187</v>
      </c>
      <c r="H49" s="385">
        <v>197.68279438012896772286347454</v>
      </c>
      <c r="I49" s="386">
        <v>188.65698694814894582743305334</v>
      </c>
      <c r="J49" s="384">
        <v>0</v>
      </c>
      <c r="K49" s="385">
        <v>0</v>
      </c>
      <c r="L49" s="386">
        <v>146.87076531564722713851785406</v>
      </c>
      <c r="M49" s="384">
        <v>171.27571221632061805890873974</v>
      </c>
      <c r="N49" s="385">
        <v>172.37210802739592461245567039</v>
      </c>
      <c r="O49" s="386">
        <v>174.3095012547572750993003274</v>
      </c>
      <c r="P49" s="4"/>
      <c r="Q49" s="364">
        <v>-2.2515338759964701407020483300</v>
      </c>
      <c r="R49" s="365">
        <v>-2.3592410366537155102675682700</v>
      </c>
      <c r="S49" s="366">
        <v>-2.2475615454684722951775692900</v>
      </c>
      <c r="T49" s="364">
        <v>-28.326807478066585604301996530</v>
      </c>
      <c r="U49" s="365">
        <v>1.4651210630237355036239092400</v>
      </c>
      <c r="V49" s="366">
        <v>0.7886590689860457573468078200</v>
      </c>
      <c r="W49" s="364">
        <v>0</v>
      </c>
      <c r="X49" s="365">
        <v>-100</v>
      </c>
      <c r="Y49" s="366">
        <v>5.6726963275242816231866255100</v>
      </c>
      <c r="Z49" s="364">
        <v>-5.6549456033264495088361803400</v>
      </c>
      <c r="AA49" s="365">
        <v>-2.2330374041893570742059303700</v>
      </c>
      <c r="AB49" s="366">
        <v>-1.2855405581670383952362401300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5"/>
</worksheet>
</file>

<file path=xl/worksheets/sheet8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154</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177</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178</v>
      </c>
      <c r="R4" s="715" t="s">
        <v>183</v>
      </c>
      <c r="S4" s="715"/>
      <c r="T4" s="715"/>
      <c r="U4" s="715"/>
      <c r="V4" s="715"/>
      <c r="W4" s="715"/>
      <c r="X4" s="715"/>
      <c r="Y4" s="715"/>
      <c r="Z4" s="715"/>
      <c r="AA4" s="715"/>
      <c r="AB4" s="715"/>
      <c r="AC4" s="715"/>
      <c r="AD4" s="715"/>
      <c r="AE4" s="715"/>
      <c r="AF4" s="715"/>
      <c r="AG4" s="715"/>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716" t="s">
        <v>72</v>
      </c>
      <c r="Y22" s="716"/>
      <c r="Z22" s="716"/>
      <c r="AA22" s="716"/>
      <c r="AB22" s="716"/>
      <c r="AC22" s="716"/>
      <c r="AD22" s="716"/>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275" t="s">
        <v>182</v>
      </c>
      <c r="D24" s="276"/>
      <c r="E24" s="276"/>
      <c r="F24" s="276"/>
      <c r="G24" s="276"/>
      <c r="H24" s="276"/>
      <c r="I24" s="276"/>
      <c r="J24" s="276"/>
      <c r="K24" s="276"/>
      <c r="L24" s="658" t="s">
        <v>179</v>
      </c>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row>
    <row r="25" s="42" customFormat="1">
      <c r="C25" s="279">
        <v>22</v>
      </c>
      <c r="D25" s="280">
        <v>23</v>
      </c>
      <c r="E25" s="280">
        <v>24</v>
      </c>
      <c r="F25" s="280">
        <v>25</v>
      </c>
      <c r="G25" s="280">
        <v>26</v>
      </c>
      <c r="H25" s="280">
        <v>27</v>
      </c>
      <c r="I25" s="280">
        <v>28</v>
      </c>
      <c r="J25" s="280">
        <v>29</v>
      </c>
      <c r="K25" s="280">
        <v>30</v>
      </c>
      <c r="L25" s="676">
        <v>1</v>
      </c>
      <c r="M25" s="280">
        <v>2</v>
      </c>
      <c r="N25" s="280">
        <v>3</v>
      </c>
      <c r="O25" s="280">
        <v>4</v>
      </c>
      <c r="P25" s="280">
        <v>5</v>
      </c>
      <c r="Q25" s="280">
        <v>6</v>
      </c>
      <c r="R25" s="280">
        <v>7</v>
      </c>
      <c r="S25" s="280">
        <v>8</v>
      </c>
      <c r="T25" s="280">
        <v>9</v>
      </c>
      <c r="U25" s="280">
        <v>10</v>
      </c>
      <c r="V25" s="280">
        <v>11</v>
      </c>
      <c r="W25" s="280">
        <v>12</v>
      </c>
      <c r="X25" s="315">
        <v>13</v>
      </c>
      <c r="Y25" s="280">
        <v>14</v>
      </c>
      <c r="Z25" s="280">
        <v>15</v>
      </c>
      <c r="AA25" s="280">
        <v>16</v>
      </c>
      <c r="AB25" s="280">
        <v>17</v>
      </c>
      <c r="AC25" s="280">
        <v>18</v>
      </c>
      <c r="AD25" s="373">
        <v>19</v>
      </c>
      <c r="AE25" s="25"/>
      <c r="AF25" s="319" t="s">
        <v>60</v>
      </c>
      <c r="AG25" s="320">
        <v>28</v>
      </c>
      <c r="AH25" s="321"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row>
    <row r="26" ht="14.25" customHeight="1">
      <c r="B26" s="46" t="s">
        <v>32</v>
      </c>
      <c r="C26" s="461">
        <v>144.40909090909090909090909091</v>
      </c>
      <c r="D26" s="462">
        <v>127.46212121212121212121212121</v>
      </c>
      <c r="E26" s="462">
        <v>124.68181818181818181818181818</v>
      </c>
      <c r="F26" s="462">
        <v>132.89393939393939393939393939</v>
      </c>
      <c r="G26" s="462">
        <v>140.26515151515151515151515152</v>
      </c>
      <c r="H26" s="462">
        <v>170.71969696969696969696969697</v>
      </c>
      <c r="I26" s="462">
        <v>182.23484848484848484848484848</v>
      </c>
      <c r="J26" s="462">
        <v>113.96969696969696969696969697</v>
      </c>
      <c r="K26" s="462">
        <v>106.62878787878787878787878788</v>
      </c>
      <c r="L26" s="673">
        <v>104.88636363636363636363636364</v>
      </c>
      <c r="M26" s="462">
        <v>107.34848484848484848484848485</v>
      </c>
      <c r="N26" s="462">
        <v>135.66666666666666666666666667</v>
      </c>
      <c r="O26" s="462">
        <v>218.25757575757575757575757576</v>
      </c>
      <c r="P26" s="462">
        <v>200.0530303030303030303030303</v>
      </c>
      <c r="Q26" s="462">
        <v>116.04545454545454545454545455</v>
      </c>
      <c r="R26" s="462">
        <v>90.57575757575757575757575758</v>
      </c>
      <c r="S26" s="462">
        <v>94.46212121212121212121212121</v>
      </c>
      <c r="T26" s="462">
        <v>111.81818181818181818181818182</v>
      </c>
      <c r="U26" s="462">
        <v>132.34090909090909090909090909</v>
      </c>
      <c r="V26" s="462">
        <v>191.70454545454545454545454545</v>
      </c>
      <c r="W26" s="462">
        <v>219.68939393939393939393939394</v>
      </c>
      <c r="X26" s="463">
        <v>120.68939393939393939393939394</v>
      </c>
      <c r="Y26" s="462">
        <v>108.10606060606060606060606061</v>
      </c>
      <c r="Z26" s="462">
        <v>96.17424242424242424242424242</v>
      </c>
      <c r="AA26" s="462">
        <v>102.08333333333333333333333333</v>
      </c>
      <c r="AB26" s="462">
        <v>129.97727272727272727272727273</v>
      </c>
      <c r="AC26" s="462">
        <v>202.25757575757575757575757576</v>
      </c>
      <c r="AD26" s="464">
        <v>205.07575757575757575757575758</v>
      </c>
      <c r="AE26" s="465"/>
      <c r="AF26" s="461">
        <v>137.76623376623376623376623377</v>
      </c>
      <c r="AG26" s="462">
        <v>140.37418831168831168831168831</v>
      </c>
      <c r="AH26" s="466">
        <v>141.43221690590111642743221691</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213.04240077444336882865440465</v>
      </c>
      <c r="D27" s="85">
        <v>194.39661181026137463697967086</v>
      </c>
      <c r="E27" s="85">
        <v>189.93998063891577928363988383</v>
      </c>
      <c r="F27" s="85">
        <v>140.73330106485963213939980639</v>
      </c>
      <c r="G27" s="85">
        <v>113.81074540174249757986447241</v>
      </c>
      <c r="H27" s="85">
        <v>174.6157792836398838334946757</v>
      </c>
      <c r="I27" s="85">
        <v>188.88683446272991287512100678</v>
      </c>
      <c r="J27" s="85">
        <v>108.01788964181994191674733785</v>
      </c>
      <c r="K27" s="85">
        <v>88.02434656340755082284607938</v>
      </c>
      <c r="L27" s="674">
        <v>79.91481122942884801548886738</v>
      </c>
      <c r="M27" s="85">
        <v>81.42691190706679574056147144</v>
      </c>
      <c r="N27" s="85">
        <v>131.92061955469506292352371733</v>
      </c>
      <c r="O27" s="85">
        <v>206.97676669893514036786060019</v>
      </c>
      <c r="P27" s="85">
        <v>182.77541142303969022265246854</v>
      </c>
      <c r="Q27" s="85">
        <v>95.67570183930300096805421104</v>
      </c>
      <c r="R27" s="85">
        <v>72.084350721420643729189789123</v>
      </c>
      <c r="S27" s="85">
        <v>71.249722530521642619311875694</v>
      </c>
      <c r="T27" s="85">
        <v>79.51609322974472807991120977</v>
      </c>
      <c r="U27" s="85">
        <v>125.84794672586015538290788013</v>
      </c>
      <c r="V27" s="85">
        <v>192.72697003329633740288568257</v>
      </c>
      <c r="W27" s="85">
        <v>185.81021087680355160932297447</v>
      </c>
      <c r="X27" s="86">
        <v>98.76803551609322974472807991</v>
      </c>
      <c r="Y27" s="85">
        <v>79.40621531631520532741398446</v>
      </c>
      <c r="Z27" s="85">
        <v>83.92785793562708102108768036</v>
      </c>
      <c r="AA27" s="85">
        <v>90.15982241953385127635960044</v>
      </c>
      <c r="AB27" s="85">
        <v>119.87236403995560488346281909</v>
      </c>
      <c r="AC27" s="85">
        <v>182.67036625971143174250832408</v>
      </c>
      <c r="AD27" s="87">
        <v>209.75471698113207547169811321</v>
      </c>
      <c r="AE27" s="169"/>
      <c r="AF27" s="370">
        <v>123.50848263833835420960837165</v>
      </c>
      <c r="AG27" s="85">
        <v>135.06974231715371494448845311</v>
      </c>
      <c r="AH27" s="371">
        <v>124.76236290728863560678575522</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181</v>
      </c>
      <c r="C28" s="467">
        <v>137.52368079584775086505190311</v>
      </c>
      <c r="D28" s="468">
        <v>129.87629757785467128027681661</v>
      </c>
      <c r="E28" s="468">
        <v>128.12900086505190311418685121</v>
      </c>
      <c r="F28" s="468">
        <v>122.37640570934256055363321799</v>
      </c>
      <c r="G28" s="468">
        <v>127.52746539792387543252595156</v>
      </c>
      <c r="H28" s="468">
        <v>154.36407871972318339100346021</v>
      </c>
      <c r="I28" s="468">
        <v>161.26643598615916955017301038</v>
      </c>
      <c r="J28" s="468">
        <v>103.10521193771626297577854671</v>
      </c>
      <c r="K28" s="468">
        <v>84.77314013840830449826989619</v>
      </c>
      <c r="L28" s="675">
        <v>84.42540587977182974989030276</v>
      </c>
      <c r="M28" s="468">
        <v>80.73255813953488372093023256</v>
      </c>
      <c r="N28" s="468">
        <v>104.96369021500658183413777973</v>
      </c>
      <c r="O28" s="468">
        <v>155.4665423431329530495831505</v>
      </c>
      <c r="P28" s="468">
        <v>148.88832821412900394910048267</v>
      </c>
      <c r="Q28" s="468">
        <v>92.88339183852566915313734094</v>
      </c>
      <c r="R28" s="468">
        <v>85.16992101799034664326458973</v>
      </c>
      <c r="S28" s="468">
        <v>94.06055287406757349714787187</v>
      </c>
      <c r="T28" s="468">
        <v>101.52204914436156208863536639</v>
      </c>
      <c r="U28" s="468">
        <v>119.46577446248354541465555068</v>
      </c>
      <c r="V28" s="468">
        <v>173.23771390960947784115840281</v>
      </c>
      <c r="W28" s="468">
        <v>177.64831066257130320315928039</v>
      </c>
      <c r="X28" s="469">
        <v>99.49967090829311101360245722</v>
      </c>
      <c r="Y28" s="468">
        <v>97.90236946028960070206230803</v>
      </c>
      <c r="Z28" s="468">
        <v>104.34159719175076788064940763</v>
      </c>
      <c r="AA28" s="468">
        <v>116.35750329091706888986397543</v>
      </c>
      <c r="AB28" s="468">
        <v>134.24670908293111013602457218</v>
      </c>
      <c r="AC28" s="468">
        <v>156.7082053532250987275120667</v>
      </c>
      <c r="AD28" s="470">
        <v>173.5716322948661693725318122</v>
      </c>
      <c r="AE28" s="465"/>
      <c r="AF28" s="467">
        <v>126.08966965461041810317808563</v>
      </c>
      <c r="AG28" s="468">
        <v>123.23607839772886802165062628</v>
      </c>
      <c r="AH28" s="471">
        <v>121.11010138333987667721299739</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275" t="s">
        <v>182</v>
      </c>
      <c r="D33" s="276"/>
      <c r="E33" s="276"/>
      <c r="F33" s="276"/>
      <c r="G33" s="276"/>
      <c r="H33" s="276"/>
      <c r="I33" s="276"/>
      <c r="J33" s="276"/>
      <c r="K33" s="276"/>
      <c r="L33" s="658" t="s">
        <v>179</v>
      </c>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row>
    <row r="34" s="42" customFormat="1">
      <c r="C34" s="279">
        <v>22</v>
      </c>
      <c r="D34" s="280">
        <v>23</v>
      </c>
      <c r="E34" s="280">
        <v>24</v>
      </c>
      <c r="F34" s="280">
        <v>25</v>
      </c>
      <c r="G34" s="280">
        <v>26</v>
      </c>
      <c r="H34" s="280">
        <v>27</v>
      </c>
      <c r="I34" s="280">
        <v>28</v>
      </c>
      <c r="J34" s="280">
        <v>29</v>
      </c>
      <c r="K34" s="280">
        <v>30</v>
      </c>
      <c r="L34" s="676">
        <v>1</v>
      </c>
      <c r="M34" s="280">
        <v>2</v>
      </c>
      <c r="N34" s="280">
        <v>3</v>
      </c>
      <c r="O34" s="280">
        <v>4</v>
      </c>
      <c r="P34" s="280">
        <v>5</v>
      </c>
      <c r="Q34" s="280">
        <v>6</v>
      </c>
      <c r="R34" s="280">
        <v>7</v>
      </c>
      <c r="S34" s="280">
        <v>8</v>
      </c>
      <c r="T34" s="280">
        <v>9</v>
      </c>
      <c r="U34" s="280">
        <v>10</v>
      </c>
      <c r="V34" s="280">
        <v>11</v>
      </c>
      <c r="W34" s="280">
        <v>12</v>
      </c>
      <c r="X34" s="315">
        <v>13</v>
      </c>
      <c r="Y34" s="280">
        <v>14</v>
      </c>
      <c r="Z34" s="280">
        <v>15</v>
      </c>
      <c r="AA34" s="280">
        <v>16</v>
      </c>
      <c r="AB34" s="280">
        <v>17</v>
      </c>
      <c r="AC34" s="280">
        <v>18</v>
      </c>
      <c r="AD34" s="373">
        <v>19</v>
      </c>
      <c r="AE34" s="25"/>
      <c r="AF34" s="319" t="s">
        <v>60</v>
      </c>
      <c r="AG34" s="320">
        <v>28</v>
      </c>
      <c r="AH34" s="321"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row>
    <row r="35" ht="14.25" customHeight="1">
      <c r="B35" s="46" t="s">
        <v>32</v>
      </c>
      <c r="C35" s="444">
        <v>21.174750492700945814173232810</v>
      </c>
      <c r="D35" s="445">
        <v>18.236120871431689703688385570</v>
      </c>
      <c r="E35" s="445">
        <v>35.401069518765591501923699600</v>
      </c>
      <c r="F35" s="445">
        <v>110.66410471969820128026500205</v>
      </c>
      <c r="G35" s="445">
        <v>41.120426829324224559414061440</v>
      </c>
      <c r="H35" s="445">
        <v>5.3973153734446737600980122200</v>
      </c>
      <c r="I35" s="445">
        <v>8.005567528718174387432498860</v>
      </c>
      <c r="J35" s="445">
        <v>24.320304107156118808610864740</v>
      </c>
      <c r="K35" s="445">
        <v>55.490499337066864030458730180</v>
      </c>
      <c r="L35" s="660">
        <v>18.922865486988860035908954180</v>
      </c>
      <c r="M35" s="445">
        <v>7.4217269350510053934231007800</v>
      </c>
      <c r="N35" s="445">
        <v>-14.122668201232875768209637060</v>
      </c>
      <c r="O35" s="445">
        <v>12.693135145731706691054805300</v>
      </c>
      <c r="P35" s="445">
        <v>-8.683173110191277897177637760</v>
      </c>
      <c r="Q35" s="445">
        <v>9.751379236275876537014556540</v>
      </c>
      <c r="R35" s="445">
        <v>-14.158529580740191370669389910</v>
      </c>
      <c r="S35" s="445">
        <v>11.940030523338063367760838250</v>
      </c>
      <c r="T35" s="445">
        <v>35.189595163984111638254181680</v>
      </c>
      <c r="U35" s="445">
        <v>-25.941156520277100024330968780</v>
      </c>
      <c r="V35" s="445">
        <v>-12.936521589543081052218419600</v>
      </c>
      <c r="W35" s="445">
        <v>-5.4113118925012291670018917100</v>
      </c>
      <c r="X35" s="446">
        <v>-14.948481127533495113034812180</v>
      </c>
      <c r="Y35" s="445">
        <v>33.514221556881230755181254450</v>
      </c>
      <c r="Z35" s="445">
        <v>13.378583549108250418158881280</v>
      </c>
      <c r="AA35" s="445">
        <v>-5.3522511765464752612124716100</v>
      </c>
      <c r="AB35" s="445">
        <v>35.467824713735343758479673010</v>
      </c>
      <c r="AC35" s="445">
        <v>9.382169780394491207647637110</v>
      </c>
      <c r="AD35" s="447">
        <v>7.8228311957129255427076056900</v>
      </c>
      <c r="AE35" s="448"/>
      <c r="AF35" s="444">
        <v>8.770250871563932616779791100</v>
      </c>
      <c r="AG35" s="445">
        <v>8.353817590197181343370087890</v>
      </c>
      <c r="AH35" s="449">
        <v>6.0741626794523558612440257700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105.05737144710455655607496868</v>
      </c>
      <c r="D36" s="81">
        <v>121.86586051256482421536450674</v>
      </c>
      <c r="E36" s="81">
        <v>124.30110818747834095806806436</v>
      </c>
      <c r="F36" s="81">
        <v>56.909128430192728229939946670</v>
      </c>
      <c r="G36" s="81">
        <v>-12.415575398449904823625602430</v>
      </c>
      <c r="H36" s="81">
        <v>-0.3899291048302987035596251200</v>
      </c>
      <c r="I36" s="81">
        <v>7.2031325802758119470180671200</v>
      </c>
      <c r="J36" s="81">
        <v>9.916963214834785520940473280</v>
      </c>
      <c r="K36" s="81">
        <v>8.928050750610770000004771520</v>
      </c>
      <c r="L36" s="661">
        <v>-10.325903942964492808670258810</v>
      </c>
      <c r="M36" s="81">
        <v>-28.938588490636653964544603090</v>
      </c>
      <c r="N36" s="81">
        <v>-27.232704177499627591577865230</v>
      </c>
      <c r="O36" s="81">
        <v>8.616562406459314930432250490</v>
      </c>
      <c r="P36" s="81">
        <v>0.9181338940591635798778029700</v>
      </c>
      <c r="Q36" s="81">
        <v>-11.079621494848166598699320020</v>
      </c>
      <c r="R36" s="81">
        <v>-18.508072904041075107547847810</v>
      </c>
      <c r="S36" s="81">
        <v>-18.131624189467610145698127090</v>
      </c>
      <c r="T36" s="81">
        <v>-11.652586415162743856193166390</v>
      </c>
      <c r="U36" s="81">
        <v>4.8757932327617859986603408900</v>
      </c>
      <c r="V36" s="81">
        <v>2.8845583130769263402102171100</v>
      </c>
      <c r="W36" s="81">
        <v>-15.053817363329564675444017740</v>
      </c>
      <c r="X36" s="82">
        <v>-26.404014400056838411449209470</v>
      </c>
      <c r="Y36" s="81">
        <v>-16.809469180636963031921931750</v>
      </c>
      <c r="Z36" s="81">
        <v>-7.3428619624836486599844305900</v>
      </c>
      <c r="AA36" s="81">
        <v>-3.5129530793161394411295311200</v>
      </c>
      <c r="AB36" s="81">
        <v>8.217137394415245809386696170</v>
      </c>
      <c r="AC36" s="81">
        <v>1.5092553277862812401041238400</v>
      </c>
      <c r="AD36" s="83">
        <v>18.873844587774739245113772290</v>
      </c>
      <c r="AE36" s="88"/>
      <c r="AF36" s="327">
        <v>-1.8495932076896033722791112300</v>
      </c>
      <c r="AG36" s="81">
        <v>6.1431809261507963796267647400</v>
      </c>
      <c r="AH36" s="328">
        <v>-2.8895715788663592789928270600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181</v>
      </c>
      <c r="C37" s="450">
        <v>22.763390311365915818823707060</v>
      </c>
      <c r="D37" s="451">
        <v>28.539476055773268970622291600</v>
      </c>
      <c r="E37" s="451">
        <v>13.327507113536340841974591030</v>
      </c>
      <c r="F37" s="451">
        <v>4.8416819427769576928585518600</v>
      </c>
      <c r="G37" s="451">
        <v>1.5022565076048940749092204400</v>
      </c>
      <c r="H37" s="451">
        <v>-0.0898722347327620851313456100</v>
      </c>
      <c r="I37" s="451">
        <v>-0.729298199632826768527168900</v>
      </c>
      <c r="J37" s="451">
        <v>0.5797198782291756749048764300</v>
      </c>
      <c r="K37" s="451">
        <v>8.999122229705888954191602420</v>
      </c>
      <c r="L37" s="662">
        <v>0.5918376896432719657656171500</v>
      </c>
      <c r="M37" s="451">
        <v>-15.507978579349378318026329720</v>
      </c>
      <c r="N37" s="451">
        <v>-24.921482521033775483962861610</v>
      </c>
      <c r="O37" s="451">
        <v>-6.5461419317161215269949186900</v>
      </c>
      <c r="P37" s="451">
        <v>-6.8682110646920144703404722500</v>
      </c>
      <c r="Q37" s="451">
        <v>-9.882594513141054328683237660</v>
      </c>
      <c r="R37" s="451">
        <v>-17.050738963022468041308912280</v>
      </c>
      <c r="S37" s="451">
        <v>-3.9550097093672164156814998100</v>
      </c>
      <c r="T37" s="451">
        <v>-5.6712969732930679851483939300</v>
      </c>
      <c r="U37" s="451">
        <v>-14.085629105232895599968984480</v>
      </c>
      <c r="V37" s="451">
        <v>-9.824566180514295666874295150</v>
      </c>
      <c r="W37" s="451">
        <v>-7.0570514185113075427174332300</v>
      </c>
      <c r="X37" s="452">
        <v>-25.570102925078121257833303560</v>
      </c>
      <c r="Y37" s="451">
        <v>-11.737766833451560562997149220</v>
      </c>
      <c r="Z37" s="451">
        <v>0.6774185232664577548544586700</v>
      </c>
      <c r="AA37" s="451">
        <v>1.8756626722075254439233141500</v>
      </c>
      <c r="AB37" s="451">
        <v>6.8360083600828122873683888500</v>
      </c>
      <c r="AC37" s="451">
        <v>-1.5960220234554856375090746300</v>
      </c>
      <c r="AD37" s="453">
        <v>4.8589985493388578642127784500</v>
      </c>
      <c r="AE37" s="448"/>
      <c r="AF37" s="450">
        <v>-3.3154832801692860701317642800</v>
      </c>
      <c r="AG37" s="451">
        <v>-3.0210283439980043478242743700</v>
      </c>
      <c r="AH37" s="454">
        <v>-4.2909139812332366538392492400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275" t="s">
        <v>182</v>
      </c>
      <c r="D40" s="276"/>
      <c r="E40" s="276"/>
      <c r="F40" s="276"/>
      <c r="G40" s="276"/>
      <c r="H40" s="276"/>
      <c r="I40" s="276"/>
      <c r="J40" s="276"/>
      <c r="K40" s="276"/>
      <c r="L40" s="658" t="s">
        <v>179</v>
      </c>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row>
    <row r="41" s="42" customFormat="1">
      <c r="C41" s="279">
        <v>22</v>
      </c>
      <c r="D41" s="280">
        <v>23</v>
      </c>
      <c r="E41" s="280">
        <v>24</v>
      </c>
      <c r="F41" s="280">
        <v>25</v>
      </c>
      <c r="G41" s="280">
        <v>26</v>
      </c>
      <c r="H41" s="280">
        <v>27</v>
      </c>
      <c r="I41" s="280">
        <v>28</v>
      </c>
      <c r="J41" s="280">
        <v>29</v>
      </c>
      <c r="K41" s="280">
        <v>30</v>
      </c>
      <c r="L41" s="676">
        <v>1</v>
      </c>
      <c r="M41" s="280">
        <v>2</v>
      </c>
      <c r="N41" s="280">
        <v>3</v>
      </c>
      <c r="O41" s="280">
        <v>4</v>
      </c>
      <c r="P41" s="280">
        <v>5</v>
      </c>
      <c r="Q41" s="280">
        <v>6</v>
      </c>
      <c r="R41" s="280">
        <v>7</v>
      </c>
      <c r="S41" s="280">
        <v>8</v>
      </c>
      <c r="T41" s="280">
        <v>9</v>
      </c>
      <c r="U41" s="280">
        <v>10</v>
      </c>
      <c r="V41" s="280">
        <v>11</v>
      </c>
      <c r="W41" s="280">
        <v>12</v>
      </c>
      <c r="X41" s="315">
        <v>13</v>
      </c>
      <c r="Y41" s="280">
        <v>14</v>
      </c>
      <c r="Z41" s="280">
        <v>15</v>
      </c>
      <c r="AA41" s="280">
        <v>16</v>
      </c>
      <c r="AB41" s="280">
        <v>17</v>
      </c>
      <c r="AC41" s="280">
        <v>18</v>
      </c>
      <c r="AD41" s="373">
        <v>19</v>
      </c>
      <c r="AE41" s="25"/>
      <c r="AF41" s="319" t="s">
        <v>60</v>
      </c>
      <c r="AG41" s="320">
        <v>28</v>
      </c>
      <c r="AH41" s="321"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row>
    <row r="42" ht="14.25" customHeight="1">
      <c r="A42" s="1"/>
      <c r="B42" s="46" t="s">
        <v>26</v>
      </c>
      <c r="C42" s="444">
        <v>67.784201822815575760987142570</v>
      </c>
      <c r="D42" s="445">
        <v>65.568077563257046505888044200</v>
      </c>
      <c r="E42" s="445">
        <v>65.642745546475618519991995080</v>
      </c>
      <c r="F42" s="445">
        <v>94.42963277941911009786584693</v>
      </c>
      <c r="G42" s="445">
        <v>123.24420775918788035598698184</v>
      </c>
      <c r="H42" s="445">
        <v>97.76876847562827772860544369</v>
      </c>
      <c r="I42" s="445">
        <v>96.47832206158068627988704235</v>
      </c>
      <c r="J42" s="445">
        <v>105.51002000468057777626977028</v>
      </c>
      <c r="K42" s="445">
        <v>121.13556310467801289443589076</v>
      </c>
      <c r="L42" s="660">
        <v>131.24771493895090147142185654</v>
      </c>
      <c r="M42" s="445">
        <v>131.83415941274892332806656677</v>
      </c>
      <c r="N42" s="445">
        <v>102.83962213383434979962270214</v>
      </c>
      <c r="O42" s="445">
        <v>105.45027794114039111284953707</v>
      </c>
      <c r="P42" s="445">
        <v>109.45292298647570202838214968</v>
      </c>
      <c r="Q42" s="445">
        <v>121.29041367302247777297999479</v>
      </c>
      <c r="R42" s="445">
        <v>125.65245669732855070906180435</v>
      </c>
      <c r="S42" s="445">
        <v>132.57893203960848808798031788</v>
      </c>
      <c r="T42" s="445">
        <v>140.62333456847536344376260035</v>
      </c>
      <c r="U42" s="445">
        <v>105.15937091858234810689849811</v>
      </c>
      <c r="V42" s="445">
        <v>99.46949584763466806342267560</v>
      </c>
      <c r="W42" s="445">
        <v>118.23321920938847944148021048</v>
      </c>
      <c r="X42" s="446">
        <v>122.19479035777782392597771603</v>
      </c>
      <c r="Y42" s="445">
        <v>136.14307164173493278554892487</v>
      </c>
      <c r="Z42" s="445">
        <v>114.59156088320446525777879145</v>
      </c>
      <c r="AA42" s="445">
        <v>113.22486069055797685186492542</v>
      </c>
      <c r="AB42" s="445">
        <v>108.42972337135258125399632582</v>
      </c>
      <c r="AC42" s="445">
        <v>110.72270773795290122771960246</v>
      </c>
      <c r="AD42" s="447">
        <v>97.76931862478018884202695345</v>
      </c>
      <c r="AE42" s="448"/>
      <c r="AF42" s="444">
        <v>111.54394485574583146406138449</v>
      </c>
      <c r="AG42" s="445">
        <v>103.92719043028250075687239849</v>
      </c>
      <c r="AH42" s="449">
        <v>113.36128429291374271819719895</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181</v>
      </c>
      <c r="C43" s="329">
        <v>105.00670871623528480848439658</v>
      </c>
      <c r="D43" s="330">
        <v>98.14117247657852177527423951</v>
      </c>
      <c r="E43" s="330">
        <v>97.30959996565401471587925987</v>
      </c>
      <c r="F43" s="330">
        <v>108.59441297011398785768827211</v>
      </c>
      <c r="G43" s="330">
        <v>109.98819044784470965492888281</v>
      </c>
      <c r="H43" s="330">
        <v>110.59548204844736311921872432</v>
      </c>
      <c r="I43" s="330">
        <v>113.00234135542178656167056053</v>
      </c>
      <c r="J43" s="330">
        <v>110.53728015084406715631946017</v>
      </c>
      <c r="K43" s="330">
        <v>125.78133557953204322242450859</v>
      </c>
      <c r="L43" s="663">
        <v>124.23554561963819540108752869</v>
      </c>
      <c r="M43" s="330">
        <v>132.96802098478591401881770524</v>
      </c>
      <c r="N43" s="330">
        <v>129.25104518407929401195421440</v>
      </c>
      <c r="O43" s="330">
        <v>140.38877591803763629152467136</v>
      </c>
      <c r="P43" s="330">
        <v>134.36448155650988841638100684</v>
      </c>
      <c r="Q43" s="330">
        <v>124.93671069552168511224587492</v>
      </c>
      <c r="R43" s="330">
        <v>106.34711937400422652764348203</v>
      </c>
      <c r="S43" s="330">
        <v>100.42692534303802267470933512</v>
      </c>
      <c r="T43" s="330">
        <v>110.14176995101537240698519005</v>
      </c>
      <c r="U43" s="330">
        <v>110.77725791034030639919261896</v>
      </c>
      <c r="V43" s="330">
        <v>110.65982177217019466528887666</v>
      </c>
      <c r="W43" s="330">
        <v>123.66534368944313183035020284</v>
      </c>
      <c r="X43" s="331">
        <v>121.29627448780471153442940974</v>
      </c>
      <c r="Y43" s="330">
        <v>110.42231276118221451912397256</v>
      </c>
      <c r="Z43" s="330">
        <v>92.17248442867478739876484753</v>
      </c>
      <c r="AA43" s="330">
        <v>87.73248862011031977665627037</v>
      </c>
      <c r="AB43" s="330">
        <v>96.81970874012947961887090590</v>
      </c>
      <c r="AC43" s="330">
        <v>129.06635954493472480464448415</v>
      </c>
      <c r="AD43" s="338">
        <v>118.15050354964211017482463648</v>
      </c>
      <c r="AE43" s="88"/>
      <c r="AF43" s="329">
        <v>109.26052399345609843150798773</v>
      </c>
      <c r="AG43" s="330">
        <v>113.90673099697415111940310962</v>
      </c>
      <c r="AH43" s="332">
        <v>116.77986831031036890474773272</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275" t="s">
        <v>182</v>
      </c>
      <c r="D46" s="276"/>
      <c r="E46" s="276"/>
      <c r="F46" s="276"/>
      <c r="G46" s="276"/>
      <c r="H46" s="276"/>
      <c r="I46" s="276"/>
      <c r="J46" s="276"/>
      <c r="K46" s="276"/>
      <c r="L46" s="658" t="s">
        <v>179</v>
      </c>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row>
    <row r="47" s="42" customFormat="1">
      <c r="C47" s="279">
        <v>22</v>
      </c>
      <c r="D47" s="280">
        <v>23</v>
      </c>
      <c r="E47" s="280">
        <v>24</v>
      </c>
      <c r="F47" s="280">
        <v>25</v>
      </c>
      <c r="G47" s="280">
        <v>26</v>
      </c>
      <c r="H47" s="280">
        <v>27</v>
      </c>
      <c r="I47" s="280">
        <v>28</v>
      </c>
      <c r="J47" s="280">
        <v>29</v>
      </c>
      <c r="K47" s="280">
        <v>30</v>
      </c>
      <c r="L47" s="676">
        <v>1</v>
      </c>
      <c r="M47" s="280">
        <v>2</v>
      </c>
      <c r="N47" s="280">
        <v>3</v>
      </c>
      <c r="O47" s="280">
        <v>4</v>
      </c>
      <c r="P47" s="280">
        <v>5</v>
      </c>
      <c r="Q47" s="280">
        <v>6</v>
      </c>
      <c r="R47" s="280">
        <v>7</v>
      </c>
      <c r="S47" s="280">
        <v>8</v>
      </c>
      <c r="T47" s="280">
        <v>9</v>
      </c>
      <c r="U47" s="280">
        <v>10</v>
      </c>
      <c r="V47" s="280">
        <v>11</v>
      </c>
      <c r="W47" s="280">
        <v>12</v>
      </c>
      <c r="X47" s="315">
        <v>13</v>
      </c>
      <c r="Y47" s="280">
        <v>14</v>
      </c>
      <c r="Z47" s="280">
        <v>15</v>
      </c>
      <c r="AA47" s="280">
        <v>16</v>
      </c>
      <c r="AB47" s="280">
        <v>17</v>
      </c>
      <c r="AC47" s="280">
        <v>18</v>
      </c>
      <c r="AD47" s="373">
        <v>19</v>
      </c>
      <c r="AE47" s="25"/>
      <c r="AF47" s="319" t="s">
        <v>60</v>
      </c>
      <c r="AG47" s="320">
        <v>28</v>
      </c>
      <c r="AH47" s="321"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row>
    <row r="48" ht="14.25" customHeight="1">
      <c r="A48" s="1"/>
      <c r="B48" s="46" t="s">
        <v>26</v>
      </c>
      <c r="C48" s="444">
        <v>-40.906903449725452987959221250</v>
      </c>
      <c r="D48" s="445">
        <v>-46.708285538734318162413140300</v>
      </c>
      <c r="E48" s="445">
        <v>-39.634239610829491024540990100</v>
      </c>
      <c r="F48" s="445">
        <v>34.258667310890995495180851180</v>
      </c>
      <c r="G48" s="445">
        <v>61.125025906531003132293224300</v>
      </c>
      <c r="H48" s="445">
        <v>5.8098989653018746249065885500</v>
      </c>
      <c r="I48" s="445">
        <v>0.7485181907898217089714380600</v>
      </c>
      <c r="J48" s="445">
        <v>13.103838089262569242602405040</v>
      </c>
      <c r="K48" s="445">
        <v>42.74605876612505260914301600</v>
      </c>
      <c r="L48" s="660">
        <v>32.616742979465036762448403250</v>
      </c>
      <c r="M48" s="445">
        <v>51.167454534576013371043923010</v>
      </c>
      <c r="N48" s="445">
        <v>18.016384734569763828757796560</v>
      </c>
      <c r="O48" s="445">
        <v>3.7531778294000363174768836400</v>
      </c>
      <c r="P48" s="445">
        <v>-9.513956148117188114832113490</v>
      </c>
      <c r="Q48" s="445">
        <v>23.426576765959717303169600170</v>
      </c>
      <c r="R48" s="445">
        <v>5.3373916636463428719755987700</v>
      </c>
      <c r="S48" s="445">
        <v>36.731710401189253130570470720</v>
      </c>
      <c r="T48" s="445">
        <v>53.020433398607406636725825210</v>
      </c>
      <c r="U48" s="445">
        <v>-29.384235201583132034086753510</v>
      </c>
      <c r="V48" s="445">
        <v>-15.377506753258891378867394950</v>
      </c>
      <c r="W48" s="445">
        <v>11.351311114326069232038336420</v>
      </c>
      <c r="X48" s="446">
        <v>15.565432243558782623224898550</v>
      </c>
      <c r="Y48" s="445">
        <v>60.492089955293578822076247260</v>
      </c>
      <c r="Z48" s="445">
        <v>22.363571712410706751917636880</v>
      </c>
      <c r="AA48" s="445">
        <v>-1.9062642663837220986659830600</v>
      </c>
      <c r="AB48" s="445">
        <v>25.181489711685514984198072530</v>
      </c>
      <c r="AC48" s="445">
        <v>7.7558587413659086033008935300</v>
      </c>
      <c r="AD48" s="447">
        <v>-9.296421286247343630345883990</v>
      </c>
      <c r="AE48" s="448"/>
      <c r="AF48" s="444">
        <v>10.819969500219312240463215790</v>
      </c>
      <c r="AG48" s="445">
        <v>2.0826930611914887027786033700</v>
      </c>
      <c r="AH48" s="449">
        <v>9.230454858461636906361741380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181</v>
      </c>
      <c r="C49" s="329">
        <v>-1.2940664269741132217050347200</v>
      </c>
      <c r="D49" s="330">
        <v>-8.015712760459216648583363260</v>
      </c>
      <c r="E49" s="330">
        <v>19.477674015206174809106142050</v>
      </c>
      <c r="F49" s="330">
        <v>100.93544935192828458640536064</v>
      </c>
      <c r="G49" s="330">
        <v>39.031812380107976856047875380</v>
      </c>
      <c r="H49" s="330">
        <v>5.4921235023281752772687980600</v>
      </c>
      <c r="I49" s="330">
        <v>8.799036946337884724796054290</v>
      </c>
      <c r="J49" s="330">
        <v>23.603748606267499194650594340</v>
      </c>
      <c r="K49" s="330">
        <v>42.652983029922258286597328490</v>
      </c>
      <c r="L49" s="663">
        <v>18.223176172505860825203436150</v>
      </c>
      <c r="M49" s="330">
        <v>27.138308598773171688550755840</v>
      </c>
      <c r="N49" s="330">
        <v>14.383361156348255352574625010</v>
      </c>
      <c r="O49" s="330">
        <v>20.586926505918740142535585220</v>
      </c>
      <c r="P49" s="330">
        <v>-1.9488104611828025516773287700</v>
      </c>
      <c r="Q49" s="330">
        <v>21.787104991942079709429169190</v>
      </c>
      <c r="R49" s="330">
        <v>3.4867210945488457125660942600</v>
      </c>
      <c r="S49" s="330">
        <v>16.549577635023372811530327220</v>
      </c>
      <c r="T49" s="330">
        <v>43.317559582707787029862797170</v>
      </c>
      <c r="U49" s="330">
        <v>-13.799236718582352986034964790</v>
      </c>
      <c r="V49" s="330">
        <v>-3.451001317298712092877796700</v>
      </c>
      <c r="W49" s="330">
        <v>1.7706986394767746352491326500</v>
      </c>
      <c r="X49" s="331">
        <v>14.270638835996353996744577690</v>
      </c>
      <c r="Y49" s="330">
        <v>51.269933658831650713872575600</v>
      </c>
      <c r="Z49" s="330">
        <v>12.615703910729229479508063990</v>
      </c>
      <c r="AA49" s="330">
        <v>-7.0948386092334655894066084400</v>
      </c>
      <c r="AB49" s="330">
        <v>26.799781078686303544107661230</v>
      </c>
      <c r="AC49" s="330">
        <v>11.156247978572202504545526460</v>
      </c>
      <c r="AD49" s="338">
        <v>2.8264933743341483634326192600</v>
      </c>
      <c r="AE49" s="88"/>
      <c r="AF49" s="329">
        <v>12.500175376369198914635160420</v>
      </c>
      <c r="AG49" s="330">
        <v>11.729188029154014793911833760</v>
      </c>
      <c r="AH49" s="332">
        <v>10.829772900227101556318948310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275" t="s">
        <v>182</v>
      </c>
      <c r="D52" s="276"/>
      <c r="E52" s="276"/>
      <c r="F52" s="276"/>
      <c r="G52" s="276"/>
      <c r="H52" s="276"/>
      <c r="I52" s="276"/>
      <c r="J52" s="276"/>
      <c r="K52" s="276"/>
      <c r="L52" s="658" t="s">
        <v>179</v>
      </c>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279">
        <v>22</v>
      </c>
      <c r="D53" s="280">
        <v>23</v>
      </c>
      <c r="E53" s="280">
        <v>24</v>
      </c>
      <c r="F53" s="280">
        <v>25</v>
      </c>
      <c r="G53" s="280">
        <v>26</v>
      </c>
      <c r="H53" s="280">
        <v>27</v>
      </c>
      <c r="I53" s="280">
        <v>28</v>
      </c>
      <c r="J53" s="280">
        <v>29</v>
      </c>
      <c r="K53" s="280">
        <v>30</v>
      </c>
      <c r="L53" s="676">
        <v>1</v>
      </c>
      <c r="M53" s="280">
        <v>2</v>
      </c>
      <c r="N53" s="280">
        <v>3</v>
      </c>
      <c r="O53" s="280">
        <v>4</v>
      </c>
      <c r="P53" s="280">
        <v>5</v>
      </c>
      <c r="Q53" s="280">
        <v>6</v>
      </c>
      <c r="R53" s="280">
        <v>7</v>
      </c>
      <c r="S53" s="280">
        <v>8</v>
      </c>
      <c r="T53" s="280">
        <v>9</v>
      </c>
      <c r="U53" s="280">
        <v>10</v>
      </c>
      <c r="V53" s="280">
        <v>11</v>
      </c>
      <c r="W53" s="280">
        <v>12</v>
      </c>
      <c r="X53" s="315">
        <v>13</v>
      </c>
      <c r="Y53" s="280">
        <v>14</v>
      </c>
      <c r="Z53" s="280">
        <v>15</v>
      </c>
      <c r="AA53" s="280">
        <v>16</v>
      </c>
      <c r="AB53" s="280">
        <v>17</v>
      </c>
      <c r="AC53" s="280">
        <v>18</v>
      </c>
      <c r="AD53" s="373">
        <v>19</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226</v>
      </c>
      <c r="D54" s="445" t="s">
        <v>226</v>
      </c>
      <c r="E54" s="445" t="s">
        <v>226</v>
      </c>
      <c r="F54" s="445" t="s">
        <v>231</v>
      </c>
      <c r="G54" s="445" t="s">
        <v>230</v>
      </c>
      <c r="H54" s="445" t="s">
        <v>227</v>
      </c>
      <c r="I54" s="445" t="s">
        <v>231</v>
      </c>
      <c r="J54" s="445" t="s">
        <v>231</v>
      </c>
      <c r="K54" s="445" t="s">
        <v>230</v>
      </c>
      <c r="L54" s="660" t="s">
        <v>228</v>
      </c>
      <c r="M54" s="445" t="s">
        <v>230</v>
      </c>
      <c r="N54" s="445" t="s">
        <v>231</v>
      </c>
      <c r="O54" s="445" t="s">
        <v>228</v>
      </c>
      <c r="P54" s="445" t="s">
        <v>228</v>
      </c>
      <c r="Q54" s="445" t="s">
        <v>228</v>
      </c>
      <c r="R54" s="445" t="s">
        <v>235</v>
      </c>
      <c r="S54" s="445" t="s">
        <v>234</v>
      </c>
      <c r="T54" s="445" t="s">
        <v>236</v>
      </c>
      <c r="U54" s="445" t="s">
        <v>233</v>
      </c>
      <c r="V54" s="445" t="s">
        <v>235</v>
      </c>
      <c r="W54" s="445" t="s">
        <v>234</v>
      </c>
      <c r="X54" s="446" t="s">
        <v>234</v>
      </c>
      <c r="Y54" s="445" t="s">
        <v>236</v>
      </c>
      <c r="Z54" s="445" t="s">
        <v>234</v>
      </c>
      <c r="AA54" s="445" t="s">
        <v>235</v>
      </c>
      <c r="AB54" s="445" t="s">
        <v>235</v>
      </c>
      <c r="AC54" s="445" t="s">
        <v>234</v>
      </c>
      <c r="AD54" s="447" t="s">
        <v>233</v>
      </c>
      <c r="AE54" s="448"/>
      <c r="AF54" s="444" t="s">
        <v>234</v>
      </c>
      <c r="AG54" s="445" t="s">
        <v>228</v>
      </c>
      <c r="AH54" s="449" t="s">
        <v>235</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226</v>
      </c>
      <c r="D55" s="330" t="s">
        <v>226</v>
      </c>
      <c r="E55" s="330" t="s">
        <v>232</v>
      </c>
      <c r="F55" s="330" t="s">
        <v>229</v>
      </c>
      <c r="G55" s="330" t="s">
        <v>229</v>
      </c>
      <c r="H55" s="330" t="s">
        <v>240</v>
      </c>
      <c r="I55" s="330" t="s">
        <v>227</v>
      </c>
      <c r="J55" s="330" t="s">
        <v>227</v>
      </c>
      <c r="K55" s="330" t="s">
        <v>230</v>
      </c>
      <c r="L55" s="663" t="s">
        <v>230</v>
      </c>
      <c r="M55" s="330" t="s">
        <v>230</v>
      </c>
      <c r="N55" s="330" t="s">
        <v>229</v>
      </c>
      <c r="O55" s="330" t="s">
        <v>231</v>
      </c>
      <c r="P55" s="330" t="s">
        <v>232</v>
      </c>
      <c r="Q55" s="330" t="s">
        <v>230</v>
      </c>
      <c r="R55" s="330" t="s">
        <v>237</v>
      </c>
      <c r="S55" s="330" t="s">
        <v>236</v>
      </c>
      <c r="T55" s="330" t="s">
        <v>236</v>
      </c>
      <c r="U55" s="330" t="s">
        <v>239</v>
      </c>
      <c r="V55" s="330" t="s">
        <v>239</v>
      </c>
      <c r="W55" s="330" t="s">
        <v>235</v>
      </c>
      <c r="X55" s="89" t="s">
        <v>233</v>
      </c>
      <c r="Y55" s="90" t="s">
        <v>236</v>
      </c>
      <c r="Z55" s="90" t="s">
        <v>235</v>
      </c>
      <c r="AA55" s="90" t="s">
        <v>235</v>
      </c>
      <c r="AB55" s="90" t="s">
        <v>235</v>
      </c>
      <c r="AC55" s="90" t="s">
        <v>233</v>
      </c>
      <c r="AD55" s="91" t="s">
        <v>238</v>
      </c>
      <c r="AE55" s="88"/>
      <c r="AF55" s="329" t="s">
        <v>233</v>
      </c>
      <c r="AG55" s="330" t="s">
        <v>227</v>
      </c>
      <c r="AH55" s="332" t="s">
        <v>235</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50" t="s">
        <v>114</v>
      </c>
      <c r="C58" s="650"/>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c r="AC58" s="650"/>
      <c r="AD58" s="650"/>
      <c r="AE58" s="650"/>
      <c r="AF58" s="650"/>
      <c r="AG58" s="650"/>
      <c r="AH58" s="650"/>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53"/>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row>
    <row r="72" s="25" customFormat="1">
      <c r="A72" s="666"/>
      <c r="B72" s="666" t="n">
        <v>45780</v>
      </c>
      <c r="C72" s="666">
        <v>45787</v>
      </c>
      <c r="D72" s="666">
        <v>45794</v>
      </c>
      <c r="E72" s="666">
        <v>45801</v>
      </c>
      <c r="F72" s="666">
        <v>45808</v>
      </c>
      <c r="G72" s="666">
        <v>45815</v>
      </c>
      <c r="H72" s="666">
        <v>45822</v>
      </c>
      <c r="I72" s="666">
        <v>45829</v>
      </c>
      <c r="J72" s="666">
        <v>45836</v>
      </c>
      <c r="K72" s="666">
        <v>45843</v>
      </c>
      <c r="L72" s="666">
        <v>45850</v>
      </c>
      <c r="M72" s="666">
        <v>45857</v>
      </c>
      <c r="N72" s="666"/>
      <c r="O72" s="666"/>
      <c r="P72" s="666"/>
      <c r="Q72" s="666"/>
      <c r="R72" s="666"/>
      <c r="S72" s="666"/>
      <c r="T72" s="666"/>
      <c r="U72" s="666"/>
      <c r="V72" s="666"/>
      <c r="W72" s="666"/>
      <c r="X72" s="666"/>
      <c r="Y72" s="666"/>
      <c r="Z72" s="666"/>
      <c r="AA72" s="666"/>
      <c r="AB72" s="666"/>
      <c r="AC72" s="666"/>
      <c r="AD72" s="666"/>
      <c r="AE72" s="666"/>
      <c r="AF72" s="666"/>
      <c r="AG72" s="666"/>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row>
    <row r="73" s="25" customFormat="1" ht="14.25">
      <c r="A73" s="666" t="s">
        <v>32</v>
      </c>
      <c r="B73" s="666">
        <v>302.96103896103896103896103896</v>
      </c>
      <c r="C73" s="666">
        <v>181.91774891774891774891774892</v>
      </c>
      <c r="D73" s="666">
        <v>149.96103896103896103896103896</v>
      </c>
      <c r="E73" s="666">
        <v>187.78571428571428571428571429</v>
      </c>
      <c r="F73" s="666">
        <v>128.754329004329004329004329</v>
      </c>
      <c r="G73" s="666">
        <v>119.21212121212121212121212121</v>
      </c>
      <c r="H73" s="666">
        <v>145.62878787878787878787878788</v>
      </c>
      <c r="I73" s="666">
        <v>169.41774891774891774891774892</v>
      </c>
      <c r="J73" s="666">
        <v>146.0952380952380952380952381</v>
      </c>
      <c r="K73" s="666">
        <v>140.97294372294372294372294372</v>
      </c>
      <c r="L73" s="666">
        <v>136.66233766233766233766233766</v>
      </c>
      <c r="M73" s="666">
        <v>137.76623376623376623376623377</v>
      </c>
      <c r="N73" s="666"/>
      <c r="O73" s="666"/>
      <c r="P73" s="666"/>
      <c r="Q73" s="666"/>
      <c r="R73" s="666"/>
      <c r="S73" s="666"/>
      <c r="T73" s="666"/>
      <c r="U73" s="666"/>
      <c r="V73" s="666"/>
      <c r="W73" s="666"/>
      <c r="X73" s="666"/>
      <c r="Y73" s="666"/>
      <c r="Z73" s="666"/>
      <c r="AA73" s="666"/>
      <c r="AB73" s="666"/>
      <c r="AC73" s="666"/>
      <c r="AD73" s="666"/>
      <c r="AE73" s="666"/>
      <c r="AF73" s="666"/>
      <c r="AG73" s="666"/>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row>
    <row r="74" s="25" customFormat="1" ht="14.25">
      <c r="A74" s="666" t="s">
        <v>26</v>
      </c>
      <c r="B74" s="666">
        <v>313.92671138155165260683169686</v>
      </c>
      <c r="C74" s="666">
        <v>173.00253906790208823122666298</v>
      </c>
      <c r="D74" s="666">
        <v>159.20047711243258193887429125</v>
      </c>
      <c r="E74" s="666">
        <v>206.71665744710275203982851611</v>
      </c>
      <c r="F74" s="666">
        <v>155.46292767252108975245470889</v>
      </c>
      <c r="G74" s="666">
        <v>129.65317245194302309500760614</v>
      </c>
      <c r="H74" s="666">
        <v>169.19296777762411837920066381</v>
      </c>
      <c r="I74" s="666">
        <v>160.45741114645277278384732402</v>
      </c>
      <c r="J74" s="666">
        <v>173.63223620522749273959341723</v>
      </c>
      <c r="K74" s="666">
        <v>125.57953671691329000138293459</v>
      </c>
      <c r="L74" s="666">
        <v>117.55871370813572282736908896</v>
      </c>
      <c r="M74" s="666">
        <v>123.50848263833835420960837165</v>
      </c>
      <c r="N74" s="666"/>
      <c r="O74" s="666"/>
      <c r="P74" s="666"/>
      <c r="Q74" s="666"/>
      <c r="R74" s="666"/>
      <c r="S74" s="666"/>
      <c r="T74" s="666"/>
      <c r="U74" s="666"/>
      <c r="V74" s="666"/>
      <c r="W74" s="666"/>
      <c r="X74" s="666"/>
      <c r="Y74" s="666"/>
      <c r="Z74" s="666"/>
      <c r="AA74" s="666"/>
      <c r="AB74" s="666"/>
      <c r="AC74" s="666"/>
      <c r="AD74" s="666"/>
      <c r="AE74" s="666"/>
      <c r="AF74" s="666"/>
      <c r="AG74" s="666"/>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row>
    <row r="75" s="25" customFormat="1" ht="14.25">
      <c r="A75" s="666" t="s">
        <v>181</v>
      </c>
      <c r="B75" s="666">
        <v>258.91024938947680011840449937</v>
      </c>
      <c r="C75" s="666">
        <v>168.3079696759225051352909013</v>
      </c>
      <c r="D75" s="666">
        <v>152.41618761914613781790775688</v>
      </c>
      <c r="E75" s="666">
        <v>152.36461304289999852221844567</v>
      </c>
      <c r="F75" s="666">
        <v>127.44159068406508149965272133</v>
      </c>
      <c r="G75" s="666">
        <v>122.15156945130993573900148295</v>
      </c>
      <c r="H75" s="666">
        <v>143.734274592189817103311913</v>
      </c>
      <c r="I75" s="666">
        <v>148.49023727137913989125061789</v>
      </c>
      <c r="J75" s="666">
        <v>137.29476643598615916955017301</v>
      </c>
      <c r="K75" s="666">
        <v>108.84616705162619389474998439</v>
      </c>
      <c r="L75" s="666">
        <v>120.5696734156584968344512004</v>
      </c>
      <c r="M75" s="666">
        <v>126.08966965461041810317808563</v>
      </c>
      <c r="N75" s="666"/>
      <c r="O75" s="666"/>
      <c r="P75" s="666"/>
      <c r="Q75" s="666"/>
      <c r="R75" s="666"/>
      <c r="S75" s="666"/>
      <c r="T75" s="666"/>
      <c r="U75" s="666"/>
      <c r="V75" s="666"/>
      <c r="W75" s="666"/>
      <c r="X75" s="666"/>
      <c r="Y75" s="666"/>
      <c r="Z75" s="666"/>
      <c r="AA75" s="666"/>
      <c r="AB75" s="666"/>
      <c r="AC75" s="666"/>
      <c r="AD75" s="666"/>
      <c r="AE75" s="666"/>
      <c r="AF75" s="666"/>
      <c r="AG75" s="666"/>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84"/>
</worksheet>
</file>

<file path=xl/worksheets/sheet8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156</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178</v>
      </c>
      <c r="B4" s="442"/>
      <c r="C4" s="211"/>
      <c r="D4" s="212"/>
      <c r="E4" s="212"/>
      <c r="F4" s="212"/>
      <c r="G4" s="212"/>
      <c r="H4" s="212"/>
      <c r="I4" s="212"/>
      <c r="J4" s="212"/>
      <c r="K4" s="212"/>
      <c r="L4" s="212"/>
      <c r="M4" s="212"/>
      <c r="N4" s="212"/>
      <c r="O4" s="212"/>
      <c r="P4" s="212"/>
      <c r="Q4" s="212"/>
      <c r="R4" s="677" t="s">
        <v>180</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182</v>
      </c>
      <c r="B10" s="342">
        <v>22</v>
      </c>
      <c r="C10" s="343" t="s">
        <v>49</v>
      </c>
      <c r="D10" s="374">
        <v>144.40909090909090909090909091</v>
      </c>
      <c r="E10" s="382">
        <v>123.03473813883520450613129079</v>
      </c>
      <c r="F10" s="375">
        <v>100.15827239820081439443115913</v>
      </c>
      <c r="G10" s="374">
        <v>0</v>
      </c>
      <c r="H10" s="382">
        <v>90.00766263560816432252311385</v>
      </c>
      <c r="I10" s="375">
        <v>26.541505238242947993470329198</v>
      </c>
      <c r="J10" s="374">
        <v>0</v>
      </c>
      <c r="K10" s="382">
        <v>0</v>
      </c>
      <c r="L10" s="375">
        <v>10.823903159403988477150414785</v>
      </c>
      <c r="M10" s="374">
        <v>144.40909090909090909090909091</v>
      </c>
      <c r="N10" s="382">
        <v>213.04240077444336882865440465</v>
      </c>
      <c r="O10" s="375">
        <v>137.52368079584775086505190311</v>
      </c>
      <c r="P10" s="4"/>
      <c r="Q10" s="354">
        <v>21.174750492700945814173232810</v>
      </c>
      <c r="R10" s="355">
        <v>24.908337267247830291658340850</v>
      </c>
      <c r="S10" s="356">
        <v>13.224362695035957932295213020</v>
      </c>
      <c r="T10" s="354">
        <v>0</v>
      </c>
      <c r="U10" s="355">
        <v>2270.6639218662533971889581582</v>
      </c>
      <c r="V10" s="356">
        <v>108.38276419381453950286136292</v>
      </c>
      <c r="W10" s="354">
        <v>0</v>
      </c>
      <c r="X10" s="355">
        <v>-100</v>
      </c>
      <c r="Y10" s="356">
        <v>-0.0236489819059280277527636700</v>
      </c>
      <c r="Z10" s="354">
        <v>21.174750492700945814173232810</v>
      </c>
      <c r="AA10" s="355">
        <v>105.05737144710455655607496868</v>
      </c>
      <c r="AB10" s="356">
        <v>22.763390311365915818823707060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23</v>
      </c>
      <c r="C11" s="345" t="s">
        <v>47</v>
      </c>
      <c r="D11" s="370">
        <v>127.46212121212121212121212121</v>
      </c>
      <c r="E11" s="172">
        <v>97.91756910939648916975009824</v>
      </c>
      <c r="F11" s="371">
        <v>93.44354037849290459447187952</v>
      </c>
      <c r="G11" s="370">
        <v>0</v>
      </c>
      <c r="H11" s="172">
        <v>96.47904270086488546722957262</v>
      </c>
      <c r="I11" s="371">
        <v>25.544286076623910661371503148</v>
      </c>
      <c r="J11" s="370">
        <v>0</v>
      </c>
      <c r="K11" s="172">
        <v>0</v>
      </c>
      <c r="L11" s="371">
        <v>10.888471122737856024433433937</v>
      </c>
      <c r="M11" s="370">
        <v>127.46212121212121212121212121</v>
      </c>
      <c r="N11" s="172">
        <v>194.39661181026137463697967086</v>
      </c>
      <c r="O11" s="371">
        <v>129.87629757785467128027681661</v>
      </c>
      <c r="P11" s="4"/>
      <c r="Q11" s="327">
        <v>46.444425102236048011986573160</v>
      </c>
      <c r="R11" s="171">
        <v>20.453468018725176704162572020</v>
      </c>
      <c r="S11" s="328">
        <v>17.949874509625443910919034670</v>
      </c>
      <c r="T11" s="327">
        <v>-100</v>
      </c>
      <c r="U11" s="171">
        <v>1939.3370094195496458203847090</v>
      </c>
      <c r="V11" s="328">
        <v>125.43929341804108355968635056</v>
      </c>
      <c r="W11" s="327">
        <v>0</v>
      </c>
      <c r="X11" s="171">
        <v>-100</v>
      </c>
      <c r="Y11" s="328">
        <v>3.8379703921478156574499986600</v>
      </c>
      <c r="Z11" s="327">
        <v>18.236120871431689703688385570</v>
      </c>
      <c r="AA11" s="171">
        <v>121.86586051256482421536450674</v>
      </c>
      <c r="AB11" s="328">
        <v>28.539476055773268970622291600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24</v>
      </c>
      <c r="C12" s="347" t="s">
        <v>48</v>
      </c>
      <c r="D12" s="378">
        <v>124.68181818181818181818181818</v>
      </c>
      <c r="E12" s="173">
        <v>95.68441432720232333010648596</v>
      </c>
      <c r="F12" s="379">
        <v>91.5249352369214394323975794</v>
      </c>
      <c r="G12" s="378">
        <v>0</v>
      </c>
      <c r="H12" s="173">
        <v>94.25556631171345595353339787</v>
      </c>
      <c r="I12" s="379">
        <v>25.823789545638438621280647119</v>
      </c>
      <c r="J12" s="378">
        <v>0</v>
      </c>
      <c r="K12" s="173">
        <v>0</v>
      </c>
      <c r="L12" s="379">
        <v>10.780276082492025060508624688</v>
      </c>
      <c r="M12" s="378">
        <v>124.68181818181818181818181818</v>
      </c>
      <c r="N12" s="173">
        <v>189.93998063891577928363988383</v>
      </c>
      <c r="O12" s="379">
        <v>128.12900086505190311418685121</v>
      </c>
      <c r="P12" s="4"/>
      <c r="Q12" s="359">
        <v>68.127490039820027276734315650</v>
      </c>
      <c r="R12" s="170">
        <v>19.577576648641411767162574580</v>
      </c>
      <c r="S12" s="360">
        <v>5.1452192398061073820762883200</v>
      </c>
      <c r="T12" s="359">
        <v>-100</v>
      </c>
      <c r="U12" s="170">
        <v>2339.6595475112529599833065380</v>
      </c>
      <c r="V12" s="360">
        <v>73.947930854643570826518119230</v>
      </c>
      <c r="W12" s="359">
        <v>0</v>
      </c>
      <c r="X12" s="170">
        <v>-100</v>
      </c>
      <c r="Y12" s="360">
        <v>-3.4794795067752456239795007600</v>
      </c>
      <c r="Z12" s="359">
        <v>35.401069518765591501923699600</v>
      </c>
      <c r="AA12" s="170">
        <v>124.30110818747834095806806436</v>
      </c>
      <c r="AB12" s="360">
        <v>13.327507113536340841974591030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25</v>
      </c>
      <c r="C13" s="345" t="s">
        <v>50</v>
      </c>
      <c r="D13" s="370">
        <v>113.89393939393939393939393939</v>
      </c>
      <c r="E13" s="172">
        <v>90.22524631751786580011060927</v>
      </c>
      <c r="F13" s="371">
        <v>88.25768175175066214117668681</v>
      </c>
      <c r="G13" s="370">
        <v>19</v>
      </c>
      <c r="H13" s="172">
        <v>50.508054747341766339289197117</v>
      </c>
      <c r="I13" s="371">
        <v>24.111122410907478237333055613</v>
      </c>
      <c r="J13" s="370">
        <v>0</v>
      </c>
      <c r="K13" s="172">
        <v>0</v>
      </c>
      <c r="L13" s="371">
        <v>10.007601546684420175123475581</v>
      </c>
      <c r="M13" s="370">
        <v>132.89393939393939393939393939</v>
      </c>
      <c r="N13" s="172">
        <v>140.73330106485963213939980639</v>
      </c>
      <c r="O13" s="371">
        <v>122.37640570934256055363321799</v>
      </c>
      <c r="P13" s="4"/>
      <c r="Q13" s="327">
        <v>80.54521436301121639764588079</v>
      </c>
      <c r="R13" s="171">
        <v>11.248674972766635823437794370</v>
      </c>
      <c r="S13" s="328">
        <v>-0.6116210007696618979064511700</v>
      </c>
      <c r="T13" s="327">
        <v>0</v>
      </c>
      <c r="U13" s="171">
        <v>548.37072911159507438865842358</v>
      </c>
      <c r="V13" s="328">
        <v>43.647768793132965875685466130</v>
      </c>
      <c r="W13" s="327">
        <v>0</v>
      </c>
      <c r="X13" s="171">
        <v>-100</v>
      </c>
      <c r="Y13" s="328">
        <v>-10.159163251559289833911734710</v>
      </c>
      <c r="Z13" s="327">
        <v>110.66410471969820128026500205</v>
      </c>
      <c r="AA13" s="171">
        <v>56.909128430192728229939946670</v>
      </c>
      <c r="AB13" s="328">
        <v>4.8416819427769576928585518600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26</v>
      </c>
      <c r="C14" s="347" t="s">
        <v>51</v>
      </c>
      <c r="D14" s="378">
        <v>121.26515151515151515151515152</v>
      </c>
      <c r="E14" s="173">
        <v>108.60069979581414930207537691</v>
      </c>
      <c r="F14" s="379">
        <v>92.28888070667477295157897326</v>
      </c>
      <c r="G14" s="378">
        <v>19</v>
      </c>
      <c r="H14" s="173">
        <v>5.2100456059283482777890954989</v>
      </c>
      <c r="I14" s="379">
        <v>24.48120135506055465472103156</v>
      </c>
      <c r="J14" s="378">
        <v>0</v>
      </c>
      <c r="K14" s="173">
        <v>0</v>
      </c>
      <c r="L14" s="379">
        <v>10.757383336188547826225946732</v>
      </c>
      <c r="M14" s="378">
        <v>140.26515151515151515151515152</v>
      </c>
      <c r="N14" s="173">
        <v>113.81074540174249757986447241</v>
      </c>
      <c r="O14" s="379">
        <v>127.52746539792387543252595156</v>
      </c>
      <c r="P14" s="4"/>
      <c r="Q14" s="359">
        <v>22.004573170780062788146955520</v>
      </c>
      <c r="R14" s="170">
        <v>-3.858736843770942221116487800</v>
      </c>
      <c r="S14" s="360">
        <v>-4.039034480660586322194140300</v>
      </c>
      <c r="T14" s="359">
        <v>0</v>
      </c>
      <c r="U14" s="170">
        <v>-66.488361817998273338447333510</v>
      </c>
      <c r="V14" s="360">
        <v>30.712872881227003205840193040</v>
      </c>
      <c r="W14" s="359">
        <v>0</v>
      </c>
      <c r="X14" s="170">
        <v>-100</v>
      </c>
      <c r="Y14" s="360">
        <v>0.1834615698488093280922495500</v>
      </c>
      <c r="Z14" s="359">
        <v>41.120426829324224559414061440</v>
      </c>
      <c r="AA14" s="170">
        <v>-12.415575398449904823625602430</v>
      </c>
      <c r="AB14" s="360">
        <v>1.5022565076048940749092204400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27</v>
      </c>
      <c r="C15" s="345" t="s">
        <v>52</v>
      </c>
      <c r="D15" s="370">
        <v>170.71969696969696969696969697</v>
      </c>
      <c r="E15" s="172">
        <v>169.49186550397547960941697599</v>
      </c>
      <c r="F15" s="371">
        <v>122.98210897259636965085095275</v>
      </c>
      <c r="G15" s="370">
        <v>0</v>
      </c>
      <c r="H15" s="172">
        <v>5.1239137796644042240776997112</v>
      </c>
      <c r="I15" s="371">
        <v>20.329662434988083022908297433</v>
      </c>
      <c r="J15" s="370">
        <v>0</v>
      </c>
      <c r="K15" s="172">
        <v>0</v>
      </c>
      <c r="L15" s="371">
        <v>11.05230731213873071724421003</v>
      </c>
      <c r="M15" s="370">
        <v>170.71969696969696969696969697</v>
      </c>
      <c r="N15" s="172">
        <v>174.6157792836398838334946757</v>
      </c>
      <c r="O15" s="371">
        <v>154.36407871972318339100346021</v>
      </c>
      <c r="P15" s="4"/>
      <c r="Q15" s="327">
        <v>5.3973153734446737600980122200</v>
      </c>
      <c r="R15" s="171">
        <v>8.604705384439705906852885480</v>
      </c>
      <c r="S15" s="328">
        <v>-1.5848073210796742194306786300</v>
      </c>
      <c r="T15" s="327">
        <v>0</v>
      </c>
      <c r="U15" s="171">
        <v>-71.211807416031290026502957680</v>
      </c>
      <c r="V15" s="328">
        <v>8.832523462405174950637481160</v>
      </c>
      <c r="W15" s="327">
        <v>0</v>
      </c>
      <c r="X15" s="171">
        <v>-100</v>
      </c>
      <c r="Y15" s="328">
        <v>1.7647680060862324958905555700</v>
      </c>
      <c r="Z15" s="327">
        <v>5.3973153734446737600980122200</v>
      </c>
      <c r="AA15" s="171">
        <v>-0.3899291048302987035596251200</v>
      </c>
      <c r="AB15" s="328">
        <v>-0.0898722347327620851313456100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28</v>
      </c>
      <c r="C16" s="347" t="s">
        <v>53</v>
      </c>
      <c r="D16" s="378">
        <v>182.23484848484848484848484848</v>
      </c>
      <c r="E16" s="173">
        <v>181.45507847579685864622440996</v>
      </c>
      <c r="F16" s="379">
        <v>135.60621249590308994145788208</v>
      </c>
      <c r="G16" s="378">
        <v>0</v>
      </c>
      <c r="H16" s="173">
        <v>7.4317559869330542288965968071</v>
      </c>
      <c r="I16" s="379">
        <v>14.504744637618779616109203867</v>
      </c>
      <c r="J16" s="378">
        <v>0</v>
      </c>
      <c r="K16" s="173">
        <v>0</v>
      </c>
      <c r="L16" s="379">
        <v>11.155478852637299992605924424</v>
      </c>
      <c r="M16" s="378">
        <v>182.23484848484848484848484848</v>
      </c>
      <c r="N16" s="173">
        <v>188.88683446272991287512100678</v>
      </c>
      <c r="O16" s="379">
        <v>161.26643598615916955017301038</v>
      </c>
      <c r="P16" s="4"/>
      <c r="Q16" s="359">
        <v>8.005567528718174387432498860</v>
      </c>
      <c r="R16" s="170">
        <v>14.676548154900511340425899560</v>
      </c>
      <c r="S16" s="360">
        <v>1.6741130714539534994534528100</v>
      </c>
      <c r="T16" s="359">
        <v>0</v>
      </c>
      <c r="U16" s="170">
        <v>-55.459407123165982111368991770</v>
      </c>
      <c r="V16" s="360">
        <v>-20.620137994371659270617993460</v>
      </c>
      <c r="W16" s="359">
        <v>0</v>
      </c>
      <c r="X16" s="170">
        <v>-100</v>
      </c>
      <c r="Y16" s="360">
        <v>3.2415354564701018045887296800</v>
      </c>
      <c r="Z16" s="359">
        <v>8.005567528718174387432498860</v>
      </c>
      <c r="AA16" s="170">
        <v>7.2031325802758119470180671200</v>
      </c>
      <c r="AB16" s="360">
        <v>-0.729298199632826768527168900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29</v>
      </c>
      <c r="C17" s="345" t="s">
        <v>49</v>
      </c>
      <c r="D17" s="370">
        <v>113.96969696969696969696969697</v>
      </c>
      <c r="E17" s="172">
        <v>104.09144487127252670269554453</v>
      </c>
      <c r="F17" s="371">
        <v>83.57150319093204729008550812</v>
      </c>
      <c r="G17" s="370">
        <v>0</v>
      </c>
      <c r="H17" s="172">
        <v>3.9264447705474152140517933208</v>
      </c>
      <c r="I17" s="371">
        <v>8.819662827523646286352159094</v>
      </c>
      <c r="J17" s="370">
        <v>0</v>
      </c>
      <c r="K17" s="172">
        <v>0</v>
      </c>
      <c r="L17" s="371">
        <v>10.714045919260569399340879502</v>
      </c>
      <c r="M17" s="370">
        <v>113.96969696969696969696969697</v>
      </c>
      <c r="N17" s="172">
        <v>108.01788964181994191674733785</v>
      </c>
      <c r="O17" s="371">
        <v>103.10521193771626297577854671</v>
      </c>
      <c r="P17" s="4"/>
      <c r="Q17" s="327">
        <v>24.320304107156118808610864740</v>
      </c>
      <c r="R17" s="171">
        <v>17.344404033862617449961363330</v>
      </c>
      <c r="S17" s="328">
        <v>7.462046828074476116653472700</v>
      </c>
      <c r="T17" s="327">
        <v>0</v>
      </c>
      <c r="U17" s="171">
        <v>-50.728772360599812635006836640</v>
      </c>
      <c r="V17" s="328">
        <v>-31.746107480679160730545088620</v>
      </c>
      <c r="W17" s="327">
        <v>0</v>
      </c>
      <c r="X17" s="171">
        <v>-100</v>
      </c>
      <c r="Y17" s="328">
        <v>-9.362002761121939716898626810</v>
      </c>
      <c r="Z17" s="327">
        <v>24.320304107156118808610864740</v>
      </c>
      <c r="AA17" s="171">
        <v>9.916963214834785520940473280</v>
      </c>
      <c r="AB17" s="328">
        <v>0.5797198782291756749048764300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30</v>
      </c>
      <c r="C18" s="347" t="s">
        <v>47</v>
      </c>
      <c r="D18" s="378">
        <v>106.62878787878787878787878788</v>
      </c>
      <c r="E18" s="173">
        <v>84.48416647364101414742736684</v>
      </c>
      <c r="F18" s="379">
        <v>69.73960666069577407399668096</v>
      </c>
      <c r="G18" s="378">
        <v>0</v>
      </c>
      <c r="H18" s="173">
        <v>3.5401800897665366754187125372</v>
      </c>
      <c r="I18" s="379">
        <v>6.640814668654749818038733811</v>
      </c>
      <c r="J18" s="378">
        <v>0</v>
      </c>
      <c r="K18" s="173">
        <v>0</v>
      </c>
      <c r="L18" s="379">
        <v>8.392718809057780606234481424</v>
      </c>
      <c r="M18" s="378">
        <v>106.62878787878787878787878788</v>
      </c>
      <c r="N18" s="173">
        <v>88.02434656340755082284607938</v>
      </c>
      <c r="O18" s="379">
        <v>84.77314013840830449826989619</v>
      </c>
      <c r="P18" s="4"/>
      <c r="Q18" s="359">
        <v>55.490499337066864030458730180</v>
      </c>
      <c r="R18" s="170">
        <v>10.247332626262047908613716110</v>
      </c>
      <c r="S18" s="360">
        <v>11.078007891926239097142593470</v>
      </c>
      <c r="T18" s="359">
        <v>0</v>
      </c>
      <c r="U18" s="170">
        <v>15.690956587659035270633130700</v>
      </c>
      <c r="V18" s="360">
        <v>30.957007454396388573822318900</v>
      </c>
      <c r="W18" s="359">
        <v>0</v>
      </c>
      <c r="X18" s="170">
        <v>-100</v>
      </c>
      <c r="Y18" s="360">
        <v>-15.385826835614725085779425300</v>
      </c>
      <c r="Z18" s="359">
        <v>55.490499337066864030458730180</v>
      </c>
      <c r="AA18" s="170">
        <v>8.928050750610770000004771520</v>
      </c>
      <c r="AB18" s="360">
        <v>8.999122229705888954191602420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t="s">
        <v>179</v>
      </c>
      <c r="B19" s="668">
        <v>1</v>
      </c>
      <c r="C19" s="679" t="s">
        <v>48</v>
      </c>
      <c r="D19" s="680">
        <v>104.88636363636363636363636364</v>
      </c>
      <c r="E19" s="681">
        <v>76.317521781219748305905130687</v>
      </c>
      <c r="F19" s="682">
        <v>69.809324059911817468935808641</v>
      </c>
      <c r="G19" s="680">
        <v>0</v>
      </c>
      <c r="H19" s="681">
        <v>3.5972894482090997095837366893</v>
      </c>
      <c r="I19" s="682">
        <v>5.9851409043795800505418605769</v>
      </c>
      <c r="J19" s="680">
        <v>0</v>
      </c>
      <c r="K19" s="681">
        <v>0</v>
      </c>
      <c r="L19" s="682">
        <v>8.630940915480432230412633543</v>
      </c>
      <c r="M19" s="680">
        <v>104.88636363636363636363636364</v>
      </c>
      <c r="N19" s="681">
        <v>79.91481122942884801548886738</v>
      </c>
      <c r="O19" s="682">
        <v>84.42540587977182974989030276</v>
      </c>
      <c r="P19" s="4"/>
      <c r="Q19" s="670">
        <v>18.922865486988860035908954180</v>
      </c>
      <c r="R19" s="671">
        <v>-11.837072639562115098684313350</v>
      </c>
      <c r="S19" s="672">
        <v>4.7432746629925089490160376800</v>
      </c>
      <c r="T19" s="670">
        <v>0</v>
      </c>
      <c r="U19" s="671">
        <v>87.96196627259030380432283652</v>
      </c>
      <c r="V19" s="672">
        <v>69.207671679998031847065572930</v>
      </c>
      <c r="W19" s="670">
        <v>0</v>
      </c>
      <c r="X19" s="671">
        <v>-100</v>
      </c>
      <c r="Y19" s="672">
        <v>-37.199843240520905248396699230</v>
      </c>
      <c r="Z19" s="670">
        <v>18.922865486988860035908954180</v>
      </c>
      <c r="AA19" s="671">
        <v>-10.325903942964492808670258810</v>
      </c>
      <c r="AB19" s="672">
        <v>0.5918376896432719657656171500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v>
      </c>
      <c r="C20" s="347" t="s">
        <v>50</v>
      </c>
      <c r="D20" s="378">
        <v>107.34848484848484848484848485</v>
      </c>
      <c r="E20" s="173">
        <v>76.117134559535333978702807357</v>
      </c>
      <c r="F20" s="379">
        <v>65.415737437549072265577089843</v>
      </c>
      <c r="G20" s="378">
        <v>0</v>
      </c>
      <c r="H20" s="173">
        <v>5.3097773475314617618586640852</v>
      </c>
      <c r="I20" s="379">
        <v>5.1431890360972363978368333719</v>
      </c>
      <c r="J20" s="378">
        <v>0</v>
      </c>
      <c r="K20" s="173">
        <v>0</v>
      </c>
      <c r="L20" s="379">
        <v>10.173631665888575057516309343</v>
      </c>
      <c r="M20" s="378">
        <v>107.34848484848484848484848485</v>
      </c>
      <c r="N20" s="173">
        <v>81.42691190706679574056147144</v>
      </c>
      <c r="O20" s="379">
        <v>80.73255813953488372093023256</v>
      </c>
      <c r="P20" s="4"/>
      <c r="Q20" s="359">
        <v>7.4217269350510053934231007800</v>
      </c>
      <c r="R20" s="170">
        <v>-32.691622570816259944947635880</v>
      </c>
      <c r="S20" s="360">
        <v>-21.180627426662372985377914130</v>
      </c>
      <c r="T20" s="359">
        <v>0</v>
      </c>
      <c r="U20" s="170">
        <v>2295.1956975848997566486776492</v>
      </c>
      <c r="V20" s="360">
        <v>55.442259733230811726368341150</v>
      </c>
      <c r="W20" s="359">
        <v>0</v>
      </c>
      <c r="X20" s="170">
        <v>-100</v>
      </c>
      <c r="Y20" s="360">
        <v>10.017632353037431693502799220</v>
      </c>
      <c r="Z20" s="359">
        <v>7.4217269350510053934231007800</v>
      </c>
      <c r="AA20" s="170">
        <v>-28.938588490636653964544603090</v>
      </c>
      <c r="AB20" s="360">
        <v>-15.507978579349378318026329720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3</v>
      </c>
      <c r="C21" s="345" t="s">
        <v>51</v>
      </c>
      <c r="D21" s="370">
        <v>135.66666666666666666666666667</v>
      </c>
      <c r="E21" s="172">
        <v>122.80063930974899376789840985</v>
      </c>
      <c r="F21" s="371">
        <v>89.00788897526002202307032968</v>
      </c>
      <c r="G21" s="370">
        <v>0</v>
      </c>
      <c r="H21" s="172">
        <v>9.11998024494606915562530748</v>
      </c>
      <c r="I21" s="371">
        <v>4.2634405743539639339866949975</v>
      </c>
      <c r="J21" s="370">
        <v>0</v>
      </c>
      <c r="K21" s="172">
        <v>0</v>
      </c>
      <c r="L21" s="371">
        <v>11.692360665392595877080755044</v>
      </c>
      <c r="M21" s="370">
        <v>135.66666666666666666666666667</v>
      </c>
      <c r="N21" s="172">
        <v>131.92061955469506292352371733</v>
      </c>
      <c r="O21" s="371">
        <v>104.96369021500658183413777973</v>
      </c>
      <c r="P21" s="4"/>
      <c r="Q21" s="327">
        <v>-14.122668201232875768209637060</v>
      </c>
      <c r="R21" s="171">
        <v>-31.698333347249358130184455140</v>
      </c>
      <c r="S21" s="328">
        <v>-29.906670549224337977658007690</v>
      </c>
      <c r="T21" s="327">
        <v>0</v>
      </c>
      <c r="U21" s="171">
        <v>4013.9542298640245575132473335</v>
      </c>
      <c r="V21" s="328">
        <v>17.998360684584999009527715870</v>
      </c>
      <c r="W21" s="327">
        <v>0</v>
      </c>
      <c r="X21" s="171">
        <v>-100</v>
      </c>
      <c r="Y21" s="328">
        <v>26.990548487750660194144909560</v>
      </c>
      <c r="Z21" s="327">
        <v>-14.122668201232875768209637060</v>
      </c>
      <c r="AA21" s="171">
        <v>-27.232704177499627591577865230</v>
      </c>
      <c r="AB21" s="328">
        <v>-24.921482521033775483962861610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4</v>
      </c>
      <c r="C22" s="347" t="s">
        <v>52</v>
      </c>
      <c r="D22" s="378">
        <v>218.25757575757575757575757576</v>
      </c>
      <c r="E22" s="173">
        <v>204.06485963213939980638915779</v>
      </c>
      <c r="F22" s="379">
        <v>139.54102475246590177680553679</v>
      </c>
      <c r="G22" s="378">
        <v>0</v>
      </c>
      <c r="H22" s="173">
        <v>2.9119070667957405614714424008</v>
      </c>
      <c r="I22" s="379">
        <v>5.5408580479355656132517382036</v>
      </c>
      <c r="J22" s="378">
        <v>0</v>
      </c>
      <c r="K22" s="173">
        <v>0</v>
      </c>
      <c r="L22" s="379">
        <v>10.384659542731485659525875509</v>
      </c>
      <c r="M22" s="378">
        <v>218.25757575757575757575757576</v>
      </c>
      <c r="N22" s="173">
        <v>206.97676669893514036786060019</v>
      </c>
      <c r="O22" s="379">
        <v>155.4665423431329530495831505</v>
      </c>
      <c r="P22" s="4"/>
      <c r="Q22" s="359">
        <v>12.693135145731706691054805300</v>
      </c>
      <c r="R22" s="170">
        <v>7.8130723198642397391654927500</v>
      </c>
      <c r="S22" s="360">
        <v>-6.6374922388514792656265791900</v>
      </c>
      <c r="T22" s="359">
        <v>0</v>
      </c>
      <c r="U22" s="170">
        <v>0</v>
      </c>
      <c r="V22" s="360">
        <v>-13.615618580052669876246881630</v>
      </c>
      <c r="W22" s="359">
        <v>0</v>
      </c>
      <c r="X22" s="170">
        <v>-100</v>
      </c>
      <c r="Y22" s="360">
        <v>-0.9169405024659082574369762900</v>
      </c>
      <c r="Z22" s="359">
        <v>12.693135145731706691054805300</v>
      </c>
      <c r="AA22" s="170">
        <v>8.616562406459314930432250490</v>
      </c>
      <c r="AB22" s="360">
        <v>-6.5461419317161215269949186900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5</v>
      </c>
      <c r="C23" s="345" t="s">
        <v>53</v>
      </c>
      <c r="D23" s="370">
        <v>200.0530303030303030303030303</v>
      </c>
      <c r="E23" s="172">
        <v>182.77541142303969022265246854</v>
      </c>
      <c r="F23" s="371">
        <v>131.66699741463536555543616739</v>
      </c>
      <c r="G23" s="370">
        <v>0</v>
      </c>
      <c r="H23" s="172">
        <v>0</v>
      </c>
      <c r="I23" s="371">
        <v>5.6352233195500748589745068176</v>
      </c>
      <c r="J23" s="370">
        <v>0</v>
      </c>
      <c r="K23" s="172">
        <v>0</v>
      </c>
      <c r="L23" s="371">
        <v>11.586107479943563534689808468</v>
      </c>
      <c r="M23" s="370">
        <v>200.0530303030303030303030303</v>
      </c>
      <c r="N23" s="172">
        <v>182.77541142303969022265246854</v>
      </c>
      <c r="O23" s="371">
        <v>148.88832821412900394910048267</v>
      </c>
      <c r="P23" s="4"/>
      <c r="Q23" s="327">
        <v>-8.683173110191277897177637760</v>
      </c>
      <c r="R23" s="171">
        <v>1.27540646627449867776497100</v>
      </c>
      <c r="S23" s="328">
        <v>-7.0749224494889411662725195800</v>
      </c>
      <c r="T23" s="327">
        <v>0</v>
      </c>
      <c r="U23" s="171">
        <v>0</v>
      </c>
      <c r="V23" s="328">
        <v>-31.530821614392374885781532760</v>
      </c>
      <c r="W23" s="327">
        <v>0</v>
      </c>
      <c r="X23" s="171">
        <v>-100</v>
      </c>
      <c r="Y23" s="328">
        <v>16.483598816459078284692068300</v>
      </c>
      <c r="Z23" s="327">
        <v>-8.683173110191277897177637760</v>
      </c>
      <c r="AA23" s="171">
        <v>0.9181338940591635798778029700</v>
      </c>
      <c r="AB23" s="328">
        <v>-6.8682110646920144703404722500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6</v>
      </c>
      <c r="C24" s="347" t="s">
        <v>49</v>
      </c>
      <c r="D24" s="378">
        <v>116.04545454545454545454545455</v>
      </c>
      <c r="E24" s="173">
        <v>95.67570183930300096805421104</v>
      </c>
      <c r="F24" s="379">
        <v>77.874878389163360748072628046</v>
      </c>
      <c r="G24" s="378">
        <v>0</v>
      </c>
      <c r="H24" s="173">
        <v>0</v>
      </c>
      <c r="I24" s="379">
        <v>5.3519474208144211618632860078</v>
      </c>
      <c r="J24" s="378">
        <v>0</v>
      </c>
      <c r="K24" s="173">
        <v>0</v>
      </c>
      <c r="L24" s="379">
        <v>9.656566028547887243201426888</v>
      </c>
      <c r="M24" s="378">
        <v>116.04545454545454545454545455</v>
      </c>
      <c r="N24" s="173">
        <v>95.67570183930300096805421104</v>
      </c>
      <c r="O24" s="379">
        <v>92.88339183852566915313734094</v>
      </c>
      <c r="P24" s="4"/>
      <c r="Q24" s="359">
        <v>9.751379236275876537014556540</v>
      </c>
      <c r="R24" s="170">
        <v>-9.556332313650397419903447500</v>
      </c>
      <c r="S24" s="360">
        <v>-8.566764713637073519662178070</v>
      </c>
      <c r="T24" s="359">
        <v>0</v>
      </c>
      <c r="U24" s="170">
        <v>-100</v>
      </c>
      <c r="V24" s="360">
        <v>-29.741432333203612511141660540</v>
      </c>
      <c r="W24" s="359">
        <v>0</v>
      </c>
      <c r="X24" s="170">
        <v>-100</v>
      </c>
      <c r="Y24" s="360">
        <v>-6.0691854581058576055444994800</v>
      </c>
      <c r="Z24" s="359">
        <v>9.751379236275876537014556540</v>
      </c>
      <c r="AA24" s="170">
        <v>-11.079621494848166598699320020</v>
      </c>
      <c r="AB24" s="360">
        <v>-9.882594513141054328683237660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7</v>
      </c>
      <c r="C25" s="345" t="s">
        <v>47</v>
      </c>
      <c r="D25" s="370">
        <v>90.57575757575757575757575758</v>
      </c>
      <c r="E25" s="172">
        <v>72.084350721420643729189789124</v>
      </c>
      <c r="F25" s="371">
        <v>66.659128834388052518165108996</v>
      </c>
      <c r="G25" s="370">
        <v>0</v>
      </c>
      <c r="H25" s="172">
        <v>0</v>
      </c>
      <c r="I25" s="371">
        <v>9.89627636735315370100511308</v>
      </c>
      <c r="J25" s="370">
        <v>0</v>
      </c>
      <c r="K25" s="172">
        <v>0</v>
      </c>
      <c r="L25" s="371">
        <v>8.614515816249140424094367658</v>
      </c>
      <c r="M25" s="370">
        <v>90.57575757575757575757575758</v>
      </c>
      <c r="N25" s="172">
        <v>72.084350721420643729189789123</v>
      </c>
      <c r="O25" s="371">
        <v>85.16992101799034664326458973</v>
      </c>
      <c r="P25" s="4"/>
      <c r="Q25" s="327">
        <v>-14.158529580740191370669389910</v>
      </c>
      <c r="R25" s="171">
        <v>-13.654786832077570359326899290</v>
      </c>
      <c r="S25" s="328">
        <v>-15.396020744878067991807667570</v>
      </c>
      <c r="T25" s="327">
        <v>0</v>
      </c>
      <c r="U25" s="171">
        <v>-100</v>
      </c>
      <c r="V25" s="328">
        <v>-29.013802207488955967757162110</v>
      </c>
      <c r="W25" s="327">
        <v>0</v>
      </c>
      <c r="X25" s="171">
        <v>-100</v>
      </c>
      <c r="Y25" s="328">
        <v>-13.390723881103119416572819660</v>
      </c>
      <c r="Z25" s="327">
        <v>-14.158529580740191370669389910</v>
      </c>
      <c r="AA25" s="171">
        <v>-18.508072904041075107547847810</v>
      </c>
      <c r="AB25" s="328">
        <v>-17.050738963022468041308912280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8</v>
      </c>
      <c r="C26" s="347" t="s">
        <v>48</v>
      </c>
      <c r="D26" s="378">
        <v>94.46212121212121212121212121</v>
      </c>
      <c r="E26" s="173">
        <v>71.249722530521642619311875694</v>
      </c>
      <c r="F26" s="379">
        <v>74.523512429278170189550838724</v>
      </c>
      <c r="G26" s="378">
        <v>0</v>
      </c>
      <c r="H26" s="173">
        <v>0</v>
      </c>
      <c r="I26" s="379">
        <v>10.780874386258744314965162177</v>
      </c>
      <c r="J26" s="378">
        <v>0</v>
      </c>
      <c r="K26" s="173">
        <v>0</v>
      </c>
      <c r="L26" s="379">
        <v>8.756166058530658992631870973</v>
      </c>
      <c r="M26" s="378">
        <v>94.46212121212121212121212121</v>
      </c>
      <c r="N26" s="173">
        <v>71.249722530521642619311875694</v>
      </c>
      <c r="O26" s="379">
        <v>94.06055287406757349714787187</v>
      </c>
      <c r="P26" s="4"/>
      <c r="Q26" s="359">
        <v>11.940030523338063367760838250</v>
      </c>
      <c r="R26" s="170">
        <v>-11.894817662372007960206887670</v>
      </c>
      <c r="S26" s="360">
        <v>1.2405568459734700649115788300</v>
      </c>
      <c r="T26" s="359">
        <v>0</v>
      </c>
      <c r="U26" s="170">
        <v>-100</v>
      </c>
      <c r="V26" s="360">
        <v>-33.869665943862958210618722850</v>
      </c>
      <c r="W26" s="359">
        <v>0</v>
      </c>
      <c r="X26" s="170">
        <v>-100</v>
      </c>
      <c r="Y26" s="360">
        <v>9.164878305860822071408997470</v>
      </c>
      <c r="Z26" s="359">
        <v>11.940030523338063367760838250</v>
      </c>
      <c r="AA26" s="170">
        <v>-18.131624189467610145698127090</v>
      </c>
      <c r="AB26" s="360">
        <v>-3.9550097093672164156814998100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9</v>
      </c>
      <c r="C27" s="345" t="s">
        <v>50</v>
      </c>
      <c r="D27" s="370">
        <v>111.81818181818181818181818182</v>
      </c>
      <c r="E27" s="172">
        <v>79.51609322974472807991120977</v>
      </c>
      <c r="F27" s="371">
        <v>74.35268971472097280023424538</v>
      </c>
      <c r="G27" s="370">
        <v>0</v>
      </c>
      <c r="H27" s="172">
        <v>0</v>
      </c>
      <c r="I27" s="371">
        <v>16.940822483104479504455577487</v>
      </c>
      <c r="J27" s="370">
        <v>0</v>
      </c>
      <c r="K27" s="172">
        <v>0</v>
      </c>
      <c r="L27" s="371">
        <v>10.228536946536109783945543527</v>
      </c>
      <c r="M27" s="370">
        <v>111.81818181818181818181818182</v>
      </c>
      <c r="N27" s="172">
        <v>79.51609322974472807991120977</v>
      </c>
      <c r="O27" s="371">
        <v>101.52204914436156208863536639</v>
      </c>
      <c r="P27" s="4"/>
      <c r="Q27" s="327">
        <v>41.108986615721945387874790650</v>
      </c>
      <c r="R27" s="171">
        <v>3.7044217689689151625168771700</v>
      </c>
      <c r="S27" s="328">
        <v>-3.783212226702188221214452700</v>
      </c>
      <c r="T27" s="327">
        <v>-100</v>
      </c>
      <c r="U27" s="171">
        <v>-100</v>
      </c>
      <c r="V27" s="328">
        <v>-18.101642839391677518435803320</v>
      </c>
      <c r="W27" s="327">
        <v>0</v>
      </c>
      <c r="X27" s="171">
        <v>-100</v>
      </c>
      <c r="Y27" s="328">
        <v>5.8368646478557001939297438700</v>
      </c>
      <c r="Z27" s="327">
        <v>35.189595163984111638254181680</v>
      </c>
      <c r="AA27" s="171">
        <v>-11.652586415162743856193166390</v>
      </c>
      <c r="AB27" s="328">
        <v>-5.6712969732930679851483939300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10</v>
      </c>
      <c r="C28" s="347" t="s">
        <v>51</v>
      </c>
      <c r="D28" s="378">
        <v>132.34090909090909090909090909</v>
      </c>
      <c r="E28" s="173">
        <v>123.54051054384017758046614871</v>
      </c>
      <c r="F28" s="379">
        <v>87.12513852546427544996631238</v>
      </c>
      <c r="G28" s="378">
        <v>0</v>
      </c>
      <c r="H28" s="173">
        <v>2.3074361820199778024417314094</v>
      </c>
      <c r="I28" s="379">
        <v>22.361117184124642023153996511</v>
      </c>
      <c r="J28" s="378">
        <v>0</v>
      </c>
      <c r="K28" s="173">
        <v>0</v>
      </c>
      <c r="L28" s="379">
        <v>9.979518752894627941535241784</v>
      </c>
      <c r="M28" s="378">
        <v>132.34090909090909090909090909</v>
      </c>
      <c r="N28" s="173">
        <v>125.84794672586015538290788013</v>
      </c>
      <c r="O28" s="379">
        <v>119.46577446248354541465555068</v>
      </c>
      <c r="P28" s="4"/>
      <c r="Q28" s="359">
        <v>27.343636098608625482005555350</v>
      </c>
      <c r="R28" s="170">
        <v>22.648803193326026794832534350</v>
      </c>
      <c r="S28" s="360">
        <v>-11.855331061293778919300531710</v>
      </c>
      <c r="T28" s="359">
        <v>-100</v>
      </c>
      <c r="U28" s="170">
        <v>-88.02581730703332464363248488</v>
      </c>
      <c r="V28" s="360">
        <v>-27.973962512724808771180664910</v>
      </c>
      <c r="W28" s="359">
        <v>0</v>
      </c>
      <c r="X28" s="170">
        <v>0</v>
      </c>
      <c r="Y28" s="360">
        <v>8.911999177872025467751225540</v>
      </c>
      <c r="Z28" s="359">
        <v>-25.941156520277100024330968780</v>
      </c>
      <c r="AA28" s="170">
        <v>4.8757932327617859986603408900</v>
      </c>
      <c r="AB28" s="360">
        <v>-14.085629105232895599968984480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11</v>
      </c>
      <c r="C29" s="345" t="s">
        <v>52</v>
      </c>
      <c r="D29" s="370">
        <v>191.70454545454545454545454545</v>
      </c>
      <c r="E29" s="172">
        <v>188.30743618201997780244173139</v>
      </c>
      <c r="F29" s="371">
        <v>134.59964955239858007477544013</v>
      </c>
      <c r="G29" s="370">
        <v>0</v>
      </c>
      <c r="H29" s="172">
        <v>4.4195338512763596004439511651</v>
      </c>
      <c r="I29" s="371">
        <v>27.84415510863284310910040269</v>
      </c>
      <c r="J29" s="370">
        <v>0</v>
      </c>
      <c r="K29" s="172">
        <v>0</v>
      </c>
      <c r="L29" s="371">
        <v>10.793909248578054657282559995</v>
      </c>
      <c r="M29" s="370">
        <v>191.70454545454545454545454545</v>
      </c>
      <c r="N29" s="172">
        <v>192.72697003329633740288568257</v>
      </c>
      <c r="O29" s="371">
        <v>173.23771390960947784115840281</v>
      </c>
      <c r="P29" s="4"/>
      <c r="Q29" s="327">
        <v>55.254923614911410655560851520</v>
      </c>
      <c r="R29" s="171">
        <v>16.950477717545244440490986820</v>
      </c>
      <c r="S29" s="328">
        <v>-8.065873259037324018564824670</v>
      </c>
      <c r="T29" s="327">
        <v>-100</v>
      </c>
      <c r="U29" s="171">
        <v>-82.99484491494596003001172278</v>
      </c>
      <c r="V29" s="328">
        <v>-22.245055128860937427993717220</v>
      </c>
      <c r="W29" s="327">
        <v>0</v>
      </c>
      <c r="X29" s="171">
        <v>-100</v>
      </c>
      <c r="Y29" s="328">
        <v>9.107263988771083639176055930</v>
      </c>
      <c r="Z29" s="327">
        <v>-12.936521589543081052218419600</v>
      </c>
      <c r="AA29" s="171">
        <v>2.8845583130769263402102171100</v>
      </c>
      <c r="AB29" s="328">
        <v>-9.824566180514295666874295150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12</v>
      </c>
      <c r="C30" s="347" t="s">
        <v>53</v>
      </c>
      <c r="D30" s="378">
        <v>219.68939393939393939393939394</v>
      </c>
      <c r="E30" s="173">
        <v>177.25971143174250832408435073</v>
      </c>
      <c r="F30" s="379">
        <v>138.88203031466736039386346153</v>
      </c>
      <c r="G30" s="378">
        <v>0</v>
      </c>
      <c r="H30" s="173">
        <v>8.550499445061043285238623751</v>
      </c>
      <c r="I30" s="379">
        <v>29.00707134959240546225827153</v>
      </c>
      <c r="J30" s="378">
        <v>0</v>
      </c>
      <c r="K30" s="173">
        <v>0</v>
      </c>
      <c r="L30" s="379">
        <v>9.759208998311537347037547326</v>
      </c>
      <c r="M30" s="378">
        <v>219.68939393939393939393939394</v>
      </c>
      <c r="N30" s="173">
        <v>185.81021087680355160932297447</v>
      </c>
      <c r="O30" s="379">
        <v>177.64831066257130320315928039</v>
      </c>
      <c r="P30" s="4"/>
      <c r="Q30" s="359">
        <v>18.136635841460495481336052850</v>
      </c>
      <c r="R30" s="170">
        <v>-6.5125547370159612369980097100</v>
      </c>
      <c r="S30" s="360">
        <v>-10.849601721550969274899884250</v>
      </c>
      <c r="T30" s="359">
        <v>-100</v>
      </c>
      <c r="U30" s="170">
        <v>-69.649298206532474264941447300</v>
      </c>
      <c r="V30" s="360">
        <v>14.179533096141656515105239220</v>
      </c>
      <c r="W30" s="359">
        <v>0</v>
      </c>
      <c r="X30" s="170">
        <v>-100</v>
      </c>
      <c r="Y30" s="360">
        <v>-1.8995700698588634235965488900</v>
      </c>
      <c r="Z30" s="359">
        <v>-5.4113118925012291670018917100</v>
      </c>
      <c r="AA30" s="170">
        <v>-15.053817363329564675444017740</v>
      </c>
      <c r="AB30" s="360">
        <v>-7.0570514185113075427174332300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13</v>
      </c>
      <c r="C31" s="345" t="s">
        <v>49</v>
      </c>
      <c r="D31" s="370">
        <v>120.68939393939393939393939394</v>
      </c>
      <c r="E31" s="172">
        <v>89.9778024417314095449500555</v>
      </c>
      <c r="F31" s="371">
        <v>80.26958052260787870202949512</v>
      </c>
      <c r="G31" s="370">
        <v>0</v>
      </c>
      <c r="H31" s="172">
        <v>8.790233074361820199778024417</v>
      </c>
      <c r="I31" s="371">
        <v>8.452479868618084266462001232</v>
      </c>
      <c r="J31" s="370">
        <v>0</v>
      </c>
      <c r="K31" s="172">
        <v>0</v>
      </c>
      <c r="L31" s="371">
        <v>10.777610517067148045110960864</v>
      </c>
      <c r="M31" s="370">
        <v>120.68939393939393939393939394</v>
      </c>
      <c r="N31" s="172">
        <v>98.76803551609322974472807991</v>
      </c>
      <c r="O31" s="371">
        <v>99.49967090829311101360245722</v>
      </c>
      <c r="P31" s="4"/>
      <c r="Q31" s="327">
        <v>5.5802240042470981628473323400</v>
      </c>
      <c r="R31" s="171">
        <v>-22.231492431317427614498711580</v>
      </c>
      <c r="S31" s="328">
        <v>-26.347151479560491090436403800</v>
      </c>
      <c r="T31" s="327">
        <v>-100</v>
      </c>
      <c r="U31" s="171">
        <v>-49.899229716701813998619582590</v>
      </c>
      <c r="V31" s="328">
        <v>-44.232275110522611439930384640</v>
      </c>
      <c r="W31" s="327">
        <v>0</v>
      </c>
      <c r="X31" s="171">
        <v>-100</v>
      </c>
      <c r="Y31" s="328">
        <v>12.947482118464468181458375390</v>
      </c>
      <c r="Z31" s="327">
        <v>-14.948481127533495113034812180</v>
      </c>
      <c r="AA31" s="171">
        <v>-26.404014400056838411449209470</v>
      </c>
      <c r="AB31" s="328">
        <v>-25.570102925078121257833303560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14</v>
      </c>
      <c r="C32" s="347" t="s">
        <v>47</v>
      </c>
      <c r="D32" s="378">
        <v>108.10606060606060606060606061</v>
      </c>
      <c r="E32" s="173">
        <v>75.56048834628190899001109878</v>
      </c>
      <c r="F32" s="379">
        <v>78.213143111383650600584036425</v>
      </c>
      <c r="G32" s="378">
        <v>0</v>
      </c>
      <c r="H32" s="173">
        <v>3.8457269700332963374028856826</v>
      </c>
      <c r="I32" s="379">
        <v>9.325265873953155841296048417</v>
      </c>
      <c r="J32" s="378">
        <v>0</v>
      </c>
      <c r="K32" s="173">
        <v>0</v>
      </c>
      <c r="L32" s="379">
        <v>10.363960474952794260182223187</v>
      </c>
      <c r="M32" s="378">
        <v>108.10606060606060606060606061</v>
      </c>
      <c r="N32" s="173">
        <v>79.40621531631520532741398446</v>
      </c>
      <c r="O32" s="379">
        <v>97.90236946028960070206230803</v>
      </c>
      <c r="P32" s="4"/>
      <c r="Q32" s="359">
        <v>33.514221556881230755181254450</v>
      </c>
      <c r="R32" s="170">
        <v>-14.789079041636867898787111270</v>
      </c>
      <c r="S32" s="360">
        <v>-13.394429408837643516888972510</v>
      </c>
      <c r="T32" s="359">
        <v>0</v>
      </c>
      <c r="U32" s="170">
        <v>-30.059162215990385144200567890</v>
      </c>
      <c r="V32" s="360">
        <v>-18.004291302544767737791951200</v>
      </c>
      <c r="W32" s="359">
        <v>0</v>
      </c>
      <c r="X32" s="170">
        <v>-100</v>
      </c>
      <c r="Y32" s="360">
        <v>12.167910490948643015004377310</v>
      </c>
      <c r="Z32" s="359">
        <v>33.514221556881230755181254450</v>
      </c>
      <c r="AA32" s="170">
        <v>-16.809469180636963031921931750</v>
      </c>
      <c r="AB32" s="360">
        <v>-11.737766833451560562997149220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15</v>
      </c>
      <c r="C33" s="345" t="s">
        <v>48</v>
      </c>
      <c r="D33" s="370">
        <v>96.17424242424242424242424242</v>
      </c>
      <c r="E33" s="172">
        <v>80.03329633740288568257491676</v>
      </c>
      <c r="F33" s="371">
        <v>80.8303831440075569028836866</v>
      </c>
      <c r="G33" s="370">
        <v>0</v>
      </c>
      <c r="H33" s="172">
        <v>3.894561598224195338512763596</v>
      </c>
      <c r="I33" s="371">
        <v>12.789878138578311544244468991</v>
      </c>
      <c r="J33" s="370">
        <v>0</v>
      </c>
      <c r="K33" s="172">
        <v>0</v>
      </c>
      <c r="L33" s="371">
        <v>10.721335909164899433521252043</v>
      </c>
      <c r="M33" s="370">
        <v>96.17424242424242424242424242</v>
      </c>
      <c r="N33" s="172">
        <v>83.92785793562708102108768036</v>
      </c>
      <c r="O33" s="371">
        <v>104.34159719175076788064940763</v>
      </c>
      <c r="P33" s="4"/>
      <c r="Q33" s="327">
        <v>13.378583549108250418158881280</v>
      </c>
      <c r="R33" s="171">
        <v>-8.101829710273872539945128600</v>
      </c>
      <c r="S33" s="328">
        <v>-2.783394960278221782752694600</v>
      </c>
      <c r="T33" s="327">
        <v>0</v>
      </c>
      <c r="U33" s="171">
        <v>22.842136828961060490477266660</v>
      </c>
      <c r="V33" s="328">
        <v>23.328673443142154530849514040</v>
      </c>
      <c r="W33" s="327">
        <v>0</v>
      </c>
      <c r="X33" s="171">
        <v>-100</v>
      </c>
      <c r="Y33" s="328">
        <v>5.8967022010948552394616867600</v>
      </c>
      <c r="Z33" s="327">
        <v>13.378583549108250418158881280</v>
      </c>
      <c r="AA33" s="171">
        <v>-7.3428619624836486599844305900</v>
      </c>
      <c r="AB33" s="328">
        <v>0.6774185232664577548544586700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16</v>
      </c>
      <c r="C34" s="347" t="s">
        <v>50</v>
      </c>
      <c r="D34" s="378">
        <v>100.95454545454545454545454545</v>
      </c>
      <c r="E34" s="173">
        <v>85.86348501664816870144284128</v>
      </c>
      <c r="F34" s="379">
        <v>86.12635461123244654942995385</v>
      </c>
      <c r="G34" s="378">
        <v>1.1287878787878787878787878788</v>
      </c>
      <c r="H34" s="173">
        <v>4.2963374028856825749167591561</v>
      </c>
      <c r="I34" s="379">
        <v>19.334054611278791993847628053</v>
      </c>
      <c r="J34" s="378">
        <v>0</v>
      </c>
      <c r="K34" s="173">
        <v>0</v>
      </c>
      <c r="L34" s="379">
        <v>10.897094068405830346586393522</v>
      </c>
      <c r="M34" s="378">
        <v>102.08333333333333333333333333</v>
      </c>
      <c r="N34" s="173">
        <v>90.15982241953385127635960044</v>
      </c>
      <c r="O34" s="379">
        <v>116.35750329091706888986397543</v>
      </c>
      <c r="P34" s="4"/>
      <c r="Q34" s="359">
        <v>0.6115515288879376264125832700</v>
      </c>
      <c r="R34" s="170">
        <v>-6.4693660016895117188031664800</v>
      </c>
      <c r="S34" s="360">
        <v>-4.5486685911595755083231618200</v>
      </c>
      <c r="T34" s="359">
        <v>-84.97983870977432362122726243</v>
      </c>
      <c r="U34" s="170">
        <v>225.37507899975984274092799649</v>
      </c>
      <c r="V34" s="360">
        <v>41.260065567610341211808943390</v>
      </c>
      <c r="W34" s="359">
        <v>0</v>
      </c>
      <c r="X34" s="170">
        <v>-100</v>
      </c>
      <c r="Y34" s="360">
        <v>5.8205309491280073098253595200</v>
      </c>
      <c r="Z34" s="359">
        <v>-5.3522511765464752612124716100</v>
      </c>
      <c r="AA34" s="170">
        <v>-3.5129530793161394411295311200</v>
      </c>
      <c r="AB34" s="360">
        <v>1.8756626722075254439233141500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17</v>
      </c>
      <c r="C35" s="345" t="s">
        <v>51</v>
      </c>
      <c r="D35" s="370">
        <v>127.71969696969696969696969697</v>
      </c>
      <c r="E35" s="172">
        <v>108.24750277469478357380688125</v>
      </c>
      <c r="F35" s="371">
        <v>100.89485593454502279225935985</v>
      </c>
      <c r="G35" s="370">
        <v>2.2575757575757575757575757576</v>
      </c>
      <c r="H35" s="172">
        <v>11.624861265260821309655937847</v>
      </c>
      <c r="I35" s="371">
        <v>22.570737365824471538332352433</v>
      </c>
      <c r="J35" s="370">
        <v>0</v>
      </c>
      <c r="K35" s="172">
        <v>0</v>
      </c>
      <c r="L35" s="371">
        <v>10.781115782561615805432859897</v>
      </c>
      <c r="M35" s="370">
        <v>129.97727272727272727272727273</v>
      </c>
      <c r="N35" s="172">
        <v>119.87236403995560488346281909</v>
      </c>
      <c r="O35" s="371">
        <v>134.24670908293111013602457218</v>
      </c>
      <c r="P35" s="4"/>
      <c r="Q35" s="327">
        <v>43.835850183357818010314807020</v>
      </c>
      <c r="R35" s="171">
        <v>-1.1264769417975626400112999100</v>
      </c>
      <c r="S35" s="328">
        <v>-0.2309660312070071011017824500</v>
      </c>
      <c r="T35" s="327">
        <v>-68.432203389763627549554583960</v>
      </c>
      <c r="U35" s="171">
        <v>801.5405005734749966848903788</v>
      </c>
      <c r="V35" s="328">
        <v>59.366457679214123594716440240</v>
      </c>
      <c r="W35" s="327">
        <v>0</v>
      </c>
      <c r="X35" s="171">
        <v>0</v>
      </c>
      <c r="Y35" s="328">
        <v>4.0087929577034096947584071200</v>
      </c>
      <c r="Z35" s="327">
        <v>35.467824713735343758479673010</v>
      </c>
      <c r="AA35" s="171">
        <v>8.217137394415245809386696170</v>
      </c>
      <c r="AB35" s="328">
        <v>6.8360083600828122873683888500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18</v>
      </c>
      <c r="C36" s="347" t="s">
        <v>52</v>
      </c>
      <c r="D36" s="378">
        <v>194.12121212121212121212121212</v>
      </c>
      <c r="E36" s="173">
        <v>160.49278579356270810210876803</v>
      </c>
      <c r="F36" s="379">
        <v>130.94486031549212188047789348</v>
      </c>
      <c r="G36" s="378">
        <v>8.136363636363636363636363636</v>
      </c>
      <c r="H36" s="173">
        <v>22.177580466148723640399556047</v>
      </c>
      <c r="I36" s="379">
        <v>15.60970243846622895828806259</v>
      </c>
      <c r="J36" s="378">
        <v>0</v>
      </c>
      <c r="K36" s="173">
        <v>0</v>
      </c>
      <c r="L36" s="379">
        <v>10.153642599266747888746110625</v>
      </c>
      <c r="M36" s="378">
        <v>202.25757575757575757575757576</v>
      </c>
      <c r="N36" s="173">
        <v>182.67036625971143174250832408</v>
      </c>
      <c r="O36" s="379">
        <v>156.7082053532250987275120667</v>
      </c>
      <c r="P36" s="4"/>
      <c r="Q36" s="359">
        <v>11.773173391521305551624537370</v>
      </c>
      <c r="R36" s="170">
        <v>-5.6123100146657973223511708400</v>
      </c>
      <c r="S36" s="360">
        <v>-2.6158339425097137444339390300</v>
      </c>
      <c r="T36" s="359">
        <v>-27.579231287617334511288436240</v>
      </c>
      <c r="U36" s="170">
        <v>143.17433582330525049131911801</v>
      </c>
      <c r="V36" s="360">
        <v>24.054715491917243301798167920</v>
      </c>
      <c r="W36" s="359">
        <v>0</v>
      </c>
      <c r="X36" s="170">
        <v>-100</v>
      </c>
      <c r="Y36" s="360">
        <v>-16.806041187983889457784024550</v>
      </c>
      <c r="Z36" s="359">
        <v>9.382169780394491207647637110</v>
      </c>
      <c r="AA36" s="170">
        <v>1.5092553277862812401041238400</v>
      </c>
      <c r="AB36" s="360">
        <v>-1.5960220234554856375090746300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19</v>
      </c>
      <c r="C37" s="349" t="s">
        <v>53</v>
      </c>
      <c r="D37" s="380">
        <v>188.26515151515151515151515152</v>
      </c>
      <c r="E37" s="383">
        <v>182.22863485016648168701442841</v>
      </c>
      <c r="F37" s="381">
        <v>148.10386045228793845975808374</v>
      </c>
      <c r="G37" s="380">
        <v>16.810606060606060606060606061</v>
      </c>
      <c r="H37" s="383">
        <v>27.526082130965593784683684795</v>
      </c>
      <c r="I37" s="381">
        <v>14.534492156696914234380059471</v>
      </c>
      <c r="J37" s="380">
        <v>0</v>
      </c>
      <c r="K37" s="383">
        <v>0</v>
      </c>
      <c r="L37" s="381">
        <v>10.933279685881316678393668977</v>
      </c>
      <c r="M37" s="380">
        <v>205.07575757575757575757575758</v>
      </c>
      <c r="N37" s="383">
        <v>209.75471698113207547169811321</v>
      </c>
      <c r="O37" s="381">
        <v>173.5716322948661693725318122</v>
      </c>
      <c r="P37" s="4"/>
      <c r="Q37" s="329">
        <v>5.3186980844068053977847897200</v>
      </c>
      <c r="R37" s="330">
        <v>11.000706694670551180869033690</v>
      </c>
      <c r="S37" s="332">
        <v>4.1172607561889118583391317200</v>
      </c>
      <c r="T37" s="329">
        <v>46.953642384028104030525018230</v>
      </c>
      <c r="U37" s="330">
        <v>136.40282474437209423487024215</v>
      </c>
      <c r="V37" s="332">
        <v>22.567149344018955499156179960</v>
      </c>
      <c r="W37" s="329">
        <v>0</v>
      </c>
      <c r="X37" s="330">
        <v>-100</v>
      </c>
      <c r="Y37" s="332">
        <v>-4.2874387642174196992246288100</v>
      </c>
      <c r="Z37" s="329">
        <v>7.8228311957129255427076056900</v>
      </c>
      <c r="AA37" s="330">
        <v>18.873844587774739245113772290</v>
      </c>
      <c r="AB37" s="332">
        <v>4.8589985493388578642127784500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123.77840909090909090909090909</v>
      </c>
      <c r="E39" s="382">
        <v>103.19492182278553543045777546</v>
      </c>
      <c r="F39" s="375">
        <v>85.51453528882616324563115589</v>
      </c>
      <c r="G39" s="374">
        <v>0</v>
      </c>
      <c r="H39" s="382">
        <v>25.681085120129349934088232897</v>
      </c>
      <c r="I39" s="375">
        <v>12.330136175198109981061089365</v>
      </c>
      <c r="J39" s="374">
        <v>0</v>
      </c>
      <c r="K39" s="382">
        <v>0</v>
      </c>
      <c r="L39" s="375">
        <v>10.495014878820422917938554136</v>
      </c>
      <c r="M39" s="374">
        <v>123.77840909090909090909090909</v>
      </c>
      <c r="N39" s="382">
        <v>128.87600694291488536454600836</v>
      </c>
      <c r="O39" s="375">
        <v>108.33968634284469614463079939</v>
      </c>
      <c r="P39" s="4"/>
      <c r="Q39" s="354">
        <v>14.903829248550947103730996030</v>
      </c>
      <c r="R39" s="355">
        <v>1.0005977831346227276515771200</v>
      </c>
      <c r="S39" s="356">
        <v>-5.1316860353984818744350159700</v>
      </c>
      <c r="T39" s="354">
        <v>-100</v>
      </c>
      <c r="U39" s="355">
        <v>240.54490511351960388762013334</v>
      </c>
      <c r="V39" s="356">
        <v>1.871475541778686093995803500</v>
      </c>
      <c r="W39" s="354">
        <v>0</v>
      </c>
      <c r="X39" s="355">
        <v>-100</v>
      </c>
      <c r="Y39" s="356">
        <v>-1.1113553086132482986472377600</v>
      </c>
      <c r="Z39" s="354">
        <v>7.989094514221598317992250800</v>
      </c>
      <c r="AA39" s="355">
        <v>16.113303079097991599208105240</v>
      </c>
      <c r="AB39" s="356">
        <v>-4.0025454889334487165051227500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108.19318181818181818181818182</v>
      </c>
      <c r="E40" s="172">
        <v>82.51164366268501400909458825</v>
      </c>
      <c r="F40" s="371">
        <v>77.046759281095397134516294299</v>
      </c>
      <c r="G40" s="370">
        <v>0</v>
      </c>
      <c r="H40" s="172">
        <v>25.966237440166179620012792711</v>
      </c>
      <c r="I40" s="371">
        <v>12.874956185038264264354259954</v>
      </c>
      <c r="J40" s="370">
        <v>0</v>
      </c>
      <c r="K40" s="172">
        <v>0</v>
      </c>
      <c r="L40" s="371">
        <v>9.565460530381259097753274978</v>
      </c>
      <c r="M40" s="370">
        <v>108.19318181818181818181818182</v>
      </c>
      <c r="N40" s="172">
        <v>108.47788110285119362910738096</v>
      </c>
      <c r="O40" s="371">
        <v>99.48717599651492049662382923</v>
      </c>
      <c r="P40" s="4"/>
      <c r="Q40" s="327">
        <v>26.505303718170313780845572280</v>
      </c>
      <c r="R40" s="171">
        <v>-0.0103748398526145733497204600</v>
      </c>
      <c r="S40" s="328">
        <v>-0.9326147742468386477912410500</v>
      </c>
      <c r="T40" s="327">
        <v>-100</v>
      </c>
      <c r="U40" s="171">
        <v>500.27051687551021247277043516</v>
      </c>
      <c r="V40" s="328">
        <v>23.487622314564839282877134310</v>
      </c>
      <c r="W40" s="327">
        <v>0</v>
      </c>
      <c r="X40" s="171">
        <v>-100</v>
      </c>
      <c r="Y40" s="328">
        <v>-3.3388300556698633690938651300</v>
      </c>
      <c r="Z40" s="327">
        <v>19.265940122772818834034600810</v>
      </c>
      <c r="AA40" s="171">
        <v>23.152956715705638295898109890</v>
      </c>
      <c r="AB40" s="328">
        <v>1.4201936577564368079634703500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105.05113636363636363636363636</v>
      </c>
      <c r="E41" s="173">
        <v>80.82123874408664998447460227</v>
      </c>
      <c r="F41" s="379">
        <v>79.216595017140624333049097683</v>
      </c>
      <c r="G41" s="378">
        <v>0</v>
      </c>
      <c r="H41" s="173">
        <v>25.436854339536687750407474538</v>
      </c>
      <c r="I41" s="379">
        <v>13.888127943458387072983332149</v>
      </c>
      <c r="J41" s="378">
        <v>0</v>
      </c>
      <c r="K41" s="173">
        <v>0</v>
      </c>
      <c r="L41" s="379">
        <v>9.725996243685609864051732372</v>
      </c>
      <c r="M41" s="378">
        <v>105.05113636363636363636363636</v>
      </c>
      <c r="N41" s="173">
        <v>106.25809308362333773488207682</v>
      </c>
      <c r="O41" s="379">
        <v>102.8307192042846212700841622</v>
      </c>
      <c r="P41" s="4"/>
      <c r="Q41" s="359">
        <v>26.732469668998139677657960450</v>
      </c>
      <c r="R41" s="170">
        <v>-3.3646013081115826024379962400</v>
      </c>
      <c r="S41" s="360">
        <v>2.1064085599098992828910803600</v>
      </c>
      <c r="T41" s="359">
        <v>-100</v>
      </c>
      <c r="U41" s="170">
        <v>587.99844684013506169813000424</v>
      </c>
      <c r="V41" s="360">
        <v>23.421320901278193774248253460</v>
      </c>
      <c r="W41" s="359">
        <v>0</v>
      </c>
      <c r="X41" s="170">
        <v>-100</v>
      </c>
      <c r="Y41" s="360">
        <v>-9.636259006040932947548144160</v>
      </c>
      <c r="Z41" s="359">
        <v>20.232805150334570588873064190</v>
      </c>
      <c r="AA41" s="170">
        <v>20.951838821445767093081368060</v>
      </c>
      <c r="AB41" s="360">
        <v>3.2455890684381684931062344400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108.50378787878787878787878788</v>
      </c>
      <c r="E42" s="172">
        <v>82.93048978086152414004186692</v>
      </c>
      <c r="F42" s="371">
        <v>78.573173882289835966940146213</v>
      </c>
      <c r="G42" s="370">
        <v>5.0321969696969696969696969697</v>
      </c>
      <c r="H42" s="172">
        <v>15.02854237443972766901615509</v>
      </c>
      <c r="I42" s="371">
        <v>16.410174633881644680294805253</v>
      </c>
      <c r="J42" s="370">
        <v>0</v>
      </c>
      <c r="K42" s="172">
        <v>0</v>
      </c>
      <c r="L42" s="371">
        <v>10.325565026292176583063441805</v>
      </c>
      <c r="M42" s="370">
        <v>113.53598484848484848484848485</v>
      </c>
      <c r="N42" s="172">
        <v>97.95903215530125180905802201</v>
      </c>
      <c r="O42" s="371">
        <v>105.30891354246365723029839327</v>
      </c>
      <c r="P42" s="4"/>
      <c r="Q42" s="327">
        <v>26.683324856852018955805602080</v>
      </c>
      <c r="R42" s="171">
        <v>-8.532809242033907323649903100</v>
      </c>
      <c r="S42" s="328">
        <v>-7.3570888209876525251523795100</v>
      </c>
      <c r="T42" s="327">
        <v>83.24137931115361712247681597</v>
      </c>
      <c r="U42" s="171">
        <v>169.07773155383476076515003535</v>
      </c>
      <c r="V42" s="328">
        <v>20.606539210684167485073600360</v>
      </c>
      <c r="W42" s="327">
        <v>0</v>
      </c>
      <c r="X42" s="171">
        <v>-100</v>
      </c>
      <c r="Y42" s="328">
        <v>2.3972071098438520186911022500</v>
      </c>
      <c r="Z42" s="327">
        <v>28.440425942241993261555577300</v>
      </c>
      <c r="AA42" s="171">
        <v>1.0606020889898969072763647900</v>
      </c>
      <c r="AB42" s="328">
        <v>-2.9439057416052609637911532300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129.24810606060606060606060606</v>
      </c>
      <c r="E43" s="173">
        <v>115.79733810602452605606170418</v>
      </c>
      <c r="F43" s="379">
        <v>92.32904563808185112565965401</v>
      </c>
      <c r="G43" s="378">
        <v>5.3143939393939393939393939394</v>
      </c>
      <c r="H43" s="173">
        <v>7.0655808245388041363780180588</v>
      </c>
      <c r="I43" s="379">
        <v>18.440989738898974311279712768</v>
      </c>
      <c r="J43" s="378">
        <v>0</v>
      </c>
      <c r="K43" s="173">
        <v>0</v>
      </c>
      <c r="L43" s="379">
        <v>10.802431559296363326859955549</v>
      </c>
      <c r="M43" s="378">
        <v>134.562500000</v>
      </c>
      <c r="N43" s="173">
        <v>122.86291893056333019243972224</v>
      </c>
      <c r="O43" s="379">
        <v>121.57246693627718876379932233</v>
      </c>
      <c r="P43" s="4"/>
      <c r="Q43" s="359">
        <v>14.864000538639568464413862680</v>
      </c>
      <c r="R43" s="170">
        <v>-7.9071168663663240399387190600</v>
      </c>
      <c r="S43" s="360">
        <v>-12.743151823391951092237921030</v>
      </c>
      <c r="T43" s="359">
        <v>-74.052154614438664248568492310</v>
      </c>
      <c r="U43" s="170">
        <v>-22.202787569144588856907233760</v>
      </c>
      <c r="V43" s="360">
        <v>9.235521847523728060642849270</v>
      </c>
      <c r="W43" s="359">
        <v>0</v>
      </c>
      <c r="X43" s="170">
        <v>-100</v>
      </c>
      <c r="Y43" s="360">
        <v>9.495860715541231764863657870</v>
      </c>
      <c r="Z43" s="359">
        <v>1.1719306239761982690742253900</v>
      </c>
      <c r="AA43" s="170">
        <v>-9.326675302336982618241558610</v>
      </c>
      <c r="AB43" s="360">
        <v>-8.289014648180005218053052530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193.70075757575757575757575758</v>
      </c>
      <c r="E44" s="172">
        <v>180.5892367779243913300891583</v>
      </c>
      <c r="F44" s="371">
        <v>131.98432280516291469429769028</v>
      </c>
      <c r="G44" s="370">
        <v>2.0340909090909090909090909091</v>
      </c>
      <c r="H44" s="172">
        <v>8.658233790971307006598162331</v>
      </c>
      <c r="I44" s="371">
        <v>17.341910196827673759224287616</v>
      </c>
      <c r="J44" s="370">
        <v>0</v>
      </c>
      <c r="K44" s="172">
        <v>0</v>
      </c>
      <c r="L44" s="371">
        <v>10.597775086325074460457692012</v>
      </c>
      <c r="M44" s="370">
        <v>195.73484848484848484848484848</v>
      </c>
      <c r="N44" s="172">
        <v>189.24747056889569833668732063</v>
      </c>
      <c r="O44" s="371">
        <v>159.92400808831566291397966991</v>
      </c>
      <c r="P44" s="4"/>
      <c r="Q44" s="327">
        <v>18.688638737348745207059108600</v>
      </c>
      <c r="R44" s="171">
        <v>6.7959174618835520573214586500</v>
      </c>
      <c r="S44" s="328">
        <v>-4.9567851507060129515759926600</v>
      </c>
      <c r="T44" s="327">
        <v>-92.46262895640614519535570901</v>
      </c>
      <c r="U44" s="171">
        <v>-34.541305072346264651620598450</v>
      </c>
      <c r="V44" s="328">
        <v>-5.6005640488388734486964727500</v>
      </c>
      <c r="W44" s="327">
        <v>0</v>
      </c>
      <c r="X44" s="171">
        <v>-100</v>
      </c>
      <c r="Y44" s="328">
        <v>-2.4125954639187287421097177400</v>
      </c>
      <c r="Z44" s="327">
        <v>2.9167786972584869397225624600</v>
      </c>
      <c r="AA44" s="171">
        <v>3.2538873536212007541328698800</v>
      </c>
      <c r="AB44" s="328">
        <v>-4.8627769427764639083783876600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197.56060606060606060606060606</v>
      </c>
      <c r="E45" s="385">
        <v>180.92970904518638471999391441</v>
      </c>
      <c r="F45" s="386">
        <v>138.55410377706558838483912455</v>
      </c>
      <c r="G45" s="384">
        <v>4.2026515151515151515151515152</v>
      </c>
      <c r="H45" s="385">
        <v>10.877084390739922824704726338</v>
      </c>
      <c r="I45" s="386">
        <v>15.915276727321302728679214857</v>
      </c>
      <c r="J45" s="384">
        <v>0</v>
      </c>
      <c r="K45" s="385">
        <v>0</v>
      </c>
      <c r="L45" s="386">
        <v>10.859589874889532539339896461</v>
      </c>
      <c r="M45" s="384">
        <v>201.76325757575757575757575758</v>
      </c>
      <c r="N45" s="385">
        <v>191.80679343592630754469864076</v>
      </c>
      <c r="O45" s="386">
        <v>165.32897037927642365285823587</v>
      </c>
      <c r="P45" s="4"/>
      <c r="Q45" s="364">
        <v>5.0124329276171250303916611400</v>
      </c>
      <c r="R45" s="365">
        <v>4.5107542189405885041061139400</v>
      </c>
      <c r="S45" s="366">
        <v>-3.3155125096221103998347040300</v>
      </c>
      <c r="T45" s="364">
        <v>-70.883086209134451089324033660</v>
      </c>
      <c r="U45" s="365">
        <v>-22.996005137305121545004603890</v>
      </c>
      <c r="V45" s="366">
        <v>-0.1182937997554362458072889400</v>
      </c>
      <c r="W45" s="364">
        <v>0</v>
      </c>
      <c r="X45" s="365">
        <v>-100</v>
      </c>
      <c r="Y45" s="366">
        <v>3.1311908286017540660449644300</v>
      </c>
      <c r="Z45" s="364">
        <v>-0.3954971296101009257174602900</v>
      </c>
      <c r="AA45" s="365">
        <v>1.9573592037917558537632851700</v>
      </c>
      <c r="AB45" s="366">
        <v>-2.6155755331199212951515881100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133.71861471861471861471861472</v>
      </c>
      <c r="E47" s="382">
        <v>111.77199936578404946884414143</v>
      </c>
      <c r="F47" s="375">
        <v>100.76900544165094512677464415</v>
      </c>
      <c r="G47" s="374">
        <v>4.0476190476190476190476190476</v>
      </c>
      <c r="H47" s="382">
        <v>11.73648327255430474076423022</v>
      </c>
      <c r="I47" s="375">
        <v>14.659515779059422625264374455</v>
      </c>
      <c r="J47" s="374">
        <v>0</v>
      </c>
      <c r="K47" s="382">
        <v>0</v>
      </c>
      <c r="L47" s="375">
        <v>10.661148433900050351139067016</v>
      </c>
      <c r="M47" s="374">
        <v>137.76623376623376623376623377</v>
      </c>
      <c r="N47" s="382">
        <v>123.50848263833835420960837165</v>
      </c>
      <c r="O47" s="375">
        <v>126.08966965461041810317808563</v>
      </c>
      <c r="P47" s="4"/>
      <c r="Q47" s="354">
        <v>13.917444980256915925903027090</v>
      </c>
      <c r="R47" s="355">
        <v>-5.3869222870807849905515421900</v>
      </c>
      <c r="S47" s="356">
        <v>-6.0123781731732090393427221700</v>
      </c>
      <c r="T47" s="354">
        <v>-56.364484891033397778860716190</v>
      </c>
      <c r="U47" s="355">
        <v>65.677101639627962579109824110</v>
      </c>
      <c r="V47" s="356">
        <v>15.052697932420276952931395610</v>
      </c>
      <c r="W47" s="354">
        <v>0</v>
      </c>
      <c r="X47" s="355">
        <v>-100</v>
      </c>
      <c r="Y47" s="356">
        <v>1.9546701090265071209086269500</v>
      </c>
      <c r="Z47" s="354">
        <v>8.770250871563932616779791100</v>
      </c>
      <c r="AA47" s="355">
        <v>-1.8495932076896033722791112300</v>
      </c>
      <c r="AB47" s="356">
        <v>-3.3154832801692860701317642800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138.00514069264069264069264069</v>
      </c>
      <c r="E48" s="172">
        <v>118.11065399136486081003051568</v>
      </c>
      <c r="F48" s="371">
        <v>97.58584451084135580518801374</v>
      </c>
      <c r="G48" s="370">
        <v>2.369047619047619047619047619</v>
      </c>
      <c r="H48" s="172">
        <v>16.959088325788854134457937424</v>
      </c>
      <c r="I48" s="371">
        <v>15.311718270788813437955242677</v>
      </c>
      <c r="J48" s="370">
        <v>0</v>
      </c>
      <c r="K48" s="172">
        <v>0</v>
      </c>
      <c r="L48" s="371">
        <v>10.33851561609869877850736985</v>
      </c>
      <c r="M48" s="370">
        <v>140.37418831168831168831168831</v>
      </c>
      <c r="N48" s="172">
        <v>135.06974231715371494448845311</v>
      </c>
      <c r="O48" s="371">
        <v>123.23607839772886802165062628</v>
      </c>
      <c r="P48" s="4"/>
      <c r="Q48" s="327">
        <v>17.003945497120680136511529230</v>
      </c>
      <c r="R48" s="171">
        <v>-0.0215568374416801980244454300</v>
      </c>
      <c r="S48" s="328">
        <v>-4.9047375065305078713836102100</v>
      </c>
      <c r="T48" s="327">
        <v>-79.58165240297397720272545849</v>
      </c>
      <c r="U48" s="171">
        <v>106.15808915595846239365321355</v>
      </c>
      <c r="V48" s="328">
        <v>8.723995489693928623022283010</v>
      </c>
      <c r="W48" s="327">
        <v>0</v>
      </c>
      <c r="X48" s="171">
        <v>-100</v>
      </c>
      <c r="Y48" s="328">
        <v>-0.3315232380921853300153175700</v>
      </c>
      <c r="Z48" s="327">
        <v>8.353817590197181343370087890</v>
      </c>
      <c r="AA48" s="171">
        <v>6.1431809261507963796267647400</v>
      </c>
      <c r="AB48" s="328">
        <v>-3.0210283439980043478242743700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139.94098883572567783094098884</v>
      </c>
      <c r="E49" s="385">
        <v>118.53226782867179955089033055</v>
      </c>
      <c r="F49" s="386">
        <v>97.62321255218208248167765665</v>
      </c>
      <c r="G49" s="384">
        <v>1.4912280701754385964912280702</v>
      </c>
      <c r="H49" s="385">
        <v>6.2300950786168360558954246589</v>
      </c>
      <c r="I49" s="386">
        <v>13.229827717663845710960213928</v>
      </c>
      <c r="J49" s="384">
        <v>0</v>
      </c>
      <c r="K49" s="385">
        <v>0</v>
      </c>
      <c r="L49" s="386">
        <v>10.257061113493948484575126798</v>
      </c>
      <c r="M49" s="384">
        <v>141.43221690590111642743221691</v>
      </c>
      <c r="N49" s="385">
        <v>124.76236290728863560678575522</v>
      </c>
      <c r="O49" s="386">
        <v>121.11010138333987667721299739</v>
      </c>
      <c r="P49" s="4"/>
      <c r="Q49" s="364">
        <v>17.722903124125094685912848610</v>
      </c>
      <c r="R49" s="365">
        <v>-1.5155423558458454596651220700</v>
      </c>
      <c r="S49" s="366">
        <v>-5.1090219778564282065552750300</v>
      </c>
      <c r="T49" s="364">
        <v>-89.68731042849586036207542415</v>
      </c>
      <c r="U49" s="365">
        <v>-15.755757288475762742706795730</v>
      </c>
      <c r="V49" s="366">
        <v>-2.6895363361063279873376687700</v>
      </c>
      <c r="W49" s="364">
        <v>0</v>
      </c>
      <c r="X49" s="365">
        <v>-100</v>
      </c>
      <c r="Y49" s="366">
        <v>1.9082869032419640110151867500</v>
      </c>
      <c r="Z49" s="364">
        <v>6.0741626794523558612440257700</v>
      </c>
      <c r="AA49" s="365">
        <v>-2.8895715788663592789928270600</v>
      </c>
      <c r="AB49" s="366">
        <v>-4.2909139812332366538392492400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9"/>
</worksheet>
</file>

<file path=xl/worksheets/sheet8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158</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178</v>
      </c>
      <c r="B4" s="443"/>
      <c r="C4" s="211"/>
      <c r="D4" s="212"/>
      <c r="E4" s="212"/>
      <c r="F4" s="212"/>
      <c r="G4" s="212"/>
      <c r="H4" s="212"/>
      <c r="I4" s="212"/>
      <c r="J4" s="212"/>
      <c r="K4" s="212"/>
      <c r="L4" s="212"/>
      <c r="M4" s="212"/>
      <c r="N4" s="212"/>
      <c r="O4" s="212"/>
      <c r="P4" s="212"/>
      <c r="Q4" s="667" t="s">
        <v>180</v>
      </c>
      <c r="R4" s="667"/>
      <c r="S4" s="667"/>
      <c r="T4" s="667"/>
      <c r="U4" s="667"/>
      <c r="V4" s="667"/>
      <c r="W4" s="667"/>
      <c r="X4" s="66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3" t="s">
        <v>33</v>
      </c>
      <c r="E8" s="683"/>
      <c r="F8" s="683"/>
      <c r="G8" s="683" t="s">
        <v>30</v>
      </c>
      <c r="H8" s="683"/>
      <c r="I8" s="683"/>
      <c r="J8" s="683" t="s">
        <v>29</v>
      </c>
      <c r="K8" s="683"/>
      <c r="L8" s="683"/>
      <c r="M8" s="683" t="s">
        <v>94</v>
      </c>
      <c r="N8" s="683"/>
      <c r="O8" s="683"/>
      <c r="Q8" s="683" t="s">
        <v>33</v>
      </c>
      <c r="R8" s="683"/>
      <c r="S8" s="683"/>
      <c r="T8" s="683" t="s">
        <v>30</v>
      </c>
      <c r="U8" s="683"/>
      <c r="V8" s="683"/>
      <c r="W8" s="683" t="s">
        <v>29</v>
      </c>
      <c r="X8" s="683"/>
      <c r="Y8" s="683"/>
      <c r="Z8" s="684" t="s">
        <v>23</v>
      </c>
      <c r="AA8" s="684"/>
      <c r="AB8" s="684"/>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94" t="s">
        <v>63</v>
      </c>
      <c r="AA9" s="94" t="s">
        <v>26</v>
      </c>
      <c r="AB9" s="95" t="s">
        <v>181</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182</v>
      </c>
      <c r="B10" s="342">
        <v>22</v>
      </c>
      <c r="C10" s="343" t="s">
        <v>49</v>
      </c>
      <c r="D10" s="374">
        <v>224.25882352941176470588235294</v>
      </c>
      <c r="E10" s="382">
        <v>234.12</v>
      </c>
      <c r="F10" s="375">
        <v>178.02617581187010078387458007</v>
      </c>
      <c r="G10" s="374">
        <v>5.0588235294117647058823529412</v>
      </c>
      <c r="H10" s="382">
        <v>113.2677517087283060091970735</v>
      </c>
      <c r="I10" s="375">
        <v>55.65041674674813511023584285</v>
      </c>
      <c r="J10" s="374">
        <v>28.882352941176470588235294118</v>
      </c>
      <c r="K10" s="382">
        <v>22.80867670493993576112567584</v>
      </c>
      <c r="L10" s="375">
        <v>18.515665304505254472861874457</v>
      </c>
      <c r="M10" s="374">
        <v>258.200000000</v>
      </c>
      <c r="N10" s="382">
        <v>370.19642841366824177032274934</v>
      </c>
      <c r="O10" s="375">
        <v>252.19225786312349036697229737</v>
      </c>
      <c r="P10" s="4"/>
      <c r="Q10" s="354">
        <v>86.85469540256071444844397868</v>
      </c>
      <c r="R10" s="355">
        <v>63.242101228050615278037023160</v>
      </c>
      <c r="S10" s="356">
        <v>70.591451664822008898452692250</v>
      </c>
      <c r="T10" s="354">
        <v>1.9592655032578484530915387100</v>
      </c>
      <c r="U10" s="355">
        <v>30.596662478374759006184724970</v>
      </c>
      <c r="V10" s="356">
        <v>22.066663433003646689978437350</v>
      </c>
      <c r="W10" s="354">
        <v>11.186039094181437098464482620</v>
      </c>
      <c r="X10" s="355">
        <v>6.1612362935746257157782518700</v>
      </c>
      <c r="Y10" s="356">
        <v>7.3418849021743444115688704100</v>
      </c>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23</v>
      </c>
      <c r="C11" s="345" t="s">
        <v>47</v>
      </c>
      <c r="D11" s="370">
        <v>215.70512820512820512820512821</v>
      </c>
      <c r="E11" s="172">
        <v>223.12411111111111111111111111</v>
      </c>
      <c r="F11" s="371">
        <v>176.39829637244823028344837715</v>
      </c>
      <c r="G11" s="370">
        <v>3.3717948717948717948717948718</v>
      </c>
      <c r="H11" s="172">
        <v>102.05812563924195773425468793</v>
      </c>
      <c r="I11" s="371">
        <v>46.855388638050552284715628818</v>
      </c>
      <c r="J11" s="370">
        <v>31.230769230769230769230769231</v>
      </c>
      <c r="K11" s="172">
        <v>24.570476938649147852917110532</v>
      </c>
      <c r="L11" s="371">
        <v>31.203871278968171629090628402</v>
      </c>
      <c r="M11" s="370">
        <v>250.30769230769230769230769231</v>
      </c>
      <c r="N11" s="172">
        <v>349.75271368900221669828290958</v>
      </c>
      <c r="O11" s="371">
        <v>254.45755628946695419725463437</v>
      </c>
      <c r="P11" s="4"/>
      <c r="Q11" s="327">
        <v>86.17598852694120057365293997</v>
      </c>
      <c r="R11" s="171">
        <v>63.794819133129467145888521850</v>
      </c>
      <c r="S11" s="328">
        <v>69.323269053083365622485171830</v>
      </c>
      <c r="T11" s="327">
        <v>1.3470600286826469985658676500</v>
      </c>
      <c r="U11" s="171">
        <v>29.180081138695999723176327940</v>
      </c>
      <c r="V11" s="328">
        <v>18.413832672647611099520133530</v>
      </c>
      <c r="W11" s="327">
        <v>12.476951444376152427781192380</v>
      </c>
      <c r="X11" s="171">
        <v>7.0250997281745331309351502100</v>
      </c>
      <c r="Y11" s="328">
        <v>12.262898274269023277994694640</v>
      </c>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24</v>
      </c>
      <c r="C12" s="347" t="s">
        <v>48</v>
      </c>
      <c r="D12" s="378">
        <v>211.000000000</v>
      </c>
      <c r="E12" s="173">
        <v>225.78596087456846950517836594</v>
      </c>
      <c r="F12" s="379">
        <v>177.65172413793103448275862069</v>
      </c>
      <c r="G12" s="378">
        <v>1.1538461538461538461538461538</v>
      </c>
      <c r="H12" s="173">
        <v>43.620521106419186008200578784</v>
      </c>
      <c r="I12" s="379">
        <v>92.02359463419627262164549987</v>
      </c>
      <c r="J12" s="378">
        <v>33.307692307692307692307692308</v>
      </c>
      <c r="K12" s="173">
        <v>25.720710176790221617518288199</v>
      </c>
      <c r="L12" s="379">
        <v>23.948169722304384985839860507</v>
      </c>
      <c r="M12" s="378">
        <v>245.46153846153846153846153846</v>
      </c>
      <c r="N12" s="173">
        <v>295.12719215777787713089723291</v>
      </c>
      <c r="O12" s="379">
        <v>293.62348849443169209024398108</v>
      </c>
      <c r="P12" s="4"/>
      <c r="Q12" s="359">
        <v>85.96051394547163898464431213</v>
      </c>
      <c r="R12" s="170">
        <v>76.504628131270632403391805300</v>
      </c>
      <c r="S12" s="360">
        <v>60.503240067355865225709921430</v>
      </c>
      <c r="T12" s="359">
        <v>0.4700720777185835161391413400</v>
      </c>
      <c r="U12" s="170">
        <v>14.780244676030811055731762570</v>
      </c>
      <c r="V12" s="360">
        <v>31.340678876220564392102889730</v>
      </c>
      <c r="W12" s="359">
        <v>13.569413976809777499216546540</v>
      </c>
      <c r="X12" s="170">
        <v>8.715127192698556540876432130</v>
      </c>
      <c r="Y12" s="360">
        <v>8.156081056423570382187188830</v>
      </c>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25</v>
      </c>
      <c r="C13" s="345" t="s">
        <v>50</v>
      </c>
      <c r="D13" s="370">
        <v>168.67307692307692307692307692</v>
      </c>
      <c r="E13" s="172">
        <v>186.14276568501920614596670935</v>
      </c>
      <c r="F13" s="371">
        <v>172.81065811574286150557336998</v>
      </c>
      <c r="G13" s="370">
        <v>0.8076923076923076923076923077</v>
      </c>
      <c r="H13" s="172">
        <v>37.67551123558961588504731191</v>
      </c>
      <c r="I13" s="371">
        <v>62.017416736122885734783506337</v>
      </c>
      <c r="J13" s="370">
        <v>27.5</v>
      </c>
      <c r="K13" s="172">
        <v>30.291999193021176537959496527</v>
      </c>
      <c r="L13" s="371">
        <v>22.645555620189851212343830844</v>
      </c>
      <c r="M13" s="370">
        <v>196.98076923076923076923076923</v>
      </c>
      <c r="N13" s="172">
        <v>254.11027611362999856897351779</v>
      </c>
      <c r="O13" s="371">
        <v>257.47363047205559845270070716</v>
      </c>
      <c r="P13" s="4"/>
      <c r="Q13" s="327">
        <v>85.62921019232646685541345309</v>
      </c>
      <c r="R13" s="171">
        <v>73.252750157094043371440437760</v>
      </c>
      <c r="S13" s="328">
        <v>67.117808452426560788820909330</v>
      </c>
      <c r="T13" s="327">
        <v>0.4100361222298154837449965800</v>
      </c>
      <c r="U13" s="171">
        <v>14.826441422125853229664749180</v>
      </c>
      <c r="V13" s="328">
        <v>24.086900325450541966092774690</v>
      </c>
      <c r="W13" s="327">
        <v>13.960753685443717660841550330</v>
      </c>
      <c r="X13" s="171">
        <v>11.920808420780103398894813070</v>
      </c>
      <c r="Y13" s="328">
        <v>8.795291222122897245086315980</v>
      </c>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26</v>
      </c>
      <c r="C14" s="347" t="s">
        <v>51</v>
      </c>
      <c r="D14" s="378">
        <v>153.01652892561983471074380165</v>
      </c>
      <c r="E14" s="173">
        <v>155.92374005305039787798408489</v>
      </c>
      <c r="F14" s="379">
        <v>174.05165289256198347107438017</v>
      </c>
      <c r="G14" s="378">
        <v>1.8099173553719008264462809917</v>
      </c>
      <c r="H14" s="173">
        <v>42.851921943978040602431016141</v>
      </c>
      <c r="I14" s="379">
        <v>45.709621976458969399132655494</v>
      </c>
      <c r="J14" s="378">
        <v>24.206611570247933884297520661</v>
      </c>
      <c r="K14" s="173">
        <v>31.003030339580714823706281069</v>
      </c>
      <c r="L14" s="379">
        <v>21.161865550486839579510100779</v>
      </c>
      <c r="M14" s="378">
        <v>179.03305785123966942148760331</v>
      </c>
      <c r="N14" s="173">
        <v>229.7786923366091533041213821</v>
      </c>
      <c r="O14" s="379">
        <v>240.92314041950779244971713644</v>
      </c>
      <c r="P14" s="4"/>
      <c r="Q14" s="359">
        <v>85.46831002169597931957715921</v>
      </c>
      <c r="R14" s="170">
        <v>67.858224131867459747090934110</v>
      </c>
      <c r="S14" s="360">
        <v>72.243642760713758147243228040</v>
      </c>
      <c r="T14" s="359">
        <v>1.0109403129760420994322116100</v>
      </c>
      <c r="U14" s="170">
        <v>18.649214819798467866481138850</v>
      </c>
      <c r="V14" s="360">
        <v>18.972698885157739160246429670</v>
      </c>
      <c r="W14" s="359">
        <v>13.520749665327978580990629180</v>
      </c>
      <c r="X14" s="170">
        <v>13.492561048334072386427927030</v>
      </c>
      <c r="Y14" s="360">
        <v>8.783658354128502692510342290</v>
      </c>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27</v>
      </c>
      <c r="C15" s="345" t="s">
        <v>52</v>
      </c>
      <c r="D15" s="370">
        <v>187.79166666666666666666666667</v>
      </c>
      <c r="E15" s="172">
        <v>192.91775401069518716577540107</v>
      </c>
      <c r="F15" s="371">
        <v>188.75565251884172947243157477</v>
      </c>
      <c r="G15" s="370">
        <v>1.8666666666666666666666666667</v>
      </c>
      <c r="H15" s="172">
        <v>75.488407697038066149127898005</v>
      </c>
      <c r="I15" s="371">
        <v>52.474710053977765988063956521</v>
      </c>
      <c r="J15" s="370">
        <v>34.275</v>
      </c>
      <c r="K15" s="172">
        <v>36.757035328419662720693475101</v>
      </c>
      <c r="L15" s="371">
        <v>26.945966120847854293366872666</v>
      </c>
      <c r="M15" s="370">
        <v>223.93333333333333333333333333</v>
      </c>
      <c r="N15" s="172">
        <v>305.16319703615291603559677418</v>
      </c>
      <c r="O15" s="371">
        <v>268.17632869366734975386240397</v>
      </c>
      <c r="P15" s="4"/>
      <c r="Q15" s="327">
        <v>83.86052396546591247395058053</v>
      </c>
      <c r="R15" s="171">
        <v>63.217896484365404695348073480</v>
      </c>
      <c r="S15" s="328">
        <v>70.384904379257750385054157210</v>
      </c>
      <c r="T15" s="327">
        <v>0.8335814230425721941053885100</v>
      </c>
      <c r="U15" s="171">
        <v>24.737061490444044954350677640</v>
      </c>
      <c r="V15" s="328">
        <v>19.567241564380805455911611040</v>
      </c>
      <c r="W15" s="327">
        <v>15.305894611491515331944030960</v>
      </c>
      <c r="X15" s="171">
        <v>12.045042025190550350301248870</v>
      </c>
      <c r="Y15" s="328">
        <v>10.047854056361444159034231750</v>
      </c>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28</v>
      </c>
      <c r="C16" s="347" t="s">
        <v>53</v>
      </c>
      <c r="D16" s="378">
        <v>195.56910569105691056910569106</v>
      </c>
      <c r="E16" s="173">
        <v>199.10214285714285714285714286</v>
      </c>
      <c r="F16" s="379">
        <v>191.30220625962031811185223191</v>
      </c>
      <c r="G16" s="378">
        <v>1.3414634146341463414634146341</v>
      </c>
      <c r="H16" s="173">
        <v>135.96788786683124678319059441</v>
      </c>
      <c r="I16" s="379">
        <v>72.148409981309987818733278615</v>
      </c>
      <c r="J16" s="378">
        <v>28.30081300813008130081300813</v>
      </c>
      <c r="K16" s="173">
        <v>33.846372997093839925458433251</v>
      </c>
      <c r="L16" s="379">
        <v>24.803465955541577646696731795</v>
      </c>
      <c r="M16" s="378">
        <v>225.21138211382113821138211382</v>
      </c>
      <c r="N16" s="173">
        <v>368.91640372106794385150617052</v>
      </c>
      <c r="O16" s="379">
        <v>288.25408219647188357728224233</v>
      </c>
      <c r="P16" s="4"/>
      <c r="Q16" s="359">
        <v>86.83802028807624273491931699</v>
      </c>
      <c r="R16" s="170">
        <v>53.969446966549350095753447680</v>
      </c>
      <c r="S16" s="360">
        <v>66.365827259726412909227183840</v>
      </c>
      <c r="T16" s="359">
        <v>0.5956463665571640012995920700</v>
      </c>
      <c r="U16" s="170">
        <v>36.856015751913945614198530310</v>
      </c>
      <c r="V16" s="360">
        <v>25.029449516046803772767099500</v>
      </c>
      <c r="W16" s="359">
        <v>12.566333345366593263781090940</v>
      </c>
      <c r="X16" s="170">
        <v>9.174537281536704290048022010</v>
      </c>
      <c r="Y16" s="360">
        <v>8.604723224226783318005716650</v>
      </c>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29</v>
      </c>
      <c r="C17" s="345" t="s">
        <v>49</v>
      </c>
      <c r="D17" s="370">
        <v>141.92452830188679245283018868</v>
      </c>
      <c r="E17" s="172">
        <v>143.79185567010309278350515464</v>
      </c>
      <c r="F17" s="371">
        <v>162.99435897435897435897435897</v>
      </c>
      <c r="G17" s="370">
        <v>3</v>
      </c>
      <c r="H17" s="172">
        <v>54.610183148050147016644631607</v>
      </c>
      <c r="I17" s="371">
        <v>48.003326325378760502124179296</v>
      </c>
      <c r="J17" s="370">
        <v>34.188679245283018867924528302</v>
      </c>
      <c r="K17" s="172">
        <v>59.52708763485035349141408667</v>
      </c>
      <c r="L17" s="371">
        <v>26.24081940219365050627157495</v>
      </c>
      <c r="M17" s="370">
        <v>179.11320754716981132075471698</v>
      </c>
      <c r="N17" s="172">
        <v>257.92912645300359329156387292</v>
      </c>
      <c r="O17" s="371">
        <v>237.23850470193138536737011323</v>
      </c>
      <c r="P17" s="4"/>
      <c r="Q17" s="327">
        <v>79.23733277151585378700094807</v>
      </c>
      <c r="R17" s="171">
        <v>55.748591734289042261063617540</v>
      </c>
      <c r="S17" s="328">
        <v>68.704850074462646424681588830</v>
      </c>
      <c r="T17" s="327">
        <v>1.6749183608975034235752659900</v>
      </c>
      <c r="U17" s="171">
        <v>21.172553832535266825069283550</v>
      </c>
      <c r="V17" s="328">
        <v>20.234205398356635325672201350</v>
      </c>
      <c r="W17" s="327">
        <v>19.087748867586642789423785950</v>
      </c>
      <c r="X17" s="171">
        <v>23.078854433175690913867098910</v>
      </c>
      <c r="Y17" s="328">
        <v>11.060944527180718249646209810</v>
      </c>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30</v>
      </c>
      <c r="C18" s="347" t="s">
        <v>47</v>
      </c>
      <c r="D18" s="378">
        <v>136.65048543689320388349514563</v>
      </c>
      <c r="E18" s="173">
        <v>145.02256778309409888357256779</v>
      </c>
      <c r="F18" s="379">
        <v>157.52099658428772352822985734</v>
      </c>
      <c r="G18" s="378">
        <v>2.0097087378640776699029126214</v>
      </c>
      <c r="H18" s="173">
        <v>37.760678443913602430856016307</v>
      </c>
      <c r="I18" s="379">
        <v>49.248999233053647732842134756</v>
      </c>
      <c r="J18" s="378">
        <v>22.902912621359223300970873786</v>
      </c>
      <c r="K18" s="173">
        <v>221.72753639733067414220367635</v>
      </c>
      <c r="L18" s="379">
        <v>125.91859426612215097834989265</v>
      </c>
      <c r="M18" s="378">
        <v>161.56310679611650485436893204</v>
      </c>
      <c r="N18" s="173">
        <v>404.51078262433837545663226044</v>
      </c>
      <c r="O18" s="379">
        <v>332.68859008346352223942188475</v>
      </c>
      <c r="P18" s="4"/>
      <c r="Q18" s="359">
        <v>84.58025359052941529956132444</v>
      </c>
      <c r="R18" s="170">
        <v>35.851347853383145697326315840</v>
      </c>
      <c r="S18" s="360">
        <v>47.347880654629458325624653110</v>
      </c>
      <c r="T18" s="359">
        <v>1.2439156300703082747431043800</v>
      </c>
      <c r="U18" s="170">
        <v>9.334900345284798184837839930</v>
      </c>
      <c r="V18" s="360">
        <v>14.803332816643415620369583300</v>
      </c>
      <c r="W18" s="359">
        <v>14.175830779400276425695571180</v>
      </c>
      <c r="X18" s="170">
        <v>54.813751801332056117835844220</v>
      </c>
      <c r="Y18" s="360">
        <v>37.848786528727126054005763590</v>
      </c>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t="s">
        <v>179</v>
      </c>
      <c r="B19" s="668">
        <v>1</v>
      </c>
      <c r="C19" s="679" t="s">
        <v>48</v>
      </c>
      <c r="D19" s="680">
        <v>142.7319587628865979381443299</v>
      </c>
      <c r="E19" s="681">
        <v>141.84192439862542955326460482</v>
      </c>
      <c r="F19" s="682">
        <v>156.10993914807302231237322515</v>
      </c>
      <c r="G19" s="680">
        <v>1.7525773195876288659793814433</v>
      </c>
      <c r="H19" s="681">
        <v>28.337649901523866966004326249</v>
      </c>
      <c r="I19" s="682">
        <v>37.523802962801643322531363523</v>
      </c>
      <c r="J19" s="680">
        <v>33.731958762886597938144329897</v>
      </c>
      <c r="K19" s="681">
        <v>32.949704571600898012978744793</v>
      </c>
      <c r="L19" s="682">
        <v>31.745650160329226264209905268</v>
      </c>
      <c r="M19" s="680">
        <v>178.21649484536082474226804124</v>
      </c>
      <c r="N19" s="681">
        <v>203.12927887175019453224767587</v>
      </c>
      <c r="O19" s="682">
        <v>225.37939227120389189911449396</v>
      </c>
      <c r="P19" s="4"/>
      <c r="Q19" s="670">
        <v>80.08908428298721582692196448</v>
      </c>
      <c r="R19" s="671">
        <v>69.828399522936433059793153780</v>
      </c>
      <c r="S19" s="672">
        <v>69.265400698313428709147808040</v>
      </c>
      <c r="T19" s="670">
        <v>0.9833979290796552322554520700</v>
      </c>
      <c r="U19" s="671">
        <v>13.950549157128362141089769830</v>
      </c>
      <c r="V19" s="672">
        <v>16.649172129121921022561836460</v>
      </c>
      <c r="W19" s="670">
        <v>18.927517787933128940822583440</v>
      </c>
      <c r="X19" s="671">
        <v>16.221051319935204799117076380</v>
      </c>
      <c r="Y19" s="672">
        <v>14.085427172564650268290355490</v>
      </c>
      <c r="Z19" s="685"/>
      <c r="AA19" s="685"/>
      <c r="AB19" s="686"/>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v>
      </c>
      <c r="C20" s="347" t="s">
        <v>50</v>
      </c>
      <c r="D20" s="378">
        <v>124.29824561403508771929824561</v>
      </c>
      <c r="E20" s="173">
        <v>142.32487309644670050761421321</v>
      </c>
      <c r="F20" s="379">
        <v>153.26072469804248229904206581</v>
      </c>
      <c r="G20" s="378">
        <v>0.9473684210526315789473684211</v>
      </c>
      <c r="H20" s="173">
        <v>30.986256379116076677836755198</v>
      </c>
      <c r="I20" s="379">
        <v>39.901923308965051120016646522</v>
      </c>
      <c r="J20" s="378">
        <v>32.087719298245614035087719298</v>
      </c>
      <c r="K20" s="173">
        <v>23.209040905706561182602230329</v>
      </c>
      <c r="L20" s="379">
        <v>29.639429256200547531525750958</v>
      </c>
      <c r="M20" s="378">
        <v>157.33333333333333333333333333</v>
      </c>
      <c r="N20" s="173">
        <v>196.52017038126933836805319872</v>
      </c>
      <c r="O20" s="379">
        <v>222.80207726320808095058446329</v>
      </c>
      <c r="P20" s="4"/>
      <c r="Q20" s="359">
        <v>79.003122212310437109723461200</v>
      </c>
      <c r="R20" s="170">
        <v>72.422526817640047675804529200</v>
      </c>
      <c r="S20" s="360">
        <v>68.787834736831175303975827300</v>
      </c>
      <c r="T20" s="359">
        <v>0.6021409455842997323818019600</v>
      </c>
      <c r="U20" s="170">
        <v>15.767468712753277711561382600</v>
      </c>
      <c r="V20" s="360">
        <v>17.909134330837841486080970230</v>
      </c>
      <c r="W20" s="359">
        <v>20.394736842105263157894736840</v>
      </c>
      <c r="X20" s="170">
        <v>11.810004469606674612634088200</v>
      </c>
      <c r="Y20" s="360">
        <v>13.303030932330983209943202470</v>
      </c>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3</v>
      </c>
      <c r="C21" s="345" t="s">
        <v>51</v>
      </c>
      <c r="D21" s="370">
        <v>145.59349593495934959349593496</v>
      </c>
      <c r="E21" s="172">
        <v>164.78113663845223700120918984</v>
      </c>
      <c r="F21" s="371">
        <v>163.03441812915317771340943943</v>
      </c>
      <c r="G21" s="370">
        <v>1.1788617886178861788617886179</v>
      </c>
      <c r="H21" s="172">
        <v>29.775559522936740576514841831</v>
      </c>
      <c r="I21" s="371">
        <v>38.326336298013063795269459717</v>
      </c>
      <c r="J21" s="370">
        <v>33.918699186991869918699186992</v>
      </c>
      <c r="K21" s="172">
        <v>25.723956602137134090924786567</v>
      </c>
      <c r="L21" s="371">
        <v>28.446091804651587810166821084</v>
      </c>
      <c r="M21" s="370">
        <v>180.69105691056910569105691057</v>
      </c>
      <c r="N21" s="172">
        <v>220.28065276352611166864881823</v>
      </c>
      <c r="O21" s="371">
        <v>229.80684623181782931884572022</v>
      </c>
      <c r="P21" s="4"/>
      <c r="Q21" s="327">
        <v>80.57592800899887514060742407</v>
      </c>
      <c r="R21" s="171">
        <v>74.805088223225276979893311450</v>
      </c>
      <c r="S21" s="328">
        <v>70.944108412110614651943826790</v>
      </c>
      <c r="T21" s="327">
        <v>0.6524184476940382452193475800</v>
      </c>
      <c r="U21" s="171">
        <v>13.517101547225373530618648770</v>
      </c>
      <c r="V21" s="328">
        <v>16.677630334542489292034282300</v>
      </c>
      <c r="W21" s="327">
        <v>18.771653543307086614173228350</v>
      </c>
      <c r="X21" s="171">
        <v>11.677810229549349489488039780</v>
      </c>
      <c r="Y21" s="328">
        <v>12.378261253346896056021890910</v>
      </c>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4</v>
      </c>
      <c r="C22" s="347" t="s">
        <v>52</v>
      </c>
      <c r="D22" s="378">
        <v>228.65079365079365079365079365</v>
      </c>
      <c r="E22" s="173">
        <v>225.06</v>
      </c>
      <c r="F22" s="379">
        <v>197.88229544819882714325607372</v>
      </c>
      <c r="G22" s="378">
        <v>0.9682539682539682539682539683</v>
      </c>
      <c r="H22" s="173">
        <v>39.034315021376122947102376085</v>
      </c>
      <c r="I22" s="379">
        <v>50.883247292292952311524742984</v>
      </c>
      <c r="J22" s="378">
        <v>33.5</v>
      </c>
      <c r="K22" s="173">
        <v>24.927281232324570566683821917</v>
      </c>
      <c r="L22" s="379">
        <v>26.721150585231731957374087474</v>
      </c>
      <c r="M22" s="378">
        <v>263.11904761904761904761904762</v>
      </c>
      <c r="N22" s="173">
        <v>289.021596253700693513786198</v>
      </c>
      <c r="O22" s="379">
        <v>275.48669332572351141215490417</v>
      </c>
      <c r="P22" s="4"/>
      <c r="Q22" s="359">
        <v>86.90012970168612191958495460</v>
      </c>
      <c r="R22" s="170">
        <v>77.869613522736290770573763990</v>
      </c>
      <c r="S22" s="360">
        <v>71.830073917302200919691223010</v>
      </c>
      <c r="T22" s="359">
        <v>0.3679908303924230084758543700</v>
      </c>
      <c r="U22" s="170">
        <v>13.505674152845012300611062610</v>
      </c>
      <c r="V22" s="360">
        <v>18.470310372534331012998312160</v>
      </c>
      <c r="W22" s="359">
        <v>12.731879467921455071939191020</v>
      </c>
      <c r="X22" s="170">
        <v>8.624712324418696928815173400</v>
      </c>
      <c r="Y22" s="360">
        <v>9.699615710163468067310464830</v>
      </c>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5</v>
      </c>
      <c r="C23" s="345" t="s">
        <v>53</v>
      </c>
      <c r="D23" s="370">
        <v>225.7008547008547008547008547</v>
      </c>
      <c r="E23" s="172">
        <v>208.62651933701657458563535912</v>
      </c>
      <c r="F23" s="371">
        <v>191.78550233149639677829588809</v>
      </c>
      <c r="G23" s="370">
        <v>1.5726495726495726495726495726</v>
      </c>
      <c r="H23" s="172">
        <v>46.297120493099544880958087625</v>
      </c>
      <c r="I23" s="371">
        <v>62.141767258171872455700112406</v>
      </c>
      <c r="J23" s="370">
        <v>33.743589743589743589743589744</v>
      </c>
      <c r="K23" s="172">
        <v>26.488958028080226838412430116</v>
      </c>
      <c r="L23" s="371">
        <v>26.854469610198431875263590959</v>
      </c>
      <c r="M23" s="370">
        <v>261.01709401709401709401709402</v>
      </c>
      <c r="N23" s="172">
        <v>281.41259785819634630500587686</v>
      </c>
      <c r="O23" s="371">
        <v>280.78173919986670110925959145</v>
      </c>
      <c r="P23" s="4"/>
      <c r="Q23" s="327">
        <v>86.46975997904319067421985003</v>
      </c>
      <c r="R23" s="171">
        <v>74.135458371392230009475598200</v>
      </c>
      <c r="S23" s="328">
        <v>68.304122226046616572689560820</v>
      </c>
      <c r="T23" s="327">
        <v>0.6025082681161793116997937100</v>
      </c>
      <c r="U23" s="171">
        <v>16.451687254039934097641344340</v>
      </c>
      <c r="V23" s="328">
        <v>22.131698249058133109522430550</v>
      </c>
      <c r="W23" s="327">
        <v>12.927731752840630014080356270</v>
      </c>
      <c r="X23" s="171">
        <v>9.412854374567835892883057460</v>
      </c>
      <c r="Y23" s="328">
        <v>9.564179524895250317788008630</v>
      </c>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6</v>
      </c>
      <c r="C24" s="347" t="s">
        <v>49</v>
      </c>
      <c r="D24" s="378">
        <v>141.83333333333333333333333333</v>
      </c>
      <c r="E24" s="173">
        <v>149.06938159879336349924585219</v>
      </c>
      <c r="F24" s="379">
        <v>154.8509509875640087783467447</v>
      </c>
      <c r="G24" s="378">
        <v>1.6944444444444444444444444444</v>
      </c>
      <c r="H24" s="173">
        <v>51.073620319339727735328572118</v>
      </c>
      <c r="I24" s="379">
        <v>52.815151051504762631130401752</v>
      </c>
      <c r="J24" s="378">
        <v>34.305555555555555555555555556</v>
      </c>
      <c r="K24" s="173">
        <v>23.727466724311779431905002888</v>
      </c>
      <c r="L24" s="379">
        <v>22.211797380558554455519988541</v>
      </c>
      <c r="M24" s="378">
        <v>177.83333333333333333333333333</v>
      </c>
      <c r="N24" s="173">
        <v>223.87046864244487066647942718</v>
      </c>
      <c r="O24" s="379">
        <v>229.87789941962732586499713499</v>
      </c>
      <c r="P24" s="4"/>
      <c r="Q24" s="359">
        <v>79.75632614807872539831302718</v>
      </c>
      <c r="R24" s="170">
        <v>66.587336196128574490572731510</v>
      </c>
      <c r="S24" s="360">
        <v>67.362261173656173694687417130</v>
      </c>
      <c r="T24" s="359">
        <v>0.9528272414870353014682911600</v>
      </c>
      <c r="U24" s="170">
        <v>22.813915845645570181597794520</v>
      </c>
      <c r="V24" s="360">
        <v>22.975306101563987248656696380</v>
      </c>
      <c r="W24" s="359">
        <v>19.290846610434239300218681660</v>
      </c>
      <c r="X24" s="170">
        <v>10.598747958225855327829473980</v>
      </c>
      <c r="Y24" s="360">
        <v>9.662432724779839056655886490</v>
      </c>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7</v>
      </c>
      <c r="C25" s="345" t="s">
        <v>47</v>
      </c>
      <c r="D25" s="370">
        <v>139.02325581395348837209302326</v>
      </c>
      <c r="E25" s="172">
        <v>134.46790890269151138716356108</v>
      </c>
      <c r="F25" s="371">
        <v>156.69202825428859737638748739</v>
      </c>
      <c r="G25" s="370">
        <v>1.872093023255813953488372093</v>
      </c>
      <c r="H25" s="172">
        <v>37.889006064154126017319662589</v>
      </c>
      <c r="I25" s="371">
        <v>40.818303351746840012675894575</v>
      </c>
      <c r="J25" s="370">
        <v>33.44186046511627906976744186</v>
      </c>
      <c r="K25" s="172">
        <v>28.50245110160342989377148863</v>
      </c>
      <c r="L25" s="371">
        <v>23.538086007371697556057239705</v>
      </c>
      <c r="M25" s="370">
        <v>174.33720930232558139534883721</v>
      </c>
      <c r="N25" s="172">
        <v>200.85936606844906729825471231</v>
      </c>
      <c r="O25" s="371">
        <v>221.04841761340713494512062165</v>
      </c>
      <c r="P25" s="4"/>
      <c r="Q25" s="327">
        <v>79.74388047755619289001534049</v>
      </c>
      <c r="R25" s="171">
        <v>66.946297568651787495290232490</v>
      </c>
      <c r="S25" s="328">
        <v>70.885840281529722704904866910</v>
      </c>
      <c r="T25" s="327">
        <v>1.0738344560795037684252651200</v>
      </c>
      <c r="U25" s="171">
        <v>18.863449987810013519803187130</v>
      </c>
      <c r="V25" s="328">
        <v>18.465774961182580591777034690</v>
      </c>
      <c r="W25" s="327">
        <v>19.182285066364303341559394380</v>
      </c>
      <c r="X25" s="171">
        <v>14.190252443538198984906580380</v>
      </c>
      <c r="Y25" s="328">
        <v>10.648384757287696703318098410</v>
      </c>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8</v>
      </c>
      <c r="C26" s="347" t="s">
        <v>48</v>
      </c>
      <c r="D26" s="378">
        <v>152.06097560975609756097560976</v>
      </c>
      <c r="E26" s="173">
        <v>130.74541751527494908350305498</v>
      </c>
      <c r="F26" s="379">
        <v>159.11226572647986639450732975</v>
      </c>
      <c r="G26" s="378">
        <v>0.9634146341463414634146341463</v>
      </c>
      <c r="H26" s="173">
        <v>28.139893883486183660324821492</v>
      </c>
      <c r="I26" s="379">
        <v>51.045327018135856245657330737</v>
      </c>
      <c r="J26" s="378">
        <v>31.085365853658536585365853659</v>
      </c>
      <c r="K26" s="173">
        <v>22.724534543182824709998095058</v>
      </c>
      <c r="L26" s="379">
        <v>18.926781258989283694940008811</v>
      </c>
      <c r="M26" s="378">
        <v>184.10975609756097560975609756</v>
      </c>
      <c r="N26" s="173">
        <v>181.60984594194395745382597153</v>
      </c>
      <c r="O26" s="379">
        <v>229.08437400360500633510466929</v>
      </c>
      <c r="P26" s="4"/>
      <c r="Q26" s="359">
        <v>82.59256805987944624759886070</v>
      </c>
      <c r="R26" s="170">
        <v>71.992472014469374786136774700</v>
      </c>
      <c r="S26" s="360">
        <v>69.455748092174974045017178450</v>
      </c>
      <c r="T26" s="359">
        <v>0.523282771411538716301251900</v>
      </c>
      <c r="U26" s="170">
        <v>15.494696192012514053869091260</v>
      </c>
      <c r="V26" s="360">
        <v>22.282325994584238635998758440</v>
      </c>
      <c r="W26" s="359">
        <v>16.884149168709015036099887390</v>
      </c>
      <c r="X26" s="170">
        <v>12.512831793518111159994134040</v>
      </c>
      <c r="Y26" s="360">
        <v>8.261925913240787318984063110</v>
      </c>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9</v>
      </c>
      <c r="C27" s="345" t="s">
        <v>50</v>
      </c>
      <c r="D27" s="370">
        <v>144.70588235294117647058823529</v>
      </c>
      <c r="E27" s="172">
        <v>135.94686907020872865275142316</v>
      </c>
      <c r="F27" s="371">
        <v>162.44953484289977180972441636</v>
      </c>
      <c r="G27" s="370">
        <v>0.5490196078431372549019607843</v>
      </c>
      <c r="H27" s="172">
        <v>37.417843460984508231478670074</v>
      </c>
      <c r="I27" s="371">
        <v>46.349111967020763273862823639</v>
      </c>
      <c r="J27" s="370">
        <v>34.764705882352941176470588235</v>
      </c>
      <c r="K27" s="172">
        <v>25.898348805738771469932014729</v>
      </c>
      <c r="L27" s="371">
        <v>25.887529794095402890744478127</v>
      </c>
      <c r="M27" s="370">
        <v>180.01960784313725490196078431</v>
      </c>
      <c r="N27" s="172">
        <v>199.26306133693200835416210797</v>
      </c>
      <c r="O27" s="371">
        <v>234.68617660401593797433171813</v>
      </c>
      <c r="P27" s="4"/>
      <c r="Q27" s="327">
        <v>80.38340050103474567040627383</v>
      </c>
      <c r="R27" s="171">
        <v>68.224822080966359048001182610</v>
      </c>
      <c r="S27" s="328">
        <v>69.219899183495387683869359260</v>
      </c>
      <c r="T27" s="327">
        <v>0.30497767127763860145953600</v>
      </c>
      <c r="U27" s="171">
        <v>18.778113319113889299516398120</v>
      </c>
      <c r="V27" s="328">
        <v>19.749400087260034904013961600</v>
      </c>
      <c r="W27" s="327">
        <v>19.311621827687615728134190180</v>
      </c>
      <c r="X27" s="171">
        <v>12.997064599919751652482419280</v>
      </c>
      <c r="Y27" s="328">
        <v>11.030700729244577412116679130</v>
      </c>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10</v>
      </c>
      <c r="C28" s="347" t="s">
        <v>51</v>
      </c>
      <c r="D28" s="378">
        <v>151.90434782608695652173913043</v>
      </c>
      <c r="E28" s="173">
        <v>164.09406657018813314037626627</v>
      </c>
      <c r="F28" s="379">
        <v>166.72535211267605633802816901</v>
      </c>
      <c r="G28" s="378">
        <v>0.6869565217391304347826086957</v>
      </c>
      <c r="H28" s="173">
        <v>32.810943849882140912885325368</v>
      </c>
      <c r="I28" s="379">
        <v>57.712026276745110478942760928</v>
      </c>
      <c r="J28" s="378">
        <v>34.904347826086956521739130435</v>
      </c>
      <c r="K28" s="173">
        <v>27.236215442136060272340411354</v>
      </c>
      <c r="L28" s="379">
        <v>26.30457366973421468416558164</v>
      </c>
      <c r="M28" s="378">
        <v>187.49565217391304347826086957</v>
      </c>
      <c r="N28" s="173">
        <v>224.141225862206334325602003</v>
      </c>
      <c r="O28" s="379">
        <v>250.74195205915538150113651159</v>
      </c>
      <c r="P28" s="4"/>
      <c r="Q28" s="359">
        <v>81.01753084129487060569520453</v>
      </c>
      <c r="R28" s="170">
        <v>73.210122742465522568322894140</v>
      </c>
      <c r="S28" s="360">
        <v>66.492802956779240945745860070</v>
      </c>
      <c r="T28" s="359">
        <v>0.3663853074853909655876078300</v>
      </c>
      <c r="U28" s="170">
        <v>14.638513608403786197792320870</v>
      </c>
      <c r="V28" s="360">
        <v>23.016501946642582946865560550</v>
      </c>
      <c r="W28" s="359">
        <v>18.616083851219738428717187640</v>
      </c>
      <c r="X28" s="170">
        <v>12.151363649130691233884784990</v>
      </c>
      <c r="Y28" s="360">
        <v>10.490695096578176107388579380</v>
      </c>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11</v>
      </c>
      <c r="C29" s="345" t="s">
        <v>52</v>
      </c>
      <c r="D29" s="370">
        <v>212.64705882352941176470588235</v>
      </c>
      <c r="E29" s="172">
        <v>208.961492178098676293622142</v>
      </c>
      <c r="F29" s="371">
        <v>195.81339119652820830750154991</v>
      </c>
      <c r="G29" s="370">
        <v>0.8319327731092436974789915966</v>
      </c>
      <c r="H29" s="172">
        <v>32.475632975540068341087665786</v>
      </c>
      <c r="I29" s="371">
        <v>64.895826241410434579940563809</v>
      </c>
      <c r="J29" s="370">
        <v>32.075630252100840336134453782</v>
      </c>
      <c r="K29" s="172">
        <v>36.312883664311530260716283468</v>
      </c>
      <c r="L29" s="371">
        <v>26.802171908618173478622836277</v>
      </c>
      <c r="M29" s="370">
        <v>245.55462184873949579831932773</v>
      </c>
      <c r="N29" s="172">
        <v>277.75000881795027489542609125</v>
      </c>
      <c r="O29" s="371">
        <v>287.51138934655681636606494999</v>
      </c>
      <c r="P29" s="4"/>
      <c r="Q29" s="327">
        <v>86.59867903220286780055439581</v>
      </c>
      <c r="R29" s="171">
        <v>75.233658161667726233288104070</v>
      </c>
      <c r="S29" s="328">
        <v>68.106307594131916967226106920</v>
      </c>
      <c r="T29" s="327">
        <v>0.3387974401971185106601416800</v>
      </c>
      <c r="U29" s="171">
        <v>11.692396739697691409919441310</v>
      </c>
      <c r="V29" s="328">
        <v>22.571567126054658705696085060</v>
      </c>
      <c r="W29" s="327">
        <v>13.062523527600013688785462510</v>
      </c>
      <c r="X29" s="171">
        <v>13.073945098634582356792454620</v>
      </c>
      <c r="Y29" s="328">
        <v>9.322125279813424327077808020</v>
      </c>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12</v>
      </c>
      <c r="C30" s="347" t="s">
        <v>53</v>
      </c>
      <c r="D30" s="378">
        <v>228.33858267716535433070866142</v>
      </c>
      <c r="E30" s="173">
        <v>203.42041312272174969623329282</v>
      </c>
      <c r="F30" s="379">
        <v>197.75821223592624252045426792</v>
      </c>
      <c r="G30" s="378">
        <v>1.7322834645669291338582677165</v>
      </c>
      <c r="H30" s="173">
        <v>46.841279524884105491741080708</v>
      </c>
      <c r="I30" s="379">
        <v>83.00829051578946989329779934</v>
      </c>
      <c r="J30" s="378">
        <v>32.220472440944881889763779528</v>
      </c>
      <c r="K30" s="173">
        <v>31.817428616179316029357888424</v>
      </c>
      <c r="L30" s="379">
        <v>22.873692795919071384042877351</v>
      </c>
      <c r="M30" s="378">
        <v>262.29133858267716535433070866</v>
      </c>
      <c r="N30" s="173">
        <v>282.07912126378517121733226196</v>
      </c>
      <c r="O30" s="379">
        <v>303.64019554763478379779494461</v>
      </c>
      <c r="P30" s="4"/>
      <c r="Q30" s="359">
        <v>87.05532706913632133529464741</v>
      </c>
      <c r="R30" s="170">
        <v>72.114664924985340319128142300</v>
      </c>
      <c r="S30" s="360">
        <v>65.129128203614966751420626090</v>
      </c>
      <c r="T30" s="359">
        <v>0.6604424964726366665665996200</v>
      </c>
      <c r="U30" s="170">
        <v>16.605723711497480441840397790</v>
      </c>
      <c r="V30" s="360">
        <v>27.337714746915715438717860030</v>
      </c>
      <c r="W30" s="359">
        <v>12.284230434391041998138752960</v>
      </c>
      <c r="X30" s="170">
        <v>11.279611363517179239031459910</v>
      </c>
      <c r="Y30" s="360">
        <v>7.5331570494693178098615138900</v>
      </c>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13</v>
      </c>
      <c r="C31" s="345" t="s">
        <v>49</v>
      </c>
      <c r="D31" s="370">
        <v>148.8878504672897196261682243</v>
      </c>
      <c r="E31" s="172">
        <v>143.0707395498392282958199357</v>
      </c>
      <c r="F31" s="371">
        <v>158.57325174825174825174825175</v>
      </c>
      <c r="G31" s="370">
        <v>25.392523364485981308411214953</v>
      </c>
      <c r="H31" s="172">
        <v>46.739040706520914600462458495</v>
      </c>
      <c r="I31" s="371">
        <v>65.078870022887600450226422007</v>
      </c>
      <c r="J31" s="370">
        <v>7.1962616822429906542056074766</v>
      </c>
      <c r="K31" s="172">
        <v>33.898664742582324661567307704</v>
      </c>
      <c r="L31" s="371">
        <v>22.438242586720015276018731245</v>
      </c>
      <c r="M31" s="370">
        <v>181.47663551401869158878504673</v>
      </c>
      <c r="N31" s="172">
        <v>223.7084449989424675578497019</v>
      </c>
      <c r="O31" s="371">
        <v>246.090364357859363977993405</v>
      </c>
      <c r="P31" s="4"/>
      <c r="Q31" s="327">
        <v>82.04243485425893500875476362</v>
      </c>
      <c r="R31" s="171">
        <v>63.954107566442368204482741930</v>
      </c>
      <c r="S31" s="328">
        <v>64.437001490094063395675055130</v>
      </c>
      <c r="T31" s="327">
        <v>13.992172211350293542074363990</v>
      </c>
      <c r="U31" s="171">
        <v>20.892836972132126317148343580</v>
      </c>
      <c r="V31" s="328">
        <v>26.445111003310675915170935630</v>
      </c>
      <c r="W31" s="327">
        <v>3.9653929343907714491708723900</v>
      </c>
      <c r="X31" s="171">
        <v>15.153055461425505478368914490</v>
      </c>
      <c r="Y31" s="328">
        <v>9.117887506595260689154009240</v>
      </c>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14</v>
      </c>
      <c r="C32" s="347" t="s">
        <v>47</v>
      </c>
      <c r="D32" s="378">
        <v>147.11340206185567010309278351</v>
      </c>
      <c r="E32" s="173">
        <v>135.24574669187145557655954631</v>
      </c>
      <c r="F32" s="379">
        <v>159.25731620271234832262669522</v>
      </c>
      <c r="G32" s="378">
        <v>2.4123711340206185567010309278</v>
      </c>
      <c r="H32" s="173">
        <v>28.724245641936451552999100055</v>
      </c>
      <c r="I32" s="379">
        <v>52.217557253470389284177184484</v>
      </c>
      <c r="J32" s="378">
        <v>27.144329896907216494845360825</v>
      </c>
      <c r="K32" s="173">
        <v>31.491145786213234418821691989</v>
      </c>
      <c r="L32" s="379">
        <v>20.997373921417219468840278135</v>
      </c>
      <c r="M32" s="378">
        <v>176.67010309278350515463917526</v>
      </c>
      <c r="N32" s="173">
        <v>195.46113812002114154838033835</v>
      </c>
      <c r="O32" s="379">
        <v>232.47224737759995707564415783</v>
      </c>
      <c r="P32" s="4"/>
      <c r="Q32" s="359">
        <v>83.27011729007410865379004493</v>
      </c>
      <c r="R32" s="170">
        <v>69.193164427818398231593266450</v>
      </c>
      <c r="S32" s="360">
        <v>68.505947698795168103534054860</v>
      </c>
      <c r="T32" s="359">
        <v>1.3654665343992530781350294700</v>
      </c>
      <c r="U32" s="170">
        <v>14.695629994898826730147934030</v>
      </c>
      <c r="V32" s="360">
        <v>22.461845593403013807962176050</v>
      </c>
      <c r="W32" s="359">
        <v>15.364416175526638268074925600</v>
      </c>
      <c r="X32" s="170">
        <v>16.111205577282775038258799520</v>
      </c>
      <c r="Y32" s="360">
        <v>9.032206707801818088503769090</v>
      </c>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15</v>
      </c>
      <c r="C33" s="345" t="s">
        <v>48</v>
      </c>
      <c r="D33" s="370">
        <v>142.64044943820224719101123596</v>
      </c>
      <c r="E33" s="172">
        <v>138.24314442413162705667276051</v>
      </c>
      <c r="F33" s="371">
        <v>161.87508509189925119128658952</v>
      </c>
      <c r="G33" s="370">
        <v>1.4382022471910112359550561798</v>
      </c>
      <c r="H33" s="172">
        <v>26.235983640023359298988178256</v>
      </c>
      <c r="I33" s="371">
        <v>73.745209343872785085895191702</v>
      </c>
      <c r="J33" s="370">
        <v>26.943820224719101123595505618</v>
      </c>
      <c r="K33" s="172">
        <v>29.213343589409780793565238142</v>
      </c>
      <c r="L33" s="371">
        <v>20.141625904473775268243687754</v>
      </c>
      <c r="M33" s="370">
        <v>171.02247191011235955056179775</v>
      </c>
      <c r="N33" s="172">
        <v>193.6924716535647671492261769</v>
      </c>
      <c r="O33" s="371">
        <v>255.76192034024581154542546896</v>
      </c>
      <c r="P33" s="4"/>
      <c r="Q33" s="327">
        <v>83.40450693121345509493462979</v>
      </c>
      <c r="R33" s="171">
        <v>71.372492303878019049193198490</v>
      </c>
      <c r="S33" s="328">
        <v>63.291315953740572320814074880</v>
      </c>
      <c r="T33" s="327">
        <v>0.8409434334143617370737796500</v>
      </c>
      <c r="U33" s="171">
        <v>13.545174686473419970661763190</v>
      </c>
      <c r="V33" s="328">
        <v>28.833537551551021061448639270</v>
      </c>
      <c r="W33" s="327">
        <v>15.754549635372183167991590570</v>
      </c>
      <c r="X33" s="171">
        <v>15.082333009648560980145038320</v>
      </c>
      <c r="Y33" s="328">
        <v>7.8751464947084066177372858600</v>
      </c>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16</v>
      </c>
      <c r="C34" s="347" t="s">
        <v>50</v>
      </c>
      <c r="D34" s="378">
        <v>137.500000000</v>
      </c>
      <c r="E34" s="173">
        <v>141.76963350785340314136125653</v>
      </c>
      <c r="F34" s="379">
        <v>163.11164078117791788405351376</v>
      </c>
      <c r="G34" s="378">
        <v>1.6734693877551020408163265306</v>
      </c>
      <c r="H34" s="173">
        <v>30.199720753731335359903845843</v>
      </c>
      <c r="I34" s="379">
        <v>61.411577710466981232524225853</v>
      </c>
      <c r="J34" s="378">
        <v>29.27551020408163265306122449</v>
      </c>
      <c r="K34" s="173">
        <v>33.391046918682000082818284999</v>
      </c>
      <c r="L34" s="379">
        <v>21.56786054080170168197007716</v>
      </c>
      <c r="M34" s="378">
        <v>168.44897959183673469387755102</v>
      </c>
      <c r="N34" s="173">
        <v>205.36040118026673858408338736</v>
      </c>
      <c r="O34" s="379">
        <v>246.09107903244660079854781678</v>
      </c>
      <c r="P34" s="4"/>
      <c r="Q34" s="359">
        <v>81.62708989580809304579597771</v>
      </c>
      <c r="R34" s="170">
        <v>69.034552276418211345690765530</v>
      </c>
      <c r="S34" s="360">
        <v>66.281005155685462590833434820</v>
      </c>
      <c r="T34" s="359">
        <v>0.9934577174703174218560697800</v>
      </c>
      <c r="U34" s="170">
        <v>14.705717645741165929327434620</v>
      </c>
      <c r="V34" s="360">
        <v>24.954816709292412617220801360</v>
      </c>
      <c r="W34" s="359">
        <v>17.379452386721589532347952510</v>
      </c>
      <c r="X34" s="170">
        <v>16.259730077840622724981799850</v>
      </c>
      <c r="Y34" s="360">
        <v>8.764178135022124791945763810</v>
      </c>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17</v>
      </c>
      <c r="C35" s="345" t="s">
        <v>51</v>
      </c>
      <c r="D35" s="370">
        <v>144.17647058823529411764705882</v>
      </c>
      <c r="E35" s="172">
        <v>154.29285714285714285714285712</v>
      </c>
      <c r="F35" s="371">
        <v>171.11199664429530201342281879</v>
      </c>
      <c r="G35" s="370">
        <v>0.1260504201680672268907563025</v>
      </c>
      <c r="H35" s="172">
        <v>28.157897676379155909162758835</v>
      </c>
      <c r="I35" s="371">
        <v>54.195059407267732348702380919</v>
      </c>
      <c r="J35" s="370">
        <v>27.714285714285714285714285714</v>
      </c>
      <c r="K35" s="172">
        <v>28.674944186431619910728399053</v>
      </c>
      <c r="L35" s="371">
        <v>22.341895089368968977938829769</v>
      </c>
      <c r="M35" s="370">
        <v>172.01680672268907563025210084</v>
      </c>
      <c r="N35" s="172">
        <v>211.12569900566791867703401501</v>
      </c>
      <c r="O35" s="371">
        <v>247.64895114093200334006402947</v>
      </c>
      <c r="P35" s="4"/>
      <c r="Q35" s="327">
        <v>83.81533952125061064973131412</v>
      </c>
      <c r="R35" s="171">
        <v>73.081040285254410892652234520</v>
      </c>
      <c r="S35" s="328">
        <v>69.094577568761407612993628280</v>
      </c>
      <c r="T35" s="327">
        <v>0.0732779677576941866145578900</v>
      </c>
      <c r="U35" s="171">
        <v>13.337029934770387141988001450</v>
      </c>
      <c r="V35" s="328">
        <v>21.883823516145812973782411150</v>
      </c>
      <c r="W35" s="327">
        <v>16.111382510991695163654127990</v>
      </c>
      <c r="X35" s="171">
        <v>13.581929779975201965359764030</v>
      </c>
      <c r="Y35" s="328">
        <v>9.021598915092779413223960570</v>
      </c>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18</v>
      </c>
      <c r="C36" s="347" t="s">
        <v>52</v>
      </c>
      <c r="D36" s="378">
        <v>226.25423728813559322033898305</v>
      </c>
      <c r="E36" s="173">
        <v>207.54854981084489281210592686</v>
      </c>
      <c r="F36" s="379">
        <v>193.72823433685923515052888527</v>
      </c>
      <c r="G36" s="378">
        <v>0.5</v>
      </c>
      <c r="H36" s="173">
        <v>34.623230164707855443965505262</v>
      </c>
      <c r="I36" s="379">
        <v>55.255417903957960486777679175</v>
      </c>
      <c r="J36" s="378">
        <v>29.415254237288135593220338983</v>
      </c>
      <c r="K36" s="173">
        <v>70.489669323374420509951413266</v>
      </c>
      <c r="L36" s="379">
        <v>28.642938211175289766979103027</v>
      </c>
      <c r="M36" s="378">
        <v>256.16949152542372881355932203</v>
      </c>
      <c r="N36" s="173">
        <v>312.66144929892716876602284539</v>
      </c>
      <c r="O36" s="379">
        <v>277.62659045199248540428566747</v>
      </c>
      <c r="P36" s="4"/>
      <c r="Q36" s="359">
        <v>88.32208548365753605928278417</v>
      </c>
      <c r="R36" s="170">
        <v>66.381240884101873667676427690</v>
      </c>
      <c r="S36" s="360">
        <v>69.780143905329179166211838850</v>
      </c>
      <c r="T36" s="359">
        <v>0.1951832737858938732301177700</v>
      </c>
      <c r="U36" s="170">
        <v>11.073712554695388757993941430</v>
      </c>
      <c r="V36" s="360">
        <v>19.902783020170682083904882020</v>
      </c>
      <c r="W36" s="359">
        <v>11.482731242556570067487098050</v>
      </c>
      <c r="X36" s="170">
        <v>22.545046561202737574329630880</v>
      </c>
      <c r="Y36" s="360">
        <v>10.317073074500138749883279130</v>
      </c>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19</v>
      </c>
      <c r="C37" s="349" t="s">
        <v>53</v>
      </c>
      <c r="D37" s="380">
        <v>213.14960629921259842519685039</v>
      </c>
      <c r="E37" s="383">
        <v>224.98690476190476190476190476</v>
      </c>
      <c r="F37" s="381">
        <v>198.33028327901729756831286037</v>
      </c>
      <c r="G37" s="380">
        <v>0.9448818897637795275590551181</v>
      </c>
      <c r="H37" s="383">
        <v>45.239948711877954406751052007</v>
      </c>
      <c r="I37" s="381">
        <v>72.572962777932014411832629692</v>
      </c>
      <c r="J37" s="380">
        <v>32.732283464566929133858267717</v>
      </c>
      <c r="K37" s="383">
        <v>24.742442251537744929113897742</v>
      </c>
      <c r="L37" s="381">
        <v>25.130316319706166073607344669</v>
      </c>
      <c r="M37" s="380">
        <v>246.82677165354330708661417323</v>
      </c>
      <c r="N37" s="383">
        <v>294.9692957253204612406268545</v>
      </c>
      <c r="O37" s="381">
        <v>296.03356237665547805375283473</v>
      </c>
      <c r="P37" s="4"/>
      <c r="Q37" s="329">
        <v>86.35595112769962037834561521</v>
      </c>
      <c r="R37" s="330">
        <v>76.274686220702685680867335470</v>
      </c>
      <c r="S37" s="332">
        <v>66.995877658856009811496091070</v>
      </c>
      <c r="T37" s="329">
        <v>0.3828117523207962484448272600</v>
      </c>
      <c r="U37" s="330">
        <v>15.337172162490440415673219670</v>
      </c>
      <c r="V37" s="332">
        <v>24.515113149769990533082883250</v>
      </c>
      <c r="W37" s="329">
        <v>13.261237119979583373209557530</v>
      </c>
      <c r="X37" s="330">
        <v>8.388141616806873903459444870</v>
      </c>
      <c r="Y37" s="332">
        <v>8.489009191373999655421025680</v>
      </c>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160.97290640394088669950738916</v>
      </c>
      <c r="E39" s="382">
        <v>172.21670825429243666109716243</v>
      </c>
      <c r="F39" s="375">
        <v>164.54801091721114878835497477</v>
      </c>
      <c r="G39" s="374">
        <v>8.985221674876847290640394089</v>
      </c>
      <c r="H39" s="382">
        <v>69.868381057726477890626441737</v>
      </c>
      <c r="I39" s="375">
        <v>55.389563258737058258509117563</v>
      </c>
      <c r="J39" s="374">
        <v>25.99507389162561576354679803</v>
      </c>
      <c r="K39" s="382">
        <v>34.778177296843856410351015001</v>
      </c>
      <c r="L39" s="375">
        <v>22.148108597764910121471523639</v>
      </c>
      <c r="M39" s="374">
        <v>195.95320197044334975369458128</v>
      </c>
      <c r="N39" s="382">
        <v>276.86326660886277096207461916</v>
      </c>
      <c r="O39" s="375">
        <v>242.08568277371311716833561597</v>
      </c>
      <c r="P39" s="4"/>
      <c r="Q39" s="354">
        <v>82.14864813907010068252950715</v>
      </c>
      <c r="R39" s="355">
        <v>62.202801535817588604939119770</v>
      </c>
      <c r="S39" s="356">
        <v>67.970979957133838667976291120</v>
      </c>
      <c r="T39" s="354">
        <v>4.5853916060183264828990535100</v>
      </c>
      <c r="U39" s="355">
        <v>25.235699164249438814148859400</v>
      </c>
      <c r="V39" s="356">
        <v>22.880148311171228023063301790</v>
      </c>
      <c r="W39" s="354">
        <v>13.265960254911572834571439350</v>
      </c>
      <c r="X39" s="355">
        <v>12.561499299932972580912020830</v>
      </c>
      <c r="Y39" s="356">
        <v>9.148871731694933308960407090</v>
      </c>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156.93956043956043956043956044</v>
      </c>
      <c r="E40" s="172">
        <v>166.79825643899797746841162503</v>
      </c>
      <c r="F40" s="371">
        <v>163.5249496531662564332065339</v>
      </c>
      <c r="G40" s="370">
        <v>2.3763736263736263736263736264</v>
      </c>
      <c r="H40" s="172">
        <v>57.281724471287752592147029627</v>
      </c>
      <c r="I40" s="371">
        <v>47.394607042996100652688387595</v>
      </c>
      <c r="J40" s="370">
        <v>28.307692307692307692307692308</v>
      </c>
      <c r="K40" s="172">
        <v>72.943968071906246922996221043</v>
      </c>
      <c r="L40" s="371">
        <v>48.040478980672771776029091336</v>
      </c>
      <c r="M40" s="370">
        <v>187.62362637362637362637362637</v>
      </c>
      <c r="N40" s="172">
        <v>297.02394898219197698355487569</v>
      </c>
      <c r="O40" s="371">
        <v>258.96003567683512886192401283</v>
      </c>
      <c r="P40" s="4"/>
      <c r="Q40" s="327">
        <v>83.64594772677355589721063035</v>
      </c>
      <c r="R40" s="171">
        <v>56.156500851383650570633355800</v>
      </c>
      <c r="S40" s="328">
        <v>63.146789899749048011625287140</v>
      </c>
      <c r="T40" s="327">
        <v>1.2665641701442272494326085400</v>
      </c>
      <c r="U40" s="171">
        <v>19.285220827335397508923156240</v>
      </c>
      <c r="V40" s="328">
        <v>18.301900105598306506554759610</v>
      </c>
      <c r="W40" s="327">
        <v>15.087488103082216853356761110</v>
      </c>
      <c r="X40" s="171">
        <v>24.558278321280951920443487960</v>
      </c>
      <c r="Y40" s="328">
        <v>18.551309994652645481819953260</v>
      </c>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160.30924855491329479768786127</v>
      </c>
      <c r="E41" s="173">
        <v>166.24257177136541568873825698</v>
      </c>
      <c r="F41" s="379">
        <v>164.58311830308331511043078942</v>
      </c>
      <c r="G41" s="378">
        <v>1.3497109826589595375722543353</v>
      </c>
      <c r="H41" s="173">
        <v>32.825017895826195550665921078</v>
      </c>
      <c r="I41" s="379">
        <v>65.917334013646702577696156046</v>
      </c>
      <c r="J41" s="378">
        <v>31.263005780346820809248554913</v>
      </c>
      <c r="K41" s="173">
        <v>27.504452130299789007023641289</v>
      </c>
      <c r="L41" s="379">
        <v>23.46770021244585552793957224</v>
      </c>
      <c r="M41" s="378">
        <v>192.92196531791907514450867052</v>
      </c>
      <c r="N41" s="173">
        <v>226.57204179749140024642781934</v>
      </c>
      <c r="O41" s="379">
        <v>253.9681525291758732160665177</v>
      </c>
      <c r="P41" s="4"/>
      <c r="Q41" s="359">
        <v>83.09538433881140357447828497</v>
      </c>
      <c r="R41" s="170">
        <v>73.372941538811718083466354640</v>
      </c>
      <c r="S41" s="360">
        <v>64.804628715868616163653167710</v>
      </c>
      <c r="T41" s="359">
        <v>0.6996149870413926383125346400</v>
      </c>
      <c r="U41" s="170">
        <v>14.487673605009474428022535750</v>
      </c>
      <c r="V41" s="360">
        <v>25.954960634709549328092751470</v>
      </c>
      <c r="W41" s="359">
        <v>16.205000674147203787209180390</v>
      </c>
      <c r="X41" s="170">
        <v>12.139384856178807488511109610</v>
      </c>
      <c r="Y41" s="360">
        <v>9.240410649421834508254080820</v>
      </c>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143.4138755980861244019138756</v>
      </c>
      <c r="E42" s="172">
        <v>153.71933388465701597321275024</v>
      </c>
      <c r="F42" s="371">
        <v>163.63997282493312385885949641</v>
      </c>
      <c r="G42" s="370">
        <v>0.985645933014354066985645933</v>
      </c>
      <c r="H42" s="172">
        <v>34.249874307697630860997381326</v>
      </c>
      <c r="I42" s="371">
        <v>53.550655117056728864240103036</v>
      </c>
      <c r="J42" s="370">
        <v>30.940191387559808612440191388</v>
      </c>
      <c r="K42" s="172">
        <v>28.467269110177067010443776951</v>
      </c>
      <c r="L42" s="371">
        <v>24.558249644545596413844384865</v>
      </c>
      <c r="M42" s="370">
        <v>175.33971291866028708133971292</v>
      </c>
      <c r="N42" s="172">
        <v>216.43647730253171384465390852</v>
      </c>
      <c r="O42" s="371">
        <v>241.74887758653544913694398431</v>
      </c>
      <c r="P42" s="4"/>
      <c r="Q42" s="327">
        <v>81.79201004202368607760737870</v>
      </c>
      <c r="R42" s="171">
        <v>71.022840419727585766542160790</v>
      </c>
      <c r="S42" s="328">
        <v>67.690065186076085060208148630</v>
      </c>
      <c r="T42" s="327">
        <v>0.5621350215576051956557332300</v>
      </c>
      <c r="U42" s="171">
        <v>15.824446384711603860979954490</v>
      </c>
      <c r="V42" s="328">
        <v>22.151356255165219221714212530</v>
      </c>
      <c r="W42" s="327">
        <v>17.645854936418708726736888060</v>
      </c>
      <c r="X42" s="171">
        <v>13.152713195560810372477884720</v>
      </c>
      <c r="Y42" s="328">
        <v>10.158578558758695718077638840</v>
      </c>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148.63807531380753138075313808</v>
      </c>
      <c r="E43" s="173">
        <v>159.85631166596304445680831373</v>
      </c>
      <c r="F43" s="379">
        <v>168.97968020053932925671313001</v>
      </c>
      <c r="G43" s="378">
        <v>0.958158995815899581589958159</v>
      </c>
      <c r="H43" s="173">
        <v>33.228578856820242218079282582</v>
      </c>
      <c r="I43" s="379">
        <v>49.346488160051750217225602013</v>
      </c>
      <c r="J43" s="378">
        <v>30.15271966527196652719665272</v>
      </c>
      <c r="K43" s="173">
        <v>28.100314993320681124986292757</v>
      </c>
      <c r="L43" s="379">
        <v>24.38199789819095864999876963</v>
      </c>
      <c r="M43" s="378">
        <v>179.74895397489539748953974895</v>
      </c>
      <c r="N43" s="173">
        <v>221.18520551610396779987388907</v>
      </c>
      <c r="O43" s="379">
        <v>242.70816625878203812393750165</v>
      </c>
      <c r="P43" s="4"/>
      <c r="Q43" s="359">
        <v>82.69203910614525139664804469</v>
      </c>
      <c r="R43" s="170">
        <v>72.272605797915488199766694660</v>
      </c>
      <c r="S43" s="360">
        <v>69.622577107837651091904718250</v>
      </c>
      <c r="T43" s="359">
        <v>0.5330540037243947858472998100</v>
      </c>
      <c r="U43" s="170">
        <v>15.022966287137567419540968700</v>
      </c>
      <c r="V43" s="360">
        <v>20.331614267744573716427375070</v>
      </c>
      <c r="W43" s="359">
        <v>16.774906890130353817504655490</v>
      </c>
      <c r="X43" s="170">
        <v>12.704427914946944380692336640</v>
      </c>
      <c r="Y43" s="360">
        <v>10.045808624417775191667906680</v>
      </c>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213.9710144927536231884057971</v>
      </c>
      <c r="E44" s="172">
        <v>208.69676070068012904116349134</v>
      </c>
      <c r="F44" s="371">
        <v>194.02529505370640498607611723</v>
      </c>
      <c r="G44" s="370">
        <v>1.0434782608695652173913043478</v>
      </c>
      <c r="H44" s="172">
        <v>45.392964998682383503990730946</v>
      </c>
      <c r="I44" s="371">
        <v>56.09767734738088861356541459</v>
      </c>
      <c r="J44" s="370">
        <v>32.343685300207039337474120083</v>
      </c>
      <c r="K44" s="172">
        <v>41.829872031543470869727983491</v>
      </c>
      <c r="L44" s="371">
        <v>27.268988366119020758064048296</v>
      </c>
      <c r="M44" s="370">
        <v>247.35817805383022774327122153</v>
      </c>
      <c r="N44" s="172">
        <v>295.91959773090598341488220579</v>
      </c>
      <c r="O44" s="371">
        <v>277.3919607672063143577055801</v>
      </c>
      <c r="P44" s="4"/>
      <c r="Q44" s="327">
        <v>86.50250263655690777909838124</v>
      </c>
      <c r="R44" s="171">
        <v>70.524819005214449227414659950</v>
      </c>
      <c r="S44" s="328">
        <v>69.946257460769339201524084510</v>
      </c>
      <c r="T44" s="327">
        <v>0.4218491052446557409980414100</v>
      </c>
      <c r="U44" s="171">
        <v>15.339627840383996530330846520</v>
      </c>
      <c r="V44" s="328">
        <v>20.223252754775883378309233330</v>
      </c>
      <c r="W44" s="327">
        <v>13.075648258198436479903577350</v>
      </c>
      <c r="X44" s="171">
        <v>14.135553154401554242254493530</v>
      </c>
      <c r="Y44" s="328">
        <v>9.830489784454777420166682170</v>
      </c>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215.64979757085020242914979757</v>
      </c>
      <c r="E45" s="385">
        <v>209.02472674828409045670943464</v>
      </c>
      <c r="F45" s="386">
        <v>194.92200386597938144329896907</v>
      </c>
      <c r="G45" s="384">
        <v>1.3947368421052631578947368421</v>
      </c>
      <c r="H45" s="385">
        <v>69.340651899325454214562571499</v>
      </c>
      <c r="I45" s="386">
        <v>72.84111724151148796190885097</v>
      </c>
      <c r="J45" s="384">
        <v>31.736842105263157894736842105</v>
      </c>
      <c r="K45" s="385">
        <v>29.272996622997344265153559379</v>
      </c>
      <c r="L45" s="386">
        <v>24.84598053882646617957650363</v>
      </c>
      <c r="M45" s="384">
        <v>248.78137651821862348178137652</v>
      </c>
      <c r="N45" s="385">
        <v>307.63837527060688893642556551</v>
      </c>
      <c r="O45" s="386">
        <v>292.60910164631733558478432368</v>
      </c>
      <c r="P45" s="4"/>
      <c r="Q45" s="364">
        <v>86.68245211476183501765691875</v>
      </c>
      <c r="R45" s="365">
        <v>67.944945608434054092302214960</v>
      </c>
      <c r="S45" s="366">
        <v>66.615154063657812408017553170</v>
      </c>
      <c r="T45" s="364">
        <v>0.5606275122459275171280248700</v>
      </c>
      <c r="U45" s="365">
        <v>22.5396626276977228217980200</v>
      </c>
      <c r="V45" s="366">
        <v>24.893660802648596611052301470</v>
      </c>
      <c r="W45" s="364">
        <v>12.756920372992237465215056390</v>
      </c>
      <c r="X45" s="365">
        <v>9.515391763868223085899765050</v>
      </c>
      <c r="Y45" s="366">
        <v>8.491185133693590980930145360</v>
      </c>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168.60397350993377483443708609</v>
      </c>
      <c r="E47" s="382">
        <v>169.19374456993918331885317115</v>
      </c>
      <c r="F47" s="375">
        <v>174.13019672344017140260133746</v>
      </c>
      <c r="G47" s="374">
        <v>4.5523178807947019867549668874</v>
      </c>
      <c r="H47" s="382">
        <v>34.989278696585022731525862473</v>
      </c>
      <c r="I47" s="375">
        <v>62.146607243102448408437423271</v>
      </c>
      <c r="J47" s="374">
        <v>25.954966887417218543046357616</v>
      </c>
      <c r="K47" s="382">
        <v>36.839916293187380154418685312</v>
      </c>
      <c r="L47" s="375">
        <v>23.289024295240357534646724401</v>
      </c>
      <c r="M47" s="374">
        <v>199.1112582781456953642384106</v>
      </c>
      <c r="N47" s="382">
        <v>241.02293955971158620479771893</v>
      </c>
      <c r="O47" s="375">
        <v>259.56582826178297734568548512</v>
      </c>
      <c r="P47" s="4"/>
      <c r="Q47" s="354">
        <v>84.67827232270553253197985751</v>
      </c>
      <c r="R47" s="355">
        <v>70.198191458046975529552241060</v>
      </c>
      <c r="S47" s="356">
        <v>67.085177540328072877101299830</v>
      </c>
      <c r="T47" s="354">
        <v>2.2863186743742059083742990400</v>
      </c>
      <c r="U47" s="355">
        <v>14.516991104872280040214692570</v>
      </c>
      <c r="V47" s="356">
        <v>23.942522657653148296380395550</v>
      </c>
      <c r="W47" s="354">
        <v>13.035409002920261559645843450</v>
      </c>
      <c r="X47" s="355">
        <v>15.284817437080744430233066370</v>
      </c>
      <c r="Y47" s="356">
        <v>8.972299802018778826518304630</v>
      </c>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173.57745065239210438273670124</v>
      </c>
      <c r="E48" s="172">
        <v>179.4728406887701123697479163</v>
      </c>
      <c r="F48" s="371">
        <v>175.10454021587357875839446796</v>
      </c>
      <c r="G48" s="370">
        <v>2.3563064570090331214452994312</v>
      </c>
      <c r="H48" s="172">
        <v>49.861200480907399989085381952</v>
      </c>
      <c r="I48" s="371">
        <v>57.731756795536683712842159351</v>
      </c>
      <c r="J48" s="370">
        <v>30.217798594847775175644028103</v>
      </c>
      <c r="K48" s="172">
        <v>37.124492968785892690270027243</v>
      </c>
      <c r="L48" s="371">
        <v>27.481354813564182341905284298</v>
      </c>
      <c r="M48" s="370">
        <v>206.15155570424891267982602877</v>
      </c>
      <c r="N48" s="172">
        <v>266.45853413846340504910332549</v>
      </c>
      <c r="O48" s="371">
        <v>260.31765182497444481314191161</v>
      </c>
      <c r="P48" s="4"/>
      <c r="Q48" s="327">
        <v>84.19895259069081301617853022</v>
      </c>
      <c r="R48" s="171">
        <v>67.354885543094763247422458630</v>
      </c>
      <c r="S48" s="328">
        <v>67.265719012249609915049595790</v>
      </c>
      <c r="T48" s="327">
        <v>1.1429971745590218553783185900</v>
      </c>
      <c r="U48" s="171">
        <v>18.712555273233380014794686010</v>
      </c>
      <c r="V48" s="328">
        <v>22.177426844013193608835850900</v>
      </c>
      <c r="W48" s="327">
        <v>14.658050234750165128443151190</v>
      </c>
      <c r="X48" s="171">
        <v>13.932559183671856737782855360</v>
      </c>
      <c r="Y48" s="328">
        <v>10.556854143737196476114553310</v>
      </c>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171.27571221632061805890873974</v>
      </c>
      <c r="E49" s="385">
        <v>172.37210802739592461245567039</v>
      </c>
      <c r="F49" s="386">
        <v>174.3095012547572750993003274</v>
      </c>
      <c r="G49" s="384">
        <v>2.4350555287300820859488169966</v>
      </c>
      <c r="H49" s="385">
        <v>36.430328794828434264123855737</v>
      </c>
      <c r="I49" s="386">
        <v>57.233940099796243085592713566</v>
      </c>
      <c r="J49" s="384">
        <v>30.645098985997102848865282472</v>
      </c>
      <c r="K49" s="385">
        <v>31.144096373877326703025166461</v>
      </c>
      <c r="L49" s="386">
        <v>24.814140387875719890726639079</v>
      </c>
      <c r="M49" s="384">
        <v>204.35586673104780299372283921</v>
      </c>
      <c r="N49" s="385">
        <v>239.94653319610168557960469258</v>
      </c>
      <c r="O49" s="386">
        <v>256.35758174242923807561968005</v>
      </c>
      <c r="P49" s="4"/>
      <c r="Q49" s="364">
        <v>83.81247622400589762795324429</v>
      </c>
      <c r="R49" s="365">
        <v>71.837715565792714957066748820</v>
      </c>
      <c r="S49" s="366">
        <v>67.994673717078387118027778290</v>
      </c>
      <c r="T49" s="364">
        <v>1.1915760323802457817546860900</v>
      </c>
      <c r="U49" s="365">
        <v>15.182686038249584138336816890</v>
      </c>
      <c r="V49" s="366">
        <v>22.325823059643711121524784400</v>
      </c>
      <c r="W49" s="364">
        <v>14.995947743613856590292069630</v>
      </c>
      <c r="X49" s="365">
        <v>12.979598395957700904596434290</v>
      </c>
      <c r="Y49" s="366">
        <v>9.679503223277901760447437300</v>
      </c>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0" t="s">
        <v>114</v>
      </c>
      <c r="E53" s="650"/>
      <c r="F53" s="650"/>
      <c r="G53" s="650"/>
      <c r="H53" s="650"/>
      <c r="I53" s="650"/>
      <c r="J53" s="650"/>
      <c r="K53" s="650"/>
      <c r="L53" s="650"/>
      <c r="M53" s="650"/>
      <c r="N53" s="650"/>
      <c r="O53" s="650"/>
      <c r="P53" s="650"/>
      <c r="Q53" s="650"/>
      <c r="R53" s="650"/>
      <c r="S53" s="650"/>
      <c r="T53" s="650"/>
      <c r="U53" s="650"/>
      <c r="V53" s="650"/>
      <c r="W53" s="650"/>
      <c r="X53" s="650"/>
      <c r="Y53" s="650"/>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53"/>
</worksheet>
</file>

<file path=xl/worksheets/sheet8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160</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168</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177</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184</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7" t="s">
        <v>208</v>
      </c>
      <c r="I5" s="687"/>
      <c r="J5" s="687"/>
      <c r="K5" s="687"/>
      <c r="L5" s="687"/>
      <c r="M5" s="687"/>
      <c r="N5" s="687"/>
      <c r="O5" s="687"/>
      <c r="P5" s="687"/>
      <c r="Q5" s="687"/>
      <c r="R5" s="687"/>
      <c r="S5" s="687"/>
      <c r="T5" s="687"/>
      <c r="U5" s="687"/>
      <c r="V5" s="687"/>
      <c r="AB5" s="687" t="s">
        <v>210</v>
      </c>
      <c r="AC5" s="687"/>
      <c r="AD5" s="687"/>
      <c r="AE5" s="687"/>
      <c r="AF5" s="687"/>
      <c r="AG5" s="687"/>
      <c r="AH5" s="687"/>
      <c r="AI5" s="687"/>
      <c r="AJ5" s="687"/>
      <c r="AK5" s="687"/>
      <c r="AL5" s="687"/>
      <c r="AM5" s="687"/>
      <c r="AN5" s="687"/>
      <c r="AO5" s="687"/>
      <c r="AP5" s="687"/>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211</v>
      </c>
      <c r="D6" s="104" t="s">
        <v>212</v>
      </c>
      <c r="I6" s="688" t="s">
        <v>0</v>
      </c>
      <c r="J6" s="688"/>
      <c r="K6" s="688" t="s">
        <v>1</v>
      </c>
      <c r="L6" s="688"/>
      <c r="M6" s="688" t="s">
        <v>2</v>
      </c>
      <c r="N6" s="688"/>
      <c r="O6" s="688" t="s">
        <v>3</v>
      </c>
      <c r="P6" s="688"/>
      <c r="Q6" s="688" t="s">
        <v>4</v>
      </c>
      <c r="R6" s="688"/>
      <c r="S6" s="688" t="s">
        <v>5</v>
      </c>
      <c r="T6" s="688"/>
      <c r="U6" s="688" t="s">
        <v>6</v>
      </c>
      <c r="V6" s="688"/>
      <c r="AC6" s="688" t="s">
        <v>0</v>
      </c>
      <c r="AD6" s="688"/>
      <c r="AE6" s="688" t="s">
        <v>1</v>
      </c>
      <c r="AF6" s="688"/>
      <c r="AG6" s="688" t="s">
        <v>2</v>
      </c>
      <c r="AH6" s="688"/>
      <c r="AI6" s="688" t="s">
        <v>3</v>
      </c>
      <c r="AJ6" s="688"/>
      <c r="AK6" s="688" t="s">
        <v>4</v>
      </c>
      <c r="AL6" s="688"/>
      <c r="AM6" s="688" t="s">
        <v>5</v>
      </c>
      <c r="AN6" s="688"/>
      <c r="AO6" s="688" t="s">
        <v>6</v>
      </c>
      <c r="AP6" s="688"/>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213</v>
      </c>
      <c r="D7" s="104" t="s">
        <v>214</v>
      </c>
      <c r="E7" s="104"/>
      <c r="F7" s="104"/>
      <c r="G7" s="104"/>
      <c r="H7" s="97" t="s">
        <v>182</v>
      </c>
      <c r="I7" s="689">
        <v>8</v>
      </c>
      <c r="J7" s="689"/>
      <c r="K7" s="690">
        <v>9</v>
      </c>
      <c r="L7" s="690"/>
      <c r="M7" s="690">
        <v>10</v>
      </c>
      <c r="N7" s="690"/>
      <c r="O7" s="690">
        <v>11</v>
      </c>
      <c r="P7" s="690"/>
      <c r="Q7" s="690">
        <v>12</v>
      </c>
      <c r="R7" s="690"/>
      <c r="S7" s="690">
        <v>13</v>
      </c>
      <c r="T7" s="690"/>
      <c r="U7" s="691">
        <v>14</v>
      </c>
      <c r="V7" s="691"/>
      <c r="Y7" s="3"/>
      <c r="AB7" s="97" t="s">
        <v>182</v>
      </c>
      <c r="AC7" s="689">
        <v>9</v>
      </c>
      <c r="AD7" s="689"/>
      <c r="AE7" s="690">
        <v>10</v>
      </c>
      <c r="AF7" s="690"/>
      <c r="AG7" s="690">
        <v>11</v>
      </c>
      <c r="AH7" s="690"/>
      <c r="AI7" s="690">
        <v>12</v>
      </c>
      <c r="AJ7" s="690"/>
      <c r="AK7" s="690">
        <v>13</v>
      </c>
      <c r="AL7" s="690"/>
      <c r="AM7" s="690">
        <v>14</v>
      </c>
      <c r="AN7" s="690"/>
      <c r="AO7" s="691">
        <v>15</v>
      </c>
      <c r="AP7" s="691"/>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215</v>
      </c>
      <c r="D8" t="s">
        <v>216</v>
      </c>
      <c r="H8" s="97" t="s">
        <v>182</v>
      </c>
      <c r="I8" s="692">
        <v>15</v>
      </c>
      <c r="J8" s="692"/>
      <c r="K8" s="693">
        <v>16</v>
      </c>
      <c r="L8" s="693"/>
      <c r="M8" s="693">
        <v>17</v>
      </c>
      <c r="N8" s="693"/>
      <c r="O8" s="693">
        <v>18</v>
      </c>
      <c r="P8" s="693"/>
      <c r="Q8" s="693">
        <v>19</v>
      </c>
      <c r="R8" s="693"/>
      <c r="S8" s="693">
        <v>20</v>
      </c>
      <c r="T8" s="693"/>
      <c r="U8" s="694">
        <v>21</v>
      </c>
      <c r="V8" s="694"/>
      <c r="Y8" s="3"/>
      <c r="AB8" s="97" t="s">
        <v>182</v>
      </c>
      <c r="AC8" s="692">
        <v>16</v>
      </c>
      <c r="AD8" s="692"/>
      <c r="AE8" s="693">
        <v>17</v>
      </c>
      <c r="AF8" s="693"/>
      <c r="AG8" s="693">
        <v>18</v>
      </c>
      <c r="AH8" s="693"/>
      <c r="AI8" s="693">
        <v>19</v>
      </c>
      <c r="AJ8" s="693"/>
      <c r="AK8" s="693">
        <v>20</v>
      </c>
      <c r="AL8" s="693"/>
      <c r="AM8" s="693">
        <v>21</v>
      </c>
      <c r="AN8" s="693"/>
      <c r="AO8" s="694">
        <v>22</v>
      </c>
      <c r="AP8" s="69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182</v>
      </c>
      <c r="I9" s="695">
        <v>22</v>
      </c>
      <c r="J9" s="695"/>
      <c r="K9" s="696">
        <v>23</v>
      </c>
      <c r="L9" s="696"/>
      <c r="M9" s="696">
        <v>24</v>
      </c>
      <c r="N9" s="696"/>
      <c r="O9" s="696">
        <v>25</v>
      </c>
      <c r="P9" s="696"/>
      <c r="Q9" s="696">
        <v>26</v>
      </c>
      <c r="R9" s="696"/>
      <c r="S9" s="696">
        <v>27</v>
      </c>
      <c r="T9" s="696"/>
      <c r="U9" s="697">
        <v>28</v>
      </c>
      <c r="V9" s="697"/>
      <c r="Y9" s="3"/>
      <c r="AB9" s="97" t="s">
        <v>182</v>
      </c>
      <c r="AC9" s="695">
        <v>23</v>
      </c>
      <c r="AD9" s="695"/>
      <c r="AE9" s="696">
        <v>24</v>
      </c>
      <c r="AF9" s="696"/>
      <c r="AG9" s="696">
        <v>25</v>
      </c>
      <c r="AH9" s="696"/>
      <c r="AI9" s="696">
        <v>26</v>
      </c>
      <c r="AJ9" s="696"/>
      <c r="AK9" s="696">
        <v>27</v>
      </c>
      <c r="AL9" s="696"/>
      <c r="AM9" s="696">
        <v>28</v>
      </c>
      <c r="AN9" s="696"/>
      <c r="AO9" s="697">
        <v>29</v>
      </c>
      <c r="AP9" s="697"/>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209</v>
      </c>
      <c r="I10" s="692">
        <v>29</v>
      </c>
      <c r="J10" s="692"/>
      <c r="K10" s="693">
        <v>30</v>
      </c>
      <c r="L10" s="693"/>
      <c r="M10" s="693">
        <v>1</v>
      </c>
      <c r="N10" s="693"/>
      <c r="O10" s="693">
        <v>2</v>
      </c>
      <c r="P10" s="693"/>
      <c r="Q10" s="693">
        <v>3</v>
      </c>
      <c r="R10" s="693"/>
      <c r="S10" s="693">
        <v>4</v>
      </c>
      <c r="T10" s="693"/>
      <c r="U10" s="694">
        <v>5</v>
      </c>
      <c r="V10" s="694"/>
      <c r="Y10" s="3"/>
      <c r="AB10" s="97" t="s">
        <v>209</v>
      </c>
      <c r="AC10" s="692">
        <v>30</v>
      </c>
      <c r="AD10" s="692"/>
      <c r="AE10" s="693">
        <v>1</v>
      </c>
      <c r="AF10" s="693"/>
      <c r="AG10" s="693">
        <v>2</v>
      </c>
      <c r="AH10" s="693"/>
      <c r="AI10" s="693">
        <v>3</v>
      </c>
      <c r="AJ10" s="693"/>
      <c r="AK10" s="693">
        <v>4</v>
      </c>
      <c r="AL10" s="693"/>
      <c r="AM10" s="693">
        <v>5</v>
      </c>
      <c r="AN10" s="693"/>
      <c r="AO10" s="694">
        <v>6</v>
      </c>
      <c r="AP10" s="69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179</v>
      </c>
      <c r="I11" s="695">
        <v>6</v>
      </c>
      <c r="J11" s="695"/>
      <c r="K11" s="696">
        <v>7</v>
      </c>
      <c r="L11" s="696"/>
      <c r="M11" s="696">
        <v>8</v>
      </c>
      <c r="N11" s="696"/>
      <c r="O11" s="696">
        <v>9</v>
      </c>
      <c r="P11" s="696"/>
      <c r="Q11" s="696">
        <v>10</v>
      </c>
      <c r="R11" s="696"/>
      <c r="S11" s="696">
        <v>11</v>
      </c>
      <c r="T11" s="696"/>
      <c r="U11" s="697">
        <v>12</v>
      </c>
      <c r="V11" s="697"/>
      <c r="Y11" s="3"/>
      <c r="AB11" s="97" t="s">
        <v>179</v>
      </c>
      <c r="AC11" s="695">
        <v>7</v>
      </c>
      <c r="AD11" s="695"/>
      <c r="AE11" s="696">
        <v>8</v>
      </c>
      <c r="AF11" s="696"/>
      <c r="AG11" s="696">
        <v>9</v>
      </c>
      <c r="AH11" s="696"/>
      <c r="AI11" s="696">
        <v>10</v>
      </c>
      <c r="AJ11" s="696"/>
      <c r="AK11" s="696">
        <v>11</v>
      </c>
      <c r="AL11" s="696"/>
      <c r="AM11" s="696">
        <v>12</v>
      </c>
      <c r="AN11" s="696"/>
      <c r="AO11" s="697">
        <v>13</v>
      </c>
      <c r="AP11" s="697"/>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179</v>
      </c>
      <c r="I12" s="698">
        <v>13</v>
      </c>
      <c r="J12" s="698"/>
      <c r="K12" s="699">
        <v>14</v>
      </c>
      <c r="L12" s="699"/>
      <c r="M12" s="699">
        <v>15</v>
      </c>
      <c r="N12" s="699"/>
      <c r="O12" s="699">
        <v>16</v>
      </c>
      <c r="P12" s="699"/>
      <c r="Q12" s="699">
        <v>17</v>
      </c>
      <c r="R12" s="699"/>
      <c r="S12" s="699">
        <v>18</v>
      </c>
      <c r="T12" s="699"/>
      <c r="U12" s="700">
        <v>19</v>
      </c>
      <c r="V12" s="700"/>
      <c r="Y12" s="3"/>
      <c r="AB12" s="97" t="s">
        <v>179</v>
      </c>
      <c r="AC12" s="698">
        <v>14</v>
      </c>
      <c r="AD12" s="698"/>
      <c r="AE12" s="699">
        <v>15</v>
      </c>
      <c r="AF12" s="699"/>
      <c r="AG12" s="699">
        <v>16</v>
      </c>
      <c r="AH12" s="699"/>
      <c r="AI12" s="699">
        <v>17</v>
      </c>
      <c r="AJ12" s="699"/>
      <c r="AK12" s="699">
        <v>18</v>
      </c>
      <c r="AL12" s="699"/>
      <c r="AM12" s="699">
        <v>19</v>
      </c>
      <c r="AN12" s="699"/>
      <c r="AO12" s="700">
        <v>20</v>
      </c>
      <c r="AP12" s="700"/>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217</v>
      </c>
      <c r="D14" s="106" t="s">
        <v>212</v>
      </c>
      <c r="H14" s="97"/>
      <c r="O14" s="648"/>
      <c r="P14" s="648"/>
      <c r="Q14" s="648"/>
      <c r="R14" s="648"/>
      <c r="S14" s="648"/>
      <c r="T14" s="648"/>
      <c r="U14" s="648"/>
      <c r="W14" s="648"/>
      <c r="X14" s="648"/>
      <c r="Y14" s="648"/>
      <c r="Z14" s="648"/>
      <c r="AA14" s="648"/>
      <c r="AB14" s="648"/>
      <c r="AC14" s="648"/>
      <c r="AE14" s="648"/>
      <c r="AF14" s="648"/>
      <c r="AG14" s="648"/>
      <c r="AH14" s="648"/>
      <c r="AI14" s="648"/>
      <c r="AJ14" s="648"/>
      <c r="AK14" s="648"/>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218</v>
      </c>
      <c r="D15" s="104" t="s">
        <v>214</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215</v>
      </c>
      <c r="D16" s="104" t="s">
        <v>216</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219</v>
      </c>
      <c r="D17" s="104" t="s">
        <v>220</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221</v>
      </c>
      <c r="D18" s="104" t="s">
        <v>222</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223</v>
      </c>
      <c r="D19" s="104" t="s">
        <v>224</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1"/>
      <c r="AW20" s="701"/>
      <c r="AX20" s="701"/>
      <c r="AY20" s="701"/>
      <c r="AZ20" s="701"/>
      <c r="BA20" s="701"/>
      <c r="BB20" s="701"/>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45851</v>
      </c>
      <c r="R21" s="119">
        <v>45852</v>
      </c>
      <c r="S21" s="119">
        <v>45853</v>
      </c>
      <c r="T21" s="119">
        <v>45854</v>
      </c>
      <c r="U21" s="119">
        <v>45855</v>
      </c>
      <c r="V21" s="119">
        <v>45856</v>
      </c>
      <c r="W21" s="119">
        <v>45857</v>
      </c>
      <c r="X21" s="120"/>
      <c r="Y21" s="120"/>
      <c r="Z21" s="119">
        <v>45851</v>
      </c>
      <c r="AA21" s="119">
        <v>45852</v>
      </c>
      <c r="AB21" s="119">
        <v>45853</v>
      </c>
      <c r="AC21" s="119">
        <v>45854</v>
      </c>
      <c r="AD21" s="119">
        <v>45855</v>
      </c>
      <c r="AE21" s="119">
        <v>45856</v>
      </c>
      <c r="AF21" s="119">
        <v>45857</v>
      </c>
      <c r="AG21" s="120"/>
      <c r="AH21" s="120"/>
      <c r="AI21" s="119">
        <v>45851</v>
      </c>
      <c r="AJ21" s="119">
        <v>45852</v>
      </c>
      <c r="AK21" s="119">
        <v>45853</v>
      </c>
      <c r="AL21" s="119">
        <v>45854</v>
      </c>
      <c r="AM21" s="119">
        <v>45855</v>
      </c>
      <c r="AN21" s="119">
        <v>45856</v>
      </c>
      <c r="AO21" s="119">
        <v>45857</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2">
        <v>56387</v>
      </c>
      <c r="D22" s="702" t="s">
        <v>185</v>
      </c>
      <c r="E22" s="702" t="s">
        <v>186</v>
      </c>
      <c r="F22" s="702" t="s">
        <v>187</v>
      </c>
      <c r="G22" s="702" t="s">
        <v>188</v>
      </c>
      <c r="H22" s="703">
        <v>132</v>
      </c>
      <c r="I22" s="703" t="s">
        <v>189</v>
      </c>
      <c r="J22" s="703"/>
      <c r="K22" s="703"/>
      <c r="L22" s="703"/>
      <c r="M22" s="703"/>
      <c r="N22" s="703"/>
      <c r="O22" s="113"/>
      <c r="Q22" s="704" t="s">
        <v>190</v>
      </c>
      <c r="R22" s="705" t="s">
        <v>190</v>
      </c>
      <c r="S22" s="705" t="s">
        <v>190</v>
      </c>
      <c r="T22" s="705" t="s">
        <v>190</v>
      </c>
      <c r="U22" s="705" t="s">
        <v>190</v>
      </c>
      <c r="V22" s="705" t="s">
        <v>190</v>
      </c>
      <c r="W22" s="706" t="s">
        <v>190</v>
      </c>
      <c r="Z22" s="704" t="s">
        <v>190</v>
      </c>
      <c r="AA22" s="705" t="s">
        <v>190</v>
      </c>
      <c r="AB22" s="705" t="s">
        <v>190</v>
      </c>
      <c r="AC22" s="705" t="s">
        <v>190</v>
      </c>
      <c r="AD22" s="705" t="s">
        <v>190</v>
      </c>
      <c r="AE22" s="705" t="s">
        <v>190</v>
      </c>
      <c r="AF22" s="706" t="s">
        <v>190</v>
      </c>
      <c r="AI22" s="704" t="s">
        <v>190</v>
      </c>
      <c r="AJ22" s="705" t="s">
        <v>190</v>
      </c>
      <c r="AK22" s="705" t="s">
        <v>190</v>
      </c>
      <c r="AL22" s="705" t="s">
        <v>190</v>
      </c>
      <c r="AM22" s="705" t="s">
        <v>190</v>
      </c>
      <c r="AN22" s="705" t="s">
        <v>190</v>
      </c>
      <c r="AO22" s="706" t="s">
        <v>190</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7">
        <v>26819</v>
      </c>
      <c r="D23" s="707" t="s">
        <v>241</v>
      </c>
      <c r="E23" s="707" t="s">
        <v>186</v>
      </c>
      <c r="F23" s="707" t="s">
        <v>242</v>
      </c>
      <c r="G23" s="707" t="s">
        <v>243</v>
      </c>
      <c r="H23" s="708">
        <v>132</v>
      </c>
      <c r="I23" s="708" t="s">
        <v>244</v>
      </c>
      <c r="J23" s="708"/>
      <c r="K23" s="708"/>
      <c r="L23" s="708"/>
      <c r="M23" s="708"/>
      <c r="N23" s="708"/>
      <c r="O23" s="113"/>
      <c r="Q23" s="709" t="s">
        <v>245</v>
      </c>
      <c r="R23" s="710" t="s">
        <v>245</v>
      </c>
      <c r="S23" s="710" t="s">
        <v>245</v>
      </c>
      <c r="T23" s="710" t="s">
        <v>245</v>
      </c>
      <c r="U23" s="710" t="s">
        <v>245</v>
      </c>
      <c r="V23" s="710" t="s">
        <v>245</v>
      </c>
      <c r="W23" s="711" t="s">
        <v>245</v>
      </c>
      <c r="Z23" s="709" t="s">
        <v>245</v>
      </c>
      <c r="AA23" s="710" t="s">
        <v>245</v>
      </c>
      <c r="AB23" s="710" t="s">
        <v>245</v>
      </c>
      <c r="AC23" s="710" t="s">
        <v>245</v>
      </c>
      <c r="AD23" s="710" t="s">
        <v>245</v>
      </c>
      <c r="AE23" s="710" t="s">
        <v>245</v>
      </c>
      <c r="AF23" s="711" t="s">
        <v>245</v>
      </c>
      <c r="AI23" s="709" t="s">
        <v>245</v>
      </c>
      <c r="AJ23" s="710" t="s">
        <v>245</v>
      </c>
      <c r="AK23" s="710" t="s">
        <v>245</v>
      </c>
      <c r="AL23" s="710" t="s">
        <v>245</v>
      </c>
      <c r="AM23" s="710" t="s">
        <v>245</v>
      </c>
      <c r="AN23" s="710" t="s">
        <v>245</v>
      </c>
      <c r="AO23" s="711" t="s">
        <v>245</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2">
        <v>31851</v>
      </c>
      <c r="D24" s="702" t="s">
        <v>246</v>
      </c>
      <c r="E24" s="702" t="s">
        <v>186</v>
      </c>
      <c r="F24" s="702" t="s">
        <v>247</v>
      </c>
      <c r="G24" s="702" t="s">
        <v>248</v>
      </c>
      <c r="H24" s="703">
        <v>186</v>
      </c>
      <c r="I24" s="703" t="s">
        <v>249</v>
      </c>
      <c r="J24" s="703"/>
      <c r="K24" s="703"/>
      <c r="L24" s="703"/>
      <c r="M24" s="703"/>
      <c r="N24" s="703"/>
      <c r="O24" s="113"/>
      <c r="Q24" s="704" t="s">
        <v>190</v>
      </c>
      <c r="R24" s="705" t="s">
        <v>190</v>
      </c>
      <c r="S24" s="705" t="s">
        <v>190</v>
      </c>
      <c r="T24" s="705" t="s">
        <v>190</v>
      </c>
      <c r="U24" s="705" t="s">
        <v>190</v>
      </c>
      <c r="V24" s="705" t="s">
        <v>190</v>
      </c>
      <c r="W24" s="706" t="s">
        <v>190</v>
      </c>
      <c r="Z24" s="704" t="s">
        <v>190</v>
      </c>
      <c r="AA24" s="705" t="s">
        <v>190</v>
      </c>
      <c r="AB24" s="705" t="s">
        <v>190</v>
      </c>
      <c r="AC24" s="705" t="s">
        <v>190</v>
      </c>
      <c r="AD24" s="705" t="s">
        <v>190</v>
      </c>
      <c r="AE24" s="705" t="s">
        <v>190</v>
      </c>
      <c r="AF24" s="706" t="s">
        <v>190</v>
      </c>
      <c r="AI24" s="704" t="s">
        <v>190</v>
      </c>
      <c r="AJ24" s="705" t="s">
        <v>190</v>
      </c>
      <c r="AK24" s="705" t="s">
        <v>190</v>
      </c>
      <c r="AL24" s="705" t="s">
        <v>190</v>
      </c>
      <c r="AM24" s="705" t="s">
        <v>190</v>
      </c>
      <c r="AN24" s="705" t="s">
        <v>190</v>
      </c>
      <c r="AO24" s="706" t="s">
        <v>190</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7">
        <v>33931</v>
      </c>
      <c r="D25" s="707" t="s">
        <v>191</v>
      </c>
      <c r="E25" s="707" t="s">
        <v>186</v>
      </c>
      <c r="F25" s="707" t="s">
        <v>192</v>
      </c>
      <c r="G25" s="707" t="s">
        <v>193</v>
      </c>
      <c r="H25" s="708">
        <v>107</v>
      </c>
      <c r="I25" s="708" t="s">
        <v>194</v>
      </c>
      <c r="J25" s="708"/>
      <c r="K25" s="708"/>
      <c r="L25" s="708"/>
      <c r="M25" s="708"/>
      <c r="N25" s="708"/>
      <c r="O25" s="113"/>
      <c r="Q25" s="709" t="s">
        <v>190</v>
      </c>
      <c r="R25" s="710" t="s">
        <v>190</v>
      </c>
      <c r="S25" s="710" t="s">
        <v>190</v>
      </c>
      <c r="T25" s="710" t="s">
        <v>190</v>
      </c>
      <c r="U25" s="710" t="s">
        <v>190</v>
      </c>
      <c r="V25" s="710" t="s">
        <v>190</v>
      </c>
      <c r="W25" s="711" t="s">
        <v>190</v>
      </c>
      <c r="Z25" s="709" t="s">
        <v>190</v>
      </c>
      <c r="AA25" s="710" t="s">
        <v>190</v>
      </c>
      <c r="AB25" s="710" t="s">
        <v>190</v>
      </c>
      <c r="AC25" s="710" t="s">
        <v>190</v>
      </c>
      <c r="AD25" s="710" t="s">
        <v>190</v>
      </c>
      <c r="AE25" s="710" t="s">
        <v>190</v>
      </c>
      <c r="AF25" s="711" t="s">
        <v>190</v>
      </c>
      <c r="AI25" s="709" t="s">
        <v>190</v>
      </c>
      <c r="AJ25" s="710" t="s">
        <v>190</v>
      </c>
      <c r="AK25" s="710" t="s">
        <v>190</v>
      </c>
      <c r="AL25" s="710" t="s">
        <v>190</v>
      </c>
      <c r="AM25" s="710" t="s">
        <v>190</v>
      </c>
      <c r="AN25" s="710" t="s">
        <v>190</v>
      </c>
      <c r="AO25" s="711" t="s">
        <v>190</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2">
        <v>62556</v>
      </c>
      <c r="D26" s="702" t="s">
        <v>250</v>
      </c>
      <c r="E26" s="702" t="s">
        <v>186</v>
      </c>
      <c r="F26" s="702" t="s">
        <v>192</v>
      </c>
      <c r="G26" s="702" t="s">
        <v>251</v>
      </c>
      <c r="H26" s="703">
        <v>87</v>
      </c>
      <c r="I26" s="703" t="s">
        <v>252</v>
      </c>
      <c r="J26" s="703"/>
      <c r="K26" s="703"/>
      <c r="L26" s="703"/>
      <c r="M26" s="703"/>
      <c r="N26" s="703"/>
      <c r="O26" s="113"/>
      <c r="Q26" s="704" t="s">
        <v>190</v>
      </c>
      <c r="R26" s="705" t="s">
        <v>190</v>
      </c>
      <c r="S26" s="705" t="s">
        <v>190</v>
      </c>
      <c r="T26" s="705" t="s">
        <v>190</v>
      </c>
      <c r="U26" s="705" t="s">
        <v>190</v>
      </c>
      <c r="V26" s="705" t="s">
        <v>190</v>
      </c>
      <c r="W26" s="706" t="s">
        <v>190</v>
      </c>
      <c r="Z26" s="704" t="s">
        <v>190</v>
      </c>
      <c r="AA26" s="705" t="s">
        <v>190</v>
      </c>
      <c r="AB26" s="705" t="s">
        <v>190</v>
      </c>
      <c r="AC26" s="705" t="s">
        <v>190</v>
      </c>
      <c r="AD26" s="705" t="s">
        <v>190</v>
      </c>
      <c r="AE26" s="705" t="s">
        <v>190</v>
      </c>
      <c r="AF26" s="706" t="s">
        <v>190</v>
      </c>
      <c r="AI26" s="704" t="s">
        <v>174</v>
      </c>
      <c r="AJ26" s="705" t="s">
        <v>174</v>
      </c>
      <c r="AK26" s="705" t="s">
        <v>174</v>
      </c>
      <c r="AL26" s="705" t="s">
        <v>174</v>
      </c>
      <c r="AM26" s="705" t="s">
        <v>174</v>
      </c>
      <c r="AN26" s="705" t="s">
        <v>174</v>
      </c>
      <c r="AO26" s="706" t="s">
        <v>174</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7">
        <v>64036</v>
      </c>
      <c r="D27" s="707" t="s">
        <v>253</v>
      </c>
      <c r="E27" s="707" t="s">
        <v>186</v>
      </c>
      <c r="F27" s="707" t="s">
        <v>192</v>
      </c>
      <c r="G27" s="707" t="s">
        <v>254</v>
      </c>
      <c r="H27" s="708">
        <v>105</v>
      </c>
      <c r="I27" s="708" t="s">
        <v>255</v>
      </c>
      <c r="J27" s="708"/>
      <c r="K27" s="708"/>
      <c r="L27" s="708"/>
      <c r="M27" s="708"/>
      <c r="N27" s="708"/>
      <c r="O27" s="113"/>
      <c r="Q27" s="709" t="s">
        <v>190</v>
      </c>
      <c r="R27" s="710" t="s">
        <v>190</v>
      </c>
      <c r="S27" s="710" t="s">
        <v>190</v>
      </c>
      <c r="T27" s="710" t="s">
        <v>190</v>
      </c>
      <c r="U27" s="710" t="s">
        <v>190</v>
      </c>
      <c r="V27" s="710" t="s">
        <v>190</v>
      </c>
      <c r="W27" s="711" t="s">
        <v>190</v>
      </c>
      <c r="Z27" s="709" t="s">
        <v>190</v>
      </c>
      <c r="AA27" s="710" t="s">
        <v>190</v>
      </c>
      <c r="AB27" s="710" t="s">
        <v>190</v>
      </c>
      <c r="AC27" s="710" t="s">
        <v>190</v>
      </c>
      <c r="AD27" s="710" t="s">
        <v>190</v>
      </c>
      <c r="AE27" s="710" t="s">
        <v>190</v>
      </c>
      <c r="AF27" s="711" t="s">
        <v>190</v>
      </c>
      <c r="AI27" s="709" t="s">
        <v>190</v>
      </c>
      <c r="AJ27" s="710" t="s">
        <v>190</v>
      </c>
      <c r="AK27" s="710" t="s">
        <v>190</v>
      </c>
      <c r="AL27" s="710" t="s">
        <v>190</v>
      </c>
      <c r="AM27" s="710" t="s">
        <v>190</v>
      </c>
      <c r="AN27" s="710" t="s">
        <v>190</v>
      </c>
      <c r="AO27" s="711" t="s">
        <v>190</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2">
        <v>67528</v>
      </c>
      <c r="D28" s="702" t="s">
        <v>256</v>
      </c>
      <c r="E28" s="702" t="s">
        <v>186</v>
      </c>
      <c r="F28" s="702" t="s">
        <v>192</v>
      </c>
      <c r="G28" s="702" t="s">
        <v>257</v>
      </c>
      <c r="H28" s="703">
        <v>118</v>
      </c>
      <c r="I28" s="703" t="s">
        <v>258</v>
      </c>
      <c r="J28" s="703"/>
      <c r="K28" s="703"/>
      <c r="L28" s="703"/>
      <c r="M28" s="703"/>
      <c r="N28" s="703"/>
      <c r="O28" s="113"/>
      <c r="Q28" s="704" t="s">
        <v>190</v>
      </c>
      <c r="R28" s="705" t="s">
        <v>190</v>
      </c>
      <c r="S28" s="705" t="s">
        <v>190</v>
      </c>
      <c r="T28" s="705" t="s">
        <v>190</v>
      </c>
      <c r="U28" s="705" t="s">
        <v>190</v>
      </c>
      <c r="V28" s="705" t="s">
        <v>190</v>
      </c>
      <c r="W28" s="706" t="s">
        <v>190</v>
      </c>
      <c r="Z28" s="704" t="s">
        <v>190</v>
      </c>
      <c r="AA28" s="705" t="s">
        <v>190</v>
      </c>
      <c r="AB28" s="705" t="s">
        <v>190</v>
      </c>
      <c r="AC28" s="705" t="s">
        <v>190</v>
      </c>
      <c r="AD28" s="705" t="s">
        <v>190</v>
      </c>
      <c r="AE28" s="705" t="s">
        <v>190</v>
      </c>
      <c r="AF28" s="706" t="s">
        <v>190</v>
      </c>
      <c r="AI28" s="704" t="s">
        <v>259</v>
      </c>
      <c r="AJ28" s="705" t="s">
        <v>259</v>
      </c>
      <c r="AK28" s="705" t="s">
        <v>259</v>
      </c>
      <c r="AL28" s="705" t="s">
        <v>259</v>
      </c>
      <c r="AM28" s="705" t="s">
        <v>259</v>
      </c>
      <c r="AN28" s="705" t="s">
        <v>259</v>
      </c>
      <c r="AO28" s="706" t="s">
        <v>259</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7">
        <v>68331</v>
      </c>
      <c r="D29" s="707" t="s">
        <v>260</v>
      </c>
      <c r="E29" s="707" t="s">
        <v>186</v>
      </c>
      <c r="F29" s="707" t="s">
        <v>261</v>
      </c>
      <c r="G29" s="707" t="s">
        <v>262</v>
      </c>
      <c r="H29" s="708">
        <v>96</v>
      </c>
      <c r="I29" s="708" t="s">
        <v>263</v>
      </c>
      <c r="J29" s="708"/>
      <c r="K29" s="708"/>
      <c r="L29" s="708"/>
      <c r="M29" s="708"/>
      <c r="N29" s="708"/>
      <c r="O29" s="113"/>
      <c r="Q29" s="709" t="s">
        <v>190</v>
      </c>
      <c r="R29" s="710" t="s">
        <v>190</v>
      </c>
      <c r="S29" s="710" t="s">
        <v>190</v>
      </c>
      <c r="T29" s="710" t="s">
        <v>190</v>
      </c>
      <c r="U29" s="710" t="s">
        <v>190</v>
      </c>
      <c r="V29" s="710" t="s">
        <v>190</v>
      </c>
      <c r="W29" s="711" t="s">
        <v>190</v>
      </c>
      <c r="Z29" s="709" t="s">
        <v>190</v>
      </c>
      <c r="AA29" s="710" t="s">
        <v>190</v>
      </c>
      <c r="AB29" s="710" t="s">
        <v>190</v>
      </c>
      <c r="AC29" s="710" t="s">
        <v>190</v>
      </c>
      <c r="AD29" s="710" t="s">
        <v>190</v>
      </c>
      <c r="AE29" s="710" t="s">
        <v>190</v>
      </c>
      <c r="AF29" s="711" t="s">
        <v>190</v>
      </c>
      <c r="AI29" s="709" t="s">
        <v>190</v>
      </c>
      <c r="AJ29" s="710" t="s">
        <v>190</v>
      </c>
      <c r="AK29" s="710" t="s">
        <v>190</v>
      </c>
      <c r="AL29" s="710" t="s">
        <v>190</v>
      </c>
      <c r="AM29" s="710" t="s">
        <v>190</v>
      </c>
      <c r="AN29" s="710" t="s">
        <v>190</v>
      </c>
      <c r="AO29" s="711" t="s">
        <v>190</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702">
        <v>70610</v>
      </c>
      <c r="D30" s="702" t="s">
        <v>264</v>
      </c>
      <c r="E30" s="702" t="s">
        <v>186</v>
      </c>
      <c r="F30" s="702" t="s">
        <v>265</v>
      </c>
      <c r="G30" s="702" t="s">
        <v>266</v>
      </c>
      <c r="H30" s="703">
        <v>202</v>
      </c>
      <c r="I30" s="703" t="s">
        <v>267</v>
      </c>
      <c r="J30" s="703"/>
      <c r="K30" s="703"/>
      <c r="L30" s="703"/>
      <c r="M30" s="703"/>
      <c r="N30" s="703"/>
      <c r="O30" s="113"/>
      <c r="Q30" s="704" t="s">
        <v>190</v>
      </c>
      <c r="R30" s="705" t="s">
        <v>190</v>
      </c>
      <c r="S30" s="705" t="s">
        <v>190</v>
      </c>
      <c r="T30" s="705" t="s">
        <v>190</v>
      </c>
      <c r="U30" s="705" t="s">
        <v>190</v>
      </c>
      <c r="V30" s="705" t="s">
        <v>190</v>
      </c>
      <c r="W30" s="706" t="s">
        <v>190</v>
      </c>
      <c r="Z30" s="704" t="s">
        <v>190</v>
      </c>
      <c r="AA30" s="705" t="s">
        <v>190</v>
      </c>
      <c r="AB30" s="705" t="s">
        <v>190</v>
      </c>
      <c r="AC30" s="705" t="s">
        <v>190</v>
      </c>
      <c r="AD30" s="705" t="s">
        <v>190</v>
      </c>
      <c r="AE30" s="705" t="s">
        <v>190</v>
      </c>
      <c r="AF30" s="706" t="s">
        <v>190</v>
      </c>
      <c r="AI30" s="704" t="s">
        <v>190</v>
      </c>
      <c r="AJ30" s="705" t="s">
        <v>190</v>
      </c>
      <c r="AK30" s="705" t="s">
        <v>190</v>
      </c>
      <c r="AL30" s="705" t="s">
        <v>190</v>
      </c>
      <c r="AM30" s="705" t="s">
        <v>190</v>
      </c>
      <c r="AN30" s="705" t="s">
        <v>190</v>
      </c>
      <c r="AO30" s="706" t="s">
        <v>190</v>
      </c>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703">
        <v>1165</v>
      </c>
      <c r="I31" s="712"/>
      <c r="J31" s="712"/>
      <c r="K31" s="712"/>
      <c r="L31" s="712"/>
      <c r="M31" s="712"/>
      <c r="N31" s="712"/>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2"/>
      <c r="J32" s="712"/>
      <c r="K32" s="712"/>
      <c r="L32" s="712"/>
      <c r="M32" s="712"/>
      <c r="N32" s="712"/>
      <c r="O32" s="113"/>
      <c r="P32" t="s">
        <v>207</v>
      </c>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2"/>
      <c r="J33" s="712"/>
      <c r="K33" s="712"/>
      <c r="L33" s="712"/>
      <c r="M33" s="712"/>
      <c r="N33" s="712"/>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2"/>
      <c r="J34" s="712"/>
      <c r="K34" s="712"/>
      <c r="L34" s="712"/>
      <c r="M34" s="712"/>
      <c r="N34" s="712"/>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2"/>
      <c r="J35" s="712"/>
      <c r="K35" s="712"/>
      <c r="L35" s="712"/>
      <c r="M35" s="712"/>
      <c r="N35" s="712"/>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2"/>
      <c r="J36" s="712"/>
      <c r="K36" s="712"/>
      <c r="L36" s="712"/>
      <c r="M36" s="712"/>
      <c r="N36" s="712"/>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2"/>
      <c r="J37" s="712"/>
      <c r="K37" s="712"/>
      <c r="L37" s="712"/>
      <c r="M37" s="712"/>
      <c r="N37" s="712"/>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2"/>
      <c r="J38" s="712"/>
      <c r="K38" s="712"/>
      <c r="L38" s="712"/>
      <c r="M38" s="712"/>
      <c r="N38" s="712"/>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2"/>
      <c r="J39" s="712"/>
      <c r="K39" s="712"/>
      <c r="L39" s="712"/>
      <c r="M39" s="712"/>
      <c r="N39" s="712"/>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2"/>
      <c r="J40" s="712"/>
      <c r="K40" s="712"/>
      <c r="L40" s="712"/>
      <c r="M40" s="712"/>
      <c r="N40" s="712"/>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2"/>
      <c r="J41" s="712"/>
      <c r="K41" s="712"/>
      <c r="L41" s="712"/>
      <c r="M41" s="712"/>
      <c r="N41" s="712"/>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2"/>
      <c r="J42" s="712"/>
      <c r="K42" s="712"/>
      <c r="L42" s="712"/>
      <c r="M42" s="712"/>
      <c r="N42" s="712"/>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2"/>
      <c r="J43" s="712"/>
      <c r="K43" s="712"/>
      <c r="L43" s="712"/>
      <c r="M43" s="712"/>
      <c r="N43" s="712"/>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2"/>
      <c r="J44" s="712"/>
      <c r="K44" s="712"/>
      <c r="L44" s="712"/>
      <c r="M44" s="712"/>
      <c r="N44" s="712"/>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2"/>
      <c r="J45" s="712"/>
      <c r="K45" s="712"/>
      <c r="L45" s="712"/>
      <c r="M45" s="712"/>
      <c r="N45" s="712"/>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2"/>
      <c r="J46" s="712"/>
      <c r="K46" s="712"/>
      <c r="L46" s="712"/>
      <c r="M46" s="712"/>
      <c r="N46" s="712"/>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2"/>
      <c r="J47" s="712"/>
      <c r="K47" s="712"/>
      <c r="L47" s="712"/>
      <c r="M47" s="712"/>
      <c r="N47" s="712"/>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2"/>
      <c r="J48" s="712"/>
      <c r="K48" s="712"/>
      <c r="L48" s="712"/>
      <c r="M48" s="712"/>
      <c r="N48" s="712"/>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2"/>
      <c r="J49" s="712"/>
      <c r="K49" s="712"/>
      <c r="L49" s="712"/>
      <c r="M49" s="712"/>
      <c r="N49" s="712"/>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2"/>
      <c r="J50" s="712"/>
      <c r="K50" s="712"/>
      <c r="L50" s="712"/>
      <c r="M50" s="712"/>
      <c r="N50" s="712"/>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2"/>
      <c r="J51" s="712"/>
      <c r="K51" s="712"/>
      <c r="L51" s="712"/>
      <c r="M51" s="712"/>
      <c r="N51" s="712"/>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2"/>
      <c r="J52" s="712"/>
      <c r="K52" s="712"/>
      <c r="L52" s="712"/>
      <c r="M52" s="712"/>
      <c r="N52" s="712"/>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2"/>
      <c r="J53" s="712"/>
      <c r="K53" s="712"/>
      <c r="L53" s="712"/>
      <c r="M53" s="712"/>
      <c r="N53" s="712"/>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2"/>
      <c r="J54" s="712"/>
      <c r="K54" s="712"/>
      <c r="L54" s="712"/>
      <c r="M54" s="712"/>
      <c r="N54" s="712"/>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2"/>
      <c r="J55" s="712"/>
      <c r="K55" s="712"/>
      <c r="L55" s="712"/>
      <c r="M55" s="712"/>
      <c r="N55" s="712"/>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2"/>
      <c r="J56" s="712"/>
      <c r="K56" s="712"/>
      <c r="L56" s="712"/>
      <c r="M56" s="712"/>
      <c r="N56" s="712"/>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2"/>
      <c r="J57" s="712"/>
      <c r="K57" s="712"/>
      <c r="L57" s="712"/>
      <c r="M57" s="712"/>
      <c r="N57" s="712"/>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2"/>
      <c r="J58" s="712"/>
      <c r="K58" s="712"/>
      <c r="L58" s="712"/>
      <c r="M58" s="712"/>
      <c r="N58" s="712"/>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2"/>
      <c r="J59" s="712"/>
      <c r="K59" s="712"/>
      <c r="L59" s="712"/>
      <c r="M59" s="712"/>
      <c r="N59" s="712"/>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2"/>
      <c r="J60" s="712"/>
      <c r="K60" s="712"/>
      <c r="L60" s="712"/>
      <c r="M60" s="712"/>
      <c r="N60" s="712"/>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2"/>
      <c r="J61" s="712"/>
      <c r="K61" s="712"/>
      <c r="L61" s="712"/>
      <c r="M61" s="712"/>
      <c r="N61" s="712"/>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2"/>
      <c r="J62" s="712"/>
      <c r="K62" s="712"/>
      <c r="L62" s="712"/>
      <c r="M62" s="712"/>
      <c r="N62" s="712"/>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2"/>
      <c r="J63" s="712"/>
      <c r="K63" s="712"/>
      <c r="L63" s="712"/>
      <c r="M63" s="712"/>
      <c r="N63" s="712"/>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2"/>
      <c r="J64" s="712"/>
      <c r="K64" s="712"/>
      <c r="L64" s="712"/>
      <c r="M64" s="712"/>
      <c r="N64" s="712"/>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2"/>
      <c r="J65" s="712"/>
      <c r="K65" s="712"/>
      <c r="L65" s="712"/>
      <c r="M65" s="712"/>
      <c r="N65" s="712"/>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2"/>
      <c r="J66" s="712"/>
      <c r="K66" s="712"/>
      <c r="L66" s="712"/>
      <c r="M66" s="712"/>
      <c r="N66" s="712"/>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2"/>
      <c r="J67" s="712"/>
      <c r="K67" s="712"/>
      <c r="L67" s="712"/>
      <c r="M67" s="712"/>
      <c r="N67" s="712"/>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2"/>
      <c r="J68" s="712"/>
      <c r="K68" s="712"/>
      <c r="L68" s="712"/>
      <c r="M68" s="712"/>
      <c r="N68" s="712"/>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2"/>
      <c r="J69" s="712"/>
      <c r="K69" s="712"/>
      <c r="L69" s="712"/>
      <c r="M69" s="712"/>
      <c r="N69" s="712"/>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2"/>
      <c r="J70" s="712"/>
      <c r="K70" s="712"/>
      <c r="L70" s="712"/>
      <c r="M70" s="712"/>
      <c r="N70" s="712"/>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2"/>
      <c r="J71" s="712"/>
      <c r="K71" s="712"/>
      <c r="L71" s="712"/>
      <c r="M71" s="712"/>
      <c r="N71" s="712"/>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2"/>
      <c r="J72" s="712"/>
      <c r="K72" s="712"/>
      <c r="L72" s="712"/>
      <c r="M72" s="712"/>
      <c r="N72" s="712"/>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2"/>
      <c r="J73" s="712"/>
      <c r="K73" s="712"/>
      <c r="L73" s="712"/>
      <c r="M73" s="712"/>
      <c r="N73" s="712"/>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2"/>
      <c r="J74" s="712"/>
      <c r="K74" s="712"/>
      <c r="L74" s="712"/>
      <c r="M74" s="712"/>
      <c r="N74" s="712"/>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2"/>
      <c r="J75" s="712"/>
      <c r="K75" s="712"/>
      <c r="L75" s="712"/>
      <c r="M75" s="712"/>
      <c r="N75" s="712"/>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2"/>
      <c r="J76" s="712"/>
      <c r="K76" s="712"/>
      <c r="L76" s="712"/>
      <c r="M76" s="712"/>
      <c r="N76" s="712"/>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2"/>
      <c r="J77" s="712"/>
      <c r="K77" s="712"/>
      <c r="L77" s="712"/>
      <c r="M77" s="712"/>
      <c r="N77" s="712"/>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2"/>
      <c r="J78" s="712"/>
      <c r="K78" s="712"/>
      <c r="L78" s="712"/>
      <c r="M78" s="712"/>
      <c r="N78" s="712"/>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2"/>
      <c r="J79" s="712"/>
      <c r="K79" s="712"/>
      <c r="L79" s="712"/>
      <c r="M79" s="712"/>
      <c r="N79" s="712"/>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2"/>
      <c r="J80" s="712"/>
      <c r="K80" s="712"/>
      <c r="L80" s="712"/>
      <c r="M80" s="712"/>
      <c r="N80" s="712"/>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2"/>
      <c r="J81" s="712"/>
      <c r="K81" s="712"/>
      <c r="L81" s="712"/>
      <c r="M81" s="712"/>
      <c r="N81" s="712"/>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2"/>
      <c r="J82" s="712"/>
      <c r="K82" s="712"/>
      <c r="L82" s="712"/>
      <c r="M82" s="712"/>
      <c r="N82" s="712"/>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2"/>
      <c r="J83" s="712"/>
      <c r="K83" s="712"/>
      <c r="L83" s="712"/>
      <c r="M83" s="712"/>
      <c r="N83" s="712"/>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2"/>
      <c r="J84" s="712"/>
      <c r="K84" s="712"/>
      <c r="L84" s="712"/>
      <c r="M84" s="712"/>
      <c r="N84" s="712"/>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2"/>
      <c r="J85" s="712"/>
      <c r="K85" s="712"/>
      <c r="L85" s="712"/>
      <c r="M85" s="712"/>
      <c r="N85" s="712"/>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2"/>
      <c r="J86" s="712"/>
      <c r="K86" s="712"/>
      <c r="L86" s="712"/>
      <c r="M86" s="712"/>
      <c r="N86" s="712"/>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2"/>
      <c r="J87" s="712"/>
      <c r="K87" s="712"/>
      <c r="L87" s="712"/>
      <c r="M87" s="712"/>
      <c r="N87" s="712"/>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2"/>
      <c r="J88" s="712"/>
      <c r="K88" s="712"/>
      <c r="L88" s="712"/>
      <c r="M88" s="712"/>
      <c r="N88" s="712"/>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2"/>
      <c r="J89" s="712"/>
      <c r="K89" s="712"/>
      <c r="L89" s="712"/>
      <c r="M89" s="712"/>
      <c r="N89" s="712"/>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2"/>
      <c r="J90" s="712"/>
      <c r="K90" s="712"/>
      <c r="L90" s="712"/>
      <c r="M90" s="712"/>
      <c r="N90" s="712"/>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2"/>
      <c r="J91" s="712"/>
      <c r="K91" s="712"/>
      <c r="L91" s="712"/>
      <c r="M91" s="712"/>
      <c r="N91" s="712"/>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2"/>
      <c r="J92" s="712"/>
      <c r="K92" s="712"/>
      <c r="L92" s="712"/>
      <c r="M92" s="712"/>
      <c r="N92" s="712"/>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2"/>
      <c r="J93" s="712"/>
      <c r="K93" s="712"/>
      <c r="L93" s="712"/>
      <c r="M93" s="712"/>
      <c r="N93" s="712"/>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2"/>
      <c r="J94" s="712"/>
      <c r="K94" s="712"/>
      <c r="L94" s="712"/>
      <c r="M94" s="712"/>
      <c r="N94" s="712"/>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2"/>
      <c r="J95" s="712"/>
      <c r="K95" s="712"/>
      <c r="L95" s="712"/>
      <c r="M95" s="712"/>
      <c r="N95" s="712"/>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2"/>
      <c r="J96" s="712"/>
      <c r="K96" s="712"/>
      <c r="L96" s="712"/>
      <c r="M96" s="712"/>
      <c r="N96" s="712"/>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2"/>
      <c r="J97" s="712"/>
      <c r="K97" s="712"/>
      <c r="L97" s="712"/>
      <c r="M97" s="712"/>
      <c r="N97" s="712"/>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2"/>
      <c r="J98" s="712"/>
      <c r="K98" s="712"/>
      <c r="L98" s="712"/>
      <c r="M98" s="712"/>
      <c r="N98" s="712"/>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2"/>
      <c r="J99" s="712"/>
      <c r="K99" s="712"/>
      <c r="L99" s="712"/>
      <c r="M99" s="712"/>
      <c r="N99" s="712"/>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2"/>
      <c r="J100" s="712"/>
      <c r="K100" s="712"/>
      <c r="L100" s="712"/>
      <c r="M100" s="712"/>
      <c r="N100" s="712"/>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3" t="s">
        <v>114</v>
      </c>
      <c r="D103" s="713"/>
      <c r="E103" s="713"/>
      <c r="F103" s="713"/>
      <c r="G103" s="713"/>
      <c r="H103" s="713"/>
      <c r="I103" s="713"/>
      <c r="J103" s="713"/>
      <c r="K103" s="713"/>
      <c r="L103" s="713"/>
      <c r="M103" s="713"/>
      <c r="N103" s="713"/>
      <c r="O103" s="713"/>
      <c r="P103" s="713"/>
      <c r="Q103" s="713"/>
      <c r="R103" s="713"/>
      <c r="S103" s="713"/>
      <c r="T103" s="713"/>
      <c r="U103" s="713"/>
      <c r="V103" s="713"/>
      <c r="W103" s="713"/>
      <c r="X103" s="713"/>
      <c r="Y103" s="713"/>
      <c r="Z103" s="713"/>
      <c r="AA103" s="713"/>
      <c r="AB103" s="713"/>
      <c r="AC103" s="713"/>
      <c r="AD103" s="713"/>
      <c r="AE103" s="713"/>
      <c r="AF103" s="713"/>
      <c r="AG103" s="713"/>
      <c r="AH103" s="713"/>
      <c r="AI103" s="713"/>
      <c r="AJ103" s="713"/>
      <c r="AK103" s="713"/>
      <c r="AL103" s="713"/>
      <c r="AM103" s="713"/>
      <c r="AN103" s="713"/>
      <c r="AO103" s="713"/>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4"/>
      <c r="B105" s="714"/>
      <c r="C105" s="714"/>
      <c r="D105" s="714"/>
      <c r="E105" s="714"/>
      <c r="F105" s="714"/>
      <c r="G105" s="714"/>
      <c r="H105" s="714"/>
      <c r="I105" s="714"/>
      <c r="J105" s="714"/>
      <c r="K105" s="714"/>
      <c r="L105" s="714"/>
      <c r="M105" s="714"/>
      <c r="N105" s="714"/>
      <c r="O105" s="714"/>
      <c r="P105" s="714"/>
      <c r="Q105" s="714"/>
      <c r="R105" s="714"/>
      <c r="S105" s="714"/>
      <c r="T105" s="714"/>
      <c r="U105" s="714"/>
      <c r="V105" s="714"/>
      <c r="W105" s="714"/>
      <c r="X105" s="714"/>
      <c r="Y105" s="714"/>
      <c r="Z105" s="714"/>
      <c r="AA105" s="714"/>
      <c r="AB105" s="714"/>
      <c r="AC105" s="714"/>
      <c r="AD105" s="714"/>
      <c r="AE105" s="714"/>
      <c r="AF105" s="714"/>
      <c r="AG105" s="714"/>
      <c r="AH105" s="714"/>
      <c r="AI105" s="714"/>
      <c r="AJ105" s="714"/>
      <c r="AK105" s="714"/>
      <c r="AL105" s="714"/>
      <c r="AM105" s="714"/>
      <c r="AN105" s="714"/>
      <c r="AO105" s="714"/>
      <c r="AP105" s="714"/>
      <c r="AQ105" s="714"/>
      <c r="AR105" s="714"/>
      <c r="AS105" s="714"/>
      <c r="AT105" s="714"/>
      <c r="AU105" s="714"/>
      <c r="AV105" s="714"/>
      <c r="AW105" s="714"/>
      <c r="AX105" s="714"/>
      <c r="AY105" s="714"/>
      <c r="AZ105" s="714"/>
      <c r="BA105" s="714"/>
      <c r="BB105" s="714"/>
      <c r="BC105" s="714"/>
      <c r="BD105" s="714"/>
      <c r="BE105" s="714"/>
      <c r="BF105" s="714"/>
      <c r="BG105" s="714"/>
      <c r="BH105" s="714"/>
      <c r="BI105" s="714"/>
      <c r="BJ105" s="714"/>
      <c r="BK105" s="714"/>
      <c r="BL105" s="714"/>
      <c r="BM105" s="714"/>
      <c r="BN105" s="714"/>
      <c r="BO105" s="714"/>
      <c r="BP105" s="714"/>
      <c r="BQ105" s="714"/>
      <c r="BR105" s="244"/>
      <c r="BS105" s="244"/>
      <c r="BT105" s="244"/>
      <c r="BU105" s="244"/>
      <c r="BV105" s="244"/>
      <c r="BW105" s="244"/>
      <c r="BX105" s="244"/>
      <c r="BY105" s="244"/>
      <c r="BZ105" s="244"/>
      <c r="CA105" s="244"/>
      <c r="CB105" s="244"/>
      <c r="CC105" s="244"/>
      <c r="CD105" s="244"/>
      <c r="CE105" s="244"/>
      <c r="CF105" s="244"/>
    </row>
    <row r="106" ht="12.75" customHeight="1">
      <c r="A106" s="714"/>
      <c r="B106" s="714"/>
      <c r="C106" s="714"/>
      <c r="D106" s="714"/>
      <c r="E106" s="714"/>
      <c r="F106" s="714"/>
      <c r="G106" s="714"/>
      <c r="H106" s="714"/>
      <c r="I106" s="714"/>
      <c r="J106" s="714"/>
      <c r="K106" s="714"/>
      <c r="L106" s="714"/>
      <c r="M106" s="714"/>
      <c r="N106" s="714"/>
      <c r="O106" s="714"/>
      <c r="P106" s="714"/>
      <c r="Q106" s="714"/>
      <c r="R106" s="714"/>
      <c r="S106" s="714"/>
      <c r="T106" s="714"/>
      <c r="U106" s="714"/>
      <c r="V106" s="714"/>
      <c r="W106" s="714"/>
      <c r="X106" s="714"/>
      <c r="Y106" s="714"/>
      <c r="Z106" s="714"/>
      <c r="AA106" s="714"/>
      <c r="AB106" s="714"/>
      <c r="AC106" s="714"/>
      <c r="AD106" s="714"/>
      <c r="AE106" s="714"/>
      <c r="AF106" s="714"/>
      <c r="AG106" s="714"/>
      <c r="AH106" s="714"/>
      <c r="AI106" s="714"/>
      <c r="AJ106" s="714"/>
      <c r="AK106" s="714"/>
      <c r="AL106" s="714"/>
      <c r="AM106" s="714"/>
      <c r="AN106" s="714"/>
      <c r="AO106" s="714"/>
      <c r="AP106" s="714"/>
      <c r="AQ106" s="714"/>
      <c r="AR106" s="714"/>
      <c r="AS106" s="714"/>
      <c r="AT106" s="714"/>
      <c r="AU106" s="714"/>
      <c r="AV106" s="714"/>
      <c r="AW106" s="714"/>
      <c r="AX106" s="714"/>
      <c r="AY106" s="714"/>
      <c r="AZ106" s="714"/>
      <c r="BA106" s="714"/>
      <c r="BB106" s="714"/>
      <c r="BC106" s="714"/>
      <c r="BD106" s="714"/>
      <c r="BE106" s="714"/>
      <c r="BF106" s="714"/>
      <c r="BG106" s="714"/>
      <c r="BH106" s="714"/>
      <c r="BI106" s="714"/>
      <c r="BJ106" s="714"/>
      <c r="BK106" s="714"/>
      <c r="BL106" s="714"/>
      <c r="BM106" s="714"/>
      <c r="BN106" s="714"/>
      <c r="BO106" s="714"/>
      <c r="BP106" s="714"/>
      <c r="BQ106" s="714"/>
      <c r="BR106" s="244"/>
      <c r="BS106" s="244"/>
      <c r="BT106" s="244"/>
      <c r="BU106" s="244"/>
      <c r="BV106" s="244"/>
      <c r="BW106" s="244"/>
      <c r="BX106" s="244"/>
      <c r="BY106" s="244"/>
      <c r="BZ106" s="244"/>
      <c r="CA106" s="244"/>
      <c r="CB106" s="244"/>
      <c r="CC106" s="244"/>
      <c r="CD106" s="244"/>
      <c r="CE106" s="244"/>
      <c r="CF106" s="244"/>
    </row>
    <row r="107" ht="12.75" customHeight="1">
      <c r="A107" s="714"/>
      <c r="B107" s="714"/>
      <c r="C107" s="714"/>
      <c r="D107" s="714"/>
      <c r="E107" s="714"/>
      <c r="F107" s="714"/>
      <c r="G107" s="714"/>
      <c r="H107" s="714"/>
      <c r="I107" s="714"/>
      <c r="J107" s="714"/>
      <c r="K107" s="714"/>
      <c r="L107" s="714"/>
      <c r="M107" s="714"/>
      <c r="N107" s="714"/>
      <c r="O107" s="714"/>
      <c r="P107" s="714"/>
      <c r="Q107" s="714"/>
      <c r="R107" s="714"/>
      <c r="S107" s="714"/>
      <c r="T107" s="714"/>
      <c r="U107" s="714"/>
      <c r="V107" s="714"/>
      <c r="W107" s="714"/>
      <c r="X107" s="714"/>
      <c r="Y107" s="714"/>
      <c r="Z107" s="714"/>
      <c r="AA107" s="714"/>
      <c r="AB107" s="714"/>
      <c r="AC107" s="714"/>
      <c r="AD107" s="714"/>
      <c r="AE107" s="714"/>
      <c r="AF107" s="714"/>
      <c r="AG107" s="714"/>
      <c r="AH107" s="714"/>
      <c r="AI107" s="714"/>
      <c r="AJ107" s="714"/>
      <c r="AK107" s="714"/>
      <c r="AL107" s="714"/>
      <c r="AM107" s="714"/>
      <c r="AN107" s="714"/>
      <c r="AO107" s="714"/>
      <c r="AP107" s="714"/>
      <c r="AQ107" s="714"/>
      <c r="AR107" s="714"/>
      <c r="AS107" s="714"/>
      <c r="AT107" s="714"/>
      <c r="AU107" s="714"/>
      <c r="AV107" s="714"/>
      <c r="AW107" s="714"/>
      <c r="AX107" s="714"/>
      <c r="AY107" s="714"/>
      <c r="AZ107" s="714"/>
      <c r="BA107" s="714"/>
      <c r="BB107" s="714"/>
      <c r="BC107" s="714"/>
      <c r="BD107" s="714"/>
      <c r="BE107" s="714"/>
      <c r="BF107" s="714"/>
      <c r="BG107" s="714"/>
      <c r="BH107" s="714"/>
      <c r="BI107" s="714"/>
      <c r="BJ107" s="714"/>
      <c r="BK107" s="714"/>
      <c r="BL107" s="714"/>
      <c r="BM107" s="714"/>
      <c r="BN107" s="714"/>
      <c r="BO107" s="714"/>
      <c r="BP107" s="714"/>
      <c r="BQ107" s="714"/>
      <c r="BR107" s="244"/>
      <c r="BS107" s="244"/>
      <c r="BT107" s="244"/>
      <c r="BU107" s="244"/>
      <c r="BV107" s="244"/>
      <c r="BW107" s="244"/>
      <c r="BX107" s="244"/>
      <c r="BY107" s="244"/>
      <c r="BZ107" s="244"/>
      <c r="CA107" s="244"/>
      <c r="CB107" s="244"/>
      <c r="CC107" s="244"/>
      <c r="CD107" s="244"/>
      <c r="CE107" s="244"/>
      <c r="CF107" s="244"/>
    </row>
    <row r="108" ht="12.75" customHeight="1">
      <c r="A108" s="714"/>
      <c r="B108" s="714"/>
      <c r="C108" s="714"/>
      <c r="D108" s="714"/>
      <c r="E108" s="714"/>
      <c r="F108" s="714"/>
      <c r="G108" s="714"/>
      <c r="H108" s="714"/>
      <c r="I108" s="714"/>
      <c r="J108" s="714"/>
      <c r="K108" s="714"/>
      <c r="L108" s="714"/>
      <c r="M108" s="714"/>
      <c r="N108" s="714"/>
      <c r="O108" s="714"/>
      <c r="P108" s="714"/>
      <c r="Q108" s="714"/>
      <c r="R108" s="714"/>
      <c r="S108" s="714"/>
      <c r="T108" s="714"/>
      <c r="U108" s="714"/>
      <c r="V108" s="714"/>
      <c r="W108" s="714"/>
      <c r="X108" s="714"/>
      <c r="Y108" s="714"/>
      <c r="Z108" s="714"/>
      <c r="AA108" s="714"/>
      <c r="AB108" s="714"/>
      <c r="AC108" s="714"/>
      <c r="AD108" s="714"/>
      <c r="AE108" s="714"/>
      <c r="AF108" s="714"/>
      <c r="AG108" s="714"/>
      <c r="AH108" s="714"/>
      <c r="AI108" s="714"/>
      <c r="AJ108" s="714"/>
      <c r="AK108" s="714"/>
      <c r="AL108" s="714"/>
      <c r="AM108" s="714"/>
      <c r="AN108" s="714"/>
      <c r="AO108" s="714"/>
      <c r="AP108" s="714"/>
      <c r="AQ108" s="714"/>
      <c r="AR108" s="714"/>
      <c r="AS108" s="714"/>
      <c r="AT108" s="714"/>
      <c r="AU108" s="714"/>
      <c r="AV108" s="714"/>
      <c r="AW108" s="714"/>
      <c r="AX108" s="714"/>
      <c r="AY108" s="714"/>
      <c r="AZ108" s="714"/>
      <c r="BA108" s="714"/>
      <c r="BB108" s="714"/>
      <c r="BC108" s="714"/>
      <c r="BD108" s="714"/>
      <c r="BE108" s="714"/>
      <c r="BF108" s="714"/>
      <c r="BG108" s="714"/>
      <c r="BH108" s="714"/>
      <c r="BI108" s="714"/>
      <c r="BJ108" s="714"/>
      <c r="BK108" s="714"/>
      <c r="BL108" s="714"/>
      <c r="BM108" s="714"/>
      <c r="BN108" s="714"/>
      <c r="BO108" s="714"/>
      <c r="BP108" s="714"/>
      <c r="BQ108" s="714"/>
      <c r="BR108" s="244"/>
      <c r="BS108" s="244"/>
      <c r="BT108" s="244"/>
      <c r="BU108" s="244"/>
      <c r="BV108" s="244"/>
      <c r="BW108" s="244"/>
      <c r="BX108" s="244"/>
      <c r="BY108" s="244"/>
      <c r="BZ108" s="244"/>
      <c r="CA108" s="244"/>
      <c r="CB108" s="244"/>
      <c r="CC108" s="244"/>
      <c r="CD108" s="244"/>
      <c r="CE108" s="244"/>
      <c r="CF108" s="244"/>
    </row>
    <row r="109" ht="12.75" customHeight="1">
      <c r="A109" s="714"/>
      <c r="B109" s="714"/>
      <c r="C109" s="714"/>
      <c r="D109" s="714"/>
      <c r="E109" s="714"/>
      <c r="F109" s="714"/>
      <c r="G109" s="714"/>
      <c r="H109" s="714"/>
      <c r="I109" s="714"/>
      <c r="J109" s="714"/>
      <c r="K109" s="714"/>
      <c r="L109" s="714"/>
      <c r="M109" s="714"/>
      <c r="N109" s="714"/>
      <c r="O109" s="714"/>
      <c r="P109" s="714"/>
      <c r="Q109" s="714"/>
      <c r="R109" s="714"/>
      <c r="S109" s="714"/>
      <c r="T109" s="714"/>
      <c r="U109" s="714"/>
      <c r="V109" s="714"/>
      <c r="W109" s="714"/>
      <c r="X109" s="714"/>
      <c r="Y109" s="714"/>
      <c r="Z109" s="714"/>
      <c r="AA109" s="714"/>
      <c r="AB109" s="714"/>
      <c r="AC109" s="714"/>
      <c r="AD109" s="714"/>
      <c r="AE109" s="714"/>
      <c r="AF109" s="714"/>
      <c r="AG109" s="714"/>
      <c r="AH109" s="714"/>
      <c r="AI109" s="714"/>
      <c r="AJ109" s="714"/>
      <c r="AK109" s="714"/>
      <c r="AL109" s="714"/>
      <c r="AM109" s="714"/>
      <c r="AN109" s="714"/>
      <c r="AO109" s="714"/>
      <c r="AP109" s="714"/>
      <c r="AQ109" s="714"/>
      <c r="AR109" s="714"/>
      <c r="AS109" s="714"/>
      <c r="AT109" s="714"/>
      <c r="AU109" s="714"/>
      <c r="AV109" s="714"/>
      <c r="AW109" s="714"/>
      <c r="AX109" s="714"/>
      <c r="AY109" s="714"/>
      <c r="AZ109" s="714"/>
      <c r="BA109" s="714"/>
      <c r="BB109" s="714"/>
      <c r="BC109" s="714"/>
      <c r="BD109" s="714"/>
      <c r="BE109" s="714"/>
      <c r="BF109" s="714"/>
      <c r="BG109" s="714"/>
      <c r="BH109" s="714"/>
      <c r="BI109" s="714"/>
      <c r="BJ109" s="714"/>
      <c r="BK109" s="714"/>
      <c r="BL109" s="714"/>
      <c r="BM109" s="714"/>
      <c r="BN109" s="714"/>
      <c r="BO109" s="714"/>
      <c r="BP109" s="714"/>
      <c r="BQ109" s="714"/>
      <c r="BR109" s="244"/>
      <c r="BS109" s="244"/>
      <c r="BT109" s="244"/>
      <c r="BU109" s="244"/>
      <c r="BV109" s="244"/>
      <c r="BW109" s="244"/>
      <c r="BX109" s="244"/>
      <c r="BY109" s="244"/>
      <c r="BZ109" s="244"/>
      <c r="CA109" s="244"/>
      <c r="CB109" s="244"/>
      <c r="CC109" s="244"/>
      <c r="CD109" s="244"/>
      <c r="CE109" s="244"/>
      <c r="CF109" s="244"/>
    </row>
    <row r="110" ht="12.75" customHeight="1">
      <c r="A110" s="714"/>
      <c r="B110" s="714"/>
      <c r="C110" s="714"/>
      <c r="D110" s="714"/>
      <c r="E110" s="714"/>
      <c r="F110" s="714"/>
      <c r="G110" s="714"/>
      <c r="H110" s="714"/>
      <c r="I110" s="714"/>
      <c r="J110" s="714"/>
      <c r="K110" s="714"/>
      <c r="L110" s="714"/>
      <c r="M110" s="714"/>
      <c r="N110" s="714"/>
      <c r="O110" s="714"/>
      <c r="P110" s="714"/>
      <c r="Q110" s="714"/>
      <c r="R110" s="714"/>
      <c r="S110" s="714"/>
      <c r="T110" s="714"/>
      <c r="U110" s="714"/>
      <c r="V110" s="714"/>
      <c r="W110" s="714"/>
      <c r="X110" s="714"/>
      <c r="Y110" s="714"/>
      <c r="Z110" s="714"/>
      <c r="AA110" s="714"/>
      <c r="AB110" s="714"/>
      <c r="AC110" s="714"/>
      <c r="AD110" s="714"/>
      <c r="AE110" s="714"/>
      <c r="AF110" s="714"/>
      <c r="AG110" s="714"/>
      <c r="AH110" s="714"/>
      <c r="AI110" s="714"/>
      <c r="AJ110" s="714"/>
      <c r="AK110" s="714"/>
      <c r="AL110" s="714"/>
      <c r="AM110" s="714"/>
      <c r="AN110" s="714"/>
      <c r="AO110" s="714"/>
      <c r="AP110" s="714"/>
      <c r="AQ110" s="714"/>
      <c r="AR110" s="714"/>
      <c r="AS110" s="714"/>
      <c r="AT110" s="714"/>
      <c r="AU110" s="714"/>
      <c r="AV110" s="714"/>
      <c r="AW110" s="714"/>
      <c r="AX110" s="714"/>
      <c r="AY110" s="714"/>
      <c r="AZ110" s="714"/>
      <c r="BA110" s="714"/>
      <c r="BB110" s="714"/>
      <c r="BC110" s="714"/>
      <c r="BD110" s="714"/>
      <c r="BE110" s="714"/>
      <c r="BF110" s="714"/>
      <c r="BG110" s="714"/>
      <c r="BH110" s="714"/>
      <c r="BI110" s="714"/>
      <c r="BJ110" s="714"/>
      <c r="BK110" s="714"/>
      <c r="BL110" s="714"/>
      <c r="BM110" s="714"/>
      <c r="BN110" s="714"/>
      <c r="BO110" s="714"/>
      <c r="BP110" s="714"/>
      <c r="BQ110" s="714"/>
      <c r="BR110" s="244"/>
      <c r="BS110" s="244"/>
      <c r="BT110" s="244"/>
      <c r="BU110" s="244"/>
      <c r="BV110" s="244"/>
      <c r="BW110" s="244"/>
      <c r="BX110" s="244"/>
      <c r="BY110" s="244"/>
      <c r="BZ110" s="244"/>
      <c r="CA110" s="244"/>
      <c r="CB110" s="244"/>
      <c r="CC110" s="244"/>
      <c r="CD110" s="244"/>
      <c r="CE110" s="244"/>
      <c r="CF110" s="244"/>
    </row>
    <row r="111" ht="12.75" customHeight="1">
      <c r="A111" s="714"/>
      <c r="B111" s="714"/>
      <c r="C111" s="714"/>
      <c r="D111" s="714"/>
      <c r="E111" s="714"/>
      <c r="F111" s="714"/>
      <c r="G111" s="714"/>
      <c r="H111" s="714"/>
      <c r="I111" s="714"/>
      <c r="J111" s="714"/>
      <c r="K111" s="714"/>
      <c r="L111" s="714"/>
      <c r="M111" s="714"/>
      <c r="N111" s="714"/>
      <c r="O111" s="714"/>
      <c r="P111" s="714"/>
      <c r="Q111" s="714"/>
      <c r="R111" s="714"/>
      <c r="S111" s="714"/>
      <c r="T111" s="714"/>
      <c r="U111" s="714"/>
      <c r="V111" s="714"/>
      <c r="W111" s="714"/>
      <c r="X111" s="714"/>
      <c r="Y111" s="714"/>
      <c r="Z111" s="714"/>
      <c r="AA111" s="714"/>
      <c r="AB111" s="714"/>
      <c r="AC111" s="714"/>
      <c r="AD111" s="714"/>
      <c r="AE111" s="714"/>
      <c r="AF111" s="714"/>
      <c r="AG111" s="714"/>
      <c r="AH111" s="714"/>
      <c r="AI111" s="714"/>
      <c r="AJ111" s="714"/>
      <c r="AK111" s="714"/>
      <c r="AL111" s="714"/>
      <c r="AM111" s="714"/>
      <c r="AN111" s="714"/>
      <c r="AO111" s="714"/>
      <c r="AP111" s="714"/>
      <c r="AQ111" s="714"/>
      <c r="AR111" s="714"/>
      <c r="AS111" s="714"/>
      <c r="AT111" s="714"/>
      <c r="AU111" s="714"/>
      <c r="AV111" s="714"/>
      <c r="AW111" s="714"/>
      <c r="AX111" s="714"/>
      <c r="AY111" s="714"/>
      <c r="AZ111" s="714"/>
      <c r="BA111" s="714"/>
      <c r="BB111" s="714"/>
      <c r="BC111" s="714"/>
      <c r="BD111" s="714"/>
      <c r="BE111" s="714"/>
      <c r="BF111" s="714"/>
      <c r="BG111" s="714"/>
      <c r="BH111" s="714"/>
      <c r="BI111" s="714"/>
      <c r="BJ111" s="714"/>
      <c r="BK111" s="714"/>
      <c r="BL111" s="714"/>
      <c r="BM111" s="714"/>
      <c r="BN111" s="714"/>
      <c r="BO111" s="714"/>
      <c r="BP111" s="714"/>
      <c r="BQ111" s="714"/>
      <c r="BR111" s="244"/>
      <c r="BS111" s="244"/>
      <c r="BT111" s="244"/>
      <c r="BU111" s="244"/>
      <c r="BV111" s="244"/>
      <c r="BW111" s="244"/>
      <c r="BX111" s="244"/>
      <c r="BY111" s="244"/>
      <c r="BZ111" s="244"/>
      <c r="CA111" s="244"/>
      <c r="CB111" s="244"/>
      <c r="CC111" s="244"/>
      <c r="CD111" s="244"/>
      <c r="CE111" s="244"/>
      <c r="CF111" s="244"/>
    </row>
    <row r="112" ht="12.75" customHeight="1">
      <c r="A112" s="714"/>
      <c r="B112" s="714"/>
      <c r="C112" s="714"/>
      <c r="D112" s="714"/>
      <c r="E112" s="714"/>
      <c r="F112" s="714"/>
      <c r="G112" s="714"/>
      <c r="H112" s="714"/>
      <c r="I112" s="714"/>
      <c r="J112" s="714"/>
      <c r="K112" s="714"/>
      <c r="L112" s="714"/>
      <c r="M112" s="714"/>
      <c r="N112" s="714"/>
      <c r="O112" s="714"/>
      <c r="P112" s="714"/>
      <c r="Q112" s="714"/>
      <c r="R112" s="714"/>
      <c r="S112" s="714"/>
      <c r="T112" s="714"/>
      <c r="U112" s="714"/>
      <c r="V112" s="714"/>
      <c r="W112" s="714"/>
      <c r="X112" s="714"/>
      <c r="Y112" s="714"/>
      <c r="Z112" s="714"/>
      <c r="AA112" s="714"/>
      <c r="AB112" s="714"/>
      <c r="AC112" s="714"/>
      <c r="AD112" s="714"/>
      <c r="AE112" s="714"/>
      <c r="AF112" s="714"/>
      <c r="AG112" s="714"/>
      <c r="AH112" s="714"/>
      <c r="AI112" s="714"/>
      <c r="AJ112" s="714"/>
      <c r="AK112" s="714"/>
      <c r="AL112" s="714"/>
      <c r="AM112" s="714"/>
      <c r="AN112" s="714"/>
      <c r="AO112" s="714"/>
      <c r="AP112" s="714"/>
      <c r="AQ112" s="714"/>
      <c r="AR112" s="714"/>
      <c r="AS112" s="714"/>
      <c r="AT112" s="714"/>
      <c r="AU112" s="714"/>
      <c r="AV112" s="714"/>
      <c r="AW112" s="714"/>
      <c r="AX112" s="714"/>
      <c r="AY112" s="714"/>
      <c r="AZ112" s="714"/>
      <c r="BA112" s="714"/>
      <c r="BB112" s="714"/>
      <c r="BC112" s="714"/>
      <c r="BD112" s="714"/>
      <c r="BE112" s="714"/>
      <c r="BF112" s="714"/>
      <c r="BG112" s="714"/>
      <c r="BH112" s="714"/>
      <c r="BI112" s="714"/>
      <c r="BJ112" s="714"/>
      <c r="BK112" s="714"/>
      <c r="BL112" s="714"/>
      <c r="BM112" s="714"/>
      <c r="BN112" s="714"/>
      <c r="BO112" s="714"/>
      <c r="BP112" s="714"/>
      <c r="BQ112" s="714"/>
      <c r="BR112" s="244"/>
      <c r="BS112" s="244"/>
      <c r="BT112" s="244"/>
      <c r="BU112" s="244"/>
      <c r="BV112" s="244"/>
      <c r="BW112" s="244"/>
      <c r="BX112" s="244"/>
      <c r="BY112" s="244"/>
      <c r="BZ112" s="244"/>
      <c r="CA112" s="244"/>
      <c r="CB112" s="244"/>
      <c r="CC112" s="244"/>
      <c r="CD112" s="244"/>
      <c r="CE112" s="244"/>
      <c r="CF112" s="244"/>
    </row>
    <row r="113" ht="12.75" customHeight="1">
      <c r="A113" s="714"/>
      <c r="B113" s="714"/>
      <c r="C113" s="714"/>
      <c r="D113" s="714"/>
      <c r="E113" s="714"/>
      <c r="F113" s="714"/>
      <c r="G113" s="714"/>
      <c r="H113" s="714"/>
      <c r="I113" s="714"/>
      <c r="J113" s="714"/>
      <c r="K113" s="714"/>
      <c r="L113" s="714"/>
      <c r="M113" s="714"/>
      <c r="N113" s="714"/>
      <c r="O113" s="714"/>
      <c r="P113" s="714"/>
      <c r="Q113" s="714"/>
      <c r="R113" s="714"/>
      <c r="S113" s="714"/>
      <c r="T113" s="714"/>
      <c r="U113" s="714"/>
      <c r="V113" s="714"/>
      <c r="W113" s="714"/>
      <c r="X113" s="714"/>
      <c r="Y113" s="714"/>
      <c r="Z113" s="714"/>
      <c r="AA113" s="714"/>
      <c r="AB113" s="714"/>
      <c r="AC113" s="714"/>
      <c r="AD113" s="714"/>
      <c r="AE113" s="714"/>
      <c r="AF113" s="714"/>
      <c r="AG113" s="714"/>
      <c r="AH113" s="714"/>
      <c r="AI113" s="714"/>
      <c r="AJ113" s="714"/>
      <c r="AK113" s="714"/>
      <c r="AL113" s="714"/>
      <c r="AM113" s="714"/>
      <c r="AN113" s="714"/>
      <c r="AO113" s="714"/>
      <c r="AP113" s="714"/>
      <c r="AQ113" s="714"/>
      <c r="AR113" s="714"/>
      <c r="AS113" s="714"/>
      <c r="AT113" s="714"/>
      <c r="AU113" s="714"/>
      <c r="AV113" s="714"/>
      <c r="AW113" s="714"/>
      <c r="AX113" s="714"/>
      <c r="AY113" s="714"/>
      <c r="AZ113" s="714"/>
      <c r="BA113" s="714"/>
      <c r="BB113" s="714"/>
      <c r="BC113" s="714"/>
      <c r="BD113" s="714"/>
      <c r="BE113" s="714"/>
      <c r="BF113" s="714"/>
      <c r="BG113" s="714"/>
      <c r="BH113" s="714"/>
      <c r="BI113" s="714"/>
      <c r="BJ113" s="714"/>
      <c r="BK113" s="714"/>
      <c r="BL113" s="714"/>
      <c r="BM113" s="714"/>
      <c r="BN113" s="714"/>
      <c r="BO113" s="714"/>
      <c r="BP113" s="714"/>
      <c r="BQ113" s="714"/>
      <c r="BR113" s="244"/>
      <c r="BS113" s="244"/>
      <c r="BT113" s="244"/>
      <c r="BU113" s="244"/>
      <c r="BV113" s="244"/>
      <c r="BW113" s="244"/>
      <c r="BX113" s="244"/>
      <c r="BY113" s="244"/>
      <c r="BZ113" s="244"/>
      <c r="CA113" s="244"/>
      <c r="CB113" s="244"/>
      <c r="CC113" s="244"/>
      <c r="CD113" s="244"/>
      <c r="CE113" s="244"/>
      <c r="CF113" s="244"/>
    </row>
    <row r="114">
      <c r="A114" s="714"/>
      <c r="B114" s="714"/>
      <c r="C114" s="714"/>
      <c r="D114" s="714"/>
      <c r="E114" s="714"/>
      <c r="F114" s="714"/>
      <c r="G114" s="714"/>
      <c r="H114" s="714"/>
      <c r="I114" s="714"/>
      <c r="J114" s="714"/>
      <c r="K114" s="714"/>
      <c r="L114" s="714"/>
      <c r="M114" s="714"/>
      <c r="N114" s="714"/>
      <c r="O114" s="714"/>
      <c r="P114" s="714"/>
      <c r="Q114" s="714"/>
      <c r="R114" s="714"/>
      <c r="S114" s="714"/>
      <c r="T114" s="714"/>
      <c r="U114" s="714"/>
      <c r="V114" s="714"/>
      <c r="W114" s="714"/>
      <c r="X114" s="714"/>
      <c r="Y114" s="714"/>
      <c r="Z114" s="714"/>
      <c r="AA114" s="714"/>
      <c r="AB114" s="714"/>
      <c r="AC114" s="714"/>
      <c r="AD114" s="714"/>
      <c r="AE114" s="714"/>
      <c r="AF114" s="714"/>
      <c r="AG114" s="714"/>
      <c r="AH114" s="714"/>
      <c r="AI114" s="714"/>
      <c r="AJ114" s="714"/>
      <c r="AK114" s="714"/>
      <c r="AL114" s="714"/>
      <c r="AM114" s="714"/>
      <c r="AN114" s="714"/>
      <c r="AO114" s="714"/>
      <c r="AP114" s="714"/>
      <c r="AQ114" s="714"/>
      <c r="AR114" s="714"/>
      <c r="AS114" s="714"/>
      <c r="AT114" s="714"/>
      <c r="AU114" s="714"/>
      <c r="AV114" s="714"/>
      <c r="AW114" s="714"/>
      <c r="AX114" s="714"/>
      <c r="AY114" s="714"/>
      <c r="AZ114" s="714"/>
      <c r="BA114" s="714"/>
      <c r="BB114" s="714"/>
      <c r="BC114" s="714"/>
      <c r="BD114" s="714"/>
      <c r="BE114" s="714"/>
      <c r="BF114" s="714"/>
      <c r="BG114" s="714"/>
      <c r="BH114" s="714"/>
      <c r="BI114" s="714"/>
      <c r="BJ114" s="714"/>
      <c r="BK114" s="714"/>
      <c r="BL114" s="714"/>
      <c r="BM114" s="714"/>
      <c r="BN114" s="714"/>
      <c r="BO114" s="714"/>
      <c r="BP114" s="714"/>
      <c r="BQ114" s="714"/>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29910994</Manager>
  <Company>33</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859,634,677</cp:category>
  <dcterms:created xsi:type="dcterms:W3CDTF">2003-06-11T18:24:11Z</dcterms:created>
  <dc:creator>STR, Inc.</dc:creator>
  <cp:keywords>56387</cp:keywords>
  <cp:lastModifiedBy>Jim Hawkins</cp:lastModifiedBy>
  <cp:lastPrinted>2016-02-16T16:32:42Z</cp:lastPrinted>
  <dcterms:modified xsi:type="dcterms:W3CDTF">2023-04-05T19:50:13Z</dcterms:modified>
  <dc:subject>56387</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