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1.xml" ContentType="application/vnd.openxmlformats-officedocument.spreadsheetml.worksheet+xml"/>
  <Override PartName="/xl/printerSettings/printerSettings22.bin" ContentType="application/vnd.openxmlformats-officedocument.spreadsheetml.printerSettings"/>
  <Override PartName="/xl/drawings/drawing23.xml" ContentType="application/vnd.openxmlformats-officedocument.drawing+xml"/>
  <Override PartName="/xl/worksheets/sheet25.xml" ContentType="application/vnd.openxmlformats-officedocument.spreadsheetml.worksheet+xml"/>
  <Override PartName="/xl/printerSettings/printerSettings26.bin" ContentType="application/vnd.openxmlformats-officedocument.spreadsheetml.printerSettings"/>
  <Override PartName="/xl/drawings/drawing27.xml" ContentType="application/vnd.openxmlformats-officedocument.drawing+xml"/>
  <Override PartName="/xl/worksheets/sheet29.xml" ContentType="application/vnd.openxmlformats-officedocument.spreadsheetml.worksheet+xml"/>
  <Override PartName="/xl/printerSettings/printerSettings30.bin" ContentType="application/vnd.openxmlformats-officedocument.spreadsheetml.printerSettings"/>
  <Override PartName="/xl/drawings/drawing31.xml" ContentType="application/vnd.openxmlformats-officedocument.drawing+xml"/>
  <Override PartName="/xl/worksheets/sheet33.xml" ContentType="application/vnd.openxmlformats-officedocument.spreadsheetml.worksheet+xml"/>
  <Override PartName="/xl/printerSettings/printerSettings34.bin" ContentType="application/vnd.openxmlformats-officedocument.spreadsheetml.printerSettings"/>
  <Override PartName="/xl/drawings/drawing35.xml" ContentType="application/vnd.openxmlformats-officedocument.drawing+xml"/>
  <Override PartName="/xl/worksheets/sheet37.xml" ContentType="application/vnd.openxmlformats-officedocument.spreadsheetml.worksheet+xml"/>
  <Override PartName="/xl/printerSettings/printerSettings38.bin" ContentType="application/vnd.openxmlformats-officedocument.spreadsheetml.printerSettings"/>
  <Override PartName="/xl/drawings/drawing39.xml" ContentType="application/vnd.openxmlformats-officedocument.drawing+xml"/>
  <Override PartName="/xl/worksheets/sheet41.xml" ContentType="application/vnd.openxmlformats-officedocument.spreadsheetml.worksheet+xml"/>
  <Override PartName="/xl/printerSettings/printerSettings42.bin" ContentType="application/vnd.openxmlformats-officedocument.spreadsheetml.printerSettings"/>
  <Override PartName="/xl/drawings/drawing43.xml" ContentType="application/vnd.openxmlformats-officedocument.drawing+xml"/>
  <Override PartName="/xl/worksheets/sheet45.xml" ContentType="application/vnd.openxmlformats-officedocument.spreadsheetml.worksheet+xml"/>
  <Override PartName="/xl/printerSettings/printerSettings46.bin" ContentType="application/vnd.openxmlformats-officedocument.spreadsheetml.printerSettings"/>
  <Override PartName="/xl/drawings/drawing47.xml" ContentType="application/vnd.openxmlformats-officedocument.drawing+xml"/>
  <Override PartName="/xl/worksheets/sheet49.xml" ContentType="application/vnd.openxmlformats-officedocument.spreadsheetml.worksheet+xml"/>
  <Override PartName="/xl/printerSettings/printerSettings50.bin" ContentType="application/vnd.openxmlformats-officedocument.spreadsheetml.printerSettings"/>
  <Override PartName="/xl/drawings/drawing51.xml" ContentType="application/vnd.openxmlformats-officedocument.drawing+xml"/>
  <Override PartName="/xl/worksheets/sheet53.xml" ContentType="application/vnd.openxmlformats-officedocument.spreadsheetml.worksheet+xml"/>
  <Override PartName="/xl/printerSettings/printerSettings54.bin" ContentType="application/vnd.openxmlformats-officedocument.spreadsheetml.printerSettings"/>
  <Override PartName="/xl/drawings/drawing55.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drawings/drawing65.xml" ContentType="application/vnd.openxmlformats-officedocument.drawing+xml"/>
  <Override PartName="/xl/worksheets/sheet66.xml" ContentType="application/vnd.openxmlformats-officedocument.spreadsheetml.worksheet+xml"/>
  <Override PartName="/xl/printerSettings/printerSettings67.bin" ContentType="application/vnd.openxmlformats-officedocument.spreadsheetml.printerSettings"/>
  <Override PartName="/xl/drawings/drawing68.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worksheets/sheet76.xml" ContentType="application/vnd.openxmlformats-officedocument.spreadsheetml.worksheet+xml"/>
  <Override PartName="/xl/printerSettings/printerSettings77.bin" ContentType="application/vnd.openxmlformats-officedocument.spreadsheetml.printerSettings"/>
  <Override PartName="/xl/drawings/drawing78.xml" ContentType="application/vnd.openxmlformats-officedocument.drawing+xml"/>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worksheets/sheet83.xml" ContentType="application/vnd.openxmlformats-officedocument.spreadsheetml.worksheet+xml"/>
  <Override PartName="/xl/printerSettings/printerSettings84.bin" ContentType="application/vnd.openxmlformats-officedocument.spreadsheetml.printerSettings"/>
  <Override PartName="/xl/drawings/drawing85.xml" ContentType="application/vnd.openxmlformats-officedocument.drawing+xml"/>
  <Override PartName="/xl/worksheets/sheet86.xml" ContentType="application/vnd.openxmlformats-officedocument.spreadsheetml.worksheet+xml"/>
  <Override PartName="/xl/printerSettings/printerSettings87.bin" ContentType="application/vnd.openxmlformats-officedocument.spreadsheetml.printerSettings"/>
  <Override PartName="/xl/drawings/drawing88.xml" ContentType="application/vnd.openxmlformats-officedocument.drawing+xml"/>
  <Override PartName="/xl/worksheets/sheet89.xml" ContentType="application/vnd.openxmlformats-officedocument.spreadsheetml.worksheet+xml"/>
  <Override PartName="/xl/printerSettings/printerSettings90.bin" ContentType="application/vnd.openxmlformats-officedocument.spreadsheetml.printerSettings"/>
  <Override PartName="/xl/drawings/drawing91.xml" ContentType="application/vnd.openxmlformats-officedocument.drawing+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22"/>
    <sheet name="SummaryComb" sheetId="19" r:id="rId21"/>
    <sheet name="SummaryComb 28Day" sheetId="20" r:id="rId20"/>
    <sheet name="Glance" sheetId="21" r:id="rId19"/>
    <sheet name="Segmentation Glance" sheetId="22" r:id="rId18"/>
    <sheet name="Daily by Month" sheetId="23" r:id="rId17"/>
    <sheet name="Occ" sheetId="4" r:id="rId23"/>
    <sheet name="Segmentation Occ" sheetId="24" r:id="rId16"/>
    <sheet name="ADR" sheetId="6" r:id="rId24"/>
    <sheet name="Segmentation ADR" sheetId="25" r:id="rId15"/>
    <sheet name="RevPAR" sheetId="8" r:id="rId25"/>
    <sheet name="Segmentation RevPAR" sheetId="26" r:id="rId14"/>
    <sheet name="Additional Revenue" sheetId="27" r:id="rId13"/>
    <sheet name="Response" sheetId="28" r:id="rId12"/>
    <sheet name="Glance_2" sheetId="29" r:id="rId11"/>
    <sheet name="Segmentation Glance_2" sheetId="30" r:id="rId10"/>
    <sheet name="Daily by Month_2" sheetId="31" r:id="rId9"/>
    <sheet name="Occ_2" sheetId="32" r:id="rId8"/>
    <sheet name="Segmentation Occ_2" sheetId="33" r:id="rId7"/>
    <sheet name="ADR_2" sheetId="34" r:id="rId6"/>
    <sheet name="Segmentation ADR_2" sheetId="35" r:id="rId5"/>
    <sheet name="RevPAR_2" sheetId="36" r:id="rId4"/>
    <sheet name="Segmentation RevPAR_2" sheetId="37" r:id="rId3"/>
    <sheet name="Additional Revenue_2" sheetId="38" r:id="rId2"/>
    <sheet name="Response_2" sheetId="39" r:id="rId1"/>
    <sheet name="Help" sheetId="18" r:id="rId26"/>
  </sheets>
  <definedNames>
    <definedName name="_xlnm.Print_Area" localSheetId="8">ADR!$A$1:$AI$61</definedName>
    <definedName name="_xlnm.Print_Area" localSheetId="25">Help!$A$1:$J$16</definedName>
    <definedName name="_xlnm.Print_Area" localSheetId="6">Occ!$A$1:$AI$58</definedName>
    <definedName name="_xlnm.Print_Area" localSheetId="10">RevPAR!$A$1:$AI$61</definedName>
    <definedName name="_xlnm.Print_Area" localSheetId="0">'Table of Contents'!$A$1:$H$48</definedName>
    <definedName name="_xlnm.Print_Area" localSheetId="1">SummaryComb!$A$1:$AB$72</definedName>
    <definedName name="_xlnm.Print_Area" localSheetId="2">'SummaryComb 28Day'!$A$1:$AB$72</definedName>
    <definedName name="_xlnm.Print_Area" localSheetId="3">Glance!$A$1:$AC$42</definedName>
    <definedName name="_xlnm.Print_Area" localSheetId="4">'Segmentation Glance'!$A$1:$T$42</definedName>
    <definedName name="_xlnm.Print_Area" localSheetId="5">'Daily by Month'!$A$1:$AL$63</definedName>
    <definedName name="_xlnm.Print_Area" localSheetId="7">'Segmentation Occ'!$A$1:$AB$54</definedName>
    <definedName name="_xlnm.Print_Area" localSheetId="9">'Segmentation ADR'!$A$1:$AC$54</definedName>
    <definedName name="_xlnm.Print_Area" localSheetId="11">'Segmentation RevPAR'!$A$1:$AC$54</definedName>
    <definedName name="_xlnm.Print_Area" localSheetId="12">'Additional Revenue'!$A$1:$AC$54</definedName>
    <definedName name="_xlnm.Print_Area" localSheetId="13">Response!$A$1:$AR$104</definedName>
    <definedName name="_xlnm.Print_Area" localSheetId="14">Glance_2!$A$1:$AC$42</definedName>
    <definedName name="_xlnm.Print_Area" localSheetId="15">'Segmentation Glance_2'!$A$1:$T$42</definedName>
    <definedName name="_xlnm.Print_Area" localSheetId="16">'Daily by Month_2'!$A$1:$AL$63</definedName>
    <definedName name="_xlnm.Print_Area" localSheetId="17">Occ_2!$A$1:$AI$58</definedName>
    <definedName name="_xlnm.Print_Area" localSheetId="18">'Segmentation Occ_2'!$A$1:$AB$54</definedName>
    <definedName name="_xlnm.Print_Area" localSheetId="19">ADR_2!$A$1:$AI$61</definedName>
    <definedName name="_xlnm.Print_Area" localSheetId="20">'Segmentation ADR_2'!$A$1:$AC$54</definedName>
    <definedName name="_xlnm.Print_Area" localSheetId="21">'RevPAR_2'!$A$1:$AI$61</definedName>
    <definedName name="_xlnm.Print_Area" localSheetId="22">'Segmentation RevPAR_2'!$A$1:$AC$54</definedName>
    <definedName name="_xlnm.Print_Area" localSheetId="23">'Additional Revenue_2'!$A$1:$AC$54</definedName>
    <definedName name="_xlnm.Print_Area" localSheetId="24">'Response_2'!$A$1:$AR$104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<sst xmlns="http://schemas.openxmlformats.org/spreadsheetml/2006/main" xmlns:r="http://schemas.openxmlformats.org/officeDocument/2006/relationships" xmlns:xdr="http://schemas.openxmlformats.org/drawingml/2006/spreadsheetDrawing" xmlns:s="http://schemas.openxmlformats.org/officeDocument/2006/sharedTypes" xmlns:vt="http://schemas.openxmlformats.org/officeDocument/2006/docPropsVTypes" xmlns:a="http://schemas.openxmlformats.org/drawingml/2006/main" xmlns:cdr="http://schemas.openxmlformats.org/drawingml/2006/chartDrawing" count="969" uniqueCount="114">
  <si>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</si>
  <si>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</si>
  <si>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</si>
  <si>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</si>
  <si>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</si>
  <si>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</si>
  <si>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</si>
  <si>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</si>
  <si>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</si>
  <si>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</si>
  <si>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</si>
  <si>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</si>
  <si>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</si>
  <si>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</si>
  <si>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</si>
  <si>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</si>
  <si>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</si>
  <si>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</si>
  <si>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</si>
  <si>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</si>
  <si>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</si>
  <si>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</si>
  <si>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</si>
  <si>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</si>
  <si>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</si>
  <si>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</si>
  <si>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</si>
  <si>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</si>
  <si>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</si>
  <si>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</si>
  <si>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</si>
  <si>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</si>
  <si>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</si>
  <si>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</si>
  <si>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</si>
  <si>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</si>
  <si>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</si>
  <si>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</si>
  <si>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</si>
  <si>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</si>
  <si>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</si>
  <si>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</si>
  <si>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</si>
  <si>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</si>
  <si>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</si>
  <si>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</si>
  <si>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</si>
  <si>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</si>
  <si>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</si>
  <si>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</si>
  <si>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</si>
  <si>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</si>
  <si>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</si>
  <si>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</si>
  <si>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</si>
  <si>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</si>
  <si>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</si>
  <si>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</si>
  <si>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</si>
  <si>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</si>
  <si>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</si>
  <si>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</si>
  <si>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</si>
  <si>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</si>
  <si>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</si>
  <si>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</si>
  <si>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</si>
  <si>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</si>
  <si>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</si>
  <si>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</si>
  <si>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</si>
  <si>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</si>
  <si>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</si>
  <si>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</si>
  <si>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</si>
  <si>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</si>
  <si>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</si>
  <si>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</si>
  <si>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</si>
  <si>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</si>
  <si>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</si>
  <si>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</si>
  <si>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</si>
  <si>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</si>
  <si>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</si>
  <si>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</si>
  <si>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</si>
  <si>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</si>
  <si>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</si>
  <si>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</si>
  <si>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</si>
  <si>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</si>
  <si>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</si>
  <si>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</si>
  <si>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</si>
  <si>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</si>
  <si>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</si>
  <si>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</si>
  <si>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</si>
  <si>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</si>
  <si>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</si>
  <si>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</si>
  <si>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</si>
  <si>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</si>
  <si>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</si>
  <si>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</si>
  <si>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</si>
  <si>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</si>
  <si>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</si>
  <si>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</si>
  <si>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</si>
  <si>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</si>
  <si>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</si>
  <si>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</si>
  <si>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</si>
  <si>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Combined Summary - My Hotel vs. Comp Set</t>
  </si>
  <si>
    <t>Combined Summary</t>
  </si>
  <si>
    <t>Tab 3 - 28 Day Combined Summary - My Hotel vs. Comp Set</t>
  </si>
  <si>
    <t>28 Day Combined Summary</t>
  </si>
  <si>
    <t>Tab 4 - Weekly Performance at a Glance - My Property vs. Competitive Set</t>
  </si>
  <si>
    <t>Weekly Performance at a Glance</t>
  </si>
  <si>
    <t>Tab 5 - Segmentation at a Glance - My Property vs. Competitive Set</t>
  </si>
  <si>
    <t>Segmentation at a Glance</t>
  </si>
  <si>
    <t>Tab 6 - Daily Data for the Month</t>
  </si>
  <si>
    <t>Daily Data for the Month</t>
  </si>
  <si>
    <t>Tab 7 - Occupancy Perspectives</t>
  </si>
  <si>
    <t>Occupancy Perspectives</t>
  </si>
  <si>
    <t>Tab 8 - Segmentation Occupancy Analysis</t>
  </si>
  <si>
    <t>Segmentation Occupancy Analysis</t>
  </si>
  <si>
    <t>Tab 9 - ADR Perspectives</t>
  </si>
  <si>
    <t>ADR Perspectives</t>
  </si>
  <si>
    <t>Tab 10 - Segmentation ADR Analysis</t>
  </si>
  <si>
    <t>Segmentation ADR Analysis</t>
  </si>
  <si>
    <t>Tab 11 - RevPAR Perspectives</t>
  </si>
  <si>
    <t>RevPAR Perspectives</t>
  </si>
  <si>
    <t>Tab 12 - Segmentation RevPAR Analysis</t>
  </si>
  <si>
    <t>Segmentation RevPAR Analysis</t>
  </si>
  <si>
    <t>Tab 13 - Additional Revenue</t>
  </si>
  <si>
    <t>Tab 14 - Response Report</t>
  </si>
  <si>
    <t>Response Report</t>
  </si>
  <si>
    <t>Tab 15 - Weekly Performance at a Glance - My Property vs. Competitive Set - Comp Set 2</t>
  </si>
  <si>
    <t>Weekly Performance at a Glance - 2nd Comp</t>
  </si>
  <si>
    <t>Tab 16 - Segmentation at a Glance - My Property vs. Competitive Set - Comp Set 2</t>
  </si>
  <si>
    <t>Segmentation at a Glance - 2nd Comp</t>
  </si>
  <si>
    <t>Tab 17 - Daily Data for the Month - Comp Set 2</t>
  </si>
  <si>
    <t>Daily Data for the Month - 2nd Comp</t>
  </si>
  <si>
    <t>Tab 18 - Occupancy Perspectives - Comp Set 2</t>
  </si>
  <si>
    <t>Occupancy Perspectives - 2nd Comp</t>
  </si>
  <si>
    <t>Tab 19 - Segmentation Occupancy Analysis - Comp Set 2</t>
  </si>
  <si>
    <t>Segmentation Occupancy Analysis - 2nd Comp</t>
  </si>
  <si>
    <t>Tab 20 - ADR Perspectives - Comp Set 2</t>
  </si>
  <si>
    <t>ADR Perspectives - 2nd Comp</t>
  </si>
  <si>
    <t>Tab 21 - Segmentation ADR Analysis - Comp Set 2</t>
  </si>
  <si>
    <t>Segmentation ADR Analysis - 2nd Comp</t>
  </si>
  <si>
    <t>Tab 22 - RevPAR Perspectives - Comp Set 2</t>
  </si>
  <si>
    <t>RevPAR Perspectives - 2nd Comp</t>
  </si>
  <si>
    <t>Tab 23 - Segmentation RevPAR Analysis - Comp Set 2</t>
  </si>
  <si>
    <t>Segmentation RevPAR Analysis - 2nd Comp</t>
  </si>
  <si>
    <t>Tab 24 - Additional Revenue - Comp Set 2</t>
  </si>
  <si>
    <t>Additional Revenue - 2nd Comp</t>
  </si>
  <si>
    <t>Tab 25 - Response Report - Comp Set 2</t>
  </si>
  <si>
    <t>Response Report - 2nd Comp</t>
  </si>
  <si>
    <t>Help</t>
  </si>
  <si>
    <t>Weekly STAR Report : Kimpton Angler's Hotel</t>
  </si>
  <si>
    <t>STR # 56387 / Created June 03, 2025</t>
  </si>
  <si>
    <t>For the Week of: May 25, 2025 - May 31, 2025</t>
  </si>
  <si>
    <t>Currency: US Dollar  /  Competitive Set Data Excludes Subject Property</t>
  </si>
  <si>
    <t>May 25, 2025 - May 31, 2025</t>
  </si>
  <si>
    <t>Kimpton Angler's Hotel        600 Washington Ave        Miami Beach, FL 33139-6207        Phone: (305) 534-9600</t>
  </si>
  <si>
    <t>Created: Jun 03, 2025</t>
  </si>
  <si>
    <t>1 of 5</t>
  </si>
  <si>
    <t>2 of 5</t>
  </si>
  <si>
    <t>3 of 5</t>
  </si>
  <si>
    <t>4 of 5</t>
  </si>
  <si>
    <t>5 of 5</t>
  </si>
  <si>
    <t/>
  </si>
  <si>
    <t>2 of 4</t>
  </si>
  <si>
    <t>3 of 4</t>
  </si>
  <si>
    <t>May 04, 2025 - May 31, 2025</t>
  </si>
  <si>
    <t>STR # 56387        Chain ID: 18033        Mgt Co: Kimpton Hotels/IHG        Owner: KHP Capital Partners</t>
  </si>
  <si>
    <t>For the Week of: May 25, 2025 - May 31, 2025        Date Created: June 03, 2025        Competitive Set Data Excludes Subject Property</t>
  </si>
  <si>
    <t>May</t>
  </si>
  <si>
    <t>Market Scale: Miami, FL Upper Upscale Chains</t>
  </si>
  <si>
    <t>Market Scale</t>
  </si>
  <si>
    <t>Market Scale*: Miami, FL Upper Upscale Chains</t>
  </si>
  <si>
    <t>For the Week of: May 25, 2025 - May 31, 2025        Date Created: June 03, 2025</t>
  </si>
  <si>
    <t>Kimpton Angler's Hotel</t>
  </si>
  <si>
    <t>Miami Beach, FL</t>
  </si>
  <si>
    <t>33139-6207</t>
  </si>
  <si>
    <t>(305) 534-9600</t>
  </si>
  <si>
    <t>200706</t>
  </si>
  <si>
    <t>X</t>
  </si>
  <si>
    <t>Dream South Beach</t>
  </si>
  <si>
    <t>33139</t>
  </si>
  <si>
    <t>(305) 673-4747</t>
  </si>
  <si>
    <t>194906</t>
  </si>
  <si>
    <t>T</t>
  </si>
  <si>
    <t>Closed - Blue Moon Hotel</t>
  </si>
  <si>
    <t>193406</t>
  </si>
  <si>
    <t>The Tony Hotel of South Beach</t>
  </si>
  <si>
    <t>(305) 531-2222</t>
  </si>
  <si>
    <t>193906</t>
  </si>
  <si>
    <t>The Betsy South Beach</t>
  </si>
  <si>
    <t>(305) 531-6100</t>
  </si>
  <si>
    <t>194506</t>
  </si>
  <si>
    <t>Z Ocean Hotel, Classico A Sonesta Collection</t>
  </si>
  <si>
    <t>33139-4103</t>
  </si>
  <si>
    <t>(305) 672-4554</t>
  </si>
  <si>
    <t>200612</t>
  </si>
  <si>
    <t>L</t>
  </si>
  <si>
    <t>Data received: X = Both years, T = This year only, L = Last year only, blank = No data</t>
  </si>
  <si>
    <t>2025 (This Year)</t>
  </si>
  <si>
    <t>Apr</t>
  </si>
  <si>
    <t>Apr/May</t>
  </si>
  <si>
    <t>2024 (Last Year)</t>
  </si>
  <si>
    <t>May/Jun</t>
  </si>
  <si>
    <t>Apr 20th</t>
  </si>
  <si>
    <t>- Easter Sunday</t>
  </si>
  <si>
    <t>May 11th</t>
  </si>
  <si>
    <t>- Mother's Day</t>
  </si>
  <si>
    <t>May 26th</t>
  </si>
  <si>
    <t>- Memorial Day</t>
  </si>
  <si>
    <t>Apr 23rd</t>
  </si>
  <si>
    <t>- First Day of Passover</t>
  </si>
  <si>
    <t>May 12th</t>
  </si>
  <si>
    <t>May 27th</t>
  </si>
  <si>
    <t>June 16th</t>
  </si>
  <si>
    <t>- Father's Day</t>
  </si>
  <si>
    <t>June 19th</t>
  </si>
  <si>
    <t>- Juneteenth</t>
  </si>
  <si>
    <t>July 4th</t>
  </si>
  <si>
    <t>- Independence Day</t>
  </si>
  <si>
    <t>2 of 9</t>
  </si>
  <si>
    <t>8 of 9</t>
  </si>
  <si>
    <t>6 of 9</t>
  </si>
  <si>
    <t>9 of 9</t>
  </si>
  <si>
    <t>3 of 9</t>
  </si>
  <si>
    <t>4 of 9</t>
  </si>
  <si>
    <t>5 of 9</t>
  </si>
  <si>
    <t>1 of 9</t>
  </si>
  <si>
    <t>7 of 9</t>
  </si>
  <si>
    <t>The Gabriel South Beach, Curio Collection by Hilton</t>
  </si>
  <si>
    <t>33139-6219</t>
  </si>
  <si>
    <t>(305) 685-2000</t>
  </si>
  <si>
    <t>193706</t>
  </si>
  <si>
    <t>Kimpton Surfcomber Hotel</t>
  </si>
  <si>
    <t>33139-2006</t>
  </si>
  <si>
    <t>(305) 532-7715</t>
  </si>
  <si>
    <t>194106</t>
  </si>
  <si>
    <t>Gale South Beach, Curio Collection by Hilton</t>
  </si>
  <si>
    <t>(305) 673-0199</t>
  </si>
  <si>
    <t>201212</t>
  </si>
  <si>
    <t>Hyatt Centric South Beach Miami</t>
  </si>
  <si>
    <t>(305) 428-1234</t>
  </si>
  <si>
    <t>201506</t>
  </si>
  <si>
    <t>Lennox Miami Beach</t>
  </si>
  <si>
    <t>(305) 531-6800</t>
  </si>
  <si>
    <t>201908</t>
  </si>
  <si>
    <t>Kimpton Hotel Palomar South Beach</t>
  </si>
  <si>
    <t>33139-2412</t>
  </si>
  <si>
    <t>(786) 628-2000</t>
  </si>
  <si>
    <t>202002</t>
  </si>
  <si>
    <t>MOXY Miami South Beach</t>
  </si>
  <si>
    <t>33139-5015</t>
  </si>
  <si>
    <t>(305) 600-4292</t>
  </si>
  <si>
    <t>202102</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</si>
</sst>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6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0" diagonalDown="0">
      <left style="thin">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style="medium">
        <color auto="1" indexed="64"/>
      </left>
      <right style="medium">
        <color auto="1" indexed="64"/>
      </right>
      <top style="medium">
        <color auto="1" indexed="64"/>
      </top>
      <bottom>
        <color auto="1" indexed="64"/>
      </bottom>
      <diagonal>
        <color/>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9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1" fillId="0" borderId="47" applyFont="1" applyFill="1" applyBorder="1" applyAlignment="1">
      <alignment horizontal="center"/>
    </xf>
    <xf numFmtId="0" fontId="1" fillId="0" borderId="48" applyFont="1" applyFill="1" applyBorder="1" applyAlignment="1">
      <alignment horizontal="center"/>
    </xf>
    <xf numFmtId="0" fontId="39" fillId="0" borderId="47" applyFont="1" applyFill="1" applyBorder="1" applyAlignment="1">
      <alignment horizontal="left"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9" applyFont="1" applyFill="1" applyBorder="1"/>
    <xf numFmtId="0" fontId="82" fillId="16" borderId="0" applyFont="1" applyFill="1"/>
    <xf numFmtId="0" fontId="69" fillId="0" borderId="47" applyFont="1" applyFill="1" applyBorder="1" applyAlignment="1">
      <alignment horizontal="right" shrinkToFit="1"/>
    </xf>
    <xf numFmtId="0" fontId="69" fillId="0" borderId="47" applyFont="1" applyFill="1" applyBorder="1" applyAlignment="1">
      <alignment horizontal="right" wrapText="1"/>
    </xf>
    <xf numFmtId="0" fontId="21" fillId="0" borderId="50" applyFont="1" applyFill="1" applyBorder="1" applyAlignment="1">
      <alignment horizontal="center"/>
    </xf>
    <xf numFmtId="0" fontId="21" fillId="0" borderId="51" applyFont="1" applyFill="1" applyBorder="1" applyAlignment="1">
      <alignment horizontal="center"/>
    </xf>
    <xf numFmtId="0" fontId="21" fillId="0" borderId="52"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3" applyFont="1" applyFill="1" applyBorder="1" applyAlignment="1">
      <alignment horizontal="center"/>
    </xf>
    <xf numFmtId="0" fontId="34" fillId="0" borderId="54" applyFont="1" applyFill="1" applyBorder="1" applyAlignment="1">
      <alignment horizontal="center"/>
    </xf>
    <xf numFmtId="0" fontId="34" fillId="0" borderId="55" applyFont="1" applyFill="1" applyBorder="1" applyAlignment="1">
      <alignment horizontal="center"/>
    </xf>
    <xf numFmtId="0" fontId="34" fillId="6" borderId="56" applyFont="1" applyFill="1" applyBorder="1" applyAlignment="1">
      <alignment horizontal="center"/>
    </xf>
    <xf numFmtId="0" fontId="34" fillId="6" borderId="47" applyFont="1" applyFill="1" applyBorder="1" applyAlignment="1">
      <alignment horizontal="center"/>
    </xf>
    <xf numFmtId="0" fontId="34" fillId="6" borderId="57" applyFont="1" applyFill="1" applyBorder="1" applyAlignment="1">
      <alignment horizontal="center"/>
    </xf>
    <xf numFmtId="0" fontId="34" fillId="0" borderId="56" applyFont="1" applyFill="1" applyBorder="1" applyAlignment="1">
      <alignment horizontal="center"/>
    </xf>
    <xf numFmtId="0" fontId="34" fillId="0" borderId="47" applyFont="1" applyFill="1" applyBorder="1" applyAlignment="1">
      <alignment horizontal="center"/>
    </xf>
    <xf numFmtId="0" fontId="34" fillId="0" borderId="57" applyFont="1" applyFill="1" applyBorder="1" applyAlignment="1">
      <alignment horizontal="center"/>
    </xf>
    <xf numFmtId="0" fontId="34" fillId="6" borderId="58" applyFont="1" applyFill="1" applyBorder="1" applyAlignment="1">
      <alignment horizontal="center"/>
    </xf>
    <xf numFmtId="0" fontId="34" fillId="6" borderId="59" applyFont="1" applyFill="1" applyBorder="1" applyAlignment="1">
      <alignment horizontal="center"/>
    </xf>
    <xf numFmtId="0" fontId="34" fillId="6" borderId="60" applyFont="1" applyFill="1" applyBorder="1" applyAlignment="1">
      <alignment horizontal="center"/>
    </xf>
    <xf numFmtId="0" fontId="37" fillId="11" borderId="47" applyFont="1" applyFill="1" applyBorder="1" applyAlignment="1">
      <alignment horizontal="center"/>
    </xf>
    <xf numFmtId="0" fontId="83" fillId="15" borderId="61" applyFont="1" applyFill="1" applyBorder="1" applyAlignment="1">
      <alignment horizontal="left"/>
    </xf>
    <xf numFmtId="0" fontId="83" fillId="15" borderId="61" applyFont="1" applyFill="1" applyBorder="1" applyAlignment="1">
      <alignment horizontal="right"/>
    </xf>
    <xf numFmtId="0" fontId="83" fillId="15" borderId="62" applyFont="1" applyFill="1" applyBorder="1"/>
    <xf numFmtId="0" fontId="83" fillId="15" borderId="63" applyFont="1" applyFill="1" applyBorder="1"/>
    <xf numFmtId="0" fontId="83" fillId="15" borderId="64" applyFont="1" applyFill="1" applyBorder="1"/>
    <xf numFmtId="0" fontId="83" fillId="17" borderId="61" applyFont="1" applyFill="1" applyBorder="1" applyAlignment="1">
      <alignment horizontal="left"/>
    </xf>
    <xf numFmtId="0" fontId="83" fillId="17" borderId="61" applyFont="1" applyFill="1" applyBorder="1" applyAlignment="1">
      <alignment horizontal="right"/>
    </xf>
    <xf numFmtId="0" fontId="83" fillId="17" borderId="62" applyFont="1" applyFill="1" applyBorder="1"/>
    <xf numFmtId="0" fontId="83" fillId="17" borderId="63" applyFont="1" applyFill="1" applyBorder="1"/>
    <xf numFmtId="0" fontId="83" fillId="17" borderId="64" applyFont="1" applyFill="1" applyBorder="1"/>
    <xf numFmtId="0" fontId="1" fillId="3" borderId="47" applyFont="1" applyFill="1" applyBorder="1"/>
    <xf numFmtId="0" fontId="1" fillId="0" borderId="47" applyFont="1" applyFill="1" applyBorder="1" applyAlignment="1">
      <alignment horizontal="left" wrapText="1"/>
    </xf>
    <xf numFmtId="0" fontId="83" fillId="16" borderId="64" applyFont="1" applyFill="1" applyBorder="1" applyAlignment="1">
      <alignment horizontal="center" vertical="center"/>
    </xf>
    <xf numFmtId="0" fontId="69" fillId="0" borderId="47" applyFont="1" applyFill="1" applyBorder="1" applyAlignment="1">
      <alignment horizontal="right"/>
    </xf>
    <xf numFmtId="0" fontId="37" fillId="0" borderId="65" applyFont="1" applyFill="1" applyBorder="1" applyAlignment="1">
      <alignment horizont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4" Type="http://schemas.openxmlformats.org/officeDocument/2006/relationships/worksheet" Target="worksheets/sheet8.xml" />
<Relationship Id="rId27" Type="http://schemas.openxmlformats.org/officeDocument/2006/relationships/styles" Target="/xl/styles.xml" />
<Relationship Id="rId28" Type="http://schemas.openxmlformats.org/officeDocument/2006/relationships/theme" Target="/xl/theme/theme1.xml" />
<Relationship Id="rId26" Type="http://schemas.openxmlformats.org/officeDocument/2006/relationships/worksheet" Target="worksheets/sheet16.xml" />
<Relationship Id="rId22" Type="http://schemas.openxmlformats.org/officeDocument/2006/relationships/worksheet" Target="worksheets/sheet1.xml" />
<Relationship Id="rId23" Type="http://schemas.openxmlformats.org/officeDocument/2006/relationships/worksheet" Target="worksheets/sheet6.xml" />
<Relationship Id="rId25" Type="http://schemas.openxmlformats.org/officeDocument/2006/relationships/worksheet" Target="worksheets/sheet10.xml" />
<Relationship Id="rId29" Type="http://schemas.openxmlformats.org/officeDocument/2006/relationships/sharedStrings" Target="/xl/sharedStrings.xml" />
<Relationship Id="rId21" Type="http://schemas.openxmlformats.org/officeDocument/2006/relationships/worksheet" Target="worksheets/sheet18.xml" />
<Relationship Id="rId20" Type="http://schemas.openxmlformats.org/officeDocument/2006/relationships/worksheet" Target="worksheets/sheet21.xml" />
<Relationship Id="rId19" Type="http://schemas.openxmlformats.org/officeDocument/2006/relationships/worksheet" Target="worksheets/sheet25.xml" />
<Relationship Id="rId18" Type="http://schemas.openxmlformats.org/officeDocument/2006/relationships/worksheet" Target="worksheets/sheet29.xml" />
<Relationship Id="rId17" Type="http://schemas.openxmlformats.org/officeDocument/2006/relationships/worksheet" Target="worksheets/sheet33.xml" />
<Relationship Id="rId16" Type="http://schemas.openxmlformats.org/officeDocument/2006/relationships/worksheet" Target="worksheets/sheet37.xml" />
<Relationship Id="rId15" Type="http://schemas.openxmlformats.org/officeDocument/2006/relationships/worksheet" Target="worksheets/sheet41.xml" />
<Relationship Id="rId14" Type="http://schemas.openxmlformats.org/officeDocument/2006/relationships/worksheet" Target="worksheets/sheet45.xml" />
<Relationship Id="rId13" Type="http://schemas.openxmlformats.org/officeDocument/2006/relationships/worksheet" Target="worksheets/sheet49.xml" />
<Relationship Id="rId12" Type="http://schemas.openxmlformats.org/officeDocument/2006/relationships/worksheet" Target="worksheets/sheet53.xml" />
<Relationship Id="rId11" Type="http://schemas.openxmlformats.org/officeDocument/2006/relationships/worksheet" Target="worksheets/sheet56.xml" />
<Relationship Id="rId10" Type="http://schemas.openxmlformats.org/officeDocument/2006/relationships/worksheet" Target="worksheets/sheet59.xml" />
<Relationship Id="rId9" Type="http://schemas.openxmlformats.org/officeDocument/2006/relationships/worksheet" Target="worksheets/sheet62.xml" />
<Relationship Id="rId8" Type="http://schemas.openxmlformats.org/officeDocument/2006/relationships/worksheet" Target="worksheets/sheet66.xml" />
<Relationship Id="rId7" Type="http://schemas.openxmlformats.org/officeDocument/2006/relationships/worksheet" Target="worksheets/sheet69.xml" />
<Relationship Id="rId6" Type="http://schemas.openxmlformats.org/officeDocument/2006/relationships/worksheet" Target="worksheets/sheet73.xml" />
<Relationship Id="rId5" Type="http://schemas.openxmlformats.org/officeDocument/2006/relationships/worksheet" Target="worksheets/sheet76.xml" />
<Relationship Id="rId4" Type="http://schemas.openxmlformats.org/officeDocument/2006/relationships/worksheet" Target="worksheets/sheet80.xml" />
<Relationship Id="rId3" Type="http://schemas.openxmlformats.org/officeDocument/2006/relationships/worksheet" Target="worksheets/sheet83.xml" />
<Relationship Id="rId2" Type="http://schemas.openxmlformats.org/officeDocument/2006/relationships/worksheet" Target="worksheets/sheet86.xml" />
<Relationship Id="rId1" Type="http://schemas.openxmlformats.org/officeDocument/2006/relationships/worksheet" Target="worksheets/sheet89.xml" />
</Relationships>
</file>

<file path=xl/charts/chart9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May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106.299840510314</v>
                </pt>
                <pt idx="0">
                  <v>99.8729813101214</v>
                </pt>
                <pt idx="0">
                  <v>100.115524749</v>
                </pt>
                <pt idx="0">
                  <v>143.056092843268</v>
                </pt>
                <pt idx="0">
                  <v>98.0155537677731</v>
                </pt>
                <pt idx="0">
                  <v>72.3314780457212</v>
                </pt>
                <pt idx="0">
                  <v>100.021340162166</v>
                </pt>
                <pt idx="0">
                  <v>107.085399449058</v>
                </pt>
                <pt idx="0">
                  <v>106.889204545401</v>
                </pt>
                <pt idx="0">
                  <v>118.743890518107</v>
                </pt>
                <pt idx="0">
                  <v>101.861252114997</v>
                </pt>
                <pt idx="0">
                  <v>123.677452490995</v>
                </pt>
                <pt idx="0">
                  <v>126.188197767225</v>
                </pt>
                <pt idx="0">
                  <v>113.939393939394</v>
                </pt>
                <pt idx="0">
                  <v>112.894123420432</v>
                </pt>
                <pt idx="0">
                  <v>108.42733908427</v>
                </pt>
                <pt idx="0">
                  <v>106.764418377283</v>
                </pt>
                <pt idx="0">
                  <v>113.057040998161</v>
                </pt>
                <pt idx="0">
                  <v>112.771349862282</v>
                </pt>
                <pt idx="0">
                  <v>119.655700978628</v>
                </pt>
                <pt idx="0">
                  <v>154.888507718807</v>
                </pt>
                <pt idx="0">
                  <v>139.137134052369</v>
                </pt>
                <pt idx="0">
                  <v>87.469854251837</v>
                </pt>
                <pt idx="0">
                  <v>100.555393159879</v>
                </pt>
                <pt idx="0">
                  <v>118.203463203477</v>
                </pt>
                <pt idx="0">
                  <v>114.903581267205</v>
                </pt>
                <pt idx="0">
                  <v>120.701754386041</v>
                </pt>
                <pt idx="0">
                  <v>119.134199134213</v>
                </pt>
                <pt idx="0">
                  <v>103.415103415087</v>
                </pt>
                <pt idx="0">
                  <v>84.544441066144</v>
                </pt>
                <pt idx="0">
                  <v>86.8686868686434</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76.4428555395394</v>
                </pt>
                <pt idx="0">
                  <v>84.9647359920262</v>
                </pt>
                <pt idx="0">
                  <v>82.9107425693534</v>
                </pt>
                <pt idx="0">
                  <v>79.0422216628637</v>
                </pt>
                <pt idx="0">
                  <v>79.6424273903913</v>
                </pt>
                <pt idx="0">
                  <v>65.4660562937811</v>
                </pt>
                <pt idx="0">
                  <v>67.1895980073339</v>
                </pt>
                <pt idx="0">
                  <v>74.9579666843405</v>
                </pt>
                <pt idx="0">
                  <v>103.721077107773</v>
                </pt>
                <pt idx="0">
                  <v>96.8062606003114</v>
                </pt>
                <pt idx="0">
                  <v>73.1777938524465</v>
                </pt>
                <pt idx="0">
                  <v>69.9351513768475</v>
                </pt>
                <pt idx="0">
                  <v>77.595944660579</v>
                </pt>
                <pt idx="0">
                  <v>78.9590578968998</v>
                </pt>
                <pt idx="0">
                  <v>82.1369901122098</v>
                </pt>
                <pt idx="0">
                  <v>89.9647865499887</v>
                </pt>
                <pt idx="0">
                  <v>98.72982246516</v>
                </pt>
                <pt idx="0">
                  <v>77.2696945655251</v>
                </pt>
                <pt idx="0">
                  <v>77.2168421098626</v>
                </pt>
                <pt idx="0">
                  <v>87.0545101465615</v>
                </pt>
                <pt idx="0">
                  <v>84.4774980142376</v>
                </pt>
                <pt idx="0">
                  <v>78.1082700178536</v>
                </pt>
                <pt idx="0">
                  <v>80.8300901423225</v>
                </pt>
                <pt idx="0">
                  <v>75.0419763160259</v>
                </pt>
                <pt idx="0">
                  <v>72.9675607821487</v>
                </pt>
                <pt idx="0">
                  <v>68.9813800763972</v>
                </pt>
                <pt idx="0">
                  <v>58.2762242275693</v>
                </pt>
                <pt idx="0">
                  <v>60.8465608465608</v>
                </pt>
                <pt idx="0">
                  <v>65.2055176535098</v>
                </pt>
                <pt idx="0">
                  <v>76.0817860319074</v>
                </pt>
                <pt idx="0">
                  <v>95.851824889055</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81.2586335201159</v>
                </pt>
                <pt idx="0">
                  <v>84.8568148975021</v>
                </pt>
                <pt idx="0">
                  <v>83.0065249965657</v>
                </pt>
                <pt idx="0">
                  <v>113.074714007436</v>
                </pt>
                <pt idx="0">
                  <v>78.0619662407512</v>
                </pt>
                <pt idx="0">
                  <v>47.3525661355515</v>
                </pt>
                <pt idx="0">
                  <v>67.2039363765261</v>
                </pt>
                <pt idx="0">
                  <v>80.2690380428073</v>
                </pt>
                <pt idx="0">
                  <v>110.866634266457</v>
                </pt>
                <pt idx="0">
                  <v>114.951520101869</v>
                </pt>
                <pt idx="0">
                  <v>74.5398170882646</v>
                </pt>
                <pt idx="0">
                  <v>86.4940136186364</v>
                </pt>
                <pt idx="0">
                  <v>97.9169241075473</v>
                </pt>
                <pt idx="0">
                  <v>89.9654720280014</v>
                </pt>
                <pt idx="0">
                  <v>92.7278349911203</v>
                </pt>
                <pt idx="0">
                  <v>97.5464241690182</v>
                </pt>
                <pt idx="0">
                  <v>105.408320719903</v>
                </pt>
                <pt idx="0">
                  <v>87.3588302641226</v>
                </pt>
                <pt idx="0">
                  <v>87.0784751683116</v>
                </pt>
                <pt idx="0">
                  <v>104.165684349365</v>
                </pt>
                <pt idx="0">
                  <v>130.845936032325</v>
                </pt>
                <pt idx="0">
                  <v>108.677608360765</v>
                </pt>
                <pt idx="0">
                  <v>70.701962039159</v>
                </pt>
                <pt idx="0">
                  <v>75.4587543195408</v>
                </pt>
                <pt idx="0">
                  <v>86.250183859613</v>
                </pt>
                <pt idx="0">
                  <v>79.2620761153178</v>
                </pt>
                <pt idx="0">
                  <v>70.340425032593</v>
                </pt>
                <pt idx="0">
                  <v>72.4890629652641</v>
                </pt>
                <pt idx="0">
                  <v>67.432353513724</v>
                </pt>
                <pt idx="0">
                  <v>64.3229207538364</v>
                </pt>
                <pt idx="0">
                  <v>83.2652216207775</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60"/>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09, 2025 to May 31,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90.9090909090909</v>
                </pt>
                <pt idx="0">
                  <v>90.9090909090909</v>
                </pt>
                <pt idx="0">
                  <v>90.2597402597403</v>
                </pt>
                <pt idx="0">
                  <v>95.1298701298701</v>
                </pt>
                <pt idx="0">
                  <v>93.8311688311688</v>
                </pt>
                <pt idx="0">
                  <v>96.2121212121212</v>
                </pt>
                <pt idx="0">
                  <v>88.0952380952381</v>
                </pt>
                <pt idx="0">
                  <v>94.0476190476191</v>
                </pt>
                <pt idx="0">
                  <v>78.1385281385281</v>
                </pt>
                <pt idx="0">
                  <v>75.2164502164502</v>
                </pt>
                <pt idx="0">
                  <v>89.1774891774892</v>
                </pt>
                <pt idx="0">
                  <v>75.8658008658009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83.1395348837209</v>
                </pt>
                <pt idx="0">
                  <v>88.8704318936877</v>
                </pt>
                <pt idx="0">
                  <v>88.4136212624585</v>
                </pt>
                <pt idx="0">
                  <v>87.7491694352159</v>
                </pt>
                <pt idx="0">
                  <v>89.2857142857143</v>
                </pt>
                <pt idx="0">
                  <v>90.1993355481728</v>
                </pt>
                <pt idx="0">
                  <v>83.3887043189369</v>
                </pt>
                <pt idx="0">
                  <v>94.7259136212625</v>
                </pt>
                <pt idx="0">
                  <v>73.4634551495017</v>
                </pt>
                <pt idx="0">
                  <v>66.8604651162791</v>
                </pt>
                <pt idx="0">
                  <v>76.9102990033223</v>
                </pt>
                <pt idx="0">
                  <v>72.2176079734219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80.4019577215453</v>
                </pt>
                <pt idx="0">
                  <v>88.8978146710106</v>
                </pt>
                <pt idx="0">
                  <v>84.5807113848351</v>
                </pt>
                <pt idx="0">
                  <v>85.2325010050476</v>
                </pt>
                <pt idx="0">
                  <v>88.2032262388847</v>
                </pt>
                <pt idx="0">
                  <v>81.2726216542294</v>
                </pt>
                <pt idx="0">
                  <v>76.0132266857322</v>
                </pt>
                <pt idx="0">
                  <v>89.6212222768369</v>
                </pt>
                <pt idx="0">
                  <v>74.1498726484651</v>
                </pt>
                <pt idx="0">
                  <v>72.7929457676095</v>
                </pt>
                <pt idx="0">
                  <v>74.4135126681264</v>
                </pt>
                <pt idx="0">
                  <v>68.0295515140682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09, 2025 to May 31,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272.447619047619</v>
                </pt>
                <pt idx="0">
                  <v>292.027380952381</v>
                </pt>
                <pt idx="0">
                  <v>328.038369304556</v>
                </pt>
                <pt idx="0">
                  <v>264.938566552901</v>
                </pt>
                <pt idx="0">
                  <v>297.681660899654</v>
                </pt>
                <pt idx="0">
                  <v>261.608548931384</v>
                </pt>
                <pt idx="0">
                  <v>236.044226044226</v>
                </pt>
                <pt idx="0">
                  <v>322.135788262371</v>
                </pt>
                <pt idx="0">
                  <v>232.814404432133</v>
                </pt>
                <pt idx="0">
                  <v>199.372661870504</v>
                </pt>
                <pt idx="0">
                  <v>210.575242718447</v>
                </pt>
                <pt idx="0">
                  <v>169.713266761769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360.125874125874</v>
                </pt>
                <pt idx="0">
                  <v>398.994392523364</v>
                </pt>
                <pt idx="0">
                  <v>380.245655237201</v>
                </pt>
                <pt idx="0">
                  <v>341.342640795078</v>
                </pt>
                <pt idx="0">
                  <v>323.787906976744</v>
                </pt>
                <pt idx="0">
                  <v>374.430939226519</v>
                </pt>
                <pt idx="0">
                  <v>342.51593625498</v>
                </pt>
                <pt idx="0">
                  <v>383.201227531784</v>
                </pt>
                <pt idx="0">
                  <v>280.474844544941</v>
                </pt>
                <pt idx="0">
                  <v>238.046583850932</v>
                </pt>
                <pt idx="0">
                  <v>270.953563714903</v>
                </pt>
                <pt idx="0">
                  <v>238.473835537665</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265.910522323163</v>
                </pt>
                <pt idx="0">
                  <v>286.605910505706</v>
                </pt>
                <pt idx="0">
                  <v>303.538184184607</v>
                </pt>
                <pt idx="0">
                  <v>260.398197159478</v>
                </pt>
                <pt idx="0">
                  <v>261.89942077444</v>
                </pt>
                <pt idx="0">
                  <v>255.102375192435</v>
                </pt>
                <pt idx="0">
                  <v>229.518644798464</v>
                </pt>
                <pt idx="0">
                  <v>288.947597600093</v>
                </pt>
                <pt idx="0">
                  <v>226.808243943594</v>
                </pt>
                <pt idx="0">
                  <v>209.332569417446</v>
                </pt>
                <pt idx="0">
                  <v>204.77657679297</v>
                </pt>
                <pt idx="0">
                  <v>186.790751647582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404"/>
          <min val="16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09, 2025 to May 31,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247.679653679654</v>
                </pt>
                <pt idx="0">
                  <v>265.479437229437</v>
                </pt>
                <pt idx="0">
                  <v>296.08658008658</v>
                </pt>
                <pt idx="0">
                  <v>252.035714285714</v>
                </pt>
                <pt idx="0">
                  <v>279.318181818182</v>
                </pt>
                <pt idx="0">
                  <v>251.699134199134</v>
                </pt>
                <pt idx="0">
                  <v>207.943722943723</v>
                </pt>
                <pt idx="0">
                  <v>302.961038961039</v>
                </pt>
                <pt idx="0">
                  <v>181.917748917749</v>
                </pt>
                <pt idx="0">
                  <v>149.961038961039</v>
                </pt>
                <pt idx="0">
                  <v>187.785714285714</v>
                </pt>
                <pt idx="0">
                  <v>128.754329004329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299.406976744186</v>
                </pt>
                <pt idx="0">
                  <v>354.58803986711</v>
                </pt>
                <pt idx="0">
                  <v>336.188953488372</v>
                </pt>
                <pt idx="0">
                  <v>299.525332225914</v>
                </pt>
                <pt idx="0">
                  <v>289.09634551495</v>
                </pt>
                <pt idx="0">
                  <v>337.734219269103</v>
                </pt>
                <pt idx="0">
                  <v>285.619601328904</v>
                </pt>
                <pt idx="0">
                  <v>362.990863787375</v>
                </pt>
                <pt idx="0">
                  <v>206.046511627907</v>
                </pt>
                <pt idx="0">
                  <v>159.159053156146</v>
                </pt>
                <pt idx="0">
                  <v>208.391196013289</v>
                </pt>
                <pt idx="0">
                  <v>172.220099667774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213.79726573541</v>
                </pt>
                <pt idx="0">
                  <v>254.786391157525</v>
                </pt>
                <pt idx="0">
                  <v>256.734755507951</v>
                </pt>
                <pt idx="0">
                  <v>221.943896011078</v>
                </pt>
                <pt idx="0">
                  <v>231.003738624008</v>
                </pt>
                <pt idx="0">
                  <v>207.3283882211</v>
                </pt>
                <pt idx="0">
                  <v>174.464527756677</v>
                </pt>
                <pt idx="0">
                  <v>258.95836870876</v>
                </pt>
                <pt idx="0">
                  <v>168.178024040395</v>
                </pt>
                <pt idx="0">
                  <v>152.379343729985</v>
                </pt>
                <pt idx="0">
                  <v>152.381443913192</v>
                </pt>
                <pt idx="0">
                  <v>127.072910615607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68"/>
          <min val="1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May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102.795968156117</v>
                </pt>
                <pt idx="0">
                  <v>100.370437845361</v>
                </pt>
                <pt idx="0">
                  <v>100.408838631126</v>
                </pt>
                <pt idx="0">
                  <v>115.770954962501</v>
                </pt>
                <pt idx="0">
                  <v>86.1644292667207</v>
                </pt>
                <pt idx="0">
                  <v>65.8603360335984</v>
                </pt>
                <pt idx="0">
                  <v>103.77221116278</v>
                </pt>
                <pt idx="0">
                  <v>101.179703210632</v>
                </pt>
                <pt idx="0">
                  <v>93.0582724183678</v>
                </pt>
                <pt idx="0">
                  <v>103.428141059673</v>
                </pt>
                <pt idx="0">
                  <v>89.1395463511138</v>
                </pt>
                <pt idx="0">
                  <v>97.3872053872318</v>
                </pt>
                <pt idx="0">
                  <v>92.3038073037997</v>
                </pt>
                <pt idx="0">
                  <v>92.7643394856997</v>
                </pt>
                <pt idx="0">
                  <v>101.252244329585</v>
                </pt>
                <pt idx="0">
                  <v>95.7227857979337</v>
                </pt>
                <pt idx="0">
                  <v>100.087735359594</v>
                </pt>
                <pt idx="0">
                  <v>100.15611647933</v>
                </pt>
                <pt idx="0">
                  <v>102.675319902499</v>
                </pt>
                <pt idx="0">
                  <v>105.055676216146</v>
                </pt>
                <pt idx="0">
                  <v>120.83890374335</v>
                </pt>
                <pt idx="0">
                  <v>116.96861857007</v>
                </pt>
                <pt idx="0">
                  <v>85.7738400958439</v>
                </pt>
                <pt idx="0">
                  <v>92.8873302760744</v>
                </pt>
                <pt idx="0">
                  <v>108.147030698707</v>
                </pt>
                <pt idx="0">
                  <v>122.633034708999</v>
                </pt>
                <pt idx="0">
                  <v>122.538552787692</v>
                </pt>
                <pt idx="0">
                  <v>105.962302859402</v>
                </pt>
                <pt idx="0">
                  <v>91.8516147388849</v>
                </pt>
                <pt idx="0">
                  <v>77.3012713695136</v>
                </pt>
                <pt idx="0">
                  <v>76.9746646795793</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Month_2'!$C$40:$AG$40</f>
              <numCache>
                <formatCode>General</formatCode>
                <ptCount val="31"/>
                <pt idx="0">
                  <v>98.4590289335245</v>
                </pt>
                <pt idx="0">
                  <v>105.791125517226</v>
                </pt>
                <pt idx="0">
                  <v>103.801519908527</v>
                </pt>
                <pt idx="0">
                  <v>108.874438525544</v>
                </pt>
                <pt idx="0">
                  <v>106.783671541298</v>
                </pt>
                <pt idx="0">
                  <v>90.722375669548</v>
                </pt>
                <pt idx="0">
                  <v>99.6204319038062</v>
                </pt>
                <pt idx="0">
                  <v>105.623416150756</v>
                </pt>
                <pt idx="0">
                  <v>117.83399289535</v>
                </pt>
                <pt idx="0">
                  <v>116.788345169914</v>
                </pt>
                <pt idx="0">
                  <v>97.3602626139091</v>
                </pt>
                <pt idx="0">
                  <v>87.2144241827506</v>
                </pt>
                <pt idx="0">
                  <v>88.5834872925449</v>
                </pt>
                <pt idx="0">
                  <v>87.7878807650292</v>
                </pt>
                <pt idx="0">
                  <v>92.7001440567373</v>
                </pt>
                <pt idx="0">
                  <v>106.296119815571</v>
                </pt>
                <pt idx="0">
                  <v>108.264846789008</v>
                </pt>
                <pt idx="0">
                  <v>84.7190561446558</v>
                </pt>
                <pt idx="0">
                  <v>81.117957993144</v>
                </pt>
                <pt idx="0">
                  <v>84.2297821891238</v>
                </pt>
                <pt idx="0">
                  <v>84.1797598890987</v>
                </pt>
                <pt idx="0">
                  <v>86.593314608335</v>
                </pt>
                <pt idx="0">
                  <v>101.875552564819</v>
                </pt>
                <pt idx="0">
                  <v>98.9111916298481</v>
                </pt>
                <pt idx="0">
                  <v>91.4957289061298</v>
                </pt>
                <pt idx="0">
                  <v>88.4901173205044</v>
                </pt>
                <pt idx="0">
                  <v>82.0931532450981</v>
                </pt>
                <pt idx="0">
                  <v>75.6214060471034</v>
                </pt>
                <pt idx="0">
                  <v>89.2543568281614</v>
                </pt>
                <pt idx="0">
                  <v>85.1879800084238</v>
                </pt>
                <pt idx="0">
                  <v>96.3793821110999</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Month_2'!$C$52:$AG$52</f>
              <numCache>
                <formatCode>General</formatCode>
                <ptCount val="31"/>
                <pt idx="0">
                  <v>101.211912029345</v>
                </pt>
                <pt idx="0">
                  <v>106.18301588322</v>
                </pt>
                <pt idx="0">
                  <v>104.225900621663</v>
                </pt>
                <pt idx="0">
                  <v>126.044977191032</v>
                </pt>
                <pt idx="0">
                  <v>92.0095411336302</v>
                </pt>
                <pt idx="0">
                  <v>59.7500614736262</v>
                </pt>
                <pt idx="0">
                  <v>103.378324956441</v>
                </pt>
                <pt idx="0">
                  <v>106.869458982232</v>
                </pt>
                <pt idx="0">
                  <v>109.654278110018</v>
                </pt>
                <pt idx="0">
                  <v>120.792014383612</v>
                </pt>
                <pt idx="0">
                  <v>86.7864964202411</v>
                </pt>
                <pt idx="0">
                  <v>84.9356904061437</v>
                </pt>
                <pt idx="0">
                  <v>81.7659314134925</v>
                </pt>
                <pt idx="0">
                  <v>81.4358477401492</v>
                </pt>
                <pt idx="0">
                  <v>93.8609763542489</v>
                </pt>
                <pt idx="0">
                  <v>101.74960708254</v>
                </pt>
                <pt idx="0">
                  <v>108.359833341691</v>
                </pt>
                <pt idx="0">
                  <v>84.8513165524516</v>
                </pt>
                <pt idx="0">
                  <v>83.2881228677809</v>
                </pt>
                <pt idx="0">
                  <v>88.4881672541185</v>
                </pt>
                <pt idx="0">
                  <v>101.721899023756</v>
                </pt>
                <pt idx="0">
                  <v>101.287003871357</v>
                </pt>
                <pt idx="0">
                  <v>87.3825735537433</v>
                </pt>
                <pt idx="0">
                  <v>91.875965249197</v>
                </pt>
                <pt idx="0">
                  <v>98.9499140281446</v>
                </pt>
                <pt idx="0">
                  <v>108.518116287722</v>
                </pt>
                <pt idx="0">
                  <v>100.59576192431</v>
                </pt>
                <pt idx="0">
                  <v>80.1301833021157</v>
                </pt>
                <pt idx="0">
                  <v>81.9815679715226</v>
                </pt>
                <pt idx="0">
                  <v>65.8513916005057</v>
                </pt>
                <pt idx="0">
                  <v>74.187706200287</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1"/>
          <min val="5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09, 2025 to May 31,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Occ_2!$B$73:$M$73</f>
              <numCache>
                <formatCode>General</formatCode>
                <ptCount val="12"/>
                <pt idx="0">
                  <v>90.9090909090909</v>
                </pt>
                <pt idx="0">
                  <v>90.9090909090909</v>
                </pt>
                <pt idx="0">
                  <v>90.2597402597403</v>
                </pt>
                <pt idx="0">
                  <v>95.1298701298701</v>
                </pt>
                <pt idx="0">
                  <v>93.8311688311688</v>
                </pt>
                <pt idx="0">
                  <v>96.2121212121212</v>
                </pt>
                <pt idx="0">
                  <v>88.0952380952381</v>
                </pt>
                <pt idx="0">
                  <v>94.0476190476191</v>
                </pt>
                <pt idx="0">
                  <v>78.1385281385281</v>
                </pt>
                <pt idx="0">
                  <v>75.2164502164502</v>
                </pt>
                <pt idx="0">
                  <v>89.1774891774892</v>
                </pt>
                <pt idx="0">
                  <v>75.8658008658009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Occ_2!$B$74:$M$74</f>
              <numCache>
                <formatCode>General</formatCode>
                <ptCount val="12"/>
                <pt idx="0">
                  <v>86.8759507675287</v>
                </pt>
                <pt idx="0">
                  <v>89.6418199419168</v>
                </pt>
                <pt idx="0">
                  <v>86.6961692711935</v>
                </pt>
                <pt idx="0">
                  <v>84.5355426110759</v>
                </pt>
                <pt idx="0">
                  <v>93.043839026414</v>
                </pt>
                <pt idx="0">
                  <v>91.0662425667266</v>
                </pt>
                <pt idx="0">
                  <v>81.7452634490389</v>
                </pt>
                <pt idx="0">
                  <v>94.5512377264555</v>
                </pt>
                <pt idx="0">
                  <v>81.3995298022404</v>
                </pt>
                <pt idx="0">
                  <v>78.4953671691329</v>
                </pt>
                <pt idx="0">
                  <v>86.6131931959618</v>
                </pt>
                <pt idx="0">
                  <v>77.7070944544323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Occ_2!$B$75:$M$75</f>
              <numCache>
                <formatCode>General</formatCode>
                <ptCount val="12"/>
                <pt idx="0">
                  <v>80.4019577215453</v>
                </pt>
                <pt idx="0">
                  <v>88.8978146710106</v>
                </pt>
                <pt idx="0">
                  <v>84.5807113848351</v>
                </pt>
                <pt idx="0">
                  <v>85.2325010050476</v>
                </pt>
                <pt idx="0">
                  <v>88.2032262388847</v>
                </pt>
                <pt idx="0">
                  <v>81.2726216542294</v>
                </pt>
                <pt idx="0">
                  <v>76.0132266857322</v>
                </pt>
                <pt idx="0">
                  <v>89.6212222768369</v>
                </pt>
                <pt idx="0">
                  <v>74.1498726484651</v>
                </pt>
                <pt idx="0">
                  <v>72.7929457676095</v>
                </pt>
                <pt idx="0">
                  <v>74.4135126681264</v>
                </pt>
                <pt idx="0">
                  <v>68.0295515140682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09, 2025 to May 31,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ADR_2!$B$73:$M$73</f>
              <numCache>
                <formatCode>General</formatCode>
                <ptCount val="12"/>
                <pt idx="0">
                  <v>272.447619047619</v>
                </pt>
                <pt idx="0">
                  <v>292.027380952381</v>
                </pt>
                <pt idx="0">
                  <v>328.038369304556</v>
                </pt>
                <pt idx="0">
                  <v>264.938566552901</v>
                </pt>
                <pt idx="0">
                  <v>297.681660899654</v>
                </pt>
                <pt idx="0">
                  <v>261.608548931384</v>
                </pt>
                <pt idx="0">
                  <v>236.044226044226</v>
                </pt>
                <pt idx="0">
                  <v>322.135788262371</v>
                </pt>
                <pt idx="0">
                  <v>232.814404432133</v>
                </pt>
                <pt idx="0">
                  <v>199.372661870504</v>
                </pt>
                <pt idx="0">
                  <v>210.575242718447</v>
                </pt>
                <pt idx="0">
                  <v>169.713266761769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ADR_2!$B$74:$M$74</f>
              <numCache>
                <formatCode>General</formatCode>
                <ptCount val="12"/>
                <pt idx="0">
                  <v>285.672967207896</v>
                </pt>
                <pt idx="0">
                  <v>300.09978864548</v>
                </pt>
                <pt idx="0">
                  <v>306.305723400861</v>
                </pt>
                <pt idx="0">
                  <v>252.22283348723</v>
                </pt>
                <pt idx="0">
                  <v>283.712274078478</v>
                </pt>
                <pt idx="0">
                  <v>258.672071374336</v>
                </pt>
                <pt idx="0">
                  <v>234.592718660125</v>
                </pt>
                <pt idx="0">
                  <v>332.01755887085</v>
                </pt>
                <pt idx="0">
                  <v>212.535059463133</v>
                </pt>
                <pt idx="0">
                  <v>202.81512508809</v>
                </pt>
                <pt idx="0">
                  <v>238.666477726329</v>
                </pt>
                <pt idx="0">
                  <v>200.062721124755</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ADR_2!$B$75:$M$75</f>
              <numCache>
                <formatCode>General</formatCode>
                <ptCount val="12"/>
                <pt idx="0">
                  <v>265.910522323163</v>
                </pt>
                <pt idx="0">
                  <v>286.605910505706</v>
                </pt>
                <pt idx="0">
                  <v>303.538184184607</v>
                </pt>
                <pt idx="0">
                  <v>260.398197159478</v>
                </pt>
                <pt idx="0">
                  <v>261.89942077444</v>
                </pt>
                <pt idx="0">
                  <v>255.102375192435</v>
                </pt>
                <pt idx="0">
                  <v>229.518644798464</v>
                </pt>
                <pt idx="0">
                  <v>288.947597600093</v>
                </pt>
                <pt idx="0">
                  <v>226.808243943594</v>
                </pt>
                <pt idx="0">
                  <v>209.332569417446</v>
                </pt>
                <pt idx="0">
                  <v>204.77657679297</v>
                </pt>
                <pt idx="0">
                  <v>186.790751647582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37"/>
          <min val="16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09, 2025 to May 31,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'RevPAR_2'!$B$73:$M$73</f>
              <numCache>
                <formatCode>General</formatCode>
                <ptCount val="12"/>
                <pt idx="0">
                  <v>247.679653679654</v>
                </pt>
                <pt idx="0">
                  <v>265.479437229437</v>
                </pt>
                <pt idx="0">
                  <v>296.08658008658</v>
                </pt>
                <pt idx="0">
                  <v>252.035714285714</v>
                </pt>
                <pt idx="0">
                  <v>279.318181818182</v>
                </pt>
                <pt idx="0">
                  <v>251.699134199134</v>
                </pt>
                <pt idx="0">
                  <v>207.943722943723</v>
                </pt>
                <pt idx="0">
                  <v>302.961038961039</v>
                </pt>
                <pt idx="0">
                  <v>181.917748917749</v>
                </pt>
                <pt idx="0">
                  <v>149.961038961039</v>
                </pt>
                <pt idx="0">
                  <v>187.785714285714</v>
                </pt>
                <pt idx="0">
                  <v>128.754329004329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'RevPAR_2'!$B$74:$M$74</f>
              <numCache>
                <formatCode>General</formatCode>
                <ptCount val="12"/>
                <pt idx="0">
                  <v>248.18110634767</v>
                </pt>
                <pt idx="0">
                  <v>269.014912183654</v>
                </pt>
                <pt idx="0">
                  <v>265.555328446964</v>
                </pt>
                <pt idx="0">
                  <v>213.21794087746</v>
                </pt>
                <pt idx="0">
                  <v>263.976791591758</v>
                </pt>
                <pt idx="0">
                  <v>235.562935970129</v>
                </pt>
                <pt idx="0">
                  <v>191.768435900982</v>
                </pt>
                <pt idx="0">
                  <v>313.926711381552</v>
                </pt>
                <pt idx="0">
                  <v>173.002539067902</v>
                </pt>
                <pt idx="0">
                  <v>159.200477112433</v>
                </pt>
                <pt idx="0">
                  <v>206.716657447103</v>
                </pt>
                <pt idx="0">
                  <v>155.462927672521</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'RevPAR_2'!$B$75:$M$75</f>
              <numCache>
                <formatCode>General</formatCode>
                <ptCount val="12"/>
                <pt idx="0">
                  <v>213.79726573541</v>
                </pt>
                <pt idx="0">
                  <v>254.786391157525</v>
                </pt>
                <pt idx="0">
                  <v>256.734755507951</v>
                </pt>
                <pt idx="0">
                  <v>221.943896011078</v>
                </pt>
                <pt idx="0">
                  <v>231.003738624008</v>
                </pt>
                <pt idx="0">
                  <v>207.3283882211</v>
                </pt>
                <pt idx="0">
                  <v>174.464527756677</v>
                </pt>
                <pt idx="0">
                  <v>258.95836870876</v>
                </pt>
                <pt idx="0">
                  <v>168.178024040395</v>
                </pt>
                <pt idx="0">
                  <v>152.379343729985</v>
                </pt>
                <pt idx="0">
                  <v>152.381443913192</v>
                </pt>
                <pt idx="0">
                  <v>127.072910615607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19"/>
          <min val="12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5.xml.rels><?xml version="1.0" encoding="utf-8" standalone="yes" ?>
<Relationships xmlns="http://schemas.openxmlformats.org/package/2006/relationships">
<Relationship Id="rId97" Type="http://schemas.openxmlformats.org/officeDocument/2006/relationships/chart" Target="/xl/charts/chart92.xml" />
</Relationships>
</file>

<file path=xl/drawings/_rels/drawing64.xml.rels><?xml version="1.0" encoding="utf-8" standalone="yes" ?>
<Relationships xmlns="http://schemas.openxmlformats.org/package/2006/relationships">
<Relationship Id="rId101" Type="http://schemas.openxmlformats.org/officeDocument/2006/relationships/chart" Target="/xl/charts/chart96.xml" />
</Relationships>
</file>

<file path=xl/drawings/_rels/drawing65.xml.rels><?xml version="1.0" encoding="utf-8" standalone="yes" ?>
<Relationships xmlns="http://schemas.openxmlformats.org/package/2006/relationships">
<Relationship Id="rId98" Type="http://schemas.openxmlformats.org/officeDocument/2006/relationships/chart" Target="/xl/charts/chart93.xml" />
</Relationships>
</file>

<file path=xl/drawings/_rels/drawing68.xml.rels><?xml version="1.0" encoding="utf-8" standalone="yes" ?>
<Relationships xmlns="http://schemas.openxmlformats.org/package/2006/relationships">
<Relationship Id="rId102" Type="http://schemas.openxmlformats.org/officeDocument/2006/relationships/chart" Target="/xl/charts/chart97.xml" />
</Relationships>
</file>

<file path=xl/drawings/_rels/drawing72.xml.rels><?xml version="1.0" encoding="utf-8" standalone="yes" ?>
<Relationships xmlns="http://schemas.openxmlformats.org/package/2006/relationships">
<Relationship Id="rId99" Type="http://schemas.openxmlformats.org/officeDocument/2006/relationships/chart" Target="/xl/charts/chart94.xml" />
</Relationships>
</file>

<file path=xl/drawings/_rels/drawing75.xml.rels><?xml version="1.0" encoding="utf-8" standalone="yes" ?>
<Relationships xmlns="http://schemas.openxmlformats.org/package/2006/relationships">
<Relationship Id="rId103" Type="http://schemas.openxmlformats.org/officeDocument/2006/relationships/chart" Target="/xl/charts/chart98.xml" />
</Relationships>
</file>

<file path=xl/drawings/_rels/drawing79.xml.rels><?xml version="1.0" encoding="utf-8" standalone="yes" ?>
<Relationships xmlns="http://schemas.openxmlformats.org/package/2006/relationships">
<Relationship Id="rId100" Type="http://schemas.openxmlformats.org/officeDocument/2006/relationships/chart" Target="/xl/charts/chart95.xml" />
</Relationships>
</file>

<file path=xl/drawings/_rels/drawing82.xml.rels><?xml version="1.0" encoding="utf-8" standalone="yes" ?>
<Relationships xmlns="http://schemas.openxmlformats.org/package/2006/relationships">
<Relationship Id="rId104" Type="http://schemas.openxmlformats.org/officeDocument/2006/relationships/chart" Target="/xl/charts/chart99.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7"/>
        </a:graphicData>
      </a:graphic>
    </xdr:graphicFrame>
    <xdr:clientData/>
  </xdr:oneCellAnchor>
</xdr:wsDr>
</file>

<file path=xl/drawings/drawing3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1"/>
        </a:graphicData>
      </a:graphic>
    </xdr:graphicFrame>
    <xdr:clientData/>
  </xdr:oneCellAnchor>
</xdr:wsDr>
</file>

<file path=xl/drawings/drawing6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8"/>
        </a:graphicData>
      </a:graphic>
    </xdr:graphicFrame>
    <xdr:clientData/>
  </xdr:oneCellAnchor>
</xdr:wsDr>
</file>

<file path=xl/drawings/drawing6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2"/>
        </a:graphicData>
      </a:graphic>
    </xdr:graphicFrame>
    <xdr:clientData/>
  </xdr:oneCellAnchor>
</xdr:wsDr>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9"/>
        </a:graphicData>
      </a:graphic>
    </xdr:graphicFrame>
    <xdr:clientData/>
  </xdr:oneCellAnchor>
</xdr:wsDr>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3"/>
        </a:graphicData>
      </a:graphic>
    </xdr:graphicFrame>
    <xdr:clientData/>
  </xdr:oneCellAnchor>
</xdr:wsDr>
</file>

<file path=xl/drawings/drawing7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0"/>
        </a:graphicData>
      </a:graphic>
    </xdr:graphicFrame>
    <xdr:clientData/>
  </xdr:oneCellAnchor>
</xdr:wsDr>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4"/>
        </a:graphicData>
      </a:graphic>
    </xdr:graphicFrame>
    <xdr:clientData/>
  </xdr:oneCellAnchor>
</xdr:wsDr>
</file>

<file path=xl/drawings/drawing8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105" Type="http://schemas.openxmlformats.org/officeDocument/2006/relationships/hyperlink" Target="http://www.strglobal.com/" TargetMode="External" />
<Relationship Id="rId106"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70" Type="http://schemas.openxmlformats.org/officeDocument/2006/relationships/drawing" Target="../drawings/drawing65.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77" Type="http://schemas.openxmlformats.org/officeDocument/2006/relationships/drawing" Target="../drawings/drawing7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84" Type="http://schemas.openxmlformats.org/officeDocument/2006/relationships/drawing" Target="../drawings/drawing79.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107" Type="http://schemas.openxmlformats.org/officeDocument/2006/relationships/hyperlink" Target="http://www.str.com/data-insights/resources/glossary" TargetMode="External" />
<Relationship Id="rId108" Type="http://schemas.openxmlformats.org/officeDocument/2006/relationships/hyperlink" Target="http://www.hotelnewsnow.com/" TargetMode="External" />
<Relationship Id="rId109" Type="http://schemas.openxmlformats.org/officeDocument/2006/relationships/hyperlink" Target="http://www.hoteldataconference.com/" TargetMode="External" />
<Relationship Id="rId110" Type="http://schemas.openxmlformats.org/officeDocument/2006/relationships/hyperlink" Target="http://www.str.com/data-insights/resources/FAQ" TargetMode="External" />
<Relationship Id="rId111"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2.bin" />
<Relationship Id="rId22" Type="http://schemas.openxmlformats.org/officeDocument/2006/relationships/drawing" Target="../drawings/drawing23.xml" />
</Relationships>
</file>

<file path=xl/worksheets/_rels/sheet25.xml.rels><?xml version="1.0" encoding="utf-8" standalone="yes" ?>
<Relationships xmlns="http://schemas.openxmlformats.org/package/2006/relationships">
<Relationship Id="rId1" Type="http://schemas.openxmlformats.org/officeDocument/2006/relationships/printerSettings" Target="../printerSettings/printerSettings26.bin" />
<Relationship Id="rId29" Type="http://schemas.openxmlformats.org/officeDocument/2006/relationships/drawing" Target="../drawings/drawing27.xml" />
</Relationships>
</file>

<file path=xl/worksheets/_rels/sheet29.xml.rels><?xml version="1.0" encoding="utf-8" standalone="yes" ?>
<Relationships xmlns="http://schemas.openxmlformats.org/package/2006/relationships">
<Relationship Id="rId1" Type="http://schemas.openxmlformats.org/officeDocument/2006/relationships/printerSettings" Target="../printerSettings/printerSettings30.bin" />
<Relationship Id="rId33" Type="http://schemas.openxmlformats.org/officeDocument/2006/relationships/drawing" Target="../drawings/drawing31.xml" />
</Relationships>
</file>

<file path=xl/worksheets/_rels/sheet33.xml.rels><?xml version="1.0" encoding="utf-8" standalone="yes" ?>
<Relationships xmlns="http://schemas.openxmlformats.org/package/2006/relationships">
<Relationship Id="rId1" Type="http://schemas.openxmlformats.org/officeDocument/2006/relationships/printerSettings" Target="../printerSettings/printerSettings34.bin" />
<Relationship Id="rId37" Type="http://schemas.openxmlformats.org/officeDocument/2006/relationships/drawing" Target="../drawings/drawing35.xml" />
</Relationships>
</file>

<file path=xl/worksheets/_rels/sheet37.xml.rels><?xml version="1.0" encoding="utf-8" standalone="yes" ?>
<Relationships xmlns="http://schemas.openxmlformats.org/package/2006/relationships">
<Relationship Id="rId1" Type="http://schemas.openxmlformats.org/officeDocument/2006/relationships/printerSettings" Target="../printerSettings/printerSettings38.bin" />
<Relationship Id="rId41" Type="http://schemas.openxmlformats.org/officeDocument/2006/relationships/drawing" Target="../drawings/drawing39.xml" />
</Relationships>
</file>

<file path=xl/worksheets/_rels/sheet41.xml.rels><?xml version="1.0" encoding="utf-8" standalone="yes" ?>
<Relationships xmlns="http://schemas.openxmlformats.org/package/2006/relationships">
<Relationship Id="rId1" Type="http://schemas.openxmlformats.org/officeDocument/2006/relationships/printerSettings" Target="../printerSettings/printerSettings42.bin" />
<Relationship Id="rId45" Type="http://schemas.openxmlformats.org/officeDocument/2006/relationships/drawing" Target="../drawings/drawing43.xml" />
</Relationships>
</file>

<file path=xl/worksheets/_rels/sheet45.xml.rels><?xml version="1.0" encoding="utf-8" standalone="yes" ?>
<Relationships xmlns="http://schemas.openxmlformats.org/package/2006/relationships">
<Relationship Id="rId1" Type="http://schemas.openxmlformats.org/officeDocument/2006/relationships/printerSettings" Target="../printerSettings/printerSettings46.bin" />
<Relationship Id="rId49" Type="http://schemas.openxmlformats.org/officeDocument/2006/relationships/drawing" Target="../drawings/drawing47.xml" />
</Relationships>
</file>

<file path=xl/worksheets/_rels/sheet49.xml.rels><?xml version="1.0" encoding="utf-8" standalone="yes" ?>
<Relationships xmlns="http://schemas.openxmlformats.org/package/2006/relationships">
<Relationship Id="rId1" Type="http://schemas.openxmlformats.org/officeDocument/2006/relationships/printerSettings" Target="../printerSettings/printerSettings50.bin" />
<Relationship Id="rId53" Type="http://schemas.openxmlformats.org/officeDocument/2006/relationships/drawing" Target="../drawings/drawing51.xml" />
</Relationships>
</file>

<file path=xl/worksheets/_rels/sheet53.xml.rels><?xml version="1.0" encoding="utf-8" standalone="yes" ?>
<Relationships xmlns="http://schemas.openxmlformats.org/package/2006/relationships">
<Relationship Id="rId1" Type="http://schemas.openxmlformats.org/officeDocument/2006/relationships/printerSettings" Target="../printerSettings/printerSettings54.bin" />
<Relationship Id="rId57" Type="http://schemas.openxmlformats.org/officeDocument/2006/relationships/drawing" Target="../drawings/drawing55.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2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33"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37" Type="http://schemas.openxmlformats.org/officeDocument/2006/relationships/drawing" Target="../drawings/drawing64.xml" />
</Relationships>
</file>

<file path=xl/worksheets/_rels/sheet66.xml.rels><?xml version="1.0" encoding="utf-8" standalone="yes" ?>
<Relationships xmlns="http://schemas.openxmlformats.org/package/2006/relationships">
<Relationship Id="rId1" Type="http://schemas.openxmlformats.org/officeDocument/2006/relationships/printerSettings" Target="../printerSettings/printerSettings67.bin" />
<Relationship Id="rId70" Type="http://schemas.openxmlformats.org/officeDocument/2006/relationships/drawing" Target="../drawings/drawing68.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41"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7" Type="http://schemas.openxmlformats.org/officeDocument/2006/relationships/drawing" Target="../drawings/drawing75.xml" />
</Relationships>
</file>

<file path=xl/worksheets/_rels/sheet76.xml.rels><?xml version="1.0" encoding="utf-8" standalone="yes" ?>
<Relationships xmlns="http://schemas.openxmlformats.org/package/2006/relationships">
<Relationship Id="rId1" Type="http://schemas.openxmlformats.org/officeDocument/2006/relationships/printerSettings" Target="../printerSettings/printerSettings77.bin" />
<Relationship Id="rId45" Type="http://schemas.openxmlformats.org/officeDocument/2006/relationships/drawing" Target="../drawings/drawing78.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84" Type="http://schemas.openxmlformats.org/officeDocument/2006/relationships/drawing" Target="../drawings/drawing82.xml" />
</Relationships>
</file>

<file path=xl/worksheets/_rels/sheet83.xml.rels><?xml version="1.0" encoding="utf-8" standalone="yes" ?>
<Relationships xmlns="http://schemas.openxmlformats.org/package/2006/relationships">
<Relationship Id="rId1" Type="http://schemas.openxmlformats.org/officeDocument/2006/relationships/printerSettings" Target="../printerSettings/printerSettings84.bin" />
<Relationship Id="rId49" Type="http://schemas.openxmlformats.org/officeDocument/2006/relationships/drawing" Target="../drawings/drawing85.xml" />
</Relationships>
</file>

<file path=xl/worksheets/_rels/sheet86.xml.rels><?xml version="1.0" encoding="utf-8" standalone="yes" ?>
<Relationships xmlns="http://schemas.openxmlformats.org/package/2006/relationships">
<Relationship Id="rId1" Type="http://schemas.openxmlformats.org/officeDocument/2006/relationships/printerSettings" Target="../printerSettings/printerSettings87.bin" />
<Relationship Id="rId53" Type="http://schemas.openxmlformats.org/officeDocument/2006/relationships/drawing" Target="../drawings/drawing88.xml" />
</Relationships>
</file>

<file path=xl/worksheets/_rels/sheet89.xml.rels><?xml version="1.0" encoding="utf-8" standalone="yes" ?>
<Relationships xmlns="http://schemas.openxmlformats.org/package/2006/relationships">
<Relationship Id="rId1" Type="http://schemas.openxmlformats.org/officeDocument/2006/relationships/printerSettings" Target="../printerSettings/printerSettings90.bin" />
<Relationship Id="rId57" Type="http://schemas.openxmlformats.org/officeDocument/2006/relationships/drawing" Target="../drawings/drawing9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164</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163</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165</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166</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t="str">
        <f>HYPERLINK("#'Response'!A1", "Response Report")</f>
      </c>
      <c r="F7" s="421" t="str">
        <f>HYPERLINK("#'Response'!A1", "14")</f>
      </c>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HYPERLINK("#'SummaryComb'!A1", "Combined Summary")</f>
      </c>
      <c r="C8" s="421" t="str">
        <f>HYPERLINK("#'SummaryComb'!A1", "2")</f>
      </c>
      <c r="D8" s="430"/>
      <c r="E8" s="430" t="str">
        <f>HYPERLINK("#'Glance_2'!A1", "Weekly Performance at a Glance - 2nd Comp")</f>
      </c>
      <c r="F8" s="421" t="str">
        <f>HYPERLINK("#'Glance_2'!A1", "15")</f>
      </c>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HYPERLINK("#'SummaryComb 28Day'!A1", "28 Day Combined Summary")</f>
      </c>
      <c r="C9" s="421" t="str">
        <f>HYPERLINK("#'SummaryComb 28Day'!A1", "3")</f>
      </c>
      <c r="D9" s="430"/>
      <c r="E9" s="430" t="str">
        <f>HYPERLINK("#'Segmentation Glance_2'!A1", "Segmentation at a Glance - 2nd Comp")</f>
      </c>
      <c r="F9" s="421" t="str">
        <f>HYPERLINK("#'Segmentation Glance_2'!A1", "16")</f>
      </c>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HYPERLINK("#'Glance'!A1", "Weekly Performance at a Glance")</f>
      </c>
      <c r="C10" s="421" t="str">
        <f>HYPERLINK("#'Glance'!A1", "4")</f>
      </c>
      <c r="D10" s="430"/>
      <c r="E10" s="430" t="str">
        <f>HYPERLINK("#'Daily by Month_2'!A1", "Daily Data for the Month - 2nd Comp")</f>
      </c>
      <c r="F10" s="421" t="str">
        <f>HYPERLINK("#'Daily by Month_2'!A1", "17")</f>
      </c>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HYPERLINK("#'Segmentation Glance'!A1", "Segmentation at a Glance")</f>
      </c>
      <c r="C11" s="421" t="str">
        <f>HYPERLINK("#'Segmentation Glance'!A1", "5")</f>
      </c>
      <c r="D11" s="430"/>
      <c r="E11" s="430" t="str">
        <f>HYPERLINK("#'Occ_2'!A1", "Occupancy Perspectives - 2nd Comp")</f>
      </c>
      <c r="F11" s="421" t="str">
        <f>HYPERLINK("#'Occ_2'!A1", "18")</f>
      </c>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HYPERLINK("#'Daily by Month'!A1", "Daily Data for the Month")</f>
      </c>
      <c r="C12" s="421" t="str">
        <f>HYPERLINK("#'Daily by Month'!A1", "6")</f>
      </c>
      <c r="D12" s="430"/>
      <c r="E12" s="430" t="str">
        <f>HYPERLINK("#'Segmentation Occ_2'!A1", "Segmentation Occupancy Analysis - 2nd Comp")</f>
      </c>
      <c r="F12" s="421" t="str">
        <f>HYPERLINK("#'Segmentation Occ_2'!A1", "19")</f>
      </c>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HYPERLINK("#'Occ'!A1", "Occupancy Perspectives")</f>
      </c>
      <c r="C13" s="421" t="str">
        <f>HYPERLINK("#'Occ'!A1", "7")</f>
      </c>
      <c r="D13" s="430"/>
      <c r="E13" s="430" t="str">
        <f>HYPERLINK("#'ADR_2'!A1", "ADR Perspectives - 2nd Comp")</f>
      </c>
      <c r="F13" s="421" t="str">
        <f>HYPERLINK("#'ADR_2'!A1", "20")</f>
      </c>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Occ'!A1", "Segmentation Occupancy Analysis")</f>
      </c>
      <c r="C14" s="421" t="str">
        <f>HYPERLINK("#'Segmentation Occ'!A1", "8")</f>
      </c>
      <c r="D14" s="430"/>
      <c r="E14" s="430" t="str">
        <f>HYPERLINK("#'Segmentation ADR_2'!A1", "Segmentation ADR Analysis - 2nd Comp")</f>
      </c>
      <c r="F14" s="421" t="str">
        <f>HYPERLINK("#'Segmentation ADR_2'!A1", "21")</f>
      </c>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HYPERLINK("#'ADR'!A1", "ADR Perspectives")</f>
      </c>
      <c r="C15" s="421" t="str">
        <f>HYPERLINK("#'ADR'!A1", "9")</f>
      </c>
      <c r="D15" s="430"/>
      <c r="E15" s="430" t="str">
        <f>HYPERLINK("#'RevPAR_2'!A1", "RevPAR Perspectives - 2nd Comp")</f>
      </c>
      <c r="F15" s="421" t="str">
        <f>HYPERLINK("#'RevPAR_2'!A1", "22")</f>
      </c>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ADR'!A1", "Segmentation ADR Analysis")</f>
      </c>
      <c r="C16" s="421" t="str">
        <f>HYPERLINK("#'Segmentation ADR'!A1", "10")</f>
      </c>
      <c r="D16" s="430"/>
      <c r="E16" s="430" t="str">
        <f>HYPERLINK("#'Segmentation RevPAR_2'!A1", "Segmentation RevPAR Analysis - 2nd Comp")</f>
      </c>
      <c r="F16" s="421" t="str">
        <f>HYPERLINK("#'Segmentation RevPAR_2'!A1", "23")</f>
      </c>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HYPERLINK("#'RevPAR'!A1", "RevPAR Perspectives")</f>
      </c>
      <c r="C17" s="421" t="str">
        <f>HYPERLINK("#'RevPAR'!A1", "11")</f>
      </c>
      <c r="D17" s="430"/>
      <c r="E17" s="430" t="str">
        <f>HYPERLINK("#'Additional Revenue_2'!A1", "Additional Revenue - 2nd Comp")</f>
      </c>
      <c r="F17" s="421" t="str">
        <f>HYPERLINK("#'Additional Revenue_2'!A1", "24")</f>
      </c>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HYPERLINK("#'Segmentation RevPAR'!A1", "Segmentation RevPAR Analysis")</f>
      </c>
      <c r="C18" s="421" t="str">
        <f>HYPERLINK("#'Segmentation RevPAR'!A1", "12")</f>
      </c>
      <c r="D18" s="430"/>
      <c r="E18" s="430" t="str">
        <f>HYPERLINK("#'Response_2'!A1", "Response Report - 2nd Comp")</f>
      </c>
      <c r="F18" s="421" t="str">
        <f>HYPERLINK("#'Response_2'!A1", "25")</f>
      </c>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HYPERLINK("#'Additional Revenue'!A1", "Additional Revenue")</f>
      </c>
      <c r="C19" s="421" t="str">
        <f>HYPERLINK("#'Additional Revenue'!A1", "13")</f>
      </c>
      <c r="D19" s="430"/>
      <c r="E19" s="430" t="str">
        <f>HYPERLINK("#'Help'!A1", "Help")</f>
      </c>
      <c r="F19" s="421" t="str">
        <f>HYPERLINK("#'Help'!A1", "26")</f>
      </c>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105" display="www.strglobal.com"/>
    <hyperlink ref="M8" r:id="rId106"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125</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618" t="s">
        <v>182</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181</v>
      </c>
      <c r="D24" s="276"/>
      <c r="E24" s="276"/>
      <c r="F24" s="276"/>
      <c r="G24" s="276"/>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4</v>
      </c>
      <c r="D25" s="42">
        <v>5</v>
      </c>
      <c r="E25" s="42">
        <v>6</v>
      </c>
      <c r="F25" s="42">
        <v>7</v>
      </c>
      <c r="G25" s="42">
        <v>8</v>
      </c>
      <c r="H25" s="42">
        <v>9</v>
      </c>
      <c r="I25" s="42">
        <v>10</v>
      </c>
      <c r="J25" s="42">
        <v>11</v>
      </c>
      <c r="K25" s="42">
        <v>12</v>
      </c>
      <c r="L25" s="42">
        <v>13</v>
      </c>
      <c r="M25" s="42">
        <v>14</v>
      </c>
      <c r="N25" s="42">
        <v>15</v>
      </c>
      <c r="O25" s="42">
        <v>16</v>
      </c>
      <c r="P25" s="42">
        <v>17</v>
      </c>
      <c r="Q25" s="42">
        <v>18</v>
      </c>
      <c r="R25" s="42">
        <v>19</v>
      </c>
      <c r="S25" s="42">
        <v>20</v>
      </c>
      <c r="T25" s="42">
        <v>21</v>
      </c>
      <c r="U25" s="42">
        <v>22</v>
      </c>
      <c r="V25" s="42">
        <v>23</v>
      </c>
      <c r="W25" s="42">
        <v>24</v>
      </c>
      <c r="X25" s="323">
        <v>25</v>
      </c>
      <c r="Y25" s="42">
        <v>26</v>
      </c>
      <c r="Z25" s="42">
        <v>27</v>
      </c>
      <c r="AA25" s="42">
        <v>28</v>
      </c>
      <c r="AB25" s="42">
        <v>29</v>
      </c>
      <c r="AC25" s="42">
        <v>30</v>
      </c>
      <c r="AD25" s="337">
        <v>31</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97.72727272727272727272727273</v>
      </c>
      <c r="D26" s="445">
        <v>64.393939393939393939393939390</v>
      </c>
      <c r="E26" s="445">
        <v>51.515151515151515151515151520</v>
      </c>
      <c r="F26" s="445">
        <v>82.57575757575757575757575758</v>
      </c>
      <c r="G26" s="445">
        <v>85.60606060606060606060606061</v>
      </c>
      <c r="H26" s="445">
        <v>79.54545454545454545454545455</v>
      </c>
      <c r="I26" s="445">
        <v>85.60606060606060606060606061</v>
      </c>
      <c r="J26" s="445">
        <v>58.333333333333333333333333330</v>
      </c>
      <c r="K26" s="445">
        <v>63.636363636363636363636363640</v>
      </c>
      <c r="L26" s="445">
        <v>69.696969696969696969696969700</v>
      </c>
      <c r="M26" s="445">
        <v>71.212121212121212121212121210</v>
      </c>
      <c r="N26" s="445">
        <v>81.06060606060606060606060606</v>
      </c>
      <c r="O26" s="445">
        <v>86.36363636363636363636363636</v>
      </c>
      <c r="P26" s="445">
        <v>96.21212121212121212121212121</v>
      </c>
      <c r="Q26" s="445">
        <v>89.39393939393939393939393939</v>
      </c>
      <c r="R26" s="445">
        <v>90.15151515151515151515151515</v>
      </c>
      <c r="S26" s="445">
        <v>89.39393939393939393939393939</v>
      </c>
      <c r="T26" s="445">
        <v>95.45454545454545454545454545</v>
      </c>
      <c r="U26" s="445">
        <v>95.45454545454545454545454545</v>
      </c>
      <c r="V26" s="445">
        <v>73.484848484848484848484848480</v>
      </c>
      <c r="W26" s="445">
        <v>90.90909090909090909090909091</v>
      </c>
      <c r="X26" s="446">
        <v>96.21212121212121212121212121</v>
      </c>
      <c r="Y26" s="445">
        <v>73.484848484848484848484848480</v>
      </c>
      <c r="Z26" s="445">
        <v>66.666666666666666666666666670</v>
      </c>
      <c r="AA26" s="445">
        <v>72.727272727272727272727272730</v>
      </c>
      <c r="AB26" s="445">
        <v>75.757575757575757575757575760</v>
      </c>
      <c r="AC26" s="445">
        <v>73.484848484848484848484848480</v>
      </c>
      <c r="AD26" s="447">
        <v>72.727272727272727272727272730</v>
      </c>
      <c r="AE26" s="448"/>
      <c r="AF26" s="444">
        <v>75.865800865800865800865800870</v>
      </c>
      <c r="AG26" s="445">
        <v>79.59956709956709956709956710</v>
      </c>
      <c r="AH26" s="449">
        <v>81.25610948191593352883675464</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68.313953488372093023255813950</v>
      </c>
      <c r="D27" s="81">
        <v>65.697674418604651162790697670</v>
      </c>
      <c r="E27" s="81">
        <v>71.220930232558139534883720930</v>
      </c>
      <c r="F27" s="81">
        <v>82.55813953488372093023255814</v>
      </c>
      <c r="G27" s="81">
        <v>79.94186046511627906976744186</v>
      </c>
      <c r="H27" s="81">
        <v>74.418604651162790697674418600</v>
      </c>
      <c r="I27" s="81">
        <v>72.093023255813953488372093020</v>
      </c>
      <c r="J27" s="81">
        <v>57.267441860465116279069767440</v>
      </c>
      <c r="K27" s="81">
        <v>51.453488372093023255813953490</v>
      </c>
      <c r="L27" s="81">
        <v>55.232558139534883720930232560</v>
      </c>
      <c r="M27" s="81">
        <v>62.500</v>
      </c>
      <c r="N27" s="81">
        <v>71.802325581395348837209302330</v>
      </c>
      <c r="O27" s="81">
        <v>79.65116279069767441860465116</v>
      </c>
      <c r="P27" s="81">
        <v>90.11627906976744186046511628</v>
      </c>
      <c r="Q27" s="81">
        <v>79.069767441860465116279069770</v>
      </c>
      <c r="R27" s="81">
        <v>79.94186046511627906976744186</v>
      </c>
      <c r="S27" s="81">
        <v>74.709302325581395348837209300</v>
      </c>
      <c r="T27" s="81">
        <v>61.627906976744186046511627910</v>
      </c>
      <c r="U27" s="81">
        <v>68.604651162790697674418604650</v>
      </c>
      <c r="V27" s="81">
        <v>84.01162790697674418604651163</v>
      </c>
      <c r="W27" s="81">
        <v>90.40697674418604651162790698</v>
      </c>
      <c r="X27" s="82">
        <v>81.39534883720930232558139535</v>
      </c>
      <c r="Y27" s="81">
        <v>63.953488372093023255813953490</v>
      </c>
      <c r="Z27" s="81">
        <v>55.232558139534883720930232560</v>
      </c>
      <c r="AA27" s="81">
        <v>61.046511627906976744186046510</v>
      </c>
      <c r="AB27" s="81">
        <v>73.255813953488372093023255810</v>
      </c>
      <c r="AC27" s="81">
        <v>86.91860465116279069767441860</v>
      </c>
      <c r="AD27" s="83">
        <v>83.72093023255813953488372093</v>
      </c>
      <c r="AE27" s="88"/>
      <c r="AF27" s="327">
        <v>72.217607973421926910299003320</v>
      </c>
      <c r="AG27" s="81">
        <v>72.362956810631229235880398670</v>
      </c>
      <c r="AH27" s="328">
        <v>74.540510127531882970742685670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50">
        <v>80.61724533416744864977583151</v>
      </c>
      <c r="D28" s="451">
        <v>68.710249191950787196329892610</v>
      </c>
      <c r="E28" s="451">
        <v>66.750078198310916484203941190</v>
      </c>
      <c r="F28" s="451">
        <v>70.732978834323845271608799920</v>
      </c>
      <c r="G28" s="451">
        <v>77.781253258262954853508497550</v>
      </c>
      <c r="H28" s="451">
        <v>77.875091231362735898237931390</v>
      </c>
      <c r="I28" s="451">
        <v>76.582212490876863726410176210</v>
      </c>
      <c r="J28" s="451">
        <v>54.175789802940256490459806070</v>
      </c>
      <c r="K28" s="451">
        <v>61.714106975289333750390991550</v>
      </c>
      <c r="L28" s="451">
        <v>67.646752163486602022729642370</v>
      </c>
      <c r="M28" s="451">
        <v>74.986966948180585966009800850</v>
      </c>
      <c r="N28" s="451">
        <v>77.489312897508080492128036700</v>
      </c>
      <c r="O28" s="451">
        <v>86.64372849546449796684391617</v>
      </c>
      <c r="P28" s="451">
        <v>86.89396309039724741945573976</v>
      </c>
      <c r="Q28" s="451">
        <v>69.419247210926910645396726100</v>
      </c>
      <c r="R28" s="451">
        <v>68.814513606506099468251485770</v>
      </c>
      <c r="S28" s="451">
        <v>70.138671671358565321655718900</v>
      </c>
      <c r="T28" s="451">
        <v>69.575643832759879053279115840</v>
      </c>
      <c r="U28" s="451">
        <v>74.319674695026587425711604630</v>
      </c>
      <c r="V28" s="451">
        <v>79.53289542279220102179126264</v>
      </c>
      <c r="W28" s="451">
        <v>89.09394223751433635700135544</v>
      </c>
      <c r="X28" s="452">
        <v>75.925346679178396413304139300</v>
      </c>
      <c r="Y28" s="451">
        <v>53.112292774476071316859555830</v>
      </c>
      <c r="Z28" s="451">
        <v>55.531227192159316025440517150</v>
      </c>
      <c r="AA28" s="451">
        <v>63.006985715775205922218746740</v>
      </c>
      <c r="AB28" s="451">
        <v>68.532999687206756334063184240</v>
      </c>
      <c r="AC28" s="451">
        <v>78.740485872171827755187154620</v>
      </c>
      <c r="AD28" s="453">
        <v>81.35752267751016578041914295</v>
      </c>
      <c r="AE28" s="448"/>
      <c r="AF28" s="450">
        <v>68.029551514068248506784634400</v>
      </c>
      <c r="AG28" s="451">
        <v>72.346470649567302679595454070</v>
      </c>
      <c r="AH28" s="454">
        <v>74.201284133983136071787731110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181</v>
      </c>
      <c r="D31" s="276"/>
      <c r="E31" s="276"/>
      <c r="F31" s="276"/>
      <c r="G31" s="276"/>
      <c r="H31" s="276"/>
      <c r="I31" s="276"/>
      <c r="J31" s="276"/>
      <c r="K31" s="276"/>
      <c r="L31" s="276"/>
      <c r="M31" s="276"/>
      <c r="N31" s="276"/>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4</v>
      </c>
      <c r="D32" s="42">
        <v>5</v>
      </c>
      <c r="E32" s="42">
        <v>6</v>
      </c>
      <c r="F32" s="42">
        <v>7</v>
      </c>
      <c r="G32" s="42">
        <v>8</v>
      </c>
      <c r="H32" s="42">
        <v>9</v>
      </c>
      <c r="I32" s="42">
        <v>10</v>
      </c>
      <c r="J32" s="42">
        <v>11</v>
      </c>
      <c r="K32" s="42">
        <v>12</v>
      </c>
      <c r="L32" s="42">
        <v>13</v>
      </c>
      <c r="M32" s="42">
        <v>14</v>
      </c>
      <c r="N32" s="42">
        <v>15</v>
      </c>
      <c r="O32" s="42">
        <v>16</v>
      </c>
      <c r="P32" s="42">
        <v>17</v>
      </c>
      <c r="Q32" s="42">
        <v>18</v>
      </c>
      <c r="R32" s="42">
        <v>19</v>
      </c>
      <c r="S32" s="42">
        <v>20</v>
      </c>
      <c r="T32" s="42">
        <v>21</v>
      </c>
      <c r="U32" s="42">
        <v>22</v>
      </c>
      <c r="V32" s="42">
        <v>23</v>
      </c>
      <c r="W32" s="42">
        <v>24</v>
      </c>
      <c r="X32" s="323">
        <v>25</v>
      </c>
      <c r="Y32" s="42">
        <v>26</v>
      </c>
      <c r="Z32" s="42">
        <v>27</v>
      </c>
      <c r="AA32" s="42">
        <v>28</v>
      </c>
      <c r="AB32" s="42">
        <v>29</v>
      </c>
      <c r="AC32" s="42">
        <v>30</v>
      </c>
      <c r="AD32" s="337">
        <v>31</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8.403361344556034178377236310</v>
      </c>
      <c r="D33" s="445">
        <v>-16.666666666637254901960773940</v>
      </c>
      <c r="E33" s="445">
        <v>-39.285714285725127551020406220</v>
      </c>
      <c r="F33" s="445">
        <v>-6.0344827586336504161712229400</v>
      </c>
      <c r="G33" s="445">
        <v>-2.5862068965651605231866806600</v>
      </c>
      <c r="H33" s="445">
        <v>-17.968750000002563476562499920</v>
      </c>
      <c r="I33" s="445">
        <v>0.892857142839126275510207300</v>
      </c>
      <c r="J33" s="445">
        <v>-16.304347826123345935727772460</v>
      </c>
      <c r="K33" s="445">
        <v>-20.000000000045714285714259590</v>
      </c>
      <c r="L33" s="445">
        <v>-15.596330275272721151418208510</v>
      </c>
      <c r="M33" s="445">
        <v>-13.761467889952562915579473920</v>
      </c>
      <c r="N33" s="445">
        <v>3.8834951456351022716561411700</v>
      </c>
      <c r="O33" s="445">
        <v>2.7027027027138056975894825700</v>
      </c>
      <c r="P33" s="445">
        <v>16.513761467830047975759646950</v>
      </c>
      <c r="Q33" s="445">
        <v>8.256880733889335914485341250</v>
      </c>
      <c r="R33" s="445">
        <v>1.7094017093599824676747924800</v>
      </c>
      <c r="S33" s="445">
        <v>12.380952380888163265306159140</v>
      </c>
      <c r="T33" s="445">
        <v>4.1322314049208114199849874700</v>
      </c>
      <c r="U33" s="445">
        <v>5.8823529411942659416707889500</v>
      </c>
      <c r="V33" s="445">
        <v>-17.09401709405110672802979100</v>
      </c>
      <c r="W33" s="445">
        <v>-2.4390243902248661511005316800</v>
      </c>
      <c r="X33" s="446">
        <v>4.9586776859122464312547095900</v>
      </c>
      <c r="Y33" s="445">
        <v>-4.9019607842801614763552361400</v>
      </c>
      <c r="Z33" s="445">
        <v>-9.278350515404059942608101640</v>
      </c>
      <c r="AA33" s="445">
        <v>4.3478260869111531190926473300</v>
      </c>
      <c r="AB33" s="445">
        <v>4.1666666666276041666666813200</v>
      </c>
      <c r="AC33" s="445">
        <v>-15.652173913031742911153117470</v>
      </c>
      <c r="AD33" s="447">
        <v>-20.661157024822238918106676210</v>
      </c>
      <c r="AE33" s="448"/>
      <c r="AF33" s="444">
        <v>-5.7795698924959135449184821700</v>
      </c>
      <c r="AG33" s="445">
        <v>-5.0355067785143385369931622200</v>
      </c>
      <c r="AH33" s="449">
        <v>-4.206280610751147861264099400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-16.792015954585760297147575230</v>
      </c>
      <c r="D34" s="81">
        <v>-2.0379872548040889187862216100</v>
      </c>
      <c r="E34" s="81">
        <v>11.349140923259362983384457530</v>
      </c>
      <c r="F34" s="81">
        <v>11.227847154741189486999655010</v>
      </c>
      <c r="G34" s="81">
        <v>3.3816035027903923028475550800</v>
      </c>
      <c r="H34" s="81">
        <v>-10.140071040766014902308712920</v>
      </c>
      <c r="I34" s="81">
        <v>-13.198342689087132374403536500</v>
      </c>
      <c r="J34" s="81">
        <v>-20.546165100838404648459911270</v>
      </c>
      <c r="K34" s="81">
        <v>-13.763953488345532320930224370</v>
      </c>
      <c r="L34" s="81">
        <v>-7.4302325581110233953488284200</v>
      </c>
      <c r="M34" s="81">
        <v>-3.7224264705443440473615716900</v>
      </c>
      <c r="N34" s="81">
        <v>-7.4302325580990890161001612100</v>
      </c>
      <c r="O34" s="81">
        <v>-4.9178427085487805284350032800</v>
      </c>
      <c r="P34" s="81">
        <v>9.763723634376231097379794380</v>
      </c>
      <c r="Q34" s="81">
        <v>-2.1582733813287510998395411500</v>
      </c>
      <c r="R34" s="81">
        <v>-2.4822695034907700819877961800</v>
      </c>
      <c r="S34" s="81">
        <v>4.8979591836118150770512648900</v>
      </c>
      <c r="T34" s="81">
        <v>-11.297071129647730256823195130</v>
      </c>
      <c r="U34" s="81">
        <v>-11.610486891422845039206594160</v>
      </c>
      <c r="V34" s="81">
        <v>-4.3046357615691241612209947800</v>
      </c>
      <c r="W34" s="81">
        <v>-3.4161490683325797615832712900</v>
      </c>
      <c r="X34" s="82">
        <v>-9.090909090878394332939777120</v>
      </c>
      <c r="Y34" s="81">
        <v>-11.646586345341784809922402730</v>
      </c>
      <c r="Z34" s="81">
        <v>-16.299559471336140813910603040</v>
      </c>
      <c r="AA34" s="81">
        <v>-11.016949152554438379775924820</v>
      </c>
      <c r="AB34" s="81">
        <v>-9.025270758175292262377949290</v>
      </c>
      <c r="AC34" s="81">
        <v>0.6734006734305025564284911900</v>
      </c>
      <c r="AD34" s="83">
        <v>-6.7961165048036949759637767700</v>
      </c>
      <c r="AE34" s="88"/>
      <c r="AF34" s="327">
        <v>-8.289154598973897595482358190</v>
      </c>
      <c r="AG34" s="81">
        <v>-5.4799647184441243218153810500</v>
      </c>
      <c r="AH34" s="328">
        <v>-3.530519565026377665064932800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183</v>
      </c>
      <c r="C35" s="450">
        <v>-0.1719723476711425135526355600</v>
      </c>
      <c r="D35" s="451">
        <v>-4.8112658730250997381693030200</v>
      </c>
      <c r="E35" s="451">
        <v>-14.127519621604651309815955560</v>
      </c>
      <c r="F35" s="451">
        <v>-10.800071010659766473206068160</v>
      </c>
      <c r="G35" s="451">
        <v>-0.3865291742174172051822153700</v>
      </c>
      <c r="H35" s="451">
        <v>-3.9349570858463744018776587200</v>
      </c>
      <c r="I35" s="451">
        <v>-2.3748336560832479883518556600</v>
      </c>
      <c r="J35" s="451">
        <v>-10.908815017594091856842092070</v>
      </c>
      <c r="K35" s="451">
        <v>-5.6350000818026742360452259200</v>
      </c>
      <c r="L35" s="451">
        <v>-6.4777675478208307322070406200</v>
      </c>
      <c r="M35" s="451">
        <v>-1.9593957611572482970206926400</v>
      </c>
      <c r="N35" s="451">
        <v>-0.9360588009075025433278821200</v>
      </c>
      <c r="O35" s="451">
        <v>2.3376868644712857428082358400</v>
      </c>
      <c r="P35" s="451">
        <v>6.2968099816603067266442621300</v>
      </c>
      <c r="Q35" s="451">
        <v>6.4587181628119413722692502100</v>
      </c>
      <c r="R35" s="451">
        <v>2.4363162278097085724490835200</v>
      </c>
      <c r="S35" s="451">
        <v>1.1056381630134913938817355700</v>
      </c>
      <c r="T35" s="451">
        <v>0.7891539014599676277653197200</v>
      </c>
      <c r="U35" s="451">
        <v>6.3813636259304747284085755200</v>
      </c>
      <c r="V35" s="451">
        <v>2.3313083063986794604022859900</v>
      </c>
      <c r="W35" s="451">
        <v>3.2957300420219850885879520700</v>
      </c>
      <c r="X35" s="452">
        <v>-1.2139385731607354344567513500</v>
      </c>
      <c r="Y35" s="451">
        <v>-2.0380221661719130670202993700</v>
      </c>
      <c r="Z35" s="451">
        <v>-5.8775770154975640624341633500</v>
      </c>
      <c r="AA35" s="451">
        <v>0.5157315445143697254038311400</v>
      </c>
      <c r="AB35" s="451">
        <v>-1.5414830075628558247113650600</v>
      </c>
      <c r="AC35" s="451">
        <v>-2.9439272329302701044824888900</v>
      </c>
      <c r="AD35" s="453">
        <v>-2.2934195643193015147615159700</v>
      </c>
      <c r="AE35" s="448"/>
      <c r="AF35" s="450">
        <v>-2.1483770110664893479617655900</v>
      </c>
      <c r="AG35" s="451">
        <v>-1.5949181635793243660877814700</v>
      </c>
      <c r="AH35" s="454">
        <v>-0.4064489123950002493785318800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181</v>
      </c>
      <c r="D38" s="276"/>
      <c r="E38" s="276"/>
      <c r="F38" s="276"/>
      <c r="G38" s="276"/>
      <c r="H38" s="276"/>
      <c r="I38" s="276"/>
      <c r="J38" s="276"/>
      <c r="K38" s="276"/>
      <c r="L38" s="276"/>
      <c r="M38" s="276"/>
      <c r="N38" s="276"/>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4</v>
      </c>
      <c r="D39" s="42">
        <v>5</v>
      </c>
      <c r="E39" s="42">
        <v>6</v>
      </c>
      <c r="F39" s="42">
        <v>7</v>
      </c>
      <c r="G39" s="42">
        <v>8</v>
      </c>
      <c r="H39" s="42">
        <v>9</v>
      </c>
      <c r="I39" s="42">
        <v>10</v>
      </c>
      <c r="J39" s="42">
        <v>11</v>
      </c>
      <c r="K39" s="42">
        <v>12</v>
      </c>
      <c r="L39" s="42">
        <v>13</v>
      </c>
      <c r="M39" s="42">
        <v>14</v>
      </c>
      <c r="N39" s="42">
        <v>15</v>
      </c>
      <c r="O39" s="42">
        <v>16</v>
      </c>
      <c r="P39" s="42">
        <v>17</v>
      </c>
      <c r="Q39" s="42">
        <v>18</v>
      </c>
      <c r="R39" s="42">
        <v>19</v>
      </c>
      <c r="S39" s="42">
        <v>20</v>
      </c>
      <c r="T39" s="42">
        <v>21</v>
      </c>
      <c r="U39" s="42">
        <v>22</v>
      </c>
      <c r="V39" s="42">
        <v>23</v>
      </c>
      <c r="W39" s="42">
        <v>24</v>
      </c>
      <c r="X39" s="323">
        <v>25</v>
      </c>
      <c r="Y39" s="42">
        <v>26</v>
      </c>
      <c r="Z39" s="42">
        <v>27</v>
      </c>
      <c r="AA39" s="42">
        <v>28</v>
      </c>
      <c r="AB39" s="42">
        <v>29</v>
      </c>
      <c r="AC39" s="42">
        <v>30</v>
      </c>
      <c r="AD39" s="337">
        <v>31</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143.05609284326844594427756616</v>
      </c>
      <c r="D40" s="445">
        <v>98.01555376777309630093716602</v>
      </c>
      <c r="E40" s="445">
        <v>72.331478045721246854214809240</v>
      </c>
      <c r="F40" s="445">
        <v>100.02134016216551008998936387</v>
      </c>
      <c r="G40" s="445">
        <v>107.08539944905761915351866210</v>
      </c>
      <c r="H40" s="445">
        <v>106.88920454540110085227275400</v>
      </c>
      <c r="I40" s="445">
        <v>118.74389051810704915965062092</v>
      </c>
      <c r="J40" s="445">
        <v>101.86125211499717419498917261</v>
      </c>
      <c r="K40" s="445">
        <v>123.67745249099504322164477520</v>
      </c>
      <c r="L40" s="445">
        <v>126.18819776722483337530433977</v>
      </c>
      <c r="M40" s="445">
        <v>113.93939393939393939393939394</v>
      </c>
      <c r="N40" s="445">
        <v>112.89412342043189693323935860</v>
      </c>
      <c r="O40" s="445">
        <v>108.42733908427022508100882024</v>
      </c>
      <c r="P40" s="445">
        <v>106.76441837728303017689907741</v>
      </c>
      <c r="Q40" s="445">
        <v>113.05704099816094028520501935</v>
      </c>
      <c r="R40" s="445">
        <v>112.77134986228191751565239636</v>
      </c>
      <c r="S40" s="445">
        <v>119.65570097862837957310849391</v>
      </c>
      <c r="T40" s="445">
        <v>154.88850771880745007929067154</v>
      </c>
      <c r="U40" s="445">
        <v>139.13713405236942362435037209</v>
      </c>
      <c r="V40" s="445">
        <v>87.46985425183695916795377481</v>
      </c>
      <c r="W40" s="445">
        <v>100.55539315987924780836351469</v>
      </c>
      <c r="X40" s="446">
        <v>118.20346320347671243042671768</v>
      </c>
      <c r="Y40" s="445">
        <v>114.90358126720509591785624979</v>
      </c>
      <c r="Z40" s="445">
        <v>120.70175438604114496768241196</v>
      </c>
      <c r="AA40" s="445">
        <v>119.13419913421274953617810917</v>
      </c>
      <c r="AB40" s="445">
        <v>103.41510341508700000763493088</v>
      </c>
      <c r="AC40" s="445">
        <v>84.54444106614400367699773058</v>
      </c>
      <c r="AD40" s="447">
        <v>86.86868686864343434343436515</v>
      </c>
      <c r="AE40" s="448"/>
      <c r="AF40" s="444">
        <v>105.05166675382630944711378309</v>
      </c>
      <c r="AG40" s="445">
        <v>110.00043476375339803989560983</v>
      </c>
      <c r="AH40" s="449">
        <v>109.00932840804153313223078283</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183</v>
      </c>
      <c r="C41" s="329">
        <v>121.22378074584768062975151789</v>
      </c>
      <c r="D41" s="330">
        <v>93.71809904807744732097425601</v>
      </c>
      <c r="E41" s="330">
        <v>77.176166538878316973531400160</v>
      </c>
      <c r="F41" s="330">
        <v>116.74293792885582255158496230</v>
      </c>
      <c r="G41" s="330">
        <v>110.06001706063488330920325624</v>
      </c>
      <c r="H41" s="330">
        <v>102.14492630139101345400244787</v>
      </c>
      <c r="I41" s="330">
        <v>111.78321678318301235796199377</v>
      </c>
      <c r="J41" s="330">
        <v>107.67417244041873171281610021</v>
      </c>
      <c r="K41" s="330">
        <v>103.11477675895559215188578343</v>
      </c>
      <c r="L41" s="330">
        <v>103.03077009301849092120747652</v>
      </c>
      <c r="M41" s="330">
        <v>94.96599757303639026238382380</v>
      </c>
      <c r="N41" s="330">
        <v>104.60875574910573184316911056</v>
      </c>
      <c r="O41" s="330">
        <v>99.67673121098639763737547866</v>
      </c>
      <c r="P41" s="330">
        <v>110.72359665771842025738274740</v>
      </c>
      <c r="Q41" s="330">
        <v>128.77399710537775502542148583</v>
      </c>
      <c r="R41" s="330">
        <v>131.00654269973612984989356476</v>
      </c>
      <c r="S41" s="330">
        <v>127.45313999208655098772093366</v>
      </c>
      <c r="T41" s="330">
        <v>137.19534623917541238620203783</v>
      </c>
      <c r="U41" s="330">
        <v>128.43778696056018110300280217</v>
      </c>
      <c r="V41" s="330">
        <v>92.39554035371168147845222934</v>
      </c>
      <c r="W41" s="330">
        <v>102.03734241184683562746932479</v>
      </c>
      <c r="X41" s="331">
        <v>126.71937030282779221632491010</v>
      </c>
      <c r="Y41" s="330">
        <v>138.35751508006758690316243162</v>
      </c>
      <c r="Z41" s="330">
        <v>120.05257228680652550937605726</v>
      </c>
      <c r="AA41" s="330">
        <v>115.42731635396297221817599682</v>
      </c>
      <c r="AB41" s="330">
        <v>110.54174792195051300193889138</v>
      </c>
      <c r="AC41" s="330">
        <v>93.32536835512839685335310181</v>
      </c>
      <c r="AD41" s="338">
        <v>89.39219181434831278479383088</v>
      </c>
      <c r="AE41" s="88"/>
      <c r="AF41" s="329">
        <v>111.51889021358122915267322843</v>
      </c>
      <c r="AG41" s="330">
        <v>110.02550143060392894621734089</v>
      </c>
      <c r="AH41" s="332">
        <v>109.50768632949213365002861076</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181</v>
      </c>
      <c r="D44" s="276"/>
      <c r="E44" s="276"/>
      <c r="F44" s="276"/>
      <c r="G44" s="276"/>
      <c r="H44" s="276"/>
      <c r="I44" s="276"/>
      <c r="J44" s="276"/>
      <c r="K44" s="276"/>
      <c r="L44" s="276"/>
      <c r="M44" s="276"/>
      <c r="N44" s="276"/>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4</v>
      </c>
      <c r="D45" s="42">
        <v>5</v>
      </c>
      <c r="E45" s="42">
        <v>6</v>
      </c>
      <c r="F45" s="42">
        <v>7</v>
      </c>
      <c r="G45" s="42">
        <v>8</v>
      </c>
      <c r="H45" s="42">
        <v>9</v>
      </c>
      <c r="I45" s="42">
        <v>10</v>
      </c>
      <c r="J45" s="42">
        <v>11</v>
      </c>
      <c r="K45" s="42">
        <v>12</v>
      </c>
      <c r="L45" s="42">
        <v>13</v>
      </c>
      <c r="M45" s="42">
        <v>14</v>
      </c>
      <c r="N45" s="42">
        <v>15</v>
      </c>
      <c r="O45" s="42">
        <v>16</v>
      </c>
      <c r="P45" s="42">
        <v>17</v>
      </c>
      <c r="Q45" s="42">
        <v>18</v>
      </c>
      <c r="R45" s="42">
        <v>19</v>
      </c>
      <c r="S45" s="42">
        <v>20</v>
      </c>
      <c r="T45" s="42">
        <v>21</v>
      </c>
      <c r="U45" s="42">
        <v>22</v>
      </c>
      <c r="V45" s="42">
        <v>23</v>
      </c>
      <c r="W45" s="42">
        <v>24</v>
      </c>
      <c r="X45" s="323">
        <v>25</v>
      </c>
      <c r="Y45" s="42">
        <v>26</v>
      </c>
      <c r="Z45" s="42">
        <v>27</v>
      </c>
      <c r="AA45" s="42">
        <v>28</v>
      </c>
      <c r="AB45" s="42">
        <v>29</v>
      </c>
      <c r="AC45" s="42">
        <v>30</v>
      </c>
      <c r="AD45" s="337">
        <v>31</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30.279999675652157679877357470</v>
      </c>
      <c r="D46" s="445">
        <v>-14.933012299271171291558969650</v>
      </c>
      <c r="E46" s="445">
        <v>-45.473952281221402212874417620</v>
      </c>
      <c r="F46" s="445">
        <v>-15.519791450584906483388717260</v>
      </c>
      <c r="G46" s="445">
        <v>-5.7726038261658987997775389800</v>
      </c>
      <c r="H46" s="445">
        <v>-8.712091195625183201856841500</v>
      </c>
      <c r="I46" s="445">
        <v>16.233791229915769431674151330</v>
      </c>
      <c r="J46" s="445">
        <v>5.3387193709165856403859320100</v>
      </c>
      <c r="K46" s="445">
        <v>-7.231368741850669064058900200</v>
      </c>
      <c r="L46" s="445">
        <v>-8.821560151573039412612840910</v>
      </c>
      <c r="M46" s="445">
        <v>-10.427185741534127670327159650</v>
      </c>
      <c r="N46" s="445">
        <v>12.221838745393991586009396100</v>
      </c>
      <c r="O46" s="445">
        <v>8.014695531051588322104234150</v>
      </c>
      <c r="P46" s="445">
        <v>6.1496071834865967218211188900</v>
      </c>
      <c r="Q46" s="445">
        <v>10.644900161866136040299797300</v>
      </c>
      <c r="R46" s="445">
        <v>4.2983682983070688314927320100</v>
      </c>
      <c r="S46" s="445">
        <v>7.133592736786031582612995700</v>
      </c>
      <c r="T46" s="445">
        <v>17.394355215930121816849682850</v>
      </c>
      <c r="U46" s="445">
        <v>19.790628115703283400610545550</v>
      </c>
      <c r="V46" s="445">
        <v>-13.364682222871530682869886220</v>
      </c>
      <c r="W46" s="445">
        <v>1.0116853580436169442014651800</v>
      </c>
      <c r="X46" s="446">
        <v>15.454545454504949562065861480</v>
      </c>
      <c r="Y46" s="445">
        <v>7.6336898394797990097708508700</v>
      </c>
      <c r="Z46" s="445">
        <v>8.388497015801006630426841140</v>
      </c>
      <c r="AA46" s="445">
        <v>17.267080745374462562903569960</v>
      </c>
      <c r="AB46" s="445">
        <v>14.500661375660675618110978150</v>
      </c>
      <c r="AC46" s="445">
        <v>-16.216373418727283919198409430</v>
      </c>
      <c r="AD46" s="447">
        <v>-14.876033057917197246343853100</v>
      </c>
      <c r="AE46" s="448"/>
      <c r="AF46" s="444">
        <v>2.7364099584777242422568380300</v>
      </c>
      <c r="AG46" s="445">
        <v>0.4702261679923957384319026200</v>
      </c>
      <c r="AH46" s="449">
        <v>-0.7004920547237717079894285200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183</v>
      </c>
      <c r="C47" s="329">
        <v>8.590106299589749037868145510</v>
      </c>
      <c r="D47" s="330">
        <v>-12.454625962274455680459975250</v>
      </c>
      <c r="E47" s="330">
        <v>-29.297156147410932164790046590</v>
      </c>
      <c r="F47" s="330">
        <v>5.3425919797143338510920854300</v>
      </c>
      <c r="G47" s="330">
        <v>-2.2082131102739639473851960800</v>
      </c>
      <c r="H47" s="330">
        <v>-14.608636490918689025258608820</v>
      </c>
      <c r="I47" s="330">
        <v>3.3471807744745795132022394600</v>
      </c>
      <c r="J47" s="330">
        <v>-6.0561915406835986518684667500</v>
      </c>
      <c r="K47" s="330">
        <v>-15.222804991948070173200512300</v>
      </c>
      <c r="L47" s="330">
        <v>-9.750155111057432496605529670</v>
      </c>
      <c r="M47" s="330">
        <v>-12.037943075150339179593073290</v>
      </c>
      <c r="N47" s="330">
        <v>4.8650940879281440335990383700</v>
      </c>
      <c r="O47" s="330">
        <v>0.3566778274315867757480054600</v>
      </c>
      <c r="P47" s="330">
        <v>9.611719757163378998416753360</v>
      </c>
      <c r="Q47" s="330">
        <v>1.6890702820792748723272564500</v>
      </c>
      <c r="R47" s="330">
        <v>-0.7096257901232391180325912300</v>
      </c>
      <c r="S47" s="330">
        <v>11.152013302874753416339517120</v>
      </c>
      <c r="T47" s="330">
        <v>3.3169020415953047506158634600</v>
      </c>
      <c r="U47" s="330">
        <v>-0.4690771651335263194495730400</v>
      </c>
      <c r="V47" s="330">
        <v>-18.982778312838274850814241760</v>
      </c>
      <c r="W47" s="330">
        <v>-5.5517826631770189477703124600</v>
      </c>
      <c r="X47" s="331">
        <v>6.2484688324418834143892260800</v>
      </c>
      <c r="Y47" s="330">
        <v>-2.9235206163988202716471955500</v>
      </c>
      <c r="Z47" s="330">
        <v>-3.6131384978959471446748633200</v>
      </c>
      <c r="AA47" s="330">
        <v>3.8124326247009125078581722400</v>
      </c>
      <c r="AB47" s="330">
        <v>5.7975174201331883975171909300</v>
      </c>
      <c r="AC47" s="330">
        <v>-13.093716155855832501074808590</v>
      </c>
      <c r="AD47" s="338">
        <v>-18.798874526757523931637507260</v>
      </c>
      <c r="AE47" s="88"/>
      <c r="AF47" s="329">
        <v>-3.7109173772578620065383659900</v>
      </c>
      <c r="AG47" s="330">
        <v>-3.4963525773303559905874631300</v>
      </c>
      <c r="AH47" s="332">
        <v>-3.8153391026596324766682962400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181</v>
      </c>
      <c r="D50" s="276"/>
      <c r="E50" s="276"/>
      <c r="F50" s="276"/>
      <c r="G50" s="276"/>
      <c r="H50" s="276"/>
      <c r="I50" s="276"/>
      <c r="J50" s="276"/>
      <c r="K50" s="276"/>
      <c r="L50" s="276"/>
      <c r="M50" s="276"/>
      <c r="N50" s="276"/>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4</v>
      </c>
      <c r="D51" s="42">
        <v>5</v>
      </c>
      <c r="E51" s="42">
        <v>6</v>
      </c>
      <c r="F51" s="42">
        <v>7</v>
      </c>
      <c r="G51" s="42">
        <v>8</v>
      </c>
      <c r="H51" s="42">
        <v>9</v>
      </c>
      <c r="I51" s="42">
        <v>10</v>
      </c>
      <c r="J51" s="42">
        <v>11</v>
      </c>
      <c r="K51" s="42">
        <v>12</v>
      </c>
      <c r="L51" s="42">
        <v>13</v>
      </c>
      <c r="M51" s="42">
        <v>14</v>
      </c>
      <c r="N51" s="42">
        <v>15</v>
      </c>
      <c r="O51" s="42">
        <v>16</v>
      </c>
      <c r="P51" s="42">
        <v>17</v>
      </c>
      <c r="Q51" s="42">
        <v>18</v>
      </c>
      <c r="R51" s="42">
        <v>19</v>
      </c>
      <c r="S51" s="42">
        <v>20</v>
      </c>
      <c r="T51" s="42">
        <v>21</v>
      </c>
      <c r="U51" s="42">
        <v>22</v>
      </c>
      <c r="V51" s="42">
        <v>23</v>
      </c>
      <c r="W51" s="42">
        <v>24</v>
      </c>
      <c r="X51" s="323">
        <v>25</v>
      </c>
      <c r="Y51" s="42">
        <v>26</v>
      </c>
      <c r="Z51" s="42">
        <v>27</v>
      </c>
      <c r="AA51" s="42">
        <v>28</v>
      </c>
      <c r="AB51" s="42">
        <v>29</v>
      </c>
      <c r="AC51" s="42">
        <v>30</v>
      </c>
      <c r="AD51" s="337">
        <v>31</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170</v>
      </c>
      <c r="D52" s="456" t="s">
        <v>172</v>
      </c>
      <c r="E52" s="456" t="s">
        <v>173</v>
      </c>
      <c r="F52" s="456" t="s">
        <v>172</v>
      </c>
      <c r="G52" s="456" t="s">
        <v>172</v>
      </c>
      <c r="H52" s="456" t="s">
        <v>171</v>
      </c>
      <c r="I52" s="456" t="s">
        <v>171</v>
      </c>
      <c r="J52" s="456" t="s">
        <v>171</v>
      </c>
      <c r="K52" s="456" t="s">
        <v>171</v>
      </c>
      <c r="L52" s="456" t="s">
        <v>171</v>
      </c>
      <c r="M52" s="456" t="s">
        <v>171</v>
      </c>
      <c r="N52" s="456" t="s">
        <v>172</v>
      </c>
      <c r="O52" s="456" t="s">
        <v>171</v>
      </c>
      <c r="P52" s="456" t="s">
        <v>171</v>
      </c>
      <c r="Q52" s="456" t="s">
        <v>171</v>
      </c>
      <c r="R52" s="456" t="s">
        <v>171</v>
      </c>
      <c r="S52" s="456" t="s">
        <v>171</v>
      </c>
      <c r="T52" s="456" t="s">
        <v>170</v>
      </c>
      <c r="U52" s="456" t="s">
        <v>170</v>
      </c>
      <c r="V52" s="456" t="s">
        <v>174</v>
      </c>
      <c r="W52" s="456" t="s">
        <v>172</v>
      </c>
      <c r="X52" s="457" t="s">
        <v>170</v>
      </c>
      <c r="Y52" s="456" t="s">
        <v>171</v>
      </c>
      <c r="Z52" s="456" t="s">
        <v>171</v>
      </c>
      <c r="AA52" s="456" t="s">
        <v>170</v>
      </c>
      <c r="AB52" s="456" t="s">
        <v>172</v>
      </c>
      <c r="AC52" s="456" t="s">
        <v>173</v>
      </c>
      <c r="AD52" s="458" t="s">
        <v>173</v>
      </c>
      <c r="AE52" s="459"/>
      <c r="AF52" s="455" t="s">
        <v>171</v>
      </c>
      <c r="AG52" s="456" t="s">
        <v>171</v>
      </c>
      <c r="AH52" s="460" t="s">
        <v>171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170</v>
      </c>
      <c r="D53" s="334" t="s">
        <v>172</v>
      </c>
      <c r="E53" s="334" t="s">
        <v>174</v>
      </c>
      <c r="F53" s="334" t="s">
        <v>173</v>
      </c>
      <c r="G53" s="334" t="s">
        <v>172</v>
      </c>
      <c r="H53" s="334" t="s">
        <v>173</v>
      </c>
      <c r="I53" s="334" t="s">
        <v>171</v>
      </c>
      <c r="J53" s="334" t="s">
        <v>172</v>
      </c>
      <c r="K53" s="334" t="s">
        <v>172</v>
      </c>
      <c r="L53" s="334" t="s">
        <v>171</v>
      </c>
      <c r="M53" s="334" t="s">
        <v>172</v>
      </c>
      <c r="N53" s="334" t="s">
        <v>171</v>
      </c>
      <c r="O53" s="334" t="s">
        <v>170</v>
      </c>
      <c r="P53" s="334" t="s">
        <v>170</v>
      </c>
      <c r="Q53" s="334" t="s">
        <v>171</v>
      </c>
      <c r="R53" s="334" t="s">
        <v>172</v>
      </c>
      <c r="S53" s="334" t="s">
        <v>171</v>
      </c>
      <c r="T53" s="334" t="s">
        <v>171</v>
      </c>
      <c r="U53" s="334" t="s">
        <v>171</v>
      </c>
      <c r="V53" s="334" t="s">
        <v>174</v>
      </c>
      <c r="W53" s="334" t="s">
        <v>173</v>
      </c>
      <c r="X53" s="60" t="s">
        <v>171</v>
      </c>
      <c r="Y53" s="61" t="s">
        <v>171</v>
      </c>
      <c r="Z53" s="61" t="s">
        <v>172</v>
      </c>
      <c r="AA53" s="61" t="s">
        <v>171</v>
      </c>
      <c r="AB53" s="61" t="s">
        <v>171</v>
      </c>
      <c r="AC53" s="61" t="s">
        <v>174</v>
      </c>
      <c r="AD53" s="62" t="s">
        <v>174</v>
      </c>
      <c r="AE53" s="59"/>
      <c r="AF53" s="333" t="s">
        <v>172</v>
      </c>
      <c r="AG53" s="334" t="s">
        <v>171</v>
      </c>
      <c r="AH53" s="335" t="s">
        <v>171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45731</v>
      </c>
      <c r="C72" s="658">
        <v>45738</v>
      </c>
      <c r="D72" s="658">
        <v>45745</v>
      </c>
      <c r="E72" s="658">
        <v>45752</v>
      </c>
      <c r="F72" s="658">
        <v>45759</v>
      </c>
      <c r="G72" s="658">
        <v>45766</v>
      </c>
      <c r="H72" s="658">
        <v>45773</v>
      </c>
      <c r="I72" s="658">
        <v>45780</v>
      </c>
      <c r="J72" s="658">
        <v>45787</v>
      </c>
      <c r="K72" s="658">
        <v>45794</v>
      </c>
      <c r="L72" s="658">
        <v>45801</v>
      </c>
      <c r="M72" s="658">
        <v>45808</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90.90909090909090909090909091</v>
      </c>
      <c r="C73" s="658">
        <v>90.90909090909090909090909091</v>
      </c>
      <c r="D73" s="658">
        <v>90.25974025974025974025974026</v>
      </c>
      <c r="E73" s="658">
        <v>95.12987012987012987012987013</v>
      </c>
      <c r="F73" s="658">
        <v>93.83116883116883116883116883</v>
      </c>
      <c r="G73" s="658">
        <v>96.21212121212121212121212121</v>
      </c>
      <c r="H73" s="658">
        <v>88.09523809523809523809523810</v>
      </c>
      <c r="I73" s="658">
        <v>94.04761904761904761904761905</v>
      </c>
      <c r="J73" s="658">
        <v>78.138528138528138528138528140</v>
      </c>
      <c r="K73" s="658">
        <v>75.216450216450216450216450220</v>
      </c>
      <c r="L73" s="658">
        <v>89.17748917748917748917748918</v>
      </c>
      <c r="M73" s="658">
        <v>75.865800865800865800865800870</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83.13953488372093023255813953</v>
      </c>
      <c r="C74" s="658">
        <v>88.87043189368770764119601329</v>
      </c>
      <c r="D74" s="658">
        <v>88.41362126245847176079734219</v>
      </c>
      <c r="E74" s="658">
        <v>87.74916943521594684385382060</v>
      </c>
      <c r="F74" s="658">
        <v>89.28571428571428571428571429</v>
      </c>
      <c r="G74" s="658">
        <v>90.19933554817275747508305648</v>
      </c>
      <c r="H74" s="658">
        <v>83.38870431893687707641196013</v>
      </c>
      <c r="I74" s="658">
        <v>94.72591362126245847176079734</v>
      </c>
      <c r="J74" s="658">
        <v>73.463455149501661129568106310</v>
      </c>
      <c r="K74" s="658">
        <v>66.860465116279069767441860470</v>
      </c>
      <c r="L74" s="658">
        <v>76.910299003322259136212624580</v>
      </c>
      <c r="M74" s="658">
        <v>72.217607973421926910299003320</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183</v>
      </c>
      <c r="B75" s="658">
        <v>80.40195772154535041132979277</v>
      </c>
      <c r="C75" s="658">
        <v>88.89781467101054729920709302</v>
      </c>
      <c r="D75" s="658">
        <v>84.58071138483509617530236087</v>
      </c>
      <c r="E75" s="658">
        <v>85.23250100504757225175324965</v>
      </c>
      <c r="F75" s="658">
        <v>88.20322623888466866258545958</v>
      </c>
      <c r="G75" s="658">
        <v>81.27262165422941150185441709</v>
      </c>
      <c r="H75" s="658">
        <v>76.013226685732159613923767820</v>
      </c>
      <c r="I75" s="658">
        <v>89.62122227683691556071912656</v>
      </c>
      <c r="J75" s="658">
        <v>74.149872648465078868582152910</v>
      </c>
      <c r="K75" s="658">
        <v>72.792945767609514872573990500</v>
      </c>
      <c r="L75" s="658">
        <v>74.413512668126368470441038470</v>
      </c>
      <c r="M75" s="658">
        <v>68.029551514068248506784634400</v>
      </c>
      <c r="N75" s="658"/>
      <c r="O75" s="658"/>
      <c r="P75" s="658"/>
      <c r="Q75" s="658"/>
      <c r="R75" s="658"/>
      <c r="S75" s="658"/>
      <c r="T75" s="658"/>
      <c r="U75" s="658"/>
      <c r="V75" s="658"/>
      <c r="W75" s="658"/>
      <c r="X75" s="658"/>
      <c r="Y75" s="658"/>
      <c r="Z75" s="658"/>
      <c r="AA75" s="658"/>
      <c r="AB75" s="658"/>
      <c r="AC75" s="658"/>
      <c r="AD75" s="658"/>
      <c r="AE75" s="658"/>
      <c r="AF75" s="658"/>
      <c r="AG75" s="658"/>
      <c r="AH75" s="658"/>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129</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618" t="s">
        <v>182</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181</v>
      </c>
      <c r="D24" s="276"/>
      <c r="E24" s="276"/>
      <c r="F24" s="276"/>
      <c r="G24" s="276"/>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4</v>
      </c>
      <c r="D25" s="42">
        <v>5</v>
      </c>
      <c r="E25" s="42">
        <v>6</v>
      </c>
      <c r="F25" s="42">
        <v>7</v>
      </c>
      <c r="G25" s="42">
        <v>8</v>
      </c>
      <c r="H25" s="42">
        <v>9</v>
      </c>
      <c r="I25" s="42">
        <v>10</v>
      </c>
      <c r="J25" s="42">
        <v>11</v>
      </c>
      <c r="K25" s="42">
        <v>12</v>
      </c>
      <c r="L25" s="42">
        <v>13</v>
      </c>
      <c r="M25" s="42">
        <v>14</v>
      </c>
      <c r="N25" s="42">
        <v>15</v>
      </c>
      <c r="O25" s="42">
        <v>16</v>
      </c>
      <c r="P25" s="42">
        <v>17</v>
      </c>
      <c r="Q25" s="42">
        <v>18</v>
      </c>
      <c r="R25" s="42">
        <v>19</v>
      </c>
      <c r="S25" s="42">
        <v>20</v>
      </c>
      <c r="T25" s="42">
        <v>21</v>
      </c>
      <c r="U25" s="42">
        <v>22</v>
      </c>
      <c r="V25" s="42">
        <v>23</v>
      </c>
      <c r="W25" s="42">
        <v>24</v>
      </c>
      <c r="X25" s="323">
        <v>25</v>
      </c>
      <c r="Y25" s="42">
        <v>26</v>
      </c>
      <c r="Z25" s="42">
        <v>27</v>
      </c>
      <c r="AA25" s="42">
        <v>28</v>
      </c>
      <c r="AB25" s="42">
        <v>29</v>
      </c>
      <c r="AC25" s="42">
        <v>30</v>
      </c>
      <c r="AD25" s="337">
        <v>31</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289.93023255813953488372093023</v>
      </c>
      <c r="D26" s="462">
        <v>191.56470588235294117647058824</v>
      </c>
      <c r="E26" s="462">
        <v>173.10294117647058823529411765</v>
      </c>
      <c r="F26" s="462">
        <v>185.79816513761467889908256881</v>
      </c>
      <c r="G26" s="462">
        <v>208.4867256637168141592920354</v>
      </c>
      <c r="H26" s="462">
        <v>277.38095238095238095238095238</v>
      </c>
      <c r="I26" s="462">
        <v>262.84070796460176991150442478</v>
      </c>
      <c r="J26" s="462">
        <v>165.72727272727272727272727273</v>
      </c>
      <c r="K26" s="462">
        <v>148.4047619047619047619047619</v>
      </c>
      <c r="L26" s="462">
        <v>159.23913043478260869565217391</v>
      </c>
      <c r="M26" s="462">
        <v>152.77659574468085106382978723</v>
      </c>
      <c r="N26" s="462">
        <v>168.46728971962616822429906542</v>
      </c>
      <c r="O26" s="462">
        <v>260.22807017543859649122807018</v>
      </c>
      <c r="P26" s="462">
        <v>288.45669291338582677165354331</v>
      </c>
      <c r="Q26" s="462">
        <v>193.83898305084745762711864407</v>
      </c>
      <c r="R26" s="462">
        <v>194.1680672268907563025210084</v>
      </c>
      <c r="S26" s="462">
        <v>202.45762711864406779661016949</v>
      </c>
      <c r="T26" s="462">
        <v>183.62698412698412698412698413</v>
      </c>
      <c r="U26" s="462">
        <v>188.01587301587301587301587302</v>
      </c>
      <c r="V26" s="462">
        <v>245.53608247422680412371134021</v>
      </c>
      <c r="W26" s="462">
        <v>275.00833333333333333333333333</v>
      </c>
      <c r="X26" s="463">
        <v>186.29921259842519685039370079</v>
      </c>
      <c r="Y26" s="462">
        <v>132.52577319587628865979381443</v>
      </c>
      <c r="Z26" s="462">
        <v>118.80681818181818181818181818</v>
      </c>
      <c r="AA26" s="462">
        <v>126.500000000</v>
      </c>
      <c r="AB26" s="462">
        <v>155.880000000</v>
      </c>
      <c r="AC26" s="462">
        <v>221.08247422680412371134020619</v>
      </c>
      <c r="AD26" s="464">
        <v>237.72916666666666666666666667</v>
      </c>
      <c r="AE26" s="465"/>
      <c r="AF26" s="461">
        <v>169.71326676176890156918687589</v>
      </c>
      <c r="AG26" s="462">
        <v>203.65023793337865397688647179</v>
      </c>
      <c r="AH26" s="466">
        <v>223.55578947368421052631578947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366.80425531914893617021276597</v>
      </c>
      <c r="D27" s="85">
        <v>240.5309734513274336283185841</v>
      </c>
      <c r="E27" s="85">
        <v>264.41632653061224489795918368</v>
      </c>
      <c r="F27" s="85">
        <v>276.52816901408450704225352112</v>
      </c>
      <c r="G27" s="85">
        <v>278.13818181818181818181818182</v>
      </c>
      <c r="H27" s="85">
        <v>267.42968750000000000000000002</v>
      </c>
      <c r="I27" s="85">
        <v>271.5120967741935483870967742</v>
      </c>
      <c r="J27" s="85">
        <v>226.47208121827411167512690357</v>
      </c>
      <c r="K27" s="85">
        <v>212.20338983050847457627118643</v>
      </c>
      <c r="L27" s="85">
        <v>205.21578947368421052631578946</v>
      </c>
      <c r="M27" s="85">
        <v>193.48837209302325581395348837</v>
      </c>
      <c r="N27" s="85">
        <v>205.10526315789473684210526314</v>
      </c>
      <c r="O27" s="85">
        <v>289.25547445255474452554744527</v>
      </c>
      <c r="P27" s="85">
        <v>292.16774193548387096774193548</v>
      </c>
      <c r="Q27" s="85">
        <v>250.86029411764705882352941176</v>
      </c>
      <c r="R27" s="85">
        <v>251.45818181818181818181818182</v>
      </c>
      <c r="S27" s="85">
        <v>232.56420233463035019455252919</v>
      </c>
      <c r="T27" s="85">
        <v>217.36792452830188679245283017</v>
      </c>
      <c r="U27" s="85">
        <v>240.71186440677966101694915253</v>
      </c>
      <c r="V27" s="85">
        <v>303.76816608996539792387543252</v>
      </c>
      <c r="W27" s="85">
        <v>366.47266881028938906752411574</v>
      </c>
      <c r="X27" s="86">
        <v>255.31785714285714285714285714</v>
      </c>
      <c r="Y27" s="85">
        <v>192.11818181818181818181818181</v>
      </c>
      <c r="Z27" s="85">
        <v>203.86842105263157894736842104</v>
      </c>
      <c r="AA27" s="85">
        <v>207.90000000000000000000000001</v>
      </c>
      <c r="AB27" s="85">
        <v>239.05952380952380952380952382</v>
      </c>
      <c r="AC27" s="85">
        <v>290.58528428093645484949832778</v>
      </c>
      <c r="AD27" s="87">
        <v>248.01736111111111111111111111</v>
      </c>
      <c r="AE27" s="169"/>
      <c r="AF27" s="370">
        <v>238.47383553766532489936745256</v>
      </c>
      <c r="AG27" s="85">
        <v>257.66527977044476327116212339</v>
      </c>
      <c r="AH27" s="371">
        <v>282.72877091458045037111586363</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67">
        <v>268.22478013450594930160372478</v>
      </c>
      <c r="D28" s="468">
        <v>208.01699544764795144157814871</v>
      </c>
      <c r="E28" s="468">
        <v>206.64245548266166822867853796</v>
      </c>
      <c r="F28" s="468">
        <v>214.8214917452830188679245283</v>
      </c>
      <c r="G28" s="468">
        <v>228.11447721179624664879356568</v>
      </c>
      <c r="H28" s="468">
        <v>229.57022359084214754317847101</v>
      </c>
      <c r="I28" s="468">
        <v>224.58189244383934649421375085</v>
      </c>
      <c r="J28" s="468">
        <v>186.66224018475750577367205543</v>
      </c>
      <c r="K28" s="468">
        <v>194.70197668525088697415103903</v>
      </c>
      <c r="L28" s="468">
        <v>201.04808877928483353884093711</v>
      </c>
      <c r="M28" s="468">
        <v>203.80325361512791991101223582</v>
      </c>
      <c r="N28" s="468">
        <v>206.82131324004305705059203445</v>
      </c>
      <c r="O28" s="468">
        <v>229.9616125150421179302045728</v>
      </c>
      <c r="P28" s="468">
        <v>226.74874010079193664506839453</v>
      </c>
      <c r="Q28" s="468">
        <v>196.95494142385100630820066086</v>
      </c>
      <c r="R28" s="468">
        <v>198.91045454545454545454545455</v>
      </c>
      <c r="S28" s="468">
        <v>197.815073584064218819681879</v>
      </c>
      <c r="T28" s="468">
        <v>193.32009590888655777011838753</v>
      </c>
      <c r="U28" s="468">
        <v>190.19248035914702581369248036</v>
      </c>
      <c r="V28" s="468">
        <v>213.28408495018353434714210802</v>
      </c>
      <c r="W28" s="468">
        <v>234.4</v>
      </c>
      <c r="X28" s="469">
        <v>193.81076627300192254875034331</v>
      </c>
      <c r="Y28" s="468">
        <v>165.83451118963486454652532391</v>
      </c>
      <c r="Z28" s="468">
        <v>169.23695080736012016522718738</v>
      </c>
      <c r="AA28" s="468">
        <v>175.75508853218600033096144299</v>
      </c>
      <c r="AB28" s="468">
        <v>175.66621025406967898980678533</v>
      </c>
      <c r="AC28" s="468">
        <v>205.8424258474576271186440678</v>
      </c>
      <c r="AD28" s="470">
        <v>205.38036652569524541842880943</v>
      </c>
      <c r="AE28" s="465"/>
      <c r="AF28" s="467">
        <v>186.79075164758172224290061962</v>
      </c>
      <c r="AG28" s="468">
        <v>207.33966595465424505237151607</v>
      </c>
      <c r="AH28" s="471">
        <v>220.88855749356347681038546615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181</v>
      </c>
      <c r="D33" s="276"/>
      <c r="E33" s="276"/>
      <c r="F33" s="276"/>
      <c r="G33" s="276"/>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4</v>
      </c>
      <c r="D34" s="42">
        <v>5</v>
      </c>
      <c r="E34" s="42">
        <v>6</v>
      </c>
      <c r="F34" s="42">
        <v>7</v>
      </c>
      <c r="G34" s="42">
        <v>8</v>
      </c>
      <c r="H34" s="42">
        <v>9</v>
      </c>
      <c r="I34" s="42">
        <v>10</v>
      </c>
      <c r="J34" s="42">
        <v>11</v>
      </c>
      <c r="K34" s="42">
        <v>12</v>
      </c>
      <c r="L34" s="42">
        <v>13</v>
      </c>
      <c r="M34" s="42">
        <v>14</v>
      </c>
      <c r="N34" s="42">
        <v>15</v>
      </c>
      <c r="O34" s="42">
        <v>16</v>
      </c>
      <c r="P34" s="42">
        <v>17</v>
      </c>
      <c r="Q34" s="42">
        <v>18</v>
      </c>
      <c r="R34" s="42">
        <v>19</v>
      </c>
      <c r="S34" s="42">
        <v>20</v>
      </c>
      <c r="T34" s="42">
        <v>21</v>
      </c>
      <c r="U34" s="42">
        <v>22</v>
      </c>
      <c r="V34" s="42">
        <v>23</v>
      </c>
      <c r="W34" s="42">
        <v>24</v>
      </c>
      <c r="X34" s="323">
        <v>25</v>
      </c>
      <c r="Y34" s="42">
        <v>26</v>
      </c>
      <c r="Z34" s="42">
        <v>27</v>
      </c>
      <c r="AA34" s="42">
        <v>28</v>
      </c>
      <c r="AB34" s="42">
        <v>29</v>
      </c>
      <c r="AC34" s="42">
        <v>30</v>
      </c>
      <c r="AD34" s="337">
        <v>31</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-27.102415697730294398365331180</v>
      </c>
      <c r="D35" s="445">
        <v>7.2720285479295284184869419500</v>
      </c>
      <c r="E35" s="445">
        <v>-10.759358288763481092656750470</v>
      </c>
      <c r="F35" s="445">
        <v>-10.130151130147710847990950290</v>
      </c>
      <c r="G35" s="445">
        <v>5.3743199729271664520023846900</v>
      </c>
      <c r="H35" s="445">
        <v>-1.3866184180593690648129043900</v>
      </c>
      <c r="I35" s="445">
        <v>-1.3763968908889604831385067200</v>
      </c>
      <c r="J35" s="445">
        <v>-11.632612200610776502651407250</v>
      </c>
      <c r="K35" s="445">
        <v>-3.5437944908428317595301016900</v>
      </c>
      <c r="L35" s="445">
        <v>4.4851024403320540846857472300</v>
      </c>
      <c r="M35" s="445">
        <v>-1.8758533016759899506322162300</v>
      </c>
      <c r="N35" s="445">
        <v>-13.524714237416830599227164150</v>
      </c>
      <c r="O35" s="445">
        <v>0.8741602565764204145926959900</v>
      </c>
      <c r="P35" s="445">
        <v>3.7990806759759846514002311900</v>
      </c>
      <c r="Q35" s="445">
        <v>2.7348495212432164566381889200</v>
      </c>
      <c r="R35" s="445">
        <v>30.149893242918501765251645500</v>
      </c>
      <c r="S35" s="445">
        <v>52.093087554234426002223326040</v>
      </c>
      <c r="T35" s="445">
        <v>28.084770158360033982627156980</v>
      </c>
      <c r="U35" s="445">
        <v>18.839373712704043760919382560</v>
      </c>
      <c r="V35" s="445">
        <v>5.1488658888293241654974514400</v>
      </c>
      <c r="W35" s="445">
        <v>3.1910463697184421786804367700</v>
      </c>
      <c r="X35" s="446">
        <v>-1.7511997715539748722552936100</v>
      </c>
      <c r="Y35" s="445">
        <v>-16.655596115810380280074757980</v>
      </c>
      <c r="Z35" s="445">
        <v>-13.513986013974331072304804310</v>
      </c>
      <c r="AA35" s="445">
        <v>-7.912644405766234363386246800</v>
      </c>
      <c r="AB35" s="445">
        <v>0.459720730375841091142776400</v>
      </c>
      <c r="AC35" s="445">
        <v>-10.233786900799655028091700290</v>
      </c>
      <c r="AD35" s="447">
        <v>-6.6912249686314204330709418700</v>
      </c>
      <c r="AE35" s="448"/>
      <c r="AF35" s="444">
        <v>-9.273587211072342747224179240</v>
      </c>
      <c r="AG35" s="445">
        <v>-0.4067283175338940399244910200</v>
      </c>
      <c r="AH35" s="449">
        <v>-1.2361176183717614047848369400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6.9293224707851701097041461700</v>
      </c>
      <c r="D36" s="81">
        <v>-10.632334208318821090528630060</v>
      </c>
      <c r="E36" s="81">
        <v>13.791369747404807417920895540</v>
      </c>
      <c r="F36" s="81">
        <v>24.025731170403492495097790470</v>
      </c>
      <c r="G36" s="81">
        <v>13.647052106614023228617310140</v>
      </c>
      <c r="H36" s="81">
        <v>-11.407863283410108352217935280</v>
      </c>
      <c r="I36" s="81">
        <v>-6.9201065093784093299276318800</v>
      </c>
      <c r="J36" s="81">
        <v>4.5345276810198486059934950600</v>
      </c>
      <c r="K36" s="81">
        <v>-2.0154980051983251399506694100</v>
      </c>
      <c r="L36" s="81">
        <v>-5.3654450554555433845225429400</v>
      </c>
      <c r="M36" s="81">
        <v>-3.1509534969113085612125012500</v>
      </c>
      <c r="N36" s="81">
        <v>-11.30436876222708946200350200</v>
      </c>
      <c r="O36" s="81">
        <v>-2.0873031108786410878297339800</v>
      </c>
      <c r="P36" s="81">
        <v>-4.4371331608523442113013897200</v>
      </c>
      <c r="Q36" s="81">
        <v>16.790584570693831754439823930</v>
      </c>
      <c r="R36" s="81">
        <v>11.593867670807255682414993010</v>
      </c>
      <c r="S36" s="81">
        <v>1.0073206381499654402408148400</v>
      </c>
      <c r="T36" s="81">
        <v>3.0711147397365386390650417100</v>
      </c>
      <c r="U36" s="81">
        <v>1.439546381851728962565748100</v>
      </c>
      <c r="V36" s="81">
        <v>-8.538228391097749107672467530</v>
      </c>
      <c r="W36" s="81">
        <v>-6.4550093486817587424043068100</v>
      </c>
      <c r="X36" s="82">
        <v>-7.1922060142580296623800086200</v>
      </c>
      <c r="Y36" s="81">
        <v>-10.507301094917167886920935210</v>
      </c>
      <c r="Z36" s="81">
        <v>-5.5394113754534864843208026200</v>
      </c>
      <c r="AA36" s="81">
        <v>4.8944949224869839707642134400</v>
      </c>
      <c r="AB36" s="81">
        <v>2.7024956112037405325802869500</v>
      </c>
      <c r="AC36" s="81">
        <v>1.780585219983890182825700100</v>
      </c>
      <c r="AD36" s="83">
        <v>-11.208911178816498431381382760</v>
      </c>
      <c r="AE36" s="88"/>
      <c r="AF36" s="327">
        <v>-2.9643478999422185742804991700</v>
      </c>
      <c r="AG36" s="81">
        <v>-0.422155086521180063594624900</v>
      </c>
      <c r="AH36" s="328">
        <v>3.0091581352625169142522629600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183</v>
      </c>
      <c r="C37" s="450">
        <v>-6.5668317747071416292514057900</v>
      </c>
      <c r="D37" s="451">
        <v>-6.2585304995734678728670538500</v>
      </c>
      <c r="E37" s="451">
        <v>-4.0998952438694602567802286700</v>
      </c>
      <c r="F37" s="451">
        <v>-0.4553657754033887108924706200</v>
      </c>
      <c r="G37" s="451">
        <v>7.2727355295351328788353769200</v>
      </c>
      <c r="H37" s="451">
        <v>-0.1400310540326152571351060800</v>
      </c>
      <c r="I37" s="451">
        <v>0.2068151153920572557400542400</v>
      </c>
      <c r="J37" s="451">
        <v>0.2969260397504829801347802300</v>
      </c>
      <c r="K37" s="451">
        <v>2.2651615809730942440196023600</v>
      </c>
      <c r="L37" s="451">
        <v>1.4120719186807644707012806700</v>
      </c>
      <c r="M37" s="451">
        <v>3.9596131625500054530012018900</v>
      </c>
      <c r="N37" s="451">
        <v>1.8409608838959258255218996400</v>
      </c>
      <c r="O37" s="451">
        <v>0.7706268111028434499683060700</v>
      </c>
      <c r="P37" s="451">
        <v>-0.9750834339393514986266116700</v>
      </c>
      <c r="Q37" s="451">
        <v>3.2060188925835590766708626400</v>
      </c>
      <c r="R37" s="451">
        <v>3.470874842500758621118572600</v>
      </c>
      <c r="S37" s="451">
        <v>1.8834919680879582812670970200</v>
      </c>
      <c r="T37" s="451">
        <v>2.9564833686265633100667468400</v>
      </c>
      <c r="U37" s="451">
        <v>-1.7512633922830070571838969500</v>
      </c>
      <c r="V37" s="451">
        <v>-4.9037243149109527420288931700</v>
      </c>
      <c r="W37" s="451">
        <v>-3.7106784258665876282347557100</v>
      </c>
      <c r="X37" s="452">
        <v>-5.525850265119147344205827500</v>
      </c>
      <c r="Y37" s="451">
        <v>-2.1336668174159435317808285600</v>
      </c>
      <c r="Z37" s="451">
        <v>0.5279271701405867116326286600</v>
      </c>
      <c r="AA37" s="451">
        <v>0.3305690408173704250389919600</v>
      </c>
      <c r="AB37" s="451">
        <v>-3.7668091905039103914714046200</v>
      </c>
      <c r="AC37" s="451">
        <v>-1.5096875592899215243468420700</v>
      </c>
      <c r="AD37" s="453">
        <v>-2.0620708701100952662158911100</v>
      </c>
      <c r="AE37" s="448"/>
      <c r="AF37" s="450">
        <v>-2.2126099371771466888191598800</v>
      </c>
      <c r="AG37" s="451">
        <v>-0.6546707916444103335985747700</v>
      </c>
      <c r="AH37" s="454">
        <v>-0.5610430159366737021132480300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181</v>
      </c>
      <c r="D40" s="276"/>
      <c r="E40" s="276"/>
      <c r="F40" s="276"/>
      <c r="G40" s="276"/>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4</v>
      </c>
      <c r="D41" s="280">
        <v>5</v>
      </c>
      <c r="E41" s="280">
        <v>6</v>
      </c>
      <c r="F41" s="280">
        <v>7</v>
      </c>
      <c r="G41" s="280">
        <v>8</v>
      </c>
      <c r="H41" s="280">
        <v>9</v>
      </c>
      <c r="I41" s="280">
        <v>10</v>
      </c>
      <c r="J41" s="280">
        <v>11</v>
      </c>
      <c r="K41" s="280">
        <v>12</v>
      </c>
      <c r="L41" s="280">
        <v>13</v>
      </c>
      <c r="M41" s="280">
        <v>14</v>
      </c>
      <c r="N41" s="280">
        <v>15</v>
      </c>
      <c r="O41" s="280">
        <v>16</v>
      </c>
      <c r="P41" s="280">
        <v>17</v>
      </c>
      <c r="Q41" s="280">
        <v>18</v>
      </c>
      <c r="R41" s="280">
        <v>19</v>
      </c>
      <c r="S41" s="280">
        <v>20</v>
      </c>
      <c r="T41" s="280">
        <v>21</v>
      </c>
      <c r="U41" s="280">
        <v>22</v>
      </c>
      <c r="V41" s="280">
        <v>23</v>
      </c>
      <c r="W41" s="280">
        <v>24</v>
      </c>
      <c r="X41" s="315">
        <v>25</v>
      </c>
      <c r="Y41" s="280">
        <v>26</v>
      </c>
      <c r="Z41" s="280">
        <v>27</v>
      </c>
      <c r="AA41" s="280">
        <v>28</v>
      </c>
      <c r="AB41" s="280">
        <v>29</v>
      </c>
      <c r="AC41" s="280">
        <v>30</v>
      </c>
      <c r="AD41" s="373">
        <v>31</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79.042221662863699756569853400</v>
      </c>
      <c r="D42" s="445">
        <v>79.64242739039128501909594776</v>
      </c>
      <c r="E42" s="445">
        <v>65.466056293781078230582372040</v>
      </c>
      <c r="F42" s="445">
        <v>67.189598007333909472364997140</v>
      </c>
      <c r="G42" s="445">
        <v>74.957966684340518768265731500</v>
      </c>
      <c r="H42" s="445">
        <v>103.72107710777337723672916919</v>
      </c>
      <c r="I42" s="445">
        <v>96.80626060031141314009577837</v>
      </c>
      <c r="J42" s="445">
        <v>73.177793852446475860676449530</v>
      </c>
      <c r="K42" s="445">
        <v>69.935151376847460516847166050</v>
      </c>
      <c r="L42" s="445">
        <v>77.595944660579025349014120370</v>
      </c>
      <c r="M42" s="445">
        <v>78.959057896899833970236176070</v>
      </c>
      <c r="N42" s="445">
        <v>82.13699011220977827230100162</v>
      </c>
      <c r="O42" s="445">
        <v>89.96478654998866938157905097</v>
      </c>
      <c r="P42" s="445">
        <v>98.72982246515994988306467830</v>
      </c>
      <c r="Q42" s="445">
        <v>77.269694565525103314301753380</v>
      </c>
      <c r="R42" s="445">
        <v>77.216842109862615350591870220</v>
      </c>
      <c r="S42" s="445">
        <v>87.05451014656145439194272173</v>
      </c>
      <c r="T42" s="445">
        <v>84.47749801423760433710988583</v>
      </c>
      <c r="U42" s="445">
        <v>78.108270017853616654469245630</v>
      </c>
      <c r="V42" s="445">
        <v>80.83009014232245883053497030</v>
      </c>
      <c r="W42" s="445">
        <v>75.041976316025892344194008940</v>
      </c>
      <c r="X42" s="446">
        <v>72.96756078214872079734837300</v>
      </c>
      <c r="Y42" s="445">
        <v>68.981380076397161429876456930</v>
      </c>
      <c r="Z42" s="445">
        <v>58.276224227569255502538271870</v>
      </c>
      <c r="AA42" s="445">
        <v>60.846560846560846560846560850</v>
      </c>
      <c r="AB42" s="445">
        <v>65.205517653509805838120961090</v>
      </c>
      <c r="AC42" s="445">
        <v>76.081786031907378608929273820</v>
      </c>
      <c r="AD42" s="447">
        <v>95.85182488905495983199603769</v>
      </c>
      <c r="AE42" s="448"/>
      <c r="AF42" s="444">
        <v>71.166409673039021977927286960</v>
      </c>
      <c r="AG42" s="445">
        <v>79.036740268167682363956630280</v>
      </c>
      <c r="AH42" s="449">
        <v>79.070760556310924593311134600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183</v>
      </c>
      <c r="C43" s="329">
        <v>108.09226217382131593506433682</v>
      </c>
      <c r="D43" s="330">
        <v>92.09089164573024918958279965</v>
      </c>
      <c r="E43" s="330">
        <v>83.76930131425130948594423482</v>
      </c>
      <c r="F43" s="330">
        <v>86.48956099695257249135983608</v>
      </c>
      <c r="G43" s="330">
        <v>91.39565722088774408011456171</v>
      </c>
      <c r="H43" s="330">
        <v>120.82618905985523043498383106</v>
      </c>
      <c r="I43" s="330">
        <v>117.03557446439087370344966516</v>
      </c>
      <c r="J43" s="330">
        <v>88.78457290729974982623016581</v>
      </c>
      <c r="K43" s="330">
        <v>76.22149730129908068118536300</v>
      </c>
      <c r="L43" s="330">
        <v>79.204498486721222630395612590</v>
      </c>
      <c r="M43" s="330">
        <v>74.962785448564335609358776470</v>
      </c>
      <c r="N43" s="330">
        <v>81.45547820022447132600900481</v>
      </c>
      <c r="O43" s="330">
        <v>113.16152610404241602524930450</v>
      </c>
      <c r="P43" s="330">
        <v>127.21424285980767521308714072</v>
      </c>
      <c r="Q43" s="330">
        <v>98.41793338591786737871826442</v>
      </c>
      <c r="R43" s="330">
        <v>97.61581796721275860713455020</v>
      </c>
      <c r="S43" s="330">
        <v>102.34691596066379212183338512</v>
      </c>
      <c r="T43" s="330">
        <v>94.98597818486307450961396430</v>
      </c>
      <c r="U43" s="330">
        <v>98.85557655112475555181092114</v>
      </c>
      <c r="V43" s="330">
        <v>115.12161469129652512046410295</v>
      </c>
      <c r="W43" s="330">
        <v>117.32437428896473265073947668</v>
      </c>
      <c r="X43" s="331">
        <v>96.12428462101321029556615894</v>
      </c>
      <c r="Y43" s="330">
        <v>79.91447150850190083756101312</v>
      </c>
      <c r="Z43" s="330">
        <v>70.201464641741390577389766630</v>
      </c>
      <c r="AA43" s="330">
        <v>71.975156484202731696207316580</v>
      </c>
      <c r="AB43" s="330">
        <v>88.73647343704894697532247422</v>
      </c>
      <c r="AC43" s="330">
        <v>107.40374503290921905794423801</v>
      </c>
      <c r="AD43" s="338">
        <v>115.75067796800272163741122120</v>
      </c>
      <c r="AE43" s="88"/>
      <c r="AF43" s="329">
        <v>90.85742482687283504222240434</v>
      </c>
      <c r="AG43" s="330">
        <v>98.22058745762259503938310933</v>
      </c>
      <c r="AH43" s="332">
        <v>101.20750119895254900338092552</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181</v>
      </c>
      <c r="D46" s="276"/>
      <c r="E46" s="276"/>
      <c r="F46" s="276"/>
      <c r="G46" s="276"/>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4</v>
      </c>
      <c r="D47" s="42">
        <v>5</v>
      </c>
      <c r="E47" s="42">
        <v>6</v>
      </c>
      <c r="F47" s="42">
        <v>7</v>
      </c>
      <c r="G47" s="42">
        <v>8</v>
      </c>
      <c r="H47" s="42">
        <v>9</v>
      </c>
      <c r="I47" s="42">
        <v>10</v>
      </c>
      <c r="J47" s="42">
        <v>11</v>
      </c>
      <c r="K47" s="42">
        <v>12</v>
      </c>
      <c r="L47" s="42">
        <v>13</v>
      </c>
      <c r="M47" s="42">
        <v>14</v>
      </c>
      <c r="N47" s="42">
        <v>15</v>
      </c>
      <c r="O47" s="42">
        <v>16</v>
      </c>
      <c r="P47" s="42">
        <v>17</v>
      </c>
      <c r="Q47" s="42">
        <v>18</v>
      </c>
      <c r="R47" s="42">
        <v>19</v>
      </c>
      <c r="S47" s="42">
        <v>20</v>
      </c>
      <c r="T47" s="42">
        <v>21</v>
      </c>
      <c r="U47" s="42">
        <v>22</v>
      </c>
      <c r="V47" s="42">
        <v>23</v>
      </c>
      <c r="W47" s="42">
        <v>24</v>
      </c>
      <c r="X47" s="323">
        <v>25</v>
      </c>
      <c r="Y47" s="42">
        <v>26</v>
      </c>
      <c r="Z47" s="42">
        <v>27</v>
      </c>
      <c r="AA47" s="42">
        <v>28</v>
      </c>
      <c r="AB47" s="42">
        <v>29</v>
      </c>
      <c r="AC47" s="42">
        <v>30</v>
      </c>
      <c r="AD47" s="337">
        <v>31</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-31.826385300284431032861525990</v>
      </c>
      <c r="D48" s="445">
        <v>20.034497485817269269378350810</v>
      </c>
      <c r="E48" s="445">
        <v>-21.575210923916089150468849400</v>
      </c>
      <c r="F48" s="445">
        <v>-27.539351695981784322914584320</v>
      </c>
      <c r="G48" s="445">
        <v>-7.2793195954154882917775963900</v>
      </c>
      <c r="H48" s="445">
        <v>11.311664033386548944540392740</v>
      </c>
      <c r="I48" s="445">
        <v>5.9558615835765060247369304700</v>
      </c>
      <c r="J48" s="445">
        <v>-15.465837212128275781386284230</v>
      </c>
      <c r="K48" s="445">
        <v>-1.5597328705140617900904191600</v>
      </c>
      <c r="L48" s="445">
        <v>10.409038750788431626126345760</v>
      </c>
      <c r="M48" s="445">
        <v>1.3165851820770867925400773100</v>
      </c>
      <c r="N48" s="445">
        <v>-2.5033312737466228094698624700</v>
      </c>
      <c r="O48" s="445">
        <v>3.0245958507472736396135445800</v>
      </c>
      <c r="P48" s="445">
        <v>8.618634108916652824386875920</v>
      </c>
      <c r="Q48" s="445">
        <v>-12.034989893266480616770595140</v>
      </c>
      <c r="R48" s="445">
        <v>16.628176762206845599955935920</v>
      </c>
      <c r="S48" s="445">
        <v>50.576301394287826797014101120</v>
      </c>
      <c r="T48" s="445">
        <v>24.268346647649782557106351920</v>
      </c>
      <c r="U48" s="445">
        <v>17.152903331534947283276267380</v>
      </c>
      <c r="V48" s="445">
        <v>14.964825236890000838905885780</v>
      </c>
      <c r="W48" s="445">
        <v>10.311675324678965205758971550</v>
      </c>
      <c r="X48" s="446">
        <v>5.862660891931274697738880900</v>
      </c>
      <c r="Y48" s="445">
        <v>-6.8701638190333339609935631600</v>
      </c>
      <c r="Z48" s="445">
        <v>-8.442224164271541979019582140</v>
      </c>
      <c r="AA48" s="445">
        <v>-12.209543825607664020653700680</v>
      </c>
      <c r="AB48" s="445">
        <v>-2.1837588925579222938256529900</v>
      </c>
      <c r="AC48" s="445">
        <v>-11.804188485301566391104212760</v>
      </c>
      <c r="AD48" s="447">
        <v>5.087995056833536627351416500</v>
      </c>
      <c r="AE48" s="448"/>
      <c r="AF48" s="444">
        <v>-6.5019806375595713903976106200</v>
      </c>
      <c r="AG48" s="445">
        <v>0.0154921699351473766341271500</v>
      </c>
      <c r="AH48" s="449">
        <v>-4.1212605077962962662236177600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183</v>
      </c>
      <c r="C49" s="329">
        <v>-21.978901404151599970260403610</v>
      </c>
      <c r="D49" s="330">
        <v>14.433909687633851957320677240</v>
      </c>
      <c r="E49" s="330">
        <v>-6.9441666011212624946384518300</v>
      </c>
      <c r="F49" s="330">
        <v>-9.719042548274386609028310200</v>
      </c>
      <c r="G49" s="330">
        <v>-1.7697092809767321312477093700</v>
      </c>
      <c r="H49" s="330">
        <v>-1.2483354212661771914308249100</v>
      </c>
      <c r="I49" s="330">
        <v>-1.5799444423511218275678501100</v>
      </c>
      <c r="J49" s="330">
        <v>-11.894221200429574262691176240</v>
      </c>
      <c r="K49" s="330">
        <v>-5.6802883622220506851111429200</v>
      </c>
      <c r="L49" s="330">
        <v>3.0302413347291234118005877300</v>
      </c>
      <c r="M49" s="330">
        <v>-5.6132052502733392781859652300</v>
      </c>
      <c r="N49" s="330">
        <v>-15.087912552991050820215113680</v>
      </c>
      <c r="O49" s="330">
        <v>0.1027416904934144287173949800</v>
      </c>
      <c r="P49" s="330">
        <v>4.8211745846431231990194826500</v>
      </c>
      <c r="Q49" s="330">
        <v>-0.4565328422149789657000054200</v>
      </c>
      <c r="R49" s="330">
        <v>25.784085078005568430058491290</v>
      </c>
      <c r="S49" s="330">
        <v>49.281384664177518514279730890</v>
      </c>
      <c r="T49" s="330">
        <v>24.406706569189428412639625820</v>
      </c>
      <c r="U49" s="330">
        <v>20.957660949046940230543659690</v>
      </c>
      <c r="V49" s="330">
        <v>10.570960988029591298875386790</v>
      </c>
      <c r="W49" s="330">
        <v>7.1676949040537343428269219500</v>
      </c>
      <c r="X49" s="331">
        <v>3.9954320881734816254895148900</v>
      </c>
      <c r="Y49" s="330">
        <v>-14.838534178339564105109520540</v>
      </c>
      <c r="Z49" s="330">
        <v>-13.968171412065678712795270770</v>
      </c>
      <c r="AA49" s="330">
        <v>-8.216053716647326624057936710</v>
      </c>
      <c r="AB49" s="330">
        <v>4.391966934984812279747553400</v>
      </c>
      <c r="AC49" s="330">
        <v>-8.857824820877113528994392940</v>
      </c>
      <c r="AD49" s="338">
        <v>-4.7266203601063724111794111300</v>
      </c>
      <c r="AE49" s="88"/>
      <c r="AF49" s="329">
        <v>-7.2207441770478939583913704200</v>
      </c>
      <c r="AG49" s="330">
        <v>0.2495763776957871247085464800</v>
      </c>
      <c r="AH49" s="332">
        <v>-0.6788834304992221776685137200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181</v>
      </c>
      <c r="D52" s="276"/>
      <c r="E52" s="276"/>
      <c r="F52" s="276"/>
      <c r="G52" s="276"/>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4</v>
      </c>
      <c r="D53" s="42">
        <v>5</v>
      </c>
      <c r="E53" s="42">
        <v>6</v>
      </c>
      <c r="F53" s="42">
        <v>7</v>
      </c>
      <c r="G53" s="42">
        <v>8</v>
      </c>
      <c r="H53" s="42">
        <v>9</v>
      </c>
      <c r="I53" s="42">
        <v>10</v>
      </c>
      <c r="J53" s="42">
        <v>11</v>
      </c>
      <c r="K53" s="42">
        <v>12</v>
      </c>
      <c r="L53" s="42">
        <v>13</v>
      </c>
      <c r="M53" s="42">
        <v>14</v>
      </c>
      <c r="N53" s="42">
        <v>15</v>
      </c>
      <c r="O53" s="42">
        <v>16</v>
      </c>
      <c r="P53" s="42">
        <v>17</v>
      </c>
      <c r="Q53" s="42">
        <v>18</v>
      </c>
      <c r="R53" s="42">
        <v>19</v>
      </c>
      <c r="S53" s="42">
        <v>20</v>
      </c>
      <c r="T53" s="42">
        <v>21</v>
      </c>
      <c r="U53" s="42">
        <v>22</v>
      </c>
      <c r="V53" s="42">
        <v>23</v>
      </c>
      <c r="W53" s="42">
        <v>24</v>
      </c>
      <c r="X53" s="323">
        <v>25</v>
      </c>
      <c r="Y53" s="42">
        <v>26</v>
      </c>
      <c r="Z53" s="42">
        <v>27</v>
      </c>
      <c r="AA53" s="42">
        <v>28</v>
      </c>
      <c r="AB53" s="42">
        <v>29</v>
      </c>
      <c r="AC53" s="42">
        <v>30</v>
      </c>
      <c r="AD53" s="337">
        <v>31</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171</v>
      </c>
      <c r="D54" s="456" t="s">
        <v>171</v>
      </c>
      <c r="E54" s="456" t="s">
        <v>171</v>
      </c>
      <c r="F54" s="456" t="s">
        <v>172</v>
      </c>
      <c r="G54" s="456" t="s">
        <v>171</v>
      </c>
      <c r="H54" s="456" t="s">
        <v>171</v>
      </c>
      <c r="I54" s="456" t="s">
        <v>171</v>
      </c>
      <c r="J54" s="456" t="s">
        <v>171</v>
      </c>
      <c r="K54" s="456" t="s">
        <v>171</v>
      </c>
      <c r="L54" s="456" t="s">
        <v>171</v>
      </c>
      <c r="M54" s="456" t="s">
        <v>171</v>
      </c>
      <c r="N54" s="456" t="s">
        <v>171</v>
      </c>
      <c r="O54" s="456" t="s">
        <v>171</v>
      </c>
      <c r="P54" s="456" t="s">
        <v>171</v>
      </c>
      <c r="Q54" s="456" t="s">
        <v>171</v>
      </c>
      <c r="R54" s="456" t="s">
        <v>171</v>
      </c>
      <c r="S54" s="456" t="s">
        <v>171</v>
      </c>
      <c r="T54" s="456" t="s">
        <v>171</v>
      </c>
      <c r="U54" s="456" t="s">
        <v>171</v>
      </c>
      <c r="V54" s="456" t="s">
        <v>171</v>
      </c>
      <c r="W54" s="456" t="s">
        <v>171</v>
      </c>
      <c r="X54" s="457" t="s">
        <v>171</v>
      </c>
      <c r="Y54" s="456" t="s">
        <v>171</v>
      </c>
      <c r="Z54" s="456" t="s">
        <v>171</v>
      </c>
      <c r="AA54" s="456" t="s">
        <v>171</v>
      </c>
      <c r="AB54" s="456" t="s">
        <v>171</v>
      </c>
      <c r="AC54" s="456" t="s">
        <v>171</v>
      </c>
      <c r="AD54" s="458" t="s">
        <v>171</v>
      </c>
      <c r="AE54" s="459"/>
      <c r="AF54" s="455" t="s">
        <v>171</v>
      </c>
      <c r="AG54" s="456" t="s">
        <v>171</v>
      </c>
      <c r="AH54" s="460" t="s">
        <v>171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173</v>
      </c>
      <c r="D55" s="334" t="s">
        <v>170</v>
      </c>
      <c r="E55" s="334" t="s">
        <v>173</v>
      </c>
      <c r="F55" s="334" t="s">
        <v>173</v>
      </c>
      <c r="G55" s="334" t="s">
        <v>172</v>
      </c>
      <c r="H55" s="334" t="s">
        <v>170</v>
      </c>
      <c r="I55" s="334" t="s">
        <v>170</v>
      </c>
      <c r="J55" s="334" t="s">
        <v>174</v>
      </c>
      <c r="K55" s="334" t="s">
        <v>172</v>
      </c>
      <c r="L55" s="334" t="s">
        <v>170</v>
      </c>
      <c r="M55" s="334" t="s">
        <v>171</v>
      </c>
      <c r="N55" s="334" t="s">
        <v>173</v>
      </c>
      <c r="O55" s="334" t="s">
        <v>172</v>
      </c>
      <c r="P55" s="334" t="s">
        <v>170</v>
      </c>
      <c r="Q55" s="334" t="s">
        <v>172</v>
      </c>
      <c r="R55" s="334" t="s">
        <v>170</v>
      </c>
      <c r="S55" s="334" t="s">
        <v>170</v>
      </c>
      <c r="T55" s="334" t="s">
        <v>170</v>
      </c>
      <c r="U55" s="334" t="s">
        <v>170</v>
      </c>
      <c r="V55" s="334" t="s">
        <v>171</v>
      </c>
      <c r="W55" s="334" t="s">
        <v>171</v>
      </c>
      <c r="X55" s="60" t="s">
        <v>170</v>
      </c>
      <c r="Y55" s="61" t="s">
        <v>172</v>
      </c>
      <c r="Z55" s="61" t="s">
        <v>172</v>
      </c>
      <c r="AA55" s="61" t="s">
        <v>172</v>
      </c>
      <c r="AB55" s="61" t="s">
        <v>172</v>
      </c>
      <c r="AC55" s="61" t="s">
        <v>171</v>
      </c>
      <c r="AD55" s="62" t="s">
        <v>172</v>
      </c>
      <c r="AE55" s="59"/>
      <c r="AF55" s="333" t="s">
        <v>172</v>
      </c>
      <c r="AG55" s="334" t="s">
        <v>171</v>
      </c>
      <c r="AH55" s="335" t="s">
        <v>171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45731</v>
      </c>
      <c r="C72" s="658">
        <v>45738</v>
      </c>
      <c r="D72" s="658">
        <v>45745</v>
      </c>
      <c r="E72" s="658">
        <v>45752</v>
      </c>
      <c r="F72" s="658">
        <v>45759</v>
      </c>
      <c r="G72" s="658">
        <v>45766</v>
      </c>
      <c r="H72" s="658">
        <v>45773</v>
      </c>
      <c r="I72" s="658">
        <v>45780</v>
      </c>
      <c r="J72" s="658">
        <v>45787</v>
      </c>
      <c r="K72" s="658">
        <v>45794</v>
      </c>
      <c r="L72" s="658">
        <v>45801</v>
      </c>
      <c r="M72" s="658">
        <v>45808</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272.44761904761904761904761905</v>
      </c>
      <c r="C73" s="658">
        <v>292.02738095238095238095238095</v>
      </c>
      <c r="D73" s="658">
        <v>328.03836930455635491606714628</v>
      </c>
      <c r="E73" s="658">
        <v>264.93856655290102389078498294</v>
      </c>
      <c r="F73" s="658">
        <v>297.68166089965397923875432526</v>
      </c>
      <c r="G73" s="658">
        <v>261.60854893138357705286839145</v>
      </c>
      <c r="H73" s="658">
        <v>236.04422604422604422604422604</v>
      </c>
      <c r="I73" s="658">
        <v>322.13578826237054085155350978</v>
      </c>
      <c r="J73" s="658">
        <v>232.81440443213296398891966759</v>
      </c>
      <c r="K73" s="658">
        <v>199.37266187050359712230215827</v>
      </c>
      <c r="L73" s="658">
        <v>210.57524271844660194174757282</v>
      </c>
      <c r="M73" s="658">
        <v>169.71326676176890156918687589</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360.12587412587412587412587413</v>
      </c>
      <c r="C74" s="658">
        <v>398.99439252336448598130841121</v>
      </c>
      <c r="D74" s="658">
        <v>380.24565523720056364490371066</v>
      </c>
      <c r="E74" s="658">
        <v>341.34264079507808802650260293</v>
      </c>
      <c r="F74" s="658">
        <v>323.78790697674418604651162791</v>
      </c>
      <c r="G74" s="658">
        <v>374.43093922651933701657458564</v>
      </c>
      <c r="H74" s="658">
        <v>342.5159362549800796812749004</v>
      </c>
      <c r="I74" s="658">
        <v>383.20122753178430512932924156</v>
      </c>
      <c r="J74" s="658">
        <v>280.47484454494064443188241945</v>
      </c>
      <c r="K74" s="658">
        <v>238.04658385093167701863354037</v>
      </c>
      <c r="L74" s="658">
        <v>270.95356371490280777537796976</v>
      </c>
      <c r="M74" s="658">
        <v>238.47383553766532489936745256</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183</v>
      </c>
      <c r="B75" s="658">
        <v>265.91052232316317279404962348</v>
      </c>
      <c r="C75" s="658">
        <v>286.60591050570634894072760133</v>
      </c>
      <c r="D75" s="658">
        <v>303.53818418460672576333192627</v>
      </c>
      <c r="E75" s="658">
        <v>260.3981971594780147790996279</v>
      </c>
      <c r="F75" s="658">
        <v>261.89942077443977236266612628</v>
      </c>
      <c r="G75" s="658">
        <v>255.10237519243457224543655157</v>
      </c>
      <c r="H75" s="658">
        <v>229.51864479846373914917798287</v>
      </c>
      <c r="I75" s="658">
        <v>288.94759760009307118283501471</v>
      </c>
      <c r="J75" s="658">
        <v>226.80824394359407014583584428</v>
      </c>
      <c r="K75" s="658">
        <v>209.33256941744592907859466759</v>
      </c>
      <c r="L75" s="658">
        <v>204.77657679297023559318641286</v>
      </c>
      <c r="M75" s="658">
        <v>186.79075164758172224290061962</v>
      </c>
      <c r="N75" s="658"/>
      <c r="O75" s="658"/>
      <c r="P75" s="658"/>
      <c r="Q75" s="658"/>
      <c r="R75" s="658"/>
      <c r="S75" s="658"/>
      <c r="T75" s="658"/>
      <c r="U75" s="658"/>
      <c r="V75" s="658"/>
      <c r="W75" s="658"/>
      <c r="X75" s="658"/>
      <c r="Y75" s="658"/>
      <c r="Z75" s="658"/>
      <c r="AA75" s="658"/>
      <c r="AB75" s="658"/>
      <c r="AC75" s="658"/>
      <c r="AD75" s="658"/>
      <c r="AE75" s="658"/>
      <c r="AF75" s="658"/>
      <c r="AG75" s="658"/>
      <c r="AH75" s="658"/>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133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179</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180</v>
      </c>
      <c r="R4" s="618" t="s">
        <v>184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181</v>
      </c>
      <c r="D24" s="276"/>
      <c r="E24" s="276"/>
      <c r="F24" s="276"/>
      <c r="G24" s="276"/>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4</v>
      </c>
      <c r="D25" s="280">
        <v>5</v>
      </c>
      <c r="E25" s="280">
        <v>6</v>
      </c>
      <c r="F25" s="280">
        <v>7</v>
      </c>
      <c r="G25" s="280">
        <v>8</v>
      </c>
      <c r="H25" s="280">
        <v>9</v>
      </c>
      <c r="I25" s="280">
        <v>10</v>
      </c>
      <c r="J25" s="280">
        <v>11</v>
      </c>
      <c r="K25" s="280">
        <v>12</v>
      </c>
      <c r="L25" s="280">
        <v>13</v>
      </c>
      <c r="M25" s="280">
        <v>14</v>
      </c>
      <c r="N25" s="280">
        <v>15</v>
      </c>
      <c r="O25" s="280">
        <v>16</v>
      </c>
      <c r="P25" s="280">
        <v>17</v>
      </c>
      <c r="Q25" s="280">
        <v>18</v>
      </c>
      <c r="R25" s="280">
        <v>19</v>
      </c>
      <c r="S25" s="280">
        <v>20</v>
      </c>
      <c r="T25" s="280">
        <v>21</v>
      </c>
      <c r="U25" s="280">
        <v>22</v>
      </c>
      <c r="V25" s="280">
        <v>23</v>
      </c>
      <c r="W25" s="280">
        <v>24</v>
      </c>
      <c r="X25" s="315">
        <v>25</v>
      </c>
      <c r="Y25" s="280">
        <v>26</v>
      </c>
      <c r="Z25" s="280">
        <v>27</v>
      </c>
      <c r="AA25" s="280">
        <v>28</v>
      </c>
      <c r="AB25" s="280">
        <v>29</v>
      </c>
      <c r="AC25" s="280">
        <v>30</v>
      </c>
      <c r="AD25" s="373">
        <v>31</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283.34090909090909090909090909</v>
      </c>
      <c r="D26" s="462">
        <v>123.35606060606060606060606061</v>
      </c>
      <c r="E26" s="462">
        <v>89.17424242424242424242424242</v>
      </c>
      <c r="F26" s="462">
        <v>153.42424242424242424242424242</v>
      </c>
      <c r="G26" s="462">
        <v>178.47727272727272727272727273</v>
      </c>
      <c r="H26" s="462">
        <v>220.64393939393939393939393939</v>
      </c>
      <c r="I26" s="462">
        <v>225.00757575757575757575757576</v>
      </c>
      <c r="J26" s="462">
        <v>96.67424242424242424242424242</v>
      </c>
      <c r="K26" s="462">
        <v>94.43939393939393939393939394</v>
      </c>
      <c r="L26" s="462">
        <v>110.98484848484848484848484848</v>
      </c>
      <c r="M26" s="462">
        <v>108.79545454545454545454545455</v>
      </c>
      <c r="N26" s="462">
        <v>136.56060606060606060606060606</v>
      </c>
      <c r="O26" s="462">
        <v>224.74242424242424242424242424</v>
      </c>
      <c r="P26" s="462">
        <v>277.53030303030303030303030303</v>
      </c>
      <c r="Q26" s="462">
        <v>173.28030303030303030303030303</v>
      </c>
      <c r="R26" s="462">
        <v>175.04545454545454545454545455</v>
      </c>
      <c r="S26" s="462">
        <v>180.98484848484848484848484848</v>
      </c>
      <c r="T26" s="462">
        <v>175.28030303030303030303030303</v>
      </c>
      <c r="U26" s="462">
        <v>179.46969696969696969696969697</v>
      </c>
      <c r="V26" s="462">
        <v>180.43181818181818181818181818</v>
      </c>
      <c r="W26" s="462">
        <v>250.00757575757575757575757576</v>
      </c>
      <c r="X26" s="463">
        <v>179.24242424242424242424242424</v>
      </c>
      <c r="Y26" s="462">
        <v>97.38636363636363636363636364</v>
      </c>
      <c r="Z26" s="462">
        <v>79.204545454545454545454545455</v>
      </c>
      <c r="AA26" s="462">
        <v>92.000000000</v>
      </c>
      <c r="AB26" s="462">
        <v>118.09090909090909090909090909</v>
      </c>
      <c r="AC26" s="462">
        <v>162.46212121212121212121212121</v>
      </c>
      <c r="AD26" s="464">
        <v>172.89393939393939393939393939</v>
      </c>
      <c r="AE26" s="465"/>
      <c r="AF26" s="461">
        <v>128.754329004329004329004329</v>
      </c>
      <c r="AG26" s="462">
        <v>162.10470779220779220779220779</v>
      </c>
      <c r="AH26" s="466">
        <v>181.65273704789833822091886608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250.57848837209302325581395349</v>
      </c>
      <c r="D27" s="85">
        <v>158.02325581395348837209302326</v>
      </c>
      <c r="E27" s="85">
        <v>188.31976744186046511627906977</v>
      </c>
      <c r="F27" s="85">
        <v>228.29651162790697674418604651</v>
      </c>
      <c r="G27" s="85">
        <v>222.34883720930232558139534884</v>
      </c>
      <c r="H27" s="85">
        <v>199.01744186046511627906976744</v>
      </c>
      <c r="I27" s="85">
        <v>195.74127906976744186046511628</v>
      </c>
      <c r="J27" s="85">
        <v>129.69476744186046511627906977</v>
      </c>
      <c r="K27" s="85">
        <v>109.18604651162790697674418605</v>
      </c>
      <c r="L27" s="85">
        <v>113.34593023255813953488372093</v>
      </c>
      <c r="M27" s="85">
        <v>120.93023255813953488372093023</v>
      </c>
      <c r="N27" s="85">
        <v>147.27034883720930232558139535</v>
      </c>
      <c r="O27" s="85">
        <v>230.39534883720930232558139535</v>
      </c>
      <c r="P27" s="85">
        <v>263.2906976744186046511627907</v>
      </c>
      <c r="Q27" s="85">
        <v>198.35465116279069767441860465</v>
      </c>
      <c r="R27" s="85">
        <v>201.02034883720930232558139535</v>
      </c>
      <c r="S27" s="85">
        <v>173.74709302325581395348837209</v>
      </c>
      <c r="T27" s="85">
        <v>133.9593023255813953488372093</v>
      </c>
      <c r="U27" s="85">
        <v>165.13953488372093023255813953</v>
      </c>
      <c r="V27" s="85">
        <v>255.20058139534883720930232558</v>
      </c>
      <c r="W27" s="85">
        <v>331.31686046511627906976744186</v>
      </c>
      <c r="X27" s="86">
        <v>207.81686046511627906976744186</v>
      </c>
      <c r="Y27" s="85">
        <v>122.86627906976744186046511628</v>
      </c>
      <c r="Z27" s="85">
        <v>112.60174418604651162790697674</v>
      </c>
      <c r="AA27" s="85">
        <v>126.9156976744186046511627907</v>
      </c>
      <c r="AB27" s="85">
        <v>175.125000000</v>
      </c>
      <c r="AC27" s="85">
        <v>252.57267441860465116279069767</v>
      </c>
      <c r="AD27" s="87">
        <v>207.64244186046511627906976744</v>
      </c>
      <c r="AE27" s="169"/>
      <c r="AF27" s="370">
        <v>172.22009966777408637873754153</v>
      </c>
      <c r="AG27" s="85">
        <v>186.45421511627906976744186047</v>
      </c>
      <c r="AH27" s="371">
        <v>210.74746811702925731432858215</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183</v>
      </c>
      <c r="C28" s="467">
        <v>216.23542904806589510999895736</v>
      </c>
      <c r="D28" s="468">
        <v>142.92899593368783234282139506</v>
      </c>
      <c r="E28" s="468">
        <v>137.93400062558648733187363153</v>
      </c>
      <c r="F28" s="468">
        <v>151.9496402877697841726618705</v>
      </c>
      <c r="G28" s="468">
        <v>177.43029923886977374622041497</v>
      </c>
      <c r="H28" s="468">
        <v>178.77802106141174017307892816</v>
      </c>
      <c r="I28" s="468">
        <v>171.98978208737357939735168387</v>
      </c>
      <c r="J28" s="468">
        <v>101.12574288395370659993744135</v>
      </c>
      <c r="K28" s="468">
        <v>120.1585861745386299655927432</v>
      </c>
      <c r="L28" s="468">
        <v>136.00250234594932749452611824</v>
      </c>
      <c r="M28" s="468">
        <v>152.82587842769262850589093942</v>
      </c>
      <c r="N28" s="468">
        <v>160.26441455531227192159316025</v>
      </c>
      <c r="O28" s="468">
        <v>199.24731519132520070899801898</v>
      </c>
      <c r="P28" s="468">
        <v>197.03096653112292774476071317</v>
      </c>
      <c r="Q28" s="468">
        <v>136.72463768115942028985507246</v>
      </c>
      <c r="R28" s="468">
        <v>136.87926180794494838911479512</v>
      </c>
      <c r="S28" s="468">
        <v>138.74486497758315087060786154</v>
      </c>
      <c r="T28" s="468">
        <v>134.50370138671671358565321656</v>
      </c>
      <c r="U28" s="468">
        <v>141.35043269732040454592847461</v>
      </c>
      <c r="V28" s="468">
        <v>169.63100823688874986966948181</v>
      </c>
      <c r="W28" s="468">
        <v>208.83620060473360442081117715</v>
      </c>
      <c r="X28" s="469">
        <v>147.15149619434886873110207486</v>
      </c>
      <c r="Y28" s="468">
        <v>88.07851110416015014075695965</v>
      </c>
      <c r="Z28" s="468">
        <v>93.97935564591804817015952455</v>
      </c>
      <c r="AA28" s="468">
        <v>110.73798352622250026066103639</v>
      </c>
      <c r="AB28" s="468">
        <v>120.38932332394953602335522886</v>
      </c>
      <c r="AC28" s="468">
        <v>162.08132624335314357209884266</v>
      </c>
      <c r="AD28" s="470">
        <v>167.09237827129600667292253154</v>
      </c>
      <c r="AE28" s="465"/>
      <c r="AF28" s="467">
        <v>127.07291061560689336729374265</v>
      </c>
      <c r="AG28" s="468">
        <v>150.00293057479482252707151049</v>
      </c>
      <c r="AH28" s="471">
        <v>163.90214616525573370195848931</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181</v>
      </c>
      <c r="D33" s="276"/>
      <c r="E33" s="276"/>
      <c r="F33" s="276"/>
      <c r="G33" s="276"/>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4</v>
      </c>
      <c r="D34" s="280">
        <v>5</v>
      </c>
      <c r="E34" s="280">
        <v>6</v>
      </c>
      <c r="F34" s="280">
        <v>7</v>
      </c>
      <c r="G34" s="280">
        <v>8</v>
      </c>
      <c r="H34" s="280">
        <v>9</v>
      </c>
      <c r="I34" s="280">
        <v>10</v>
      </c>
      <c r="J34" s="280">
        <v>11</v>
      </c>
      <c r="K34" s="280">
        <v>12</v>
      </c>
      <c r="L34" s="280">
        <v>13</v>
      </c>
      <c r="M34" s="280">
        <v>14</v>
      </c>
      <c r="N34" s="280">
        <v>15</v>
      </c>
      <c r="O34" s="280">
        <v>16</v>
      </c>
      <c r="P34" s="280">
        <v>17</v>
      </c>
      <c r="Q34" s="280">
        <v>18</v>
      </c>
      <c r="R34" s="280">
        <v>19</v>
      </c>
      <c r="S34" s="280">
        <v>20</v>
      </c>
      <c r="T34" s="280">
        <v>21</v>
      </c>
      <c r="U34" s="280">
        <v>22</v>
      </c>
      <c r="V34" s="280">
        <v>23</v>
      </c>
      <c r="W34" s="280">
        <v>24</v>
      </c>
      <c r="X34" s="315">
        <v>25</v>
      </c>
      <c r="Y34" s="280">
        <v>26</v>
      </c>
      <c r="Z34" s="280">
        <v>27</v>
      </c>
      <c r="AA34" s="280">
        <v>28</v>
      </c>
      <c r="AB34" s="280">
        <v>29</v>
      </c>
      <c r="AC34" s="280">
        <v>30</v>
      </c>
      <c r="AD34" s="373">
        <v>31</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-20.976568277370827743521086090</v>
      </c>
      <c r="D35" s="445">
        <v>-10.606642876734226805226766370</v>
      </c>
      <c r="E35" s="445">
        <v>-45.818181818170844649021861990</v>
      </c>
      <c r="F35" s="445">
        <v>-15.553331665407277457926652390</v>
      </c>
      <c r="G35" s="445">
        <v>2.6491220426196783841779526600</v>
      </c>
      <c r="H35" s="445">
        <v>-19.106210421071515946190772450</v>
      </c>
      <c r="I35" s="445">
        <v>-0.4958290060021845513615329300</v>
      </c>
      <c r="J35" s="445">
        <v>-26.040338472226319285251085760</v>
      </c>
      <c r="K35" s="445">
        <v>-22.835035592718687207004329950</v>
      </c>
      <c r="L35" s="445">
        <v>-11.810739224667492085332931920</v>
      </c>
      <c r="M35" s="445">
        <v>-15.379176241836255375465181360</v>
      </c>
      <c r="N35" s="445">
        <v>-10.166450712676912923125628810</v>
      </c>
      <c r="O35" s="445">
        <v>3.6004889121791039348136626400</v>
      </c>
      <c r="P35" s="445">
        <v>20.940213264651699027177949020</v>
      </c>
      <c r="Q35" s="445">
        <v>11.217543518450105522419225930</v>
      </c>
      <c r="R35" s="445">
        <v>32.374677742815651557579720440</v>
      </c>
      <c r="S35" s="445">
        <v>70.923660299004047108146582280</v>
      </c>
      <c r="T35" s="445">
        <v>33.377529255745266551638595770</v>
      </c>
      <c r="U35" s="445">
        <v>25.829925107547600367548091770</v>
      </c>
      <c r="V35" s="445">
        <v>-12.825299220391414257267544780</v>
      </c>
      <c r="W35" s="445">
        <v>0.6741915802453620025306003500</v>
      </c>
      <c r="X35" s="446">
        <v>3.1206415620533695284279581500</v>
      </c>
      <c r="Y35" s="445">
        <v>-20.741106110109944248706836170</v>
      </c>
      <c r="Z35" s="445">
        <v>-21.538461538485091643815839370</v>
      </c>
      <c r="AA35" s="445">
        <v>-3.9088463364213094087890922800</v>
      </c>
      <c r="AB35" s="445">
        <v>4.6455424274832645619726794700</v>
      </c>
      <c r="AC35" s="445">
        <v>-24.284150690258154787216868990</v>
      </c>
      <c r="AD35" s="447">
        <v>-25.969897495797462716200376780</v>
      </c>
      <c r="AE35" s="448"/>
      <c r="AF35" s="444">
        <v>-14.517183649110392635559450810</v>
      </c>
      <c r="AG35" s="445">
        <v>-5.4217542641343244422799884900</v>
      </c>
      <c r="AH35" s="449">
        <v>-5.3904036534402542027065762900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-11.026266418611184210614581800</v>
      </c>
      <c r="D36" s="81">
        <v>-12.453635847070145344232619940</v>
      </c>
      <c r="E36" s="81">
        <v>26.705712658594601838853869810</v>
      </c>
      <c r="F36" s="81">
        <v>37.951150698725019541350452160</v>
      </c>
      <c r="G36" s="81">
        <v>17.490144801403647001301675720</v>
      </c>
      <c r="H36" s="81">
        <v>-20.391168883048236229913415740</v>
      </c>
      <c r="I36" s="81">
        <v>-19.205109826911923347741837300</v>
      </c>
      <c r="J36" s="81">
        <v>-16.943308963757680099871438060</v>
      </c>
      <c r="K36" s="81">
        <v>-15.502039285595049591578413420</v>
      </c>
      <c r="L36" s="81">
        <v>-12.397012568185190820025722350</v>
      </c>
      <c r="M36" s="81">
        <v>-6.7560880404352019786134688200</v>
      </c>
      <c r="N36" s="81">
        <v>-17.894660432117127999857594130</v>
      </c>
      <c r="O36" s="81">
        <v>-6.9024955355962818087792871600</v>
      </c>
      <c r="P36" s="81">
        <v>4.893361054411667034694743900</v>
      </c>
      <c r="Q36" s="81">
        <v>14.269924472045763443192921260</v>
      </c>
      <c r="R36" s="81">
        <v>8.823807125746458157770824170</v>
      </c>
      <c r="S36" s="81">
        <v>5.9546179755587919768783319500</v>
      </c>
      <c r="T36" s="81">
        <v>-8.572902406596977030885088400</v>
      </c>
      <c r="U36" s="81">
        <v>-10.338078853479917261788682200</v>
      </c>
      <c r="V36" s="81">
        <v>-12.475324519935091877050656110</v>
      </c>
      <c r="W36" s="81">
        <v>-9.650645675274430055923989570</v>
      </c>
      <c r="X36" s="82">
        <v>-15.629278194788391150088868800</v>
      </c>
      <c r="Y36" s="81">
        <v>-20.930145545692196973995004750</v>
      </c>
      <c r="Z36" s="81">
        <v>-20.936071195317848185187376140</v>
      </c>
      <c r="AA36" s="81">
        <v>-6.6616782469251807448978629600</v>
      </c>
      <c r="AB36" s="81">
        <v>-6.5666826930614517824482971600</v>
      </c>
      <c r="AC36" s="81">
        <v>2.4659763662571628170090457900</v>
      </c>
      <c r="AD36" s="83">
        <v>-17.243257021044550379626227940</v>
      </c>
      <c r="AE36" s="88"/>
      <c r="AF36" s="327">
        <v>-11.007783118591209349474589890</v>
      </c>
      <c r="AG36" s="81">
        <v>-5.8789858551438265752471343700</v>
      </c>
      <c r="AH36" s="328">
        <v>-0.6276003463923616009403192900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183</v>
      </c>
      <c r="C37" s="450">
        <v>-6.7275109875757559529966191900</v>
      </c>
      <c r="D37" s="451">
        <v>-10.768681830547460904920805670</v>
      </c>
      <c r="E37" s="451">
        <v>-17.648201360369589279459656310</v>
      </c>
      <c r="F37" s="451">
        <v>-11.206256959020344157826096150</v>
      </c>
      <c r="G37" s="451">
        <v>6.8580951107555178857711238500</v>
      </c>
      <c r="H37" s="451">
        <v>-4.0694779780098420630609922800</v>
      </c>
      <c r="I37" s="451">
        <v>-2.1729300556385082744836692600</v>
      </c>
      <c r="J37" s="451">
        <v>-10.644280090254273576497679370</v>
      </c>
      <c r="K37" s="451">
        <v>-3.4974803577480574960295121300</v>
      </c>
      <c r="L37" s="451">
        <v>-5.1571663656474051223065020500</v>
      </c>
      <c r="M37" s="451">
        <v>1.9226329089460669425930896600</v>
      </c>
      <c r="N37" s="451">
        <v>0.887669606700246792140869300</v>
      </c>
      <c r="O37" s="451">
        <v>3.1263285172797563496026946300</v>
      </c>
      <c r="P37" s="451">
        <v>5.2603273966897101148509983500</v>
      </c>
      <c r="Q37" s="451">
        <v>9.871804779823069288178691250</v>
      </c>
      <c r="R37" s="451">
        <v>5.9917525573285483037857343900</v>
      </c>
      <c r="S37" s="451">
        <v>3.0099547371032174883433627900</v>
      </c>
      <c r="T37" s="451">
        <v>3.7689684739371464167117203700</v>
      </c>
      <c r="U37" s="451">
        <v>4.5183457485288814657133683100</v>
      </c>
      <c r="V37" s="451">
        <v>-2.6867369408073699580364240600</v>
      </c>
      <c r="W37" s="451">
        <v>-0.5372423274916391799274661900</v>
      </c>
      <c r="X37" s="452">
        <v>-6.6727084104436474867985509800</v>
      </c>
      <c r="Y37" s="451">
        <v>-4.1282043807924045796591077300</v>
      </c>
      <c r="Z37" s="451">
        <v>-5.3806791713299037698359786800</v>
      </c>
      <c r="AA37" s="451">
        <v>0.8480054342399302669494669700</v>
      </c>
      <c r="AB37" s="451">
        <v>-5.2502274744056818922784216600</v>
      </c>
      <c r="AC37" s="451">
        <v>-4.4091706889882309033847079500</v>
      </c>
      <c r="AD37" s="453">
        <v>-4.3081984976604746555747824800</v>
      </c>
      <c r="AE37" s="448"/>
      <c r="AF37" s="450">
        <v>-4.3134517449913912406717097300</v>
      </c>
      <c r="AG37" s="451">
        <v>-2.2391474917898874055577671300</v>
      </c>
      <c r="AH37" s="454">
        <v>-0.9652115751773726432986615200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181</v>
      </c>
      <c r="D40" s="276"/>
      <c r="E40" s="276"/>
      <c r="F40" s="276"/>
      <c r="G40" s="276"/>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4</v>
      </c>
      <c r="D41" s="280">
        <v>5</v>
      </c>
      <c r="E41" s="280">
        <v>6</v>
      </c>
      <c r="F41" s="280">
        <v>7</v>
      </c>
      <c r="G41" s="280">
        <v>8</v>
      </c>
      <c r="H41" s="280">
        <v>9</v>
      </c>
      <c r="I41" s="280">
        <v>10</v>
      </c>
      <c r="J41" s="280">
        <v>11</v>
      </c>
      <c r="K41" s="280">
        <v>12</v>
      </c>
      <c r="L41" s="280">
        <v>13</v>
      </c>
      <c r="M41" s="280">
        <v>14</v>
      </c>
      <c r="N41" s="280">
        <v>15</v>
      </c>
      <c r="O41" s="280">
        <v>16</v>
      </c>
      <c r="P41" s="280">
        <v>17</v>
      </c>
      <c r="Q41" s="280">
        <v>18</v>
      </c>
      <c r="R41" s="280">
        <v>19</v>
      </c>
      <c r="S41" s="280">
        <v>20</v>
      </c>
      <c r="T41" s="280">
        <v>21</v>
      </c>
      <c r="U41" s="280">
        <v>22</v>
      </c>
      <c r="V41" s="280">
        <v>23</v>
      </c>
      <c r="W41" s="280">
        <v>24</v>
      </c>
      <c r="X41" s="315">
        <v>25</v>
      </c>
      <c r="Y41" s="280">
        <v>26</v>
      </c>
      <c r="Z41" s="280">
        <v>27</v>
      </c>
      <c r="AA41" s="280">
        <v>28</v>
      </c>
      <c r="AB41" s="280">
        <v>29</v>
      </c>
      <c r="AC41" s="280">
        <v>30</v>
      </c>
      <c r="AD41" s="373">
        <v>31</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113.07471400743629680111265126</v>
      </c>
      <c r="D42" s="445">
        <v>78.061966240751211497884408860</v>
      </c>
      <c r="E42" s="445">
        <v>47.352566135551471072828107180</v>
      </c>
      <c r="F42" s="445">
        <v>67.203936376526099312230341020</v>
      </c>
      <c r="G42" s="445">
        <v>80.26903804280731661714585854</v>
      </c>
      <c r="H42" s="445">
        <v>110.86663426645708205871803380</v>
      </c>
      <c r="I42" s="445">
        <v>114.95152010186854687132872471</v>
      </c>
      <c r="J42" s="445">
        <v>74.539817088264611732085476650</v>
      </c>
      <c r="K42" s="445">
        <v>86.49401361863636468802593346</v>
      </c>
      <c r="L42" s="445">
        <v>97.91692410754732823166192471</v>
      </c>
      <c r="M42" s="445">
        <v>89.96547202800143976096020327</v>
      </c>
      <c r="N42" s="445">
        <v>92.72783499112029399183704296</v>
      </c>
      <c r="O42" s="445">
        <v>97.54642416901819531582820546</v>
      </c>
      <c r="P42" s="445">
        <v>105.40832071990348955170306283</v>
      </c>
      <c r="Q42" s="445">
        <v>87.35883026412264698196496221</v>
      </c>
      <c r="R42" s="445">
        <v>87.07847516831159368276528515</v>
      </c>
      <c r="S42" s="445">
        <v>104.16568434936513176371979517</v>
      </c>
      <c r="T42" s="445">
        <v>130.84593603232470006583124748</v>
      </c>
      <c r="U42" s="445">
        <v>108.67760836076535411132155834</v>
      </c>
      <c r="V42" s="445">
        <v>70.701962039159043245824789180</v>
      </c>
      <c r="W42" s="445">
        <v>75.458754319540844144053855170</v>
      </c>
      <c r="X42" s="446">
        <v>86.25018385961304453025714763</v>
      </c>
      <c r="Y42" s="445">
        <v>79.26207611531778156571710950</v>
      </c>
      <c r="Z42" s="445">
        <v>70.340425032592980073942373860</v>
      </c>
      <c r="AA42" s="445">
        <v>72.489062965264067660802530750</v>
      </c>
      <c r="AB42" s="445">
        <v>67.432353513723963402764259290</v>
      </c>
      <c r="AC42" s="445">
        <v>64.322920753836365467490396590</v>
      </c>
      <c r="AD42" s="447">
        <v>83.26522162077749889898643667</v>
      </c>
      <c r="AE42" s="448"/>
      <c r="AF42" s="444">
        <v>74.761499530360687149097307290</v>
      </c>
      <c r="AG42" s="445">
        <v>86.94075791802062010190234992</v>
      </c>
      <c r="AH42" s="449">
        <v>86.19450504954620252564543700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183</v>
      </c>
      <c r="C43" s="329">
        <v>131.03352690084933513359754700</v>
      </c>
      <c r="D43" s="330">
        <v>86.30583304683772729408906910</v>
      </c>
      <c r="E43" s="330">
        <v>64.649935490736459330097693720</v>
      </c>
      <c r="F43" s="330">
        <v>100.97045450956610108710557227</v>
      </c>
      <c r="G43" s="330">
        <v>100.59007593002085617626527661</v>
      </c>
      <c r="H43" s="330">
        <v>123.41782176801299941329698339</v>
      </c>
      <c r="I43" s="330">
        <v>130.82612991697013723078367285</v>
      </c>
      <c r="J43" s="330">
        <v>95.59805413260218719603650236</v>
      </c>
      <c r="K43" s="330">
        <v>78.595626784626585614752492210</v>
      </c>
      <c r="L43" s="330">
        <v>81.60500473923396898644890353</v>
      </c>
      <c r="M43" s="330">
        <v>71.189157009769327759898123880</v>
      </c>
      <c r="N43" s="330">
        <v>85.20956223471878262174109729</v>
      </c>
      <c r="O43" s="330">
        <v>112.79571020901639191192818157</v>
      </c>
      <c r="P43" s="330">
        <v>140.85618515528966697716280887</v>
      </c>
      <c r="Q43" s="330">
        <v>126.73670668949926291203927210</v>
      </c>
      <c r="R43" s="330">
        <v>127.88310824697315828381723129</v>
      </c>
      <c r="S43" s="330">
        <v>130.44435807701281129051926946</v>
      </c>
      <c r="T43" s="330">
        <v>130.31634164949092155051473966</v>
      </c>
      <c r="U43" s="330">
        <v>126.96791480930861232292572211</v>
      </c>
      <c r="V43" s="330">
        <v>106.36723795795294401350918920</v>
      </c>
      <c r="W43" s="330">
        <v>119.71467352578773544305017020</v>
      </c>
      <c r="X43" s="331">
        <v>121.80808817991977947044336724</v>
      </c>
      <c r="Y43" s="330">
        <v>110.56767696850837653516944138</v>
      </c>
      <c r="Z43" s="330">
        <v>84.27866408552129690299799223</v>
      </c>
      <c r="AA43" s="330">
        <v>83.07899157133677100803426315</v>
      </c>
      <c r="AB43" s="330">
        <v>98.09084878165884503337385661</v>
      </c>
      <c r="AC43" s="330">
        <v>100.23494067919296668886855003</v>
      </c>
      <c r="AD43" s="338">
        <v>103.47206807555259836592889954</v>
      </c>
      <c r="AE43" s="88"/>
      <c r="AF43" s="329">
        <v>101.32319184363011387684231673</v>
      </c>
      <c r="AG43" s="330">
        <v>108.06769385840309113274736697</v>
      </c>
      <c r="AH43" s="332">
        <v>110.82999295487952907370901936</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181</v>
      </c>
      <c r="D46" s="276"/>
      <c r="E46" s="276"/>
      <c r="F46" s="276"/>
      <c r="G46" s="276"/>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4</v>
      </c>
      <c r="D47" s="280">
        <v>5</v>
      </c>
      <c r="E47" s="280">
        <v>6</v>
      </c>
      <c r="F47" s="280">
        <v>7</v>
      </c>
      <c r="G47" s="280">
        <v>8</v>
      </c>
      <c r="H47" s="280">
        <v>9</v>
      </c>
      <c r="I47" s="280">
        <v>10</v>
      </c>
      <c r="J47" s="280">
        <v>11</v>
      </c>
      <c r="K47" s="280">
        <v>12</v>
      </c>
      <c r="L47" s="280">
        <v>13</v>
      </c>
      <c r="M47" s="280">
        <v>14</v>
      </c>
      <c r="N47" s="280">
        <v>15</v>
      </c>
      <c r="O47" s="280">
        <v>16</v>
      </c>
      <c r="P47" s="280">
        <v>17</v>
      </c>
      <c r="Q47" s="280">
        <v>18</v>
      </c>
      <c r="R47" s="280">
        <v>19</v>
      </c>
      <c r="S47" s="280">
        <v>20</v>
      </c>
      <c r="T47" s="280">
        <v>21</v>
      </c>
      <c r="U47" s="280">
        <v>22</v>
      </c>
      <c r="V47" s="280">
        <v>23</v>
      </c>
      <c r="W47" s="280">
        <v>24</v>
      </c>
      <c r="X47" s="315">
        <v>25</v>
      </c>
      <c r="Y47" s="280">
        <v>26</v>
      </c>
      <c r="Z47" s="280">
        <v>27</v>
      </c>
      <c r="AA47" s="280">
        <v>28</v>
      </c>
      <c r="AB47" s="280">
        <v>29</v>
      </c>
      <c r="AC47" s="280">
        <v>30</v>
      </c>
      <c r="AD47" s="373">
        <v>31</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-11.183414990265685606739497800</v>
      </c>
      <c r="D48" s="445">
        <v>2.1097312128761160077606928700</v>
      </c>
      <c r="E48" s="445">
        <v>-57.238062085002496488448100820</v>
      </c>
      <c r="F48" s="445">
        <v>-38.785093196519790452675660530</v>
      </c>
      <c r="G48" s="445">
        <v>-12.631717140063084440520875870</v>
      </c>
      <c r="H48" s="445">
        <v>1.6140903514388129351212809500</v>
      </c>
      <c r="I48" s="445">
        <v>23.156514948980974863180813780</v>
      </c>
      <c r="J48" s="445">
        <v>-10.952795488226637400431650470</v>
      </c>
      <c r="K48" s="445">
        <v>-8.678311577045359397795105910</v>
      </c>
      <c r="L48" s="445">
        <v>0.6692389844676247717185084300</v>
      </c>
      <c r="M48" s="445">
        <v>-9.247883341852773055157378750</v>
      </c>
      <c r="N48" s="445">
        <v>9.412554360228533635457998220</v>
      </c>
      <c r="O48" s="445">
        <v>11.281703530282249515315061380</v>
      </c>
      <c r="P48" s="445">
        <v>15.298253434714359757578121470</v>
      </c>
      <c r="Q48" s="445">
        <v>-2.6712023900282101846995840600</v>
      </c>
      <c r="R48" s="445">
        <v>21.641285339185498792872703870</v>
      </c>
      <c r="S48" s="445">
        <v>61.317801493542561473855479900</v>
      </c>
      <c r="T48" s="445">
        <v>45.884024284460058156645998410</v>
      </c>
      <c r="U48" s="445">
        <v>40.338198756526344950322382840</v>
      </c>
      <c r="V48" s="445">
        <v>-0.3998583239121042929371248400</v>
      </c>
      <c r="W48" s="445">
        <v>11.427682392020447820930932890</v>
      </c>
      <c r="X48" s="446">
        <v>22.223253938986922174137635030</v>
      </c>
      <c r="Y48" s="445">
        <v>0.2390790230166211591883840400</v>
      </c>
      <c r="Z48" s="445">
        <v>-0.7619028705200099614302375200</v>
      </c>
      <c r="AA48" s="445">
        <v>2.949305128653757350130019800</v>
      </c>
      <c r="AB48" s="445">
        <v>12.000243000739527912213916560</v>
      </c>
      <c r="AC48" s="445">
        <v>-26.106350620140641066086129680</v>
      </c>
      <c r="AD48" s="447">
        <v>-10.544929827626894593647537240</v>
      </c>
      <c r="AE48" s="448"/>
      <c r="AF48" s="444">
        <v>-3.9434915249312390476092962200</v>
      </c>
      <c r="AG48" s="445">
        <v>0.4857911861290329996625646200</v>
      </c>
      <c r="AH48" s="449">
        <v>-4.7928834602171348917178434700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183</v>
      </c>
      <c r="C49" s="329">
        <v>-15.276806098631948992873761440</v>
      </c>
      <c r="D49" s="330">
        <v>0.1815942620985746487264700</v>
      </c>
      <c r="E49" s="330">
        <v>-34.206879416295476729790449110</v>
      </c>
      <c r="F49" s="330">
        <v>-4.8956993561928813075814397400</v>
      </c>
      <c r="G49" s="330">
        <v>-3.9388434388900727122350969400</v>
      </c>
      <c r="H49" s="330">
        <v>-15.674607128274977875806880930</v>
      </c>
      <c r="I49" s="330">
        <v>1.7143527354410083939116012100</v>
      </c>
      <c r="J49" s="330">
        <v>-17.230075923049122593216721800</v>
      </c>
      <c r="K49" s="330">
        <v>-20.038394133784989276912117220</v>
      </c>
      <c r="L49" s="330">
        <v>-7.0153670066735976805433268700</v>
      </c>
      <c r="M49" s="330">
        <v>-16.975433872700496944516701860</v>
      </c>
      <c r="N49" s="330">
        <v>-10.956859606753683851610193550</v>
      </c>
      <c r="O49" s="330">
        <v>0.4597859748662869047306426700</v>
      </c>
      <c r="P49" s="330">
        <v>14.896292131919270367978396510</v>
      </c>
      <c r="Q49" s="330">
        <v>1.2248262793450835531577898500</v>
      </c>
      <c r="R49" s="330">
        <v>24.891488770565476458346041510</v>
      </c>
      <c r="S49" s="330">
        <v>65.929264540841941877227548830</v>
      </c>
      <c r="T49" s="330">
        <v>28.533155159342764728674391140</v>
      </c>
      <c r="U49" s="330">
        <v>20.390276182060702179187702210</v>
      </c>
      <c r="V49" s="330">
        <v>-10.418479414666536310883844240</v>
      </c>
      <c r="W49" s="330">
        <v>1.2179773978607181230011717700</v>
      </c>
      <c r="X49" s="331">
        <v>10.493554249538569013773023660</v>
      </c>
      <c r="Y49" s="330">
        <v>-17.328247188939831107761961310</v>
      </c>
      <c r="Z49" s="330">
        <v>-17.076620531236930483764633270</v>
      </c>
      <c r="AA49" s="330">
        <v>-4.7168526042904796525767483400</v>
      </c>
      <c r="AB49" s="330">
        <v>10.444109403316847616389691490</v>
      </c>
      <c r="AC49" s="330">
        <v>-20.791722537125539286765699600</v>
      </c>
      <c r="AD49" s="338">
        <v>-22.636943456024280084314261660</v>
      </c>
      <c r="AE49" s="88"/>
      <c r="AF49" s="329">
        <v>-10.663705703896356211965848430</v>
      </c>
      <c r="AG49" s="330">
        <v>-3.2555022697086552945571745600</v>
      </c>
      <c r="AH49" s="332">
        <v>-4.4683208280986902179135715500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181</v>
      </c>
      <c r="D52" s="276"/>
      <c r="E52" s="276"/>
      <c r="F52" s="276"/>
      <c r="G52" s="276"/>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4</v>
      </c>
      <c r="D53" s="280">
        <v>5</v>
      </c>
      <c r="E53" s="280">
        <v>6</v>
      </c>
      <c r="F53" s="280">
        <v>7</v>
      </c>
      <c r="G53" s="280">
        <v>8</v>
      </c>
      <c r="H53" s="280">
        <v>9</v>
      </c>
      <c r="I53" s="280">
        <v>10</v>
      </c>
      <c r="J53" s="280">
        <v>11</v>
      </c>
      <c r="K53" s="280">
        <v>12</v>
      </c>
      <c r="L53" s="280">
        <v>13</v>
      </c>
      <c r="M53" s="280">
        <v>14</v>
      </c>
      <c r="N53" s="280">
        <v>15</v>
      </c>
      <c r="O53" s="280">
        <v>16</v>
      </c>
      <c r="P53" s="280">
        <v>17</v>
      </c>
      <c r="Q53" s="280">
        <v>18</v>
      </c>
      <c r="R53" s="280">
        <v>19</v>
      </c>
      <c r="S53" s="280">
        <v>20</v>
      </c>
      <c r="T53" s="280">
        <v>21</v>
      </c>
      <c r="U53" s="280">
        <v>22</v>
      </c>
      <c r="V53" s="280">
        <v>23</v>
      </c>
      <c r="W53" s="280">
        <v>24</v>
      </c>
      <c r="X53" s="315">
        <v>25</v>
      </c>
      <c r="Y53" s="280">
        <v>26</v>
      </c>
      <c r="Z53" s="280">
        <v>27</v>
      </c>
      <c r="AA53" s="280">
        <v>28</v>
      </c>
      <c r="AB53" s="280">
        <v>29</v>
      </c>
      <c r="AC53" s="280">
        <v>30</v>
      </c>
      <c r="AD53" s="373">
        <v>31</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171</v>
      </c>
      <c r="D54" s="445" t="s">
        <v>171</v>
      </c>
      <c r="E54" s="445" t="s">
        <v>172</v>
      </c>
      <c r="F54" s="445" t="s">
        <v>171</v>
      </c>
      <c r="G54" s="445" t="s">
        <v>171</v>
      </c>
      <c r="H54" s="445" t="s">
        <v>171</v>
      </c>
      <c r="I54" s="445" t="s">
        <v>171</v>
      </c>
      <c r="J54" s="445" t="s">
        <v>172</v>
      </c>
      <c r="K54" s="445" t="s">
        <v>172</v>
      </c>
      <c r="L54" s="445" t="s">
        <v>172</v>
      </c>
      <c r="M54" s="445" t="s">
        <v>172</v>
      </c>
      <c r="N54" s="445" t="s">
        <v>171</v>
      </c>
      <c r="O54" s="445" t="s">
        <v>171</v>
      </c>
      <c r="P54" s="445" t="s">
        <v>171</v>
      </c>
      <c r="Q54" s="445" t="s">
        <v>171</v>
      </c>
      <c r="R54" s="445" t="s">
        <v>171</v>
      </c>
      <c r="S54" s="445" t="s">
        <v>171</v>
      </c>
      <c r="T54" s="445" t="s">
        <v>171</v>
      </c>
      <c r="U54" s="445" t="s">
        <v>171</v>
      </c>
      <c r="V54" s="445" t="s">
        <v>172</v>
      </c>
      <c r="W54" s="445" t="s">
        <v>171</v>
      </c>
      <c r="X54" s="446" t="s">
        <v>171</v>
      </c>
      <c r="Y54" s="445" t="s">
        <v>171</v>
      </c>
      <c r="Z54" s="445" t="s">
        <v>172</v>
      </c>
      <c r="AA54" s="445" t="s">
        <v>171</v>
      </c>
      <c r="AB54" s="445" t="s">
        <v>172</v>
      </c>
      <c r="AC54" s="445" t="s">
        <v>172</v>
      </c>
      <c r="AD54" s="447" t="s">
        <v>172</v>
      </c>
      <c r="AE54" s="448"/>
      <c r="AF54" s="444" t="s">
        <v>171</v>
      </c>
      <c r="AG54" s="445" t="s">
        <v>171</v>
      </c>
      <c r="AH54" s="449" t="s">
        <v>171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172</v>
      </c>
      <c r="D55" s="330" t="s">
        <v>171</v>
      </c>
      <c r="E55" s="330" t="s">
        <v>173</v>
      </c>
      <c r="F55" s="330" t="s">
        <v>173</v>
      </c>
      <c r="G55" s="330" t="s">
        <v>171</v>
      </c>
      <c r="H55" s="330" t="s">
        <v>171</v>
      </c>
      <c r="I55" s="330" t="s">
        <v>171</v>
      </c>
      <c r="J55" s="330" t="s">
        <v>172</v>
      </c>
      <c r="K55" s="330" t="s">
        <v>173</v>
      </c>
      <c r="L55" s="330" t="s">
        <v>171</v>
      </c>
      <c r="M55" s="330" t="s">
        <v>172</v>
      </c>
      <c r="N55" s="330" t="s">
        <v>171</v>
      </c>
      <c r="O55" s="330" t="s">
        <v>170</v>
      </c>
      <c r="P55" s="330" t="s">
        <v>170</v>
      </c>
      <c r="Q55" s="330" t="s">
        <v>171</v>
      </c>
      <c r="R55" s="330" t="s">
        <v>170</v>
      </c>
      <c r="S55" s="330" t="s">
        <v>170</v>
      </c>
      <c r="T55" s="330" t="s">
        <v>170</v>
      </c>
      <c r="U55" s="330" t="s">
        <v>170</v>
      </c>
      <c r="V55" s="330" t="s">
        <v>172</v>
      </c>
      <c r="W55" s="330" t="s">
        <v>170</v>
      </c>
      <c r="X55" s="89" t="s">
        <v>170</v>
      </c>
      <c r="Y55" s="90" t="s">
        <v>172</v>
      </c>
      <c r="Z55" s="90" t="s">
        <v>172</v>
      </c>
      <c r="AA55" s="90" t="s">
        <v>171</v>
      </c>
      <c r="AB55" s="90" t="s">
        <v>171</v>
      </c>
      <c r="AC55" s="90" t="s">
        <v>173</v>
      </c>
      <c r="AD55" s="91" t="s">
        <v>172</v>
      </c>
      <c r="AE55" s="88"/>
      <c r="AF55" s="329" t="s">
        <v>172</v>
      </c>
      <c r="AG55" s="330" t="s">
        <v>170</v>
      </c>
      <c r="AH55" s="332" t="s">
        <v>172</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8"/>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8"/>
      <c r="Z65" s="658"/>
      <c r="AA65" s="658"/>
      <c r="AB65" s="658"/>
      <c r="AC65" s="658"/>
      <c r="AD65" s="658"/>
      <c r="AE65" s="658"/>
      <c r="AF65" s="658"/>
      <c r="AG65" s="658"/>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5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58"/>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58"/>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58"/>
      <c r="B72" s="658" t="n">
        <v>45731</v>
      </c>
      <c r="C72" s="658">
        <v>45738</v>
      </c>
      <c r="D72" s="658">
        <v>45745</v>
      </c>
      <c r="E72" s="658">
        <v>45752</v>
      </c>
      <c r="F72" s="658">
        <v>45759</v>
      </c>
      <c r="G72" s="658">
        <v>45766</v>
      </c>
      <c r="H72" s="658">
        <v>45773</v>
      </c>
      <c r="I72" s="658">
        <v>45780</v>
      </c>
      <c r="J72" s="658">
        <v>45787</v>
      </c>
      <c r="K72" s="658">
        <v>45794</v>
      </c>
      <c r="L72" s="658">
        <v>45801</v>
      </c>
      <c r="M72" s="658">
        <v>45808</v>
      </c>
      <c r="N72" s="658"/>
      <c r="O72" s="658"/>
      <c r="P72" s="658"/>
      <c r="Q72" s="658"/>
      <c r="R72" s="658"/>
      <c r="S72" s="658"/>
      <c r="T72" s="658"/>
      <c r="U72" s="658"/>
      <c r="V72" s="658"/>
      <c r="W72" s="658"/>
      <c r="X72" s="658"/>
      <c r="Y72" s="658"/>
      <c r="Z72" s="658"/>
      <c r="AA72" s="658"/>
      <c r="AB72" s="658"/>
      <c r="AC72" s="658"/>
      <c r="AD72" s="658"/>
      <c r="AE72" s="658"/>
      <c r="AF72" s="658"/>
      <c r="AG72" s="65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58" t="s">
        <v>32</v>
      </c>
      <c r="B73" s="658">
        <v>247.67965367965367965367965368</v>
      </c>
      <c r="C73" s="658">
        <v>265.47943722943722943722943723</v>
      </c>
      <c r="D73" s="658">
        <v>296.08658008658008658008658009</v>
      </c>
      <c r="E73" s="658">
        <v>252.03571428571428571428571429</v>
      </c>
      <c r="F73" s="658">
        <v>279.31818181818181818181818182</v>
      </c>
      <c r="G73" s="658">
        <v>251.6991341991341991341991342</v>
      </c>
      <c r="H73" s="658">
        <v>207.94372294372294372294372294</v>
      </c>
      <c r="I73" s="658">
        <v>302.96103896103896103896103896</v>
      </c>
      <c r="J73" s="658">
        <v>181.91774891774891774891774892</v>
      </c>
      <c r="K73" s="658">
        <v>149.96103896103896103896103896</v>
      </c>
      <c r="L73" s="658">
        <v>187.78571428571428571428571429</v>
      </c>
      <c r="M73" s="658">
        <v>128.754329004329004329004329</v>
      </c>
      <c r="N73" s="658"/>
      <c r="O73" s="658"/>
      <c r="P73" s="658"/>
      <c r="Q73" s="658"/>
      <c r="R73" s="658"/>
      <c r="S73" s="658"/>
      <c r="T73" s="658"/>
      <c r="U73" s="658"/>
      <c r="V73" s="658"/>
      <c r="W73" s="658"/>
      <c r="X73" s="658"/>
      <c r="Y73" s="658"/>
      <c r="Z73" s="658"/>
      <c r="AA73" s="658"/>
      <c r="AB73" s="658"/>
      <c r="AC73" s="658"/>
      <c r="AD73" s="658"/>
      <c r="AE73" s="658"/>
      <c r="AF73" s="658"/>
      <c r="AG73" s="65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58" t="s">
        <v>26</v>
      </c>
      <c r="B74" s="658">
        <v>299.40697674418604651162790698</v>
      </c>
      <c r="C74" s="658">
        <v>354.58803986710963455149501661</v>
      </c>
      <c r="D74" s="658">
        <v>336.18895348837209302325581395</v>
      </c>
      <c r="E74" s="658">
        <v>299.52533222591362126245847176</v>
      </c>
      <c r="F74" s="658">
        <v>289.09634551495016611295681063</v>
      </c>
      <c r="G74" s="658">
        <v>337.73421926910299003322259136</v>
      </c>
      <c r="H74" s="658">
        <v>285.61960132890365448504983389</v>
      </c>
      <c r="I74" s="658">
        <v>362.99086378737541528239202658</v>
      </c>
      <c r="J74" s="658">
        <v>206.04651162790697674418604651</v>
      </c>
      <c r="K74" s="658">
        <v>159.15905315614617940199335548</v>
      </c>
      <c r="L74" s="658">
        <v>208.39119601328903654485049834</v>
      </c>
      <c r="M74" s="658">
        <v>172.22009966777408637873754153</v>
      </c>
      <c r="N74" s="658"/>
      <c r="O74" s="658"/>
      <c r="P74" s="658"/>
      <c r="Q74" s="658"/>
      <c r="R74" s="658"/>
      <c r="S74" s="658"/>
      <c r="T74" s="658"/>
      <c r="U74" s="658"/>
      <c r="V74" s="658"/>
      <c r="W74" s="658"/>
      <c r="X74" s="658"/>
      <c r="Y74" s="658"/>
      <c r="Z74" s="658"/>
      <c r="AA74" s="658"/>
      <c r="AB74" s="658"/>
      <c r="AC74" s="658"/>
      <c r="AD74" s="658"/>
      <c r="AE74" s="658"/>
      <c r="AF74" s="658"/>
      <c r="AG74" s="65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58" t="s">
        <v>183</v>
      </c>
      <c r="B75" s="658">
        <v>213.79726573541006530697252347</v>
      </c>
      <c r="C75" s="658">
        <v>254.78639115752517814373484477</v>
      </c>
      <c r="D75" s="658">
        <v>256.73475550795138424004403386</v>
      </c>
      <c r="E75" s="658">
        <v>221.94389601107785768526376915</v>
      </c>
      <c r="F75" s="658">
        <v>231.00373862400762619717890284</v>
      </c>
      <c r="G75" s="658">
        <v>207.32838822110013852272219491</v>
      </c>
      <c r="H75" s="658">
        <v>174.46452775667664626063124656</v>
      </c>
      <c r="I75" s="658">
        <v>258.9583687087597003142827353</v>
      </c>
      <c r="J75" s="658">
        <v>168.17802404039501318200098306</v>
      </c>
      <c r="K75" s="658">
        <v>152.37934372998495613447130494</v>
      </c>
      <c r="L75" s="658">
        <v>152.38144391319242742452001132</v>
      </c>
      <c r="M75" s="658">
        <v>127.07291061560689336729374265</v>
      </c>
      <c r="N75" s="658"/>
      <c r="O75" s="658"/>
      <c r="P75" s="658"/>
      <c r="Q75" s="658"/>
      <c r="R75" s="658"/>
      <c r="S75" s="658"/>
      <c r="T75" s="658"/>
      <c r="U75" s="658"/>
      <c r="V75" s="658"/>
      <c r="W75" s="658"/>
      <c r="X75" s="658"/>
      <c r="Y75" s="658"/>
      <c r="Z75" s="658"/>
      <c r="AA75" s="658"/>
      <c r="AB75" s="658"/>
      <c r="AC75" s="658"/>
      <c r="AD75" s="658"/>
      <c r="AE75" s="658"/>
      <c r="AF75" s="658"/>
      <c r="AG75" s="65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58"/>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58"/>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58"/>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8"/>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8"/>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8"/>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8"/>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8"/>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8"/>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8"/>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8"/>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8"/>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8"/>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8"/>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8"/>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8"/>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8"/>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8"/>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8"/>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107" display="For all STR definitions, please click here or visit www.str.com/data-insights/resources/glossary"/>
    <hyperlink ref="A14:I14" r:id="rId108" display="For the latest in industry news, visit HotelNewsNow.com."/>
    <hyperlink ref="A15:I15" r:id="rId109" display="To learn more about the Hotel Data Conference, visit HotelDataConference.com."/>
    <hyperlink ref="A9:F9" r:id="rId110" display="For all STR FAQs, please click here or visit www.str.com/data-insights/resources/FAQ"/>
    <hyperlink ref="A12:E12" r:id="rId111"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115</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0.9621212121212121212121212121</v>
      </c>
      <c r="F5" s="219">
        <v>4.9586776859122464312547095900</v>
      </c>
      <c r="G5" s="217"/>
      <c r="H5" s="221">
        <v>0.7348484848484848484848484848</v>
      </c>
      <c r="I5" s="219">
        <v>-4.9019607842801614763552361400</v>
      </c>
      <c r="J5" s="217"/>
      <c r="K5" s="221">
        <v>0.6666666666666666666666666667</v>
      </c>
      <c r="L5" s="219">
        <v>-9.278350515404059942608101640</v>
      </c>
      <c r="M5" s="217"/>
      <c r="N5" s="221">
        <v>0.7272727272727272727272727273</v>
      </c>
      <c r="O5" s="219">
        <v>4.3478260869111531190926473300</v>
      </c>
      <c r="P5" s="217"/>
      <c r="Q5" s="221">
        <v>0.7575757575757575757575757576</v>
      </c>
      <c r="R5" s="219">
        <v>4.1666666666276041666666813200</v>
      </c>
      <c r="S5" s="217"/>
      <c r="T5" s="221">
        <v>0.7348484848484848484848484848</v>
      </c>
      <c r="U5" s="219">
        <v>-15.652173913031742911153117470</v>
      </c>
      <c r="V5" s="217"/>
      <c r="W5" s="221">
        <v>0.7272727272727272727272727273</v>
      </c>
      <c r="X5" s="219">
        <v>-20.661157024822238918106676210</v>
      </c>
      <c r="Y5" s="217"/>
      <c r="Z5" s="222">
        <v>0.7586580086580086580086580087</v>
      </c>
      <c r="AA5" s="219">
        <v>-5.7795698924959135449184821700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0.8139534883720930232558139535</v>
      </c>
      <c r="F6" s="219">
        <v>-9.090909090878394332939777120</v>
      </c>
      <c r="G6" s="217"/>
      <c r="H6" s="221">
        <v>0.6395348837209302325581395349</v>
      </c>
      <c r="I6" s="219">
        <v>-11.646586345341784809922402730</v>
      </c>
      <c r="J6" s="217"/>
      <c r="K6" s="221">
        <v>0.5523255813953488372093023256</v>
      </c>
      <c r="L6" s="219">
        <v>-16.299559471336140813910603040</v>
      </c>
      <c r="M6" s="217"/>
      <c r="N6" s="221">
        <v>0.6104651162790697674418604651</v>
      </c>
      <c r="O6" s="219">
        <v>-11.016949152554438379775924820</v>
      </c>
      <c r="P6" s="217"/>
      <c r="Q6" s="221">
        <v>0.7325581395348837209302325581</v>
      </c>
      <c r="R6" s="219">
        <v>-9.025270758175292262377949290</v>
      </c>
      <c r="S6" s="217"/>
      <c r="T6" s="221">
        <v>0.869186046511627906976744186</v>
      </c>
      <c r="U6" s="219">
        <v>0.6734006734305025564284911900</v>
      </c>
      <c r="V6" s="217"/>
      <c r="W6" s="221">
        <v>0.8372093023255813953488372093</v>
      </c>
      <c r="X6" s="219">
        <v>-6.7961165048036949759637767700</v>
      </c>
      <c r="Y6" s="217"/>
      <c r="Z6" s="222">
        <v>0.7221760797342192691029900332</v>
      </c>
      <c r="AA6" s="219">
        <v>-8.289154598973897595482358190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118.20346320347671243042671768</v>
      </c>
      <c r="F7" s="218">
        <v>15.454545454504949562065861480</v>
      </c>
      <c r="H7" s="223">
        <v>114.90358126720509591785624979</v>
      </c>
      <c r="I7" s="218">
        <v>7.6336898394797990097708508700</v>
      </c>
      <c r="K7" s="223">
        <v>120.70175438604114496768241196</v>
      </c>
      <c r="L7" s="218">
        <v>8.388497015801006630426841140</v>
      </c>
      <c r="N7" s="223">
        <v>119.13419913421274953617810917</v>
      </c>
      <c r="O7" s="218">
        <v>17.267080745374462562903569960</v>
      </c>
      <c r="Q7" s="223">
        <v>103.41510341508700000763493088</v>
      </c>
      <c r="R7" s="218">
        <v>14.500661375660675618110978150</v>
      </c>
      <c r="T7" s="223">
        <v>84.54444106614400367699773058</v>
      </c>
      <c r="U7" s="218">
        <v>-16.216373418727283919198409430</v>
      </c>
      <c r="W7" s="223">
        <v>86.86868686864343434343436515</v>
      </c>
      <c r="X7" s="218">
        <v>-14.876033057917197246343853100</v>
      </c>
      <c r="Z7" s="224">
        <v>105.05166675382630944711378309</v>
      </c>
      <c r="AA7" s="218">
        <v>2.7364099584777242422568380300</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171</v>
      </c>
      <c r="G8" s="229"/>
      <c r="H8" s="227" t="s">
        <v>171</v>
      </c>
      <c r="I8" s="228" t="s">
        <v>171</v>
      </c>
      <c r="J8" s="229"/>
      <c r="K8" s="227" t="s">
        <v>171</v>
      </c>
      <c r="L8" s="228" t="s">
        <v>172</v>
      </c>
      <c r="M8" s="229"/>
      <c r="N8" s="227" t="s">
        <v>170</v>
      </c>
      <c r="O8" s="228" t="s">
        <v>171</v>
      </c>
      <c r="P8" s="229"/>
      <c r="Q8" s="227" t="s">
        <v>172</v>
      </c>
      <c r="R8" s="228" t="s">
        <v>171</v>
      </c>
      <c r="S8" s="229"/>
      <c r="T8" s="227" t="s">
        <v>173</v>
      </c>
      <c r="U8" s="228" t="s">
        <v>174</v>
      </c>
      <c r="V8" s="229"/>
      <c r="W8" s="227" t="s">
        <v>173</v>
      </c>
      <c r="X8" s="228" t="s">
        <v>174</v>
      </c>
      <c r="Y8" s="229"/>
      <c r="Z8" s="230" t="s">
        <v>171</v>
      </c>
      <c r="AA8" s="228" t="s">
        <v>172</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0.9621212121212121212121212121</v>
      </c>
      <c r="F10" s="219">
        <v>4.9586776859122464312547095900</v>
      </c>
      <c r="G10" s="217"/>
      <c r="H10" s="221">
        <v>0.7348484848484848484848484848</v>
      </c>
      <c r="I10" s="219">
        <v>-4.9019607842801614763552361400</v>
      </c>
      <c r="J10" s="217"/>
      <c r="K10" s="221">
        <v>0.6666666666666666666666666667</v>
      </c>
      <c r="L10" s="219">
        <v>-9.278350515404059942608101640</v>
      </c>
      <c r="M10" s="217"/>
      <c r="N10" s="221">
        <v>0.7272727272727272727272727273</v>
      </c>
      <c r="O10" s="219">
        <v>4.3478260869111531190926473300</v>
      </c>
      <c r="P10" s="217"/>
      <c r="Q10" s="221">
        <v>0.7575757575757575757575757576</v>
      </c>
      <c r="R10" s="219">
        <v>4.1666666666276041666666813200</v>
      </c>
      <c r="S10" s="217"/>
      <c r="T10" s="221">
        <v>0.7348484848484848484848484848</v>
      </c>
      <c r="U10" s="219">
        <v>-15.652173913031742911153117470</v>
      </c>
      <c r="V10" s="217"/>
      <c r="W10" s="221">
        <v>0.7272727272727272727272727273</v>
      </c>
      <c r="X10" s="219">
        <v>-20.661157024822238918106676210</v>
      </c>
      <c r="Y10" s="217"/>
      <c r="Z10" s="222">
        <v>0.7586580086580086580086580087</v>
      </c>
      <c r="AA10" s="219">
        <v>-5.7795698924959135449184821700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0.8110465116279069767441860465</v>
      </c>
      <c r="F11" s="219">
        <v>-8.524590163960819134641217860</v>
      </c>
      <c r="G11" s="217"/>
      <c r="H11" s="221">
        <v>0.6395348837209302325581395349</v>
      </c>
      <c r="I11" s="219">
        <v>-10.569105691085993786767126500</v>
      </c>
      <c r="J11" s="217"/>
      <c r="K11" s="221">
        <v>0.5523255813953488372093023256</v>
      </c>
      <c r="L11" s="219">
        <v>-15.178571428613839285714264510</v>
      </c>
      <c r="M11" s="217"/>
      <c r="N11" s="221">
        <v>0.6104651162790697674418604651</v>
      </c>
      <c r="O11" s="219">
        <v>-8.296943231495509238954221010</v>
      </c>
      <c r="P11" s="217"/>
      <c r="Q11" s="221">
        <v>0.7325581395348837209302325581</v>
      </c>
      <c r="R11" s="219">
        <v>-9.025270758175292262377949290</v>
      </c>
      <c r="S11" s="217"/>
      <c r="T11" s="221">
        <v>0.869186046511627906976744186</v>
      </c>
      <c r="U11" s="219">
        <v>4.1811846690389151258361996200</v>
      </c>
      <c r="V11" s="217"/>
      <c r="W11" s="221">
        <v>0.8372093023255813953488372093</v>
      </c>
      <c r="X11" s="219">
        <v>-4.9504950494647975688657805100</v>
      </c>
      <c r="Y11" s="217"/>
      <c r="Z11" s="222">
        <v>0.7217607973421926910299003322</v>
      </c>
      <c r="AA11" s="219">
        <v>-6.7816343903205514125641656600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118.62713153035733680894971217</v>
      </c>
      <c r="F12" s="218">
        <v>14.739773097616101004597676810</v>
      </c>
      <c r="H12" s="223">
        <v>114.90358126721763085399449035</v>
      </c>
      <c r="I12" s="218">
        <v>6.3368983957158525178779619500</v>
      </c>
      <c r="K12" s="223">
        <v>120.70175438596491228070175439</v>
      </c>
      <c r="L12" s="218">
        <v>6.9560499187084623512009700500</v>
      </c>
      <c r="N12" s="223">
        <v>119.13419913419913419913419914</v>
      </c>
      <c r="O12" s="218">
        <v>13.788819875882782994483326330</v>
      </c>
      <c r="Q12" s="223">
        <v>103.41510341510341510341510342</v>
      </c>
      <c r="R12" s="218">
        <v>14.500661375660675618110978150</v>
      </c>
      <c r="T12" s="223">
        <v>84.54444106618019661497922367</v>
      </c>
      <c r="U12" s="218">
        <v>-19.037370946668718156542344480</v>
      </c>
      <c r="W12" s="223">
        <v>86.86868686868686868686868687</v>
      </c>
      <c r="X12" s="218">
        <v>-16.528925619873181556095240370</v>
      </c>
      <c r="Z12" s="224">
        <v>105.11211075077588311190152388</v>
      </c>
      <c r="AA12" s="218">
        <v>1.0749646717324231995037061800</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171</v>
      </c>
      <c r="G13" s="176"/>
      <c r="H13" s="231" t="s">
        <v>171</v>
      </c>
      <c r="I13" s="232" t="s">
        <v>171</v>
      </c>
      <c r="J13" s="176"/>
      <c r="K13" s="231" t="s">
        <v>171</v>
      </c>
      <c r="L13" s="232" t="s">
        <v>172</v>
      </c>
      <c r="M13" s="176"/>
      <c r="N13" s="231" t="s">
        <v>170</v>
      </c>
      <c r="O13" s="232" t="s">
        <v>171</v>
      </c>
      <c r="P13" s="176"/>
      <c r="Q13" s="231" t="s">
        <v>172</v>
      </c>
      <c r="R13" s="232" t="s">
        <v>176</v>
      </c>
      <c r="S13" s="176"/>
      <c r="T13" s="231" t="s">
        <v>173</v>
      </c>
      <c r="U13" s="232" t="s">
        <v>174</v>
      </c>
      <c r="V13" s="176"/>
      <c r="W13" s="231" t="s">
        <v>173</v>
      </c>
      <c r="X13" s="232" t="s">
        <v>174</v>
      </c>
      <c r="Y13" s="176"/>
      <c r="Z13" s="233" t="s">
        <v>171</v>
      </c>
      <c r="AA13" s="232" t="s">
        <v>172</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v>
      </c>
      <c r="F15" s="219">
        <v>0</v>
      </c>
      <c r="G15" s="217"/>
      <c r="H15" s="221">
        <v>0</v>
      </c>
      <c r="I15" s="219">
        <v>0</v>
      </c>
      <c r="J15" s="217"/>
      <c r="K15" s="221">
        <v>0</v>
      </c>
      <c r="L15" s="219">
        <v>0</v>
      </c>
      <c r="M15" s="217"/>
      <c r="N15" s="221">
        <v>0</v>
      </c>
      <c r="O15" s="219">
        <v>0</v>
      </c>
      <c r="P15" s="217"/>
      <c r="Q15" s="221">
        <v>0</v>
      </c>
      <c r="R15" s="219">
        <v>0</v>
      </c>
      <c r="S15" s="217"/>
      <c r="T15" s="221">
        <v>0</v>
      </c>
      <c r="U15" s="219">
        <v>0</v>
      </c>
      <c r="V15" s="217"/>
      <c r="W15" s="221">
        <v>0</v>
      </c>
      <c r="X15" s="219">
        <v>0</v>
      </c>
      <c r="Y15" s="217"/>
      <c r="Z15" s="222">
        <v>0</v>
      </c>
      <c r="AA15" s="219">
        <v>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0.002906976744186046511627907</v>
      </c>
      <c r="F16" s="219">
        <v>-66.666666668355555555469984920</v>
      </c>
      <c r="G16" s="217"/>
      <c r="H16" s="221">
        <v>0</v>
      </c>
      <c r="I16" s="219">
        <v>-100</v>
      </c>
      <c r="J16" s="217"/>
      <c r="K16" s="221">
        <v>0</v>
      </c>
      <c r="L16" s="219">
        <v>-100</v>
      </c>
      <c r="M16" s="217"/>
      <c r="N16" s="221">
        <v>0</v>
      </c>
      <c r="O16" s="219">
        <v>-100</v>
      </c>
      <c r="P16" s="217"/>
      <c r="Q16" s="221">
        <v>0</v>
      </c>
      <c r="R16" s="219">
        <v>0</v>
      </c>
      <c r="S16" s="217"/>
      <c r="T16" s="221">
        <v>0</v>
      </c>
      <c r="U16" s="219">
        <v>-100</v>
      </c>
      <c r="V16" s="217"/>
      <c r="W16" s="221">
        <v>0</v>
      </c>
      <c r="X16" s="219">
        <v>-100</v>
      </c>
      <c r="Y16" s="217"/>
      <c r="Z16" s="222">
        <v>0.000415282392026578073089701</v>
      </c>
      <c r="AA16" s="219">
        <v>-96.84916102582142140311998823</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0</v>
      </c>
      <c r="F17" s="218">
        <v>0</v>
      </c>
      <c r="H17" s="223"/>
      <c r="I17" s="218">
        <v>0</v>
      </c>
      <c r="K17" s="223"/>
      <c r="L17" s="218">
        <v>0</v>
      </c>
      <c r="N17" s="223"/>
      <c r="O17" s="218">
        <v>0</v>
      </c>
      <c r="Q17" s="223"/>
      <c r="R17" s="218">
        <v>0</v>
      </c>
      <c r="T17" s="223"/>
      <c r="U17" s="218">
        <v>0</v>
      </c>
      <c r="W17" s="223"/>
      <c r="X17" s="218">
        <v>0</v>
      </c>
      <c r="Z17" s="224">
        <v>0</v>
      </c>
      <c r="AA17" s="218">
        <v>0</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175</v>
      </c>
      <c r="F18" s="232"/>
      <c r="G18" s="176"/>
      <c r="H18" s="231" t="s">
        <v>175</v>
      </c>
      <c r="I18" s="232"/>
      <c r="J18" s="176"/>
      <c r="K18" s="231" t="s">
        <v>175</v>
      </c>
      <c r="L18" s="232"/>
      <c r="M18" s="176"/>
      <c r="N18" s="231" t="s">
        <v>175</v>
      </c>
      <c r="O18" s="232"/>
      <c r="P18" s="176"/>
      <c r="Q18" s="231" t="s">
        <v>175</v>
      </c>
      <c r="R18" s="232"/>
      <c r="S18" s="176"/>
      <c r="T18" s="231" t="s">
        <v>175</v>
      </c>
      <c r="U18" s="232"/>
      <c r="V18" s="176"/>
      <c r="W18" s="231" t="s">
        <v>175</v>
      </c>
      <c r="X18" s="232"/>
      <c r="Y18" s="176"/>
      <c r="Z18" s="233" t="s">
        <v>175</v>
      </c>
      <c r="AA18" s="232"/>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c r="F22" s="218">
        <v>0</v>
      </c>
      <c r="H22" s="223"/>
      <c r="I22" s="218">
        <v>0</v>
      </c>
      <c r="K22" s="223"/>
      <c r="L22" s="218">
        <v>0</v>
      </c>
      <c r="N22" s="223"/>
      <c r="O22" s="218">
        <v>0</v>
      </c>
      <c r="Q22" s="223"/>
      <c r="R22" s="218">
        <v>0</v>
      </c>
      <c r="T22" s="223"/>
      <c r="U22" s="218">
        <v>0</v>
      </c>
      <c r="W22" s="223"/>
      <c r="X22" s="218">
        <v>0</v>
      </c>
      <c r="Z22" s="224"/>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175</v>
      </c>
      <c r="F23" s="232"/>
      <c r="G23" s="176"/>
      <c r="H23" s="231" t="s">
        <v>175</v>
      </c>
      <c r="I23" s="232"/>
      <c r="J23" s="176"/>
      <c r="K23" s="231" t="s">
        <v>175</v>
      </c>
      <c r="L23" s="232"/>
      <c r="M23" s="176"/>
      <c r="N23" s="231" t="s">
        <v>175</v>
      </c>
      <c r="O23" s="232"/>
      <c r="P23" s="176"/>
      <c r="Q23" s="231" t="s">
        <v>175</v>
      </c>
      <c r="R23" s="232"/>
      <c r="S23" s="176"/>
      <c r="T23" s="231" t="s">
        <v>175</v>
      </c>
      <c r="U23" s="232"/>
      <c r="V23" s="176"/>
      <c r="W23" s="231" t="s">
        <v>175</v>
      </c>
      <c r="X23" s="232"/>
      <c r="Y23" s="176"/>
      <c r="Z23" s="233" t="s">
        <v>175</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186.29921259842519685039370079</v>
      </c>
      <c r="F27" s="219">
        <v>-1.7511997715539748722552936100</v>
      </c>
      <c r="G27" s="217"/>
      <c r="H27" s="598">
        <v>132.52577319587628865979381443</v>
      </c>
      <c r="I27" s="219">
        <v>-16.655596115810380280074757980</v>
      </c>
      <c r="J27" s="217"/>
      <c r="K27" s="225">
        <v>118.80681818181818181818181818</v>
      </c>
      <c r="L27" s="219">
        <v>-13.513986013974331072304804310</v>
      </c>
      <c r="M27" s="217"/>
      <c r="N27" s="598">
        <v>126.500000000</v>
      </c>
      <c r="O27" s="219">
        <v>-7.912644405766234363386246800</v>
      </c>
      <c r="P27" s="217"/>
      <c r="Q27" s="598">
        <v>155.880000000</v>
      </c>
      <c r="R27" s="219">
        <v>0.459720730375841091142776400</v>
      </c>
      <c r="S27" s="217"/>
      <c r="T27" s="598">
        <v>221.08247422680412371134020619</v>
      </c>
      <c r="U27" s="219">
        <v>-10.233786900799655028091700290</v>
      </c>
      <c r="V27" s="217"/>
      <c r="W27" s="598">
        <v>237.72916666666666666666666667</v>
      </c>
      <c r="X27" s="219">
        <v>-6.6912249686314204330709418700</v>
      </c>
      <c r="Y27" s="217"/>
      <c r="Z27" s="599">
        <v>169.71326676176890156918687589</v>
      </c>
      <c r="AA27" s="219">
        <v>-9.273587211072342747224179240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255.31785714285714285714285714</v>
      </c>
      <c r="F28" s="219">
        <v>-7.1922060142580296623800086200</v>
      </c>
      <c r="G28" s="217"/>
      <c r="H28" s="598">
        <v>192.11818181818181818181818181</v>
      </c>
      <c r="I28" s="219">
        <v>-10.507301094917167886920935210</v>
      </c>
      <c r="J28" s="217"/>
      <c r="K28" s="598">
        <v>203.86842105263157894736842104</v>
      </c>
      <c r="L28" s="219">
        <v>-5.5394113754534864843208026200</v>
      </c>
      <c r="M28" s="217"/>
      <c r="N28" s="598">
        <v>207.90000000000000000000000001</v>
      </c>
      <c r="O28" s="219">
        <v>4.8944949224869839707642134400</v>
      </c>
      <c r="P28" s="217"/>
      <c r="Q28" s="598">
        <v>239.05952380952380952380952382</v>
      </c>
      <c r="R28" s="219">
        <v>2.7024956112037405325802869500</v>
      </c>
      <c r="S28" s="217"/>
      <c r="T28" s="598">
        <v>290.58528428093645484949832778</v>
      </c>
      <c r="U28" s="219">
        <v>1.780585219983890182825700100</v>
      </c>
      <c r="V28" s="217"/>
      <c r="W28" s="598">
        <v>248.01736111111111111111111111</v>
      </c>
      <c r="X28" s="219">
        <v>-11.208911178816498431381382760</v>
      </c>
      <c r="Y28" s="217"/>
      <c r="Z28" s="599">
        <v>238.47383553766532489936745256</v>
      </c>
      <c r="AA28" s="219">
        <v>-2.9643478999422185742804991700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72.96756078214872079734837300</v>
      </c>
      <c r="F29" s="218">
        <v>5.862660891931274697738880900</v>
      </c>
      <c r="H29" s="223">
        <v>68.981380076397161429876456930</v>
      </c>
      <c r="I29" s="218">
        <v>-6.8701638190333339609935631600</v>
      </c>
      <c r="K29" s="223">
        <v>58.276224227569255502538271870</v>
      </c>
      <c r="L29" s="218">
        <v>-8.442224164271541979019582140</v>
      </c>
      <c r="N29" s="223">
        <v>60.846560846560846560846560850</v>
      </c>
      <c r="O29" s="218">
        <v>-12.209543825607664020653700680</v>
      </c>
      <c r="Q29" s="223">
        <v>65.205517653509805838120961090</v>
      </c>
      <c r="R29" s="218">
        <v>-2.1837588925579222938256529900</v>
      </c>
      <c r="T29" s="223">
        <v>76.081786031907378608929273820</v>
      </c>
      <c r="U29" s="218">
        <v>-11.804188485301566391104212760</v>
      </c>
      <c r="W29" s="223">
        <v>95.85182488905495983199603769</v>
      </c>
      <c r="X29" s="218">
        <v>5.087995056833536627351416500</v>
      </c>
      <c r="Z29" s="224">
        <v>71.166409673039021977927286960</v>
      </c>
      <c r="AA29" s="218">
        <v>-6.5019806375595713903976106200</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171</v>
      </c>
      <c r="F30" s="228" t="s">
        <v>170</v>
      </c>
      <c r="G30" s="229"/>
      <c r="H30" s="227" t="s">
        <v>171</v>
      </c>
      <c r="I30" s="228" t="s">
        <v>172</v>
      </c>
      <c r="J30" s="229"/>
      <c r="K30" s="227" t="s">
        <v>171</v>
      </c>
      <c r="L30" s="228" t="s">
        <v>172</v>
      </c>
      <c r="M30" s="229"/>
      <c r="N30" s="227" t="s">
        <v>171</v>
      </c>
      <c r="O30" s="228" t="s">
        <v>172</v>
      </c>
      <c r="P30" s="229"/>
      <c r="Q30" s="227" t="s">
        <v>171</v>
      </c>
      <c r="R30" s="228" t="s">
        <v>172</v>
      </c>
      <c r="S30" s="229"/>
      <c r="T30" s="227" t="s">
        <v>171</v>
      </c>
      <c r="U30" s="228" t="s">
        <v>171</v>
      </c>
      <c r="V30" s="229"/>
      <c r="W30" s="227" t="s">
        <v>171</v>
      </c>
      <c r="X30" s="228" t="s">
        <v>172</v>
      </c>
      <c r="Y30" s="229"/>
      <c r="Z30" s="230" t="s">
        <v>171</v>
      </c>
      <c r="AA30" s="228" t="s">
        <v>172</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186.29921259842519685039370079</v>
      </c>
      <c r="F32" s="219">
        <v>-1.7511997715539748722552936100</v>
      </c>
      <c r="G32" s="217"/>
      <c r="H32" s="598">
        <v>132.52577319587628865979381443</v>
      </c>
      <c r="I32" s="219">
        <v>-16.655596115810380280074757980</v>
      </c>
      <c r="J32" s="217"/>
      <c r="K32" s="598">
        <v>118.80681818181818181818181818</v>
      </c>
      <c r="L32" s="219">
        <v>-13.513986013974331072304804310</v>
      </c>
      <c r="M32" s="217"/>
      <c r="N32" s="598">
        <v>126.5</v>
      </c>
      <c r="O32" s="219">
        <v>-7.912644405766234363386246800</v>
      </c>
      <c r="P32" s="217"/>
      <c r="Q32" s="598">
        <v>155.88</v>
      </c>
      <c r="R32" s="219">
        <v>0.459720730375841091142776400</v>
      </c>
      <c r="S32" s="217"/>
      <c r="T32" s="598">
        <v>221.08247422680412371134020619</v>
      </c>
      <c r="U32" s="219">
        <v>-10.233786900799655028091700290</v>
      </c>
      <c r="V32" s="217"/>
      <c r="W32" s="598">
        <v>237.72916666666666666666666667</v>
      </c>
      <c r="X32" s="219">
        <v>-6.6912249686314204330709418700</v>
      </c>
      <c r="Y32" s="217"/>
      <c r="Z32" s="599">
        <v>169.71326676176890156918687589</v>
      </c>
      <c r="AA32" s="219">
        <v>-9.273587211072342747224179240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255.01792114695340501792114695</v>
      </c>
      <c r="F33" s="219">
        <v>-7.2374554856830051340812272300</v>
      </c>
      <c r="G33" s="217"/>
      <c r="H33" s="598">
        <v>192.11818181818181818181818182</v>
      </c>
      <c r="I33" s="219">
        <v>-10.424228639957184628609934480</v>
      </c>
      <c r="J33" s="217"/>
      <c r="K33" s="598">
        <v>203.86842105263157894736842103</v>
      </c>
      <c r="L33" s="219">
        <v>-5.4503689190532969709187850300</v>
      </c>
      <c r="M33" s="217"/>
      <c r="N33" s="598">
        <v>207.9</v>
      </c>
      <c r="O33" s="219">
        <v>4.2185105730949840684008518400</v>
      </c>
      <c r="P33" s="217"/>
      <c r="Q33" s="598">
        <v>239.05952380952380952380952381</v>
      </c>
      <c r="R33" s="219">
        <v>2.7024956112037405325802869400</v>
      </c>
      <c r="S33" s="217"/>
      <c r="T33" s="598">
        <v>290.58528428093645484949832779</v>
      </c>
      <c r="U33" s="219">
        <v>0.1729365419354655770132219700</v>
      </c>
      <c r="V33" s="217"/>
      <c r="W33" s="598">
        <v>248.01736111111111111111111111</v>
      </c>
      <c r="X33" s="219">
        <v>-11.970222546301268637770528570</v>
      </c>
      <c r="Y33" s="217"/>
      <c r="Z33" s="599">
        <v>238.41599539700805523590333717</v>
      </c>
      <c r="AA33" s="219">
        <v>-3.4039880987306103799264290400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73.053380625383879017933721040</v>
      </c>
      <c r="F34" s="218">
        <v>5.9143005863328728977399804800</v>
      </c>
      <c r="H34" s="223">
        <v>68.981380076403689739163013240</v>
      </c>
      <c r="I34" s="218">
        <v>-6.9565323092140977320615158900</v>
      </c>
      <c r="K34" s="223">
        <v>58.276224227560228592886395910</v>
      </c>
      <c r="L34" s="218">
        <v>-8.528449030183198067761794440</v>
      </c>
      <c r="N34" s="223">
        <v>60.846560846560846560846560850</v>
      </c>
      <c r="O34" s="218">
        <v>-11.640115476753995734368423750</v>
      </c>
      <c r="Q34" s="223">
        <v>65.205517653503311588068323290</v>
      </c>
      <c r="R34" s="218">
        <v>-2.1837588925579222938256529900</v>
      </c>
      <c r="T34" s="223">
        <v>76.081786031897833906532452830</v>
      </c>
      <c r="U34" s="218">
        <v>-10.388757484748311071291108860</v>
      </c>
      <c r="W34" s="223">
        <v>95.85182488905066569600582397</v>
      </c>
      <c r="X34" s="218">
        <v>5.9968316749268897483007921100</v>
      </c>
      <c r="Z34" s="224">
        <v>71.183674769456629250699691410</v>
      </c>
      <c r="AA34" s="218">
        <v>-6.0764404211147031269332108200</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171</v>
      </c>
      <c r="F35" s="232" t="s">
        <v>170</v>
      </c>
      <c r="G35" s="176"/>
      <c r="H35" s="231" t="s">
        <v>171</v>
      </c>
      <c r="I35" s="232" t="s">
        <v>173</v>
      </c>
      <c r="J35" s="176"/>
      <c r="K35" s="231" t="s">
        <v>171</v>
      </c>
      <c r="L35" s="232" t="s">
        <v>172</v>
      </c>
      <c r="M35" s="176"/>
      <c r="N35" s="231" t="s">
        <v>171</v>
      </c>
      <c r="O35" s="232" t="s">
        <v>172</v>
      </c>
      <c r="P35" s="176"/>
      <c r="Q35" s="231" t="s">
        <v>171</v>
      </c>
      <c r="R35" s="232" t="s">
        <v>177</v>
      </c>
      <c r="S35" s="176"/>
      <c r="T35" s="231" t="s">
        <v>171</v>
      </c>
      <c r="U35" s="232" t="s">
        <v>171</v>
      </c>
      <c r="V35" s="176"/>
      <c r="W35" s="231" t="s">
        <v>171</v>
      </c>
      <c r="X35" s="232" t="s">
        <v>172</v>
      </c>
      <c r="Y35" s="176"/>
      <c r="Z35" s="233" t="s">
        <v>171</v>
      </c>
      <c r="AA35" s="232" t="s">
        <v>172</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0</v>
      </c>
      <c r="F37" s="219">
        <v>0</v>
      </c>
      <c r="G37" s="217"/>
      <c r="H37" s="598">
        <v>0</v>
      </c>
      <c r="I37" s="219">
        <v>0</v>
      </c>
      <c r="J37" s="217"/>
      <c r="K37" s="598">
        <v>0</v>
      </c>
      <c r="L37" s="219">
        <v>0</v>
      </c>
      <c r="M37" s="217"/>
      <c r="N37" s="598">
        <v>0</v>
      </c>
      <c r="O37" s="219">
        <v>0</v>
      </c>
      <c r="P37" s="217"/>
      <c r="Q37" s="598">
        <v>0</v>
      </c>
      <c r="R37" s="219">
        <v>0</v>
      </c>
      <c r="S37" s="217"/>
      <c r="T37" s="598">
        <v>0</v>
      </c>
      <c r="U37" s="219">
        <v>0</v>
      </c>
      <c r="V37" s="217"/>
      <c r="W37" s="598">
        <v>0</v>
      </c>
      <c r="X37" s="219">
        <v>0</v>
      </c>
      <c r="Y37" s="217"/>
      <c r="Z37" s="599">
        <v>0</v>
      </c>
      <c r="AA37" s="219">
        <v>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339</v>
      </c>
      <c r="F38" s="219">
        <v>15.175537938857890774398511650</v>
      </c>
      <c r="G38" s="217"/>
      <c r="H38" s="598">
        <v>0</v>
      </c>
      <c r="I38" s="219">
        <v>-100</v>
      </c>
      <c r="J38" s="217"/>
      <c r="K38" s="598">
        <v>0</v>
      </c>
      <c r="L38" s="219">
        <v>-100</v>
      </c>
      <c r="M38" s="217"/>
      <c r="N38" s="598">
        <v>0</v>
      </c>
      <c r="O38" s="219">
        <v>-100</v>
      </c>
      <c r="P38" s="217"/>
      <c r="Q38" s="598">
        <v>0</v>
      </c>
      <c r="R38" s="219">
        <v>0</v>
      </c>
      <c r="S38" s="217"/>
      <c r="T38" s="598">
        <v>0</v>
      </c>
      <c r="U38" s="219">
        <v>-100</v>
      </c>
      <c r="V38" s="217"/>
      <c r="W38" s="598">
        <v>0</v>
      </c>
      <c r="X38" s="219">
        <v>-100</v>
      </c>
      <c r="Y38" s="217"/>
      <c r="Z38" s="599">
        <v>339</v>
      </c>
      <c r="AA38" s="219">
        <v>84.67272102017243829519454527</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0</v>
      </c>
      <c r="F39" s="218">
        <v>0</v>
      </c>
      <c r="H39" s="223"/>
      <c r="I39" s="218">
        <v>0</v>
      </c>
      <c r="K39" s="223"/>
      <c r="L39" s="218">
        <v>0</v>
      </c>
      <c r="N39" s="223"/>
      <c r="O39" s="218">
        <v>0</v>
      </c>
      <c r="Q39" s="223"/>
      <c r="R39" s="218">
        <v>0</v>
      </c>
      <c r="T39" s="223"/>
      <c r="U39" s="218">
        <v>0</v>
      </c>
      <c r="W39" s="223"/>
      <c r="X39" s="218">
        <v>0</v>
      </c>
      <c r="Z39" s="224">
        <v>0</v>
      </c>
      <c r="AA39" s="218">
        <v>0</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175</v>
      </c>
      <c r="F40" s="232"/>
      <c r="G40" s="176"/>
      <c r="H40" s="231" t="s">
        <v>175</v>
      </c>
      <c r="I40" s="232"/>
      <c r="J40" s="176"/>
      <c r="K40" s="231" t="s">
        <v>175</v>
      </c>
      <c r="L40" s="232"/>
      <c r="M40" s="176"/>
      <c r="N40" s="231" t="s">
        <v>175</v>
      </c>
      <c r="O40" s="232"/>
      <c r="P40" s="176"/>
      <c r="Q40" s="231" t="s">
        <v>175</v>
      </c>
      <c r="R40" s="232"/>
      <c r="S40" s="176"/>
      <c r="T40" s="231" t="s">
        <v>175</v>
      </c>
      <c r="U40" s="232"/>
      <c r="V40" s="176"/>
      <c r="W40" s="231" t="s">
        <v>175</v>
      </c>
      <c r="X40" s="232"/>
      <c r="Y40" s="176"/>
      <c r="Z40" s="233" t="s">
        <v>175</v>
      </c>
      <c r="AA40" s="232"/>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c r="F44" s="218">
        <v>0</v>
      </c>
      <c r="H44" s="223"/>
      <c r="I44" s="218">
        <v>0</v>
      </c>
      <c r="K44" s="223"/>
      <c r="L44" s="218">
        <v>0</v>
      </c>
      <c r="N44" s="223"/>
      <c r="O44" s="218">
        <v>0</v>
      </c>
      <c r="Q44" s="223"/>
      <c r="R44" s="218">
        <v>0</v>
      </c>
      <c r="T44" s="223"/>
      <c r="U44" s="218">
        <v>0</v>
      </c>
      <c r="W44" s="223"/>
      <c r="X44" s="218">
        <v>0</v>
      </c>
      <c r="Z44" s="224"/>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175</v>
      </c>
      <c r="F45" s="232"/>
      <c r="G45" s="176"/>
      <c r="H45" s="231" t="s">
        <v>175</v>
      </c>
      <c r="I45" s="232"/>
      <c r="J45" s="176"/>
      <c r="K45" s="231" t="s">
        <v>175</v>
      </c>
      <c r="L45" s="232"/>
      <c r="M45" s="176"/>
      <c r="N45" s="231" t="s">
        <v>175</v>
      </c>
      <c r="O45" s="232"/>
      <c r="P45" s="176"/>
      <c r="Q45" s="231" t="s">
        <v>175</v>
      </c>
      <c r="R45" s="232"/>
      <c r="S45" s="176"/>
      <c r="T45" s="231" t="s">
        <v>175</v>
      </c>
      <c r="U45" s="232"/>
      <c r="V45" s="176"/>
      <c r="W45" s="231" t="s">
        <v>175</v>
      </c>
      <c r="X45" s="232"/>
      <c r="Y45" s="176"/>
      <c r="Z45" s="233" t="s">
        <v>175</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179.24242424242424242424242424</v>
      </c>
      <c r="F49" s="219">
        <v>3.1206415620533695284279581500</v>
      </c>
      <c r="G49" s="217"/>
      <c r="H49" s="598">
        <v>97.38636363636363636363636364</v>
      </c>
      <c r="I49" s="219">
        <v>-20.741106110109944248706836170</v>
      </c>
      <c r="J49" s="217"/>
      <c r="K49" s="598">
        <v>79.204545454545454545454545455</v>
      </c>
      <c r="L49" s="219">
        <v>-21.538461538485091643815839370</v>
      </c>
      <c r="M49" s="217"/>
      <c r="N49" s="598">
        <v>92.000000000</v>
      </c>
      <c r="O49" s="219">
        <v>-3.9088463364213094087890922800</v>
      </c>
      <c r="P49" s="217"/>
      <c r="Q49" s="598">
        <v>118.09090909090909090909090909</v>
      </c>
      <c r="R49" s="219">
        <v>4.6455424274832645619726794700</v>
      </c>
      <c r="S49" s="217"/>
      <c r="T49" s="598">
        <v>162.46212121212121212121212121</v>
      </c>
      <c r="U49" s="219">
        <v>-24.284150690258154787216868990</v>
      </c>
      <c r="V49" s="217"/>
      <c r="W49" s="598">
        <v>172.89393939393939393939393939</v>
      </c>
      <c r="X49" s="219">
        <v>-25.969897495797462716200376780</v>
      </c>
      <c r="Y49" s="217"/>
      <c r="Z49" s="599">
        <v>128.754329004329004329004329</v>
      </c>
      <c r="AA49" s="219">
        <v>-14.517183649110392635559450810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207.81686046511627906976744186</v>
      </c>
      <c r="F50" s="219">
        <v>-15.629278194788391150088868800</v>
      </c>
      <c r="G50" s="217"/>
      <c r="H50" s="598">
        <v>122.86627906976744186046511628</v>
      </c>
      <c r="I50" s="219">
        <v>-20.930145545692196973995004750</v>
      </c>
      <c r="J50" s="217"/>
      <c r="K50" s="598">
        <v>112.60174418604651162790697674</v>
      </c>
      <c r="L50" s="219">
        <v>-20.936071195317848185187376140</v>
      </c>
      <c r="M50" s="217"/>
      <c r="N50" s="598">
        <v>126.9156976744186046511627907</v>
      </c>
      <c r="O50" s="219">
        <v>-6.6616782469251807448978629600</v>
      </c>
      <c r="P50" s="217"/>
      <c r="Q50" s="598">
        <v>175.125000000</v>
      </c>
      <c r="R50" s="219">
        <v>-6.5666826930614517824482971600</v>
      </c>
      <c r="S50" s="217"/>
      <c r="T50" s="598">
        <v>252.57267441860465116279069767</v>
      </c>
      <c r="U50" s="219">
        <v>2.4659763662571628170090457900</v>
      </c>
      <c r="V50" s="217"/>
      <c r="W50" s="598">
        <v>207.64244186046511627906976744</v>
      </c>
      <c r="X50" s="219">
        <v>-17.243257021044550379626227940</v>
      </c>
      <c r="Y50" s="217"/>
      <c r="Z50" s="599">
        <v>172.22009966777408637873754153</v>
      </c>
      <c r="AA50" s="219">
        <v>-11.007783118591209349474589890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86.25018385961304453025714763</v>
      </c>
      <c r="F51" s="218">
        <v>22.223253938986922174137635030</v>
      </c>
      <c r="H51" s="223">
        <v>79.26207611531778156571710950</v>
      </c>
      <c r="I51" s="218">
        <v>0.2390790230166211591883840400</v>
      </c>
      <c r="K51" s="223">
        <v>70.340425032592980073942373860</v>
      </c>
      <c r="L51" s="218">
        <v>-0.7619028705200099614302375200</v>
      </c>
      <c r="N51" s="223">
        <v>72.489062965264067660802530750</v>
      </c>
      <c r="O51" s="218">
        <v>2.949305128653757350130019800</v>
      </c>
      <c r="Q51" s="223">
        <v>67.432353513723963402764259290</v>
      </c>
      <c r="R51" s="218">
        <v>12.000243000739527912213916560</v>
      </c>
      <c r="T51" s="223">
        <v>64.322920753836365467490396590</v>
      </c>
      <c r="U51" s="218">
        <v>-26.106350620140641066086129680</v>
      </c>
      <c r="W51" s="223">
        <v>83.26522162077749889898643667</v>
      </c>
      <c r="X51" s="218">
        <v>-10.544929827626894593647537240</v>
      </c>
      <c r="Z51" s="224">
        <v>74.761499530360687149097307290</v>
      </c>
      <c r="AA51" s="218">
        <v>-3.9434915249312390476092962200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171</v>
      </c>
      <c r="F52" s="228" t="s">
        <v>170</v>
      </c>
      <c r="G52" s="229"/>
      <c r="H52" s="227" t="s">
        <v>171</v>
      </c>
      <c r="I52" s="228" t="s">
        <v>172</v>
      </c>
      <c r="J52" s="229"/>
      <c r="K52" s="227" t="s">
        <v>172</v>
      </c>
      <c r="L52" s="228" t="s">
        <v>172</v>
      </c>
      <c r="M52" s="229"/>
      <c r="N52" s="227" t="s">
        <v>171</v>
      </c>
      <c r="O52" s="228" t="s">
        <v>171</v>
      </c>
      <c r="P52" s="229"/>
      <c r="Q52" s="227" t="s">
        <v>172</v>
      </c>
      <c r="R52" s="228" t="s">
        <v>171</v>
      </c>
      <c r="S52" s="229"/>
      <c r="T52" s="227" t="s">
        <v>172</v>
      </c>
      <c r="U52" s="228" t="s">
        <v>173</v>
      </c>
      <c r="V52" s="229"/>
      <c r="W52" s="227" t="s">
        <v>172</v>
      </c>
      <c r="X52" s="228" t="s">
        <v>172</v>
      </c>
      <c r="Y52" s="229"/>
      <c r="Z52" s="230" t="s">
        <v>171</v>
      </c>
      <c r="AA52" s="228" t="s">
        <v>172</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179.24242424242424242424242424</v>
      </c>
      <c r="F54" s="219">
        <v>3.1206415620533695284279581500</v>
      </c>
      <c r="G54" s="217"/>
      <c r="H54" s="598">
        <v>97.38636363636363636363636364</v>
      </c>
      <c r="I54" s="219">
        <v>-20.741106110109944248706836170</v>
      </c>
      <c r="J54" s="217"/>
      <c r="K54" s="598">
        <v>79.204545454545454545454545455</v>
      </c>
      <c r="L54" s="219">
        <v>-21.538461538485091643815839370</v>
      </c>
      <c r="M54" s="217"/>
      <c r="N54" s="598">
        <v>92</v>
      </c>
      <c r="O54" s="219">
        <v>-3.9088463364213094087890922800</v>
      </c>
      <c r="P54" s="217"/>
      <c r="Q54" s="598">
        <v>118.09090909090909090909090909</v>
      </c>
      <c r="R54" s="219">
        <v>4.6455424274832645619726794700</v>
      </c>
      <c r="S54" s="217"/>
      <c r="T54" s="598">
        <v>162.46212121212121212121212121</v>
      </c>
      <c r="U54" s="219">
        <v>-24.284150690258154787216868990</v>
      </c>
      <c r="V54" s="217"/>
      <c r="W54" s="598">
        <v>172.89393939393939393939393939</v>
      </c>
      <c r="X54" s="219">
        <v>-25.969897495797462716200376780</v>
      </c>
      <c r="Y54" s="217"/>
      <c r="Z54" s="599">
        <v>128.754329004329004329004329</v>
      </c>
      <c r="AA54" s="219">
        <v>-14.517183649110392635559450810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206.8313953488372093023255814</v>
      </c>
      <c r="F55" s="219">
        <v>-15.145082231169003741846488700</v>
      </c>
      <c r="G55" s="217"/>
      <c r="H55" s="598">
        <v>122.86627906976744186046511628</v>
      </c>
      <c r="I55" s="219">
        <v>-19.891586588578685013551676430</v>
      </c>
      <c r="J55" s="217"/>
      <c r="K55" s="598">
        <v>112.60174418604651162790697674</v>
      </c>
      <c r="L55" s="219">
        <v>-19.801652208096340375407287680</v>
      </c>
      <c r="M55" s="217"/>
      <c r="N55" s="598">
        <v>126.9156976744186046511627907</v>
      </c>
      <c r="O55" s="219">
        <v>-4.42844008580558268587640500</v>
      </c>
      <c r="P55" s="217"/>
      <c r="Q55" s="598">
        <v>175.125000000</v>
      </c>
      <c r="R55" s="219">
        <v>-6.5666826930614517824482971600</v>
      </c>
      <c r="S55" s="217"/>
      <c r="T55" s="598">
        <v>252.57267441860465116279069767</v>
      </c>
      <c r="U55" s="219">
        <v>4.3613520070957270975078056400</v>
      </c>
      <c r="V55" s="217"/>
      <c r="W55" s="598">
        <v>207.64244186046511627906976744</v>
      </c>
      <c r="X55" s="219">
        <v>-16.328132321253119581524376490</v>
      </c>
      <c r="Y55" s="217"/>
      <c r="Z55" s="599">
        <v>172.07931893687707641196013289</v>
      </c>
      <c r="AA55" s="219">
        <v>-9.954776461519705127747727610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86.66112992184671734917694158</v>
      </c>
      <c r="F56" s="218">
        <v>21.525828170563169183340568110</v>
      </c>
      <c r="H56" s="223">
        <v>79.26207611533878509698317582</v>
      </c>
      <c r="I56" s="218">
        <v>-1.0604622977805566506649415500</v>
      </c>
      <c r="K56" s="223">
        <v>70.340425032563925038431298920</v>
      </c>
      <c r="L56" s="218">
        <v>-2.1656422833106145256864900700</v>
      </c>
      <c r="N56" s="223">
        <v>72.489062965253441443917634390</v>
      </c>
      <c r="O56" s="218">
        <v>0.543669842658158531386819300</v>
      </c>
      <c r="Q56" s="223">
        <v>67.432353513723963402764259290</v>
      </c>
      <c r="R56" s="218">
        <v>12.000243000739527912213916560</v>
      </c>
      <c r="T56" s="223">
        <v>64.322920753835180951484110830</v>
      </c>
      <c r="U56" s="218">
        <v>-27.448382132271157941885602440</v>
      </c>
      <c r="W56" s="223">
        <v>83.26522162079148737228788748</v>
      </c>
      <c r="X56" s="218">
        <v>-11.523305792051168567446702090</v>
      </c>
      <c r="Z56" s="224">
        <v>74.822663060143361422179474770</v>
      </c>
      <c r="AA56" s="218">
        <v>-5.066795337259588237642186100</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170</v>
      </c>
      <c r="G57" s="176"/>
      <c r="H57" s="231" t="s">
        <v>171</v>
      </c>
      <c r="I57" s="232" t="s">
        <v>172</v>
      </c>
      <c r="J57" s="176"/>
      <c r="K57" s="231" t="s">
        <v>172</v>
      </c>
      <c r="L57" s="232" t="s">
        <v>172</v>
      </c>
      <c r="M57" s="176"/>
      <c r="N57" s="231" t="s">
        <v>171</v>
      </c>
      <c r="O57" s="232" t="s">
        <v>171</v>
      </c>
      <c r="P57" s="176"/>
      <c r="Q57" s="231" t="s">
        <v>172</v>
      </c>
      <c r="R57" s="232" t="s">
        <v>176</v>
      </c>
      <c r="S57" s="176"/>
      <c r="T57" s="231" t="s">
        <v>172</v>
      </c>
      <c r="U57" s="232" t="s">
        <v>174</v>
      </c>
      <c r="V57" s="176"/>
      <c r="W57" s="231" t="s">
        <v>172</v>
      </c>
      <c r="X57" s="232" t="s">
        <v>172</v>
      </c>
      <c r="Y57" s="176"/>
      <c r="Z57" s="233" t="s">
        <v>171</v>
      </c>
      <c r="AA57" s="232" t="s">
        <v>172</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0</v>
      </c>
      <c r="F59" s="219">
        <v>0</v>
      </c>
      <c r="G59" s="217"/>
      <c r="H59" s="598">
        <v>0</v>
      </c>
      <c r="I59" s="219">
        <v>0</v>
      </c>
      <c r="J59" s="217"/>
      <c r="K59" s="598">
        <v>0</v>
      </c>
      <c r="L59" s="219">
        <v>0</v>
      </c>
      <c r="M59" s="217"/>
      <c r="N59" s="598">
        <v>0</v>
      </c>
      <c r="O59" s="219">
        <v>0</v>
      </c>
      <c r="P59" s="217"/>
      <c r="Q59" s="598">
        <v>0</v>
      </c>
      <c r="R59" s="219">
        <v>0</v>
      </c>
      <c r="S59" s="217"/>
      <c r="T59" s="598">
        <v>0</v>
      </c>
      <c r="U59" s="219">
        <v>0</v>
      </c>
      <c r="V59" s="217"/>
      <c r="W59" s="598">
        <v>0</v>
      </c>
      <c r="X59" s="219">
        <v>0</v>
      </c>
      <c r="Y59" s="217"/>
      <c r="Z59" s="599">
        <v>0</v>
      </c>
      <c r="AA59" s="219">
        <v>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0.9854651162790697674418604651</v>
      </c>
      <c r="F60" s="219">
        <v>-61.608154020141569266718904630</v>
      </c>
      <c r="G60" s="217"/>
      <c r="H60" s="598">
        <v>0</v>
      </c>
      <c r="I60" s="219">
        <v>-100</v>
      </c>
      <c r="J60" s="217"/>
      <c r="K60" s="598">
        <v>0</v>
      </c>
      <c r="L60" s="219">
        <v>-100</v>
      </c>
      <c r="M60" s="217"/>
      <c r="N60" s="598">
        <v>0</v>
      </c>
      <c r="O60" s="219">
        <v>-100</v>
      </c>
      <c r="P60" s="217"/>
      <c r="Q60" s="598">
        <v>0</v>
      </c>
      <c r="R60" s="219">
        <v>0</v>
      </c>
      <c r="S60" s="217"/>
      <c r="T60" s="598">
        <v>0</v>
      </c>
      <c r="U60" s="219">
        <v>-100</v>
      </c>
      <c r="V60" s="217"/>
      <c r="W60" s="598">
        <v>0</v>
      </c>
      <c r="X60" s="219">
        <v>-100</v>
      </c>
      <c r="Y60" s="217"/>
      <c r="Z60" s="599">
        <v>0.1407807308970099667774086379</v>
      </c>
      <c r="AA60" s="219">
        <v>-94.18125993125509801151944772</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0</v>
      </c>
      <c r="F61" s="218">
        <v>0</v>
      </c>
      <c r="H61" s="223"/>
      <c r="I61" s="218">
        <v>0</v>
      </c>
      <c r="K61" s="223"/>
      <c r="L61" s="218">
        <v>0</v>
      </c>
      <c r="N61" s="223"/>
      <c r="O61" s="218">
        <v>0</v>
      </c>
      <c r="Q61" s="223"/>
      <c r="R61" s="218">
        <v>0</v>
      </c>
      <c r="T61" s="223"/>
      <c r="U61" s="218">
        <v>0</v>
      </c>
      <c r="W61" s="223"/>
      <c r="X61" s="218">
        <v>0</v>
      </c>
      <c r="Z61" s="224">
        <v>0</v>
      </c>
      <c r="AA61" s="218">
        <v>0</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175</v>
      </c>
      <c r="F62" s="232"/>
      <c r="G62" s="176"/>
      <c r="H62" s="231" t="s">
        <v>175</v>
      </c>
      <c r="I62" s="232"/>
      <c r="J62" s="176"/>
      <c r="K62" s="231" t="s">
        <v>175</v>
      </c>
      <c r="L62" s="232"/>
      <c r="M62" s="176"/>
      <c r="N62" s="231" t="s">
        <v>175</v>
      </c>
      <c r="O62" s="232"/>
      <c r="P62" s="176"/>
      <c r="Q62" s="231" t="s">
        <v>175</v>
      </c>
      <c r="R62" s="232"/>
      <c r="S62" s="176"/>
      <c r="T62" s="231" t="s">
        <v>175</v>
      </c>
      <c r="U62" s="232"/>
      <c r="V62" s="176"/>
      <c r="W62" s="231" t="s">
        <v>175</v>
      </c>
      <c r="X62" s="232"/>
      <c r="Y62" s="176"/>
      <c r="Z62" s="233" t="s">
        <v>175</v>
      </c>
      <c r="AA62" s="232"/>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c r="F66" s="218">
        <v>0</v>
      </c>
      <c r="H66" s="223"/>
      <c r="I66" s="218">
        <v>0</v>
      </c>
      <c r="K66" s="223"/>
      <c r="L66" s="218">
        <v>0</v>
      </c>
      <c r="N66" s="223"/>
      <c r="O66" s="218">
        <v>0</v>
      </c>
      <c r="Q66" s="223"/>
      <c r="R66" s="218">
        <v>0</v>
      </c>
      <c r="T66" s="223"/>
      <c r="U66" s="218">
        <v>0</v>
      </c>
      <c r="W66" s="223"/>
      <c r="X66" s="218">
        <v>0</v>
      </c>
      <c r="Z66" s="224"/>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175</v>
      </c>
      <c r="F67" s="232"/>
      <c r="G67" s="176"/>
      <c r="H67" s="231" t="s">
        <v>175</v>
      </c>
      <c r="I67" s="232"/>
      <c r="J67" s="176"/>
      <c r="K67" s="231" t="s">
        <v>175</v>
      </c>
      <c r="L67" s="232"/>
      <c r="M67" s="176"/>
      <c r="N67" s="231" t="s">
        <v>175</v>
      </c>
      <c r="O67" s="232"/>
      <c r="P67" s="176"/>
      <c r="Q67" s="231" t="s">
        <v>175</v>
      </c>
      <c r="R67" s="232"/>
      <c r="S67" s="176"/>
      <c r="T67" s="231" t="s">
        <v>175</v>
      </c>
      <c r="U67" s="232"/>
      <c r="V67" s="176"/>
      <c r="W67" s="231" t="s">
        <v>175</v>
      </c>
      <c r="X67" s="232"/>
      <c r="Y67" s="176"/>
      <c r="Z67" s="233" t="s">
        <v>175</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117</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178</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0.8541666666666666666666666667</v>
      </c>
      <c r="F5" s="219">
        <v>2.2675736961785182100051013800</v>
      </c>
      <c r="G5" s="217"/>
      <c r="H5" s="221">
        <v>0.7291666666666666666666666667</v>
      </c>
      <c r="I5" s="219">
        <v>-9.624413145519539773854389380</v>
      </c>
      <c r="J5" s="217"/>
      <c r="K5" s="221">
        <v>0.6931818181818181818181818182</v>
      </c>
      <c r="L5" s="219">
        <v>-13.475177304925265328705781680</v>
      </c>
      <c r="M5" s="217"/>
      <c r="N5" s="221">
        <v>0.8049242424242424242424242424</v>
      </c>
      <c r="O5" s="219">
        <v>-2.9680365296271970976418048600</v>
      </c>
      <c r="P5" s="217"/>
      <c r="Q5" s="221">
        <v>0.8446969696969696969696969697</v>
      </c>
      <c r="R5" s="219">
        <v>2.7649769584874599163286682200</v>
      </c>
      <c r="S5" s="217"/>
      <c r="T5" s="221">
        <v>0.7821969696969696969696969697</v>
      </c>
      <c r="U5" s="219">
        <v>-12.314225053033875613615134030</v>
      </c>
      <c r="V5" s="217"/>
      <c r="W5" s="221">
        <v>0.8636363636363636363636363636</v>
      </c>
      <c r="X5" s="219">
        <v>-1.935483870987987513007279900</v>
      </c>
      <c r="Y5" s="217"/>
      <c r="Z5" s="222">
        <v>0.795995670995670995670995671</v>
      </c>
      <c r="AA5" s="219">
        <v>-5.0355067785143385369931622200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0.7151162790697674418604651163</v>
      </c>
      <c r="F6" s="219">
        <v>-11.856985877360807096513317540</v>
      </c>
      <c r="G6" s="217"/>
      <c r="H6" s="221">
        <v>0.6526162790697674418604651163</v>
      </c>
      <c r="I6" s="219">
        <v>-7.1308863565092898325662816900</v>
      </c>
      <c r="J6" s="217"/>
      <c r="K6" s="221">
        <v>0.6409883720930232558139534884</v>
      </c>
      <c r="L6" s="219">
        <v>-1.7028407276684540628782687500</v>
      </c>
      <c r="M6" s="217"/>
      <c r="N6" s="221">
        <v>0.6693313953488372093023255814</v>
      </c>
      <c r="O6" s="219">
        <v>-3.4231199493866833042969653800</v>
      </c>
      <c r="P6" s="217"/>
      <c r="Q6" s="221">
        <v>0.7340116279069767441860465116</v>
      </c>
      <c r="R6" s="219">
        <v>-6.2062270607329752629321500200</v>
      </c>
      <c r="S6" s="217"/>
      <c r="T6" s="221">
        <v>0.8125000000000000000000000</v>
      </c>
      <c r="U6" s="219">
        <v>-4.6123646640758301407639057100</v>
      </c>
      <c r="V6" s="217"/>
      <c r="W6" s="221">
        <v>0.840843023255813953488372093</v>
      </c>
      <c r="X6" s="219">
        <v>-3.3745112276758928246459790400</v>
      </c>
      <c r="Y6" s="217"/>
      <c r="Z6" s="222">
        <v>0.7236295681063122923588039867</v>
      </c>
      <c r="AA6" s="219">
        <v>-5.4799647184441243218153810500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119.4444444444056</v>
      </c>
      <c r="F7" s="218">
        <v>16.0245933431093</v>
      </c>
      <c r="H7" s="223">
        <v>111.7297698589060</v>
      </c>
      <c r="I7" s="218">
        <v>-2.6849904033974</v>
      </c>
      <c r="K7" s="223">
        <v>108.1426509997978</v>
      </c>
      <c r="L7" s="218">
        <v>-11.9762734390912</v>
      </c>
      <c r="N7" s="223">
        <v>120.2579541341464</v>
      </c>
      <c r="O7" s="218">
        <v>0.4712136273992</v>
      </c>
      <c r="Q7" s="223">
        <v>115.0795079507914</v>
      </c>
      <c r="R7" s="218">
        <v>9.5648183649630</v>
      </c>
      <c r="T7" s="223">
        <v>96.2703962703963</v>
      </c>
      <c r="U7" s="218">
        <v>-8.0742754151028</v>
      </c>
      <c r="W7" s="223">
        <v>102.7107723736710</v>
      </c>
      <c r="X7" s="218">
        <v>1.4892833919269</v>
      </c>
      <c r="Z7" s="224">
        <v>110.0004347637534</v>
      </c>
      <c r="AA7" s="218">
        <v>0.4702261679924</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170</v>
      </c>
      <c r="G8" s="229"/>
      <c r="H8" s="227" t="s">
        <v>171</v>
      </c>
      <c r="I8" s="228" t="s">
        <v>171</v>
      </c>
      <c r="J8" s="229"/>
      <c r="K8" s="227" t="s">
        <v>171</v>
      </c>
      <c r="L8" s="228" t="s">
        <v>173</v>
      </c>
      <c r="M8" s="229"/>
      <c r="N8" s="227" t="s">
        <v>171</v>
      </c>
      <c r="O8" s="228" t="s">
        <v>171</v>
      </c>
      <c r="P8" s="229"/>
      <c r="Q8" s="227" t="s">
        <v>171</v>
      </c>
      <c r="R8" s="228" t="s">
        <v>170</v>
      </c>
      <c r="S8" s="229"/>
      <c r="T8" s="227" t="s">
        <v>172</v>
      </c>
      <c r="U8" s="228" t="s">
        <v>173</v>
      </c>
      <c r="V8" s="229"/>
      <c r="W8" s="227" t="s">
        <v>172</v>
      </c>
      <c r="X8" s="228" t="s">
        <v>172</v>
      </c>
      <c r="Y8" s="229"/>
      <c r="Z8" s="230" t="s">
        <v>171</v>
      </c>
      <c r="AA8" s="228" t="s">
        <v>171</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0.7670454545454545454545454545</v>
      </c>
      <c r="F10" s="219">
        <v>3.0534351145289901520890452400</v>
      </c>
      <c r="G10" s="217"/>
      <c r="H10" s="221">
        <v>0.6439393939393939393939393939</v>
      </c>
      <c r="I10" s="219">
        <v>-20.187793427212061098988291920</v>
      </c>
      <c r="J10" s="217"/>
      <c r="K10" s="221">
        <v>0.5814393939393939393939393939</v>
      </c>
      <c r="L10" s="219">
        <v>-26.378896882519427910908674350</v>
      </c>
      <c r="M10" s="217"/>
      <c r="N10" s="221">
        <v>0.6628787878787878787878787879</v>
      </c>
      <c r="O10" s="219">
        <v>-16.864608075958948550278967910</v>
      </c>
      <c r="P10" s="217"/>
      <c r="Q10" s="221">
        <v>0.7159090909090909090909090909</v>
      </c>
      <c r="R10" s="219">
        <v>-9.569377990468698060941812220</v>
      </c>
      <c r="S10" s="217"/>
      <c r="T10" s="221">
        <v>0.7518939393939393939393939394</v>
      </c>
      <c r="U10" s="219">
        <v>-10.383747178313387584140553210</v>
      </c>
      <c r="V10" s="217"/>
      <c r="W10" s="221">
        <v>0.8352272727272727272727272727</v>
      </c>
      <c r="X10" s="219">
        <v>-2.2172949002598885944513398200</v>
      </c>
      <c r="Y10" s="217"/>
      <c r="Z10" s="222">
        <v>0.7083333333333333333333333333</v>
      </c>
      <c r="AA10" s="219">
        <v>-11.822162344238375280389780320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0.7071220930232558139534883721</v>
      </c>
      <c r="F11" s="219">
        <v>-12.478397983742138189285818210</v>
      </c>
      <c r="G11" s="217"/>
      <c r="H11" s="221">
        <v>0.6337209302325581395348837209</v>
      </c>
      <c r="I11" s="219">
        <v>-9.539089270520422596262118200</v>
      </c>
      <c r="J11" s="217"/>
      <c r="K11" s="221">
        <v>0.5835755813953488372093023256</v>
      </c>
      <c r="L11" s="219">
        <v>-9.702153469586536997970005560</v>
      </c>
      <c r="M11" s="217"/>
      <c r="N11" s="221">
        <v>0.5937500000000000000000000</v>
      </c>
      <c r="O11" s="219">
        <v>-11.316663471606071368705178140</v>
      </c>
      <c r="P11" s="217"/>
      <c r="Q11" s="221">
        <v>0.6765988372093023255813953488</v>
      </c>
      <c r="R11" s="219">
        <v>-11.454895427067686555613193450</v>
      </c>
      <c r="S11" s="217"/>
      <c r="T11" s="221">
        <v>0.8059593023255813953488372093</v>
      </c>
      <c r="U11" s="219">
        <v>-3.3393381649286760572857769400</v>
      </c>
      <c r="V11" s="217"/>
      <c r="W11" s="221">
        <v>0.8372093023255813953488372093</v>
      </c>
      <c r="X11" s="219">
        <v>-2.652580375494851058359203400</v>
      </c>
      <c r="Y11" s="217"/>
      <c r="Z11" s="222">
        <v>0.6911337209302325581395348837</v>
      </c>
      <c r="AA11" s="219">
        <v>-8.328818329122982348297120040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108.4742595534355</v>
      </c>
      <c r="F12" s="218">
        <v>17.7462851918401</v>
      </c>
      <c r="H12" s="223">
        <v>101.6124548233931</v>
      </c>
      <c r="I12" s="218">
        <v>-11.7716083896062</v>
      </c>
      <c r="K12" s="223">
        <v>99.6339484509445</v>
      </c>
      <c r="L12" s="218">
        <v>-18.4685948266073</v>
      </c>
      <c r="N12" s="223">
        <v>111.6427432216906</v>
      </c>
      <c r="O12" s="218">
        <v>-6.2559042336150</v>
      </c>
      <c r="Q12" s="223">
        <v>105.8099794942373</v>
      </c>
      <c r="R12" s="218">
        <v>2.1294428933140</v>
      </c>
      <c r="T12" s="223">
        <v>93.2917998742582</v>
      </c>
      <c r="U12" s="218">
        <v>-7.2877723778162</v>
      </c>
      <c r="W12" s="223">
        <v>99.7632575757077</v>
      </c>
      <c r="X12" s="218">
        <v>0.4471463926860</v>
      </c>
      <c r="Z12" s="224">
        <v>102.4886084823338</v>
      </c>
      <c r="AA12" s="218">
        <v>-3.8107330476526</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171</v>
      </c>
      <c r="F13" s="232" t="s">
        <v>170</v>
      </c>
      <c r="G13" s="176"/>
      <c r="H13" s="231" t="s">
        <v>172</v>
      </c>
      <c r="I13" s="232" t="s">
        <v>174</v>
      </c>
      <c r="J13" s="176"/>
      <c r="K13" s="231" t="s">
        <v>171</v>
      </c>
      <c r="L13" s="232" t="s">
        <v>174</v>
      </c>
      <c r="M13" s="176"/>
      <c r="N13" s="231" t="s">
        <v>171</v>
      </c>
      <c r="O13" s="232" t="s">
        <v>172</v>
      </c>
      <c r="P13" s="176"/>
      <c r="Q13" s="231" t="s">
        <v>171</v>
      </c>
      <c r="R13" s="232" t="s">
        <v>172</v>
      </c>
      <c r="S13" s="176"/>
      <c r="T13" s="231" t="s">
        <v>172</v>
      </c>
      <c r="U13" s="232" t="s">
        <v>173</v>
      </c>
      <c r="V13" s="176"/>
      <c r="W13" s="231" t="s">
        <v>172</v>
      </c>
      <c r="X13" s="232" t="s">
        <v>172</v>
      </c>
      <c r="Y13" s="176"/>
      <c r="Z13" s="233" t="s">
        <v>172</v>
      </c>
      <c r="AA13" s="232" t="s">
        <v>173</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0.0871212121212121212121212121</v>
      </c>
      <c r="F15" s="219">
        <v>-4.1666666665708333333332375200</v>
      </c>
      <c r="G15" s="217"/>
      <c r="H15" s="221">
        <v>0.0852272727272727272727272727</v>
      </c>
      <c r="I15" s="219">
        <v>0</v>
      </c>
      <c r="J15" s="217"/>
      <c r="K15" s="221">
        <v>0.1117424242424242424242424242</v>
      </c>
      <c r="L15" s="219">
        <v>883.3333333018666666676735996</v>
      </c>
      <c r="M15" s="217"/>
      <c r="N15" s="221">
        <v>0.1420454545454545454545454545</v>
      </c>
      <c r="O15" s="219">
        <v>341.17647058782006920415263979</v>
      </c>
      <c r="P15" s="217"/>
      <c r="Q15" s="221">
        <v>0.1287878787878787878787878788</v>
      </c>
      <c r="R15" s="219">
        <v>325.00000000042500000000042504</v>
      </c>
      <c r="S15" s="217"/>
      <c r="T15" s="221">
        <v>0.0303030303030303030303030303</v>
      </c>
      <c r="U15" s="219">
        <v>-42.857142856816326530610379010</v>
      </c>
      <c r="V15" s="217"/>
      <c r="W15" s="221">
        <v>0.0284090909090909090909090909</v>
      </c>
      <c r="X15" s="219">
        <v>7.1428571434693877551055393200</v>
      </c>
      <c r="Y15" s="217"/>
      <c r="Z15" s="222">
        <v>0.0876623376623376623376623377</v>
      </c>
      <c r="AA15" s="219">
        <v>151.16279069477728501896256910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0.0079941860465116279069767442</v>
      </c>
      <c r="F16" s="219">
        <v>136.96658094693359478573393634</v>
      </c>
      <c r="G16" s="217"/>
      <c r="H16" s="221">
        <v>0.0188953488372093023255813953</v>
      </c>
      <c r="I16" s="219">
        <v>766.66666672213333333688319776</v>
      </c>
      <c r="J16" s="217"/>
      <c r="K16" s="221">
        <v>0.0574127906976744186046511628</v>
      </c>
      <c r="L16" s="219">
        <v>887.5000000632000000040448002</v>
      </c>
      <c r="M16" s="217"/>
      <c r="N16" s="221">
        <v>0.0755813953488372093023255814</v>
      </c>
      <c r="O16" s="219">
        <v>221.09645567914981086190749335</v>
      </c>
      <c r="P16" s="217"/>
      <c r="Q16" s="221">
        <v>0.0574127906976744186046511628</v>
      </c>
      <c r="R16" s="219">
        <v>211.15811242363799835581532626</v>
      </c>
      <c r="S16" s="217"/>
      <c r="T16" s="221">
        <v>0.0065406976744186046511627907</v>
      </c>
      <c r="U16" s="219">
        <v>-63.631979939389417477415575090</v>
      </c>
      <c r="V16" s="217"/>
      <c r="W16" s="221">
        <v>0.0036337209302325581395348837</v>
      </c>
      <c r="X16" s="219">
        <v>-64.327094473141128269136669050</v>
      </c>
      <c r="Y16" s="217"/>
      <c r="Z16" s="222">
        <v>0.032495847176079734219269103</v>
      </c>
      <c r="AA16" s="219">
        <v>178.78269466348113255966904601</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1089.8071624678580</v>
      </c>
      <c r="F17" s="218">
        <v>-59.5582917453921</v>
      </c>
      <c r="H17" s="223">
        <v>451.0489510539473</v>
      </c>
      <c r="I17" s="218">
        <v>0</v>
      </c>
      <c r="K17" s="223">
        <v>194.6298427300048</v>
      </c>
      <c r="L17" s="218">
        <v>-0.4219409352309</v>
      </c>
      <c r="N17" s="223">
        <v>187.9370629366581</v>
      </c>
      <c r="O17" s="218">
        <v>37.3968671357837</v>
      </c>
      <c r="Q17" s="223">
        <v>224.3191407735649</v>
      </c>
      <c r="R17" s="218">
        <v>36.5865079612226</v>
      </c>
      <c r="T17" s="223">
        <v>463.2996633293145</v>
      </c>
      <c r="U17" s="218">
        <v>57.1239156030142</v>
      </c>
      <c r="W17" s="223">
        <v>781.8181818682182</v>
      </c>
      <c r="X17" s="218">
        <v>200.3479967983669</v>
      </c>
      <c r="Z17" s="224">
        <v>269.7647400529419</v>
      </c>
      <c r="AA17" s="218">
        <v>-9.9073236947385</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170</v>
      </c>
      <c r="F18" s="232" t="s">
        <v>173</v>
      </c>
      <c r="G18" s="176"/>
      <c r="H18" s="231" t="s">
        <v>170</v>
      </c>
      <c r="I18" s="232" t="s">
        <v>170</v>
      </c>
      <c r="J18" s="176"/>
      <c r="K18" s="231" t="s">
        <v>171</v>
      </c>
      <c r="L18" s="232" t="s">
        <v>171</v>
      </c>
      <c r="M18" s="176"/>
      <c r="N18" s="231" t="s">
        <v>171</v>
      </c>
      <c r="O18" s="232" t="s">
        <v>171</v>
      </c>
      <c r="P18" s="176"/>
      <c r="Q18" s="231" t="s">
        <v>171</v>
      </c>
      <c r="R18" s="232" t="s">
        <v>170</v>
      </c>
      <c r="S18" s="176"/>
      <c r="T18" s="231" t="s">
        <v>170</v>
      </c>
      <c r="U18" s="232" t="s">
        <v>173</v>
      </c>
      <c r="V18" s="176"/>
      <c r="W18" s="231" t="s">
        <v>170</v>
      </c>
      <c r="X18" s="232" t="s">
        <v>171</v>
      </c>
      <c r="Y18" s="176"/>
      <c r="Z18" s="233" t="s">
        <v>170</v>
      </c>
      <c r="AA18" s="232" t="s">
        <v>171</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v>0</v>
      </c>
      <c r="F22" s="218">
        <v>0</v>
      </c>
      <c r="H22" s="223">
        <v>0</v>
      </c>
      <c r="I22" s="218">
        <v>0</v>
      </c>
      <c r="K22" s="223">
        <v>0</v>
      </c>
      <c r="L22" s="218">
        <v>0</v>
      </c>
      <c r="N22" s="223">
        <v>0</v>
      </c>
      <c r="O22" s="218">
        <v>0</v>
      </c>
      <c r="Q22" s="223">
        <v>0</v>
      </c>
      <c r="R22" s="218">
        <v>0</v>
      </c>
      <c r="T22" s="223">
        <v>0</v>
      </c>
      <c r="U22" s="218">
        <v>0</v>
      </c>
      <c r="W22" s="223">
        <v>0</v>
      </c>
      <c r="X22" s="218">
        <v>0</v>
      </c>
      <c r="Z22" s="224">
        <v>0</v>
      </c>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175</v>
      </c>
      <c r="F23" s="232"/>
      <c r="G23" s="176"/>
      <c r="H23" s="231" t="s">
        <v>175</v>
      </c>
      <c r="I23" s="232"/>
      <c r="J23" s="176"/>
      <c r="K23" s="231" t="s">
        <v>175</v>
      </c>
      <c r="L23" s="232"/>
      <c r="M23" s="176"/>
      <c r="N23" s="231" t="s">
        <v>175</v>
      </c>
      <c r="O23" s="232"/>
      <c r="P23" s="176"/>
      <c r="Q23" s="231" t="s">
        <v>175</v>
      </c>
      <c r="R23" s="232"/>
      <c r="S23" s="176"/>
      <c r="T23" s="231" t="s">
        <v>175</v>
      </c>
      <c r="U23" s="232"/>
      <c r="V23" s="176"/>
      <c r="W23" s="231" t="s">
        <v>175</v>
      </c>
      <c r="X23" s="232"/>
      <c r="Y23" s="176"/>
      <c r="Z23" s="233" t="s">
        <v>175</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214.4013303769401330376940133</v>
      </c>
      <c r="F27" s="219">
        <v>-12.528113109788449007652841690</v>
      </c>
      <c r="G27" s="217"/>
      <c r="H27" s="598">
        <v>168.07792207792207792207792208</v>
      </c>
      <c r="I27" s="219">
        <v>5.2277861460263522718173779500</v>
      </c>
      <c r="J27" s="217"/>
      <c r="K27" s="225">
        <v>166.02732240437158469945355191</v>
      </c>
      <c r="L27" s="219">
        <v>6.9936430735837171707306737600</v>
      </c>
      <c r="M27" s="217"/>
      <c r="N27" s="598">
        <v>164.45647058823529411764705882</v>
      </c>
      <c r="O27" s="219">
        <v>1.5420988999438732453441236800</v>
      </c>
      <c r="P27" s="217"/>
      <c r="Q27" s="598">
        <v>181.30717488789237668161434978</v>
      </c>
      <c r="R27" s="219">
        <v>2.5375474346409249465295859600</v>
      </c>
      <c r="S27" s="217"/>
      <c r="T27" s="598">
        <v>251.94430992736077481840193705</v>
      </c>
      <c r="U27" s="219">
        <v>-1.3445208584884315347890948400</v>
      </c>
      <c r="V27" s="217"/>
      <c r="W27" s="598">
        <v>267.89035087719298245614035088</v>
      </c>
      <c r="X27" s="219">
        <v>0.6634556985912690087850238700</v>
      </c>
      <c r="Y27" s="217"/>
      <c r="Z27" s="599">
        <v>203.65023793337865397688647179</v>
      </c>
      <c r="AA27" s="219">
        <v>-0.4067283175338940399244910200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274.93597560975609756097560976</v>
      </c>
      <c r="F28" s="219">
        <v>4.0288657733317617775921098900</v>
      </c>
      <c r="G28" s="217"/>
      <c r="H28" s="598">
        <v>226.43318485523385300668151448</v>
      </c>
      <c r="I28" s="219">
        <v>-2.0539838728193813233668615600</v>
      </c>
      <c r="J28" s="217"/>
      <c r="K28" s="598">
        <v>229.33900226757369614512471655</v>
      </c>
      <c r="L28" s="219">
        <v>2.3589714657158067596317218500</v>
      </c>
      <c r="M28" s="217"/>
      <c r="N28" s="598">
        <v>227.87730727470141150922909881</v>
      </c>
      <c r="O28" s="219">
        <v>9.356280405119388621881530140</v>
      </c>
      <c r="P28" s="217"/>
      <c r="Q28" s="598">
        <v>241.78217821782178217821782178</v>
      </c>
      <c r="R28" s="219">
        <v>2.2460663613574755111343288100</v>
      </c>
      <c r="S28" s="217"/>
      <c r="T28" s="598">
        <v>288.36493738819320214669051878</v>
      </c>
      <c r="U28" s="219">
        <v>-5.1218388614499712673929673600</v>
      </c>
      <c r="V28" s="217"/>
      <c r="W28" s="598">
        <v>296.72342264477095937770095073</v>
      </c>
      <c r="X28" s="219">
        <v>-7.4441822975256461418691577100</v>
      </c>
      <c r="Y28" s="217"/>
      <c r="Z28" s="599">
        <v>257.66527977044476327116212339</v>
      </c>
      <c r="AA28" s="219">
        <v>-0.422155086521180063594624900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77.9822756557792</v>
      </c>
      <c r="F29" s="218">
        <v>-15.9157544975988</v>
      </c>
      <c r="H29" s="223">
        <v>74.2284847450275</v>
      </c>
      <c r="I29" s="218">
        <v>7.4344728930419</v>
      </c>
      <c r="K29" s="223">
        <v>72.3938452521240</v>
      </c>
      <c r="L29" s="218">
        <v>4.5278606666602</v>
      </c>
      <c r="N29" s="223">
        <v>72.1688669025685</v>
      </c>
      <c r="O29" s="218">
        <v>-7.1456174956161</v>
      </c>
      <c r="Q29" s="223">
        <v>74.9878159855806</v>
      </c>
      <c r="R29" s="218">
        <v>0.2850780315344</v>
      </c>
      <c r="T29" s="223">
        <v>87.3699528830687</v>
      </c>
      <c r="U29" s="218">
        <v>3.9812301984566</v>
      </c>
      <c r="W29" s="223">
        <v>90.2828460555598</v>
      </c>
      <c r="X29" s="218">
        <v>8.7597281266509</v>
      </c>
      <c r="Z29" s="224">
        <v>79.0367402681677</v>
      </c>
      <c r="AA29" s="218">
        <v>0.0154921699351</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171</v>
      </c>
      <c r="F30" s="228" t="s">
        <v>173</v>
      </c>
      <c r="G30" s="229"/>
      <c r="H30" s="227" t="s">
        <v>171</v>
      </c>
      <c r="I30" s="228" t="s">
        <v>170</v>
      </c>
      <c r="J30" s="229"/>
      <c r="K30" s="227" t="s">
        <v>171</v>
      </c>
      <c r="L30" s="228" t="s">
        <v>171</v>
      </c>
      <c r="M30" s="229"/>
      <c r="N30" s="227" t="s">
        <v>171</v>
      </c>
      <c r="O30" s="228" t="s">
        <v>171</v>
      </c>
      <c r="P30" s="229"/>
      <c r="Q30" s="227" t="s">
        <v>171</v>
      </c>
      <c r="R30" s="228" t="s">
        <v>171</v>
      </c>
      <c r="S30" s="229"/>
      <c r="T30" s="227" t="s">
        <v>171</v>
      </c>
      <c r="U30" s="228" t="s">
        <v>171</v>
      </c>
      <c r="V30" s="229"/>
      <c r="W30" s="227" t="s">
        <v>171</v>
      </c>
      <c r="X30" s="228" t="s">
        <v>171</v>
      </c>
      <c r="Y30" s="229"/>
      <c r="Z30" s="230" t="s">
        <v>171</v>
      </c>
      <c r="AA30" s="228" t="s">
        <v>171</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201.32345679012345679012345679</v>
      </c>
      <c r="F32" s="219">
        <v>-8.081092849919109094799705590</v>
      </c>
      <c r="G32" s="217"/>
      <c r="H32" s="598">
        <v>170.94705882352941176470588235</v>
      </c>
      <c r="I32" s="219">
        <v>7.0240536400432383391915656200</v>
      </c>
      <c r="J32" s="217"/>
      <c r="K32" s="598">
        <v>165.09446254071661237785016287</v>
      </c>
      <c r="L32" s="219">
        <v>7.0092342884350697794939682700</v>
      </c>
      <c r="M32" s="217"/>
      <c r="N32" s="598">
        <v>159.72571428571428571428571429</v>
      </c>
      <c r="O32" s="219">
        <v>-0.1076611936406498211457342200</v>
      </c>
      <c r="P32" s="217"/>
      <c r="Q32" s="598">
        <v>180.01851851851851851851851852</v>
      </c>
      <c r="R32" s="219">
        <v>2.5131680459088667371139200700</v>
      </c>
      <c r="S32" s="217"/>
      <c r="T32" s="598">
        <v>247.68261964735516372795969773</v>
      </c>
      <c r="U32" s="219">
        <v>-3.3316589544331080282423273800</v>
      </c>
      <c r="V32" s="217"/>
      <c r="W32" s="598">
        <v>264.78911564625850340136054422</v>
      </c>
      <c r="X32" s="219">
        <v>-0.3023065598802485695508311700</v>
      </c>
      <c r="Y32" s="217"/>
      <c r="Z32" s="599">
        <v>202.21352177234530175706646295</v>
      </c>
      <c r="AA32" s="219">
        <v>1.3350976336208100681077641500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270.98355601233299075025693731</v>
      </c>
      <c r="F33" s="219">
        <v>2.5394465458479149513385693600</v>
      </c>
      <c r="G33" s="217"/>
      <c r="H33" s="598">
        <v>220.40596330275229357798165138</v>
      </c>
      <c r="I33" s="219">
        <v>-4.6613539943861246751994712600</v>
      </c>
      <c r="J33" s="217"/>
      <c r="K33" s="598">
        <v>212.93524283935242839352428394</v>
      </c>
      <c r="L33" s="219">
        <v>-4.6486519902622425516414299500</v>
      </c>
      <c r="M33" s="217"/>
      <c r="N33" s="598">
        <v>205.76254589963280293757649939</v>
      </c>
      <c r="O33" s="219">
        <v>0.1705575059204346682359714900</v>
      </c>
      <c r="P33" s="217"/>
      <c r="Q33" s="598">
        <v>228.508055853920515574650913</v>
      </c>
      <c r="R33" s="219">
        <v>-2.4305858929385654308235630400</v>
      </c>
      <c r="S33" s="217"/>
      <c r="T33" s="598">
        <v>287.74391343552750225428313796</v>
      </c>
      <c r="U33" s="219">
        <v>-5.6526744613777224603817284700</v>
      </c>
      <c r="V33" s="217"/>
      <c r="W33" s="598">
        <v>296.12326388888888888888888889</v>
      </c>
      <c r="X33" s="219">
        <v>-7.7365838647863834319631258100</v>
      </c>
      <c r="Y33" s="217"/>
      <c r="Z33" s="599">
        <v>250.55415352260778128286014721</v>
      </c>
      <c r="AA33" s="219">
        <v>-2.9838971462990504570948399600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74.2936065024497</v>
      </c>
      <c r="F34" s="218">
        <v>-10.3575158180261</v>
      </c>
      <c r="H34" s="223">
        <v>77.5600878768772</v>
      </c>
      <c r="I34" s="218">
        <v>12.2567375601925</v>
      </c>
      <c r="K34" s="223">
        <v>77.5327091651212</v>
      </c>
      <c r="L34" s="218">
        <v>12.2262417072092</v>
      </c>
      <c r="N34" s="223">
        <v>77.6262334757712</v>
      </c>
      <c r="O34" s="218">
        <v>-0.2777449846472</v>
      </c>
      <c r="Q34" s="223">
        <v>78.7799440355906</v>
      </c>
      <c r="R34" s="218">
        <v>5.0669095270215</v>
      </c>
      <c r="T34" s="223">
        <v>86.0774487599631</v>
      </c>
      <c r="U34" s="218">
        <v>2.4600755704644</v>
      </c>
      <c r="W34" s="223">
        <v>89.4185455640535</v>
      </c>
      <c r="X34" s="218">
        <v>8.0576653416684</v>
      </c>
      <c r="Z34" s="224">
        <v>80.7065135138962</v>
      </c>
      <c r="AA34" s="218">
        <v>4.4518328946867</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171</v>
      </c>
      <c r="F35" s="232" t="s">
        <v>172</v>
      </c>
      <c r="G35" s="176"/>
      <c r="H35" s="231" t="s">
        <v>171</v>
      </c>
      <c r="I35" s="232" t="s">
        <v>170</v>
      </c>
      <c r="J35" s="176"/>
      <c r="K35" s="231" t="s">
        <v>171</v>
      </c>
      <c r="L35" s="232" t="s">
        <v>170</v>
      </c>
      <c r="M35" s="176"/>
      <c r="N35" s="231" t="s">
        <v>171</v>
      </c>
      <c r="O35" s="232" t="s">
        <v>171</v>
      </c>
      <c r="P35" s="176"/>
      <c r="Q35" s="231" t="s">
        <v>171</v>
      </c>
      <c r="R35" s="232" t="s">
        <v>171</v>
      </c>
      <c r="S35" s="176"/>
      <c r="T35" s="231" t="s">
        <v>171</v>
      </c>
      <c r="U35" s="232" t="s">
        <v>171</v>
      </c>
      <c r="V35" s="176"/>
      <c r="W35" s="231" t="s">
        <v>171</v>
      </c>
      <c r="X35" s="232" t="s">
        <v>171</v>
      </c>
      <c r="Y35" s="176"/>
      <c r="Z35" s="233" t="s">
        <v>171</v>
      </c>
      <c r="AA35" s="232" t="s">
        <v>171</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329.54347826086956521739130435</v>
      </c>
      <c r="F37" s="219">
        <v>-28.155121240306403549826122500</v>
      </c>
      <c r="G37" s="217"/>
      <c r="H37" s="598">
        <v>146.4</v>
      </c>
      <c r="I37" s="219">
        <v>0</v>
      </c>
      <c r="J37" s="217"/>
      <c r="K37" s="598">
        <v>170.88135593220338983050847458</v>
      </c>
      <c r="L37" s="219">
        <v>-21.373609233636687748114756590</v>
      </c>
      <c r="M37" s="217"/>
      <c r="N37" s="598">
        <v>186.53333333333333333333333333</v>
      </c>
      <c r="O37" s="219">
        <v>-12.425665101721439749608763690</v>
      </c>
      <c r="P37" s="217"/>
      <c r="Q37" s="598">
        <v>188.47058823529411764705882353</v>
      </c>
      <c r="R37" s="219">
        <v>-9.633520774207195614236104990</v>
      </c>
      <c r="S37" s="217"/>
      <c r="T37" s="598">
        <v>357.6875</v>
      </c>
      <c r="U37" s="219">
        <v>47.761138979067307304689178790</v>
      </c>
      <c r="V37" s="217"/>
      <c r="W37" s="598">
        <v>359.06666666666666666666666667</v>
      </c>
      <c r="X37" s="219">
        <v>26.750714405788876317754536340</v>
      </c>
      <c r="Y37" s="217"/>
      <c r="Z37" s="599">
        <v>215.25925925925925925925925926</v>
      </c>
      <c r="AA37" s="219">
        <v>-32.310059126726249553599251710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624.54545454545454545454545455</v>
      </c>
      <c r="F38" s="219">
        <v>133.00511851580231001908854528</v>
      </c>
      <c r="G38" s="217"/>
      <c r="H38" s="598">
        <v>428.57692307692307692307692311</v>
      </c>
      <c r="I38" s="219">
        <v>85.53113553113553113553113555</v>
      </c>
      <c r="J38" s="217"/>
      <c r="K38" s="598">
        <v>396.07594936708860759493670886</v>
      </c>
      <c r="L38" s="219">
        <v>29.436584760486473070240754530</v>
      </c>
      <c r="M38" s="217"/>
      <c r="N38" s="598">
        <v>401.60576923076923076923076923</v>
      </c>
      <c r="O38" s="219">
        <v>37.154331698687082874651186400</v>
      </c>
      <c r="P38" s="217"/>
      <c r="Q38" s="598">
        <v>398.21518987341772151898734177</v>
      </c>
      <c r="R38" s="219">
        <v>20.490579194831825464495143780</v>
      </c>
      <c r="S38" s="217"/>
      <c r="T38" s="598">
        <v>364.88888888888888888888888893</v>
      </c>
      <c r="U38" s="219">
        <v>42.999362670905909192918178300</v>
      </c>
      <c r="V38" s="217"/>
      <c r="W38" s="598">
        <v>435</v>
      </c>
      <c r="X38" s="219">
        <v>50.141222914054899524892631310</v>
      </c>
      <c r="Y38" s="217"/>
      <c r="Z38" s="599">
        <v>408.90734824281150159744408946</v>
      </c>
      <c r="AA38" s="219">
        <v>40.556506824386487573067764910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52.7653313081412</v>
      </c>
      <c r="F39" s="218">
        <v>-69.1659654443014</v>
      </c>
      <c r="H39" s="223">
        <v>34.1595620568985</v>
      </c>
      <c r="I39" s="218">
        <v>0</v>
      </c>
      <c r="K39" s="223">
        <v>43.1435829934282</v>
      </c>
      <c r="L39" s="218">
        <v>-39.2548938834756</v>
      </c>
      <c r="N39" s="223">
        <v>46.4468759227744</v>
      </c>
      <c r="O39" s="218">
        <v>-36.1490564580409</v>
      </c>
      <c r="Q39" s="223">
        <v>47.3288294942271</v>
      </c>
      <c r="R39" s="218">
        <v>-25.0012077046912</v>
      </c>
      <c r="T39" s="223">
        <v>98.0264159561481</v>
      </c>
      <c r="U39" s="218">
        <v>3.3299283432195</v>
      </c>
      <c r="W39" s="223">
        <v>82.5440613026820</v>
      </c>
      <c r="X39" s="218">
        <v>-15.5790049223429</v>
      </c>
      <c r="Z39" s="224">
        <v>52.6425509798966</v>
      </c>
      <c r="AA39" s="218">
        <v>-51.8414747188741</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171</v>
      </c>
      <c r="F40" s="232" t="s">
        <v>173</v>
      </c>
      <c r="G40" s="176"/>
      <c r="H40" s="231" t="s">
        <v>171</v>
      </c>
      <c r="I40" s="232" t="s">
        <v>170</v>
      </c>
      <c r="J40" s="176"/>
      <c r="K40" s="231" t="s">
        <v>172</v>
      </c>
      <c r="L40" s="232" t="s">
        <v>174</v>
      </c>
      <c r="M40" s="176"/>
      <c r="N40" s="231" t="s">
        <v>171</v>
      </c>
      <c r="O40" s="232" t="s">
        <v>174</v>
      </c>
      <c r="P40" s="176"/>
      <c r="Q40" s="231" t="s">
        <v>171</v>
      </c>
      <c r="R40" s="232" t="s">
        <v>173</v>
      </c>
      <c r="S40" s="176"/>
      <c r="T40" s="231" t="s">
        <v>171</v>
      </c>
      <c r="U40" s="232" t="s">
        <v>170</v>
      </c>
      <c r="V40" s="176"/>
      <c r="W40" s="231" t="s">
        <v>171</v>
      </c>
      <c r="X40" s="232" t="s">
        <v>170</v>
      </c>
      <c r="Y40" s="176"/>
      <c r="Z40" s="233" t="s">
        <v>171</v>
      </c>
      <c r="AA40" s="232" t="s">
        <v>174</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v>0</v>
      </c>
      <c r="F44" s="218">
        <v>0</v>
      </c>
      <c r="H44" s="223">
        <v>0</v>
      </c>
      <c r="I44" s="218">
        <v>0</v>
      </c>
      <c r="K44" s="223">
        <v>0</v>
      </c>
      <c r="L44" s="218">
        <v>0</v>
      </c>
      <c r="N44" s="223">
        <v>0</v>
      </c>
      <c r="O44" s="218">
        <v>0</v>
      </c>
      <c r="Q44" s="223">
        <v>0</v>
      </c>
      <c r="R44" s="218">
        <v>0</v>
      </c>
      <c r="T44" s="223">
        <v>0</v>
      </c>
      <c r="U44" s="218">
        <v>0</v>
      </c>
      <c r="W44" s="223">
        <v>0</v>
      </c>
      <c r="X44" s="218">
        <v>0</v>
      </c>
      <c r="Z44" s="224">
        <v>0</v>
      </c>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175</v>
      </c>
      <c r="F45" s="232"/>
      <c r="G45" s="176"/>
      <c r="H45" s="231" t="s">
        <v>175</v>
      </c>
      <c r="I45" s="232"/>
      <c r="J45" s="176"/>
      <c r="K45" s="231" t="s">
        <v>175</v>
      </c>
      <c r="L45" s="232"/>
      <c r="M45" s="176"/>
      <c r="N45" s="231" t="s">
        <v>175</v>
      </c>
      <c r="O45" s="232"/>
      <c r="P45" s="176"/>
      <c r="Q45" s="231" t="s">
        <v>175</v>
      </c>
      <c r="R45" s="232"/>
      <c r="S45" s="176"/>
      <c r="T45" s="231" t="s">
        <v>175</v>
      </c>
      <c r="U45" s="232"/>
      <c r="V45" s="176"/>
      <c r="W45" s="231" t="s">
        <v>175</v>
      </c>
      <c r="X45" s="232"/>
      <c r="Y45" s="176"/>
      <c r="Z45" s="233" t="s">
        <v>175</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183.1344696969696969696969697</v>
      </c>
      <c r="F49" s="219">
        <v>-10.544623611153630538579431250</v>
      </c>
      <c r="G49" s="217"/>
      <c r="H49" s="598">
        <v>122.55681818181818181818181818</v>
      </c>
      <c r="I49" s="219">
        <v>-4.8997707365732666882122460300</v>
      </c>
      <c r="J49" s="217"/>
      <c r="K49" s="598">
        <v>115.08712121212121212121212121</v>
      </c>
      <c r="L49" s="219">
        <v>-7.4239400356585640668470236500</v>
      </c>
      <c r="M49" s="217"/>
      <c r="N49" s="598">
        <v>132.375000000</v>
      </c>
      <c r="O49" s="219">
        <v>-1.4717076884239590545164325900</v>
      </c>
      <c r="P49" s="217"/>
      <c r="Q49" s="598">
        <v>153.14962121212121212121212121</v>
      </c>
      <c r="R49" s="219">
        <v>5.3726869950548056932183510900</v>
      </c>
      <c r="S49" s="217"/>
      <c r="T49" s="598">
        <v>197.07007575757575757575757576</v>
      </c>
      <c r="U49" s="219">
        <v>-13.493178587160665732838038860</v>
      </c>
      <c r="V49" s="217"/>
      <c r="W49" s="598">
        <v>231.35984848484848484848484848</v>
      </c>
      <c r="X49" s="219">
        <v>-1.2848692504070225228949365300</v>
      </c>
      <c r="Y49" s="217"/>
      <c r="Z49" s="599">
        <v>162.10470779220779220779220779</v>
      </c>
      <c r="AA49" s="219">
        <v>-5.4217542641343244422799884900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196.61119186046511627906976744</v>
      </c>
      <c r="F50" s="219">
        <v>-8.305822149756488110145440880</v>
      </c>
      <c r="G50" s="217"/>
      <c r="H50" s="598">
        <v>147.77398255813953488372093023</v>
      </c>
      <c r="I50" s="219">
        <v>-9.038402973587962818015722990</v>
      </c>
      <c r="J50" s="217"/>
      <c r="K50" s="598">
        <v>147.00363372093023255813953488</v>
      </c>
      <c r="L50" s="219">
        <v>0.6159612111458002644406018200</v>
      </c>
      <c r="M50" s="217"/>
      <c r="N50" s="598">
        <v>152.52543604651162790697674419</v>
      </c>
      <c r="O50" s="219">
        <v>5.6128837547058333715987353500</v>
      </c>
      <c r="P50" s="217"/>
      <c r="Q50" s="598">
        <v>177.47093023255813953488372093</v>
      </c>
      <c r="R50" s="219">
        <v>-4.0995566777654743773827733100</v>
      </c>
      <c r="S50" s="217"/>
      <c r="T50" s="598">
        <v>234.29651162790697674418604651</v>
      </c>
      <c r="U50" s="219">
        <v>-9.497965639786239260511708280</v>
      </c>
      <c r="V50" s="217"/>
      <c r="W50" s="598">
        <v>249.49781976744186046511627907</v>
      </c>
      <c r="X50" s="219">
        <v>-10.567488757767425486362033280</v>
      </c>
      <c r="Y50" s="217"/>
      <c r="Z50" s="599">
        <v>186.45421511627906976744186047</v>
      </c>
      <c r="AA50" s="219">
        <v>-5.8789858551438265752471343700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93.1454959221791</v>
      </c>
      <c r="F51" s="218">
        <v>-2.4415960902757</v>
      </c>
      <c r="H51" s="223">
        <v>82.9353151754117</v>
      </c>
      <c r="I51" s="218">
        <v>4.5498676060345</v>
      </c>
      <c r="K51" s="223">
        <v>78.2886234163604</v>
      </c>
      <c r="L51" s="218">
        <v>-7.9906817466804</v>
      </c>
      <c r="N51" s="223">
        <v>86.7888028588512</v>
      </c>
      <c r="O51" s="218">
        <v>-6.7080749916610</v>
      </c>
      <c r="Q51" s="223">
        <v>86.2956096592257</v>
      </c>
      <c r="R51" s="218">
        <v>9.8771635924403</v>
      </c>
      <c r="T51" s="223">
        <v>84.1113998617932</v>
      </c>
      <c r="U51" s="218">
        <v>-4.4145007078178</v>
      </c>
      <c r="W51" s="223">
        <v>92.7302085046430</v>
      </c>
      <c r="X51" s="218">
        <v>10.3794686948085</v>
      </c>
      <c r="Z51" s="224">
        <v>86.9407579180206</v>
      </c>
      <c r="AA51" s="218">
        <v>0.4857911861290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171</v>
      </c>
      <c r="F52" s="228" t="s">
        <v>171</v>
      </c>
      <c r="G52" s="229"/>
      <c r="H52" s="227" t="s">
        <v>171</v>
      </c>
      <c r="I52" s="228" t="s">
        <v>170</v>
      </c>
      <c r="J52" s="229"/>
      <c r="K52" s="227" t="s">
        <v>172</v>
      </c>
      <c r="L52" s="228" t="s">
        <v>171</v>
      </c>
      <c r="M52" s="229"/>
      <c r="N52" s="227" t="s">
        <v>171</v>
      </c>
      <c r="O52" s="228" t="s">
        <v>171</v>
      </c>
      <c r="P52" s="229"/>
      <c r="Q52" s="227" t="s">
        <v>171</v>
      </c>
      <c r="R52" s="228" t="s">
        <v>170</v>
      </c>
      <c r="S52" s="229"/>
      <c r="T52" s="227" t="s">
        <v>171</v>
      </c>
      <c r="U52" s="228" t="s">
        <v>172</v>
      </c>
      <c r="V52" s="229"/>
      <c r="W52" s="227" t="s">
        <v>171</v>
      </c>
      <c r="X52" s="228" t="s">
        <v>170</v>
      </c>
      <c r="Y52" s="229"/>
      <c r="Z52" s="230" t="s">
        <v>171</v>
      </c>
      <c r="AA52" s="228" t="s">
        <v>170</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154.42424242424242424242424242</v>
      </c>
      <c r="F54" s="219">
        <v>-5.2744086620967046735993098300</v>
      </c>
      <c r="G54" s="217"/>
      <c r="H54" s="598">
        <v>110.07954545454545454545454545</v>
      </c>
      <c r="I54" s="219">
        <v>-14.581741226257323542764212080</v>
      </c>
      <c r="J54" s="217"/>
      <c r="K54" s="598">
        <v>95.99242424242424242424242424</v>
      </c>
      <c r="L54" s="219">
        <v>-21.218621279247348264830335170</v>
      </c>
      <c r="M54" s="217"/>
      <c r="N54" s="598">
        <v>105.87878787878787878787878788</v>
      </c>
      <c r="O54" s="219">
        <v>-16.954112631270002517659137990</v>
      </c>
      <c r="P54" s="217"/>
      <c r="Q54" s="598">
        <v>128.87689393939393939393939394</v>
      </c>
      <c r="R54" s="219">
        <v>-7.2967044943444875822391518500</v>
      </c>
      <c r="S54" s="217"/>
      <c r="T54" s="598">
        <v>186.23106060606060606060606061</v>
      </c>
      <c r="U54" s="219">
        <v>-13.369455090087800771909321870</v>
      </c>
      <c r="V54" s="217"/>
      <c r="W54" s="598">
        <v>221.15909090909090909090909091</v>
      </c>
      <c r="X54" s="219">
        <v>-2.5128984321309072331390572100</v>
      </c>
      <c r="Y54" s="217"/>
      <c r="Z54" s="599">
        <v>143.23457792207792207792207792</v>
      </c>
      <c r="AA54" s="219">
        <v>-10.644902120326962860753749390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191.61845930232558139534883721</v>
      </c>
      <c r="F55" s="219">
        <v>-10.255833684472108872623035890</v>
      </c>
      <c r="G55" s="217"/>
      <c r="H55" s="598">
        <v>139.67587209302325581395348837</v>
      </c>
      <c r="I55" s="219">
        <v>-13.755792546158237128554341680</v>
      </c>
      <c r="J55" s="217"/>
      <c r="K55" s="598">
        <v>124.26380813953488372093023256</v>
      </c>
      <c r="L55" s="219">
        <v>-13.899786109513434298909669290</v>
      </c>
      <c r="M55" s="217"/>
      <c r="N55" s="598">
        <v>122.17151162790697674418604651</v>
      </c>
      <c r="O55" s="219">
        <v>-11.165407384581527193851029890</v>
      </c>
      <c r="P55" s="217"/>
      <c r="Q55" s="598">
        <v>154.60828488372093023255813953</v>
      </c>
      <c r="R55" s="219">
        <v>-13.607060247752510723211748780</v>
      </c>
      <c r="S55" s="217"/>
      <c r="T55" s="598">
        <v>231.90988372093023255813953488</v>
      </c>
      <c r="U55" s="219">
        <v>-8.803250710692566745459073710</v>
      </c>
      <c r="V55" s="217"/>
      <c r="W55" s="598">
        <v>247.91715116279069767441860465</v>
      </c>
      <c r="X55" s="219">
        <v>-10.183945134916230564085029180</v>
      </c>
      <c r="Y55" s="217"/>
      <c r="Z55" s="599">
        <v>173.16642441860465116279069767</v>
      </c>
      <c r="AA55" s="219">
        <v>-11.064192102968356619028090110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80.5894395490471</v>
      </c>
      <c r="F56" s="218">
        <v>5.5506950778493</v>
      </c>
      <c r="H56" s="223">
        <v>78.8107092549610</v>
      </c>
      <c r="I56" s="218">
        <v>-0.9576859761772</v>
      </c>
      <c r="K56" s="223">
        <v>77.2488994821904</v>
      </c>
      <c r="L56" s="218">
        <v>-8.5003681628718</v>
      </c>
      <c r="N56" s="223">
        <v>86.6640565120163</v>
      </c>
      <c r="O56" s="218">
        <v>-6.5162737580605</v>
      </c>
      <c r="Q56" s="223">
        <v>83.3570426295966</v>
      </c>
      <c r="R56" s="218">
        <v>7.3042493650961</v>
      </c>
      <c r="T56" s="223">
        <v>80.3032012340564</v>
      </c>
      <c r="U56" s="218">
        <v>-5.0069815151867</v>
      </c>
      <c r="W56" s="223">
        <v>89.2068539315629</v>
      </c>
      <c r="X56" s="218">
        <v>8.5408412942308</v>
      </c>
      <c r="Z56" s="224">
        <v>82.7149826549707</v>
      </c>
      <c r="AA56" s="218">
        <v>0.4714523796272</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170</v>
      </c>
      <c r="G57" s="176"/>
      <c r="H57" s="231" t="s">
        <v>171</v>
      </c>
      <c r="I57" s="232" t="s">
        <v>171</v>
      </c>
      <c r="J57" s="176"/>
      <c r="K57" s="231" t="s">
        <v>172</v>
      </c>
      <c r="L57" s="232" t="s">
        <v>173</v>
      </c>
      <c r="M57" s="176"/>
      <c r="N57" s="231" t="s">
        <v>172</v>
      </c>
      <c r="O57" s="232" t="s">
        <v>172</v>
      </c>
      <c r="P57" s="176"/>
      <c r="Q57" s="231" t="s">
        <v>172</v>
      </c>
      <c r="R57" s="232" t="s">
        <v>171</v>
      </c>
      <c r="S57" s="176"/>
      <c r="T57" s="231" t="s">
        <v>172</v>
      </c>
      <c r="U57" s="232" t="s">
        <v>172</v>
      </c>
      <c r="V57" s="176"/>
      <c r="W57" s="231" t="s">
        <v>171</v>
      </c>
      <c r="X57" s="232" t="s">
        <v>170</v>
      </c>
      <c r="Y57" s="176"/>
      <c r="Z57" s="233" t="s">
        <v>172</v>
      </c>
      <c r="AA57" s="232" t="s">
        <v>171</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28.710227272727272727272727273</v>
      </c>
      <c r="F59" s="219">
        <v>-31.148657855353678783175601100</v>
      </c>
      <c r="G59" s="217"/>
      <c r="H59" s="598">
        <v>12.477272727272727272727272727</v>
      </c>
      <c r="I59" s="219">
        <v>0</v>
      </c>
      <c r="J59" s="217"/>
      <c r="K59" s="598">
        <v>19.09469696969696969696969697</v>
      </c>
      <c r="L59" s="219">
        <v>673.15950920150532575558097507</v>
      </c>
      <c r="M59" s="217"/>
      <c r="N59" s="598">
        <v>26.496212121212121212121212121</v>
      </c>
      <c r="O59" s="219">
        <v>286.35735984278581147853442157</v>
      </c>
      <c r="P59" s="217"/>
      <c r="Q59" s="598">
        <v>24.272727272727272727272727273</v>
      </c>
      <c r="R59" s="219">
        <v>284.05753670814625817504816539</v>
      </c>
      <c r="S59" s="217"/>
      <c r="T59" s="598">
        <v>10.839015151515151515151515152</v>
      </c>
      <c r="U59" s="219">
        <v>-15.565063440403412320822147860</v>
      </c>
      <c r="V59" s="217"/>
      <c r="W59" s="598">
        <v>10.200757575757575757575757576</v>
      </c>
      <c r="X59" s="219">
        <v>35.804336862680927063095442820</v>
      </c>
      <c r="Y59" s="217"/>
      <c r="Z59" s="599">
        <v>18.87012987012987012987012987</v>
      </c>
      <c r="AA59" s="219">
        <v>70.011944518875358874537659250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4.9927325581395348837209302326</v>
      </c>
      <c r="F60" s="219">
        <v>452.14426286142329032360066367</v>
      </c>
      <c r="G60" s="217"/>
      <c r="H60" s="598">
        <v>8.09811046511627906976744186</v>
      </c>
      <c r="I60" s="219">
        <v>1507.9365080330305320839452671</v>
      </c>
      <c r="J60" s="217"/>
      <c r="K60" s="598">
        <v>22.739825581395348837209302326</v>
      </c>
      <c r="L60" s="219">
        <v>1178.1862745398788927342716602</v>
      </c>
      <c r="M60" s="217"/>
      <c r="N60" s="598">
        <v>30.353924418604651162790697674</v>
      </c>
      <c r="O60" s="219">
        <v>340.39769789109632550874486359</v>
      </c>
      <c r="P60" s="217"/>
      <c r="Q60" s="598">
        <v>22.862645348837209302325581395</v>
      </c>
      <c r="R60" s="219">
        <v>274.91621187306876624818224906</v>
      </c>
      <c r="S60" s="217"/>
      <c r="T60" s="598">
        <v>2.3866279069767441860465116279</v>
      </c>
      <c r="U60" s="219">
        <v>-47.993963098503268450463290980</v>
      </c>
      <c r="V60" s="217"/>
      <c r="W60" s="598">
        <v>1.5806686046511627906976744186</v>
      </c>
      <c r="X60" s="219">
        <v>-46.440263394412800910153235590</v>
      </c>
      <c r="Y60" s="217"/>
      <c r="Z60" s="599">
        <v>13.287790697674418604651162791</v>
      </c>
      <c r="AA60" s="219">
        <v>291.84721725882628958409961230</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575.0403599357431</v>
      </c>
      <c r="F61" s="218">
        <v>-87.5301897028798</v>
      </c>
      <c r="H61" s="223">
        <v>154.0763463408578</v>
      </c>
      <c r="I61" s="218">
        <v>0</v>
      </c>
      <c r="K61" s="223">
        <v>83.9702877286598</v>
      </c>
      <c r="L61" s="218">
        <v>-39.5112023495469</v>
      </c>
      <c r="N61" s="223">
        <v>87.2908944353041</v>
      </c>
      <c r="O61" s="218">
        <v>-12.2708039357692</v>
      </c>
      <c r="Q61" s="223">
        <v>106.1676236604059</v>
      </c>
      <c r="R61" s="218">
        <v>2.4382314095030</v>
      </c>
      <c r="T61" s="223">
        <v>454.1560550651498</v>
      </c>
      <c r="U61" s="218">
        <v>62.3560293943450</v>
      </c>
      <c r="W61" s="223">
        <v>645.3444792555748</v>
      </c>
      <c r="X61" s="218">
        <v>153.5567675756604</v>
      </c>
      <c r="Z61" s="224">
        <v>142.0110408075296</v>
      </c>
      <c r="AA61" s="218">
        <v>-56.6126957062634</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170</v>
      </c>
      <c r="F62" s="232" t="s">
        <v>173</v>
      </c>
      <c r="G62" s="176"/>
      <c r="H62" s="231" t="s">
        <v>171</v>
      </c>
      <c r="I62" s="232" t="s">
        <v>170</v>
      </c>
      <c r="J62" s="176"/>
      <c r="K62" s="231" t="s">
        <v>171</v>
      </c>
      <c r="L62" s="232" t="s">
        <v>171</v>
      </c>
      <c r="M62" s="176"/>
      <c r="N62" s="231" t="s">
        <v>171</v>
      </c>
      <c r="O62" s="232" t="s">
        <v>171</v>
      </c>
      <c r="P62" s="176"/>
      <c r="Q62" s="231" t="s">
        <v>171</v>
      </c>
      <c r="R62" s="232" t="s">
        <v>171</v>
      </c>
      <c r="S62" s="176"/>
      <c r="T62" s="231" t="s">
        <v>170</v>
      </c>
      <c r="U62" s="232" t="s">
        <v>173</v>
      </c>
      <c r="V62" s="176"/>
      <c r="W62" s="231" t="s">
        <v>170</v>
      </c>
      <c r="X62" s="232" t="s">
        <v>170</v>
      </c>
      <c r="Y62" s="176"/>
      <c r="Z62" s="233" t="s">
        <v>171</v>
      </c>
      <c r="AA62" s="232" t="s">
        <v>171</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v>0</v>
      </c>
      <c r="F66" s="218">
        <v>0</v>
      </c>
      <c r="H66" s="223">
        <v>0</v>
      </c>
      <c r="I66" s="218">
        <v>0</v>
      </c>
      <c r="K66" s="223">
        <v>0</v>
      </c>
      <c r="L66" s="218">
        <v>0</v>
      </c>
      <c r="N66" s="223">
        <v>0</v>
      </c>
      <c r="O66" s="218">
        <v>0</v>
      </c>
      <c r="Q66" s="223">
        <v>0</v>
      </c>
      <c r="R66" s="218">
        <v>0</v>
      </c>
      <c r="T66" s="223">
        <v>0</v>
      </c>
      <c r="U66" s="218">
        <v>0</v>
      </c>
      <c r="W66" s="223">
        <v>0</v>
      </c>
      <c r="X66" s="218">
        <v>0</v>
      </c>
      <c r="Z66" s="224">
        <v>0</v>
      </c>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175</v>
      </c>
      <c r="F67" s="232"/>
      <c r="G67" s="176"/>
      <c r="H67" s="231" t="s">
        <v>175</v>
      </c>
      <c r="I67" s="232"/>
      <c r="J67" s="176"/>
      <c r="K67" s="231" t="s">
        <v>175</v>
      </c>
      <c r="L67" s="232"/>
      <c r="M67" s="176"/>
      <c r="N67" s="231" t="s">
        <v>175</v>
      </c>
      <c r="O67" s="232"/>
      <c r="P67" s="176"/>
      <c r="Q67" s="231" t="s">
        <v>175</v>
      </c>
      <c r="R67" s="232"/>
      <c r="S67" s="176"/>
      <c r="T67" s="231" t="s">
        <v>175</v>
      </c>
      <c r="U67" s="232"/>
      <c r="V67" s="176"/>
      <c r="W67" s="231" t="s">
        <v>175</v>
      </c>
      <c r="X67" s="232"/>
      <c r="Y67" s="176"/>
      <c r="Z67" s="233" t="s">
        <v>175</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119</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179</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180</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0.9621212121212121212121212121</v>
      </c>
      <c r="F10" s="73">
        <v>4.9586776859122464312547095900</v>
      </c>
      <c r="G10" s="66"/>
      <c r="H10" s="67">
        <v>0.7348484848484848484848484848</v>
      </c>
      <c r="I10" s="73">
        <v>-4.9019607842801614763552361400</v>
      </c>
      <c r="J10" s="66"/>
      <c r="K10" s="67">
        <v>0.6666666666666666666666666667</v>
      </c>
      <c r="L10" s="73">
        <v>-9.278350515404059942608101640</v>
      </c>
      <c r="M10" s="67"/>
      <c r="N10" s="67">
        <v>0.7272727272727272727272727273</v>
      </c>
      <c r="O10" s="73">
        <v>4.3478260869111531190926473300</v>
      </c>
      <c r="P10" s="66"/>
      <c r="Q10" s="67">
        <v>0.7575757575757575757575757576</v>
      </c>
      <c r="R10" s="73">
        <v>4.1666666666276041666666813200</v>
      </c>
      <c r="S10" s="66"/>
      <c r="T10" s="67">
        <v>0.7348484848484848484848484848</v>
      </c>
      <c r="U10" s="73">
        <v>-15.652173913031742911153117470</v>
      </c>
      <c r="V10" s="66"/>
      <c r="W10" s="67">
        <v>0.7272727272727272727272727273</v>
      </c>
      <c r="X10" s="73">
        <v>-20.661157024822238918106676210</v>
      </c>
      <c r="Y10" s="177"/>
      <c r="Z10" s="67">
        <v>0.7586580086580086580086580087</v>
      </c>
      <c r="AA10" s="73">
        <v>-5.7795698924959135449184821700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0.8139534883720930232558139535</v>
      </c>
      <c r="F11" s="81">
        <v>-9.090909090878394332939777120</v>
      </c>
      <c r="G11" s="181"/>
      <c r="H11" s="180">
        <v>0.6395348837209302325581395349</v>
      </c>
      <c r="I11" s="81">
        <v>-11.646586345341784809922402730</v>
      </c>
      <c r="J11" s="181"/>
      <c r="K11" s="180">
        <v>0.5523255813953488372093023256</v>
      </c>
      <c r="L11" s="81">
        <v>-16.299559471336140813910603040</v>
      </c>
      <c r="M11" s="180"/>
      <c r="N11" s="180">
        <v>0.6104651162790697674418604651</v>
      </c>
      <c r="O11" s="81">
        <v>-11.016949152554438379775924820</v>
      </c>
      <c r="P11" s="181"/>
      <c r="Q11" s="180">
        <v>0.7325581395348837209302325581</v>
      </c>
      <c r="R11" s="81">
        <v>-9.025270758175292262377949290</v>
      </c>
      <c r="S11" s="182"/>
      <c r="T11" s="180">
        <v>0.869186046511627906976744186</v>
      </c>
      <c r="U11" s="81">
        <v>0.6734006734305025564284911900</v>
      </c>
      <c r="V11" s="181"/>
      <c r="W11" s="180">
        <v>0.8372093023255813953488372093</v>
      </c>
      <c r="X11" s="81">
        <v>-6.7961165048036949759637767700</v>
      </c>
      <c r="Y11" s="183"/>
      <c r="Z11" s="180">
        <v>0.7221760797342192691029900332</v>
      </c>
      <c r="AA11" s="81">
        <v>-8.289154598973897595482358190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118.20346320347671243042671768</v>
      </c>
      <c r="F12" s="73">
        <v>15.454545454504949562065861480</v>
      </c>
      <c r="G12" s="68"/>
      <c r="H12" s="68">
        <v>114.90358126720509591785624979</v>
      </c>
      <c r="I12" s="73">
        <v>7.6336898394797990097708508700</v>
      </c>
      <c r="J12" s="68"/>
      <c r="K12" s="68">
        <v>120.70175438604114496768241196</v>
      </c>
      <c r="L12" s="73">
        <v>8.388497015801006630426841140</v>
      </c>
      <c r="M12" s="68"/>
      <c r="N12" s="68">
        <v>119.13419913421274953617810917</v>
      </c>
      <c r="O12" s="73">
        <v>17.267080745374462562903569960</v>
      </c>
      <c r="P12" s="68"/>
      <c r="Q12" s="68">
        <v>103.41510341508700000763493088</v>
      </c>
      <c r="R12" s="73">
        <v>14.500661375660675618110978150</v>
      </c>
      <c r="S12" s="68"/>
      <c r="T12" s="68">
        <v>84.54444106614400367699773058</v>
      </c>
      <c r="U12" s="73">
        <v>-16.216373418727283919198409430</v>
      </c>
      <c r="V12" s="68"/>
      <c r="W12" s="68">
        <v>86.86868686864343434343436515</v>
      </c>
      <c r="X12" s="73">
        <v>-14.876033057917197246343853100</v>
      </c>
      <c r="Y12" s="174"/>
      <c r="Z12" s="68">
        <v>105.05166675382630944711378309</v>
      </c>
      <c r="AA12" s="73">
        <v>2.7364099584777242422568380300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186.29921259842519685039370079</v>
      </c>
      <c r="F14" s="73">
        <v>-1.7511997715539748722552936100</v>
      </c>
      <c r="G14" s="70"/>
      <c r="H14" s="237">
        <v>132.52577319587628865979381443</v>
      </c>
      <c r="I14" s="73">
        <v>-16.655596115810380280074757980</v>
      </c>
      <c r="J14" s="70"/>
      <c r="K14" s="237">
        <v>118.80681818181818181818181818</v>
      </c>
      <c r="L14" s="73">
        <v>-13.513986013974331072304804310</v>
      </c>
      <c r="M14" s="70"/>
      <c r="N14" s="237">
        <v>126.500000000</v>
      </c>
      <c r="O14" s="73">
        <v>-7.912644405766234363386246800</v>
      </c>
      <c r="P14" s="70"/>
      <c r="Q14" s="237">
        <v>155.880000000</v>
      </c>
      <c r="R14" s="73">
        <v>0.459720730375841091142776400</v>
      </c>
      <c r="S14" s="70"/>
      <c r="T14" s="237">
        <v>221.08247422680412371134020619</v>
      </c>
      <c r="U14" s="73">
        <v>-10.233786900799655028091700290</v>
      </c>
      <c r="V14" s="70"/>
      <c r="W14" s="237">
        <v>237.72916666666666666666666667</v>
      </c>
      <c r="X14" s="73">
        <v>-6.6912249686314204330709418700</v>
      </c>
      <c r="Y14" s="178"/>
      <c r="Z14" s="237">
        <v>169.71326676176890156918687589</v>
      </c>
      <c r="AA14" s="73">
        <v>-9.273587211072342747224179240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255.31785714285714285714285714</v>
      </c>
      <c r="F15" s="81">
        <v>-7.1922060142580296623800086200</v>
      </c>
      <c r="G15" s="184"/>
      <c r="H15" s="238">
        <v>192.11818181818181818181818181</v>
      </c>
      <c r="I15" s="81">
        <v>-10.507301094917167886920935210</v>
      </c>
      <c r="J15" s="184"/>
      <c r="K15" s="238">
        <v>203.86842105263157894736842104</v>
      </c>
      <c r="L15" s="81">
        <v>-5.5394113754534864843208026200</v>
      </c>
      <c r="M15" s="184"/>
      <c r="N15" s="238">
        <v>207.90000000000000000000000001</v>
      </c>
      <c r="O15" s="81">
        <v>4.8944949224869839707642134400</v>
      </c>
      <c r="P15" s="184"/>
      <c r="Q15" s="238">
        <v>239.05952380952380952380952382</v>
      </c>
      <c r="R15" s="81">
        <v>2.7024956112037405325802869500</v>
      </c>
      <c r="S15" s="184"/>
      <c r="T15" s="238">
        <v>290.58528428093645484949832778</v>
      </c>
      <c r="U15" s="81">
        <v>1.780585219983890182825700100</v>
      </c>
      <c r="V15" s="184"/>
      <c r="W15" s="238">
        <v>248.01736111111111111111111111</v>
      </c>
      <c r="X15" s="81">
        <v>-11.208911178816498431381382760</v>
      </c>
      <c r="Y15" s="186"/>
      <c r="Z15" s="238">
        <v>238.47383553766532489936745256</v>
      </c>
      <c r="AA15" s="81">
        <v>-2.9643478999422185742804991700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72.96756078214872079734837300</v>
      </c>
      <c r="F16" s="73">
        <v>5.862660891931274697738880900</v>
      </c>
      <c r="G16" s="68"/>
      <c r="H16" s="68">
        <v>68.981380076397161429876456930</v>
      </c>
      <c r="I16" s="73">
        <v>-6.8701638190333339609935631600</v>
      </c>
      <c r="J16" s="68"/>
      <c r="K16" s="68">
        <v>58.276224227569255502538271870</v>
      </c>
      <c r="L16" s="73">
        <v>-8.442224164271541979019582140</v>
      </c>
      <c r="M16" s="68"/>
      <c r="N16" s="68">
        <v>60.846560846560846560846560850</v>
      </c>
      <c r="O16" s="73">
        <v>-12.209543825607664020653700680</v>
      </c>
      <c r="P16" s="68"/>
      <c r="Q16" s="68">
        <v>65.205517653509805838120961090</v>
      </c>
      <c r="R16" s="73">
        <v>-2.1837588925579222938256529900</v>
      </c>
      <c r="S16" s="68"/>
      <c r="T16" s="68">
        <v>76.081786031907378608929273820</v>
      </c>
      <c r="U16" s="73">
        <v>-11.804188485301566391104212760</v>
      </c>
      <c r="V16" s="68"/>
      <c r="W16" s="68">
        <v>95.85182488905495983199603769</v>
      </c>
      <c r="X16" s="73">
        <v>5.087995056833536627351416500</v>
      </c>
      <c r="Y16" s="174"/>
      <c r="Z16" s="68">
        <v>71.166409673039021977927286960</v>
      </c>
      <c r="AA16" s="73">
        <v>-6.5019806375595713903976106200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179.24242424242424242424242424</v>
      </c>
      <c r="F18" s="73">
        <v>3.1206415620533695284279581500</v>
      </c>
      <c r="G18" s="70"/>
      <c r="H18" s="237">
        <v>97.38636363636363636363636364</v>
      </c>
      <c r="I18" s="73">
        <v>-20.741106110109944248706836170</v>
      </c>
      <c r="J18" s="70"/>
      <c r="K18" s="237">
        <v>79.204545454545454545454545455</v>
      </c>
      <c r="L18" s="73">
        <v>-21.538461538485091643815839370</v>
      </c>
      <c r="M18" s="70"/>
      <c r="N18" s="237">
        <v>92.000000000</v>
      </c>
      <c r="O18" s="73">
        <v>-3.9088463364213094087890922800</v>
      </c>
      <c r="P18" s="70"/>
      <c r="Q18" s="237">
        <v>118.09090909090909090909090909</v>
      </c>
      <c r="R18" s="73">
        <v>4.6455424274832645619726794700</v>
      </c>
      <c r="S18" s="70"/>
      <c r="T18" s="237">
        <v>162.46212121212121212121212121</v>
      </c>
      <c r="U18" s="73">
        <v>-24.284150690258154787216868990</v>
      </c>
      <c r="V18" s="70"/>
      <c r="W18" s="237">
        <v>172.89393939393939393939393939</v>
      </c>
      <c r="X18" s="73">
        <v>-25.969897495797462716200376780</v>
      </c>
      <c r="Y18" s="178"/>
      <c r="Z18" s="237">
        <v>128.754329004329004329004329</v>
      </c>
      <c r="AA18" s="73">
        <v>-14.517183649110392635559450810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207.81686046511627906976744186</v>
      </c>
      <c r="F19" s="81">
        <v>-15.629278194788391150088868800</v>
      </c>
      <c r="G19" s="184"/>
      <c r="H19" s="238">
        <v>122.86627906976744186046511628</v>
      </c>
      <c r="I19" s="81">
        <v>-20.930145545692196973995004750</v>
      </c>
      <c r="J19" s="184"/>
      <c r="K19" s="238">
        <v>112.60174418604651162790697674</v>
      </c>
      <c r="L19" s="81">
        <v>-20.936071195317848185187376140</v>
      </c>
      <c r="M19" s="184"/>
      <c r="N19" s="238">
        <v>126.9156976744186046511627907</v>
      </c>
      <c r="O19" s="81">
        <v>-6.6616782469251807448978629600</v>
      </c>
      <c r="P19" s="184"/>
      <c r="Q19" s="238">
        <v>175.125000000</v>
      </c>
      <c r="R19" s="81">
        <v>-6.5666826930614517824482971600</v>
      </c>
      <c r="S19" s="184"/>
      <c r="T19" s="238">
        <v>252.57267441860465116279069767</v>
      </c>
      <c r="U19" s="81">
        <v>2.4659763662571628170090457900</v>
      </c>
      <c r="V19" s="184"/>
      <c r="W19" s="238">
        <v>207.64244186046511627906976744</v>
      </c>
      <c r="X19" s="81">
        <v>-17.243257021044550379626227940</v>
      </c>
      <c r="Y19" s="186"/>
      <c r="Z19" s="238">
        <v>172.22009966777408637873754153</v>
      </c>
      <c r="AA19" s="81">
        <v>-11.007783118591209349474589890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86.25018385961304453025714763</v>
      </c>
      <c r="F20" s="73">
        <v>22.223253938986922174137635030</v>
      </c>
      <c r="G20" s="68"/>
      <c r="H20" s="68">
        <v>79.26207611531778156571710950</v>
      </c>
      <c r="I20" s="73">
        <v>0.2390790230166211591883840400</v>
      </c>
      <c r="J20" s="68"/>
      <c r="K20" s="68">
        <v>70.340425032592980073942373860</v>
      </c>
      <c r="L20" s="73">
        <v>-0.7619028705200099614302375200</v>
      </c>
      <c r="M20" s="68"/>
      <c r="N20" s="68">
        <v>72.489062965264067660802530750</v>
      </c>
      <c r="O20" s="73">
        <v>2.949305128653757350130019800</v>
      </c>
      <c r="P20" s="68"/>
      <c r="Q20" s="68">
        <v>67.432353513723963402764259290</v>
      </c>
      <c r="R20" s="73">
        <v>12.000243000739527912213916560</v>
      </c>
      <c r="S20" s="68"/>
      <c r="T20" s="68">
        <v>64.322920753836365467490396590</v>
      </c>
      <c r="U20" s="73">
        <v>-26.106350620140641066086129680</v>
      </c>
      <c r="V20" s="68"/>
      <c r="W20" s="68">
        <v>83.26522162077749889898643667</v>
      </c>
      <c r="X20" s="73">
        <v>-10.544929827626894593647537240</v>
      </c>
      <c r="Y20" s="174"/>
      <c r="Z20" s="68">
        <v>74.761499530360687149097307290</v>
      </c>
      <c r="AA20" s="73">
        <v>-3.9434915249312390476092962200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0.8541666666666666666666666667</v>
      </c>
      <c r="F27" s="73">
        <v>2.2675736961785182100051013800</v>
      </c>
      <c r="G27" s="66"/>
      <c r="H27" s="67">
        <v>0.7291666666666666666666666667</v>
      </c>
      <c r="I27" s="73">
        <v>-9.624413145519539773854389380</v>
      </c>
      <c r="J27" s="66"/>
      <c r="K27" s="67">
        <v>0.6931818181818181818181818182</v>
      </c>
      <c r="L27" s="73">
        <v>-13.475177304925265328705781680</v>
      </c>
      <c r="M27" s="67"/>
      <c r="N27" s="67">
        <v>0.8049242424242424242424242424</v>
      </c>
      <c r="O27" s="73">
        <v>-2.9680365296271970976418048600</v>
      </c>
      <c r="P27" s="66"/>
      <c r="Q27" s="67">
        <v>0.8446969696969696969696969697</v>
      </c>
      <c r="R27" s="73">
        <v>2.7649769584874599163286682200</v>
      </c>
      <c r="S27" s="66"/>
      <c r="T27" s="67">
        <v>0.7821969696969696969696969697</v>
      </c>
      <c r="U27" s="73">
        <v>-12.314225053033875613615134030</v>
      </c>
      <c r="V27" s="66"/>
      <c r="W27" s="67">
        <v>0.8636363636363636363636363636</v>
      </c>
      <c r="X27" s="73">
        <v>-1.935483870987987513007279900</v>
      </c>
      <c r="Y27" s="177"/>
      <c r="Z27" s="67">
        <v>0.795995670995670995670995671</v>
      </c>
      <c r="AA27" s="73">
        <v>-5.0355067785143385369931622200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0.7151162790697674418604651163</v>
      </c>
      <c r="F28" s="81">
        <v>-11.856985877360807096513317540</v>
      </c>
      <c r="G28" s="181"/>
      <c r="H28" s="180">
        <v>0.6526162790697674418604651163</v>
      </c>
      <c r="I28" s="81">
        <v>-7.1308863565092898325662816900</v>
      </c>
      <c r="J28" s="181"/>
      <c r="K28" s="180">
        <v>0.6409883720930232558139534884</v>
      </c>
      <c r="L28" s="81">
        <v>-1.7028407276684540628782687500</v>
      </c>
      <c r="M28" s="180"/>
      <c r="N28" s="180">
        <v>0.6693313953488372093023255814</v>
      </c>
      <c r="O28" s="81">
        <v>-3.4231199493866833042969653800</v>
      </c>
      <c r="P28" s="181"/>
      <c r="Q28" s="180">
        <v>0.7340116279069767441860465116</v>
      </c>
      <c r="R28" s="81">
        <v>-6.2062270607329752629321500200</v>
      </c>
      <c r="S28" s="182"/>
      <c r="T28" s="180">
        <v>0.8125000000000000000000000</v>
      </c>
      <c r="U28" s="81">
        <v>-4.6123646640758301407639057100</v>
      </c>
      <c r="V28" s="181"/>
      <c r="W28" s="180">
        <v>0.840843023255813953488372093</v>
      </c>
      <c r="X28" s="81">
        <v>-3.3745112276758928246459790400</v>
      </c>
      <c r="Y28" s="183"/>
      <c r="Z28" s="180">
        <v>0.7236295681063122923588039867</v>
      </c>
      <c r="AA28" s="81">
        <v>-5.4799647184441243218153810500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119.44444444440560072267390604</v>
      </c>
      <c r="F29" s="73">
        <v>16.024593343109277506243195100</v>
      </c>
      <c r="G29" s="68"/>
      <c r="H29" s="68">
        <v>111.72976985890599087636802163</v>
      </c>
      <c r="I29" s="73">
        <v>-2.6849904033973531626375896800</v>
      </c>
      <c r="J29" s="68"/>
      <c r="K29" s="68">
        <v>108.14265099979778047960749627</v>
      </c>
      <c r="L29" s="73">
        <v>-11.976273439091220979076362570</v>
      </c>
      <c r="M29" s="68"/>
      <c r="N29" s="68">
        <v>120.25795413414638414118515414</v>
      </c>
      <c r="O29" s="73">
        <v>0.4712136273991762377174410500</v>
      </c>
      <c r="P29" s="68"/>
      <c r="Q29" s="68">
        <v>115.07950795079143342453057199</v>
      </c>
      <c r="R29" s="73">
        <v>9.564818364962951686928362520</v>
      </c>
      <c r="S29" s="68"/>
      <c r="T29" s="68">
        <v>96.27039627039627039627039627</v>
      </c>
      <c r="U29" s="73">
        <v>-8.074275415102771491036669210</v>
      </c>
      <c r="V29" s="68"/>
      <c r="W29" s="68">
        <v>102.71077237367099602930743635</v>
      </c>
      <c r="X29" s="73">
        <v>1.489283391926896506251239600</v>
      </c>
      <c r="Y29" s="174"/>
      <c r="Z29" s="68">
        <v>110.00043476375339803989560983</v>
      </c>
      <c r="AA29" s="73">
        <v>0.4702261679923957384319026200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214.4013303769401330376940133</v>
      </c>
      <c r="F31" s="73">
        <v>-12.528113109788449007652841690</v>
      </c>
      <c r="G31" s="70"/>
      <c r="H31" s="237">
        <v>168.07792207792207792207792208</v>
      </c>
      <c r="I31" s="73">
        <v>5.2277861460263522718173779500</v>
      </c>
      <c r="J31" s="70"/>
      <c r="K31" s="237">
        <v>166.02732240437158469945355191</v>
      </c>
      <c r="L31" s="73">
        <v>6.9936430735837171707306737600</v>
      </c>
      <c r="M31" s="70"/>
      <c r="N31" s="237">
        <v>164.45647058823529411764705882</v>
      </c>
      <c r="O31" s="73">
        <v>1.5420988999438732453441236800</v>
      </c>
      <c r="P31" s="70"/>
      <c r="Q31" s="237">
        <v>181.30717488789237668161434978</v>
      </c>
      <c r="R31" s="73">
        <v>2.5375474346409249465295859600</v>
      </c>
      <c r="S31" s="70"/>
      <c r="T31" s="237">
        <v>251.94430992736077481840193705</v>
      </c>
      <c r="U31" s="73">
        <v>-1.3445208584884315347890948400</v>
      </c>
      <c r="V31" s="70"/>
      <c r="W31" s="237">
        <v>267.89035087719298245614035088</v>
      </c>
      <c r="X31" s="73">
        <v>0.6634556985912690087850238700</v>
      </c>
      <c r="Y31" s="178"/>
      <c r="Z31" s="237">
        <v>203.65023793337865397688647179</v>
      </c>
      <c r="AA31" s="73">
        <v>-0.4067283175338940399244910200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274.93597560975609756097560976</v>
      </c>
      <c r="F32" s="81">
        <v>4.0288657733317617775921098900</v>
      </c>
      <c r="G32" s="184"/>
      <c r="H32" s="238">
        <v>226.43318485523385300668151448</v>
      </c>
      <c r="I32" s="81">
        <v>-2.0539838728193813233668615600</v>
      </c>
      <c r="J32" s="184"/>
      <c r="K32" s="238">
        <v>229.33900226757369614512471655</v>
      </c>
      <c r="L32" s="81">
        <v>2.3589714657158067596317218500</v>
      </c>
      <c r="M32" s="184"/>
      <c r="N32" s="238">
        <v>227.87730727470141150922909881</v>
      </c>
      <c r="O32" s="81">
        <v>9.356280405119388621881530140</v>
      </c>
      <c r="P32" s="184"/>
      <c r="Q32" s="238">
        <v>241.78217821782178217821782178</v>
      </c>
      <c r="R32" s="81">
        <v>2.2460663613574755111343288100</v>
      </c>
      <c r="S32" s="184"/>
      <c r="T32" s="238">
        <v>288.36493738819320214669051878</v>
      </c>
      <c r="U32" s="81">
        <v>-5.1218388614499712673929673600</v>
      </c>
      <c r="V32" s="184"/>
      <c r="W32" s="238">
        <v>296.72342264477095937770095073</v>
      </c>
      <c r="X32" s="81">
        <v>-7.4441822975256461418691577100</v>
      </c>
      <c r="Y32" s="186"/>
      <c r="Z32" s="238">
        <v>257.66527977044476327116212339</v>
      </c>
      <c r="AA32" s="81">
        <v>-0.422155086521180063594624900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77.982275655779210446633034470</v>
      </c>
      <c r="F33" s="73">
        <v>-15.915754497598757171377547580</v>
      </c>
      <c r="G33" s="68"/>
      <c r="H33" s="68">
        <v>74.228484745027511684242642700</v>
      </c>
      <c r="I33" s="73">
        <v>7.4344728930419232073550043300</v>
      </c>
      <c r="J33" s="68"/>
      <c r="K33" s="68">
        <v>72.393845252124038982592949280</v>
      </c>
      <c r="L33" s="73">
        <v>4.527860666660176855868509900</v>
      </c>
      <c r="M33" s="68"/>
      <c r="N33" s="68">
        <v>72.168866902568502240677867570</v>
      </c>
      <c r="O33" s="73">
        <v>-7.1456174956160723109875643100</v>
      </c>
      <c r="P33" s="68"/>
      <c r="Q33" s="68">
        <v>74.987815985580588766563194520</v>
      </c>
      <c r="R33" s="73">
        <v>0.2850780315343743295869907200</v>
      </c>
      <c r="S33" s="68"/>
      <c r="T33" s="68">
        <v>87.36995288306865745134936736</v>
      </c>
      <c r="U33" s="73">
        <v>3.9812301984566423460584644200</v>
      </c>
      <c r="V33" s="68"/>
      <c r="W33" s="68">
        <v>90.28284605555984424104224412</v>
      </c>
      <c r="X33" s="73">
        <v>8.759728126650879429365959180</v>
      </c>
      <c r="Y33" s="174"/>
      <c r="Z33" s="68">
        <v>79.036740268167682363956630280</v>
      </c>
      <c r="AA33" s="73">
        <v>0.0154921699351473766341271500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183.1344696969696969696969697</v>
      </c>
      <c r="F35" s="73">
        <v>-10.544623611153630538579431250</v>
      </c>
      <c r="G35" s="70"/>
      <c r="H35" s="237">
        <v>122.55681818181818181818181818</v>
      </c>
      <c r="I35" s="73">
        <v>-4.8997707365732666882122460300</v>
      </c>
      <c r="J35" s="70"/>
      <c r="K35" s="237">
        <v>115.08712121212121212121212121</v>
      </c>
      <c r="L35" s="73">
        <v>-7.4239400356585640668470236500</v>
      </c>
      <c r="M35" s="70"/>
      <c r="N35" s="237">
        <v>132.375000000</v>
      </c>
      <c r="O35" s="73">
        <v>-1.4717076884239590545164325900</v>
      </c>
      <c r="P35" s="70"/>
      <c r="Q35" s="237">
        <v>153.14962121212121212121212121</v>
      </c>
      <c r="R35" s="73">
        <v>5.3726869950548056932183510900</v>
      </c>
      <c r="S35" s="70"/>
      <c r="T35" s="237">
        <v>197.07007575757575757575757576</v>
      </c>
      <c r="U35" s="73">
        <v>-13.493178587160665732838038860</v>
      </c>
      <c r="V35" s="70"/>
      <c r="W35" s="237">
        <v>231.35984848484848484848484848</v>
      </c>
      <c r="X35" s="73">
        <v>-1.2848692504070225228949365300</v>
      </c>
      <c r="Y35" s="178"/>
      <c r="Z35" s="237">
        <v>162.10470779220779220779220779</v>
      </c>
      <c r="AA35" s="73">
        <v>-5.4217542641343244422799884900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196.61119186046511627906976744</v>
      </c>
      <c r="F36" s="81">
        <v>-8.305822149756488110145440880</v>
      </c>
      <c r="G36" s="184"/>
      <c r="H36" s="238">
        <v>147.77398255813953488372093023</v>
      </c>
      <c r="I36" s="81">
        <v>-9.038402973587962818015722990</v>
      </c>
      <c r="J36" s="184"/>
      <c r="K36" s="238">
        <v>147.00363372093023255813953488</v>
      </c>
      <c r="L36" s="81">
        <v>0.6159612111458002644406018200</v>
      </c>
      <c r="M36" s="184"/>
      <c r="N36" s="238">
        <v>152.52543604651162790697674419</v>
      </c>
      <c r="O36" s="81">
        <v>5.6128837547058333715987353500</v>
      </c>
      <c r="P36" s="184"/>
      <c r="Q36" s="238">
        <v>177.47093023255813953488372093</v>
      </c>
      <c r="R36" s="81">
        <v>-4.0995566777654743773827733100</v>
      </c>
      <c r="S36" s="184"/>
      <c r="T36" s="238">
        <v>234.29651162790697674418604651</v>
      </c>
      <c r="U36" s="81">
        <v>-9.497965639786239260511708280</v>
      </c>
      <c r="V36" s="184"/>
      <c r="W36" s="238">
        <v>249.49781976744186046511627907</v>
      </c>
      <c r="X36" s="81">
        <v>-10.567488757767425486362033280</v>
      </c>
      <c r="Y36" s="186"/>
      <c r="Z36" s="238">
        <v>186.45421511627906976744186047</v>
      </c>
      <c r="AA36" s="81">
        <v>-5.8789858551438265752471343700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93.14549592217907095600985608</v>
      </c>
      <c r="F37" s="73">
        <v>-2.4415960902757380762062464200</v>
      </c>
      <c r="G37" s="68"/>
      <c r="H37" s="68">
        <v>82.93531517541172290004947737</v>
      </c>
      <c r="I37" s="73">
        <v>4.5498676060344579344733807200</v>
      </c>
      <c r="J37" s="68"/>
      <c r="K37" s="68">
        <v>78.288623416360414652248691010</v>
      </c>
      <c r="L37" s="73">
        <v>-7.990681746680376731998419750</v>
      </c>
      <c r="M37" s="68"/>
      <c r="N37" s="68">
        <v>86.78880285885116674613813755</v>
      </c>
      <c r="O37" s="73">
        <v>-6.7080749916609754059819652500</v>
      </c>
      <c r="P37" s="68"/>
      <c r="Q37" s="68">
        <v>86.29560965922566814399023948</v>
      </c>
      <c r="R37" s="73">
        <v>9.877163592440279197741510780</v>
      </c>
      <c r="S37" s="68"/>
      <c r="T37" s="68">
        <v>84.11139986179319496719185228</v>
      </c>
      <c r="U37" s="73">
        <v>-4.4145007078177823084243116600</v>
      </c>
      <c r="V37" s="68"/>
      <c r="W37" s="68">
        <v>92.73020850464302647224914753</v>
      </c>
      <c r="X37" s="73">
        <v>10.379468694808510593613168270</v>
      </c>
      <c r="Y37" s="174"/>
      <c r="Z37" s="68">
        <v>86.94075791802062010190234992</v>
      </c>
      <c r="AA37" s="73">
        <v>0.4857911861290329996625646200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121</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179</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180</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0.7586580086580086580086580087</v>
      </c>
      <c r="F10" s="73">
        <v>-5.7795698924959135449184821700</v>
      </c>
      <c r="G10" s="66"/>
      <c r="H10" s="17" t="s">
        <v>32</v>
      </c>
      <c r="I10" s="19">
        <v>0</v>
      </c>
      <c r="J10" s="73">
        <v>0</v>
      </c>
      <c r="K10" s="1"/>
      <c r="L10" s="17" t="s">
        <v>32</v>
      </c>
      <c r="M10" s="19">
        <v>0</v>
      </c>
      <c r="N10" s="73">
        <v>0</v>
      </c>
      <c r="O10" s="1"/>
      <c r="P10" s="17" t="s">
        <v>32</v>
      </c>
      <c r="Q10" s="19">
        <v>0.7586580086580086580086580087</v>
      </c>
      <c r="R10" s="73">
        <v>-5.7795698924959135449184821700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0.7217607973421926910299003322</v>
      </c>
      <c r="F11" s="81">
        <v>-6.7816343903205514125641656600</v>
      </c>
      <c r="G11" s="181"/>
      <c r="H11" s="187" t="s">
        <v>27</v>
      </c>
      <c r="I11" s="190">
        <v>0.000415282392026578073089701</v>
      </c>
      <c r="J11" s="81">
        <v>-96.84916102582142140311998823</v>
      </c>
      <c r="K11" s="191"/>
      <c r="L11" s="187" t="s">
        <v>27</v>
      </c>
      <c r="M11" s="190">
        <v>0</v>
      </c>
      <c r="N11" s="81">
        <v>0</v>
      </c>
      <c r="O11" s="191"/>
      <c r="P11" s="187" t="s">
        <v>27</v>
      </c>
      <c r="Q11" s="190">
        <v>0.7221760797342192691029900332</v>
      </c>
      <c r="R11" s="81">
        <v>-8.289154598973897595482358190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105.11211075080394526344834380</v>
      </c>
      <c r="F12" s="73">
        <v>1.0749646717324231995037061800</v>
      </c>
      <c r="G12" s="68"/>
      <c r="H12" s="406" t="s">
        <v>91</v>
      </c>
      <c r="I12" s="74">
        <v>0</v>
      </c>
      <c r="J12" s="73">
        <v>0</v>
      </c>
      <c r="K12" s="1"/>
      <c r="L12" s="406" t="s">
        <v>91</v>
      </c>
      <c r="M12" s="74">
        <v>0</v>
      </c>
      <c r="N12" s="73">
        <v>0</v>
      </c>
      <c r="O12" s="1"/>
      <c r="P12" s="406" t="s">
        <v>91</v>
      </c>
      <c r="Q12" s="74">
        <v>105.05166675382630944711378309</v>
      </c>
      <c r="R12" s="73">
        <v>2.7364099584777242422568380300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169.71326676176890156918687589</v>
      </c>
      <c r="F14" s="73">
        <v>-9.273587211072342747224179240</v>
      </c>
      <c r="G14" s="70"/>
      <c r="H14" s="76" t="s">
        <v>32</v>
      </c>
      <c r="I14" s="239">
        <v>0</v>
      </c>
      <c r="J14" s="73">
        <v>0</v>
      </c>
      <c r="K14" s="77"/>
      <c r="L14" s="76" t="s">
        <v>32</v>
      </c>
      <c r="M14" s="239">
        <v>0</v>
      </c>
      <c r="N14" s="73">
        <v>0</v>
      </c>
      <c r="O14" s="77"/>
      <c r="P14" s="76" t="s">
        <v>32</v>
      </c>
      <c r="Q14" s="239">
        <v>169.71326676176890156918687589</v>
      </c>
      <c r="R14" s="73">
        <v>-9.273587211072342747224179240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238.41599539700805523590333717</v>
      </c>
      <c r="F15" s="81">
        <v>-3.4039880987306103799264290400</v>
      </c>
      <c r="G15" s="184"/>
      <c r="H15" s="189" t="s">
        <v>27</v>
      </c>
      <c r="I15" s="240">
        <v>339</v>
      </c>
      <c r="J15" s="81">
        <v>84.67272102017243829519454527</v>
      </c>
      <c r="K15" s="188"/>
      <c r="L15" s="189" t="s">
        <v>27</v>
      </c>
      <c r="M15" s="240">
        <v>0</v>
      </c>
      <c r="N15" s="81">
        <v>0</v>
      </c>
      <c r="O15" s="188"/>
      <c r="P15" s="189" t="s">
        <v>27</v>
      </c>
      <c r="Q15" s="240">
        <v>238.47383553766532489936745256</v>
      </c>
      <c r="R15" s="81">
        <v>-2.9643478999422185742804991700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71.183674769459034296098510390</v>
      </c>
      <c r="F16" s="73">
        <v>-6.0764404211147031269332108200</v>
      </c>
      <c r="G16" s="68"/>
      <c r="H16" s="406" t="s">
        <v>92</v>
      </c>
      <c r="I16" s="74">
        <v>0</v>
      </c>
      <c r="J16" s="73">
        <v>0</v>
      </c>
      <c r="K16" s="1"/>
      <c r="L16" s="406" t="s">
        <v>92</v>
      </c>
      <c r="M16" s="74">
        <v>0</v>
      </c>
      <c r="N16" s="73">
        <v>0</v>
      </c>
      <c r="O16" s="1"/>
      <c r="P16" s="406" t="s">
        <v>92</v>
      </c>
      <c r="Q16" s="74">
        <v>71.166409673039021977927286960</v>
      </c>
      <c r="R16" s="73">
        <v>-6.5019806375595713903976106200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128.754329004329004329004329</v>
      </c>
      <c r="F18" s="73">
        <v>-14.517183649110392635559450810</v>
      </c>
      <c r="G18" s="70"/>
      <c r="H18" s="76" t="s">
        <v>32</v>
      </c>
      <c r="I18" s="239">
        <v>0</v>
      </c>
      <c r="J18" s="73">
        <v>0</v>
      </c>
      <c r="K18" s="77"/>
      <c r="L18" s="76" t="s">
        <v>32</v>
      </c>
      <c r="M18" s="239">
        <v>0</v>
      </c>
      <c r="N18" s="73">
        <v>0</v>
      </c>
      <c r="O18" s="77"/>
      <c r="P18" s="76" t="s">
        <v>32</v>
      </c>
      <c r="Q18" s="239">
        <v>128.754329004329004329004329</v>
      </c>
      <c r="R18" s="73">
        <v>-14.517183649110392635559450810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172.07931893687707641196013289</v>
      </c>
      <c r="F19" s="81">
        <v>-9.954776461519705127747727610</v>
      </c>
      <c r="G19" s="184"/>
      <c r="H19" s="189" t="s">
        <v>27</v>
      </c>
      <c r="I19" s="240">
        <v>0.1407807308970099667774086379</v>
      </c>
      <c r="J19" s="81">
        <v>-94.18125993125509801151944772</v>
      </c>
      <c r="K19" s="188"/>
      <c r="L19" s="189" t="s">
        <v>27</v>
      </c>
      <c r="M19" s="240">
        <v>0</v>
      </c>
      <c r="N19" s="81">
        <v>0</v>
      </c>
      <c r="O19" s="188"/>
      <c r="P19" s="189" t="s">
        <v>27</v>
      </c>
      <c r="Q19" s="240">
        <v>172.22009966777408637873754153</v>
      </c>
      <c r="R19" s="81">
        <v>-11.007783118591209349474589890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74.822663060133393903045664980</v>
      </c>
      <c r="F20" s="73">
        <v>-5.066795337259588237642186100</v>
      </c>
      <c r="G20" s="68"/>
      <c r="H20" s="406" t="s">
        <v>93</v>
      </c>
      <c r="I20" s="74">
        <v>0</v>
      </c>
      <c r="J20" s="73">
        <v>0</v>
      </c>
      <c r="K20" s="1"/>
      <c r="L20" s="406" t="s">
        <v>93</v>
      </c>
      <c r="M20" s="74">
        <v>0</v>
      </c>
      <c r="N20" s="73">
        <v>0</v>
      </c>
      <c r="O20" s="1"/>
      <c r="P20" s="406" t="s">
        <v>93</v>
      </c>
      <c r="Q20" s="74">
        <v>74.761499530360687149097307290</v>
      </c>
      <c r="R20" s="73">
        <v>-3.9434915249312390476092962200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0.7083333333333333333333333333</v>
      </c>
      <c r="F27" s="73">
        <v>-11.822162344238375280389780320</v>
      </c>
      <c r="G27" s="1"/>
      <c r="H27" s="17" t="s">
        <v>32</v>
      </c>
      <c r="I27" s="19">
        <v>0.0876623376623376623376623377</v>
      </c>
      <c r="J27" s="73">
        <v>151.16279069477728501896256910</v>
      </c>
      <c r="K27" s="1"/>
      <c r="L27" s="17" t="s">
        <v>32</v>
      </c>
      <c r="M27" s="19">
        <v>0</v>
      </c>
      <c r="N27" s="73">
        <v>0</v>
      </c>
      <c r="O27" s="1"/>
      <c r="P27" s="17" t="s">
        <v>32</v>
      </c>
      <c r="Q27" s="19">
        <v>0.795995670995670995670995671</v>
      </c>
      <c r="R27" s="73">
        <v>-5.0355067785143385369931622200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0.6911337209302325581395348837</v>
      </c>
      <c r="F28" s="81">
        <v>-8.328818329122982348297120040</v>
      </c>
      <c r="G28" s="191"/>
      <c r="H28" s="187" t="s">
        <v>27</v>
      </c>
      <c r="I28" s="190">
        <v>0.032495847176079734219269103</v>
      </c>
      <c r="J28" s="81">
        <v>178.78269466348113255966904601</v>
      </c>
      <c r="K28" s="191"/>
      <c r="L28" s="187" t="s">
        <v>27</v>
      </c>
      <c r="M28" s="190">
        <v>0</v>
      </c>
      <c r="N28" s="81">
        <v>0</v>
      </c>
      <c r="O28" s="191"/>
      <c r="P28" s="187" t="s">
        <v>27</v>
      </c>
      <c r="Q28" s="190">
        <v>0.7236295681063122923588039867</v>
      </c>
      <c r="R28" s="81">
        <v>-5.4799647184441243218153810500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102.48860848233382021175711197</v>
      </c>
      <c r="F29" s="73">
        <v>-3.8107330476525831698323042200</v>
      </c>
      <c r="G29" s="75"/>
      <c r="H29" s="406" t="s">
        <v>91</v>
      </c>
      <c r="I29" s="74">
        <v>269.76474005294190314376045704</v>
      </c>
      <c r="J29" s="73">
        <v>-9.907323694738453383393426010</v>
      </c>
      <c r="K29" s="75"/>
      <c r="L29" s="406" t="s">
        <v>91</v>
      </c>
      <c r="M29" s="74">
        <v>0</v>
      </c>
      <c r="N29" s="73">
        <v>0</v>
      </c>
      <c r="O29" s="75"/>
      <c r="P29" s="406" t="s">
        <v>91</v>
      </c>
      <c r="Q29" s="74">
        <v>110.00043476375339803989560983</v>
      </c>
      <c r="R29" s="73">
        <v>0.4702261679923957384319026200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202.21352177234530175706646295</v>
      </c>
      <c r="F31" s="73">
        <v>1.3350976336208100681077641500</v>
      </c>
      <c r="G31" s="77"/>
      <c r="H31" s="76" t="s">
        <v>32</v>
      </c>
      <c r="I31" s="239">
        <v>215.25925925925925925925925926</v>
      </c>
      <c r="J31" s="73">
        <v>-32.310059126726249553599251710</v>
      </c>
      <c r="K31" s="77"/>
      <c r="L31" s="76" t="s">
        <v>32</v>
      </c>
      <c r="M31" s="239">
        <v>0</v>
      </c>
      <c r="N31" s="73">
        <v>0</v>
      </c>
      <c r="O31" s="77"/>
      <c r="P31" s="76" t="s">
        <v>32</v>
      </c>
      <c r="Q31" s="239">
        <v>203.65023793337865397688647179</v>
      </c>
      <c r="R31" s="73">
        <v>-0.4067283175338940399244910200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250.55415352260778128286014721</v>
      </c>
      <c r="F32" s="81">
        <v>-2.9838971462990504570948399600</v>
      </c>
      <c r="G32" s="188"/>
      <c r="H32" s="189" t="s">
        <v>27</v>
      </c>
      <c r="I32" s="240">
        <v>408.90734824281150159744408946</v>
      </c>
      <c r="J32" s="81">
        <v>40.556506824386487573067764910</v>
      </c>
      <c r="K32" s="188"/>
      <c r="L32" s="189" t="s">
        <v>27</v>
      </c>
      <c r="M32" s="240">
        <v>0</v>
      </c>
      <c r="N32" s="81">
        <v>0</v>
      </c>
      <c r="O32" s="188"/>
      <c r="P32" s="189" t="s">
        <v>27</v>
      </c>
      <c r="Q32" s="240">
        <v>257.66527977044476327116212339</v>
      </c>
      <c r="R32" s="81">
        <v>-0.422155086521180063594624900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80.70651351389616045735435421</v>
      </c>
      <c r="F33" s="73">
        <v>4.4518328946867178129697124500</v>
      </c>
      <c r="G33" s="75"/>
      <c r="H33" s="406" t="s">
        <v>92</v>
      </c>
      <c r="I33" s="74">
        <v>52.642550979896586617482439310</v>
      </c>
      <c r="J33" s="73">
        <v>-51.841474718874070941922557950</v>
      </c>
      <c r="K33" s="75"/>
      <c r="L33" s="406" t="s">
        <v>92</v>
      </c>
      <c r="M33" s="74">
        <v>0</v>
      </c>
      <c r="N33" s="73">
        <v>0</v>
      </c>
      <c r="O33" s="75"/>
      <c r="P33" s="406" t="s">
        <v>92</v>
      </c>
      <c r="Q33" s="74">
        <v>79.036740268167682363956630280</v>
      </c>
      <c r="R33" s="73">
        <v>0.0154921699351473766341271500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143.23457792207792207792207792</v>
      </c>
      <c r="F35" s="73">
        <v>-10.644902120326962860753749390</v>
      </c>
      <c r="G35" s="77"/>
      <c r="H35" s="76" t="s">
        <v>32</v>
      </c>
      <c r="I35" s="239">
        <v>18.87012987012987012987012987</v>
      </c>
      <c r="J35" s="73">
        <v>70.011944518875358874537659250</v>
      </c>
      <c r="K35" s="77"/>
      <c r="L35" s="76" t="s">
        <v>32</v>
      </c>
      <c r="M35" s="239">
        <v>0</v>
      </c>
      <c r="N35" s="73">
        <v>0</v>
      </c>
      <c r="O35" s="77"/>
      <c r="P35" s="76" t="s">
        <v>32</v>
      </c>
      <c r="Q35" s="239">
        <v>162.10470779220779220779220779</v>
      </c>
      <c r="R35" s="73">
        <v>-5.4217542641343244422799884900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173.16642441860465116279069767</v>
      </c>
      <c r="F36" s="81">
        <v>-11.064192102968356619028090110</v>
      </c>
      <c r="G36" s="188"/>
      <c r="H36" s="189" t="s">
        <v>27</v>
      </c>
      <c r="I36" s="240">
        <v>13.287790697674418604651162791</v>
      </c>
      <c r="J36" s="81">
        <v>291.84721725882628958409961230</v>
      </c>
      <c r="K36" s="188"/>
      <c r="L36" s="189" t="s">
        <v>27</v>
      </c>
      <c r="M36" s="240">
        <v>0</v>
      </c>
      <c r="N36" s="81">
        <v>0</v>
      </c>
      <c r="O36" s="188"/>
      <c r="P36" s="189" t="s">
        <v>27</v>
      </c>
      <c r="Q36" s="240">
        <v>186.45421511627906976744186047</v>
      </c>
      <c r="R36" s="81">
        <v>-5.8789858551438265752471343700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82.71498265497069148013056121</v>
      </c>
      <c r="F37" s="73">
        <v>0.4714523796271598422102747800</v>
      </c>
      <c r="G37" s="75"/>
      <c r="H37" s="406" t="s">
        <v>93</v>
      </c>
      <c r="I37" s="74">
        <v>142.01104080752960737440958368</v>
      </c>
      <c r="J37" s="73">
        <v>-56.612695706263377144251921550</v>
      </c>
      <c r="K37" s="75"/>
      <c r="L37" s="406" t="s">
        <v>93</v>
      </c>
      <c r="M37" s="74">
        <v>0</v>
      </c>
      <c r="N37" s="73">
        <v>0</v>
      </c>
      <c r="O37" s="75"/>
      <c r="P37" s="406" t="s">
        <v>93</v>
      </c>
      <c r="Q37" s="74">
        <v>86.94075791802062010190234992</v>
      </c>
      <c r="R37" s="73">
        <v>0.4857911861290329996625646200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123</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179</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180</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51</v>
      </c>
      <c r="D23" s="50" t="s">
        <v>52</v>
      </c>
      <c r="E23" s="50" t="s">
        <v>53</v>
      </c>
      <c r="F23" s="50" t="s">
        <v>49</v>
      </c>
      <c r="G23" s="50" t="s">
        <v>47</v>
      </c>
      <c r="H23" s="50" t="s">
        <v>48</v>
      </c>
      <c r="I23" s="50" t="s">
        <v>50</v>
      </c>
      <c r="J23" s="50" t="s">
        <v>51</v>
      </c>
      <c r="K23" s="50" t="s">
        <v>52</v>
      </c>
      <c r="L23" s="50" t="s">
        <v>53</v>
      </c>
      <c r="M23" s="50" t="s">
        <v>49</v>
      </c>
      <c r="N23" s="50" t="s">
        <v>47</v>
      </c>
      <c r="O23" s="50" t="s">
        <v>48</v>
      </c>
      <c r="P23" s="50" t="s">
        <v>50</v>
      </c>
      <c r="Q23" s="50" t="s">
        <v>51</v>
      </c>
      <c r="R23" s="50" t="s">
        <v>52</v>
      </c>
      <c r="S23" s="50" t="s">
        <v>53</v>
      </c>
      <c r="T23" s="50" t="s">
        <v>49</v>
      </c>
      <c r="U23" s="50" t="s">
        <v>47</v>
      </c>
      <c r="V23" s="50" t="s">
        <v>48</v>
      </c>
      <c r="W23" s="50" t="s">
        <v>50</v>
      </c>
      <c r="X23" s="50" t="s">
        <v>51</v>
      </c>
      <c r="Y23" s="50" t="s">
        <v>52</v>
      </c>
      <c r="Z23" s="50" t="s">
        <v>53</v>
      </c>
      <c r="AA23" s="50" t="s">
        <v>49</v>
      </c>
      <c r="AB23" s="50" t="s">
        <v>47</v>
      </c>
      <c r="AC23" s="50" t="s">
        <v>48</v>
      </c>
      <c r="AD23" s="50" t="s">
        <v>50</v>
      </c>
      <c r="AE23" s="50" t="s">
        <v>51</v>
      </c>
      <c r="AF23" s="50" t="s">
        <v>52</v>
      </c>
      <c r="AG23" s="50" t="s">
        <v>53</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181</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93.93939393939393939393939394</v>
      </c>
      <c r="D26" s="287">
        <v>96.96969696969696969696969697</v>
      </c>
      <c r="E26" s="287">
        <v>99.24242424242424242424242424</v>
      </c>
      <c r="F26" s="287">
        <v>97.72727272727272727272727273</v>
      </c>
      <c r="G26" s="287">
        <v>64.393939393939393939393939390</v>
      </c>
      <c r="H26" s="287">
        <v>51.515151515151515151515151520</v>
      </c>
      <c r="I26" s="287">
        <v>82.57575757575757575757575758</v>
      </c>
      <c r="J26" s="287">
        <v>85.60606060606060606060606061</v>
      </c>
      <c r="K26" s="287">
        <v>79.54545454545454545454545455</v>
      </c>
      <c r="L26" s="287">
        <v>85.60606060606060606060606061</v>
      </c>
      <c r="M26" s="287">
        <v>58.333333333333333333333333330</v>
      </c>
      <c r="N26" s="287">
        <v>63.636363636363636363636363640</v>
      </c>
      <c r="O26" s="287">
        <v>69.696969696969696969696969700</v>
      </c>
      <c r="P26" s="287">
        <v>71.212121212121212121212121210</v>
      </c>
      <c r="Q26" s="287">
        <v>81.06060606060606060606060606</v>
      </c>
      <c r="R26" s="287">
        <v>86.36363636363636363636363636</v>
      </c>
      <c r="S26" s="287">
        <v>96.21212121212121212121212121</v>
      </c>
      <c r="T26" s="287">
        <v>89.39393939393939393939393939</v>
      </c>
      <c r="U26" s="287">
        <v>90.15151515151515151515151515</v>
      </c>
      <c r="V26" s="287">
        <v>89.39393939393939393939393939</v>
      </c>
      <c r="W26" s="287">
        <v>95.45454545454545454545454545</v>
      </c>
      <c r="X26" s="287">
        <v>95.45454545454545454545454545</v>
      </c>
      <c r="Y26" s="287">
        <v>73.484848484848484848484848480</v>
      </c>
      <c r="Z26" s="287">
        <v>90.90909090909090909090909091</v>
      </c>
      <c r="AA26" s="287">
        <v>96.21212121212121212121212121</v>
      </c>
      <c r="AB26" s="287">
        <v>73.484848484848484848484848480</v>
      </c>
      <c r="AC26" s="287">
        <v>66.666666666666666666666666670</v>
      </c>
      <c r="AD26" s="287">
        <v>72.727272727272727272727272730</v>
      </c>
      <c r="AE26" s="287">
        <v>75.757575757575757575757575760</v>
      </c>
      <c r="AF26" s="287">
        <v>73.484848484848484848484848480</v>
      </c>
      <c r="AG26" s="288">
        <v>72.727272727272727272727272730</v>
      </c>
      <c r="AH26" s="218"/>
      <c r="AI26" s="302">
        <v>81.25610948191593352883675464</v>
      </c>
      <c r="AJ26" s="302">
        <v>79.25685425685425685425685426</v>
      </c>
      <c r="AK26" s="302">
        <v>85.45454545454545454545454545</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88.37209302325581395348837209</v>
      </c>
      <c r="D27" s="202">
        <v>97.09302325581395348837209302</v>
      </c>
      <c r="E27" s="202">
        <v>99.12790697674418604651162791</v>
      </c>
      <c r="F27" s="202">
        <v>68.313953488372093023255813950</v>
      </c>
      <c r="G27" s="202">
        <v>65.697674418604651162790697670</v>
      </c>
      <c r="H27" s="202">
        <v>71.220930232558139534883720930</v>
      </c>
      <c r="I27" s="202">
        <v>82.55813953488372093023255814</v>
      </c>
      <c r="J27" s="202">
        <v>79.94186046511627906976744186</v>
      </c>
      <c r="K27" s="202">
        <v>74.418604651162790697674418600</v>
      </c>
      <c r="L27" s="202">
        <v>72.093023255813953488372093020</v>
      </c>
      <c r="M27" s="202">
        <v>57.267441860465116279069767440</v>
      </c>
      <c r="N27" s="202">
        <v>51.453488372093023255813953490</v>
      </c>
      <c r="O27" s="202">
        <v>55.232558139534883720930232560</v>
      </c>
      <c r="P27" s="202">
        <v>62.500</v>
      </c>
      <c r="Q27" s="202">
        <v>71.802325581395348837209302330</v>
      </c>
      <c r="R27" s="202">
        <v>79.65116279069767441860465116</v>
      </c>
      <c r="S27" s="202">
        <v>90.11627906976744186046511628</v>
      </c>
      <c r="T27" s="202">
        <v>79.069767441860465116279069770</v>
      </c>
      <c r="U27" s="202">
        <v>79.94186046511627906976744186</v>
      </c>
      <c r="V27" s="202">
        <v>74.709302325581395348837209300</v>
      </c>
      <c r="W27" s="202">
        <v>61.627906976744186046511627910</v>
      </c>
      <c r="X27" s="202">
        <v>68.604651162790697674418604650</v>
      </c>
      <c r="Y27" s="202">
        <v>84.01162790697674418604651163</v>
      </c>
      <c r="Z27" s="202">
        <v>90.40697674418604651162790698</v>
      </c>
      <c r="AA27" s="202">
        <v>81.39534883720930232558139535</v>
      </c>
      <c r="AB27" s="202">
        <v>63.953488372093023255813953490</v>
      </c>
      <c r="AC27" s="202">
        <v>55.232558139534883720930232560</v>
      </c>
      <c r="AD27" s="202">
        <v>61.046511627906976744186046510</v>
      </c>
      <c r="AE27" s="202">
        <v>73.255813953488372093023255810</v>
      </c>
      <c r="AF27" s="202">
        <v>86.91860465116279069767441860</v>
      </c>
      <c r="AG27" s="290">
        <v>83.72093023255813953488372093</v>
      </c>
      <c r="AH27" s="218"/>
      <c r="AI27" s="303">
        <v>74.540510127531882970742685670</v>
      </c>
      <c r="AJ27" s="303">
        <v>69.199889258028792912513842750</v>
      </c>
      <c r="AK27" s="303">
        <v>85.75581395348837209302325581</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106.29984051031367623604468367</v>
      </c>
      <c r="D28" s="292">
        <v>99.87298131012141161335467541</v>
      </c>
      <c r="E28" s="292">
        <v>100.11552474900046027478370090</v>
      </c>
      <c r="F28" s="292">
        <v>143.05609284326844594427756616</v>
      </c>
      <c r="G28" s="292">
        <v>98.01555376777309630093716602</v>
      </c>
      <c r="H28" s="292">
        <v>72.331478045721246854214809240</v>
      </c>
      <c r="I28" s="292">
        <v>100.02134016216551008998936387</v>
      </c>
      <c r="J28" s="292">
        <v>107.08539944905761915351866210</v>
      </c>
      <c r="K28" s="292">
        <v>106.88920454540110085227275400</v>
      </c>
      <c r="L28" s="292">
        <v>118.74389051810704915965062092</v>
      </c>
      <c r="M28" s="292">
        <v>101.86125211499717419498917261</v>
      </c>
      <c r="N28" s="292">
        <v>123.67745249099504322164477520</v>
      </c>
      <c r="O28" s="292">
        <v>126.18819776722483337530433977</v>
      </c>
      <c r="P28" s="292">
        <v>113.93939393939393939393939394</v>
      </c>
      <c r="Q28" s="292">
        <v>112.89412342043189693323935860</v>
      </c>
      <c r="R28" s="292">
        <v>108.42733908427022508100882024</v>
      </c>
      <c r="S28" s="292">
        <v>106.76441837728303017689907741</v>
      </c>
      <c r="T28" s="292">
        <v>113.05704099816094028520501935</v>
      </c>
      <c r="U28" s="292">
        <v>112.77134986228191751565239636</v>
      </c>
      <c r="V28" s="292">
        <v>119.65570097862837957310849391</v>
      </c>
      <c r="W28" s="292">
        <v>154.88850771880745007929067154</v>
      </c>
      <c r="X28" s="292">
        <v>139.13713405236942362435037209</v>
      </c>
      <c r="Y28" s="292">
        <v>87.46985425183695916795377481</v>
      </c>
      <c r="Z28" s="292">
        <v>100.55539315987924780836351469</v>
      </c>
      <c r="AA28" s="292">
        <v>118.20346320347671243042671768</v>
      </c>
      <c r="AB28" s="292">
        <v>114.90358126720509591785624979</v>
      </c>
      <c r="AC28" s="292">
        <v>120.70175438604114496768241196</v>
      </c>
      <c r="AD28" s="292">
        <v>119.13419913421274953617810917</v>
      </c>
      <c r="AE28" s="292">
        <v>103.41510341508700000763493088</v>
      </c>
      <c r="AF28" s="292">
        <v>84.54444106614400367699773058</v>
      </c>
      <c r="AG28" s="293">
        <v>86.86868686864343434343436515</v>
      </c>
      <c r="AH28" s="218"/>
      <c r="AI28" s="304">
        <v>109.00932840804153313223078283</v>
      </c>
      <c r="AJ28" s="304">
        <v>114.53320967228513314488295024</v>
      </c>
      <c r="AK28" s="304">
        <v>99.64869029274457768143950458</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5.0847457627581729388107069900</v>
      </c>
      <c r="D31" s="287">
        <v>1.5873015873499622071050872800</v>
      </c>
      <c r="E31" s="287">
        <v>3.9682539683034769463341127600</v>
      </c>
      <c r="F31" s="287">
        <v>8.403361344556034178377236310</v>
      </c>
      <c r="G31" s="287">
        <v>-16.666666666637254901960773940</v>
      </c>
      <c r="H31" s="287">
        <v>-39.285714285725127551020406220</v>
      </c>
      <c r="I31" s="287">
        <v>-6.0344827586336504161712229400</v>
      </c>
      <c r="J31" s="287">
        <v>-2.5862068965651605231866806600</v>
      </c>
      <c r="K31" s="287">
        <v>-17.968750000002563476562499920</v>
      </c>
      <c r="L31" s="287">
        <v>0.892857142839126275510207300</v>
      </c>
      <c r="M31" s="287">
        <v>-16.304347826123345935727772460</v>
      </c>
      <c r="N31" s="287">
        <v>-20.000000000045714285714259590</v>
      </c>
      <c r="O31" s="287">
        <v>-15.596330275272721151418208510</v>
      </c>
      <c r="P31" s="287">
        <v>-13.761467889952562915579473920</v>
      </c>
      <c r="Q31" s="287">
        <v>3.8834951456351022716561411700</v>
      </c>
      <c r="R31" s="287">
        <v>2.7027027027138056975894825700</v>
      </c>
      <c r="S31" s="287">
        <v>16.513761467830047975759646950</v>
      </c>
      <c r="T31" s="287">
        <v>8.256880733889335914485341250</v>
      </c>
      <c r="U31" s="287">
        <v>1.7094017093599824676747924800</v>
      </c>
      <c r="V31" s="287">
        <v>12.380952380888163265306159140</v>
      </c>
      <c r="W31" s="287">
        <v>4.1322314049208114199849874700</v>
      </c>
      <c r="X31" s="287">
        <v>5.8823529411942659416707889500</v>
      </c>
      <c r="Y31" s="287">
        <v>-17.09401709405110672802979100</v>
      </c>
      <c r="Z31" s="287">
        <v>-2.4390243902248661511005316800</v>
      </c>
      <c r="AA31" s="287">
        <v>4.9586776859122464312547095900</v>
      </c>
      <c r="AB31" s="287">
        <v>-4.9019607842801614763552361400</v>
      </c>
      <c r="AC31" s="287">
        <v>-9.278350515404059942608101640</v>
      </c>
      <c r="AD31" s="287">
        <v>4.3478260869111531190926473300</v>
      </c>
      <c r="AE31" s="287">
        <v>4.1666666666276041666666813200</v>
      </c>
      <c r="AF31" s="287">
        <v>-15.652173913031742911153117470</v>
      </c>
      <c r="AG31" s="288">
        <v>-20.661157024822238918106676210</v>
      </c>
      <c r="AH31" s="218"/>
      <c r="AI31" s="302">
        <v>-4.206280610751147861264099400</v>
      </c>
      <c r="AJ31" s="302">
        <v>-4.258775057437570507174411500</v>
      </c>
      <c r="AK31" s="302">
        <v>-4.8547328959543153073942717600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4.0109746538088182209199671400</v>
      </c>
      <c r="D32" s="202">
        <v>5.1213869359040741812158214900</v>
      </c>
      <c r="E32" s="202">
        <v>4.0967243690212299943920695800</v>
      </c>
      <c r="F32" s="202">
        <v>-16.792015954585760297147575230</v>
      </c>
      <c r="G32" s="202">
        <v>-2.0379872548040889187862216100</v>
      </c>
      <c r="H32" s="202">
        <v>11.349140923259362983384457530</v>
      </c>
      <c r="I32" s="202">
        <v>11.227847154741189486999655010</v>
      </c>
      <c r="J32" s="202">
        <v>3.3816035027903923028475550800</v>
      </c>
      <c r="K32" s="202">
        <v>-10.140071040766014902308712920</v>
      </c>
      <c r="L32" s="202">
        <v>-13.198342689087132374403536500</v>
      </c>
      <c r="M32" s="202">
        <v>-20.546165100838404648459911270</v>
      </c>
      <c r="N32" s="202">
        <v>-13.763953488345532320930224370</v>
      </c>
      <c r="O32" s="202">
        <v>-7.4302325581110233953488284200</v>
      </c>
      <c r="P32" s="202">
        <v>-3.7224264705443440473615716900</v>
      </c>
      <c r="Q32" s="202">
        <v>-7.4302325580990890161001612100</v>
      </c>
      <c r="R32" s="202">
        <v>-4.9178427085487805284350032800</v>
      </c>
      <c r="S32" s="202">
        <v>9.763723634376231097379794380</v>
      </c>
      <c r="T32" s="202">
        <v>-2.1582733813287510998395411500</v>
      </c>
      <c r="U32" s="202">
        <v>-2.4822695034907700819877961800</v>
      </c>
      <c r="V32" s="202">
        <v>4.8979591836118150770512648900</v>
      </c>
      <c r="W32" s="202">
        <v>-11.297071129647730256823195130</v>
      </c>
      <c r="X32" s="202">
        <v>-11.610486891422845039206594160</v>
      </c>
      <c r="Y32" s="202">
        <v>-4.3046357615691241612209947800</v>
      </c>
      <c r="Z32" s="202">
        <v>-3.4161490683325797615832712900</v>
      </c>
      <c r="AA32" s="202">
        <v>-9.090909090878394332939777120</v>
      </c>
      <c r="AB32" s="202">
        <v>-11.646586345341784809922402730</v>
      </c>
      <c r="AC32" s="202">
        <v>-16.299559471336140813910603040</v>
      </c>
      <c r="AD32" s="202">
        <v>-11.016949152554438379775924820</v>
      </c>
      <c r="AE32" s="202">
        <v>-9.025270758175292262377949290</v>
      </c>
      <c r="AF32" s="202">
        <v>0.6734006734305025564284911900</v>
      </c>
      <c r="AG32" s="290">
        <v>-6.7961165048036949759637767700</v>
      </c>
      <c r="AH32" s="218"/>
      <c r="AI32" s="303">
        <v>-3.530519565026377665064932800</v>
      </c>
      <c r="AJ32" s="303">
        <v>-5.3387737963434217811029744800</v>
      </c>
      <c r="AK32" s="303">
        <v>-1.9391013915617376164406757600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1.0323632794217034156653774100</v>
      </c>
      <c r="D33" s="292">
        <v>-3.3619089812685938288010085300</v>
      </c>
      <c r="E33" s="292">
        <v>-0.1234144508172767360642496700</v>
      </c>
      <c r="F33" s="292">
        <v>30.279999675652157679877357470</v>
      </c>
      <c r="G33" s="292">
        <v>-14.933012299271171291558969650</v>
      </c>
      <c r="H33" s="292">
        <v>-45.473952281221402212874417620</v>
      </c>
      <c r="I33" s="292">
        <v>-15.519791450584906483388717260</v>
      </c>
      <c r="J33" s="292">
        <v>-5.7726038261658987997775389800</v>
      </c>
      <c r="K33" s="292">
        <v>-8.712091195625183201856841500</v>
      </c>
      <c r="L33" s="292">
        <v>16.233791229915769431674151330</v>
      </c>
      <c r="M33" s="292">
        <v>5.3387193709165856403859320100</v>
      </c>
      <c r="N33" s="292">
        <v>-7.231368741850669064058900200</v>
      </c>
      <c r="O33" s="292">
        <v>-8.821560151573039412612840910</v>
      </c>
      <c r="P33" s="292">
        <v>-10.427185741534127670327159650</v>
      </c>
      <c r="Q33" s="292">
        <v>12.221838745393991586009396100</v>
      </c>
      <c r="R33" s="292">
        <v>8.014695531051588322104234150</v>
      </c>
      <c r="S33" s="292">
        <v>6.1496071834865967218211188900</v>
      </c>
      <c r="T33" s="292">
        <v>10.644900161866136040299797300</v>
      </c>
      <c r="U33" s="292">
        <v>4.2983682983070688314927320100</v>
      </c>
      <c r="V33" s="292">
        <v>7.133592736786031582612995700</v>
      </c>
      <c r="W33" s="292">
        <v>17.394355215930121816849682850</v>
      </c>
      <c r="X33" s="292">
        <v>19.790628115703283400610545550</v>
      </c>
      <c r="Y33" s="292">
        <v>-13.364682222871530682869886220</v>
      </c>
      <c r="Z33" s="292">
        <v>1.0116853580436169442014651800</v>
      </c>
      <c r="AA33" s="292">
        <v>15.454545454504949562065861480</v>
      </c>
      <c r="AB33" s="292">
        <v>7.6336898394797990097708508700</v>
      </c>
      <c r="AC33" s="292">
        <v>8.388497015801006630426841140</v>
      </c>
      <c r="AD33" s="292">
        <v>17.267080745374462562903569960</v>
      </c>
      <c r="AE33" s="292">
        <v>14.500661375660675618110978150</v>
      </c>
      <c r="AF33" s="292">
        <v>-16.216373418727283919198409430</v>
      </c>
      <c r="AG33" s="293">
        <v>-14.876033057917197246343853100</v>
      </c>
      <c r="AH33" s="218"/>
      <c r="AI33" s="304">
        <v>-0.7004920547237717079894285200</v>
      </c>
      <c r="AJ33" s="304">
        <v>1.140909306046414525534609900</v>
      </c>
      <c r="AK33" s="304">
        <v>-2.9732865452060727098096830300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181</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297.04838709677419354838709677</v>
      </c>
      <c r="D38" s="295">
        <v>420.132812500</v>
      </c>
      <c r="E38" s="295">
        <v>408.95419847328244274809160305</v>
      </c>
      <c r="F38" s="295">
        <v>289.93023255813953488372093023</v>
      </c>
      <c r="G38" s="295">
        <v>191.56470588235294117647058824</v>
      </c>
      <c r="H38" s="295">
        <v>173.10294117647058823529411765</v>
      </c>
      <c r="I38" s="295">
        <v>185.79816513761467889908256881</v>
      </c>
      <c r="J38" s="295">
        <v>208.4867256637168141592920354</v>
      </c>
      <c r="K38" s="295">
        <v>277.38095238095238095238095238</v>
      </c>
      <c r="L38" s="295">
        <v>262.84070796460176991150442478</v>
      </c>
      <c r="M38" s="295">
        <v>165.72727272727272727272727273</v>
      </c>
      <c r="N38" s="295">
        <v>148.4047619047619047619047619</v>
      </c>
      <c r="O38" s="295">
        <v>159.23913043478260869565217391</v>
      </c>
      <c r="P38" s="295">
        <v>152.77659574468085106382978723</v>
      </c>
      <c r="Q38" s="295">
        <v>168.46728971962616822429906542</v>
      </c>
      <c r="R38" s="295">
        <v>260.22807017543859649122807018</v>
      </c>
      <c r="S38" s="295">
        <v>288.45669291338582677165354331</v>
      </c>
      <c r="T38" s="295">
        <v>193.83898305084745762711864407</v>
      </c>
      <c r="U38" s="295">
        <v>194.1680672268907563025210084</v>
      </c>
      <c r="V38" s="295">
        <v>202.45762711864406779661016949</v>
      </c>
      <c r="W38" s="295">
        <v>183.62698412698412698412698413</v>
      </c>
      <c r="X38" s="295">
        <v>188.01587301587301587301587302</v>
      </c>
      <c r="Y38" s="295">
        <v>245.53608247422680412371134021</v>
      </c>
      <c r="Z38" s="295">
        <v>275.00833333333333333333333333</v>
      </c>
      <c r="AA38" s="295">
        <v>186.29921259842519685039370079</v>
      </c>
      <c r="AB38" s="295">
        <v>132.52577319587628865979381443</v>
      </c>
      <c r="AC38" s="295">
        <v>118.80681818181818181818181818</v>
      </c>
      <c r="AD38" s="295">
        <v>126.500000000</v>
      </c>
      <c r="AE38" s="295">
        <v>155.880000000</v>
      </c>
      <c r="AF38" s="295">
        <v>221.08247422680412371134020619</v>
      </c>
      <c r="AG38" s="296">
        <v>237.72916666666666666666666667</v>
      </c>
      <c r="AH38" s="218"/>
      <c r="AI38" s="305">
        <v>223.55578947368421052631578947</v>
      </c>
      <c r="AJ38" s="305">
        <v>186.50978607191624943104233045</v>
      </c>
      <c r="AK38" s="305">
        <v>295.71010638297872340425531915</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388.5888157894736842105263158</v>
      </c>
      <c r="D39" s="207">
        <v>494.47904191616766467065868265</v>
      </c>
      <c r="E39" s="207">
        <v>493.2463343108504398826979472</v>
      </c>
      <c r="F39" s="207">
        <v>366.80425531914893617021276597</v>
      </c>
      <c r="G39" s="207">
        <v>240.5309734513274336283185841</v>
      </c>
      <c r="H39" s="207">
        <v>264.41632653061224489795918368</v>
      </c>
      <c r="I39" s="207">
        <v>276.52816901408450704225352112</v>
      </c>
      <c r="J39" s="207">
        <v>278.13818181818181818181818182</v>
      </c>
      <c r="K39" s="207">
        <v>267.42968750000000000000000002</v>
      </c>
      <c r="L39" s="207">
        <v>271.5120967741935483870967742</v>
      </c>
      <c r="M39" s="207">
        <v>226.47208121827411167512690357</v>
      </c>
      <c r="N39" s="207">
        <v>212.20338983050847457627118643</v>
      </c>
      <c r="O39" s="207">
        <v>205.21578947368421052631578946</v>
      </c>
      <c r="P39" s="207">
        <v>193.48837209302325581395348837</v>
      </c>
      <c r="Q39" s="207">
        <v>205.10526315789473684210526314</v>
      </c>
      <c r="R39" s="207">
        <v>289.25547445255474452554744527</v>
      </c>
      <c r="S39" s="207">
        <v>292.16774193548387096774193548</v>
      </c>
      <c r="T39" s="207">
        <v>250.86029411764705882352941176</v>
      </c>
      <c r="U39" s="207">
        <v>251.45818181818181818181818182</v>
      </c>
      <c r="V39" s="207">
        <v>232.56420233463035019455252919</v>
      </c>
      <c r="W39" s="207">
        <v>217.36792452830188679245283017</v>
      </c>
      <c r="X39" s="207">
        <v>240.71186440677966101694915253</v>
      </c>
      <c r="Y39" s="207">
        <v>303.76816608996539792387543252</v>
      </c>
      <c r="Z39" s="207">
        <v>366.47266881028938906752411574</v>
      </c>
      <c r="AA39" s="207">
        <v>255.31785714285714285714285714</v>
      </c>
      <c r="AB39" s="207">
        <v>192.11818181818181818181818181</v>
      </c>
      <c r="AC39" s="207">
        <v>203.86842105263157894736842104</v>
      </c>
      <c r="AD39" s="207">
        <v>207.90000000000000000000000001</v>
      </c>
      <c r="AE39" s="207">
        <v>239.05952380952380952380952382</v>
      </c>
      <c r="AF39" s="207">
        <v>290.58528428093645484949832778</v>
      </c>
      <c r="AG39" s="298">
        <v>248.01736111111111111111111111</v>
      </c>
      <c r="AH39" s="218"/>
      <c r="AI39" s="306">
        <v>282.72877091458045037111586363</v>
      </c>
      <c r="AJ39" s="306">
        <v>249.72134426885377075415083017</v>
      </c>
      <c r="AK39" s="306">
        <v>338.66237288135593220338983051</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76.442855539539358348161375310</v>
      </c>
      <c r="D40" s="292">
        <v>84.9647359920262199426680600</v>
      </c>
      <c r="E40" s="292">
        <v>82.91074256935337792089336666</v>
      </c>
      <c r="F40" s="292">
        <v>79.042221662863699756569853400</v>
      </c>
      <c r="G40" s="292">
        <v>79.64242739039128501909594776</v>
      </c>
      <c r="H40" s="292">
        <v>65.466056293781078230582372040</v>
      </c>
      <c r="I40" s="292">
        <v>67.189598007333909472364997140</v>
      </c>
      <c r="J40" s="292">
        <v>74.957966684340518768265731500</v>
      </c>
      <c r="K40" s="292">
        <v>103.72107710777337723672916919</v>
      </c>
      <c r="L40" s="292">
        <v>96.80626060031141314009577837</v>
      </c>
      <c r="M40" s="292">
        <v>73.177793852446475860676449530</v>
      </c>
      <c r="N40" s="292">
        <v>69.935151376847460516847166050</v>
      </c>
      <c r="O40" s="292">
        <v>77.595944660579025349014120370</v>
      </c>
      <c r="P40" s="292">
        <v>78.959057896899833970236176070</v>
      </c>
      <c r="Q40" s="292">
        <v>82.13699011220977827230100162</v>
      </c>
      <c r="R40" s="292">
        <v>89.96478654998866938157905097</v>
      </c>
      <c r="S40" s="292">
        <v>98.72982246515994988306467830</v>
      </c>
      <c r="T40" s="292">
        <v>77.269694565525103314301753380</v>
      </c>
      <c r="U40" s="292">
        <v>77.216842109862615350591870220</v>
      </c>
      <c r="V40" s="292">
        <v>87.05451014656145439194272173</v>
      </c>
      <c r="W40" s="292">
        <v>84.47749801423760433710988583</v>
      </c>
      <c r="X40" s="292">
        <v>78.108270017853616654469245630</v>
      </c>
      <c r="Y40" s="292">
        <v>80.83009014232245883053497030</v>
      </c>
      <c r="Z40" s="292">
        <v>75.041976316025892344194008940</v>
      </c>
      <c r="AA40" s="292">
        <v>72.96756078214872079734837300</v>
      </c>
      <c r="AB40" s="292">
        <v>68.981380076397161429876456930</v>
      </c>
      <c r="AC40" s="292">
        <v>58.276224227569255502538271870</v>
      </c>
      <c r="AD40" s="292">
        <v>60.846560846560846560846560850</v>
      </c>
      <c r="AE40" s="292">
        <v>65.205517653509805838120961090</v>
      </c>
      <c r="AF40" s="292">
        <v>76.081786031907378608929273820</v>
      </c>
      <c r="AG40" s="293">
        <v>95.85182488905495983199603769</v>
      </c>
      <c r="AH40" s="218"/>
      <c r="AI40" s="304">
        <v>79.070760556310924593311134600</v>
      </c>
      <c r="AJ40" s="304">
        <v>74.687162452194102237849716820</v>
      </c>
      <c r="AK40" s="304">
        <v>87.31708334381061702712828713</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-18.605541339827349489056864450</v>
      </c>
      <c r="D43" s="287">
        <v>-7.643786637713167064868609800</v>
      </c>
      <c r="E43" s="287">
        <v>-11.568365670199479265071261270</v>
      </c>
      <c r="F43" s="287">
        <v>-27.102415697730294398365331180</v>
      </c>
      <c r="G43" s="287">
        <v>7.2720285479295284184869419500</v>
      </c>
      <c r="H43" s="287">
        <v>-10.759358288763481092656750470</v>
      </c>
      <c r="I43" s="287">
        <v>-10.130151130147710847990950290</v>
      </c>
      <c r="J43" s="287">
        <v>5.3743199729271664520023846900</v>
      </c>
      <c r="K43" s="287">
        <v>-1.3866184180593690648129043900</v>
      </c>
      <c r="L43" s="287">
        <v>-1.3763968908889604831385067200</v>
      </c>
      <c r="M43" s="287">
        <v>-11.632612200610776502651407250</v>
      </c>
      <c r="N43" s="287">
        <v>-3.5437944908428317595301016900</v>
      </c>
      <c r="O43" s="287">
        <v>4.4851024403320540846857472300</v>
      </c>
      <c r="P43" s="287">
        <v>-1.8758533016759899506322162300</v>
      </c>
      <c r="Q43" s="287">
        <v>-13.524714237416830599227164150</v>
      </c>
      <c r="R43" s="287">
        <v>0.8741602565764204145926959900</v>
      </c>
      <c r="S43" s="287">
        <v>3.7990806759759846514002311900</v>
      </c>
      <c r="T43" s="287">
        <v>2.7348495212432164566381889200</v>
      </c>
      <c r="U43" s="287">
        <v>30.149893242918501765251645500</v>
      </c>
      <c r="V43" s="287">
        <v>52.093087554234426002223326040</v>
      </c>
      <c r="W43" s="287">
        <v>28.084770158360033982627156980</v>
      </c>
      <c r="X43" s="287">
        <v>18.839373712704043760919382560</v>
      </c>
      <c r="Y43" s="287">
        <v>5.1488658888293241654974514400</v>
      </c>
      <c r="Z43" s="287">
        <v>3.1910463697184421786804367700</v>
      </c>
      <c r="AA43" s="287">
        <v>-1.7511997715539748722552936100</v>
      </c>
      <c r="AB43" s="287">
        <v>-16.655596115810380280074757980</v>
      </c>
      <c r="AC43" s="287">
        <v>-13.513986013974331072304804310</v>
      </c>
      <c r="AD43" s="287">
        <v>-7.912644405766234363386246800</v>
      </c>
      <c r="AE43" s="287">
        <v>0.459720730375841091142776400</v>
      </c>
      <c r="AF43" s="287">
        <v>-10.233786900799655028091700290</v>
      </c>
      <c r="AG43" s="288">
        <v>-6.6912249686314204330709418700</v>
      </c>
      <c r="AH43" s="218"/>
      <c r="AI43" s="302">
        <v>-1.2361176183717614047848369400</v>
      </c>
      <c r="AJ43" s="302">
        <v>-1.8635965109371561922972816500</v>
      </c>
      <c r="AK43" s="302">
        <v>-4.0351946498842157114412286100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12.453426150085141885801436530</v>
      </c>
      <c r="D44" s="202">
        <v>18.021078392077350218754626480</v>
      </c>
      <c r="E44" s="202">
        <v>14.096371386480780907905046280</v>
      </c>
      <c r="F44" s="202">
        <v>6.9293224707851701097041461700</v>
      </c>
      <c r="G44" s="202">
        <v>-10.632334208318821090528630060</v>
      </c>
      <c r="H44" s="202">
        <v>13.791369747404807417920895540</v>
      </c>
      <c r="I44" s="202">
        <v>24.025731170403492495097790470</v>
      </c>
      <c r="J44" s="202">
        <v>13.647052106614023228617310140</v>
      </c>
      <c r="K44" s="202">
        <v>-11.407863283410108352217935280</v>
      </c>
      <c r="L44" s="202">
        <v>-6.9201065093784093299276318800</v>
      </c>
      <c r="M44" s="202">
        <v>4.5345276810198486059934950600</v>
      </c>
      <c r="N44" s="202">
        <v>-2.0154980051983251399506694100</v>
      </c>
      <c r="O44" s="202">
        <v>-5.3654450554555433845225429400</v>
      </c>
      <c r="P44" s="202">
        <v>-3.1509534969113085612125012500</v>
      </c>
      <c r="Q44" s="202">
        <v>-11.30436876222708946200350200</v>
      </c>
      <c r="R44" s="202">
        <v>-2.0873031108786410878297339800</v>
      </c>
      <c r="S44" s="202">
        <v>-4.4371331608523442113013897200</v>
      </c>
      <c r="T44" s="202">
        <v>16.790584570693831754439823930</v>
      </c>
      <c r="U44" s="202">
        <v>11.593867670807255682414993010</v>
      </c>
      <c r="V44" s="202">
        <v>1.0073206381499654402408148400</v>
      </c>
      <c r="W44" s="202">
        <v>3.0711147397365386390650417100</v>
      </c>
      <c r="X44" s="202">
        <v>1.439546381851728962565748100</v>
      </c>
      <c r="Y44" s="202">
        <v>-8.538228391097749107672467530</v>
      </c>
      <c r="Z44" s="202">
        <v>-6.4550093486817587424043068100</v>
      </c>
      <c r="AA44" s="202">
        <v>-7.1922060142580296623800086200</v>
      </c>
      <c r="AB44" s="202">
        <v>-10.507301094917167886920935210</v>
      </c>
      <c r="AC44" s="202">
        <v>-5.5394113754534864843208026200</v>
      </c>
      <c r="AD44" s="202">
        <v>4.8944949224869839707642134400</v>
      </c>
      <c r="AE44" s="202">
        <v>2.7024956112037405325802869500</v>
      </c>
      <c r="AF44" s="202">
        <v>1.780585219983890182825700100</v>
      </c>
      <c r="AG44" s="290">
        <v>-11.208911178816498431381382760</v>
      </c>
      <c r="AH44" s="218"/>
      <c r="AI44" s="303">
        <v>3.0091581352625169142522629600</v>
      </c>
      <c r="AJ44" s="303">
        <v>3.5025198328970338546425379800</v>
      </c>
      <c r="AK44" s="303">
        <v>-1.0646384976069563611793604300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-27.619405253585317501784961390</v>
      </c>
      <c r="D45" s="292">
        <v>-21.746001120680804512711152620</v>
      </c>
      <c r="E45" s="292">
        <v>-22.493911721112300001234497650</v>
      </c>
      <c r="F45" s="292">
        <v>-31.826385300284431032861525990</v>
      </c>
      <c r="G45" s="292">
        <v>20.034497485817269269378350810</v>
      </c>
      <c r="H45" s="292">
        <v>-21.575210923916089150468849400</v>
      </c>
      <c r="I45" s="292">
        <v>-27.539351695981784322914584320</v>
      </c>
      <c r="J45" s="292">
        <v>-7.2793195954154882917775963900</v>
      </c>
      <c r="K45" s="292">
        <v>11.311664033386548944540392740</v>
      </c>
      <c r="L45" s="292">
        <v>5.9558615835765060247369304700</v>
      </c>
      <c r="M45" s="292">
        <v>-15.465837212128275781386284230</v>
      </c>
      <c r="N45" s="292">
        <v>-1.5597328705140617900904191600</v>
      </c>
      <c r="O45" s="292">
        <v>10.409038750788431626126345760</v>
      </c>
      <c r="P45" s="292">
        <v>1.3165851820770867925400773100</v>
      </c>
      <c r="Q45" s="292">
        <v>-2.5033312737466228094698624700</v>
      </c>
      <c r="R45" s="292">
        <v>3.0245958507472736396135445800</v>
      </c>
      <c r="S45" s="292">
        <v>8.618634108916652824386875920</v>
      </c>
      <c r="T45" s="292">
        <v>-12.034989893266480616770595140</v>
      </c>
      <c r="U45" s="292">
        <v>16.628176762206845599955935920</v>
      </c>
      <c r="V45" s="292">
        <v>50.576301394287826797014101120</v>
      </c>
      <c r="W45" s="292">
        <v>24.268346647649782557106351920</v>
      </c>
      <c r="X45" s="292">
        <v>17.152903331534947283276267380</v>
      </c>
      <c r="Y45" s="292">
        <v>14.964825236890000838905885780</v>
      </c>
      <c r="Z45" s="292">
        <v>10.311675324678965205758971550</v>
      </c>
      <c r="AA45" s="292">
        <v>5.862660891931274697738880900</v>
      </c>
      <c r="AB45" s="292">
        <v>-6.8701638190333339609935631600</v>
      </c>
      <c r="AC45" s="292">
        <v>-8.442224164271541979019582140</v>
      </c>
      <c r="AD45" s="292">
        <v>-12.209543825607664020653700680</v>
      </c>
      <c r="AE45" s="292">
        <v>-2.1837588925579222938256529900</v>
      </c>
      <c r="AF45" s="292">
        <v>-11.804188485301566391104212760</v>
      </c>
      <c r="AG45" s="293">
        <v>5.087995056833536627351416500</v>
      </c>
      <c r="AH45" s="218"/>
      <c r="AI45" s="304">
        <v>-4.1212605077962962662236177600</v>
      </c>
      <c r="AJ45" s="304">
        <v>-5.1845272487629082947946769500</v>
      </c>
      <c r="AK45" s="304">
        <v>-3.0025221591400931387042247500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181</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279.04545454545454545454545455</v>
      </c>
      <c r="D50" s="295">
        <v>407.40151515151515151515151515</v>
      </c>
      <c r="E50" s="295">
        <v>405.85606060606060606060606061</v>
      </c>
      <c r="F50" s="295">
        <v>283.34090909090909090909090909</v>
      </c>
      <c r="G50" s="295">
        <v>123.35606060606060606060606061</v>
      </c>
      <c r="H50" s="295">
        <v>89.17424242424242424242424242</v>
      </c>
      <c r="I50" s="295">
        <v>153.42424242424242424242424242</v>
      </c>
      <c r="J50" s="295">
        <v>178.47727272727272727272727273</v>
      </c>
      <c r="K50" s="295">
        <v>220.64393939393939393939393939</v>
      </c>
      <c r="L50" s="295">
        <v>225.00757575757575757575757576</v>
      </c>
      <c r="M50" s="295">
        <v>96.67424242424242424242424242</v>
      </c>
      <c r="N50" s="295">
        <v>94.43939393939393939393939394</v>
      </c>
      <c r="O50" s="295">
        <v>110.98484848484848484848484848</v>
      </c>
      <c r="P50" s="295">
        <v>108.79545454545454545454545455</v>
      </c>
      <c r="Q50" s="295">
        <v>136.56060606060606060606060606</v>
      </c>
      <c r="R50" s="295">
        <v>224.74242424242424242424242424</v>
      </c>
      <c r="S50" s="295">
        <v>277.53030303030303030303030303</v>
      </c>
      <c r="T50" s="295">
        <v>173.28030303030303030303030303</v>
      </c>
      <c r="U50" s="295">
        <v>175.04545454545454545454545455</v>
      </c>
      <c r="V50" s="295">
        <v>180.98484848484848484848484848</v>
      </c>
      <c r="W50" s="295">
        <v>175.28030303030303030303030303</v>
      </c>
      <c r="X50" s="295">
        <v>179.46969696969696969696969697</v>
      </c>
      <c r="Y50" s="295">
        <v>180.43181818181818181818181818</v>
      </c>
      <c r="Z50" s="295">
        <v>250.00757575757575757575757576</v>
      </c>
      <c r="AA50" s="295">
        <v>179.24242424242424242424242424</v>
      </c>
      <c r="AB50" s="295">
        <v>97.38636363636363636363636364</v>
      </c>
      <c r="AC50" s="295">
        <v>79.204545454545454545454545455</v>
      </c>
      <c r="AD50" s="295">
        <v>92.000000000</v>
      </c>
      <c r="AE50" s="295">
        <v>118.09090909090909090909090909</v>
      </c>
      <c r="AF50" s="295">
        <v>162.46212121212121212121212121</v>
      </c>
      <c r="AG50" s="296">
        <v>172.89393939393939393939393939</v>
      </c>
      <c r="AH50" s="218"/>
      <c r="AI50" s="305">
        <v>181.65273704789833822091886608</v>
      </c>
      <c r="AJ50" s="305">
        <v>147.82178932178932178932178932</v>
      </c>
      <c r="AK50" s="305">
        <v>252.69772727272727272727272727</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343.40406976744186046511627907</v>
      </c>
      <c r="D51" s="207">
        <v>480.10465116279069767441860465</v>
      </c>
      <c r="E51" s="207">
        <v>488.94476744186046511627906977</v>
      </c>
      <c r="F51" s="207">
        <v>250.57848837209302325581395349</v>
      </c>
      <c r="G51" s="207">
        <v>158.02325581395348837209302326</v>
      </c>
      <c r="H51" s="207">
        <v>188.31976744186046511627906977</v>
      </c>
      <c r="I51" s="207">
        <v>228.29651162790697674418604651</v>
      </c>
      <c r="J51" s="207">
        <v>222.34883720930232558139534884</v>
      </c>
      <c r="K51" s="207">
        <v>199.01744186046511627906976744</v>
      </c>
      <c r="L51" s="207">
        <v>195.74127906976744186046511628</v>
      </c>
      <c r="M51" s="207">
        <v>129.69476744186046511627906977</v>
      </c>
      <c r="N51" s="207">
        <v>109.18604651162790697674418605</v>
      </c>
      <c r="O51" s="207">
        <v>113.34593023255813953488372093</v>
      </c>
      <c r="P51" s="207">
        <v>120.93023255813953488372093023</v>
      </c>
      <c r="Q51" s="207">
        <v>147.27034883720930232558139535</v>
      </c>
      <c r="R51" s="207">
        <v>230.39534883720930232558139535</v>
      </c>
      <c r="S51" s="207">
        <v>263.2906976744186046511627907</v>
      </c>
      <c r="T51" s="207">
        <v>198.35465116279069767441860465</v>
      </c>
      <c r="U51" s="207">
        <v>201.02034883720930232558139535</v>
      </c>
      <c r="V51" s="207">
        <v>173.74709302325581395348837209</v>
      </c>
      <c r="W51" s="207">
        <v>133.9593023255813953488372093</v>
      </c>
      <c r="X51" s="207">
        <v>165.13953488372093023255813953</v>
      </c>
      <c r="Y51" s="207">
        <v>255.20058139534883720930232558</v>
      </c>
      <c r="Z51" s="207">
        <v>331.31686046511627906976744186</v>
      </c>
      <c r="AA51" s="207">
        <v>207.81686046511627906976744186</v>
      </c>
      <c r="AB51" s="207">
        <v>122.86627906976744186046511628</v>
      </c>
      <c r="AC51" s="207">
        <v>112.60174418604651162790697674</v>
      </c>
      <c r="AD51" s="207">
        <v>126.9156976744186046511627907</v>
      </c>
      <c r="AE51" s="207">
        <v>175.125000000</v>
      </c>
      <c r="AF51" s="207">
        <v>252.57267441860465116279069767</v>
      </c>
      <c r="AG51" s="298">
        <v>207.64244186046511627906976744</v>
      </c>
      <c r="AH51" s="218"/>
      <c r="AI51" s="306">
        <v>210.74746811702925731432858215</v>
      </c>
      <c r="AJ51" s="306">
        <v>172.80689368770764119601328904</v>
      </c>
      <c r="AK51" s="306">
        <v>290.42267441860465116279069767</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81.25863352011585856345119659</v>
      </c>
      <c r="D52" s="292">
        <v>84.85681489750205666347901447</v>
      </c>
      <c r="E52" s="292">
        <v>83.00652499656566977856260927</v>
      </c>
      <c r="F52" s="292">
        <v>113.07471400743629680111265126</v>
      </c>
      <c r="G52" s="292">
        <v>78.061966240751211497884408860</v>
      </c>
      <c r="H52" s="292">
        <v>47.352566135551471072828107180</v>
      </c>
      <c r="I52" s="292">
        <v>67.203936376526099312230341020</v>
      </c>
      <c r="J52" s="292">
        <v>80.26903804280731661714585854</v>
      </c>
      <c r="K52" s="292">
        <v>110.86663426645708205871803380</v>
      </c>
      <c r="L52" s="292">
        <v>114.95152010186854687132872471</v>
      </c>
      <c r="M52" s="292">
        <v>74.539817088264611732085476650</v>
      </c>
      <c r="N52" s="292">
        <v>86.49401361863636468802593346</v>
      </c>
      <c r="O52" s="292">
        <v>97.91692410754732823166192471</v>
      </c>
      <c r="P52" s="292">
        <v>89.96547202800143976096020327</v>
      </c>
      <c r="Q52" s="292">
        <v>92.72783499112029399183704296</v>
      </c>
      <c r="R52" s="292">
        <v>97.54642416901819531582820546</v>
      </c>
      <c r="S52" s="292">
        <v>105.40832071990348955170306283</v>
      </c>
      <c r="T52" s="292">
        <v>87.35883026412264698196496221</v>
      </c>
      <c r="U52" s="292">
        <v>87.07847516831159368276528515</v>
      </c>
      <c r="V52" s="292">
        <v>104.16568434936513176371979517</v>
      </c>
      <c r="W52" s="292">
        <v>130.84593603232470006583124748</v>
      </c>
      <c r="X52" s="292">
        <v>108.67760836076535411132155834</v>
      </c>
      <c r="Y52" s="292">
        <v>70.701962039159043245824789180</v>
      </c>
      <c r="Z52" s="292">
        <v>75.458754319540844144053855170</v>
      </c>
      <c r="AA52" s="292">
        <v>86.25018385961304453025714763</v>
      </c>
      <c r="AB52" s="292">
        <v>79.26207611531778156571710950</v>
      </c>
      <c r="AC52" s="292">
        <v>70.340425032592980073942373860</v>
      </c>
      <c r="AD52" s="292">
        <v>72.489062965264067660802530750</v>
      </c>
      <c r="AE52" s="292">
        <v>67.432353513723963402764259290</v>
      </c>
      <c r="AF52" s="292">
        <v>64.322920753836365467490396590</v>
      </c>
      <c r="AG52" s="293">
        <v>83.26522162077749889898643667</v>
      </c>
      <c r="AH52" s="218"/>
      <c r="AI52" s="304">
        <v>86.19450504954620252564543700</v>
      </c>
      <c r="AJ52" s="304">
        <v>85.54160436963571154498854454</v>
      </c>
      <c r="AK52" s="304">
        <v>87.01032995395601637495178587</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-14.466840052009248882782984150</v>
      </c>
      <c r="D55" s="287">
        <v>-6.1778149970399832489970106400</v>
      </c>
      <c r="E55" s="287">
        <v>-8.059173831707757847520913330</v>
      </c>
      <c r="F55" s="287">
        <v>-20.976568277370827743521086090</v>
      </c>
      <c r="G55" s="287">
        <v>-10.606642876734226805226766370</v>
      </c>
      <c r="H55" s="287">
        <v>-45.818181818170844649021861990</v>
      </c>
      <c r="I55" s="287">
        <v>-15.553331665407277457926652390</v>
      </c>
      <c r="J55" s="287">
        <v>2.6491220426196783841779526600</v>
      </c>
      <c r="K55" s="287">
        <v>-19.106210421071515946190772450</v>
      </c>
      <c r="L55" s="287">
        <v>-0.4958290060021845513615329300</v>
      </c>
      <c r="M55" s="287">
        <v>-26.040338472226319285251085760</v>
      </c>
      <c r="N55" s="287">
        <v>-22.835035592718687207004329950</v>
      </c>
      <c r="O55" s="287">
        <v>-11.810739224667492085332931920</v>
      </c>
      <c r="P55" s="287">
        <v>-15.379176241836255375465181360</v>
      </c>
      <c r="Q55" s="287">
        <v>-10.166450712676912923125628810</v>
      </c>
      <c r="R55" s="287">
        <v>3.6004889121791039348136626400</v>
      </c>
      <c r="S55" s="287">
        <v>20.940213264651699027177949020</v>
      </c>
      <c r="T55" s="287">
        <v>11.217543518450105522419225930</v>
      </c>
      <c r="U55" s="287">
        <v>32.374677742815651557579720440</v>
      </c>
      <c r="V55" s="287">
        <v>70.923660299004047108146582280</v>
      </c>
      <c r="W55" s="287">
        <v>33.377529255745266551638595770</v>
      </c>
      <c r="X55" s="287">
        <v>25.829925107547600367548091770</v>
      </c>
      <c r="Y55" s="287">
        <v>-12.825299220391414257267544780</v>
      </c>
      <c r="Z55" s="287">
        <v>0.6741915802453620025306003500</v>
      </c>
      <c r="AA55" s="287">
        <v>3.1206415620533695284279581500</v>
      </c>
      <c r="AB55" s="287">
        <v>-20.741106110109944248706836170</v>
      </c>
      <c r="AC55" s="287">
        <v>-21.538461538485091643815839370</v>
      </c>
      <c r="AD55" s="287">
        <v>-3.9088463364213094087890922800</v>
      </c>
      <c r="AE55" s="287">
        <v>4.6455424274832645619726794700</v>
      </c>
      <c r="AF55" s="287">
        <v>-24.284150690258154787216868990</v>
      </c>
      <c r="AG55" s="288">
        <v>-25.969897495797462716200376780</v>
      </c>
      <c r="AH55" s="218"/>
      <c r="AI55" s="302">
        <v>-5.3904036534402542027065762900</v>
      </c>
      <c r="AJ55" s="302">
        <v>-6.0430051850024051969607090200</v>
      </c>
      <c r="AK55" s="302">
        <v>-8.694029623785453356142853450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16.963904570287324698354993850</v>
      </c>
      <c r="D56" s="202">
        <v>24.065394482417242627717000240</v>
      </c>
      <c r="E56" s="202">
        <v>18.770585237301587570480287270</v>
      </c>
      <c r="F56" s="202">
        <v>-11.026266418611184210614581800</v>
      </c>
      <c r="G56" s="202">
        <v>-12.453635847070145344232619940</v>
      </c>
      <c r="H56" s="202">
        <v>26.705712658594601838853869810</v>
      </c>
      <c r="I56" s="202">
        <v>37.951150698725019541350452160</v>
      </c>
      <c r="J56" s="202">
        <v>17.490144801403647001301675720</v>
      </c>
      <c r="K56" s="202">
        <v>-20.391168883048236229913415740</v>
      </c>
      <c r="L56" s="202">
        <v>-19.205109826911923347741837300</v>
      </c>
      <c r="M56" s="202">
        <v>-16.943308963757680099871438060</v>
      </c>
      <c r="N56" s="202">
        <v>-15.502039285595049591578413420</v>
      </c>
      <c r="O56" s="202">
        <v>-12.397012568185190820025722350</v>
      </c>
      <c r="P56" s="202">
        <v>-6.7560880404352019786134688200</v>
      </c>
      <c r="Q56" s="202">
        <v>-17.894660432117127999857594130</v>
      </c>
      <c r="R56" s="202">
        <v>-6.9024955355962818087792871600</v>
      </c>
      <c r="S56" s="202">
        <v>4.893361054411667034694743900</v>
      </c>
      <c r="T56" s="202">
        <v>14.269924472045763443192921260</v>
      </c>
      <c r="U56" s="202">
        <v>8.823807125746458157770824170</v>
      </c>
      <c r="V56" s="202">
        <v>5.9546179755587919768783319500</v>
      </c>
      <c r="W56" s="202">
        <v>-8.572902406596977030885088400</v>
      </c>
      <c r="X56" s="202">
        <v>-10.338078853479917261788682200</v>
      </c>
      <c r="Y56" s="202">
        <v>-12.475324519935091877050656110</v>
      </c>
      <c r="Z56" s="202">
        <v>-9.650645675274430055923989570</v>
      </c>
      <c r="AA56" s="202">
        <v>-15.629278194788391150088868800</v>
      </c>
      <c r="AB56" s="202">
        <v>-20.930145545692196973995004750</v>
      </c>
      <c r="AC56" s="202">
        <v>-20.936071195317848185187376140</v>
      </c>
      <c r="AD56" s="202">
        <v>-6.6616782469251807448978629600</v>
      </c>
      <c r="AE56" s="202">
        <v>-6.5666826930614517824482971600</v>
      </c>
      <c r="AF56" s="202">
        <v>2.4659763662571628170090457900</v>
      </c>
      <c r="AG56" s="290">
        <v>-17.243257021044550379626227940</v>
      </c>
      <c r="AH56" s="218"/>
      <c r="AI56" s="303">
        <v>-0.6276003463923616009403192900</v>
      </c>
      <c r="AJ56" s="303">
        <v>-2.0232455745418467231394367100</v>
      </c>
      <c r="AK56" s="303">
        <v>-2.9830954692861987468887842500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-26.872174571937355231785076060</v>
      </c>
      <c r="D57" s="292">
        <v>-24.376829337131957946375114960</v>
      </c>
      <c r="E57" s="292">
        <v>-22.589565434451485718250298550</v>
      </c>
      <c r="F57" s="292">
        <v>-11.183414990265685606739497800</v>
      </c>
      <c r="G57" s="292">
        <v>2.1097312128761160077606928700</v>
      </c>
      <c r="H57" s="292">
        <v>-57.238062085002496488448100820</v>
      </c>
      <c r="I57" s="292">
        <v>-38.785093196519790452675660530</v>
      </c>
      <c r="J57" s="292">
        <v>-12.631717140063084440520875870</v>
      </c>
      <c r="K57" s="292">
        <v>1.6140903514388129351212809500</v>
      </c>
      <c r="L57" s="292">
        <v>23.156514948980974863180813780</v>
      </c>
      <c r="M57" s="292">
        <v>-10.952795488226637400431650470</v>
      </c>
      <c r="N57" s="292">
        <v>-8.678311577045359397795105910</v>
      </c>
      <c r="O57" s="292">
        <v>0.6692389844676247717185084300</v>
      </c>
      <c r="P57" s="292">
        <v>-9.247883341852773055157378750</v>
      </c>
      <c r="Q57" s="292">
        <v>9.412554360228533635457998220</v>
      </c>
      <c r="R57" s="292">
        <v>11.281703530282249515315061380</v>
      </c>
      <c r="S57" s="292">
        <v>15.298253434714359757578121470</v>
      </c>
      <c r="T57" s="292">
        <v>-2.6712023900282101846995840600</v>
      </c>
      <c r="U57" s="292">
        <v>21.641285339185498792872703870</v>
      </c>
      <c r="V57" s="292">
        <v>61.317801493542561473855479900</v>
      </c>
      <c r="W57" s="292">
        <v>45.884024284460058156645998410</v>
      </c>
      <c r="X57" s="292">
        <v>40.338198756526344950322382840</v>
      </c>
      <c r="Y57" s="292">
        <v>-0.3998583239121042929371248400</v>
      </c>
      <c r="Z57" s="292">
        <v>11.427682392020447820930932890</v>
      </c>
      <c r="AA57" s="292">
        <v>22.223253938986922174137635030</v>
      </c>
      <c r="AB57" s="292">
        <v>0.2390790230166211591883840400</v>
      </c>
      <c r="AC57" s="292">
        <v>-0.7619028705200099614302375200</v>
      </c>
      <c r="AD57" s="292">
        <v>2.949305128653757350130019800</v>
      </c>
      <c r="AE57" s="292">
        <v>12.000243000739527912213916560</v>
      </c>
      <c r="AF57" s="292">
        <v>-26.106350620140641066086129680</v>
      </c>
      <c r="AG57" s="293">
        <v>-10.544929827626894593647537240</v>
      </c>
      <c r="AH57" s="218"/>
      <c r="AI57" s="304">
        <v>-4.7928834602171348917178434700</v>
      </c>
      <c r="AJ57" s="304">
        <v>-4.1027686965763962981530252400</v>
      </c>
      <c r="AK57" s="304">
        <v>-5.8865351168116108482061054900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180</v>
      </c>
      <c r="B4" s="442"/>
      <c r="C4" s="211"/>
      <c r="D4" s="212"/>
      <c r="E4" s="212"/>
      <c r="F4" s="212"/>
      <c r="G4" s="212"/>
      <c r="H4" s="212"/>
      <c r="I4" s="212"/>
      <c r="J4" s="212"/>
      <c r="K4" s="212"/>
      <c r="L4" s="212"/>
      <c r="M4" s="212"/>
      <c r="N4" s="212"/>
      <c r="O4" s="212"/>
      <c r="P4" s="212"/>
      <c r="Q4" s="212"/>
      <c r="R4" s="659" t="s">
        <v>182</v>
      </c>
      <c r="S4" s="659"/>
      <c r="T4" s="659"/>
      <c r="U4" s="659"/>
      <c r="V4" s="659"/>
      <c r="W4" s="659"/>
      <c r="X4" s="659"/>
      <c r="Y4" s="659"/>
      <c r="Z4" s="659"/>
      <c r="AA4" s="659"/>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183</v>
      </c>
      <c r="G9" s="339" t="s">
        <v>63</v>
      </c>
      <c r="H9" s="340" t="s">
        <v>26</v>
      </c>
      <c r="I9" s="341" t="s">
        <v>183</v>
      </c>
      <c r="J9" s="340" t="s">
        <v>63</v>
      </c>
      <c r="K9" s="340" t="s">
        <v>26</v>
      </c>
      <c r="L9" s="341" t="s">
        <v>183</v>
      </c>
      <c r="M9" s="339" t="s">
        <v>63</v>
      </c>
      <c r="N9" s="340" t="s">
        <v>26</v>
      </c>
      <c r="O9" s="341" t="s">
        <v>183</v>
      </c>
      <c r="P9" s="96"/>
      <c r="Q9" s="339" t="s">
        <v>63</v>
      </c>
      <c r="R9" s="340" t="s">
        <v>26</v>
      </c>
      <c r="S9" s="341" t="s">
        <v>183</v>
      </c>
      <c r="T9" s="339" t="s">
        <v>63</v>
      </c>
      <c r="U9" s="340" t="s">
        <v>26</v>
      </c>
      <c r="V9" s="341" t="s">
        <v>183</v>
      </c>
      <c r="W9" s="340"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181</v>
      </c>
      <c r="B10" s="342">
        <v>4</v>
      </c>
      <c r="C10" s="350" t="s">
        <v>49</v>
      </c>
      <c r="D10" s="354">
        <v>76.515151515151515151515151520</v>
      </c>
      <c r="E10" s="355">
        <v>65.697674418604651162790697670</v>
      </c>
      <c r="F10" s="356">
        <v>54.659714651794580276808727110</v>
      </c>
      <c r="G10" s="354">
        <v>21.212121212121212121212121210</v>
      </c>
      <c r="H10" s="355">
        <v>2.6162790697674418604651162800</v>
      </c>
      <c r="I10" s="356">
        <v>18.268056695985015241934040940</v>
      </c>
      <c r="J10" s="355">
        <v>0</v>
      </c>
      <c r="K10" s="355">
        <v>0</v>
      </c>
      <c r="L10" s="356">
        <v>7.6894739863878531310330634600</v>
      </c>
      <c r="M10" s="354">
        <v>97.72727272727272727272727273</v>
      </c>
      <c r="N10" s="355">
        <v>68.313953488372093023255813950</v>
      </c>
      <c r="O10" s="356">
        <v>80.61724533416744864977583151</v>
      </c>
      <c r="P10" s="4"/>
      <c r="Q10" s="354">
        <v>42.253521126704463400119046140</v>
      </c>
      <c r="R10" s="355">
        <v>-19.745406468237474369463601460</v>
      </c>
      <c r="S10" s="356">
        <v>-2.7088070274734564806900947600</v>
      </c>
      <c r="T10" s="354">
        <v>-41.666666666608333333333275010</v>
      </c>
      <c r="U10" s="355">
        <v>996.2209301722659883754090920</v>
      </c>
      <c r="V10" s="356">
        <v>3.6116852563415168238424460400</v>
      </c>
      <c r="W10" s="355">
        <v>0</v>
      </c>
      <c r="X10" s="355">
        <v>0</v>
      </c>
      <c r="Y10" s="356">
        <v>10.746867606382567585049299140</v>
      </c>
      <c r="Z10" s="354">
        <v>8.403361344556034178377236310</v>
      </c>
      <c r="AA10" s="355">
        <v>-16.792015954585760297147575230</v>
      </c>
      <c r="AB10" s="356">
        <v>-0.1719723476711425135526355600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5</v>
      </c>
      <c r="C11" s="351" t="s">
        <v>47</v>
      </c>
      <c r="D11" s="327">
        <v>64.393939393939393939393939390</v>
      </c>
      <c r="E11" s="171">
        <v>60.755813953488372093023255810</v>
      </c>
      <c r="F11" s="328">
        <v>45.533429120041057135903472490</v>
      </c>
      <c r="G11" s="327">
        <v>0</v>
      </c>
      <c r="H11" s="171">
        <v>4.9418604651162790697674418600</v>
      </c>
      <c r="I11" s="328">
        <v>16.837760588136644133889163660</v>
      </c>
      <c r="J11" s="171">
        <v>0</v>
      </c>
      <c r="K11" s="171">
        <v>0</v>
      </c>
      <c r="L11" s="328">
        <v>6.3390594837730859265372564600</v>
      </c>
      <c r="M11" s="327">
        <v>64.393939393939393939393939390</v>
      </c>
      <c r="N11" s="171">
        <v>65.697674418604651162790697670</v>
      </c>
      <c r="O11" s="328">
        <v>68.710249191950787196329892610</v>
      </c>
      <c r="P11" s="4"/>
      <c r="Q11" s="327">
        <v>-16.666666666637254901960773940</v>
      </c>
      <c r="R11" s="171">
        <v>-9.406811222363073380647435030</v>
      </c>
      <c r="S11" s="328">
        <v>-7.1252355307809458967690814500</v>
      </c>
      <c r="T11" s="327">
        <v>0</v>
      </c>
      <c r="U11" s="171">
        <v>0</v>
      </c>
      <c r="V11" s="328">
        <v>-2.9324531254399342311355815800</v>
      </c>
      <c r="W11" s="171">
        <v>0</v>
      </c>
      <c r="X11" s="171">
        <v>0</v>
      </c>
      <c r="Y11" s="328">
        <v>9.105261430970018210566037440</v>
      </c>
      <c r="Z11" s="327">
        <v>-16.666666666637254901960773940</v>
      </c>
      <c r="AA11" s="171">
        <v>-2.0379872548040889187862216100</v>
      </c>
      <c r="AB11" s="328">
        <v>-4.8112658730250997381693030200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6</v>
      </c>
      <c r="C12" s="352" t="s">
        <v>48</v>
      </c>
      <c r="D12" s="359">
        <v>51.515151515151515151515151520</v>
      </c>
      <c r="E12" s="170">
        <v>54.069767441860465116279069770</v>
      </c>
      <c r="F12" s="360">
        <v>44.129470460813981156280307830</v>
      </c>
      <c r="G12" s="359">
        <v>0</v>
      </c>
      <c r="H12" s="170">
        <v>17.151162790697674418604651160</v>
      </c>
      <c r="I12" s="360">
        <v>15.235444429016240795085977740</v>
      </c>
      <c r="J12" s="170">
        <v>0</v>
      </c>
      <c r="K12" s="170">
        <v>0</v>
      </c>
      <c r="L12" s="360">
        <v>7.3851633084806945328376556300</v>
      </c>
      <c r="M12" s="359">
        <v>51.515151515151515151515151520</v>
      </c>
      <c r="N12" s="170">
        <v>71.220930232558139534883720930</v>
      </c>
      <c r="O12" s="360">
        <v>66.750078198310916484203941190</v>
      </c>
      <c r="P12" s="4"/>
      <c r="Q12" s="359">
        <v>-35.849056603749377002491980890</v>
      </c>
      <c r="R12" s="170">
        <v>-15.465550156219422388124452650</v>
      </c>
      <c r="S12" s="360">
        <v>-15.152300287800769172042393380</v>
      </c>
      <c r="T12" s="359">
        <v>-100</v>
      </c>
      <c r="U12" s="170">
        <v>0</v>
      </c>
      <c r="V12" s="360">
        <v>-21.745368514749474415484109800</v>
      </c>
      <c r="W12" s="170">
        <v>0</v>
      </c>
      <c r="X12" s="170">
        <v>0</v>
      </c>
      <c r="Y12" s="360">
        <v>18.118183542577619436391981360</v>
      </c>
      <c r="Z12" s="359">
        <v>-39.285714285725127551020406220</v>
      </c>
      <c r="AA12" s="170">
        <v>11.349140923259362983384457530</v>
      </c>
      <c r="AB12" s="360">
        <v>-14.127519621604651309815955560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7</v>
      </c>
      <c r="C13" s="351" t="s">
        <v>50</v>
      </c>
      <c r="D13" s="327">
        <v>71.969696969696969696969696970</v>
      </c>
      <c r="E13" s="171">
        <v>58.139534883720930232558139530</v>
      </c>
      <c r="F13" s="328">
        <v>48.819493207773492449423979860</v>
      </c>
      <c r="G13" s="327">
        <v>10.606060606060606060606060610</v>
      </c>
      <c r="H13" s="171">
        <v>24.418604651162790697674418600</v>
      </c>
      <c r="I13" s="328">
        <v>14.899383193587242948417201810</v>
      </c>
      <c r="J13" s="171">
        <v>0</v>
      </c>
      <c r="K13" s="171">
        <v>0</v>
      </c>
      <c r="L13" s="328">
        <v>7.0141024329631098737676182500</v>
      </c>
      <c r="M13" s="327">
        <v>82.57575757575757575757575758</v>
      </c>
      <c r="N13" s="171">
        <v>82.55813953488372093023255814</v>
      </c>
      <c r="O13" s="328">
        <v>70.732978834323845271608799920</v>
      </c>
      <c r="P13" s="4"/>
      <c r="Q13" s="327">
        <v>-4.0404040404040404040404040400</v>
      </c>
      <c r="R13" s="171">
        <v>-19.336208224201426039045595200</v>
      </c>
      <c r="S13" s="328">
        <v>-9.904800986606533879650927930</v>
      </c>
      <c r="T13" s="327">
        <v>-17.647058823606920415224840510</v>
      </c>
      <c r="U13" s="171">
        <v>1036.8217054167567614126564311</v>
      </c>
      <c r="V13" s="328">
        <v>-24.088030302800507769535441290</v>
      </c>
      <c r="W13" s="171">
        <v>0</v>
      </c>
      <c r="X13" s="171">
        <v>0</v>
      </c>
      <c r="Y13" s="328">
        <v>27.915803748307260784957653640</v>
      </c>
      <c r="Z13" s="327">
        <v>-6.0344827586336504161712229400</v>
      </c>
      <c r="AA13" s="171">
        <v>11.227847154741189486999655010</v>
      </c>
      <c r="AB13" s="328">
        <v>-10.800071010659766473206068160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8</v>
      </c>
      <c r="C14" s="352" t="s">
        <v>51</v>
      </c>
      <c r="D14" s="359">
        <v>75.00</v>
      </c>
      <c r="E14" s="170">
        <v>60.755813953488372093023255810</v>
      </c>
      <c r="F14" s="360">
        <v>58.695206702395890296498617960</v>
      </c>
      <c r="G14" s="359">
        <v>10.606060606060606060606060610</v>
      </c>
      <c r="H14" s="170">
        <v>19.186046511627906976744186050</v>
      </c>
      <c r="I14" s="360">
        <v>11.316902899008235925568210960</v>
      </c>
      <c r="J14" s="170">
        <v>0</v>
      </c>
      <c r="K14" s="170">
        <v>0</v>
      </c>
      <c r="L14" s="360">
        <v>7.7691436568588286314416686400</v>
      </c>
      <c r="M14" s="359">
        <v>85.60606060606060606060606061</v>
      </c>
      <c r="N14" s="170">
        <v>79.94186046511627906976744186</v>
      </c>
      <c r="O14" s="360">
        <v>77.781253258262954853508497550</v>
      </c>
      <c r="P14" s="4"/>
      <c r="Q14" s="359">
        <v>-1.0000000000316799999999898600</v>
      </c>
      <c r="R14" s="170">
        <v>-19.185123661905304968154341720</v>
      </c>
      <c r="S14" s="360">
        <v>-1.674010446309073600614494100</v>
      </c>
      <c r="T14" s="359">
        <v>-12.499999999912499999999912470</v>
      </c>
      <c r="U14" s="170">
        <v>793.2170542560231696813729105</v>
      </c>
      <c r="V14" s="360">
        <v>-12.893648092865563826556908580</v>
      </c>
      <c r="W14" s="170">
        <v>0</v>
      </c>
      <c r="X14" s="170">
        <v>0</v>
      </c>
      <c r="Y14" s="360">
        <v>43.965920002896227056196997190</v>
      </c>
      <c r="Z14" s="359">
        <v>-2.5862068965651605231866806600</v>
      </c>
      <c r="AA14" s="170">
        <v>3.3816035027903923028475550800</v>
      </c>
      <c r="AB14" s="360">
        <v>-0.3865291742174172051822153700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9</v>
      </c>
      <c r="C15" s="351" t="s">
        <v>52</v>
      </c>
      <c r="D15" s="327">
        <v>68.939393939393939393939393940</v>
      </c>
      <c r="E15" s="171">
        <v>72.093023255813953488372093020</v>
      </c>
      <c r="F15" s="328">
        <v>64.553107652469930288445255520</v>
      </c>
      <c r="G15" s="327">
        <v>10.606060606060606060606060610</v>
      </c>
      <c r="H15" s="171">
        <v>2.3255813953488372093023255800</v>
      </c>
      <c r="I15" s="328">
        <v>5.7803460249144471545595550200</v>
      </c>
      <c r="J15" s="171">
        <v>0</v>
      </c>
      <c r="K15" s="171">
        <v>0</v>
      </c>
      <c r="L15" s="328">
        <v>7.5416375539783584552331208600</v>
      </c>
      <c r="M15" s="327">
        <v>79.54545454545454545454545455</v>
      </c>
      <c r="N15" s="171">
        <v>74.418604651162790697674418600</v>
      </c>
      <c r="O15" s="328">
        <v>77.875091231362735898237931390</v>
      </c>
      <c r="P15" s="4"/>
      <c r="Q15" s="327">
        <v>-9.000000000029119999999990680</v>
      </c>
      <c r="R15" s="171">
        <v>-11.155950752353478413937375920</v>
      </c>
      <c r="S15" s="328">
        <v>-4.5997009427197266503058157300</v>
      </c>
      <c r="T15" s="327">
        <v>-49.999999999949999999999949980</v>
      </c>
      <c r="U15" s="171">
        <v>39.202657807985097294735130190</v>
      </c>
      <c r="V15" s="328">
        <v>-16.161779444169735231887688160</v>
      </c>
      <c r="W15" s="171">
        <v>0</v>
      </c>
      <c r="X15" s="171">
        <v>0</v>
      </c>
      <c r="Y15" s="328">
        <v>15.939566836129305482295035910</v>
      </c>
      <c r="Z15" s="327">
        <v>-17.968750000002563476562499920</v>
      </c>
      <c r="AA15" s="171">
        <v>-10.140071040766014902308712920</v>
      </c>
      <c r="AB15" s="328">
        <v>-3.9349570858463744018776587200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10</v>
      </c>
      <c r="C16" s="352" t="s">
        <v>53</v>
      </c>
      <c r="D16" s="359">
        <v>75.00</v>
      </c>
      <c r="E16" s="170">
        <v>71.220930232558139534883720930</v>
      </c>
      <c r="F16" s="360">
        <v>64.059334976645426890644990160</v>
      </c>
      <c r="G16" s="359">
        <v>10.606060606060606060606060610</v>
      </c>
      <c r="H16" s="170">
        <v>0.8720930232558139534883720900</v>
      </c>
      <c r="I16" s="360">
        <v>4.3465897563467463688866030400</v>
      </c>
      <c r="J16" s="170">
        <v>0</v>
      </c>
      <c r="K16" s="170">
        <v>0</v>
      </c>
      <c r="L16" s="360">
        <v>8.176287757884690466878583010</v>
      </c>
      <c r="M16" s="359">
        <v>85.60606060606060606060606061</v>
      </c>
      <c r="N16" s="170">
        <v>72.093023255813953488372093020</v>
      </c>
      <c r="O16" s="360">
        <v>76.582212490876863726410176210</v>
      </c>
      <c r="P16" s="4"/>
      <c r="Q16" s="359">
        <v>1.0204081632982923781757708700</v>
      </c>
      <c r="R16" s="170">
        <v>-13.502696326285562931375555540</v>
      </c>
      <c r="S16" s="360">
        <v>-1.7107040351367391202127772500</v>
      </c>
      <c r="T16" s="359">
        <v>-0.000000000371428571427191800</v>
      </c>
      <c r="U16" s="170">
        <v>21.802325574696220930601009750</v>
      </c>
      <c r="V16" s="360">
        <v>-37.733045043143615576198804280</v>
      </c>
      <c r="W16" s="170">
        <v>0</v>
      </c>
      <c r="X16" s="170">
        <v>0</v>
      </c>
      <c r="Y16" s="360">
        <v>29.982305704377374418883003820</v>
      </c>
      <c r="Z16" s="359">
        <v>0.892857142839126275510207300</v>
      </c>
      <c r="AA16" s="170">
        <v>-13.198342689087132374403536500</v>
      </c>
      <c r="AB16" s="360">
        <v>-2.3748336560832479883518556600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11</v>
      </c>
      <c r="C17" s="351" t="s">
        <v>49</v>
      </c>
      <c r="D17" s="327">
        <v>57.575757575757575757575757580</v>
      </c>
      <c r="E17" s="171">
        <v>57.267441860465116279069767440</v>
      </c>
      <c r="F17" s="328">
        <v>41.469699547137146969889562030</v>
      </c>
      <c r="G17" s="327">
        <v>0.7575757575757575757575757600</v>
      </c>
      <c r="H17" s="171">
        <v>0</v>
      </c>
      <c r="I17" s="328">
        <v>5.1794808413975375399127371400</v>
      </c>
      <c r="J17" s="171">
        <v>0</v>
      </c>
      <c r="K17" s="171">
        <v>0</v>
      </c>
      <c r="L17" s="328">
        <v>7.526609414405571980657506900</v>
      </c>
      <c r="M17" s="327">
        <v>58.333333333333333333333333330</v>
      </c>
      <c r="N17" s="171">
        <v>57.267441860465116279069767440</v>
      </c>
      <c r="O17" s="328">
        <v>54.175789802940256490459806070</v>
      </c>
      <c r="P17" s="4"/>
      <c r="Q17" s="327">
        <v>-17.391304347862003780718320860</v>
      </c>
      <c r="R17" s="171">
        <v>-20.282198871922837640659507060</v>
      </c>
      <c r="S17" s="328">
        <v>-11.561318245049873083055459680</v>
      </c>
      <c r="T17" s="327">
        <v>0</v>
      </c>
      <c r="U17" s="171">
        <v>-100</v>
      </c>
      <c r="V17" s="328">
        <v>-29.645906791525105278062465880</v>
      </c>
      <c r="W17" s="171">
        <v>0</v>
      </c>
      <c r="X17" s="171">
        <v>0</v>
      </c>
      <c r="Y17" s="328">
        <v>14.797067939234109571176433330</v>
      </c>
      <c r="Z17" s="327">
        <v>-16.304347826123345935727772460</v>
      </c>
      <c r="AA17" s="171">
        <v>-20.546165100838404648459911270</v>
      </c>
      <c r="AB17" s="328">
        <v>-10.908815017594091856842092070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12</v>
      </c>
      <c r="C18" s="352" t="s">
        <v>47</v>
      </c>
      <c r="D18" s="359">
        <v>55.303030303030303030303030300</v>
      </c>
      <c r="E18" s="170">
        <v>51.453488372093023255813953490</v>
      </c>
      <c r="F18" s="360">
        <v>42.471850027277160359615724130</v>
      </c>
      <c r="G18" s="359">
        <v>8.333333333333333333333333330</v>
      </c>
      <c r="H18" s="170">
        <v>0</v>
      </c>
      <c r="I18" s="360">
        <v>11.984409158540759911600428490</v>
      </c>
      <c r="J18" s="170">
        <v>0</v>
      </c>
      <c r="K18" s="170">
        <v>0</v>
      </c>
      <c r="L18" s="360">
        <v>7.2578477894714134791748389300</v>
      </c>
      <c r="M18" s="359">
        <v>63.636363636363636363636363640</v>
      </c>
      <c r="N18" s="170">
        <v>51.453488372093023255813953490</v>
      </c>
      <c r="O18" s="360">
        <v>61.714106975289333750390991550</v>
      </c>
      <c r="P18" s="4"/>
      <c r="Q18" s="359">
        <v>-30.476190476230204081632630360</v>
      </c>
      <c r="R18" s="170">
        <v>-13.763953488345532320930224370</v>
      </c>
      <c r="S18" s="360">
        <v>-7.8510830760528810747916154300</v>
      </c>
      <c r="T18" s="359">
        <v>0</v>
      </c>
      <c r="U18" s="170">
        <v>0</v>
      </c>
      <c r="V18" s="360">
        <v>-9.299129316264998911755533960</v>
      </c>
      <c r="W18" s="170">
        <v>0</v>
      </c>
      <c r="X18" s="170">
        <v>0</v>
      </c>
      <c r="Y18" s="360">
        <v>19.063131610506633673742390830</v>
      </c>
      <c r="Z18" s="359">
        <v>-20.000000000045714285714259590</v>
      </c>
      <c r="AA18" s="170">
        <v>-13.763953488345532320930224370</v>
      </c>
      <c r="AB18" s="360">
        <v>-5.6350000818026742360452259200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13</v>
      </c>
      <c r="C19" s="351" t="s">
        <v>48</v>
      </c>
      <c r="D19" s="327">
        <v>61.363636363636363636363636360</v>
      </c>
      <c r="E19" s="171">
        <v>53.779069767441860465116279080</v>
      </c>
      <c r="F19" s="328">
        <v>46.33077375199074072389377700</v>
      </c>
      <c r="G19" s="327">
        <v>8.333333333333333333333333330</v>
      </c>
      <c r="H19" s="171">
        <v>1.4534883720930232558139534900</v>
      </c>
      <c r="I19" s="328">
        <v>14.446746971926256207280636610</v>
      </c>
      <c r="J19" s="171">
        <v>0</v>
      </c>
      <c r="K19" s="171">
        <v>0</v>
      </c>
      <c r="L19" s="328">
        <v>6.8692314395696050915552287700</v>
      </c>
      <c r="M19" s="327">
        <v>69.696969696969696969696969700</v>
      </c>
      <c r="N19" s="171">
        <v>55.232558139534883720930232560</v>
      </c>
      <c r="O19" s="328">
        <v>67.646752163486602022729642370</v>
      </c>
      <c r="P19" s="4"/>
      <c r="Q19" s="327">
        <v>-25.688073394533591448531248800</v>
      </c>
      <c r="R19" s="171">
        <v>-9.866279069739680674418596080</v>
      </c>
      <c r="S19" s="328">
        <v>-6.3205923909077693137909612700</v>
      </c>
      <c r="T19" s="327">
        <v>0</v>
      </c>
      <c r="U19" s="171">
        <v>0</v>
      </c>
      <c r="V19" s="328">
        <v>-13.565951705547738140432605050</v>
      </c>
      <c r="W19" s="171">
        <v>0</v>
      </c>
      <c r="X19" s="171">
        <v>0</v>
      </c>
      <c r="Y19" s="328">
        <v>11.489047776847411198084320710</v>
      </c>
      <c r="Z19" s="327">
        <v>-15.596330275272721151418208510</v>
      </c>
      <c r="AA19" s="171">
        <v>-7.4302325581110233953488284200</v>
      </c>
      <c r="AB19" s="328">
        <v>-6.4777675478208307322070406200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14</v>
      </c>
      <c r="C20" s="352" t="s">
        <v>50</v>
      </c>
      <c r="D20" s="359">
        <v>62.878787878787878787878787880</v>
      </c>
      <c r="E20" s="170">
        <v>60.755813953488372093023255810</v>
      </c>
      <c r="F20" s="360">
        <v>48.449191398535969657281373030</v>
      </c>
      <c r="G20" s="359">
        <v>8.333333333333333333333333330</v>
      </c>
      <c r="H20" s="170">
        <v>1.7441860465116279069767441900</v>
      </c>
      <c r="I20" s="360">
        <v>19.448461763598249326589019220</v>
      </c>
      <c r="J20" s="170">
        <v>0</v>
      </c>
      <c r="K20" s="170">
        <v>0</v>
      </c>
      <c r="L20" s="360">
        <v>7.089313786046366982139408600</v>
      </c>
      <c r="M20" s="359">
        <v>71.212121212121212121212121210</v>
      </c>
      <c r="N20" s="170">
        <v>62.500</v>
      </c>
      <c r="O20" s="360">
        <v>74.986966948180585966009800850</v>
      </c>
      <c r="P20" s="4"/>
      <c r="Q20" s="359">
        <v>-23.853211009213433212692514200</v>
      </c>
      <c r="R20" s="170">
        <v>-6.4092424760175251437142720200</v>
      </c>
      <c r="S20" s="360">
        <v>-7.0136461600472165121612550800</v>
      </c>
      <c r="T20" s="359">
        <v>0</v>
      </c>
      <c r="U20" s="170">
        <v>0</v>
      </c>
      <c r="V20" s="360">
        <v>8.502616132944782741104043590</v>
      </c>
      <c r="W20" s="170">
        <v>0</v>
      </c>
      <c r="X20" s="170">
        <v>0</v>
      </c>
      <c r="Y20" s="360">
        <v>9.781540197988557461630650880</v>
      </c>
      <c r="Z20" s="359">
        <v>-13.761467889952562915579473920</v>
      </c>
      <c r="AA20" s="170">
        <v>-3.7224264705443440473615716900</v>
      </c>
      <c r="AB20" s="360">
        <v>-1.9593957611572482970206926400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15</v>
      </c>
      <c r="C21" s="351" t="s">
        <v>51</v>
      </c>
      <c r="D21" s="327">
        <v>72.727272727272727272727272730</v>
      </c>
      <c r="E21" s="171">
        <v>70.348837209302325581395348840</v>
      </c>
      <c r="F21" s="328">
        <v>52.300314693014435849691206980</v>
      </c>
      <c r="G21" s="327">
        <v>8.333333333333333333333333330</v>
      </c>
      <c r="H21" s="171">
        <v>1.4534883720930232558139534900</v>
      </c>
      <c r="I21" s="328">
        <v>17.444486037234853022108664090</v>
      </c>
      <c r="J21" s="171">
        <v>0</v>
      </c>
      <c r="K21" s="171">
        <v>0</v>
      </c>
      <c r="L21" s="328">
        <v>7.7445121672587916203281656300</v>
      </c>
      <c r="M21" s="327">
        <v>81.06060606060606060606060606</v>
      </c>
      <c r="N21" s="171">
        <v>71.802325581395348837209302330</v>
      </c>
      <c r="O21" s="328">
        <v>77.489312897508080492128036700</v>
      </c>
      <c r="P21" s="4"/>
      <c r="Q21" s="327">
        <v>-6.7961165048507493637477611900</v>
      </c>
      <c r="R21" s="171">
        <v>-9.304114490121374663547526370</v>
      </c>
      <c r="S21" s="328">
        <v>-6.2179064237023494209102538200</v>
      </c>
      <c r="T21" s="327">
        <v>0</v>
      </c>
      <c r="U21" s="171">
        <v>0</v>
      </c>
      <c r="V21" s="328">
        <v>6.248050443310466128283193200</v>
      </c>
      <c r="W21" s="171">
        <v>0</v>
      </c>
      <c r="X21" s="171">
        <v>0</v>
      </c>
      <c r="Y21" s="328">
        <v>28.327482227106544536618758440</v>
      </c>
      <c r="Z21" s="327">
        <v>3.8834951456351022716561411700</v>
      </c>
      <c r="AA21" s="171">
        <v>-7.4302325580990890161001612100</v>
      </c>
      <c r="AB21" s="328">
        <v>-0.9360588009075025433278821200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16</v>
      </c>
      <c r="C22" s="352" t="s">
        <v>52</v>
      </c>
      <c r="D22" s="359">
        <v>86.36363636363636363636363636</v>
      </c>
      <c r="E22" s="170">
        <v>79.65116279069767441860465116</v>
      </c>
      <c r="F22" s="360">
        <v>63.359216450065446410854783310</v>
      </c>
      <c r="G22" s="359">
        <v>0</v>
      </c>
      <c r="H22" s="170">
        <v>0</v>
      </c>
      <c r="I22" s="360">
        <v>15.523008030266034370659421910</v>
      </c>
      <c r="J22" s="170">
        <v>0</v>
      </c>
      <c r="K22" s="170">
        <v>0</v>
      </c>
      <c r="L22" s="360">
        <v>7.7615040151330171853297109600</v>
      </c>
      <c r="M22" s="359">
        <v>86.36363636363636363636363636</v>
      </c>
      <c r="N22" s="170">
        <v>79.65116279069767441860465116</v>
      </c>
      <c r="O22" s="360">
        <v>86.64372849546449796684391617</v>
      </c>
      <c r="P22" s="4"/>
      <c r="Q22" s="359">
        <v>2.7027027027138056975894825700</v>
      </c>
      <c r="R22" s="170">
        <v>-4.9178427085487805284350032800</v>
      </c>
      <c r="S22" s="360">
        <v>-4.6921575641591356142025429500</v>
      </c>
      <c r="T22" s="359">
        <v>0</v>
      </c>
      <c r="U22" s="170">
        <v>0</v>
      </c>
      <c r="V22" s="360">
        <v>30.954940616962109417750668770</v>
      </c>
      <c r="W22" s="170">
        <v>0</v>
      </c>
      <c r="X22" s="170">
        <v>0</v>
      </c>
      <c r="Y22" s="360">
        <v>22.569229506613686535176508860</v>
      </c>
      <c r="Z22" s="359">
        <v>2.7027027027138056975894825700</v>
      </c>
      <c r="AA22" s="170">
        <v>-4.9178427085487805284350032800</v>
      </c>
      <c r="AB22" s="360">
        <v>2.3376868644712857428082358400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17</v>
      </c>
      <c r="C23" s="351" t="s">
        <v>53</v>
      </c>
      <c r="D23" s="327">
        <v>96.21212121212121212121212121</v>
      </c>
      <c r="E23" s="171">
        <v>89.82558139534883720930232558</v>
      </c>
      <c r="F23" s="328">
        <v>68.448244596397730467249755500</v>
      </c>
      <c r="G23" s="327">
        <v>0</v>
      </c>
      <c r="H23" s="171">
        <v>0.290697674418604651162790700</v>
      </c>
      <c r="I23" s="328">
        <v>10.691257230869129682495060640</v>
      </c>
      <c r="J23" s="171">
        <v>0</v>
      </c>
      <c r="K23" s="171">
        <v>0</v>
      </c>
      <c r="L23" s="328">
        <v>7.7544612631303872697109236100</v>
      </c>
      <c r="M23" s="327">
        <v>96.21212121212121212121212121</v>
      </c>
      <c r="N23" s="171">
        <v>90.11627906976744186046511628</v>
      </c>
      <c r="O23" s="328">
        <v>86.89396309039724741945573976</v>
      </c>
      <c r="P23" s="4"/>
      <c r="Q23" s="327">
        <v>16.513761467830047975759646950</v>
      </c>
      <c r="R23" s="171">
        <v>9.409647106523404545452762780</v>
      </c>
      <c r="S23" s="328">
        <v>3.3477912182642174490761613100</v>
      </c>
      <c r="T23" s="327">
        <v>0</v>
      </c>
      <c r="U23" s="171">
        <v>0</v>
      </c>
      <c r="V23" s="328">
        <v>19.301048851352104627126577940</v>
      </c>
      <c r="W23" s="171">
        <v>0</v>
      </c>
      <c r="X23" s="171">
        <v>0</v>
      </c>
      <c r="Y23" s="328">
        <v>18.316642362469936544203815690</v>
      </c>
      <c r="Z23" s="327">
        <v>16.513761467830047975759646950</v>
      </c>
      <c r="AA23" s="171">
        <v>9.763723634376231097379794380</v>
      </c>
      <c r="AB23" s="328">
        <v>6.2968099816603067266442621300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18</v>
      </c>
      <c r="C24" s="352" t="s">
        <v>49</v>
      </c>
      <c r="D24" s="359">
        <v>76.515151515151515151515151520</v>
      </c>
      <c r="E24" s="170">
        <v>78.779069767441860465116279070</v>
      </c>
      <c r="F24" s="360">
        <v>51.360785886514525845653562190</v>
      </c>
      <c r="G24" s="359">
        <v>12.878787878787878787878787880</v>
      </c>
      <c r="H24" s="170">
        <v>0.290697674418604651162790700</v>
      </c>
      <c r="I24" s="360">
        <v>10.627922375464645418302709930</v>
      </c>
      <c r="J24" s="170">
        <v>0</v>
      </c>
      <c r="K24" s="170">
        <v>0</v>
      </c>
      <c r="L24" s="360">
        <v>7.4305389489477393814404539800</v>
      </c>
      <c r="M24" s="359">
        <v>89.39393939393939393939393939</v>
      </c>
      <c r="N24" s="170">
        <v>79.069767441860465116279069770</v>
      </c>
      <c r="O24" s="360">
        <v>69.419247210926910645396726100</v>
      </c>
      <c r="P24" s="4"/>
      <c r="Q24" s="359">
        <v>-7.3394495413320090901439028200</v>
      </c>
      <c r="R24" s="170">
        <v>-2.5179856115444542207960134300</v>
      </c>
      <c r="S24" s="360">
        <v>-0.4762172209186849643307450600</v>
      </c>
      <c r="T24" s="359">
        <v>0</v>
      </c>
      <c r="U24" s="170">
        <v>0</v>
      </c>
      <c r="V24" s="360">
        <v>37.136886371000976146566863740</v>
      </c>
      <c r="W24" s="170">
        <v>0</v>
      </c>
      <c r="X24" s="170">
        <v>0</v>
      </c>
      <c r="Y24" s="360">
        <v>26.990441605566510795185583640</v>
      </c>
      <c r="Z24" s="359">
        <v>8.256880733889335914485341250</v>
      </c>
      <c r="AA24" s="170">
        <v>-2.1582733813287510998395411500</v>
      </c>
      <c r="AB24" s="360">
        <v>6.4587181628119413722692502100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19</v>
      </c>
      <c r="C25" s="351" t="s">
        <v>47</v>
      </c>
      <c r="D25" s="327">
        <v>64.393939393939393939393939390</v>
      </c>
      <c r="E25" s="171">
        <v>77.325581395348837209302325580</v>
      </c>
      <c r="F25" s="328">
        <v>48.000589214008361539216811860</v>
      </c>
      <c r="G25" s="327">
        <v>25.757575757575757575757575760</v>
      </c>
      <c r="H25" s="171">
        <v>2.6162790697674418604651162800</v>
      </c>
      <c r="I25" s="328">
        <v>13.432628521675856427044741620</v>
      </c>
      <c r="J25" s="171">
        <v>0</v>
      </c>
      <c r="K25" s="171">
        <v>0</v>
      </c>
      <c r="L25" s="328">
        <v>7.3812958708218815019899322800</v>
      </c>
      <c r="M25" s="327">
        <v>90.15151515151515151515151515</v>
      </c>
      <c r="N25" s="171">
        <v>79.94186046511627906976744186</v>
      </c>
      <c r="O25" s="328">
        <v>68.814513606506099468251485770</v>
      </c>
      <c r="P25" s="4"/>
      <c r="Q25" s="327">
        <v>-27.350427350457155380232291090</v>
      </c>
      <c r="R25" s="171">
        <v>-5.6737588651947085156681955800</v>
      </c>
      <c r="S25" s="328">
        <v>-3.9497284914881259013766879200</v>
      </c>
      <c r="T25" s="327">
        <v>0</v>
      </c>
      <c r="U25" s="171">
        <v>0</v>
      </c>
      <c r="V25" s="328">
        <v>19.164430732332446088748311120</v>
      </c>
      <c r="W25" s="171">
        <v>0</v>
      </c>
      <c r="X25" s="171">
        <v>0</v>
      </c>
      <c r="Y25" s="328">
        <v>24.451601108374330262737663530</v>
      </c>
      <c r="Z25" s="327">
        <v>1.7094017093599824676747924800</v>
      </c>
      <c r="AA25" s="171">
        <v>-2.4822695034907700819877961800</v>
      </c>
      <c r="AB25" s="328">
        <v>2.4363162278097085724490835200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20</v>
      </c>
      <c r="C26" s="352" t="s">
        <v>48</v>
      </c>
      <c r="D26" s="359">
        <v>53.030303030303030303030303030</v>
      </c>
      <c r="E26" s="170">
        <v>70.348837209302325581395348840</v>
      </c>
      <c r="F26" s="360">
        <v>47.023663892820311120883749310</v>
      </c>
      <c r="G26" s="359">
        <v>36.363636363636363636363636360</v>
      </c>
      <c r="H26" s="170">
        <v>4.3604651162790697674418604700</v>
      </c>
      <c r="I26" s="360">
        <v>15.895012501980048906777863690</v>
      </c>
      <c r="J26" s="170">
        <v>0</v>
      </c>
      <c r="K26" s="170">
        <v>0</v>
      </c>
      <c r="L26" s="360">
        <v>7.2199952765582052939941059100</v>
      </c>
      <c r="M26" s="359">
        <v>89.39393939393939393939393939</v>
      </c>
      <c r="N26" s="170">
        <v>74.709302325581395348837209300</v>
      </c>
      <c r="O26" s="360">
        <v>70.138671671358565321655718900</v>
      </c>
      <c r="P26" s="4"/>
      <c r="Q26" s="359">
        <v>-33.333333333371428571428549660</v>
      </c>
      <c r="R26" s="170">
        <v>0.8333333332829166666666918800</v>
      </c>
      <c r="S26" s="360">
        <v>-5.1099269456275308801983919700</v>
      </c>
      <c r="T26" s="359">
        <v>0</v>
      </c>
      <c r="U26" s="170">
        <v>199.99999999856000000000691234</v>
      </c>
      <c r="V26" s="360">
        <v>17.372089170497388593612522730</v>
      </c>
      <c r="W26" s="170">
        <v>0</v>
      </c>
      <c r="X26" s="170">
        <v>0</v>
      </c>
      <c r="Y26" s="360">
        <v>15.090435498906309445469962160</v>
      </c>
      <c r="Z26" s="359">
        <v>12.380952380888163265306159140</v>
      </c>
      <c r="AA26" s="170">
        <v>4.8979591836118150770512648900</v>
      </c>
      <c r="AB26" s="360">
        <v>1.1056381630134913938817355700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21</v>
      </c>
      <c r="C27" s="351" t="s">
        <v>50</v>
      </c>
      <c r="D27" s="327">
        <v>57.575757575757575757575757580</v>
      </c>
      <c r="E27" s="171">
        <v>57.558139534883720930232558140</v>
      </c>
      <c r="F27" s="328">
        <v>47.792666591020945237990495330</v>
      </c>
      <c r="G27" s="327">
        <v>37.878787878787878787878787880</v>
      </c>
      <c r="H27" s="171">
        <v>4.0697674418604651162790697700</v>
      </c>
      <c r="I27" s="328">
        <v>14.870541815861192311498194190</v>
      </c>
      <c r="J27" s="171">
        <v>0</v>
      </c>
      <c r="K27" s="171">
        <v>0</v>
      </c>
      <c r="L27" s="328">
        <v>6.9124354258777415037904263200</v>
      </c>
      <c r="M27" s="327">
        <v>95.45454545454545454545454545</v>
      </c>
      <c r="N27" s="171">
        <v>61.627906976744186046511627910</v>
      </c>
      <c r="O27" s="328">
        <v>69.575643832759879053279115840</v>
      </c>
      <c r="P27" s="4"/>
      <c r="Q27" s="327">
        <v>-37.190082644650939143501118660</v>
      </c>
      <c r="R27" s="171">
        <v>-10.407239818988309002682169830</v>
      </c>
      <c r="S27" s="328">
        <v>-6.5404847143098109339563601500</v>
      </c>
      <c r="T27" s="327">
        <v>0</v>
      </c>
      <c r="U27" s="171">
        <v>-22.222222221703703703700246860</v>
      </c>
      <c r="V27" s="328">
        <v>27.683025375422618620044234270</v>
      </c>
      <c r="W27" s="171">
        <v>0</v>
      </c>
      <c r="X27" s="171">
        <v>0</v>
      </c>
      <c r="Y27" s="328">
        <v>10.649621038554528283325363890</v>
      </c>
      <c r="Z27" s="327">
        <v>4.1322314049208114199849874700</v>
      </c>
      <c r="AA27" s="171">
        <v>-11.297071129647730256823195130</v>
      </c>
      <c r="AB27" s="328">
        <v>0.7891539014599676277653197200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22</v>
      </c>
      <c r="C28" s="352" t="s">
        <v>51</v>
      </c>
      <c r="D28" s="359">
        <v>62.878787878787878787878787880</v>
      </c>
      <c r="E28" s="170">
        <v>66.279069767441860465116279070</v>
      </c>
      <c r="F28" s="360">
        <v>52.892926706028928386779115740</v>
      </c>
      <c r="G28" s="359">
        <v>32.575757575757575757575757580</v>
      </c>
      <c r="H28" s="170">
        <v>2.3255813953488372093023255800</v>
      </c>
      <c r="I28" s="360">
        <v>15.268300898884449011473584820</v>
      </c>
      <c r="J28" s="170">
        <v>0</v>
      </c>
      <c r="K28" s="170">
        <v>0</v>
      </c>
      <c r="L28" s="360">
        <v>6.1584470901132100274589040700</v>
      </c>
      <c r="M28" s="359">
        <v>95.45454545454545454545454545</v>
      </c>
      <c r="N28" s="170">
        <v>68.604651162790697674418604650</v>
      </c>
      <c r="O28" s="360">
        <v>74.319674695026587425711604630</v>
      </c>
      <c r="P28" s="4"/>
      <c r="Q28" s="359">
        <v>-30.252100840324412117788289820</v>
      </c>
      <c r="R28" s="170">
        <v>-8.433734939717849712101399190</v>
      </c>
      <c r="S28" s="360">
        <v>1.6528790200470865040160243100</v>
      </c>
      <c r="T28" s="359">
        <v>0</v>
      </c>
      <c r="U28" s="170">
        <v>-55.555555555259259259257283980</v>
      </c>
      <c r="V28" s="360">
        <v>29.106114994962745880153418700</v>
      </c>
      <c r="W28" s="170">
        <v>0</v>
      </c>
      <c r="X28" s="170">
        <v>0</v>
      </c>
      <c r="Y28" s="360">
        <v>2.5979537411324096821396896800</v>
      </c>
      <c r="Z28" s="359">
        <v>5.8823529411942659416707889500</v>
      </c>
      <c r="AA28" s="170">
        <v>-11.610486891422845039206594160</v>
      </c>
      <c r="AB28" s="360">
        <v>6.3813636259304747284085755200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23</v>
      </c>
      <c r="C29" s="351" t="s">
        <v>52</v>
      </c>
      <c r="D29" s="327">
        <v>71.969696969696969696969696970</v>
      </c>
      <c r="E29" s="171">
        <v>83.72093023255813953488372093</v>
      </c>
      <c r="F29" s="328">
        <v>62.024096015074707131220392780</v>
      </c>
      <c r="G29" s="327">
        <v>1.5151515151515151515151515200</v>
      </c>
      <c r="H29" s="171">
        <v>0.290697674418604651162790700</v>
      </c>
      <c r="I29" s="328">
        <v>10.264592644686131863070523440</v>
      </c>
      <c r="J29" s="171">
        <v>0</v>
      </c>
      <c r="K29" s="171">
        <v>0</v>
      </c>
      <c r="L29" s="328">
        <v>7.2442067630313620275003464300</v>
      </c>
      <c r="M29" s="327">
        <v>73.484848484848484848484848480</v>
      </c>
      <c r="N29" s="171">
        <v>84.01162790697674418604651163</v>
      </c>
      <c r="O29" s="328">
        <v>79.53289542279220102179126264</v>
      </c>
      <c r="P29" s="4"/>
      <c r="Q29" s="327">
        <v>-18.803418803452114836730207680</v>
      </c>
      <c r="R29" s="171">
        <v>-1.7064846416945846777481068600</v>
      </c>
      <c r="S29" s="328">
        <v>-3.376615085818217495790537700</v>
      </c>
      <c r="T29" s="327">
        <v>0</v>
      </c>
      <c r="U29" s="171">
        <v>-88.88888888902716049382543969</v>
      </c>
      <c r="V29" s="328">
        <v>43.445447076959246905895496670</v>
      </c>
      <c r="W29" s="171">
        <v>0</v>
      </c>
      <c r="X29" s="171">
        <v>0</v>
      </c>
      <c r="Y29" s="328">
        <v>13.658970699271755457875769630</v>
      </c>
      <c r="Z29" s="327">
        <v>-17.09401709405110672802979100</v>
      </c>
      <c r="AA29" s="171">
        <v>-4.3046357615691241612209947800</v>
      </c>
      <c r="AB29" s="328">
        <v>2.3313083063986794604022859900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24</v>
      </c>
      <c r="C30" s="352" t="s">
        <v>53</v>
      </c>
      <c r="D30" s="359">
        <v>90.15151515151515151515151515</v>
      </c>
      <c r="E30" s="170">
        <v>90.11627906976744186046511628</v>
      </c>
      <c r="F30" s="360">
        <v>72.021342121499794828744800970</v>
      </c>
      <c r="G30" s="359">
        <v>0.7575757575757575757575757600</v>
      </c>
      <c r="H30" s="170">
        <v>0.290697674418604651162790700</v>
      </c>
      <c r="I30" s="360">
        <v>9.291933811413170250856091540</v>
      </c>
      <c r="J30" s="170">
        <v>0</v>
      </c>
      <c r="K30" s="170">
        <v>0</v>
      </c>
      <c r="L30" s="360">
        <v>7.7806663046013712774004629300</v>
      </c>
      <c r="M30" s="359">
        <v>90.90909090909090909090909091</v>
      </c>
      <c r="N30" s="170">
        <v>90.40697674418604651162790698</v>
      </c>
      <c r="O30" s="360">
        <v>89.09394223751433635700135544</v>
      </c>
      <c r="P30" s="4"/>
      <c r="Q30" s="359">
        <v>-3.2520325203063255998413605900</v>
      </c>
      <c r="R30" s="170">
        <v>-1.898734177237542060567211700</v>
      </c>
      <c r="S30" s="360">
        <v>-2.5561643855415135178539287700</v>
      </c>
      <c r="T30" s="359">
        <v>0</v>
      </c>
      <c r="U30" s="170">
        <v>-83.33333333322222222222148135</v>
      </c>
      <c r="V30" s="360">
        <v>48.446283676097193254628545160</v>
      </c>
      <c r="W30" s="170">
        <v>0</v>
      </c>
      <c r="X30" s="170">
        <v>0</v>
      </c>
      <c r="Y30" s="360">
        <v>27.945107842362326829747611840</v>
      </c>
      <c r="Z30" s="359">
        <v>-2.4390243902248661511005316800</v>
      </c>
      <c r="AA30" s="170">
        <v>-3.4161490683325797615832712900</v>
      </c>
      <c r="AB30" s="360">
        <v>3.2957300420219850885879520700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25</v>
      </c>
      <c r="C31" s="351" t="s">
        <v>49</v>
      </c>
      <c r="D31" s="327">
        <v>96.21212121212121212121212121</v>
      </c>
      <c r="E31" s="171">
        <v>81.10465116279069767441860465</v>
      </c>
      <c r="F31" s="328">
        <v>62.906674557080556767020546530</v>
      </c>
      <c r="G31" s="327">
        <v>0</v>
      </c>
      <c r="H31" s="171">
        <v>0.290697674418604651162790700</v>
      </c>
      <c r="I31" s="328">
        <v>6.1317382116201080238772939100</v>
      </c>
      <c r="J31" s="171">
        <v>0</v>
      </c>
      <c r="K31" s="171">
        <v>0</v>
      </c>
      <c r="L31" s="328">
        <v>6.8869339104777316224062988600</v>
      </c>
      <c r="M31" s="327">
        <v>96.21212121212121212121212121</v>
      </c>
      <c r="N31" s="171">
        <v>81.39534883720930232558139535</v>
      </c>
      <c r="O31" s="328">
        <v>75.925346679178396413304139300</v>
      </c>
      <c r="P31" s="4"/>
      <c r="Q31" s="327">
        <v>4.9586776859122464312547095900</v>
      </c>
      <c r="R31" s="171">
        <v>-8.524590163960819134641217860</v>
      </c>
      <c r="S31" s="328">
        <v>-4.2572227847143980326088659800</v>
      </c>
      <c r="T31" s="327">
        <v>0</v>
      </c>
      <c r="U31" s="171">
        <v>-66.666666668355555555469984920</v>
      </c>
      <c r="V31" s="328">
        <v>20.647182635575671024653757250</v>
      </c>
      <c r="W31" s="171">
        <v>0</v>
      </c>
      <c r="X31" s="171">
        <v>0</v>
      </c>
      <c r="Y31" s="328">
        <v>13.418278879915091442987170940</v>
      </c>
      <c r="Z31" s="327">
        <v>4.9586776859122464312547095900</v>
      </c>
      <c r="AA31" s="171">
        <v>-9.090909090878394332939777120</v>
      </c>
      <c r="AB31" s="328">
        <v>-1.2139385731607354344567513500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26</v>
      </c>
      <c r="C32" s="352" t="s">
        <v>47</v>
      </c>
      <c r="D32" s="359">
        <v>73.484848484848484848484848480</v>
      </c>
      <c r="E32" s="170">
        <v>63.953488372093023255813953490</v>
      </c>
      <c r="F32" s="360">
        <v>41.486951807327837247927976510</v>
      </c>
      <c r="G32" s="359">
        <v>0</v>
      </c>
      <c r="H32" s="170">
        <v>0</v>
      </c>
      <c r="I32" s="360">
        <v>4.6771197701486125461078694400</v>
      </c>
      <c r="J32" s="170">
        <v>0</v>
      </c>
      <c r="K32" s="170">
        <v>0</v>
      </c>
      <c r="L32" s="360">
        <v>6.9482211969996215228237098900</v>
      </c>
      <c r="M32" s="359">
        <v>73.484848484848484848484848480</v>
      </c>
      <c r="N32" s="170">
        <v>63.953488372093023255813953490</v>
      </c>
      <c r="O32" s="360">
        <v>53.112292774476071316859555830</v>
      </c>
      <c r="P32" s="4"/>
      <c r="Q32" s="359">
        <v>-4.9019607842801614763552361400</v>
      </c>
      <c r="R32" s="170">
        <v>-10.569105691085993786767126500</v>
      </c>
      <c r="S32" s="360">
        <v>-10.363572172760639135837300510</v>
      </c>
      <c r="T32" s="359">
        <v>0</v>
      </c>
      <c r="U32" s="170">
        <v>-100</v>
      </c>
      <c r="V32" s="360">
        <v>82.16947851775380688428089578</v>
      </c>
      <c r="W32" s="170">
        <v>0</v>
      </c>
      <c r="X32" s="170">
        <v>0</v>
      </c>
      <c r="Y32" s="360">
        <v>29.480913123720789983377910810</v>
      </c>
      <c r="Z32" s="359">
        <v>-4.9019607842801614763552361400</v>
      </c>
      <c r="AA32" s="170">
        <v>-11.646586345341784809922402730</v>
      </c>
      <c r="AB32" s="360">
        <v>-2.0380221661719130670202993700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27</v>
      </c>
      <c r="C33" s="351" t="s">
        <v>48</v>
      </c>
      <c r="D33" s="327">
        <v>66.666666666666666666666666670</v>
      </c>
      <c r="E33" s="171">
        <v>55.232558139534883720930232560</v>
      </c>
      <c r="F33" s="328">
        <v>43.108009230831539667421621360</v>
      </c>
      <c r="G33" s="327">
        <v>0</v>
      </c>
      <c r="H33" s="171">
        <v>0</v>
      </c>
      <c r="I33" s="328">
        <v>5.5486659594091772433124754300</v>
      </c>
      <c r="J33" s="171">
        <v>0</v>
      </c>
      <c r="K33" s="171">
        <v>0</v>
      </c>
      <c r="L33" s="328">
        <v>6.8745520019185991147064203600</v>
      </c>
      <c r="M33" s="327">
        <v>66.666666666666666666666666670</v>
      </c>
      <c r="N33" s="171">
        <v>55.232558139534883720930232560</v>
      </c>
      <c r="O33" s="328">
        <v>55.531227192159316025440517150</v>
      </c>
      <c r="P33" s="4"/>
      <c r="Q33" s="327">
        <v>-9.278350515404059942608101640</v>
      </c>
      <c r="R33" s="171">
        <v>-15.178571428613839285714264510</v>
      </c>
      <c r="S33" s="328">
        <v>-14.764947547256307184756407640</v>
      </c>
      <c r="T33" s="327">
        <v>0</v>
      </c>
      <c r="U33" s="171">
        <v>-100</v>
      </c>
      <c r="V33" s="328">
        <v>103.45078935546342169482993024</v>
      </c>
      <c r="W33" s="171">
        <v>0</v>
      </c>
      <c r="X33" s="171">
        <v>0</v>
      </c>
      <c r="Y33" s="328">
        <v>20.686404109596901493934426560</v>
      </c>
      <c r="Z33" s="327">
        <v>-9.278350515404059942608101640</v>
      </c>
      <c r="AA33" s="171">
        <v>-16.299559471336140813910603040</v>
      </c>
      <c r="AB33" s="328">
        <v>-5.8775770154975640624341633500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28</v>
      </c>
      <c r="C34" s="352" t="s">
        <v>50</v>
      </c>
      <c r="D34" s="359">
        <v>72.727272727272727272727272730</v>
      </c>
      <c r="E34" s="170">
        <v>61.046511627906976744186046510</v>
      </c>
      <c r="F34" s="360">
        <v>49.486323533848995282735034930</v>
      </c>
      <c r="G34" s="359">
        <v>0</v>
      </c>
      <c r="H34" s="170">
        <v>0</v>
      </c>
      <c r="I34" s="360">
        <v>8.037736189255529879727590540</v>
      </c>
      <c r="J34" s="170">
        <v>0</v>
      </c>
      <c r="K34" s="170">
        <v>0</v>
      </c>
      <c r="L34" s="360">
        <v>5.4829259926706807597561212700</v>
      </c>
      <c r="M34" s="359">
        <v>72.727272727272727272727272730</v>
      </c>
      <c r="N34" s="170">
        <v>61.046511627906976744186046510</v>
      </c>
      <c r="O34" s="360">
        <v>63.006985715775205922218746740</v>
      </c>
      <c r="P34" s="4"/>
      <c r="Q34" s="359">
        <v>4.3478260869111531190926473300</v>
      </c>
      <c r="R34" s="170">
        <v>-8.296943231495509238954221010</v>
      </c>
      <c r="S34" s="360">
        <v>-4.7680277912324318513225751800</v>
      </c>
      <c r="T34" s="359">
        <v>0</v>
      </c>
      <c r="U34" s="170">
        <v>-100</v>
      </c>
      <c r="V34" s="360">
        <v>89.21856924514494414521607566</v>
      </c>
      <c r="W34" s="170">
        <v>0</v>
      </c>
      <c r="X34" s="170">
        <v>0</v>
      </c>
      <c r="Y34" s="360">
        <v>-15.280620046551637434433830120</v>
      </c>
      <c r="Z34" s="359">
        <v>4.3478260869111531190926473300</v>
      </c>
      <c r="AA34" s="170">
        <v>-11.016949152554438379775924820</v>
      </c>
      <c r="AB34" s="360">
        <v>0.5157315445143697254038311400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29</v>
      </c>
      <c r="C35" s="351" t="s">
        <v>51</v>
      </c>
      <c r="D35" s="327">
        <v>75.757575757575757575757575760</v>
      </c>
      <c r="E35" s="171">
        <v>73.255813953488372093023255810</v>
      </c>
      <c r="F35" s="328">
        <v>52.727211020016097658856556880</v>
      </c>
      <c r="G35" s="327">
        <v>0</v>
      </c>
      <c r="H35" s="171">
        <v>0</v>
      </c>
      <c r="I35" s="328">
        <v>8.898490274553602143835190200</v>
      </c>
      <c r="J35" s="171">
        <v>0</v>
      </c>
      <c r="K35" s="171">
        <v>0</v>
      </c>
      <c r="L35" s="328">
        <v>6.9072983926370565313714371500</v>
      </c>
      <c r="M35" s="327">
        <v>75.757575757575757575757575760</v>
      </c>
      <c r="N35" s="171">
        <v>73.255813953488372093023255810</v>
      </c>
      <c r="O35" s="328">
        <v>68.532999687206756334063184240</v>
      </c>
      <c r="P35" s="4"/>
      <c r="Q35" s="327">
        <v>4.1666666666276041666666813200</v>
      </c>
      <c r="R35" s="171">
        <v>-9.025270758175292262377949290</v>
      </c>
      <c r="S35" s="328">
        <v>-8.046458903087006004839966430</v>
      </c>
      <c r="T35" s="327">
        <v>0</v>
      </c>
      <c r="U35" s="171">
        <v>0</v>
      </c>
      <c r="V35" s="328">
        <v>49.365647738182756111043868650</v>
      </c>
      <c r="W35" s="171">
        <v>0</v>
      </c>
      <c r="X35" s="171">
        <v>0</v>
      </c>
      <c r="Y35" s="328">
        <v>9.512761120032842323153873880</v>
      </c>
      <c r="Z35" s="327">
        <v>4.1666666666276041666666813200</v>
      </c>
      <c r="AA35" s="171">
        <v>-9.025270758175292262377949290</v>
      </c>
      <c r="AB35" s="328">
        <v>-1.5414830075628558247113650600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30</v>
      </c>
      <c r="C36" s="352" t="s">
        <v>52</v>
      </c>
      <c r="D36" s="359">
        <v>73.484848484848484848484848480</v>
      </c>
      <c r="E36" s="170">
        <v>86.91860465116279069767441860</v>
      </c>
      <c r="F36" s="360">
        <v>61.117341335113063676159145730</v>
      </c>
      <c r="G36" s="359">
        <v>0</v>
      </c>
      <c r="H36" s="170">
        <v>0</v>
      </c>
      <c r="I36" s="360">
        <v>10.548579334518855522499141090</v>
      </c>
      <c r="J36" s="170">
        <v>0</v>
      </c>
      <c r="K36" s="170">
        <v>0</v>
      </c>
      <c r="L36" s="360">
        <v>7.074565202539908556528867800</v>
      </c>
      <c r="M36" s="359">
        <v>73.484848484848484848484848480</v>
      </c>
      <c r="N36" s="170">
        <v>86.91860465116279069767441860</v>
      </c>
      <c r="O36" s="360">
        <v>78.740485872171827755187154620</v>
      </c>
      <c r="P36" s="4"/>
      <c r="Q36" s="359">
        <v>-15.652173913031742911153117470</v>
      </c>
      <c r="R36" s="170">
        <v>4.1811846690389151258361996200</v>
      </c>
      <c r="S36" s="360">
        <v>-10.169183032671437579950487360</v>
      </c>
      <c r="T36" s="359">
        <v>0</v>
      </c>
      <c r="U36" s="170">
        <v>-100</v>
      </c>
      <c r="V36" s="360">
        <v>38.379698548323396515585751260</v>
      </c>
      <c r="W36" s="170">
        <v>0</v>
      </c>
      <c r="X36" s="170">
        <v>0</v>
      </c>
      <c r="Y36" s="360">
        <v>29.336648338209594878883353430</v>
      </c>
      <c r="Z36" s="359">
        <v>-15.652173913031742911153117470</v>
      </c>
      <c r="AA36" s="170">
        <v>0.6734006734305025564284911900</v>
      </c>
      <c r="AB36" s="360">
        <v>-2.9439272329302701044824888900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31</v>
      </c>
      <c r="C37" s="353" t="s">
        <v>53</v>
      </c>
      <c r="D37" s="329">
        <v>72.727272727272727272727272730</v>
      </c>
      <c r="E37" s="330">
        <v>83.72093023255813953488372093</v>
      </c>
      <c r="F37" s="332">
        <v>65.381578703269487843353212440</v>
      </c>
      <c r="G37" s="329">
        <v>0</v>
      </c>
      <c r="H37" s="330">
        <v>0</v>
      </c>
      <c r="I37" s="332">
        <v>8.452584233042545089337615650</v>
      </c>
      <c r="J37" s="330">
        <v>0</v>
      </c>
      <c r="K37" s="330">
        <v>0</v>
      </c>
      <c r="L37" s="332">
        <v>7.5233597411981328477283148600</v>
      </c>
      <c r="M37" s="329">
        <v>72.727272727272727272727272730</v>
      </c>
      <c r="N37" s="330">
        <v>83.72093023255813953488372093</v>
      </c>
      <c r="O37" s="332">
        <v>81.35752267751016578041914295</v>
      </c>
      <c r="P37" s="4"/>
      <c r="Q37" s="329">
        <v>-20.661157024822238918106676210</v>
      </c>
      <c r="R37" s="330">
        <v>-4.9504950494647975688657805100</v>
      </c>
      <c r="S37" s="332">
        <v>-4.4295311744909887747628853700</v>
      </c>
      <c r="T37" s="329">
        <v>0</v>
      </c>
      <c r="U37" s="330">
        <v>-100</v>
      </c>
      <c r="V37" s="332">
        <v>14.827335667375025485832670250</v>
      </c>
      <c r="W37" s="330">
        <v>0</v>
      </c>
      <c r="X37" s="330">
        <v>0</v>
      </c>
      <c r="Y37" s="332">
        <v>0.3896621997839571514850726100</v>
      </c>
      <c r="Z37" s="329">
        <v>-20.661157024822238918106676210</v>
      </c>
      <c r="AA37" s="330">
        <v>-6.7961165048036949759637767700</v>
      </c>
      <c r="AB37" s="332">
        <v>-2.2934195643193015147615159700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76.704545454545454545454545450</v>
      </c>
      <c r="E39" s="355">
        <v>70.712209302325581395348837210</v>
      </c>
      <c r="F39" s="356">
        <v>52.599218660631702464843099460</v>
      </c>
      <c r="G39" s="354">
        <v>8.712121212121212121212121210</v>
      </c>
      <c r="H39" s="355">
        <v>0.7994186046511627906976744200</v>
      </c>
      <c r="I39" s="356">
        <v>10.051799531116826556006695480</v>
      </c>
      <c r="J39" s="355">
        <v>0</v>
      </c>
      <c r="K39" s="355">
        <v>0</v>
      </c>
      <c r="L39" s="356">
        <v>7.383389065054724028884330800</v>
      </c>
      <c r="M39" s="354">
        <v>85.41666666666666666666666667</v>
      </c>
      <c r="N39" s="355">
        <v>71.511627906976744186046511630</v>
      </c>
      <c r="O39" s="356">
        <v>70.034407256803253049734125740</v>
      </c>
      <c r="P39" s="4"/>
      <c r="Q39" s="354">
        <v>3.0534351145289901520890452400</v>
      </c>
      <c r="R39" s="355">
        <v>-12.478397983742138189285818210</v>
      </c>
      <c r="S39" s="356">
        <v>-4.5311942061447570128560164800</v>
      </c>
      <c r="T39" s="354">
        <v>-4.1666666665708333333332375200</v>
      </c>
      <c r="U39" s="355">
        <v>136.96658094693359478573393634</v>
      </c>
      <c r="V39" s="356">
        <v>6.2964728778813369838484991100</v>
      </c>
      <c r="W39" s="355">
        <v>0</v>
      </c>
      <c r="X39" s="355">
        <v>0</v>
      </c>
      <c r="Y39" s="356">
        <v>16.167970183755208221205743660</v>
      </c>
      <c r="Z39" s="354">
        <v>2.2675736961785182100051013800</v>
      </c>
      <c r="AA39" s="355">
        <v>-11.856985877360807096513317540</v>
      </c>
      <c r="AB39" s="356">
        <v>-1.2318425800852359219999183600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64.393939393939393939393939390</v>
      </c>
      <c r="E40" s="171">
        <v>63.372093023255813953488372090</v>
      </c>
      <c r="F40" s="328">
        <v>44.373205042163604070665996250</v>
      </c>
      <c r="G40" s="327">
        <v>8.522727272727272727272727270</v>
      </c>
      <c r="H40" s="171">
        <v>1.8895348837209302325581395300</v>
      </c>
      <c r="I40" s="328">
        <v>11.732979509625468254660550800</v>
      </c>
      <c r="J40" s="171">
        <v>0</v>
      </c>
      <c r="K40" s="171">
        <v>0</v>
      </c>
      <c r="L40" s="328">
        <v>6.9816060852665006076314343900</v>
      </c>
      <c r="M40" s="327">
        <v>72.916666666666666666666666670</v>
      </c>
      <c r="N40" s="171">
        <v>65.261627906976744186046511630</v>
      </c>
      <c r="O40" s="328">
        <v>63.087790637055572932957981440</v>
      </c>
      <c r="P40" s="4"/>
      <c r="Q40" s="327">
        <v>-20.187793427212061098988291920</v>
      </c>
      <c r="R40" s="171">
        <v>-9.539089270520422596262118200</v>
      </c>
      <c r="S40" s="328">
        <v>-7.2539997150583607083367189200</v>
      </c>
      <c r="T40" s="327">
        <v>0</v>
      </c>
      <c r="U40" s="171">
        <v>766.66666672213333333688319776</v>
      </c>
      <c r="V40" s="328">
        <v>5.7040585775940403188527451600</v>
      </c>
      <c r="W40" s="171">
        <v>0</v>
      </c>
      <c r="X40" s="171">
        <v>0</v>
      </c>
      <c r="Y40" s="328">
        <v>20.356394895209809362008635130</v>
      </c>
      <c r="Z40" s="327">
        <v>-9.624413145519539773854389380</v>
      </c>
      <c r="AA40" s="171">
        <v>-7.1308863565092898325662816900</v>
      </c>
      <c r="AB40" s="328">
        <v>-2.5587048142393326675882950700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58.143939393939393939393939390</v>
      </c>
      <c r="E41" s="170">
        <v>58.357558139534883720930232560</v>
      </c>
      <c r="F41" s="360">
        <v>45.147979334114143167119863870</v>
      </c>
      <c r="G41" s="359">
        <v>11.174242424242424242424242420</v>
      </c>
      <c r="H41" s="170">
        <v>5.7412790697674418604651162800</v>
      </c>
      <c r="I41" s="360">
        <v>12.781467465582930788114238370</v>
      </c>
      <c r="J41" s="170">
        <v>0</v>
      </c>
      <c r="K41" s="170">
        <v>0</v>
      </c>
      <c r="L41" s="360">
        <v>7.0872355066317760082733526700</v>
      </c>
      <c r="M41" s="359">
        <v>69.318181818181818181818181820</v>
      </c>
      <c r="N41" s="170">
        <v>64.098837209302325581395348840</v>
      </c>
      <c r="O41" s="360">
        <v>65.016682306328849963507454910</v>
      </c>
      <c r="P41" s="4"/>
      <c r="Q41" s="359">
        <v>-26.378896882519427910908674350</v>
      </c>
      <c r="R41" s="170">
        <v>-9.702153469586536997970005560</v>
      </c>
      <c r="S41" s="360">
        <v>-10.419933898207963001661671640</v>
      </c>
      <c r="T41" s="359">
        <v>883.3333333018666666676735996</v>
      </c>
      <c r="U41" s="170">
        <v>887.5000000632000000040448002</v>
      </c>
      <c r="V41" s="360">
        <v>-2.5300180368860857933565024200</v>
      </c>
      <c r="W41" s="170">
        <v>0</v>
      </c>
      <c r="X41" s="170">
        <v>0</v>
      </c>
      <c r="Y41" s="360">
        <v>16.264067521636182588790450930</v>
      </c>
      <c r="Z41" s="359">
        <v>-13.475177304925265328705781680</v>
      </c>
      <c r="AA41" s="170">
        <v>-1.7028407276684540628782687500</v>
      </c>
      <c r="AB41" s="360">
        <v>-6.5968029288537938307145719400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66.287878787878787878787878790</v>
      </c>
      <c r="E42" s="171">
        <v>59.3750000000000000000000000</v>
      </c>
      <c r="F42" s="328">
        <v>48.636918682794850656857720790</v>
      </c>
      <c r="G42" s="327">
        <v>14.204545454545454545454545450</v>
      </c>
      <c r="H42" s="171">
        <v>7.5581395348837209302325581400</v>
      </c>
      <c r="I42" s="328">
        <v>14.314030740575553616558001440</v>
      </c>
      <c r="J42" s="171">
        <v>0</v>
      </c>
      <c r="K42" s="171">
        <v>0</v>
      </c>
      <c r="L42" s="328">
        <v>6.6246944093894747798633936100</v>
      </c>
      <c r="M42" s="327">
        <v>80.49242424242424242424242424</v>
      </c>
      <c r="N42" s="171">
        <v>66.933139534883720930232558140</v>
      </c>
      <c r="O42" s="328">
        <v>69.575643832759879053279115840</v>
      </c>
      <c r="P42" s="4"/>
      <c r="Q42" s="327">
        <v>-16.864608075958948550278967910</v>
      </c>
      <c r="R42" s="171">
        <v>-11.316663471606071368705178140</v>
      </c>
      <c r="S42" s="328">
        <v>-7.0889801214057811515027694700</v>
      </c>
      <c r="T42" s="327">
        <v>341.17647058782006920415263979</v>
      </c>
      <c r="U42" s="171">
        <v>221.09645567914981086190749335</v>
      </c>
      <c r="V42" s="328">
        <v>7.1290957904038774065898221400</v>
      </c>
      <c r="W42" s="171">
        <v>0</v>
      </c>
      <c r="X42" s="171">
        <v>0</v>
      </c>
      <c r="Y42" s="328">
        <v>7.4563610702561433348542576200</v>
      </c>
      <c r="Z42" s="327">
        <v>-2.9680365296271970976418048600</v>
      </c>
      <c r="AA42" s="171">
        <v>-3.4231199493866833042969653800</v>
      </c>
      <c r="AB42" s="328">
        <v>-3.1982077952912360872462356700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71.590909090909090909090909090</v>
      </c>
      <c r="E43" s="170">
        <v>67.659883720930232558139534880</v>
      </c>
      <c r="F43" s="360">
        <v>54.153914780363838047956374390</v>
      </c>
      <c r="G43" s="359">
        <v>12.878787878787878787878787880</v>
      </c>
      <c r="H43" s="170">
        <v>5.7412790697674418604651162800</v>
      </c>
      <c r="I43" s="360">
        <v>13.232045027420285025746412520</v>
      </c>
      <c r="J43" s="170">
        <v>0</v>
      </c>
      <c r="K43" s="170">
        <v>0</v>
      </c>
      <c r="L43" s="360">
        <v>7.1448503267169717026500438700</v>
      </c>
      <c r="M43" s="359">
        <v>84.46969696969696969696969697</v>
      </c>
      <c r="N43" s="170">
        <v>73.401162790697674418604651160</v>
      </c>
      <c r="O43" s="360">
        <v>74.530810134501094776352830780</v>
      </c>
      <c r="P43" s="4"/>
      <c r="Q43" s="359">
        <v>-9.569377990468698060941812220</v>
      </c>
      <c r="R43" s="170">
        <v>-11.454895427067686555613193450</v>
      </c>
      <c r="S43" s="360">
        <v>-3.6563377092045740518224107600</v>
      </c>
      <c r="T43" s="359">
        <v>325.00000000042500000000042504</v>
      </c>
      <c r="U43" s="170">
        <v>211.15811242363799835581532626</v>
      </c>
      <c r="V43" s="360">
        <v>12.149331079263642453546330880</v>
      </c>
      <c r="W43" s="170">
        <v>0</v>
      </c>
      <c r="X43" s="170">
        <v>0</v>
      </c>
      <c r="Y43" s="360">
        <v>20.378516246517861172571910420</v>
      </c>
      <c r="Z43" s="359">
        <v>2.7649769584874599163286682200</v>
      </c>
      <c r="AA43" s="170">
        <v>-6.2062270607329752629321500200</v>
      </c>
      <c r="AB43" s="360">
        <v>0.7949169572418489276565903300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75.189393939393939393939393940</v>
      </c>
      <c r="E44" s="171">
        <v>80.59593023255813953488372093</v>
      </c>
      <c r="F44" s="328">
        <v>62.763440363180786876669894330</v>
      </c>
      <c r="G44" s="327">
        <v>3.0303030303030303030303030300</v>
      </c>
      <c r="H44" s="171">
        <v>0.6540697674418604651162790700</v>
      </c>
      <c r="I44" s="328">
        <v>10.529131508596367227697160370</v>
      </c>
      <c r="J44" s="171">
        <v>0</v>
      </c>
      <c r="K44" s="171">
        <v>0</v>
      </c>
      <c r="L44" s="328">
        <v>7.4054783836706615561480115100</v>
      </c>
      <c r="M44" s="327">
        <v>78.219696969696969696969696970</v>
      </c>
      <c r="N44" s="171">
        <v>81.2500000000000000000000000</v>
      </c>
      <c r="O44" s="328">
        <v>80.69805025544781566051506621</v>
      </c>
      <c r="P44" s="4"/>
      <c r="Q44" s="327">
        <v>-10.383747178313387584140553210</v>
      </c>
      <c r="R44" s="171">
        <v>-3.3393381649286760572857769400</v>
      </c>
      <c r="S44" s="328">
        <v>-5.7505745372847801528845090100</v>
      </c>
      <c r="T44" s="327">
        <v>-42.857142856816326530610379010</v>
      </c>
      <c r="U44" s="171">
        <v>-63.631979939389417477415575090</v>
      </c>
      <c r="V44" s="328">
        <v>25.619669972756668036627487870</v>
      </c>
      <c r="W44" s="171">
        <v>0</v>
      </c>
      <c r="X44" s="171">
        <v>0</v>
      </c>
      <c r="Y44" s="328">
        <v>20.020741842249118582092288550</v>
      </c>
      <c r="Z44" s="327">
        <v>-12.314225053033875613615134030</v>
      </c>
      <c r="AA44" s="171">
        <v>-4.6123646640758301407639057100</v>
      </c>
      <c r="AB44" s="328">
        <v>-0.5506014963653577889088829600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83.52272727272727272727272727</v>
      </c>
      <c r="E45" s="365">
        <v>83.72093023255813953488372093</v>
      </c>
      <c r="F45" s="366">
        <v>67.477625099453110007498189770</v>
      </c>
      <c r="G45" s="364">
        <v>2.8409090909090909090909090900</v>
      </c>
      <c r="H45" s="365">
        <v>0.3633720930232558139534883700</v>
      </c>
      <c r="I45" s="366">
        <v>8.195591257917897847893842720</v>
      </c>
      <c r="J45" s="365">
        <v>0</v>
      </c>
      <c r="K45" s="365">
        <v>0</v>
      </c>
      <c r="L45" s="366">
        <v>7.808693766703645465429571100</v>
      </c>
      <c r="M45" s="364">
        <v>86.36363636363636363636363636</v>
      </c>
      <c r="N45" s="365">
        <v>84.08430232558139534883720930</v>
      </c>
      <c r="O45" s="366">
        <v>83.48191012407465332082160359</v>
      </c>
      <c r="P45" s="4"/>
      <c r="Q45" s="364">
        <v>-2.2172949002598885944513398200</v>
      </c>
      <c r="R45" s="365">
        <v>-2.652580375494851058359203400</v>
      </c>
      <c r="S45" s="366">
        <v>-1.3946006213712818392791920200</v>
      </c>
      <c r="T45" s="364">
        <v>7.1428571434693877551055393200</v>
      </c>
      <c r="U45" s="365">
        <v>-64.327094473141128269136669050</v>
      </c>
      <c r="V45" s="366">
        <v>10.89004725689817371901079200</v>
      </c>
      <c r="W45" s="365">
        <v>0</v>
      </c>
      <c r="X45" s="365">
        <v>0</v>
      </c>
      <c r="Y45" s="366">
        <v>18.253726669223634289406547830</v>
      </c>
      <c r="Z45" s="364">
        <v>-1.935483870987987513007279900</v>
      </c>
      <c r="AA45" s="365">
        <v>-3.3745112276758928246459790400</v>
      </c>
      <c r="AB45" s="366">
        <v>1.2809751579722340179598551500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75.865800865800865800865800870</v>
      </c>
      <c r="E47" s="355">
        <v>72.176079734219269102990033220</v>
      </c>
      <c r="F47" s="356">
        <v>53.744870026783939734782013480</v>
      </c>
      <c r="G47" s="354">
        <v>0</v>
      </c>
      <c r="H47" s="355">
        <v>0.041528239202657807308970100</v>
      </c>
      <c r="I47" s="356">
        <v>7.4707019960783472069567394700</v>
      </c>
      <c r="J47" s="355">
        <v>0</v>
      </c>
      <c r="K47" s="355">
        <v>0</v>
      </c>
      <c r="L47" s="356">
        <v>6.8139794912059615650458814500</v>
      </c>
      <c r="M47" s="354">
        <v>75.865800865800865800865800870</v>
      </c>
      <c r="N47" s="355">
        <v>72.217607973421926910299003320</v>
      </c>
      <c r="O47" s="356">
        <v>68.029551514068248506784634400</v>
      </c>
      <c r="P47" s="4"/>
      <c r="Q47" s="354">
        <v>-5.7795698924959135449184821700</v>
      </c>
      <c r="R47" s="355">
        <v>-6.7816343903205514125641656600</v>
      </c>
      <c r="S47" s="356">
        <v>-7.8457627592559116391553773500</v>
      </c>
      <c r="T47" s="354">
        <v>0</v>
      </c>
      <c r="U47" s="355">
        <v>-96.84916102582142140311998823</v>
      </c>
      <c r="V47" s="356">
        <v>47.101412154689006839448341580</v>
      </c>
      <c r="W47" s="355">
        <v>0</v>
      </c>
      <c r="X47" s="355">
        <v>0</v>
      </c>
      <c r="Y47" s="356">
        <v>11.266779473701591589762754590</v>
      </c>
      <c r="Z47" s="354">
        <v>-5.7795698924959135449184821700</v>
      </c>
      <c r="AA47" s="355">
        <v>-8.289154598973897595482358190</v>
      </c>
      <c r="AB47" s="356">
        <v>-2.1483770110664893479617655900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70.833333333333333333333333330</v>
      </c>
      <c r="E48" s="171">
        <v>69.113372093023255813953488370</v>
      </c>
      <c r="F48" s="328">
        <v>53.593185994671719327373019840</v>
      </c>
      <c r="G48" s="327">
        <v>8.766233766233766233766233770</v>
      </c>
      <c r="H48" s="171">
        <v>3.249584717607973421926910300</v>
      </c>
      <c r="I48" s="328">
        <v>11.548149291547904188096700240</v>
      </c>
      <c r="J48" s="171">
        <v>0</v>
      </c>
      <c r="K48" s="171">
        <v>0</v>
      </c>
      <c r="L48" s="328">
        <v>7.2051353633476791641257339900</v>
      </c>
      <c r="M48" s="327">
        <v>79.59956709956709956709956710</v>
      </c>
      <c r="N48" s="171">
        <v>72.362956810631229235880398670</v>
      </c>
      <c r="O48" s="328">
        <v>72.346470649567302679595454070</v>
      </c>
      <c r="P48" s="4"/>
      <c r="Q48" s="327">
        <v>-11.822162344238375280389780320</v>
      </c>
      <c r="R48" s="171">
        <v>-8.328818329122982348297120040</v>
      </c>
      <c r="S48" s="328">
        <v>-5.4793924652058311032745301200</v>
      </c>
      <c r="T48" s="327">
        <v>151.16279069477728501896256910</v>
      </c>
      <c r="U48" s="171">
        <v>178.78269466348113255966904601</v>
      </c>
      <c r="V48" s="328">
        <v>8.349254822717734370074999640</v>
      </c>
      <c r="W48" s="171">
        <v>0</v>
      </c>
      <c r="X48" s="171">
        <v>0</v>
      </c>
      <c r="Y48" s="328">
        <v>16.951791060708059601800781550</v>
      </c>
      <c r="Z48" s="327">
        <v>-5.0355067785143385369931622200</v>
      </c>
      <c r="AA48" s="171">
        <v>-5.4799647184441243218153810500</v>
      </c>
      <c r="AB48" s="328">
        <v>-1.5949181635793243660877814700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71.334310850439882697947214080</v>
      </c>
      <c r="E49" s="365">
        <v>70.578375179720230021583800690</v>
      </c>
      <c r="F49" s="366">
        <v>54.491309870854793413725772780</v>
      </c>
      <c r="G49" s="364">
        <v>9.921798631476050830889540570</v>
      </c>
      <c r="H49" s="365">
        <v>3.9621349478116529491588849800</v>
      </c>
      <c r="I49" s="366">
        <v>12.518749433760432660555496910</v>
      </c>
      <c r="J49" s="365">
        <v>0</v>
      </c>
      <c r="K49" s="365">
        <v>0</v>
      </c>
      <c r="L49" s="366">
        <v>7.1912248293679099975064614200</v>
      </c>
      <c r="M49" s="364">
        <v>81.25610948191593352883675464</v>
      </c>
      <c r="N49" s="365">
        <v>74.540510127531882970742685670</v>
      </c>
      <c r="O49" s="366">
        <v>74.201284133983136071787731110</v>
      </c>
      <c r="P49" s="4"/>
      <c r="Q49" s="364">
        <v>-6.5920000000377816678399847100</v>
      </c>
      <c r="R49" s="365">
        <v>-7.4420623316919062144851118600</v>
      </c>
      <c r="S49" s="366">
        <v>-4.1940635380889690671366971500</v>
      </c>
      <c r="T49" s="364">
        <v>17.341040461761682648939595570</v>
      </c>
      <c r="U49" s="365">
        <v>290.24103444042427170767652375</v>
      </c>
      <c r="V49" s="366">
        <v>8.820553662583073557100129360</v>
      </c>
      <c r="W49" s="365">
        <v>0</v>
      </c>
      <c r="X49" s="365">
        <v>0</v>
      </c>
      <c r="Y49" s="366">
        <v>17.440006946643063328767802580</v>
      </c>
      <c r="Z49" s="364">
        <v>-4.206280610751147861264099400</v>
      </c>
      <c r="AA49" s="365">
        <v>-3.530519565026377665064932800</v>
      </c>
      <c r="AB49" s="366">
        <v>-0.4064489123950002493785318800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4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180</v>
      </c>
      <c r="B4" s="442"/>
      <c r="C4" s="211"/>
      <c r="D4" s="212"/>
      <c r="E4" s="212"/>
      <c r="F4" s="212"/>
      <c r="G4" s="212"/>
      <c r="H4" s="212"/>
      <c r="I4" s="212"/>
      <c r="J4" s="212"/>
      <c r="K4" s="212"/>
      <c r="L4" s="212"/>
      <c r="M4" s="212"/>
      <c r="N4" s="212"/>
      <c r="O4" s="212"/>
      <c r="P4" s="212"/>
      <c r="Q4" s="212"/>
      <c r="R4" s="660" t="s">
        <v>182</v>
      </c>
      <c r="S4" s="660"/>
      <c r="T4" s="660"/>
      <c r="U4" s="660"/>
      <c r="V4" s="660"/>
      <c r="W4" s="660"/>
      <c r="X4" s="660"/>
      <c r="Y4" s="660"/>
      <c r="Z4" s="660"/>
      <c r="AA4" s="660"/>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61" t="s">
        <v>21</v>
      </c>
      <c r="E8" s="661"/>
      <c r="F8" s="661"/>
      <c r="G8" s="661" t="s">
        <v>24</v>
      </c>
      <c r="H8" s="661"/>
      <c r="I8" s="661"/>
      <c r="J8" s="661" t="s">
        <v>25</v>
      </c>
      <c r="K8" s="661"/>
      <c r="L8" s="661"/>
      <c r="M8" s="661" t="s">
        <v>23</v>
      </c>
      <c r="N8" s="661"/>
      <c r="O8" s="661"/>
      <c r="Q8" s="661" t="s">
        <v>21</v>
      </c>
      <c r="R8" s="661"/>
      <c r="S8" s="661"/>
      <c r="T8" s="661" t="s">
        <v>24</v>
      </c>
      <c r="U8" s="661"/>
      <c r="V8" s="661"/>
      <c r="W8" s="661" t="s">
        <v>25</v>
      </c>
      <c r="X8" s="661"/>
      <c r="Y8" s="661"/>
      <c r="Z8" s="661" t="s">
        <v>23</v>
      </c>
      <c r="AA8" s="661"/>
      <c r="AB8" s="66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181</v>
      </c>
      <c r="B10" s="342">
        <v>4</v>
      </c>
      <c r="C10" s="343" t="s">
        <v>49</v>
      </c>
      <c r="D10" s="374">
        <v>248.6039603960396039603960396</v>
      </c>
      <c r="E10" s="382">
        <v>354.0132743362831858407079646</v>
      </c>
      <c r="F10" s="375">
        <v>268.12004444754030164560461272</v>
      </c>
      <c r="G10" s="374">
        <v>439</v>
      </c>
      <c r="H10" s="382">
        <v>688.00000000000000000000000</v>
      </c>
      <c r="I10" s="375">
        <v>306.50404301057527622387844846</v>
      </c>
      <c r="J10" s="374">
        <v>0</v>
      </c>
      <c r="K10" s="382">
        <v>0</v>
      </c>
      <c r="L10" s="375">
        <v>178.02837359682682698894474561</v>
      </c>
      <c r="M10" s="374">
        <v>289.93023255813953488372093023</v>
      </c>
      <c r="N10" s="382">
        <v>366.80425531914893617021276597</v>
      </c>
      <c r="O10" s="375">
        <v>268.22478013450594930160372478</v>
      </c>
      <c r="P10" s="4"/>
      <c r="Q10" s="354">
        <v>-30.266746254267312421008593540</v>
      </c>
      <c r="R10" s="355">
        <v>3.111129045995790349527742700</v>
      </c>
      <c r="S10" s="356">
        <v>-4.4605692413479906425690433100</v>
      </c>
      <c r="T10" s="354">
        <v>-4.2921378934459735658809102100</v>
      </c>
      <c r="U10" s="355">
        <v>185.47766226724383419918501113</v>
      </c>
      <c r="V10" s="356">
        <v>-13.618766307052770919713797600</v>
      </c>
      <c r="W10" s="354">
        <v>0</v>
      </c>
      <c r="X10" s="355">
        <v>0</v>
      </c>
      <c r="Y10" s="356">
        <v>6.518831153376211020408842200</v>
      </c>
      <c r="Z10" s="354">
        <v>-27.102415697730294398365331180</v>
      </c>
      <c r="AA10" s="355">
        <v>6.9293224707851701097041461700</v>
      </c>
      <c r="AB10" s="356">
        <v>-6.5668317747071416292514057900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5</v>
      </c>
      <c r="C11" s="345" t="s">
        <v>47</v>
      </c>
      <c r="D11" s="370">
        <v>191.56470588235294117647058824</v>
      </c>
      <c r="E11" s="172">
        <v>221.37799043062200956937799045</v>
      </c>
      <c r="F11" s="371">
        <v>204.35659489627994200190134844</v>
      </c>
      <c r="G11" s="370">
        <v>0</v>
      </c>
      <c r="H11" s="172">
        <v>476.00000000000000000000000006</v>
      </c>
      <c r="I11" s="371">
        <v>235.97149065400808556229105826</v>
      </c>
      <c r="J11" s="370">
        <v>0</v>
      </c>
      <c r="K11" s="172">
        <v>0</v>
      </c>
      <c r="L11" s="371">
        <v>160.0571191649798774140727786</v>
      </c>
      <c r="M11" s="370">
        <v>191.56470588235294117647058824</v>
      </c>
      <c r="N11" s="172">
        <v>240.5309734513274336283185841</v>
      </c>
      <c r="O11" s="371">
        <v>208.01699544764795144157814871</v>
      </c>
      <c r="P11" s="4"/>
      <c r="Q11" s="327">
        <v>7.2720285479295284184869419500</v>
      </c>
      <c r="R11" s="171">
        <v>-17.748496259916339978113900970</v>
      </c>
      <c r="S11" s="328">
        <v>-4.9342272106315227536792277500</v>
      </c>
      <c r="T11" s="327">
        <v>0</v>
      </c>
      <c r="U11" s="171">
        <v>0</v>
      </c>
      <c r="V11" s="328">
        <v>-10.519713719512061374413637570</v>
      </c>
      <c r="W11" s="327">
        <v>0</v>
      </c>
      <c r="X11" s="171">
        <v>0</v>
      </c>
      <c r="Y11" s="328">
        <v>2.8266931958497186847293392900</v>
      </c>
      <c r="Z11" s="327">
        <v>7.2720285479295284184869419500</v>
      </c>
      <c r="AA11" s="171">
        <v>-10.632334208318821090528630060</v>
      </c>
      <c r="AB11" s="328">
        <v>-6.2585304995734678728670538500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6</v>
      </c>
      <c r="C12" s="347" t="s">
        <v>48</v>
      </c>
      <c r="D12" s="378">
        <v>173.10294117647058823529411765</v>
      </c>
      <c r="E12" s="173">
        <v>212.51612903225806451612903226</v>
      </c>
      <c r="F12" s="379">
        <v>206.77852361205281453148503968</v>
      </c>
      <c r="G12" s="378">
        <v>0</v>
      </c>
      <c r="H12" s="173">
        <v>428.03389830508474576271186441</v>
      </c>
      <c r="I12" s="379">
        <v>231.76316192606773392980364544</v>
      </c>
      <c r="J12" s="378">
        <v>0</v>
      </c>
      <c r="K12" s="173">
        <v>0</v>
      </c>
      <c r="L12" s="379">
        <v>154.00587518031772759192229984</v>
      </c>
      <c r="M12" s="378">
        <v>173.10294117647058823529411765</v>
      </c>
      <c r="N12" s="173">
        <v>264.41632653061224489795918368</v>
      </c>
      <c r="O12" s="379">
        <v>206.64245548266166822867853796</v>
      </c>
      <c r="P12" s="4"/>
      <c r="Q12" s="359">
        <v>-10.146849984288731006602926470</v>
      </c>
      <c r="R12" s="170">
        <v>-8.543841701101658335514643820</v>
      </c>
      <c r="S12" s="360">
        <v>-1.5285374150871500083768995400</v>
      </c>
      <c r="T12" s="359">
        <v>-100</v>
      </c>
      <c r="U12" s="170">
        <v>0</v>
      </c>
      <c r="V12" s="360">
        <v>-8.680938802567100180231784680</v>
      </c>
      <c r="W12" s="359">
        <v>0</v>
      </c>
      <c r="X12" s="170">
        <v>0</v>
      </c>
      <c r="Y12" s="360">
        <v>8.596480630034377673826577430</v>
      </c>
      <c r="Z12" s="359">
        <v>-10.759358288763481092656750470</v>
      </c>
      <c r="AA12" s="170">
        <v>13.791369747404807417920895540</v>
      </c>
      <c r="AB12" s="360">
        <v>-4.0998952438694602567802286700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7</v>
      </c>
      <c r="C13" s="345" t="s">
        <v>50</v>
      </c>
      <c r="D13" s="370">
        <v>173.47368421052631578947368421</v>
      </c>
      <c r="E13" s="172">
        <v>213.015</v>
      </c>
      <c r="F13" s="371">
        <v>216.09621696684267078671254659</v>
      </c>
      <c r="G13" s="370">
        <v>269.42857142857142857142857143</v>
      </c>
      <c r="H13" s="172">
        <v>427.75</v>
      </c>
      <c r="I13" s="371">
        <v>237.73605256185253017315198202</v>
      </c>
      <c r="J13" s="370">
        <v>0</v>
      </c>
      <c r="K13" s="172">
        <v>0</v>
      </c>
      <c r="L13" s="371">
        <v>157.27396296703307202366361891</v>
      </c>
      <c r="M13" s="370">
        <v>185.79816513761467889908256881</v>
      </c>
      <c r="N13" s="172">
        <v>276.52816901408450704225352112</v>
      </c>
      <c r="O13" s="371">
        <v>214.8214917452830188679245283</v>
      </c>
      <c r="P13" s="4"/>
      <c r="Q13" s="327">
        <v>-15.652989849028427818756875030</v>
      </c>
      <c r="R13" s="171">
        <v>-4.5961064308125872155332499200</v>
      </c>
      <c r="S13" s="328">
        <v>2.9779581749257901925931101700</v>
      </c>
      <c r="T13" s="327">
        <v>26.492287055667337357478202550</v>
      </c>
      <c r="U13" s="171">
        <v>101.45310709504119251740721230</v>
      </c>
      <c r="V13" s="328">
        <v>-6.0814257907582898139049270400</v>
      </c>
      <c r="W13" s="327">
        <v>0</v>
      </c>
      <c r="X13" s="171">
        <v>0</v>
      </c>
      <c r="Y13" s="328">
        <v>11.487605389651552193574827780</v>
      </c>
      <c r="Z13" s="327">
        <v>-10.130151130147710847990950290</v>
      </c>
      <c r="AA13" s="171">
        <v>24.025731170403492495097790470</v>
      </c>
      <c r="AB13" s="328">
        <v>-0.4553657754033887108924706200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8</v>
      </c>
      <c r="C14" s="347" t="s">
        <v>51</v>
      </c>
      <c r="D14" s="378">
        <v>198.64646464646464646464646465</v>
      </c>
      <c r="E14" s="173">
        <v>231.75119617224880382775119617</v>
      </c>
      <c r="F14" s="379">
        <v>237.63435886402313632558552291</v>
      </c>
      <c r="G14" s="378">
        <v>278.07142857142857142857142857</v>
      </c>
      <c r="H14" s="173">
        <v>425.03030303030303030303030303</v>
      </c>
      <c r="I14" s="379">
        <v>235.23523414986064403003799047</v>
      </c>
      <c r="J14" s="378">
        <v>0</v>
      </c>
      <c r="K14" s="173">
        <v>0</v>
      </c>
      <c r="L14" s="379">
        <v>145.8201646808553625583849925</v>
      </c>
      <c r="M14" s="378">
        <v>208.4867256637168141592920354</v>
      </c>
      <c r="N14" s="173">
        <v>278.13818181818181818181818182</v>
      </c>
      <c r="O14" s="379">
        <v>228.11447721179624664879356568</v>
      </c>
      <c r="P14" s="4"/>
      <c r="Q14" s="359">
        <v>1.2778957104438903154106580200</v>
      </c>
      <c r="R14" s="170">
        <v>-5.6635084703923843660606791700</v>
      </c>
      <c r="S14" s="360">
        <v>9.750676407495309364715966890</v>
      </c>
      <c r="T14" s="359">
        <v>33.327625326426644976240421250</v>
      </c>
      <c r="U14" s="170">
        <v>100.17050000089157910865627761</v>
      </c>
      <c r="V14" s="360">
        <v>4.723839710436757670252049400</v>
      </c>
      <c r="W14" s="359">
        <v>0</v>
      </c>
      <c r="X14" s="170">
        <v>0</v>
      </c>
      <c r="Y14" s="360">
        <v>3.4349201196167357158449520100</v>
      </c>
      <c r="Z14" s="359">
        <v>5.3743199729271664520023846900</v>
      </c>
      <c r="AA14" s="170">
        <v>13.647052106614023228617310140</v>
      </c>
      <c r="AB14" s="360">
        <v>7.2727355295351328788353769200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9</v>
      </c>
      <c r="C15" s="345" t="s">
        <v>52</v>
      </c>
      <c r="D15" s="370">
        <v>263.2967032967032967032967033</v>
      </c>
      <c r="E15" s="172">
        <v>264.18145161290322580645161292</v>
      </c>
      <c r="F15" s="371">
        <v>238.35438627746454279812619179</v>
      </c>
      <c r="G15" s="370">
        <v>368.92857142857142857142857143</v>
      </c>
      <c r="H15" s="172">
        <v>368.12500000000000000000000005</v>
      </c>
      <c r="I15" s="371">
        <v>235.27625334765008361644752922</v>
      </c>
      <c r="J15" s="370">
        <v>0</v>
      </c>
      <c r="K15" s="172">
        <v>0</v>
      </c>
      <c r="L15" s="371">
        <v>150.00821578092995126246048902</v>
      </c>
      <c r="M15" s="370">
        <v>277.38095238095238095238095238</v>
      </c>
      <c r="N15" s="172">
        <v>267.42968750000000000000000002</v>
      </c>
      <c r="O15" s="371">
        <v>229.57022359084214754317847101</v>
      </c>
      <c r="P15" s="4"/>
      <c r="Q15" s="327">
        <v>-9.910113153800281700096933110</v>
      </c>
      <c r="R15" s="171">
        <v>-13.093637607109201684187946220</v>
      </c>
      <c r="S15" s="328">
        <v>0.9315912674515438679281520700</v>
      </c>
      <c r="T15" s="327">
        <v>52.404839185618460293795882970</v>
      </c>
      <c r="U15" s="171">
        <v>84.98821423952087613422682490</v>
      </c>
      <c r="V15" s="328">
        <v>-3.8382803034980920002560029900</v>
      </c>
      <c r="W15" s="327">
        <v>0</v>
      </c>
      <c r="X15" s="171">
        <v>0</v>
      </c>
      <c r="Y15" s="328">
        <v>0.6164701034560290895277180400</v>
      </c>
      <c r="Z15" s="327">
        <v>-1.3866184180593690648129043900</v>
      </c>
      <c r="AA15" s="171">
        <v>-11.407863283410108352217935280</v>
      </c>
      <c r="AB15" s="328">
        <v>-0.1400310540326152571351060800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10</v>
      </c>
      <c r="C16" s="347" t="s">
        <v>53</v>
      </c>
      <c r="D16" s="378">
        <v>248.42424242424242424242424242</v>
      </c>
      <c r="E16" s="173">
        <v>268.72653061224489795918367347</v>
      </c>
      <c r="F16" s="379">
        <v>231.79879387457659279120026713</v>
      </c>
      <c r="G16" s="378">
        <v>364.78571428571428571428571429</v>
      </c>
      <c r="H16" s="173">
        <v>499.000000000000000000000000</v>
      </c>
      <c r="I16" s="379">
        <v>250.10999013405593494335630834</v>
      </c>
      <c r="J16" s="378">
        <v>0</v>
      </c>
      <c r="K16" s="173">
        <v>0</v>
      </c>
      <c r="L16" s="379">
        <v>154.46815731856586692000366535</v>
      </c>
      <c r="M16" s="378">
        <v>262.84070796460176991150442478</v>
      </c>
      <c r="N16" s="173">
        <v>271.5120967741935483870967742</v>
      </c>
      <c r="O16" s="379">
        <v>224.58189244383934649421375085</v>
      </c>
      <c r="P16" s="4"/>
      <c r="Q16" s="359">
        <v>-5.9398997118881305422630634700</v>
      </c>
      <c r="R16" s="170">
        <v>-8.128929790505713898084437400</v>
      </c>
      <c r="S16" s="360">
        <v>0.0996977106936445210687012600</v>
      </c>
      <c r="T16" s="359">
        <v>28.769541099350921308174450380</v>
      </c>
      <c r="U16" s="170">
        <v>150.75408997225741787851829350</v>
      </c>
      <c r="V16" s="360">
        <v>12.202541766923113927656724060</v>
      </c>
      <c r="W16" s="359">
        <v>0</v>
      </c>
      <c r="X16" s="170">
        <v>0</v>
      </c>
      <c r="Y16" s="360">
        <v>4.1769004522833950843577363400</v>
      </c>
      <c r="Z16" s="359">
        <v>-1.3763968908889604831385067200</v>
      </c>
      <c r="AA16" s="170">
        <v>-6.9201065093784093299276318800</v>
      </c>
      <c r="AB16" s="360">
        <v>0.2068151153920572557400542400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11</v>
      </c>
      <c r="C17" s="345" t="s">
        <v>49</v>
      </c>
      <c r="D17" s="370">
        <v>164.05263157894736842105263158</v>
      </c>
      <c r="E17" s="172">
        <v>226.47208121827411167512690358</v>
      </c>
      <c r="F17" s="371">
        <v>187.83902579159790947757871081</v>
      </c>
      <c r="G17" s="370">
        <v>293</v>
      </c>
      <c r="H17" s="172">
        <v>0</v>
      </c>
      <c r="I17" s="371">
        <v>224.9283490730015397252950333</v>
      </c>
      <c r="J17" s="370">
        <v>0</v>
      </c>
      <c r="K17" s="172">
        <v>0</v>
      </c>
      <c r="L17" s="371">
        <v>153.8454019765978428116751958</v>
      </c>
      <c r="M17" s="370">
        <v>165.72727272727272727272727273</v>
      </c>
      <c r="N17" s="172">
        <v>226.47208121827411167512690357</v>
      </c>
      <c r="O17" s="371">
        <v>186.66224018475750577367205543</v>
      </c>
      <c r="P17" s="4"/>
      <c r="Q17" s="327">
        <v>-12.525547089018728352525010840</v>
      </c>
      <c r="R17" s="171">
        <v>4.5062437801421856951730057200</v>
      </c>
      <c r="S17" s="328">
        <v>-0.1069299635085173413556045500</v>
      </c>
      <c r="T17" s="327">
        <v>0</v>
      </c>
      <c r="U17" s="171">
        <v>-100</v>
      </c>
      <c r="V17" s="328">
        <v>7.7146113168833528485216647200</v>
      </c>
      <c r="W17" s="327">
        <v>0</v>
      </c>
      <c r="X17" s="171">
        <v>0</v>
      </c>
      <c r="Y17" s="328">
        <v>4.796591172853362336897730900</v>
      </c>
      <c r="Z17" s="327">
        <v>-11.632612200610776502651407250</v>
      </c>
      <c r="AA17" s="171">
        <v>4.5345276810198486059934950600</v>
      </c>
      <c r="AB17" s="328">
        <v>0.2969260397504829801347802300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12</v>
      </c>
      <c r="C18" s="347" t="s">
        <v>47</v>
      </c>
      <c r="D18" s="378">
        <v>145.3013698630136986301369863</v>
      </c>
      <c r="E18" s="173">
        <v>212.20338983050847457627118642</v>
      </c>
      <c r="F18" s="379">
        <v>188.29328276730299872465086984</v>
      </c>
      <c r="G18" s="378">
        <v>169</v>
      </c>
      <c r="H18" s="173">
        <v>0</v>
      </c>
      <c r="I18" s="379">
        <v>243.77858668524414882351464604</v>
      </c>
      <c r="J18" s="378">
        <v>0</v>
      </c>
      <c r="K18" s="173">
        <v>0</v>
      </c>
      <c r="L18" s="379">
        <v>151.16770914954965559033249275</v>
      </c>
      <c r="M18" s="378">
        <v>148.4047619047619047619047619</v>
      </c>
      <c r="N18" s="173">
        <v>212.20338983050847457627118643</v>
      </c>
      <c r="O18" s="379">
        <v>194.70197668525088697415103903</v>
      </c>
      <c r="P18" s="4"/>
      <c r="Q18" s="359">
        <v>-5.560855242211772716320123600</v>
      </c>
      <c r="R18" s="170">
        <v>-2.0154980051983251399506694100</v>
      </c>
      <c r="S18" s="360">
        <v>-0.7681071173541580103803109500</v>
      </c>
      <c r="T18" s="359">
        <v>0</v>
      </c>
      <c r="U18" s="170">
        <v>0</v>
      </c>
      <c r="V18" s="360">
        <v>16.533226661984620983499886860</v>
      </c>
      <c r="W18" s="359">
        <v>0</v>
      </c>
      <c r="X18" s="170">
        <v>0</v>
      </c>
      <c r="Y18" s="360">
        <v>-2.1319358014718964469972458100</v>
      </c>
      <c r="Z18" s="359">
        <v>-3.5437944908428317595301016900</v>
      </c>
      <c r="AA18" s="170">
        <v>-2.0154980051983251399506694100</v>
      </c>
      <c r="AB18" s="360">
        <v>2.2651615809730942440196023600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13</v>
      </c>
      <c r="C19" s="345" t="s">
        <v>48</v>
      </c>
      <c r="D19" s="370">
        <v>157.91358024691358024691358025</v>
      </c>
      <c r="E19" s="172">
        <v>205.6216216216216216216216216</v>
      </c>
      <c r="F19" s="371">
        <v>195.53685132333711219178341657</v>
      </c>
      <c r="G19" s="370">
        <v>169</v>
      </c>
      <c r="H19" s="172">
        <v>190.19999999999999999999999998</v>
      </c>
      <c r="I19" s="371">
        <v>253.56210187318327970561182638</v>
      </c>
      <c r="J19" s="370">
        <v>0</v>
      </c>
      <c r="K19" s="172">
        <v>0</v>
      </c>
      <c r="L19" s="371">
        <v>127.77689848517854278094150901</v>
      </c>
      <c r="M19" s="370">
        <v>159.23913043478260869565217391</v>
      </c>
      <c r="N19" s="172">
        <v>205.21578947368421052631578946</v>
      </c>
      <c r="O19" s="371">
        <v>201.04808877928483353884093711</v>
      </c>
      <c r="P19" s="4"/>
      <c r="Q19" s="327">
        <v>3.6153397959924425477974264900</v>
      </c>
      <c r="R19" s="171">
        <v>-5.1782969573450401743403198900</v>
      </c>
      <c r="S19" s="328">
        <v>-1.3254656766337089761685823300</v>
      </c>
      <c r="T19" s="327">
        <v>0</v>
      </c>
      <c r="U19" s="171">
        <v>0</v>
      </c>
      <c r="V19" s="328">
        <v>17.155028583571062333883762660</v>
      </c>
      <c r="W19" s="327">
        <v>0</v>
      </c>
      <c r="X19" s="171">
        <v>0</v>
      </c>
      <c r="Y19" s="328">
        <v>-14.589619521767061146538708620</v>
      </c>
      <c r="Z19" s="327">
        <v>4.4851024403320540846857472300</v>
      </c>
      <c r="AA19" s="171">
        <v>-5.3654450554555433845225429400</v>
      </c>
      <c r="AB19" s="328">
        <v>1.4120719186807644707012806700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14</v>
      </c>
      <c r="C20" s="347" t="s">
        <v>50</v>
      </c>
      <c r="D20" s="378">
        <v>150.6265060240963855421686747</v>
      </c>
      <c r="E20" s="173">
        <v>193.8277511961722488038277512</v>
      </c>
      <c r="F20" s="379">
        <v>193.90462743343319857772283028</v>
      </c>
      <c r="G20" s="378">
        <v>169</v>
      </c>
      <c r="H20" s="173">
        <v>181.66666666666666666666666667</v>
      </c>
      <c r="I20" s="379">
        <v>246.11542109399812118912019081</v>
      </c>
      <c r="J20" s="378">
        <v>0</v>
      </c>
      <c r="K20" s="173">
        <v>0</v>
      </c>
      <c r="L20" s="379">
        <v>155.37456964799393747275181162</v>
      </c>
      <c r="M20" s="378">
        <v>152.77659574468085106382978723</v>
      </c>
      <c r="N20" s="173">
        <v>193.48837209302325581395348837</v>
      </c>
      <c r="O20" s="379">
        <v>203.80325361512791991101223582</v>
      </c>
      <c r="P20" s="4"/>
      <c r="Q20" s="359">
        <v>-3.256795965889883560230957600</v>
      </c>
      <c r="R20" s="170">
        <v>-2.9810800198258164577388274600</v>
      </c>
      <c r="S20" s="360">
        <v>-0.7827492435056138653150898400</v>
      </c>
      <c r="T20" s="359">
        <v>0</v>
      </c>
      <c r="U20" s="170">
        <v>0</v>
      </c>
      <c r="V20" s="360">
        <v>15.148988131949916473390715660</v>
      </c>
      <c r="W20" s="359">
        <v>0</v>
      </c>
      <c r="X20" s="170">
        <v>0</v>
      </c>
      <c r="Y20" s="360">
        <v>2.3440785115854915600812409700</v>
      </c>
      <c r="Z20" s="359">
        <v>-1.8758533016759899506322162300</v>
      </c>
      <c r="AA20" s="170">
        <v>-3.1509534969113085612125012500</v>
      </c>
      <c r="AB20" s="360">
        <v>3.9596131625500054530012018900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15</v>
      </c>
      <c r="C21" s="345" t="s">
        <v>51</v>
      </c>
      <c r="D21" s="370">
        <v>168.40625</v>
      </c>
      <c r="E21" s="172">
        <v>206.47107438016528925619834709</v>
      </c>
      <c r="F21" s="371">
        <v>206.87168098620459952202862562</v>
      </c>
      <c r="G21" s="370">
        <v>169</v>
      </c>
      <c r="H21" s="172">
        <v>138.99999999999999999999999999</v>
      </c>
      <c r="I21" s="371">
        <v>230.54548933076771059731798811</v>
      </c>
      <c r="J21" s="370">
        <v>0</v>
      </c>
      <c r="K21" s="172">
        <v>0</v>
      </c>
      <c r="L21" s="371">
        <v>153.04254725205023249986292809</v>
      </c>
      <c r="M21" s="370">
        <v>168.46728971962616822429906542</v>
      </c>
      <c r="N21" s="172">
        <v>205.10526315789473684210526314</v>
      </c>
      <c r="O21" s="371">
        <v>206.82131324004305705059203445</v>
      </c>
      <c r="P21" s="4"/>
      <c r="Q21" s="327">
        <v>-13.556046297226931083258496540</v>
      </c>
      <c r="R21" s="171">
        <v>-10.713737948342692396472464130</v>
      </c>
      <c r="S21" s="328">
        <v>0.2927879526607325041692578900</v>
      </c>
      <c r="T21" s="327">
        <v>0</v>
      </c>
      <c r="U21" s="171">
        <v>0</v>
      </c>
      <c r="V21" s="328">
        <v>8.128373439136671318606905900</v>
      </c>
      <c r="W21" s="327">
        <v>0</v>
      </c>
      <c r="X21" s="171">
        <v>0</v>
      </c>
      <c r="Y21" s="328">
        <v>4.7628780338059145995654476900</v>
      </c>
      <c r="Z21" s="327">
        <v>-13.524714237416830599227164150</v>
      </c>
      <c r="AA21" s="171">
        <v>-11.30436876222708946200350200</v>
      </c>
      <c r="AB21" s="328">
        <v>1.8409608838959258255218996400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16</v>
      </c>
      <c r="C22" s="347" t="s">
        <v>52</v>
      </c>
      <c r="D22" s="378">
        <v>260.22807017543859649122807018</v>
      </c>
      <c r="E22" s="173">
        <v>289.25547445255474452554744526</v>
      </c>
      <c r="F22" s="379">
        <v>238.57596759605351735053216198</v>
      </c>
      <c r="G22" s="378">
        <v>0</v>
      </c>
      <c r="H22" s="173">
        <v>0</v>
      </c>
      <c r="I22" s="379">
        <v>230.53192296942985181162599712</v>
      </c>
      <c r="J22" s="378">
        <v>0</v>
      </c>
      <c r="K22" s="173">
        <v>0</v>
      </c>
      <c r="L22" s="379">
        <v>158.49972563882665489938140433</v>
      </c>
      <c r="M22" s="378">
        <v>260.22807017543859649122807018</v>
      </c>
      <c r="N22" s="173">
        <v>289.25547445255474452554744527</v>
      </c>
      <c r="O22" s="379">
        <v>229.9616125150421179302045728</v>
      </c>
      <c r="P22" s="4"/>
      <c r="Q22" s="359">
        <v>0.8741602565764204145926959900</v>
      </c>
      <c r="R22" s="170">
        <v>-2.0873031108786410878297339900</v>
      </c>
      <c r="S22" s="360">
        <v>0.9405365859576283211413938600</v>
      </c>
      <c r="T22" s="359">
        <v>0</v>
      </c>
      <c r="U22" s="170">
        <v>0</v>
      </c>
      <c r="V22" s="360">
        <v>2.3090386888863287275049983700</v>
      </c>
      <c r="W22" s="359">
        <v>0</v>
      </c>
      <c r="X22" s="170">
        <v>0</v>
      </c>
      <c r="Y22" s="360">
        <v>7.0779911384078975525211728500</v>
      </c>
      <c r="Z22" s="359">
        <v>0.8741602565764204145926959900</v>
      </c>
      <c r="AA22" s="170">
        <v>-2.0873031108786410878297339800</v>
      </c>
      <c r="AB22" s="360">
        <v>0.7706268111028434499683060700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17</v>
      </c>
      <c r="C23" s="345" t="s">
        <v>53</v>
      </c>
      <c r="D23" s="370">
        <v>288.45669291338582677165354331</v>
      </c>
      <c r="E23" s="172">
        <v>292.01618122977346278317152104</v>
      </c>
      <c r="F23" s="371">
        <v>235.55368793832105537013924784</v>
      </c>
      <c r="G23" s="370">
        <v>0</v>
      </c>
      <c r="H23" s="172">
        <v>339</v>
      </c>
      <c r="I23" s="371">
        <v>222.62772689236764704155284208</v>
      </c>
      <c r="J23" s="370">
        <v>0</v>
      </c>
      <c r="K23" s="172">
        <v>0</v>
      </c>
      <c r="L23" s="371">
        <v>154.70964002369222553655945392</v>
      </c>
      <c r="M23" s="370">
        <v>288.45669291338582677165354331</v>
      </c>
      <c r="N23" s="172">
        <v>292.16774193548387096774193548</v>
      </c>
      <c r="O23" s="371">
        <v>226.74874010079193664506839453</v>
      </c>
      <c r="P23" s="4"/>
      <c r="Q23" s="327">
        <v>3.7990806759759846514002311900</v>
      </c>
      <c r="R23" s="171">
        <v>-4.4867059694105498901727014700</v>
      </c>
      <c r="S23" s="328">
        <v>-1.3580925141515459009088108600</v>
      </c>
      <c r="T23" s="327">
        <v>0</v>
      </c>
      <c r="U23" s="171">
        <v>0</v>
      </c>
      <c r="V23" s="328">
        <v>3.1903993389409261510286299100</v>
      </c>
      <c r="W23" s="327">
        <v>0</v>
      </c>
      <c r="X23" s="171">
        <v>0</v>
      </c>
      <c r="Y23" s="328">
        <v>4.608961780479567747692120600</v>
      </c>
      <c r="Z23" s="327">
        <v>3.7990806759759846514002311900</v>
      </c>
      <c r="AA23" s="171">
        <v>-4.4371331608523442113013897200</v>
      </c>
      <c r="AB23" s="328">
        <v>-0.9750834339393514986266116700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18</v>
      </c>
      <c r="C24" s="347" t="s">
        <v>49</v>
      </c>
      <c r="D24" s="378">
        <v>200.98019801980198019801980198</v>
      </c>
      <c r="E24" s="173">
        <v>250.53505535055350553505535055</v>
      </c>
      <c r="F24" s="379">
        <v>194.86547426817902658923709096</v>
      </c>
      <c r="G24" s="378">
        <v>151.41176470588235294117647059</v>
      </c>
      <c r="H24" s="173">
        <v>339.000000000000000000000000</v>
      </c>
      <c r="I24" s="379">
        <v>236.68012179753942741019925987</v>
      </c>
      <c r="J24" s="378">
        <v>0</v>
      </c>
      <c r="K24" s="173">
        <v>0</v>
      </c>
      <c r="L24" s="379">
        <v>154.57854580478085775914782524</v>
      </c>
      <c r="M24" s="378">
        <v>193.83898305084745762711864407</v>
      </c>
      <c r="N24" s="173">
        <v>250.86029411764705882352941176</v>
      </c>
      <c r="O24" s="379">
        <v>196.95494142385100630820066086</v>
      </c>
      <c r="P24" s="4"/>
      <c r="Q24" s="359">
        <v>6.5197003994689982095233709500</v>
      </c>
      <c r="R24" s="170">
        <v>16.639166324663657213840552270</v>
      </c>
      <c r="S24" s="360">
        <v>1.3830926614712434124408020700</v>
      </c>
      <c r="T24" s="359">
        <v>0</v>
      </c>
      <c r="U24" s="170">
        <v>0</v>
      </c>
      <c r="V24" s="360">
        <v>9.832853261010659767079915520</v>
      </c>
      <c r="W24" s="359">
        <v>0</v>
      </c>
      <c r="X24" s="170">
        <v>0</v>
      </c>
      <c r="Y24" s="360">
        <v>5.8062617059805829778431710300</v>
      </c>
      <c r="Z24" s="359">
        <v>2.7348495212432164566381889200</v>
      </c>
      <c r="AA24" s="170">
        <v>16.790584570693831754439823930</v>
      </c>
      <c r="AB24" s="360">
        <v>3.2060188925835590766708626400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19</v>
      </c>
      <c r="C25" s="345" t="s">
        <v>47</v>
      </c>
      <c r="D25" s="370">
        <v>216.2</v>
      </c>
      <c r="E25" s="172">
        <v>248.4962406015037593984962406</v>
      </c>
      <c r="F25" s="371">
        <v>199.52971434353715589920178575</v>
      </c>
      <c r="G25" s="370">
        <v>139.08823529411764705882352941</v>
      </c>
      <c r="H25" s="172">
        <v>339</v>
      </c>
      <c r="I25" s="371">
        <v>223.60980051953739256779466581</v>
      </c>
      <c r="J25" s="370">
        <v>0</v>
      </c>
      <c r="K25" s="172">
        <v>0</v>
      </c>
      <c r="L25" s="371">
        <v>149.93504687866145756105504253</v>
      </c>
      <c r="M25" s="370">
        <v>194.1680672268907563025210084</v>
      </c>
      <c r="N25" s="172">
        <v>251.45818181818181818181818182</v>
      </c>
      <c r="O25" s="371">
        <v>198.91045454545454545454545455</v>
      </c>
      <c r="P25" s="4"/>
      <c r="Q25" s="327">
        <v>44.917788599288437190168842950</v>
      </c>
      <c r="R25" s="171">
        <v>10.279396716659993726657600860</v>
      </c>
      <c r="S25" s="328">
        <v>3.8833366505149884333538812800</v>
      </c>
      <c r="T25" s="327">
        <v>0</v>
      </c>
      <c r="U25" s="171">
        <v>0</v>
      </c>
      <c r="V25" s="328">
        <v>2.1434788040735543829948211700</v>
      </c>
      <c r="W25" s="327">
        <v>0</v>
      </c>
      <c r="X25" s="171">
        <v>0</v>
      </c>
      <c r="Y25" s="328">
        <v>4.8929720364906328181698740800</v>
      </c>
      <c r="Z25" s="327">
        <v>30.149893242918501765251645500</v>
      </c>
      <c r="AA25" s="171">
        <v>11.593867670807255682414993010</v>
      </c>
      <c r="AB25" s="328">
        <v>3.470874842500758621118572600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20</v>
      </c>
      <c r="C26" s="347" t="s">
        <v>48</v>
      </c>
      <c r="D26" s="378">
        <v>223.81428571428571428571428571</v>
      </c>
      <c r="E26" s="173">
        <v>225.96694214876033057851239669</v>
      </c>
      <c r="F26" s="379">
        <v>200.84999402252910868015409984</v>
      </c>
      <c r="G26" s="378">
        <v>171.3125</v>
      </c>
      <c r="H26" s="173">
        <v>339</v>
      </c>
      <c r="I26" s="379">
        <v>213.40118561514636678917454332</v>
      </c>
      <c r="J26" s="378">
        <v>0</v>
      </c>
      <c r="K26" s="173">
        <v>0</v>
      </c>
      <c r="L26" s="379">
        <v>143.73546421106929131314307574</v>
      </c>
      <c r="M26" s="378">
        <v>202.45762711864406779661016949</v>
      </c>
      <c r="N26" s="173">
        <v>232.56420233463035019455252919</v>
      </c>
      <c r="O26" s="379">
        <v>197.815073584064218819681879</v>
      </c>
      <c r="P26" s="4"/>
      <c r="Q26" s="359">
        <v>68.136939257333318637126278890</v>
      </c>
      <c r="R26" s="170">
        <v>-0.7738246899743093132958134700</v>
      </c>
      <c r="S26" s="360">
        <v>2.5239529387813321013680729500</v>
      </c>
      <c r="T26" s="359">
        <v>0</v>
      </c>
      <c r="U26" s="170">
        <v>-3.4188034188034188034188034200</v>
      </c>
      <c r="V26" s="360">
        <v>1.6737384514318994203922851900</v>
      </c>
      <c r="W26" s="359">
        <v>0</v>
      </c>
      <c r="X26" s="170">
        <v>0</v>
      </c>
      <c r="Y26" s="360">
        <v>-1.8188784336328562572749018800</v>
      </c>
      <c r="Z26" s="359">
        <v>52.093087554234426002223326040</v>
      </c>
      <c r="AA26" s="170">
        <v>1.0073206381499654402408148400</v>
      </c>
      <c r="AB26" s="360">
        <v>1.8834919680879582812670970200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21</v>
      </c>
      <c r="C27" s="345" t="s">
        <v>50</v>
      </c>
      <c r="D27" s="370">
        <v>194.44736842105263157894736842</v>
      </c>
      <c r="E27" s="172">
        <v>208.76767676767676767676767677</v>
      </c>
      <c r="F27" s="371">
        <v>195.39361975585292019417818103</v>
      </c>
      <c r="G27" s="370">
        <v>167.18</v>
      </c>
      <c r="H27" s="172">
        <v>339</v>
      </c>
      <c r="I27" s="371">
        <v>207.51708409713615309537459347</v>
      </c>
      <c r="J27" s="370">
        <v>0</v>
      </c>
      <c r="K27" s="172">
        <v>0</v>
      </c>
      <c r="L27" s="371">
        <v>148.44211567663632062093246781</v>
      </c>
      <c r="M27" s="370">
        <v>183.62698412698412698412698413</v>
      </c>
      <c r="N27" s="172">
        <v>217.36792452830188679245283017</v>
      </c>
      <c r="O27" s="371">
        <v>193.32009590888655777011838753</v>
      </c>
      <c r="P27" s="4"/>
      <c r="Q27" s="327">
        <v>35.632279811802249618748780060</v>
      </c>
      <c r="R27" s="171">
        <v>5.8664476851432561087186028400</v>
      </c>
      <c r="S27" s="328">
        <v>3.9842145911320511177280893200</v>
      </c>
      <c r="T27" s="327">
        <v>0</v>
      </c>
      <c r="U27" s="171">
        <v>-10.554089709762532981530343010</v>
      </c>
      <c r="V27" s="328">
        <v>1.9174397802720556421109699600</v>
      </c>
      <c r="W27" s="327">
        <v>0</v>
      </c>
      <c r="X27" s="171">
        <v>0</v>
      </c>
      <c r="Y27" s="328">
        <v>-5.5104173542257240938598284200</v>
      </c>
      <c r="Z27" s="327">
        <v>28.084770158360033982627156980</v>
      </c>
      <c r="AA27" s="171">
        <v>3.0711147397365386390650417100</v>
      </c>
      <c r="AB27" s="328">
        <v>2.9564833686265633100667468400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22</v>
      </c>
      <c r="C28" s="347" t="s">
        <v>51</v>
      </c>
      <c r="D28" s="378">
        <v>200.31325301204819277108433735</v>
      </c>
      <c r="E28" s="173">
        <v>237.26315789473684210526315789</v>
      </c>
      <c r="F28" s="379">
        <v>187.98967150548171138606276182</v>
      </c>
      <c r="G28" s="378">
        <v>164.27906976744186046511627907</v>
      </c>
      <c r="H28" s="173">
        <v>339</v>
      </c>
      <c r="I28" s="379">
        <v>199.27279080053352857840732518</v>
      </c>
      <c r="J28" s="378">
        <v>0</v>
      </c>
      <c r="K28" s="173">
        <v>0</v>
      </c>
      <c r="L28" s="379">
        <v>186.59938221179352891130601364</v>
      </c>
      <c r="M28" s="378">
        <v>188.01587301587301587301587302</v>
      </c>
      <c r="N28" s="173">
        <v>240.71186440677966101694915253</v>
      </c>
      <c r="O28" s="379">
        <v>190.19248035914702581369248036</v>
      </c>
      <c r="P28" s="4"/>
      <c r="Q28" s="359">
        <v>26.612190515938602723786536160</v>
      </c>
      <c r="R28" s="170">
        <v>4.4971811161034330229685244200</v>
      </c>
      <c r="S28" s="360">
        <v>-4.3853958536161295283372609200</v>
      </c>
      <c r="T28" s="359">
        <v>0</v>
      </c>
      <c r="U28" s="170">
        <v>-10.554089709762532981530343010</v>
      </c>
      <c r="V28" s="360">
        <v>-1.7644250247321814427537872700</v>
      </c>
      <c r="W28" s="359">
        <v>0</v>
      </c>
      <c r="X28" s="170">
        <v>0</v>
      </c>
      <c r="Y28" s="360">
        <v>25.183313617395932530762644230</v>
      </c>
      <c r="Z28" s="359">
        <v>18.839373712704043760919382560</v>
      </c>
      <c r="AA28" s="170">
        <v>1.439546381851728962565748100</v>
      </c>
      <c r="AB28" s="360">
        <v>-1.7512633922830070571838969500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23</v>
      </c>
      <c r="C29" s="345" t="s">
        <v>52</v>
      </c>
      <c r="D29" s="370">
        <v>244.83157894736842105263157895</v>
      </c>
      <c r="E29" s="172">
        <v>303.64583333333333333333333333</v>
      </c>
      <c r="F29" s="371">
        <v>219.58429233797014363050847147</v>
      </c>
      <c r="G29" s="370">
        <v>279</v>
      </c>
      <c r="H29" s="172">
        <v>339.00000000000000000000000</v>
      </c>
      <c r="I29" s="371">
        <v>202.3665288447684580862533406</v>
      </c>
      <c r="J29" s="370">
        <v>0</v>
      </c>
      <c r="K29" s="172">
        <v>0</v>
      </c>
      <c r="L29" s="371">
        <v>174.81190836079739647143568304</v>
      </c>
      <c r="M29" s="370">
        <v>245.53608247422680412371134021</v>
      </c>
      <c r="N29" s="172">
        <v>303.76816608996539792387543252</v>
      </c>
      <c r="O29" s="371">
        <v>213.28408495018353434714210802</v>
      </c>
      <c r="P29" s="4"/>
      <c r="Q29" s="327">
        <v>4.8471678812804128516051589100</v>
      </c>
      <c r="R29" s="171">
        <v>-7.968026433292867220477562620</v>
      </c>
      <c r="S29" s="328">
        <v>-5.2261203092224426895200606600</v>
      </c>
      <c r="T29" s="327">
        <v>0</v>
      </c>
      <c r="U29" s="171">
        <v>-15.973561002469399455907735540</v>
      </c>
      <c r="V29" s="328">
        <v>-7.2420532572754115443908111400</v>
      </c>
      <c r="W29" s="327">
        <v>0</v>
      </c>
      <c r="X29" s="171">
        <v>0</v>
      </c>
      <c r="Y29" s="328">
        <v>11.691071619592803089923970700</v>
      </c>
      <c r="Z29" s="327">
        <v>5.1488658888293241654974514400</v>
      </c>
      <c r="AA29" s="171">
        <v>-8.538228391097749107672467530</v>
      </c>
      <c r="AB29" s="328">
        <v>-4.9037243149109527420288931700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24</v>
      </c>
      <c r="C30" s="347" t="s">
        <v>53</v>
      </c>
      <c r="D30" s="378">
        <v>274.97478991596638655462184874</v>
      </c>
      <c r="E30" s="173">
        <v>366.56129032258064516129032258</v>
      </c>
      <c r="F30" s="379">
        <v>245.63716240011924781800718492</v>
      </c>
      <c r="G30" s="378">
        <v>279</v>
      </c>
      <c r="H30" s="173">
        <v>339.00000000000000000000000</v>
      </c>
      <c r="I30" s="379">
        <v>208.66997323811512925158449152</v>
      </c>
      <c r="J30" s="378">
        <v>0</v>
      </c>
      <c r="K30" s="173">
        <v>0</v>
      </c>
      <c r="L30" s="379">
        <v>161.11144221680725582573471488</v>
      </c>
      <c r="M30" s="378">
        <v>275.00833333333333333333333333</v>
      </c>
      <c r="N30" s="173">
        <v>366.47266881028938906752411574</v>
      </c>
      <c r="O30" s="379">
        <v>234.4</v>
      </c>
      <c r="P30" s="4"/>
      <c r="Q30" s="359">
        <v>3.1784599135374364251487541500</v>
      </c>
      <c r="R30" s="170">
        <v>-6.2328545879015263688624694100</v>
      </c>
      <c r="S30" s="360">
        <v>-3.1119371251187136970490896700</v>
      </c>
      <c r="T30" s="359">
        <v>0</v>
      </c>
      <c r="U30" s="170">
        <v>-22.188217291513222018569891870</v>
      </c>
      <c r="V30" s="360">
        <v>-3.4619317983156790598465973800</v>
      </c>
      <c r="W30" s="359">
        <v>0</v>
      </c>
      <c r="X30" s="170">
        <v>0</v>
      </c>
      <c r="Y30" s="360">
        <v>8.248612860473095929087046390</v>
      </c>
      <c r="Z30" s="359">
        <v>3.1910463697184421786804367700</v>
      </c>
      <c r="AA30" s="170">
        <v>-6.4550093486817587424043068100</v>
      </c>
      <c r="AB30" s="360">
        <v>-3.7106784258665876282347557100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25</v>
      </c>
      <c r="C31" s="345" t="s">
        <v>49</v>
      </c>
      <c r="D31" s="370">
        <v>186.29921259842519685039370079</v>
      </c>
      <c r="E31" s="172">
        <v>255.01792114695340501792114695</v>
      </c>
      <c r="F31" s="371">
        <v>196.43178721230795511420880009</v>
      </c>
      <c r="G31" s="370">
        <v>0</v>
      </c>
      <c r="H31" s="172">
        <v>339</v>
      </c>
      <c r="I31" s="371">
        <v>207.05055337544190679669726736</v>
      </c>
      <c r="J31" s="370">
        <v>0</v>
      </c>
      <c r="K31" s="172">
        <v>0</v>
      </c>
      <c r="L31" s="371">
        <v>158.08185948741383878654613069</v>
      </c>
      <c r="M31" s="370">
        <v>186.29921259842519685039370079</v>
      </c>
      <c r="N31" s="172">
        <v>255.31785714285714285714285714</v>
      </c>
      <c r="O31" s="371">
        <v>193.81076627300192254875034331</v>
      </c>
      <c r="P31" s="4"/>
      <c r="Q31" s="327">
        <v>-1.7511997715539748722552936100</v>
      </c>
      <c r="R31" s="171">
        <v>-7.2374554856830051340812272300</v>
      </c>
      <c r="S31" s="328">
        <v>-6.2244518868608013561151226300</v>
      </c>
      <c r="T31" s="327">
        <v>0</v>
      </c>
      <c r="U31" s="171">
        <v>15.175537938857890774398511650</v>
      </c>
      <c r="V31" s="328">
        <v>-3.6238359242760407344826792100</v>
      </c>
      <c r="W31" s="327">
        <v>0</v>
      </c>
      <c r="X31" s="171">
        <v>0</v>
      </c>
      <c r="Y31" s="328">
        <v>5.2075656511176734087509702700</v>
      </c>
      <c r="Z31" s="327">
        <v>-1.7511997715539748722552936100</v>
      </c>
      <c r="AA31" s="171">
        <v>-7.1922060142580296623800086200</v>
      </c>
      <c r="AB31" s="328">
        <v>-5.525850265119147344205827500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26</v>
      </c>
      <c r="C32" s="347" t="s">
        <v>47</v>
      </c>
      <c r="D32" s="378">
        <v>132.52577319587628865979381443</v>
      </c>
      <c r="E32" s="173">
        <v>192.11818181818181818181818182</v>
      </c>
      <c r="F32" s="379">
        <v>165.27730126932087085363614732</v>
      </c>
      <c r="G32" s="378">
        <v>0</v>
      </c>
      <c r="H32" s="173">
        <v>0</v>
      </c>
      <c r="I32" s="379">
        <v>188.82478835906358880808170555</v>
      </c>
      <c r="J32" s="378">
        <v>0</v>
      </c>
      <c r="K32" s="173">
        <v>0</v>
      </c>
      <c r="L32" s="379">
        <v>153.68588546710458531344054528</v>
      </c>
      <c r="M32" s="378">
        <v>132.52577319587628865979381443</v>
      </c>
      <c r="N32" s="173">
        <v>192.11818181818181818181818181</v>
      </c>
      <c r="O32" s="379">
        <v>165.83451118963486454652532391</v>
      </c>
      <c r="P32" s="4"/>
      <c r="Q32" s="359">
        <v>-16.655596115810380280074757980</v>
      </c>
      <c r="R32" s="170">
        <v>-10.424228639957184628609934480</v>
      </c>
      <c r="S32" s="360">
        <v>-2.7249188187864884258845661800</v>
      </c>
      <c r="T32" s="359">
        <v>0</v>
      </c>
      <c r="U32" s="170">
        <v>-100</v>
      </c>
      <c r="V32" s="360">
        <v>-8.641472634457963043193243150</v>
      </c>
      <c r="W32" s="359">
        <v>0</v>
      </c>
      <c r="X32" s="170">
        <v>0</v>
      </c>
      <c r="Y32" s="360">
        <v>4.058304844195106643181964300</v>
      </c>
      <c r="Z32" s="359">
        <v>-16.655596115810380280074757980</v>
      </c>
      <c r="AA32" s="170">
        <v>-10.507301094917167886920935210</v>
      </c>
      <c r="AB32" s="360">
        <v>-2.1336668174159435317808285600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27</v>
      </c>
      <c r="C33" s="345" t="s">
        <v>48</v>
      </c>
      <c r="D33" s="370">
        <v>118.80681818181818181818181818</v>
      </c>
      <c r="E33" s="172">
        <v>203.86842105263157894736842103</v>
      </c>
      <c r="F33" s="371">
        <v>165.71829468214058354086829033</v>
      </c>
      <c r="G33" s="370">
        <v>0</v>
      </c>
      <c r="H33" s="172">
        <v>0</v>
      </c>
      <c r="I33" s="371">
        <v>215.52631280251925958167517434</v>
      </c>
      <c r="J33" s="370">
        <v>0</v>
      </c>
      <c r="K33" s="172">
        <v>0</v>
      </c>
      <c r="L33" s="371">
        <v>153.9396708639000484800626415</v>
      </c>
      <c r="M33" s="370">
        <v>118.80681818181818181818181818</v>
      </c>
      <c r="N33" s="172">
        <v>203.86842105263157894736842104</v>
      </c>
      <c r="O33" s="371">
        <v>169.23695080736012016522718738</v>
      </c>
      <c r="P33" s="4"/>
      <c r="Q33" s="327">
        <v>-13.513986013974331072304804310</v>
      </c>
      <c r="R33" s="171">
        <v>-5.4503689190532969709187850300</v>
      </c>
      <c r="S33" s="328">
        <v>-1.9216597496478459519512733200</v>
      </c>
      <c r="T33" s="327">
        <v>0</v>
      </c>
      <c r="U33" s="171">
        <v>-100</v>
      </c>
      <c r="V33" s="328">
        <v>5.9768634219763112861888153300</v>
      </c>
      <c r="W33" s="327">
        <v>0</v>
      </c>
      <c r="X33" s="171">
        <v>0</v>
      </c>
      <c r="Y33" s="328">
        <v>5.3651576755996443727018312100</v>
      </c>
      <c r="Z33" s="327">
        <v>-13.513986013974331072304804310</v>
      </c>
      <c r="AA33" s="171">
        <v>-5.5394113754534864843208026200</v>
      </c>
      <c r="AB33" s="328">
        <v>0.5279271701405867116326286600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28</v>
      </c>
      <c r="C34" s="347" t="s">
        <v>50</v>
      </c>
      <c r="D34" s="378">
        <v>126.5</v>
      </c>
      <c r="E34" s="173">
        <v>207.9</v>
      </c>
      <c r="F34" s="379">
        <v>171.37352885030835630860188587</v>
      </c>
      <c r="G34" s="378">
        <v>0</v>
      </c>
      <c r="H34" s="173">
        <v>0</v>
      </c>
      <c r="I34" s="379">
        <v>224.95956997257353126937627153</v>
      </c>
      <c r="J34" s="378">
        <v>0</v>
      </c>
      <c r="K34" s="173">
        <v>0</v>
      </c>
      <c r="L34" s="379">
        <v>143.16931929409654740815596302</v>
      </c>
      <c r="M34" s="378">
        <v>126.500000000</v>
      </c>
      <c r="N34" s="173">
        <v>207.90000000000000000000000001</v>
      </c>
      <c r="O34" s="379">
        <v>175.75508853218600033096144299</v>
      </c>
      <c r="P34" s="4"/>
      <c r="Q34" s="359">
        <v>-7.912644405766234363386246800</v>
      </c>
      <c r="R34" s="170">
        <v>4.2185105730949840684008518400</v>
      </c>
      <c r="S34" s="360">
        <v>-1.5867996272733670021874714800</v>
      </c>
      <c r="T34" s="359">
        <v>0</v>
      </c>
      <c r="U34" s="170">
        <v>-100</v>
      </c>
      <c r="V34" s="360">
        <v>7.903000466499109905059441800</v>
      </c>
      <c r="W34" s="359">
        <v>0</v>
      </c>
      <c r="X34" s="170">
        <v>0</v>
      </c>
      <c r="Y34" s="360">
        <v>-11.437585402404052407497365890</v>
      </c>
      <c r="Z34" s="359">
        <v>-7.912644405766234363386246800</v>
      </c>
      <c r="AA34" s="170">
        <v>4.8944949224869839707642134400</v>
      </c>
      <c r="AB34" s="360">
        <v>0.3305690408173704250389919600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29</v>
      </c>
      <c r="C35" s="345" t="s">
        <v>51</v>
      </c>
      <c r="D35" s="370">
        <v>155.88</v>
      </c>
      <c r="E35" s="172">
        <v>239.05952380952380952380952381</v>
      </c>
      <c r="F35" s="371">
        <v>172.41822812218813390440450876</v>
      </c>
      <c r="G35" s="370">
        <v>0</v>
      </c>
      <c r="H35" s="172">
        <v>0</v>
      </c>
      <c r="I35" s="371">
        <v>215.39234005484120304419463853</v>
      </c>
      <c r="J35" s="370">
        <v>0</v>
      </c>
      <c r="K35" s="172">
        <v>0</v>
      </c>
      <c r="L35" s="371">
        <v>149.28172097022363059935023566</v>
      </c>
      <c r="M35" s="370">
        <v>155.880000000</v>
      </c>
      <c r="N35" s="172">
        <v>239.05952380952380952380952382</v>
      </c>
      <c r="O35" s="371">
        <v>175.66621025406967898980678533</v>
      </c>
      <c r="P35" s="4"/>
      <c r="Q35" s="327">
        <v>0.459720730375841091142776400</v>
      </c>
      <c r="R35" s="171">
        <v>2.7024956112037405325802869400</v>
      </c>
      <c r="S35" s="328">
        <v>-6.3685355161129851048906051600</v>
      </c>
      <c r="T35" s="327">
        <v>0</v>
      </c>
      <c r="U35" s="171">
        <v>0</v>
      </c>
      <c r="V35" s="328">
        <v>1.5199655741300835100744957700</v>
      </c>
      <c r="W35" s="327">
        <v>0</v>
      </c>
      <c r="X35" s="171">
        <v>0</v>
      </c>
      <c r="Y35" s="328">
        <v>6.6425996141622809275102797800</v>
      </c>
      <c r="Z35" s="327">
        <v>0.459720730375841091142776400</v>
      </c>
      <c r="AA35" s="171">
        <v>2.7024956112037405325802869500</v>
      </c>
      <c r="AB35" s="328">
        <v>-3.7668091905039103914714046200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30</v>
      </c>
      <c r="C36" s="347" t="s">
        <v>52</v>
      </c>
      <c r="D36" s="378">
        <v>221.08247422680412371134020619</v>
      </c>
      <c r="E36" s="173">
        <v>290.58528428093645484949832779</v>
      </c>
      <c r="F36" s="379">
        <v>214.20370871223220693907853148</v>
      </c>
      <c r="G36" s="378">
        <v>0</v>
      </c>
      <c r="H36" s="173">
        <v>0</v>
      </c>
      <c r="I36" s="379">
        <v>205.12615340566724445833870599</v>
      </c>
      <c r="J36" s="378">
        <v>0</v>
      </c>
      <c r="K36" s="173">
        <v>0</v>
      </c>
      <c r="L36" s="379">
        <v>134.67710221912338047398018342</v>
      </c>
      <c r="M36" s="378">
        <v>221.08247422680412371134020619</v>
      </c>
      <c r="N36" s="173">
        <v>290.58528428093645484949832778</v>
      </c>
      <c r="O36" s="379">
        <v>205.8424258474576271186440678</v>
      </c>
      <c r="P36" s="4"/>
      <c r="Q36" s="359">
        <v>-10.233786900799655028091700290</v>
      </c>
      <c r="R36" s="170">
        <v>0.1729365419354655770132219700</v>
      </c>
      <c r="S36" s="360">
        <v>-0.0873971555170570326662545900</v>
      </c>
      <c r="T36" s="359">
        <v>0</v>
      </c>
      <c r="U36" s="170">
        <v>-100</v>
      </c>
      <c r="V36" s="360">
        <v>-0.6940855608185529263769044500</v>
      </c>
      <c r="W36" s="359">
        <v>0</v>
      </c>
      <c r="X36" s="170">
        <v>0</v>
      </c>
      <c r="Y36" s="360">
        <v>-7.3172087211972232267900722900</v>
      </c>
      <c r="Z36" s="359">
        <v>-10.233786900799655028091700290</v>
      </c>
      <c r="AA36" s="170">
        <v>1.780585219983890182825700100</v>
      </c>
      <c r="AB36" s="360">
        <v>-1.5096875592899215243468420700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31</v>
      </c>
      <c r="C37" s="349" t="s">
        <v>53</v>
      </c>
      <c r="D37" s="380">
        <v>237.72916666666666666666666667</v>
      </c>
      <c r="E37" s="383">
        <v>248.01736111111111111111111111</v>
      </c>
      <c r="F37" s="381">
        <v>211.0681257910218108155031618</v>
      </c>
      <c r="G37" s="380">
        <v>0</v>
      </c>
      <c r="H37" s="383">
        <v>0</v>
      </c>
      <c r="I37" s="381">
        <v>208.31160584608845738771972168</v>
      </c>
      <c r="J37" s="380">
        <v>0</v>
      </c>
      <c r="K37" s="383">
        <v>0</v>
      </c>
      <c r="L37" s="381">
        <v>152.65774778104641066287991564</v>
      </c>
      <c r="M37" s="380">
        <v>237.72916666666666666666666667</v>
      </c>
      <c r="N37" s="383">
        <v>248.01736111111111111111111111</v>
      </c>
      <c r="O37" s="381">
        <v>205.38036652569524541842880943</v>
      </c>
      <c r="P37" s="4"/>
      <c r="Q37" s="329">
        <v>-6.6912249686314204330709418700</v>
      </c>
      <c r="R37" s="330">
        <v>-11.970222546301268637770528570</v>
      </c>
      <c r="S37" s="332">
        <v>-2.4966444913405973063127371300</v>
      </c>
      <c r="T37" s="329">
        <v>0</v>
      </c>
      <c r="U37" s="330">
        <v>-100</v>
      </c>
      <c r="V37" s="332">
        <v>1.8626181569036729855613648800</v>
      </c>
      <c r="W37" s="329">
        <v>0</v>
      </c>
      <c r="X37" s="330">
        <v>0</v>
      </c>
      <c r="Y37" s="332">
        <v>-0.2438224994426409948209548500</v>
      </c>
      <c r="Z37" s="329">
        <v>-6.6912249686314204330709418700</v>
      </c>
      <c r="AA37" s="330">
        <v>-11.208911178816498431381382760</v>
      </c>
      <c r="AB37" s="332">
        <v>-2.0620708701100952662158911100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201.32345679012345679012345679</v>
      </c>
      <c r="E39" s="382">
        <v>270.98355601233299075025693731</v>
      </c>
      <c r="F39" s="375">
        <v>212.9799103349826605701820116</v>
      </c>
      <c r="G39" s="374">
        <v>329.54347826086956521739130435</v>
      </c>
      <c r="H39" s="382">
        <v>624.54545454545454545454545455</v>
      </c>
      <c r="I39" s="375">
        <v>262.37200188555602015456837641</v>
      </c>
      <c r="J39" s="374">
        <v>0</v>
      </c>
      <c r="K39" s="382">
        <v>0</v>
      </c>
      <c r="L39" s="375">
        <v>161.31413299922961971144813149</v>
      </c>
      <c r="M39" s="374">
        <v>214.4013303769401330376940133</v>
      </c>
      <c r="N39" s="382">
        <v>274.93597560975609756097560976</v>
      </c>
      <c r="O39" s="375">
        <v>214.62211552776537144558582701</v>
      </c>
      <c r="P39" s="4"/>
      <c r="Q39" s="354">
        <v>-8.081092849919109094799705590</v>
      </c>
      <c r="R39" s="355">
        <v>2.5394465458479149513385693600</v>
      </c>
      <c r="S39" s="356">
        <v>-2.7536331282840424550685503800</v>
      </c>
      <c r="T39" s="354">
        <v>-28.155121240306403549826122500</v>
      </c>
      <c r="U39" s="355">
        <v>133.00511851580231001908854528</v>
      </c>
      <c r="V39" s="356">
        <v>-5.977340056104384825972751200</v>
      </c>
      <c r="W39" s="354">
        <v>0</v>
      </c>
      <c r="X39" s="355">
        <v>0</v>
      </c>
      <c r="Y39" s="356">
        <v>5.4217956212952357992326006900</v>
      </c>
      <c r="Z39" s="354">
        <v>-12.528113109788449007652841690</v>
      </c>
      <c r="AA39" s="355">
        <v>4.0288657733317617775921098900</v>
      </c>
      <c r="AB39" s="356">
        <v>-2.9309926823036619715677971900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170.94705882352941176470588235</v>
      </c>
      <c r="E40" s="172">
        <v>220.40596330275229357798165138</v>
      </c>
      <c r="F40" s="371">
        <v>190.07313000323447424281211529</v>
      </c>
      <c r="G40" s="370">
        <v>146.4</v>
      </c>
      <c r="H40" s="172">
        <v>428.57692307692307692307692311</v>
      </c>
      <c r="I40" s="371">
        <v>229.72846151851260161936832827</v>
      </c>
      <c r="J40" s="370">
        <v>0</v>
      </c>
      <c r="K40" s="172">
        <v>0</v>
      </c>
      <c r="L40" s="371">
        <v>153.48625516925757854314326353</v>
      </c>
      <c r="M40" s="370">
        <v>168.07792207792207792207792208</v>
      </c>
      <c r="N40" s="172">
        <v>226.43318485523385300668151448</v>
      </c>
      <c r="O40" s="371">
        <v>193.39928934429616163285543114</v>
      </c>
      <c r="P40" s="4"/>
      <c r="Q40" s="327">
        <v>7.0240536400432383391915656200</v>
      </c>
      <c r="R40" s="171">
        <v>-4.6613539943861246751994712600</v>
      </c>
      <c r="S40" s="328">
        <v>-1.0120891874080943987033764500</v>
      </c>
      <c r="T40" s="327">
        <v>0</v>
      </c>
      <c r="U40" s="171">
        <v>85.53113553113553113553113555</v>
      </c>
      <c r="V40" s="328">
        <v>-1.3267253555738182760621100500</v>
      </c>
      <c r="W40" s="327">
        <v>0</v>
      </c>
      <c r="X40" s="171">
        <v>0</v>
      </c>
      <c r="Y40" s="328">
        <v>2.1537073233939303770334782100</v>
      </c>
      <c r="Z40" s="327">
        <v>5.2277861460263522718173779500</v>
      </c>
      <c r="AA40" s="171">
        <v>-2.0539838728193813233668615600</v>
      </c>
      <c r="AB40" s="328">
        <v>-0.9577023802610608021758655800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165.09446254071661237785016287</v>
      </c>
      <c r="E41" s="173">
        <v>212.93524283935242839352428394</v>
      </c>
      <c r="F41" s="379">
        <v>192.54952973553181819806714652</v>
      </c>
      <c r="G41" s="378">
        <v>170.88135593220338983050847458</v>
      </c>
      <c r="H41" s="173">
        <v>396.07594936708860759493670886</v>
      </c>
      <c r="I41" s="379">
        <v>230.4520267698080813210737166</v>
      </c>
      <c r="J41" s="378">
        <v>0</v>
      </c>
      <c r="K41" s="173">
        <v>0</v>
      </c>
      <c r="L41" s="379">
        <v>145.01857841256421825756554966</v>
      </c>
      <c r="M41" s="378">
        <v>166.02732240437158469945355191</v>
      </c>
      <c r="N41" s="173">
        <v>229.33900226757369614512471655</v>
      </c>
      <c r="O41" s="379">
        <v>194.81950847933287896403800666</v>
      </c>
      <c r="P41" s="4"/>
      <c r="Q41" s="359">
        <v>7.0092342884350697794939682700</v>
      </c>
      <c r="R41" s="170">
        <v>-4.6486519902622425516414299500</v>
      </c>
      <c r="S41" s="360">
        <v>-0.4057821122306693454406763700</v>
      </c>
      <c r="T41" s="359">
        <v>-21.373609233636687748114756590</v>
      </c>
      <c r="U41" s="170">
        <v>29.436584760486473070240754530</v>
      </c>
      <c r="V41" s="360">
        <v>1.105693627286515795200661800</v>
      </c>
      <c r="W41" s="359">
        <v>0</v>
      </c>
      <c r="X41" s="170">
        <v>0</v>
      </c>
      <c r="Y41" s="360">
        <v>-0.6473503076369031321111174900</v>
      </c>
      <c r="Z41" s="359">
        <v>6.9936430735837171707306737600</v>
      </c>
      <c r="AA41" s="170">
        <v>2.3589714657158067596317218500</v>
      </c>
      <c r="AB41" s="360">
        <v>-0.4516408794921148420000510600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159.72571428571428571428571429</v>
      </c>
      <c r="E42" s="172">
        <v>205.76254589963280293757649939</v>
      </c>
      <c r="F42" s="371">
        <v>194.10799061479777848701586604</v>
      </c>
      <c r="G42" s="370">
        <v>186.53333333333333333333333333</v>
      </c>
      <c r="H42" s="172">
        <v>401.60576923076923076923076923</v>
      </c>
      <c r="I42" s="371">
        <v>230.9402623121066485792783224</v>
      </c>
      <c r="J42" s="370">
        <v>0</v>
      </c>
      <c r="K42" s="172">
        <v>0</v>
      </c>
      <c r="L42" s="371">
        <v>151.5435217815367362770365392</v>
      </c>
      <c r="M42" s="370">
        <v>164.45647058823529411764705882</v>
      </c>
      <c r="N42" s="172">
        <v>227.87730727470141150922909881</v>
      </c>
      <c r="O42" s="371">
        <v>197.63281132923722463659523453</v>
      </c>
      <c r="P42" s="4"/>
      <c r="Q42" s="327">
        <v>-0.1076611936406498211457342200</v>
      </c>
      <c r="R42" s="171">
        <v>0.1705575059204346682359714900</v>
      </c>
      <c r="S42" s="328">
        <v>1.0766340801817010321689330900</v>
      </c>
      <c r="T42" s="327">
        <v>-12.425665101721439749608763690</v>
      </c>
      <c r="U42" s="171">
        <v>37.154331698687082874651186400</v>
      </c>
      <c r="V42" s="328">
        <v>2.3764084947248804400019413700</v>
      </c>
      <c r="W42" s="327">
        <v>0</v>
      </c>
      <c r="X42" s="171">
        <v>0</v>
      </c>
      <c r="Y42" s="328">
        <v>-1.1765932294746450176742235700</v>
      </c>
      <c r="Z42" s="327">
        <v>1.5420988999438732453441236800</v>
      </c>
      <c r="AA42" s="171">
        <v>9.356280405119388621881530140</v>
      </c>
      <c r="AB42" s="328">
        <v>1.3727673032513498463839258700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180.01851851851851851851851852</v>
      </c>
      <c r="E43" s="173">
        <v>228.508055853920515574650913</v>
      </c>
      <c r="F43" s="379">
        <v>202.21025673648469378202842125</v>
      </c>
      <c r="G43" s="378">
        <v>188.47058823529411764705882353</v>
      </c>
      <c r="H43" s="173">
        <v>398.21518987341772151898734177</v>
      </c>
      <c r="I43" s="379">
        <v>219.97932713432155384353652528</v>
      </c>
      <c r="J43" s="378">
        <v>0</v>
      </c>
      <c r="K43" s="173">
        <v>0</v>
      </c>
      <c r="L43" s="379">
        <v>157.40125001848819835525568811</v>
      </c>
      <c r="M43" s="378">
        <v>181.30717488789237668161434978</v>
      </c>
      <c r="N43" s="173">
        <v>241.78217821782178217821782178</v>
      </c>
      <c r="O43" s="379">
        <v>201.06935263875773790787955094</v>
      </c>
      <c r="P43" s="4"/>
      <c r="Q43" s="359">
        <v>2.5131680459088667371139200700</v>
      </c>
      <c r="R43" s="170">
        <v>-2.4305858929385654308235630400</v>
      </c>
      <c r="S43" s="360">
        <v>0.5452221519903724082639168800</v>
      </c>
      <c r="T43" s="359">
        <v>-9.633520774207195614236104990</v>
      </c>
      <c r="U43" s="170">
        <v>20.490579194831825464495143780</v>
      </c>
      <c r="V43" s="360">
        <v>2.9737176900791493106343821700</v>
      </c>
      <c r="W43" s="359">
        <v>0</v>
      </c>
      <c r="X43" s="170">
        <v>0</v>
      </c>
      <c r="Y43" s="360">
        <v>9.264422577497845069369276580</v>
      </c>
      <c r="Z43" s="359">
        <v>2.5375474346409249465295859600</v>
      </c>
      <c r="AA43" s="170">
        <v>2.2460663613574755111343288100</v>
      </c>
      <c r="AB43" s="360">
        <v>1.2789065299635737743296765400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247.68261964735516372795969773</v>
      </c>
      <c r="E44" s="172">
        <v>287.74391343552750225428313796</v>
      </c>
      <c r="F44" s="371">
        <v>227.89374199545281509964927226</v>
      </c>
      <c r="G44" s="370">
        <v>357.6875</v>
      </c>
      <c r="H44" s="172">
        <v>364.88888888888888888888888893</v>
      </c>
      <c r="I44" s="371">
        <v>217.95545354530247427092782325</v>
      </c>
      <c r="J44" s="370">
        <v>0</v>
      </c>
      <c r="K44" s="172">
        <v>0</v>
      </c>
      <c r="L44" s="371">
        <v>154.63752518427866734523904678</v>
      </c>
      <c r="M44" s="370">
        <v>251.94430992736077481840193705</v>
      </c>
      <c r="N44" s="172">
        <v>288.36493738819320214669051878</v>
      </c>
      <c r="O44" s="371">
        <v>219.87447914984334119319099454</v>
      </c>
      <c r="P44" s="4"/>
      <c r="Q44" s="327">
        <v>-3.3316589544331080282423273800</v>
      </c>
      <c r="R44" s="171">
        <v>-5.6526744613777224603817284700</v>
      </c>
      <c r="S44" s="328">
        <v>-0.7301946406326733555596085500</v>
      </c>
      <c r="T44" s="327">
        <v>47.761138979067307304689178790</v>
      </c>
      <c r="U44" s="171">
        <v>42.999362670905909192918178300</v>
      </c>
      <c r="V44" s="328">
        <v>-2.4849538558849668002770796700</v>
      </c>
      <c r="W44" s="327">
        <v>0</v>
      </c>
      <c r="X44" s="171">
        <v>0</v>
      </c>
      <c r="Y44" s="328">
        <v>3.1637164506331593199506814300</v>
      </c>
      <c r="Z44" s="327">
        <v>-1.3445208584884315347890948400</v>
      </c>
      <c r="AA44" s="171">
        <v>-5.1218388614499712673929673600</v>
      </c>
      <c r="AB44" s="328">
        <v>-1.3509959058576251074703615800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264.78911564625850340136054422</v>
      </c>
      <c r="E45" s="385">
        <v>296.12326388888888888888888889</v>
      </c>
      <c r="F45" s="386">
        <v>231.42189106628972681501743381</v>
      </c>
      <c r="G45" s="384">
        <v>359.06666666666666666666666667</v>
      </c>
      <c r="H45" s="385">
        <v>435</v>
      </c>
      <c r="I45" s="386">
        <v>218.62409206824546429365130331</v>
      </c>
      <c r="J45" s="384">
        <v>0</v>
      </c>
      <c r="K45" s="385">
        <v>0</v>
      </c>
      <c r="L45" s="386">
        <v>155.74690476999262526371538537</v>
      </c>
      <c r="M45" s="384">
        <v>267.89035087719298245614035088</v>
      </c>
      <c r="N45" s="385">
        <v>296.72342264477095937770095073</v>
      </c>
      <c r="O45" s="386">
        <v>223.08705155025447278858463172</v>
      </c>
      <c r="P45" s="4"/>
      <c r="Q45" s="364">
        <v>-0.3023065598802485695508311700</v>
      </c>
      <c r="R45" s="365">
        <v>-7.7365838647863834319631258100</v>
      </c>
      <c r="S45" s="366">
        <v>-1.7347954923591550567589379200</v>
      </c>
      <c r="T45" s="364">
        <v>26.750714405788876317754536340</v>
      </c>
      <c r="U45" s="365">
        <v>50.141222914054899524892631310</v>
      </c>
      <c r="V45" s="366">
        <v>1.8078907094650872538780964900</v>
      </c>
      <c r="W45" s="364">
        <v>0</v>
      </c>
      <c r="X45" s="365">
        <v>0</v>
      </c>
      <c r="Y45" s="366">
        <v>4.0732079120469958053430249700</v>
      </c>
      <c r="Z45" s="364">
        <v>0.6634556985912690087850238700</v>
      </c>
      <c r="AA45" s="365">
        <v>-7.4441822975256461418691577100</v>
      </c>
      <c r="AB45" s="366">
        <v>-1.6229516342744533564939067100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169.71326676176890156918687589</v>
      </c>
      <c r="E47" s="382">
        <v>238.41599539700805523590333717</v>
      </c>
      <c r="F47" s="375">
        <v>188.24604452083921861548934261</v>
      </c>
      <c r="G47" s="374">
        <v>0</v>
      </c>
      <c r="H47" s="382">
        <v>339</v>
      </c>
      <c r="I47" s="375">
        <v>210.30750101956804023087892439</v>
      </c>
      <c r="J47" s="374">
        <v>0</v>
      </c>
      <c r="K47" s="382">
        <v>0</v>
      </c>
      <c r="L47" s="375">
        <v>149.52894991683345448433806527</v>
      </c>
      <c r="M47" s="374">
        <v>169.71326676176890156918687589</v>
      </c>
      <c r="N47" s="382">
        <v>238.47383553766532489936745256</v>
      </c>
      <c r="O47" s="375">
        <v>186.79075164758172224290061962</v>
      </c>
      <c r="P47" s="4"/>
      <c r="Q47" s="354">
        <v>-9.273587211072342747224179240</v>
      </c>
      <c r="R47" s="355">
        <v>-3.4039880987306103799264290400</v>
      </c>
      <c r="S47" s="356">
        <v>-2.9067085846235068853704686300</v>
      </c>
      <c r="T47" s="354">
        <v>0</v>
      </c>
      <c r="U47" s="355">
        <v>84.67272102017243829519454527</v>
      </c>
      <c r="V47" s="356">
        <v>0.9852004178535754387102784500</v>
      </c>
      <c r="W47" s="354">
        <v>0</v>
      </c>
      <c r="X47" s="355">
        <v>0</v>
      </c>
      <c r="Y47" s="356">
        <v>0.0575868983851017362276499600</v>
      </c>
      <c r="Z47" s="354">
        <v>-9.273587211072342747224179240</v>
      </c>
      <c r="AA47" s="355">
        <v>-2.9643478999422185742804991700</v>
      </c>
      <c r="AB47" s="356">
        <v>-2.2126099371771466888191598800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202.21352177234530175706646295</v>
      </c>
      <c r="E48" s="172">
        <v>250.55415352260778128286014721</v>
      </c>
      <c r="F48" s="371">
        <v>209.62270277650998775584818533</v>
      </c>
      <c r="G48" s="370">
        <v>215.25925925925925925925925926</v>
      </c>
      <c r="H48" s="172">
        <v>408.90734824281150159744408946</v>
      </c>
      <c r="I48" s="371">
        <v>229.86148092485850016568908124</v>
      </c>
      <c r="J48" s="370">
        <v>0</v>
      </c>
      <c r="K48" s="172">
        <v>0</v>
      </c>
      <c r="L48" s="371">
        <v>154.26078827465945566981139382</v>
      </c>
      <c r="M48" s="370">
        <v>203.65023793337865397688647179</v>
      </c>
      <c r="N48" s="172">
        <v>257.66527977044476327116212339</v>
      </c>
      <c r="O48" s="371">
        <v>207.33966595465424505237151607</v>
      </c>
      <c r="P48" s="4"/>
      <c r="Q48" s="327">
        <v>1.3350976336208100681077641500</v>
      </c>
      <c r="R48" s="171">
        <v>-2.9838971462990504570948399600</v>
      </c>
      <c r="S48" s="328">
        <v>-0.6590351582527680509437534400</v>
      </c>
      <c r="T48" s="327">
        <v>-32.310059126726249553599251710</v>
      </c>
      <c r="U48" s="171">
        <v>40.556506824386487573067764910</v>
      </c>
      <c r="V48" s="328">
        <v>-0.3436420680009680918544408400</v>
      </c>
      <c r="W48" s="327">
        <v>0</v>
      </c>
      <c r="X48" s="171">
        <v>0</v>
      </c>
      <c r="Y48" s="328">
        <v>3.1845538204140258077942134100</v>
      </c>
      <c r="Z48" s="327">
        <v>-0.4067283175338940399244910200</v>
      </c>
      <c r="AA48" s="171">
        <v>-0.422155086521180063594624900</v>
      </c>
      <c r="AB48" s="328">
        <v>-0.6546707916444103335985747700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218.42446043165467625899280576</v>
      </c>
      <c r="E49" s="385">
        <v>274.47244141933962329520171824</v>
      </c>
      <c r="F49" s="386">
        <v>223.69025327694929735035399565</v>
      </c>
      <c r="G49" s="384">
        <v>260.44827586206896551724137931</v>
      </c>
      <c r="H49" s="385">
        <v>429.80057144584236148980960621</v>
      </c>
      <c r="I49" s="386">
        <v>245.18059622541848277612893202</v>
      </c>
      <c r="J49" s="384">
        <v>0</v>
      </c>
      <c r="K49" s="385">
        <v>0</v>
      </c>
      <c r="L49" s="386">
        <v>157.37030711843376172906981317</v>
      </c>
      <c r="M49" s="384">
        <v>223.55578947368421052631578947</v>
      </c>
      <c r="N49" s="385">
        <v>282.72877091458045037111586363</v>
      </c>
      <c r="O49" s="386">
        <v>220.88855749356347681038546615</v>
      </c>
      <c r="P49" s="4"/>
      <c r="Q49" s="364">
        <v>4.8978246472171554141736080500</v>
      </c>
      <c r="R49" s="365">
        <v>0.1067831117875735230964956300</v>
      </c>
      <c r="S49" s="366">
        <v>0.3836254879987403384994343100</v>
      </c>
      <c r="T49" s="364">
        <v>-33.232245089003423747615592330</v>
      </c>
      <c r="U49" s="365">
        <v>45.084793537181413035762310450</v>
      </c>
      <c r="V49" s="366">
        <v>-4.2963538985110620999137465800</v>
      </c>
      <c r="W49" s="364">
        <v>0</v>
      </c>
      <c r="X49" s="365">
        <v>0</v>
      </c>
      <c r="Y49" s="366">
        <v>3.7704731856023751306365299400</v>
      </c>
      <c r="Z49" s="364">
        <v>-1.2361176183717614047848369400</v>
      </c>
      <c r="AA49" s="365">
        <v>3.0091581352625169142522629600</v>
      </c>
      <c r="AB49" s="366">
        <v>-0.5610430159366737021132480300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135</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2"/>
      <c r="C4" s="211"/>
      <c r="D4" s="212"/>
      <c r="E4" s="212"/>
      <c r="F4" s="212"/>
      <c r="G4" s="212"/>
      <c r="H4" s="212"/>
      <c r="I4" s="212"/>
      <c r="J4" s="212"/>
      <c r="K4" s="212"/>
      <c r="L4" s="212"/>
      <c r="M4" s="212"/>
      <c r="N4" s="212"/>
      <c r="O4" s="212"/>
      <c r="P4" s="212"/>
      <c r="Q4" s="212"/>
      <c r="R4" s="660" t="s">
        <v>182</v>
      </c>
      <c r="S4" s="660"/>
      <c r="T4" s="660"/>
      <c r="U4" s="660"/>
      <c r="V4" s="660"/>
      <c r="W4" s="660"/>
      <c r="X4" s="660"/>
      <c r="Y4" s="660"/>
      <c r="Z4" s="660"/>
      <c r="AA4" s="660"/>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181</v>
      </c>
      <c r="B10" s="342">
        <v>4</v>
      </c>
      <c r="C10" s="343" t="s">
        <v>49</v>
      </c>
      <c r="D10" s="374">
        <v>190.21969696969696969696969697</v>
      </c>
      <c r="E10" s="382">
        <v>232.57848837209302325581395349</v>
      </c>
      <c r="F10" s="375">
        <v>146.5536512192903272590630865</v>
      </c>
      <c r="G10" s="374">
        <v>93.12121212121212121212121212</v>
      </c>
      <c r="H10" s="382">
        <v>18.00000000000000000000000</v>
      </c>
      <c r="I10" s="375">
        <v>55.992332352658187847029205045</v>
      </c>
      <c r="J10" s="374">
        <v>0</v>
      </c>
      <c r="K10" s="382">
        <v>0</v>
      </c>
      <c r="L10" s="375">
        <v>13.689445476117380003906665816</v>
      </c>
      <c r="M10" s="374">
        <v>283.34090909090909090909090909</v>
      </c>
      <c r="N10" s="382">
        <v>250.57848837209302325581395349</v>
      </c>
      <c r="O10" s="375">
        <v>216.23542904806589510999895736</v>
      </c>
      <c r="P10" s="4"/>
      <c r="Q10" s="354">
        <v>-0.8019911504550187116118261700</v>
      </c>
      <c r="R10" s="355">
        <v>-17.248582498136803782340207320</v>
      </c>
      <c r="S10" s="356">
        <v>-7.0485480556747465539213269900</v>
      </c>
      <c r="T10" s="354">
        <v>-44.170413771192032407565646900</v>
      </c>
      <c r="U10" s="355">
        <v>3029.4658847316445137305409577</v>
      </c>
      <c r="V10" s="356">
        <v>-10.498948025393842562580689420</v>
      </c>
      <c r="W10" s="354">
        <v>0</v>
      </c>
      <c r="X10" s="355">
        <v>0</v>
      </c>
      <c r="Y10" s="356">
        <v>17.966268912483613990039366080</v>
      </c>
      <c r="Z10" s="354">
        <v>-20.976568277370827743521086090</v>
      </c>
      <c r="AA10" s="355">
        <v>-11.026266418611184210614581800</v>
      </c>
      <c r="AB10" s="356">
        <v>-6.7275109875757559529966191900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5</v>
      </c>
      <c r="C11" s="345" t="s">
        <v>47</v>
      </c>
      <c r="D11" s="370">
        <v>123.35606060606060606060606061</v>
      </c>
      <c r="E11" s="172">
        <v>134.5</v>
      </c>
      <c r="F11" s="371">
        <v>93.05056528922706787310713393</v>
      </c>
      <c r="G11" s="370">
        <v>0</v>
      </c>
      <c r="H11" s="172">
        <v>23.523255813953488372093023256</v>
      </c>
      <c r="I11" s="371">
        <v>39.732314652579118072770280111</v>
      </c>
      <c r="J11" s="370">
        <v>0</v>
      </c>
      <c r="K11" s="172">
        <v>0</v>
      </c>
      <c r="L11" s="371">
        <v>10.14611599188164639694398102</v>
      </c>
      <c r="M11" s="370">
        <v>123.35606060606060606060606061</v>
      </c>
      <c r="N11" s="172">
        <v>158.02325581395348837209302326</v>
      </c>
      <c r="O11" s="371">
        <v>142.92899593368783234282139506</v>
      </c>
      <c r="P11" s="4"/>
      <c r="Q11" s="327">
        <v>-10.606642876734226805226766370</v>
      </c>
      <c r="R11" s="171">
        <v>-25.485739944301719734859360920</v>
      </c>
      <c r="S11" s="328">
        <v>-11.707887430946107994092906140</v>
      </c>
      <c r="T11" s="327">
        <v>0</v>
      </c>
      <c r="U11" s="171">
        <v>0</v>
      </c>
      <c r="V11" s="328">
        <v>-13.143681171415708818025840140</v>
      </c>
      <c r="W11" s="327">
        <v>0</v>
      </c>
      <c r="X11" s="171">
        <v>0</v>
      </c>
      <c r="Y11" s="328">
        <v>12.189332432341364010204499850</v>
      </c>
      <c r="Z11" s="327">
        <v>-10.606642876734226805226766370</v>
      </c>
      <c r="AA11" s="171">
        <v>-12.453635847070145344232619940</v>
      </c>
      <c r="AB11" s="328">
        <v>-10.768681830547460904920805670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6</v>
      </c>
      <c r="C12" s="347" t="s">
        <v>48</v>
      </c>
      <c r="D12" s="378">
        <v>89.17424242424242424242424242</v>
      </c>
      <c r="E12" s="173">
        <v>114.90697674418604651162790698</v>
      </c>
      <c r="F12" s="379">
        <v>91.25026749668811000570701483</v>
      </c>
      <c r="G12" s="378">
        <v>0</v>
      </c>
      <c r="H12" s="173">
        <v>73.412790697674418604651162791</v>
      </c>
      <c r="I12" s="379">
        <v>35.310147742176975847988007712</v>
      </c>
      <c r="J12" s="378">
        <v>0</v>
      </c>
      <c r="K12" s="173">
        <v>0</v>
      </c>
      <c r="L12" s="379">
        <v>11.373585386721401478178608998</v>
      </c>
      <c r="M12" s="378">
        <v>89.17424242424242424242424242</v>
      </c>
      <c r="N12" s="173">
        <v>188.31976744186046511627906977</v>
      </c>
      <c r="O12" s="379">
        <v>137.93400062558648733187363153</v>
      </c>
      <c r="P12" s="4"/>
      <c r="Q12" s="359">
        <v>-42.358356593685625098651491790</v>
      </c>
      <c r="R12" s="170">
        <v>-22.688039733738887013580689610</v>
      </c>
      <c r="S12" s="360">
        <v>-16.449229123794272086769483510</v>
      </c>
      <c r="T12" s="359">
        <v>-100</v>
      </c>
      <c r="U12" s="170">
        <v>0</v>
      </c>
      <c r="V12" s="360">
        <v>-28.538605184255225037969385810</v>
      </c>
      <c r="W12" s="359">
        <v>0</v>
      </c>
      <c r="X12" s="170">
        <v>0</v>
      </c>
      <c r="Y12" s="360">
        <v>28.272190311635899284073876290</v>
      </c>
      <c r="Z12" s="359">
        <v>-45.818181818170844649021861990</v>
      </c>
      <c r="AA12" s="170">
        <v>26.705712658594601838853869810</v>
      </c>
      <c r="AB12" s="360">
        <v>-17.648201360369589279459656310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7</v>
      </c>
      <c r="C13" s="345" t="s">
        <v>50</v>
      </c>
      <c r="D13" s="370">
        <v>124.84848484848484848484848485</v>
      </c>
      <c r="E13" s="172">
        <v>123.84593023255813953488372093</v>
      </c>
      <c r="F13" s="371">
        <v>105.49707796438322702882589446</v>
      </c>
      <c r="G13" s="370">
        <v>28.575757575757575757575757576</v>
      </c>
      <c r="H13" s="172">
        <v>104.45058139534883720930232558</v>
      </c>
      <c r="I13" s="371">
        <v>35.421205460498390014578751654</v>
      </c>
      <c r="J13" s="370">
        <v>0</v>
      </c>
      <c r="K13" s="172">
        <v>0</v>
      </c>
      <c r="L13" s="371">
        <v>11.031356862888167129257224396</v>
      </c>
      <c r="M13" s="370">
        <v>153.42424242424242424242424242</v>
      </c>
      <c r="N13" s="172">
        <v>228.29651162790697674418604651</v>
      </c>
      <c r="O13" s="371">
        <v>151.9496402877697841726618705</v>
      </c>
      <c r="P13" s="4"/>
      <c r="Q13" s="327">
        <v>-19.060949855115171160552035750</v>
      </c>
      <c r="R13" s="171">
        <v>-23.043601945386342699445967930</v>
      </c>
      <c r="S13" s="328">
        <v>-7.2218036423256350296026614200</v>
      </c>
      <c r="T13" s="327">
        <v>4.1701187517950865189186159100</v>
      </c>
      <c r="U13" s="171">
        <v>2190.1626476952143374744980614</v>
      </c>
      <c r="V13" s="328">
        <v>-28.704560406265792248341108880</v>
      </c>
      <c r="W13" s="327">
        <v>0</v>
      </c>
      <c r="X13" s="171">
        <v>0</v>
      </c>
      <c r="Y13" s="328">
        <v>42.610266515030846767903189460</v>
      </c>
      <c r="Z13" s="327">
        <v>-15.553331665407277457926652390</v>
      </c>
      <c r="AA13" s="171">
        <v>37.951150698725019541350452160</v>
      </c>
      <c r="AB13" s="328">
        <v>-11.206256959020344157826096150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8</v>
      </c>
      <c r="C14" s="347" t="s">
        <v>51</v>
      </c>
      <c r="D14" s="378">
        <v>148.98484848484848484848484848</v>
      </c>
      <c r="E14" s="173">
        <v>140.80232558139534883720930233</v>
      </c>
      <c r="F14" s="379">
        <v>139.4799781311516103472950414</v>
      </c>
      <c r="G14" s="378">
        <v>29.492424242424242424242424242</v>
      </c>
      <c r="H14" s="173">
        <v>81.54651162790697674418604651</v>
      </c>
      <c r="I14" s="379">
        <v>26.621343032994391027490229068</v>
      </c>
      <c r="J14" s="378">
        <v>0</v>
      </c>
      <c r="K14" s="173">
        <v>0</v>
      </c>
      <c r="L14" s="379">
        <v>11.328978074723772371435144502</v>
      </c>
      <c r="M14" s="378">
        <v>178.47727272727272727272727273</v>
      </c>
      <c r="N14" s="173">
        <v>222.34883720930232558139534884</v>
      </c>
      <c r="O14" s="379">
        <v>177.43029923886977374622041497</v>
      </c>
      <c r="P14" s="4"/>
      <c r="Q14" s="359">
        <v>0.2651167533455857112319779100</v>
      </c>
      <c r="R14" s="170">
        <v>-23.762081028611644976855683320</v>
      </c>
      <c r="S14" s="360">
        <v>7.9134386195221202026307383400</v>
      </c>
      <c r="T14" s="359">
        <v>16.661672160637298372449581930</v>
      </c>
      <c r="U14" s="170">
        <v>1687.9570436239357777137344891</v>
      </c>
      <c r="V14" s="360">
        <v>-8.778883650892762458142384120</v>
      </c>
      <c r="W14" s="359">
        <v>0</v>
      </c>
      <c r="X14" s="170">
        <v>0</v>
      </c>
      <c r="Y14" s="360">
        <v>48.911034356387818116103335830</v>
      </c>
      <c r="Z14" s="359">
        <v>2.6491220426196783841779526600</v>
      </c>
      <c r="AA14" s="170">
        <v>17.490144801403647001301675720</v>
      </c>
      <c r="AB14" s="360">
        <v>6.8580951107555178857711238500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9</v>
      </c>
      <c r="C15" s="345" t="s">
        <v>52</v>
      </c>
      <c r="D15" s="370">
        <v>181.51515151515151515151515152</v>
      </c>
      <c r="E15" s="172">
        <v>190.4563953488372093023255814</v>
      </c>
      <c r="F15" s="371">
        <v>153.86516356807570118355962128</v>
      </c>
      <c r="G15" s="370">
        <v>39.128787878787878787878787879</v>
      </c>
      <c r="H15" s="172">
        <v>8.561046511627906976744186047</v>
      </c>
      <c r="I15" s="371">
        <v>13.59978155794853550984791616</v>
      </c>
      <c r="J15" s="370">
        <v>0</v>
      </c>
      <c r="K15" s="172">
        <v>0</v>
      </c>
      <c r="L15" s="371">
        <v>11.313075935387503479671390731</v>
      </c>
      <c r="M15" s="370">
        <v>220.64393939393939393939393939</v>
      </c>
      <c r="N15" s="172">
        <v>199.01744186046511627906976744</v>
      </c>
      <c r="O15" s="371">
        <v>178.77802106141174017307892816</v>
      </c>
      <c r="P15" s="4"/>
      <c r="Q15" s="327">
        <v>-18.018202969961622464806543690</v>
      </c>
      <c r="R15" s="171">
        <v>-22.788868596372680977819699340</v>
      </c>
      <c r="S15" s="328">
        <v>-3.7109600876185630853517764100</v>
      </c>
      <c r="T15" s="327">
        <v>-23.797580407222249164825251620</v>
      </c>
      <c r="U15" s="171">
        <v>157.50851085196914041413919580</v>
      </c>
      <c r="V15" s="328">
        <v>-19.379725350219364184303316830</v>
      </c>
      <c r="W15" s="327">
        <v>0</v>
      </c>
      <c r="X15" s="171">
        <v>0</v>
      </c>
      <c r="Y15" s="328">
        <v>16.654299602506428244145111310</v>
      </c>
      <c r="Z15" s="327">
        <v>-19.106210421071515946190772450</v>
      </c>
      <c r="AA15" s="171">
        <v>-20.391168883048236229913415740</v>
      </c>
      <c r="AB15" s="328">
        <v>-4.0694779780098420630609922800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10</v>
      </c>
      <c r="C16" s="347" t="s">
        <v>53</v>
      </c>
      <c r="D16" s="378">
        <v>186.31818181818181818181818182</v>
      </c>
      <c r="E16" s="173">
        <v>191.38953488372093023255813953</v>
      </c>
      <c r="F16" s="379">
        <v>148.48876583993888062565971698</v>
      </c>
      <c r="G16" s="378">
        <v>38.689393939393939393939393939</v>
      </c>
      <c r="H16" s="173">
        <v>4.3517441860465116279069767442</v>
      </c>
      <c r="I16" s="379">
        <v>10.871255210766733244570429754</v>
      </c>
      <c r="J16" s="378">
        <v>0</v>
      </c>
      <c r="K16" s="173">
        <v>0</v>
      </c>
      <c r="L16" s="379">
        <v>12.629761036667965527121537132</v>
      </c>
      <c r="M16" s="378">
        <v>225.00757575757575757575757576</v>
      </c>
      <c r="N16" s="173">
        <v>195.74127906976744186046511628</v>
      </c>
      <c r="O16" s="379">
        <v>171.98978208737357939735168387</v>
      </c>
      <c r="P16" s="4"/>
      <c r="Q16" s="359">
        <v>-4.9801027701418657980986989200</v>
      </c>
      <c r="R16" s="170">
        <v>-20.534001412550907344280711110</v>
      </c>
      <c r="S16" s="360">
        <v>-1.6127118572907976736037587800</v>
      </c>
      <c r="T16" s="359">
        <v>28.769541099149617436562053020</v>
      </c>
      <c r="U16" s="170">
        <v>205.42431307467876931756269862</v>
      </c>
      <c r="V16" s="360">
        <v>-30.134893857468505839296058750</v>
      </c>
      <c r="W16" s="359">
        <v>0</v>
      </c>
      <c r="X16" s="170">
        <v>0</v>
      </c>
      <c r="Y16" s="360">
        <v>35.411537219174844162752277510</v>
      </c>
      <c r="Z16" s="359">
        <v>-0.4958290060021845513615329300</v>
      </c>
      <c r="AA16" s="170">
        <v>-19.205109826911923347741837300</v>
      </c>
      <c r="AB16" s="360">
        <v>-2.1729300556385082744836692600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11</v>
      </c>
      <c r="C17" s="345" t="s">
        <v>49</v>
      </c>
      <c r="D17" s="370">
        <v>94.45454545454545454545454545</v>
      </c>
      <c r="E17" s="172">
        <v>129.69476744186046511627906977</v>
      </c>
      <c r="F17" s="371">
        <v>77.896279628045106962828178144</v>
      </c>
      <c r="G17" s="370">
        <v>2.2196969696969696969696969697</v>
      </c>
      <c r="H17" s="172">
        <v>0</v>
      </c>
      <c r="I17" s="371">
        <v>11.650120747107890479177804484</v>
      </c>
      <c r="J17" s="370">
        <v>0</v>
      </c>
      <c r="K17" s="172">
        <v>0</v>
      </c>
      <c r="L17" s="371">
        <v>11.579342508800709157931458726</v>
      </c>
      <c r="M17" s="370">
        <v>96.67424242424242424242424242</v>
      </c>
      <c r="N17" s="172">
        <v>129.69476744186046511627906977</v>
      </c>
      <c r="O17" s="371">
        <v>101.12574288395370659993744135</v>
      </c>
      <c r="P17" s="4"/>
      <c r="Q17" s="327">
        <v>-27.738495421339843965873406260</v>
      </c>
      <c r="R17" s="171">
        <v>-16.689920417006559413489833680</v>
      </c>
      <c r="S17" s="328">
        <v>-11.655885695107062040090068400</v>
      </c>
      <c r="T17" s="327">
        <v>0</v>
      </c>
      <c r="U17" s="171">
        <v>-100</v>
      </c>
      <c r="V17" s="328">
        <v>-24.218361954635522175959891980</v>
      </c>
      <c r="W17" s="327">
        <v>0</v>
      </c>
      <c r="X17" s="171">
        <v>0</v>
      </c>
      <c r="Y17" s="328">
        <v>20.303413967047251890936654640</v>
      </c>
      <c r="Z17" s="327">
        <v>-26.040338472226319285251085760</v>
      </c>
      <c r="AA17" s="171">
        <v>-16.943308963757680099871438060</v>
      </c>
      <c r="AB17" s="328">
        <v>-10.644280090254273576497679370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12</v>
      </c>
      <c r="C18" s="347" t="s">
        <v>47</v>
      </c>
      <c r="D18" s="378">
        <v>80.35606060606060606060606061</v>
      </c>
      <c r="E18" s="173">
        <v>109.18604651162790697674418605</v>
      </c>
      <c r="F18" s="379">
        <v>79.97164066836583935065754943</v>
      </c>
      <c r="G18" s="378">
        <v>14.083333333333333333333333333</v>
      </c>
      <c r="H18" s="173">
        <v>0</v>
      </c>
      <c r="I18" s="379">
        <v>29.215423269267625276124338687</v>
      </c>
      <c r="J18" s="378">
        <v>0</v>
      </c>
      <c r="K18" s="173">
        <v>0</v>
      </c>
      <c r="L18" s="379">
        <v>10.971522236905165338810855079</v>
      </c>
      <c r="M18" s="378">
        <v>94.43939393939393939393939394</v>
      </c>
      <c r="N18" s="173">
        <v>109.18604651162790697674418605</v>
      </c>
      <c r="O18" s="379">
        <v>120.1585861745386299655927432</v>
      </c>
      <c r="P18" s="4"/>
      <c r="Q18" s="359">
        <v>-34.342308882718363164182169720</v>
      </c>
      <c r="R18" s="170">
        <v>-15.502039285595049591578413420</v>
      </c>
      <c r="S18" s="360">
        <v>-8.558885465510543655969847310</v>
      </c>
      <c r="T18" s="359">
        <v>0</v>
      </c>
      <c r="U18" s="170">
        <v>0</v>
      </c>
      <c r="V18" s="360">
        <v>5.696651218201417255205075900</v>
      </c>
      <c r="W18" s="359">
        <v>0</v>
      </c>
      <c r="X18" s="170">
        <v>0</v>
      </c>
      <c r="Y18" s="360">
        <v>16.524782081086674767354557200</v>
      </c>
      <c r="Z18" s="359">
        <v>-22.835035592718687207004329950</v>
      </c>
      <c r="AA18" s="170">
        <v>-15.502039285595049591578413420</v>
      </c>
      <c r="AB18" s="360">
        <v>-3.4974803577480574960295121300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13</v>
      </c>
      <c r="C19" s="345" t="s">
        <v>48</v>
      </c>
      <c r="D19" s="370">
        <v>96.90151515151515151515151515</v>
      </c>
      <c r="E19" s="172">
        <v>110.5813953488372093023255814</v>
      </c>
      <c r="F19" s="371">
        <v>90.59373618838183012887214053</v>
      </c>
      <c r="G19" s="370">
        <v>14.083333333333333333333333333</v>
      </c>
      <c r="H19" s="172">
        <v>2.7645348837209302325581395349</v>
      </c>
      <c r="I19" s="371">
        <v>36.631475274316674430060545716</v>
      </c>
      <c r="J19" s="370">
        <v>0</v>
      </c>
      <c r="K19" s="172">
        <v>0</v>
      </c>
      <c r="L19" s="371">
        <v>8.777290883250822935593431996</v>
      </c>
      <c r="M19" s="370">
        <v>110.98484848484848484848484848</v>
      </c>
      <c r="N19" s="172">
        <v>113.34593023255813953488372093</v>
      </c>
      <c r="O19" s="371">
        <v>136.00250234594932749452611824</v>
      </c>
      <c r="P19" s="4"/>
      <c r="Q19" s="327">
        <v>-23.001444738752347526518329840</v>
      </c>
      <c r="R19" s="171">
        <v>-14.533670798229454458561680340</v>
      </c>
      <c r="S19" s="328">
        <v>-7.5622807847893757553814919100</v>
      </c>
      <c r="T19" s="327">
        <v>0</v>
      </c>
      <c r="U19" s="171">
        <v>0</v>
      </c>
      <c r="V19" s="328">
        <v>1.2618339853655068891696089600</v>
      </c>
      <c r="W19" s="327">
        <v>0</v>
      </c>
      <c r="X19" s="171">
        <v>0</v>
      </c>
      <c r="Y19" s="328">
        <v>-4.7767801033501563730100865800</v>
      </c>
      <c r="Z19" s="327">
        <v>-11.810739224667492085332931920</v>
      </c>
      <c r="AA19" s="171">
        <v>-12.397012568185190820025722350</v>
      </c>
      <c r="AB19" s="328">
        <v>-5.1571663656474051223065020500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14</v>
      </c>
      <c r="C20" s="347" t="s">
        <v>50</v>
      </c>
      <c r="D20" s="378">
        <v>94.71212121212121212121212121</v>
      </c>
      <c r="E20" s="173">
        <v>117.76162790697674418604651163</v>
      </c>
      <c r="F20" s="379">
        <v>93.94522407584213538850204298</v>
      </c>
      <c r="G20" s="378">
        <v>14.083333333333333333333333333</v>
      </c>
      <c r="H20" s="173">
        <v>3.1686046511627906976744186047</v>
      </c>
      <c r="I20" s="379">
        <v>47.86566356578504473673101394</v>
      </c>
      <c r="J20" s="378">
        <v>0</v>
      </c>
      <c r="K20" s="173">
        <v>0</v>
      </c>
      <c r="L20" s="379">
        <v>11.014990786065448380657882503</v>
      </c>
      <c r="M20" s="378">
        <v>108.79545454545454545454545455</v>
      </c>
      <c r="N20" s="173">
        <v>120.93023255813953488372093023</v>
      </c>
      <c r="O20" s="379">
        <v>152.82587842769262850589093942</v>
      </c>
      <c r="P20" s="4"/>
      <c r="Q20" s="359">
        <v>-26.333156561203040505818933050</v>
      </c>
      <c r="R20" s="170">
        <v>-9.199257848991106542154606290</v>
      </c>
      <c r="S20" s="360">
        <v>-7.7414961414019822045479793700</v>
      </c>
      <c r="T20" s="359">
        <v>0</v>
      </c>
      <c r="U20" s="170">
        <v>0</v>
      </c>
      <c r="V20" s="360">
        <v>24.939664573831791555843364280</v>
      </c>
      <c r="W20" s="359">
        <v>0</v>
      </c>
      <c r="X20" s="170">
        <v>0</v>
      </c>
      <c r="Y20" s="360">
        <v>12.354905691356263292815651050</v>
      </c>
      <c r="Z20" s="359">
        <v>-15.379176241836255375465181360</v>
      </c>
      <c r="AA20" s="170">
        <v>-6.7560880404352019786134688200</v>
      </c>
      <c r="AB20" s="360">
        <v>1.9226329089460669425930896600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15</v>
      </c>
      <c r="C21" s="345" t="s">
        <v>51</v>
      </c>
      <c r="D21" s="370">
        <v>122.47727272727272727272727273</v>
      </c>
      <c r="E21" s="172">
        <v>145.250000000000000000000000</v>
      </c>
      <c r="F21" s="371">
        <v>108.19454016651391515178218676</v>
      </c>
      <c r="G21" s="370">
        <v>14.083333333333333333333333333</v>
      </c>
      <c r="H21" s="172">
        <v>2.0203488372093023255813953488</v>
      </c>
      <c r="I21" s="371">
        <v>40.217475695780541069082221443</v>
      </c>
      <c r="J21" s="370">
        <v>0</v>
      </c>
      <c r="K21" s="172">
        <v>0</v>
      </c>
      <c r="L21" s="371">
        <v>11.852398693017815700728752044</v>
      </c>
      <c r="M21" s="370">
        <v>136.56060606060606060606060606</v>
      </c>
      <c r="N21" s="172">
        <v>147.27034883720930232558139535</v>
      </c>
      <c r="O21" s="371">
        <v>160.26441455531227192159316025</v>
      </c>
      <c r="P21" s="4"/>
      <c r="Q21" s="327">
        <v>-19.430878102288230956849663870</v>
      </c>
      <c r="R21" s="171">
        <v>-19.021033993627532374822537020</v>
      </c>
      <c r="S21" s="328">
        <v>-5.9433237520084545645110586800</v>
      </c>
      <c r="T21" s="327">
        <v>0</v>
      </c>
      <c r="U21" s="171">
        <v>0</v>
      </c>
      <c r="V21" s="328">
        <v>14.884288754928079804440545190</v>
      </c>
      <c r="W21" s="327">
        <v>0</v>
      </c>
      <c r="X21" s="171">
        <v>0</v>
      </c>
      <c r="Y21" s="328">
        <v>34.439563690079265788156029130</v>
      </c>
      <c r="Z21" s="327">
        <v>-10.166450712676912923125628810</v>
      </c>
      <c r="AA21" s="171">
        <v>-17.894660432117127999857594130</v>
      </c>
      <c r="AB21" s="328">
        <v>0.887669606700246792140869300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16</v>
      </c>
      <c r="C22" s="347" t="s">
        <v>52</v>
      </c>
      <c r="D22" s="378">
        <v>224.74242424242424242424242424</v>
      </c>
      <c r="E22" s="173">
        <v>230.39534883720930232558139535</v>
      </c>
      <c r="F22" s="379">
        <v>151.15986370702154912391566561</v>
      </c>
      <c r="G22" s="378">
        <v>0</v>
      </c>
      <c r="H22" s="173">
        <v>0</v>
      </c>
      <c r="I22" s="379">
        <v>35.785488914871304492376590016</v>
      </c>
      <c r="J22" s="378">
        <v>0</v>
      </c>
      <c r="K22" s="173">
        <v>0</v>
      </c>
      <c r="L22" s="379">
        <v>12.30196256943234709270576335</v>
      </c>
      <c r="M22" s="378">
        <v>224.74242424242424242424242424</v>
      </c>
      <c r="N22" s="173">
        <v>230.39534883720930232558139535</v>
      </c>
      <c r="O22" s="379">
        <v>199.24731519132520070899801898</v>
      </c>
      <c r="P22" s="4"/>
      <c r="Q22" s="359">
        <v>3.6004889121791039348136626400</v>
      </c>
      <c r="R22" s="170">
        <v>-6.9024955355962818087792871600</v>
      </c>
      <c r="S22" s="360">
        <v>-3.79575243675381214699133900</v>
      </c>
      <c r="T22" s="359">
        <v>0</v>
      </c>
      <c r="U22" s="170">
        <v>0</v>
      </c>
      <c r="V22" s="360">
        <v>33.978740860758400815688185540</v>
      </c>
      <c r="W22" s="359">
        <v>0</v>
      </c>
      <c r="X22" s="170">
        <v>0</v>
      </c>
      <c r="Y22" s="360">
        <v>31.244668709820302785271304960</v>
      </c>
      <c r="Z22" s="359">
        <v>3.6004889121791039348136626400</v>
      </c>
      <c r="AA22" s="170">
        <v>-6.9024955355962818087792871600</v>
      </c>
      <c r="AB22" s="360">
        <v>3.1263285172797563496026946300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17</v>
      </c>
      <c r="C23" s="345" t="s">
        <v>53</v>
      </c>
      <c r="D23" s="370">
        <v>277.53030303030303030303030303</v>
      </c>
      <c r="E23" s="172">
        <v>262.30523255813953488372093023</v>
      </c>
      <c r="F23" s="371">
        <v>161.23236447585741437918262081</v>
      </c>
      <c r="G23" s="370">
        <v>0</v>
      </c>
      <c r="H23" s="172">
        <v>0.9854651162790697674418604651</v>
      </c>
      <c r="I23" s="371">
        <v>23.801702949299834038396504991</v>
      </c>
      <c r="J23" s="370">
        <v>0</v>
      </c>
      <c r="K23" s="172">
        <v>0</v>
      </c>
      <c r="L23" s="371">
        <v>11.996899105965679327181587362</v>
      </c>
      <c r="M23" s="370">
        <v>277.53030303030303030303030303</v>
      </c>
      <c r="N23" s="172">
        <v>263.2906976744186046511627907</v>
      </c>
      <c r="O23" s="371">
        <v>197.03096653112292774476071317</v>
      </c>
      <c r="P23" s="4"/>
      <c r="Q23" s="327">
        <v>20.940213264651699027177949020</v>
      </c>
      <c r="R23" s="171">
        <v>4.5007579386866575933137263900</v>
      </c>
      <c r="S23" s="328">
        <v>1.9442326022418415740314528100</v>
      </c>
      <c r="T23" s="327">
        <v>0</v>
      </c>
      <c r="U23" s="171">
        <v>0</v>
      </c>
      <c r="V23" s="328">
        <v>23.107228724744809782257127930</v>
      </c>
      <c r="W23" s="327">
        <v>0</v>
      </c>
      <c r="X23" s="171">
        <v>0</v>
      </c>
      <c r="Y23" s="328">
        <v>23.769811189864327731315090880</v>
      </c>
      <c r="Z23" s="327">
        <v>20.940213264651699027177949020</v>
      </c>
      <c r="AA23" s="171">
        <v>4.893361054411667034694743900</v>
      </c>
      <c r="AB23" s="328">
        <v>5.2603273966897101148509983500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18</v>
      </c>
      <c r="C24" s="347" t="s">
        <v>49</v>
      </c>
      <c r="D24" s="378">
        <v>153.78030303030303030303030303</v>
      </c>
      <c r="E24" s="173">
        <v>197.36918604651162790697674419</v>
      </c>
      <c r="F24" s="379">
        <v>100.08443900562048850702224377</v>
      </c>
      <c r="G24" s="378">
        <v>19.5</v>
      </c>
      <c r="H24" s="173">
        <v>0.9854651162790697674418604651</v>
      </c>
      <c r="I24" s="379">
        <v>25.154179622797668347140990592</v>
      </c>
      <c r="J24" s="378">
        <v>0</v>
      </c>
      <c r="K24" s="173">
        <v>0</v>
      </c>
      <c r="L24" s="379">
        <v>11.48601905274126343569183811</v>
      </c>
      <c r="M24" s="378">
        <v>173.28030303030303030303030303</v>
      </c>
      <c r="N24" s="173">
        <v>198.35465116279069767441860465</v>
      </c>
      <c r="O24" s="379">
        <v>136.72463768115942028985507246</v>
      </c>
      <c r="P24" s="4"/>
      <c r="Q24" s="359">
        <v>-1.2982592628418357015001151100</v>
      </c>
      <c r="R24" s="170">
        <v>13.702208899222485989031617510</v>
      </c>
      <c r="S24" s="360">
        <v>0.9002889151585558239699706100</v>
      </c>
      <c r="T24" s="359">
        <v>0</v>
      </c>
      <c r="U24" s="170">
        <v>0</v>
      </c>
      <c r="V24" s="360">
        <v>50.621355174755426910511484450</v>
      </c>
      <c r="W24" s="359">
        <v>0</v>
      </c>
      <c r="X24" s="170">
        <v>0</v>
      </c>
      <c r="Y24" s="360">
        <v>34.363838986502500179641360190</v>
      </c>
      <c r="Z24" s="359">
        <v>11.217543518450105522419225930</v>
      </c>
      <c r="AA24" s="170">
        <v>14.269924472045763443192921260</v>
      </c>
      <c r="AB24" s="360">
        <v>9.871804779823069288178691250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19</v>
      </c>
      <c r="C25" s="345" t="s">
        <v>47</v>
      </c>
      <c r="D25" s="370">
        <v>139.21969696969696969696969697</v>
      </c>
      <c r="E25" s="172">
        <v>192.15116279069767441860465116</v>
      </c>
      <c r="F25" s="371">
        <v>95.77543854192559071594864463</v>
      </c>
      <c r="G25" s="370">
        <v>35.825757575757575757575757576</v>
      </c>
      <c r="H25" s="172">
        <v>8.869186046511627906976744186</v>
      </c>
      <c r="I25" s="371">
        <v>30.036673841849867179634540056</v>
      </c>
      <c r="J25" s="370">
        <v>0</v>
      </c>
      <c r="K25" s="172">
        <v>0</v>
      </c>
      <c r="L25" s="371">
        <v>11.067149424169490493531610445</v>
      </c>
      <c r="M25" s="370">
        <v>175.04545454545454545454545455</v>
      </c>
      <c r="N25" s="172">
        <v>201.02034883720930232558139535</v>
      </c>
      <c r="O25" s="371">
        <v>136.87926180794494838911479512</v>
      </c>
      <c r="P25" s="4"/>
      <c r="Q25" s="327">
        <v>5.2821541106086396898486333600</v>
      </c>
      <c r="R25" s="171">
        <v>4.0224096688672742871202365500</v>
      </c>
      <c r="S25" s="328">
        <v>-0.2197730950271941118139447700</v>
      </c>
      <c r="T25" s="327">
        <v>0</v>
      </c>
      <c r="U25" s="171">
        <v>0</v>
      </c>
      <c r="V25" s="328">
        <v>21.718695047249714765777774970</v>
      </c>
      <c r="W25" s="327">
        <v>0</v>
      </c>
      <c r="X25" s="171">
        <v>0</v>
      </c>
      <c r="Y25" s="328">
        <v>30.540983149274751527690218820</v>
      </c>
      <c r="Z25" s="327">
        <v>32.374677742815651557579720440</v>
      </c>
      <c r="AA25" s="171">
        <v>8.823807125746458157770824170</v>
      </c>
      <c r="AB25" s="328">
        <v>5.9917525573285483037857343900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20</v>
      </c>
      <c r="C26" s="347" t="s">
        <v>48</v>
      </c>
      <c r="D26" s="378">
        <v>118.68939393939393939393939394</v>
      </c>
      <c r="E26" s="173">
        <v>158.96511627906976744186046512</v>
      </c>
      <c r="F26" s="379">
        <v>94.44702611790377366088021323</v>
      </c>
      <c r="G26" s="378">
        <v>62.295454545454545454545454545</v>
      </c>
      <c r="H26" s="173">
        <v>14.781976744186046511627906977</v>
      </c>
      <c r="I26" s="379">
        <v>33.920145132901164737258847651</v>
      </c>
      <c r="J26" s="378">
        <v>0</v>
      </c>
      <c r="K26" s="173">
        <v>0</v>
      </c>
      <c r="L26" s="379">
        <v>10.377693726778212472468800651</v>
      </c>
      <c r="M26" s="378">
        <v>180.98484848484848484848484848</v>
      </c>
      <c r="N26" s="173">
        <v>173.74709302325581395348837209</v>
      </c>
      <c r="O26" s="379">
        <v>138.74486497758315087060786154</v>
      </c>
      <c r="P26" s="4"/>
      <c r="Q26" s="359">
        <v>12.091292838195747427514964610</v>
      </c>
      <c r="R26" s="170">
        <v>0.0530601042832272941100149500</v>
      </c>
      <c r="S26" s="360">
        <v>-2.714946158140490524397111100</v>
      </c>
      <c r="T26" s="359">
        <v>0</v>
      </c>
      <c r="U26" s="170">
        <v>189.74358974623128059027903162</v>
      </c>
      <c r="V26" s="360">
        <v>19.336590957999820572633395880</v>
      </c>
      <c r="W26" s="359">
        <v>0</v>
      </c>
      <c r="X26" s="170">
        <v>0</v>
      </c>
      <c r="Y26" s="360">
        <v>12.997080387945239370654420030</v>
      </c>
      <c r="Z26" s="359">
        <v>70.923660299004047108146582280</v>
      </c>
      <c r="AA26" s="170">
        <v>5.9546179755587919768783319500</v>
      </c>
      <c r="AB26" s="360">
        <v>3.0099547371032174883433627900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21</v>
      </c>
      <c r="C27" s="345" t="s">
        <v>50</v>
      </c>
      <c r="D27" s="370">
        <v>111.95454545454545454545454545</v>
      </c>
      <c r="E27" s="172">
        <v>120.16279069767441860465116279</v>
      </c>
      <c r="F27" s="371">
        <v>93.38382123004202001541699475</v>
      </c>
      <c r="G27" s="370">
        <v>63.325757575757575757575757576</v>
      </c>
      <c r="H27" s="172">
        <v>13.796511627906976744186046512</v>
      </c>
      <c r="I27" s="371">
        <v>30.85891476572046803681987414</v>
      </c>
      <c r="J27" s="370">
        <v>0</v>
      </c>
      <c r="K27" s="172">
        <v>0</v>
      </c>
      <c r="L27" s="371">
        <v>10.260965390954225533416347678</v>
      </c>
      <c r="M27" s="370">
        <v>175.28030303030303030303030303</v>
      </c>
      <c r="N27" s="172">
        <v>133.9593023255813953488372093</v>
      </c>
      <c r="O27" s="371">
        <v>134.50370138671671358565321656</v>
      </c>
      <c r="P27" s="4"/>
      <c r="Q27" s="327">
        <v>-14.809477143043456407480867520</v>
      </c>
      <c r="R27" s="171">
        <v>-5.1513274133432125755910122600</v>
      </c>
      <c r="S27" s="328">
        <v>-2.8168570695882606258314100</v>
      </c>
      <c r="T27" s="327">
        <v>0</v>
      </c>
      <c r="U27" s="171">
        <v>-30.430958663018105580604900580</v>
      </c>
      <c r="V27" s="328">
        <v>30.131270496292805385996939180</v>
      </c>
      <c r="W27" s="327">
        <v>0</v>
      </c>
      <c r="X27" s="171">
        <v>0</v>
      </c>
      <c r="Y27" s="328">
        <v>4.5523651182814518166010121900</v>
      </c>
      <c r="Z27" s="327">
        <v>33.377529255745266551638595770</v>
      </c>
      <c r="AA27" s="171">
        <v>-8.572902406596977030885088400</v>
      </c>
      <c r="AB27" s="328">
        <v>3.7689684739371464167117203700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22</v>
      </c>
      <c r="C28" s="347" t="s">
        <v>51</v>
      </c>
      <c r="D28" s="378">
        <v>125.95454545454545454545454545</v>
      </c>
      <c r="E28" s="173">
        <v>157.25581395348837209302325581</v>
      </c>
      <c r="F28" s="379">
        <v>99.43323916429899075494252819</v>
      </c>
      <c r="G28" s="378">
        <v>53.515151515151515151515151515</v>
      </c>
      <c r="H28" s="173">
        <v>7.8837209302325581395348837209</v>
      </c>
      <c r="I28" s="379">
        <v>30.425569309029988361099195721</v>
      </c>
      <c r="J28" s="378">
        <v>0</v>
      </c>
      <c r="K28" s="173">
        <v>0</v>
      </c>
      <c r="L28" s="379">
        <v>11.491624223991425429886750695</v>
      </c>
      <c r="M28" s="378">
        <v>179.46969696969696969696969697</v>
      </c>
      <c r="N28" s="173">
        <v>165.13953488372093023255813953</v>
      </c>
      <c r="O28" s="379">
        <v>141.35043269732040454592847461</v>
      </c>
      <c r="P28" s="4"/>
      <c r="Q28" s="359">
        <v>-11.690657035116656660580220610</v>
      </c>
      <c r="R28" s="170">
        <v>-4.315834158764741981521986200</v>
      </c>
      <c r="S28" s="360">
        <v>-2.8050021215769148037018705900</v>
      </c>
      <c r="T28" s="359">
        <v>0</v>
      </c>
      <c r="U28" s="170">
        <v>-60.246262093153203188917086040</v>
      </c>
      <c r="V28" s="360">
        <v>26.828134393772015887312603150</v>
      </c>
      <c r="W28" s="359">
        <v>0</v>
      </c>
      <c r="X28" s="170">
        <v>0</v>
      </c>
      <c r="Y28" s="360">
        <v>28.435518196150406464095374090</v>
      </c>
      <c r="Z28" s="359">
        <v>25.829925107547600367548091770</v>
      </c>
      <c r="AA28" s="170">
        <v>-10.338078853479917261788682200</v>
      </c>
      <c r="AB28" s="360">
        <v>4.5183457485288814657133683100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23</v>
      </c>
      <c r="C29" s="345" t="s">
        <v>52</v>
      </c>
      <c r="D29" s="370">
        <v>176.20454545454545454545454545</v>
      </c>
      <c r="E29" s="172">
        <v>254.21511627906976744186046512</v>
      </c>
      <c r="F29" s="371">
        <v>136.19517231372493531283627942</v>
      </c>
      <c r="G29" s="370">
        <v>4.2272727272727272727272727273</v>
      </c>
      <c r="H29" s="172">
        <v>0.9854651162790697674418604651</v>
      </c>
      <c r="I29" s="371">
        <v>20.772099835106742562147541609</v>
      </c>
      <c r="J29" s="370">
        <v>0</v>
      </c>
      <c r="K29" s="172">
        <v>0</v>
      </c>
      <c r="L29" s="371">
        <v>12.663736088057071994685660788</v>
      </c>
      <c r="M29" s="370">
        <v>180.43181818181818181818181818</v>
      </c>
      <c r="N29" s="172">
        <v>255.20058139534883720930232558</v>
      </c>
      <c r="O29" s="371">
        <v>169.63100823688874986966948181</v>
      </c>
      <c r="P29" s="4"/>
      <c r="Q29" s="327">
        <v>-14.867684198979044556820163080</v>
      </c>
      <c r="R29" s="171">
        <v>-9.538537927607147162244813260</v>
      </c>
      <c r="S29" s="328">
        <v>-8.426269428208204820976155600</v>
      </c>
      <c r="T29" s="327">
        <v>0</v>
      </c>
      <c r="U29" s="171">
        <v>-90.66372900024043699102265766</v>
      </c>
      <c r="V29" s="328">
        <v>33.057051405107482359134561910</v>
      </c>
      <c r="W29" s="327">
        <v>0</v>
      </c>
      <c r="X29" s="171">
        <v>0</v>
      </c>
      <c r="Y29" s="328">
        <v>26.946922366218929189025106060</v>
      </c>
      <c r="Z29" s="327">
        <v>-12.825299220391414257267544780</v>
      </c>
      <c r="AA29" s="171">
        <v>-12.475324519935091877050656110</v>
      </c>
      <c r="AB29" s="328">
        <v>-2.6867369408073699580364240600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24</v>
      </c>
      <c r="C30" s="347" t="s">
        <v>53</v>
      </c>
      <c r="D30" s="378">
        <v>247.89393939393939393939393939</v>
      </c>
      <c r="E30" s="173">
        <v>330.3313953488372093023255814</v>
      </c>
      <c r="F30" s="379">
        <v>176.91118110973394021813004674</v>
      </c>
      <c r="G30" s="378">
        <v>2.1136363636363636363636363636</v>
      </c>
      <c r="H30" s="173">
        <v>0.9854651162790697674418604651</v>
      </c>
      <c r="I30" s="379">
        <v>19.389475797579233485923589974</v>
      </c>
      <c r="J30" s="378">
        <v>0</v>
      </c>
      <c r="K30" s="173">
        <v>0</v>
      </c>
      <c r="L30" s="379">
        <v>12.535543697420430716757540418</v>
      </c>
      <c r="M30" s="378">
        <v>250.00757575757575757575757576</v>
      </c>
      <c r="N30" s="173">
        <v>331.31686046511627906976744186</v>
      </c>
      <c r="O30" s="379">
        <v>208.83620060473360442081117715</v>
      </c>
      <c r="P30" s="4"/>
      <c r="Q30" s="359">
        <v>-0.176937156789529546171137100</v>
      </c>
      <c r="R30" s="170">
        <v>-8.013243424824914467560068150</v>
      </c>
      <c r="S30" s="360">
        <v>-5.588555282132167861388790100</v>
      </c>
      <c r="T30" s="359">
        <v>0</v>
      </c>
      <c r="U30" s="170">
        <v>-87.03136954858057578257033836</v>
      </c>
      <c r="V30" s="360">
        <v>43.307174578847083478046056290</v>
      </c>
      <c r="W30" s="359">
        <v>0</v>
      </c>
      <c r="X30" s="170">
        <v>0</v>
      </c>
      <c r="Y30" s="360">
        <v>38.498804461836942785932970260</v>
      </c>
      <c r="Z30" s="359">
        <v>0.6741915802453620025306003500</v>
      </c>
      <c r="AA30" s="170">
        <v>-9.650645675274430055923989570</v>
      </c>
      <c r="AB30" s="360">
        <v>-0.5372423274916391799274661900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25</v>
      </c>
      <c r="C31" s="345" t="s">
        <v>49</v>
      </c>
      <c r="D31" s="370">
        <v>179.24242424242424242424242424</v>
      </c>
      <c r="E31" s="172">
        <v>206.8313953488372093023255814</v>
      </c>
      <c r="F31" s="371">
        <v>123.56870510830354706949588216</v>
      </c>
      <c r="G31" s="370">
        <v>0</v>
      </c>
      <c r="H31" s="172">
        <v>0.9854651162790697674418604651</v>
      </c>
      <c r="I31" s="371">
        <v>12.695797898692858784123546899</v>
      </c>
      <c r="J31" s="370">
        <v>0</v>
      </c>
      <c r="K31" s="172">
        <v>0</v>
      </c>
      <c r="L31" s="371">
        <v>10.8869931873524628774826458</v>
      </c>
      <c r="M31" s="370">
        <v>179.24242424242424242424242424</v>
      </c>
      <c r="N31" s="172">
        <v>207.81686046511627906976744186</v>
      </c>
      <c r="O31" s="371">
        <v>147.15149619434886873110207486</v>
      </c>
      <c r="P31" s="4"/>
      <c r="Q31" s="327">
        <v>3.1206415620533695284279581500</v>
      </c>
      <c r="R31" s="171">
        <v>-15.145082231169003741846488700</v>
      </c>
      <c r="S31" s="328">
        <v>-10.216685887719751804159908490</v>
      </c>
      <c r="T31" s="327">
        <v>0</v>
      </c>
      <c r="U31" s="171">
        <v>-61.608154020141569266718904630</v>
      </c>
      <c r="V31" s="328">
        <v>16.275126689950163541060044370</v>
      </c>
      <c r="W31" s="327">
        <v>0</v>
      </c>
      <c r="X31" s="171">
        <v>0</v>
      </c>
      <c r="Y31" s="328">
        <v>19.324610213573768146319286400</v>
      </c>
      <c r="Z31" s="327">
        <v>3.1206415620533695284279581500</v>
      </c>
      <c r="AA31" s="171">
        <v>-15.629278194788391150088868800</v>
      </c>
      <c r="AB31" s="328">
        <v>-6.6727084104436474867985509800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26</v>
      </c>
      <c r="C32" s="347" t="s">
        <v>47</v>
      </c>
      <c r="D32" s="378">
        <v>97.38636363636363636363636364</v>
      </c>
      <c r="E32" s="173">
        <v>122.86627906976744186046511628</v>
      </c>
      <c r="F32" s="379">
        <v>68.568514326055189523171710076</v>
      </c>
      <c r="G32" s="378">
        <v>0</v>
      </c>
      <c r="H32" s="173">
        <v>0</v>
      </c>
      <c r="I32" s="379">
        <v>8.831561507283039024677497068</v>
      </c>
      <c r="J32" s="378">
        <v>0</v>
      </c>
      <c r="K32" s="173">
        <v>0</v>
      </c>
      <c r="L32" s="379">
        <v>10.678435270821921592907752502</v>
      </c>
      <c r="M32" s="378">
        <v>97.38636363636363636363636364</v>
      </c>
      <c r="N32" s="173">
        <v>122.86627906976744186046511628</v>
      </c>
      <c r="O32" s="379">
        <v>88.07851110416015014075695965</v>
      </c>
      <c r="P32" s="4"/>
      <c r="Q32" s="359">
        <v>-20.741106110109944248706836170</v>
      </c>
      <c r="R32" s="170">
        <v>-19.891586588578685013551676430</v>
      </c>
      <c r="S32" s="360">
        <v>-12.806092063105551398457912200</v>
      </c>
      <c r="T32" s="359">
        <v>0</v>
      </c>
      <c r="U32" s="170">
        <v>-100</v>
      </c>
      <c r="V32" s="360">
        <v>66.427352884603407336105802100</v>
      </c>
      <c r="W32" s="359">
        <v>0</v>
      </c>
      <c r="X32" s="170">
        <v>0</v>
      </c>
      <c r="Y32" s="360">
        <v>34.735643293518994381273371520</v>
      </c>
      <c r="Z32" s="359">
        <v>-20.741106110109944248706836170</v>
      </c>
      <c r="AA32" s="170">
        <v>-20.930145545692196973995004750</v>
      </c>
      <c r="AB32" s="360">
        <v>-4.1282043807924045796591077300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27</v>
      </c>
      <c r="C33" s="345" t="s">
        <v>48</v>
      </c>
      <c r="D33" s="370">
        <v>79.204545454545454545454545455</v>
      </c>
      <c r="E33" s="172">
        <v>112.60174418604651162790697674</v>
      </c>
      <c r="F33" s="371">
        <v>71.437857768753775270830017661</v>
      </c>
      <c r="G33" s="370">
        <v>0</v>
      </c>
      <c r="H33" s="172">
        <v>0</v>
      </c>
      <c r="I33" s="371">
        <v>11.958835152043129676165627313</v>
      </c>
      <c r="J33" s="370">
        <v>0</v>
      </c>
      <c r="K33" s="172">
        <v>0</v>
      </c>
      <c r="L33" s="371">
        <v>10.582662725121143223163879578</v>
      </c>
      <c r="M33" s="370">
        <v>79.204545454545454545454545455</v>
      </c>
      <c r="N33" s="172">
        <v>112.60174418604651162790697674</v>
      </c>
      <c r="O33" s="371">
        <v>93.97935564591804817015952455</v>
      </c>
      <c r="P33" s="4"/>
      <c r="Q33" s="327">
        <v>-21.538461538485091643815839370</v>
      </c>
      <c r="R33" s="171">
        <v>-19.801652208096340375407287680</v>
      </c>
      <c r="S33" s="328">
        <v>-16.402875242853966405301033080</v>
      </c>
      <c r="T33" s="327">
        <v>0</v>
      </c>
      <c r="U33" s="171">
        <v>-100</v>
      </c>
      <c r="V33" s="328">
        <v>115.61076516705833994623845919</v>
      </c>
      <c r="W33" s="327">
        <v>0</v>
      </c>
      <c r="X33" s="171">
        <v>0</v>
      </c>
      <c r="Y33" s="328">
        <v>27.161419982733369059818766620</v>
      </c>
      <c r="Z33" s="327">
        <v>-21.538461538485091643815839370</v>
      </c>
      <c r="AA33" s="171">
        <v>-20.936071195317848185187376140</v>
      </c>
      <c r="AB33" s="328">
        <v>-5.3806791713299037698359786800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28</v>
      </c>
      <c r="C34" s="347" t="s">
        <v>50</v>
      </c>
      <c r="D34" s="378">
        <v>92</v>
      </c>
      <c r="E34" s="173">
        <v>126.9156976744186046511627907</v>
      </c>
      <c r="F34" s="379">
        <v>84.80645893823764164680482724</v>
      </c>
      <c r="G34" s="378">
        <v>0</v>
      </c>
      <c r="H34" s="173">
        <v>0</v>
      </c>
      <c r="I34" s="379">
        <v>18.081656766879159016060509679</v>
      </c>
      <c r="J34" s="378">
        <v>0</v>
      </c>
      <c r="K34" s="173">
        <v>0</v>
      </c>
      <c r="L34" s="379">
        <v>7.849867821105699597795699463</v>
      </c>
      <c r="M34" s="378">
        <v>92.000000000</v>
      </c>
      <c r="N34" s="173">
        <v>126.9156976744186046511627907</v>
      </c>
      <c r="O34" s="379">
        <v>110.73798352622250026066103639</v>
      </c>
      <c r="P34" s="4"/>
      <c r="Q34" s="359">
        <v>-3.9088463364213094087890922800</v>
      </c>
      <c r="R34" s="170">
        <v>-4.42844008580558268587640500</v>
      </c>
      <c r="S34" s="360">
        <v>-6.2791683713806058115266355100</v>
      </c>
      <c r="T34" s="359">
        <v>0</v>
      </c>
      <c r="U34" s="170">
        <v>-100</v>
      </c>
      <c r="V34" s="360">
        <v>104.17251365759297450511717695</v>
      </c>
      <c r="W34" s="359">
        <v>0</v>
      </c>
      <c r="X34" s="170">
        <v>0</v>
      </c>
      <c r="Y34" s="360">
        <v>-24.970471481495631736417519860</v>
      </c>
      <c r="Z34" s="359">
        <v>-3.9088463364213094087890922800</v>
      </c>
      <c r="AA34" s="170">
        <v>-6.6616782469251807448978629600</v>
      </c>
      <c r="AB34" s="360">
        <v>0.8480054342399302669494669700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29</v>
      </c>
      <c r="C35" s="345" t="s">
        <v>51</v>
      </c>
      <c r="D35" s="370">
        <v>118.09090909090909090909090909</v>
      </c>
      <c r="E35" s="172">
        <v>175.125000000</v>
      </c>
      <c r="F35" s="371">
        <v>90.91132297895887610334516026</v>
      </c>
      <c r="G35" s="370">
        <v>0</v>
      </c>
      <c r="H35" s="172">
        <v>0</v>
      </c>
      <c r="I35" s="371">
        <v>19.166666431913467331232635832</v>
      </c>
      <c r="J35" s="370">
        <v>0</v>
      </c>
      <c r="K35" s="172">
        <v>0</v>
      </c>
      <c r="L35" s="371">
        <v>10.311333913077192588777432764</v>
      </c>
      <c r="M35" s="370">
        <v>118.09090909090909090909090909</v>
      </c>
      <c r="N35" s="172">
        <v>175.125000000</v>
      </c>
      <c r="O35" s="371">
        <v>120.38932332394953602335522886</v>
      </c>
      <c r="P35" s="4"/>
      <c r="Q35" s="327">
        <v>4.6455424274832645619726794700</v>
      </c>
      <c r="R35" s="171">
        <v>-6.5666826930614517824482971600</v>
      </c>
      <c r="S35" s="328">
        <v>-13.902552826111772479473859350</v>
      </c>
      <c r="T35" s="327">
        <v>0</v>
      </c>
      <c r="U35" s="171">
        <v>0</v>
      </c>
      <c r="V35" s="328">
        <v>51.635954163053712576894024290</v>
      </c>
      <c r="W35" s="327">
        <v>0</v>
      </c>
      <c r="X35" s="171">
        <v>0</v>
      </c>
      <c r="Y35" s="328">
        <v>16.787255366773686323766645050</v>
      </c>
      <c r="Z35" s="327">
        <v>4.6455424274832645619726794700</v>
      </c>
      <c r="AA35" s="171">
        <v>-6.5666826930614517824482971600</v>
      </c>
      <c r="AB35" s="328">
        <v>-5.2502274744056818922784216600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30</v>
      </c>
      <c r="C36" s="347" t="s">
        <v>52</v>
      </c>
      <c r="D36" s="378">
        <v>162.46212121212121212121212121</v>
      </c>
      <c r="E36" s="173">
        <v>252.57267441860465116279069767</v>
      </c>
      <c r="F36" s="379">
        <v>130.91561180612627740029945964</v>
      </c>
      <c r="G36" s="378">
        <v>0</v>
      </c>
      <c r="H36" s="173">
        <v>0</v>
      </c>
      <c r="I36" s="379">
        <v>21.637895027843660508774941466</v>
      </c>
      <c r="J36" s="378">
        <v>0</v>
      </c>
      <c r="K36" s="173">
        <v>0</v>
      </c>
      <c r="L36" s="379">
        <v>9.527819409383205663024441548</v>
      </c>
      <c r="M36" s="378">
        <v>162.46212121212121212121212121</v>
      </c>
      <c r="N36" s="173">
        <v>252.57267441860465116279069767</v>
      </c>
      <c r="O36" s="379">
        <v>162.08132624335314357209884266</v>
      </c>
      <c r="P36" s="4"/>
      <c r="Q36" s="359">
        <v>-24.284150690258154787216868990</v>
      </c>
      <c r="R36" s="170">
        <v>4.3613520070957270975078056400</v>
      </c>
      <c r="S36" s="360">
        <v>-10.247692611553658590261402330</v>
      </c>
      <c r="T36" s="359">
        <v>0</v>
      </c>
      <c r="U36" s="170">
        <v>-100</v>
      </c>
      <c r="V36" s="360">
        <v>37.419225041146548008569510480</v>
      </c>
      <c r="W36" s="359">
        <v>0</v>
      </c>
      <c r="X36" s="170">
        <v>0</v>
      </c>
      <c r="Y36" s="360">
        <v>19.872815827838701901404406700</v>
      </c>
      <c r="Z36" s="359">
        <v>-24.284150690258154787216868990</v>
      </c>
      <c r="AA36" s="170">
        <v>2.4659763662571628170090457900</v>
      </c>
      <c r="AB36" s="360">
        <v>-4.4091706889882309033847079500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31</v>
      </c>
      <c r="C37" s="349" t="s">
        <v>53</v>
      </c>
      <c r="D37" s="380">
        <v>172.89393939393939393939393939</v>
      </c>
      <c r="E37" s="383">
        <v>207.64244186046511627906976744</v>
      </c>
      <c r="F37" s="381">
        <v>137.99967278157276948643423611</v>
      </c>
      <c r="G37" s="380">
        <v>0</v>
      </c>
      <c r="H37" s="383">
        <v>0</v>
      </c>
      <c r="I37" s="381">
        <v>17.607713951344205555195160993</v>
      </c>
      <c r="J37" s="380">
        <v>0</v>
      </c>
      <c r="K37" s="383">
        <v>0</v>
      </c>
      <c r="L37" s="381">
        <v>11.484991538379031631293134441</v>
      </c>
      <c r="M37" s="380">
        <v>172.89393939393939393939393939</v>
      </c>
      <c r="N37" s="383">
        <v>207.64244186046511627906976744</v>
      </c>
      <c r="O37" s="381">
        <v>167.09237827129600667292253154</v>
      </c>
      <c r="P37" s="4"/>
      <c r="Q37" s="329">
        <v>-25.969897495797462716200376780</v>
      </c>
      <c r="R37" s="330">
        <v>-16.328132321253119581524376490</v>
      </c>
      <c r="S37" s="332">
        <v>-6.8155860197296151599812505200</v>
      </c>
      <c r="T37" s="329">
        <v>0</v>
      </c>
      <c r="U37" s="330">
        <v>-100</v>
      </c>
      <c r="V37" s="332">
        <v>16.966130470444129434730463970</v>
      </c>
      <c r="W37" s="329">
        <v>0</v>
      </c>
      <c r="X37" s="330">
        <v>0</v>
      </c>
      <c r="Y37" s="332">
        <v>0.1448896160186688861769045800</v>
      </c>
      <c r="Z37" s="329">
        <v>-25.969897495797462716200376780</v>
      </c>
      <c r="AA37" s="330">
        <v>-17.243257021044550379626227940</v>
      </c>
      <c r="AB37" s="332">
        <v>-4.3081984976604746555747824800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154.42424242424242424242424242</v>
      </c>
      <c r="E39" s="382">
        <v>191.61845930232558139534883721</v>
      </c>
      <c r="F39" s="375">
        <v>112.02576874031486744960234764</v>
      </c>
      <c r="G39" s="374">
        <v>28.710227272727272727272727273</v>
      </c>
      <c r="H39" s="382">
        <v>4.9927325581395348837209302326</v>
      </c>
      <c r="I39" s="375">
        <v>26.373107655314151364367886756</v>
      </c>
      <c r="J39" s="374">
        <v>0</v>
      </c>
      <c r="K39" s="382">
        <v>0</v>
      </c>
      <c r="L39" s="375">
        <v>11.910450056252953868753152113</v>
      </c>
      <c r="M39" s="374">
        <v>183.1344696969696969696969697</v>
      </c>
      <c r="N39" s="382">
        <v>196.61119186046511627906976744</v>
      </c>
      <c r="O39" s="375">
        <v>150.30932645188197268272338651</v>
      </c>
      <c r="P39" s="4"/>
      <c r="Q39" s="354">
        <v>-5.2744086620967046735993098300</v>
      </c>
      <c r="R39" s="355">
        <v>-10.255833684472108872623035890</v>
      </c>
      <c r="S39" s="356">
        <v>-7.160054869603711160139801400</v>
      </c>
      <c r="T39" s="354">
        <v>-31.148657855353678783175601100</v>
      </c>
      <c r="U39" s="355">
        <v>452.14426286142329032360066367</v>
      </c>
      <c r="V39" s="356">
        <v>-0.057228773699383661694078200</v>
      </c>
      <c r="W39" s="354">
        <v>0</v>
      </c>
      <c r="X39" s="355">
        <v>0</v>
      </c>
      <c r="Y39" s="356">
        <v>22.466360104509589721865553850</v>
      </c>
      <c r="Z39" s="354">
        <v>-10.544623611153630538579431250</v>
      </c>
      <c r="AA39" s="355">
        <v>-8.305822149756488110145440880</v>
      </c>
      <c r="AB39" s="356">
        <v>-4.1267300464876910423810685100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110.07954545454545454545454545</v>
      </c>
      <c r="E40" s="172">
        <v>139.67587209302325581395348837</v>
      </c>
      <c r="F40" s="371">
        <v>84.34153970639342186572125951</v>
      </c>
      <c r="G40" s="370">
        <v>12.477272727272727272727272727</v>
      </c>
      <c r="H40" s="172">
        <v>8.09811046511627906976744186</v>
      </c>
      <c r="I40" s="371">
        <v>26.953993317744912388301663982</v>
      </c>
      <c r="J40" s="370">
        <v>0</v>
      </c>
      <c r="K40" s="172">
        <v>0</v>
      </c>
      <c r="L40" s="371">
        <v>10.715805730944555955548549761</v>
      </c>
      <c r="M40" s="370">
        <v>122.55681818181818181818181818</v>
      </c>
      <c r="N40" s="172">
        <v>147.77398255813953488372093023</v>
      </c>
      <c r="O40" s="371">
        <v>122.01133875508289020957147326</v>
      </c>
      <c r="P40" s="4"/>
      <c r="Q40" s="327">
        <v>-14.581741226257323542764212080</v>
      </c>
      <c r="R40" s="171">
        <v>-13.755792546158237128554341680</v>
      </c>
      <c r="S40" s="328">
        <v>-8.192671955746541606212607180</v>
      </c>
      <c r="T40" s="327">
        <v>0</v>
      </c>
      <c r="U40" s="171">
        <v>1507.9365080330305320839452671</v>
      </c>
      <c r="V40" s="328">
        <v>4.3016560308793403724460119100</v>
      </c>
      <c r="W40" s="327">
        <v>0</v>
      </c>
      <c r="X40" s="171">
        <v>0</v>
      </c>
      <c r="Y40" s="328">
        <v>22.948519385997635993245262220</v>
      </c>
      <c r="Z40" s="327">
        <v>-4.8997707365732666882122460300</v>
      </c>
      <c r="AA40" s="171">
        <v>-9.038402973587962818015722990</v>
      </c>
      <c r="AB40" s="328">
        <v>-3.4919024175839694209552188300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95.99242424242424242424242424</v>
      </c>
      <c r="E41" s="173">
        <v>124.26380813953488372093023256</v>
      </c>
      <c r="F41" s="379">
        <v>86.93222189293187226657234656</v>
      </c>
      <c r="G41" s="378">
        <v>19.09469696969696969696969697</v>
      </c>
      <c r="H41" s="173">
        <v>22.739825581395348837209302326</v>
      </c>
      <c r="I41" s="379">
        <v>29.4551508253594861728682571</v>
      </c>
      <c r="J41" s="378">
        <v>0</v>
      </c>
      <c r="K41" s="173">
        <v>0</v>
      </c>
      <c r="L41" s="379">
        <v>10.277808180467895027351180305</v>
      </c>
      <c r="M41" s="378">
        <v>115.08712121212121212121212121</v>
      </c>
      <c r="N41" s="173">
        <v>147.00363372093023255813953488</v>
      </c>
      <c r="O41" s="379">
        <v>126.66518089875925346679178396</v>
      </c>
      <c r="P41" s="4"/>
      <c r="Q41" s="359">
        <v>-21.218621279247348264830335170</v>
      </c>
      <c r="R41" s="170">
        <v>-13.899786109513434298909669290</v>
      </c>
      <c r="S41" s="360">
        <v>-10.783433782640579718738891680</v>
      </c>
      <c r="T41" s="359">
        <v>673.15950920150532575558097507</v>
      </c>
      <c r="U41" s="170">
        <v>1178.1862745398788927342716602</v>
      </c>
      <c r="V41" s="360">
        <v>-1.4522986574759381268925341600</v>
      </c>
      <c r="W41" s="359">
        <v>0</v>
      </c>
      <c r="X41" s="170">
        <v>0</v>
      </c>
      <c r="Y41" s="360">
        <v>15.511431723143458511179915190</v>
      </c>
      <c r="Z41" s="359">
        <v>-7.4239400356585640668470236500</v>
      </c>
      <c r="AA41" s="170">
        <v>0.6159612111458002644406018200</v>
      </c>
      <c r="AB41" s="360">
        <v>-7.0186499495918349798094966600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105.87878787878787878787878788</v>
      </c>
      <c r="E42" s="172">
        <v>122.17151162790697674418604651</v>
      </c>
      <c r="F42" s="371">
        <v>94.40814555212625601988743986</v>
      </c>
      <c r="G42" s="370">
        <v>26.496212121212121212121212121</v>
      </c>
      <c r="H42" s="172">
        <v>30.353924418604651162790697674</v>
      </c>
      <c r="I42" s="371">
        <v>33.056860139720765451047537353</v>
      </c>
      <c r="J42" s="370">
        <v>0</v>
      </c>
      <c r="K42" s="172">
        <v>0</v>
      </c>
      <c r="L42" s="371">
        <v>10.03929521525338516028178851</v>
      </c>
      <c r="M42" s="370">
        <v>132.375000000</v>
      </c>
      <c r="N42" s="172">
        <v>152.52543604651162790697674419</v>
      </c>
      <c r="O42" s="371">
        <v>137.50430090710040663121676572</v>
      </c>
      <c r="P42" s="4"/>
      <c r="Q42" s="327">
        <v>-16.954112631270002517659137990</v>
      </c>
      <c r="R42" s="171">
        <v>-11.165407384581527193851029890</v>
      </c>
      <c r="S42" s="328">
        <v>-6.0886684171274174306044569300</v>
      </c>
      <c r="T42" s="327">
        <v>286.35735984278581147853442157</v>
      </c>
      <c r="U42" s="171">
        <v>340.39769789109632550874486359</v>
      </c>
      <c r="V42" s="328">
        <v>9.674920722789237215579536620</v>
      </c>
      <c r="W42" s="327">
        <v>0</v>
      </c>
      <c r="X42" s="171">
        <v>0</v>
      </c>
      <c r="Y42" s="328">
        <v>6.1920368020871369052022384300</v>
      </c>
      <c r="Z42" s="327">
        <v>-1.4717076884239590545164325900</v>
      </c>
      <c r="AA42" s="171">
        <v>5.6128837547058333715987353500</v>
      </c>
      <c r="AB42" s="328">
        <v>-1.8693444429475409546564765400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128.87689393939393939393939394</v>
      </c>
      <c r="E43" s="173">
        <v>154.60828488372093023255813953</v>
      </c>
      <c r="F43" s="379">
        <v>109.50477011023084808934122915</v>
      </c>
      <c r="G43" s="378">
        <v>24.272727272727272727272727273</v>
      </c>
      <c r="H43" s="173">
        <v>22.862645348837209302325581395</v>
      </c>
      <c r="I43" s="379">
        <v>29.107763617429596947226070517</v>
      </c>
      <c r="J43" s="378">
        <v>0</v>
      </c>
      <c r="K43" s="173">
        <v>0</v>
      </c>
      <c r="L43" s="379">
        <v>11.246083726202551522707020001</v>
      </c>
      <c r="M43" s="378">
        <v>153.14962121212121212121212121</v>
      </c>
      <c r="N43" s="173">
        <v>177.47093023255813953488372093</v>
      </c>
      <c r="O43" s="379">
        <v>149.85861745386299655927431967</v>
      </c>
      <c r="P43" s="4"/>
      <c r="Q43" s="359">
        <v>-7.2967044943444875822391518500</v>
      </c>
      <c r="R43" s="170">
        <v>-13.607060247752510723211748780</v>
      </c>
      <c r="S43" s="360">
        <v>-3.1310507203173810708239285100</v>
      </c>
      <c r="T43" s="359">
        <v>284.05753670814625817504816539</v>
      </c>
      <c r="U43" s="170">
        <v>274.91621187306876624818224906</v>
      </c>
      <c r="V43" s="360">
        <v>15.484335576926651161049618360</v>
      </c>
      <c r="W43" s="359">
        <v>0</v>
      </c>
      <c r="X43" s="170">
        <v>0</v>
      </c>
      <c r="Y43" s="360">
        <v>31.530890684624581786630944540</v>
      </c>
      <c r="Z43" s="359">
        <v>5.3726869950548056932183510900</v>
      </c>
      <c r="AA43" s="170">
        <v>-4.0995566777654743773827733100</v>
      </c>
      <c r="AB43" s="360">
        <v>2.0839897320395646049461871900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186.23106060606060606060606061</v>
      </c>
      <c r="E44" s="172">
        <v>231.90988372093023255813953488</v>
      </c>
      <c r="F44" s="371">
        <v>143.03395284873711575515275649</v>
      </c>
      <c r="G44" s="370">
        <v>10.839015151515151515151515152</v>
      </c>
      <c r="H44" s="172">
        <v>2.3866279069767441860465116279</v>
      </c>
      <c r="I44" s="371">
        <v>22.948816333942560768286747313</v>
      </c>
      <c r="J44" s="370">
        <v>0</v>
      </c>
      <c r="K44" s="172">
        <v>0</v>
      </c>
      <c r="L44" s="371">
        <v>11.451648500565032057521814104</v>
      </c>
      <c r="M44" s="370">
        <v>197.07007575757575757575757576</v>
      </c>
      <c r="N44" s="172">
        <v>234.29651162790697674418604651</v>
      </c>
      <c r="O44" s="371">
        <v>177.4344176832447085809613179</v>
      </c>
      <c r="P44" s="4"/>
      <c r="Q44" s="327">
        <v>-13.369455090087800771909321870</v>
      </c>
      <c r="R44" s="171">
        <v>-8.803250710692566745459073710</v>
      </c>
      <c r="S44" s="328">
        <v>-6.4387787907713688821464671500</v>
      </c>
      <c r="T44" s="327">
        <v>-15.565063440403412320822147860</v>
      </c>
      <c r="U44" s="171">
        <v>-47.993963098503268450463290980</v>
      </c>
      <c r="V44" s="328">
        <v>22.498079140496978935102453230</v>
      </c>
      <c r="W44" s="327">
        <v>0</v>
      </c>
      <c r="X44" s="171">
        <v>0</v>
      </c>
      <c r="Y44" s="328">
        <v>23.817857797071161067679154880</v>
      </c>
      <c r="Z44" s="327">
        <v>-13.493178587160665732838038860</v>
      </c>
      <c r="AA44" s="171">
        <v>-9.497965639786239260511708280</v>
      </c>
      <c r="AB44" s="328">
        <v>-1.8941587985290365886889565200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221.15909090909090909090909091</v>
      </c>
      <c r="E45" s="385">
        <v>247.91715116279069767441860465</v>
      </c>
      <c r="F45" s="386">
        <v>156.15799605177575117735165516</v>
      </c>
      <c r="G45" s="384">
        <v>10.200757575757575757575757576</v>
      </c>
      <c r="H45" s="385">
        <v>1.5806686046511627906976744186</v>
      </c>
      <c r="I45" s="386">
        <v>17.917536977247501581021421428</v>
      </c>
      <c r="J45" s="384">
        <v>0</v>
      </c>
      <c r="K45" s="385">
        <v>0</v>
      </c>
      <c r="L45" s="386">
        <v>12.161798844608276800588449838</v>
      </c>
      <c r="M45" s="384">
        <v>231.35984848484848484848484848</v>
      </c>
      <c r="N45" s="385">
        <v>249.49781976744186046511627907</v>
      </c>
      <c r="O45" s="386">
        <v>186.23733187363152955896152643</v>
      </c>
      <c r="P45" s="4"/>
      <c r="Q45" s="364">
        <v>-2.5128984321309072331390572100</v>
      </c>
      <c r="R45" s="365">
        <v>-10.183945134916230564085029180</v>
      </c>
      <c r="S45" s="366">
        <v>-3.105202645099588606822936700</v>
      </c>
      <c r="T45" s="364">
        <v>35.804336862680927063095442820</v>
      </c>
      <c r="U45" s="365">
        <v>-46.440263394412800910153235590</v>
      </c>
      <c r="V45" s="366">
        <v>12.894818119186980136951727490</v>
      </c>
      <c r="W45" s="364">
        <v>0</v>
      </c>
      <c r="X45" s="365">
        <v>0</v>
      </c>
      <c r="Y45" s="366">
        <v>23.070446820459710382703974480</v>
      </c>
      <c r="Z45" s="364">
        <v>-1.2848692504070225228949365300</v>
      </c>
      <c r="AA45" s="365">
        <v>-10.567488757767425486362033280</v>
      </c>
      <c r="AB45" s="366">
        <v>-0.36276608358072753896797400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128.754329004329004329004329</v>
      </c>
      <c r="E47" s="382">
        <v>172.07931893687707641196013289</v>
      </c>
      <c r="F47" s="375">
        <v>101.17259195828686807148304188</v>
      </c>
      <c r="G47" s="374">
        <v>0</v>
      </c>
      <c r="H47" s="382">
        <v>0.1407807308970099667774086379</v>
      </c>
      <c r="I47" s="375">
        <v>15.71144667657135998517570275</v>
      </c>
      <c r="J47" s="374">
        <v>0</v>
      </c>
      <c r="K47" s="382">
        <v>0</v>
      </c>
      <c r="L47" s="375">
        <v>10.188871980748665310634998014</v>
      </c>
      <c r="M47" s="374">
        <v>128.754329004329004329004329</v>
      </c>
      <c r="N47" s="382">
        <v>172.22009966777408637873754153</v>
      </c>
      <c r="O47" s="375">
        <v>127.07291061560689336729374265</v>
      </c>
      <c r="P47" s="4"/>
      <c r="Q47" s="354">
        <v>-14.517183649110392635559450810</v>
      </c>
      <c r="R47" s="355">
        <v>-9.954776461519705127747727610</v>
      </c>
      <c r="S47" s="356">
        <v>-10.524417884200806916198436060</v>
      </c>
      <c r="T47" s="354">
        <v>0</v>
      </c>
      <c r="U47" s="355">
        <v>-94.18125993125509801151944772</v>
      </c>
      <c r="V47" s="356">
        <v>48.550655882057984401729165750</v>
      </c>
      <c r="W47" s="354">
        <v>0</v>
      </c>
      <c r="X47" s="355">
        <v>0</v>
      </c>
      <c r="Y47" s="356">
        <v>11.330854560626865309370596420</v>
      </c>
      <c r="Z47" s="354">
        <v>-14.517183649110392635559450810</v>
      </c>
      <c r="AA47" s="355">
        <v>-11.007783118591209349474589890</v>
      </c>
      <c r="AB47" s="356">
        <v>-4.3134517449913912406717097300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143.23457792207792207792207792</v>
      </c>
      <c r="E48" s="172">
        <v>173.16642441860465116279069767</v>
      </c>
      <c r="F48" s="371">
        <v>112.34348498607287608908986205</v>
      </c>
      <c r="G48" s="370">
        <v>18.87012987012987012987012987</v>
      </c>
      <c r="H48" s="172">
        <v>13.287790697674418604651162791</v>
      </c>
      <c r="I48" s="371">
        <v>26.544746980965567810445654921</v>
      </c>
      <c r="J48" s="370">
        <v>0</v>
      </c>
      <c r="K48" s="172">
        <v>0</v>
      </c>
      <c r="L48" s="371">
        <v>11.11469860775637862753599352</v>
      </c>
      <c r="M48" s="370">
        <v>162.10470779220779220779220779</v>
      </c>
      <c r="N48" s="172">
        <v>186.45421511627906976744186047</v>
      </c>
      <c r="O48" s="371">
        <v>150.00293057479482252707151049</v>
      </c>
      <c r="P48" s="4"/>
      <c r="Q48" s="327">
        <v>-10.644902120326962860753749390</v>
      </c>
      <c r="R48" s="171">
        <v>-11.064192102968356619028090110</v>
      </c>
      <c r="S48" s="328">
        <v>-6.1023165005938814099476583500</v>
      </c>
      <c r="T48" s="327">
        <v>70.011944518875358874537659250</v>
      </c>
      <c r="U48" s="171">
        <v>291.84721725882628958409961230</v>
      </c>
      <c r="V48" s="328">
        <v>7.976921202976810589787140160</v>
      </c>
      <c r="W48" s="327">
        <v>0</v>
      </c>
      <c r="X48" s="171">
        <v>0</v>
      </c>
      <c r="Y48" s="328">
        <v>20.676183790615277500792056730</v>
      </c>
      <c r="Z48" s="327">
        <v>-5.4217542641343244422799884900</v>
      </c>
      <c r="AA48" s="171">
        <v>-5.8789858551438265752471343700</v>
      </c>
      <c r="AB48" s="328">
        <v>-2.2391474917898874055577671300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155.8115835777126099706744868</v>
      </c>
      <c r="E49" s="385">
        <v>193.71818946987934491756884588</v>
      </c>
      <c r="F49" s="386">
        <v>121.89174906404236045412695752</v>
      </c>
      <c r="G49" s="384">
        <v>25.841153470185728250244379277</v>
      </c>
      <c r="H49" s="385">
        <v>17.029278647149912396759736258</v>
      </c>
      <c r="I49" s="386">
        <v>30.69354450166002904545662334</v>
      </c>
      <c r="J49" s="384">
        <v>0</v>
      </c>
      <c r="K49" s="385">
        <v>0</v>
      </c>
      <c r="L49" s="386">
        <v>11.316852599553344202374908447</v>
      </c>
      <c r="M49" s="384">
        <v>181.65273704789833822091886608</v>
      </c>
      <c r="N49" s="385">
        <v>210.74746811702925731432858215</v>
      </c>
      <c r="O49" s="386">
        <v>163.90214616525573370195848931</v>
      </c>
      <c r="P49" s="4"/>
      <c r="Q49" s="364">
        <v>-2.0170399535411323177536968300</v>
      </c>
      <c r="R49" s="365">
        <v>-7.3432260856869402291238528900</v>
      </c>
      <c r="S49" s="366">
        <v>-3.8265275467355897519782073500</v>
      </c>
      <c r="T49" s="364">
        <v>-21.654021694058111947968375490</v>
      </c>
      <c r="U49" s="365">
        <v>466.18039910940895479950749680</v>
      </c>
      <c r="V49" s="366">
        <v>4.1452375632536857374845419100</v>
      </c>
      <c r="W49" s="364">
        <v>0</v>
      </c>
      <c r="X49" s="365">
        <v>0</v>
      </c>
      <c r="Y49" s="366">
        <v>21.868050918246360367996813200</v>
      </c>
      <c r="Z49" s="364">
        <v>-5.3904036534402542027065762900</v>
      </c>
      <c r="AA49" s="365">
        <v>-0.6276003463923616009403192900</v>
      </c>
      <c r="AB49" s="366">
        <v>-0.9652115751773726432986615200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4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137</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3"/>
      <c r="C4" s="211"/>
      <c r="D4" s="212"/>
      <c r="E4" s="212"/>
      <c r="F4" s="212"/>
      <c r="G4" s="212"/>
      <c r="H4" s="212"/>
      <c r="I4" s="212"/>
      <c r="J4" s="212"/>
      <c r="K4" s="212"/>
      <c r="L4" s="212"/>
      <c r="M4" s="212"/>
      <c r="N4" s="212"/>
      <c r="O4" s="212"/>
      <c r="P4" s="212"/>
      <c r="Q4" s="659" t="s">
        <v>182</v>
      </c>
      <c r="R4" s="659"/>
      <c r="S4" s="659"/>
      <c r="T4" s="659"/>
      <c r="U4" s="659"/>
      <c r="V4" s="659"/>
      <c r="W4" s="659"/>
      <c r="X4" s="659"/>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62" t="s">
        <v>33</v>
      </c>
      <c r="E8" s="662"/>
      <c r="F8" s="662"/>
      <c r="G8" s="662" t="s">
        <v>30</v>
      </c>
      <c r="H8" s="662"/>
      <c r="I8" s="662"/>
      <c r="J8" s="662" t="s">
        <v>29</v>
      </c>
      <c r="K8" s="662"/>
      <c r="L8" s="662"/>
      <c r="M8" s="662" t="s">
        <v>94</v>
      </c>
      <c r="N8" s="662"/>
      <c r="O8" s="662"/>
      <c r="Q8" s="662" t="s">
        <v>33</v>
      </c>
      <c r="R8" s="662"/>
      <c r="S8" s="662"/>
      <c r="T8" s="662" t="s">
        <v>30</v>
      </c>
      <c r="U8" s="662"/>
      <c r="V8" s="662"/>
      <c r="W8" s="662" t="s">
        <v>29</v>
      </c>
      <c r="X8" s="662"/>
      <c r="Y8" s="662"/>
      <c r="Z8" s="663" t="s">
        <v>23</v>
      </c>
      <c r="AA8" s="663"/>
      <c r="AB8" s="663"/>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94" t="s">
        <v>63</v>
      </c>
      <c r="AA9" s="94" t="s">
        <v>26</v>
      </c>
      <c r="AB9" s="95"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181</v>
      </c>
      <c r="B10" s="342">
        <v>4</v>
      </c>
      <c r="C10" s="343" t="s">
        <v>49</v>
      </c>
      <c r="D10" s="374">
        <v>289.93023255813953488372093023</v>
      </c>
      <c r="E10" s="382">
        <v>366.80425531914893617021276597</v>
      </c>
      <c r="F10" s="375">
        <v>268.22478013450594930160372478</v>
      </c>
      <c r="G10" s="374">
        <v>3.0232558139534883720930232558</v>
      </c>
      <c r="H10" s="382">
        <v>103.51572268238193325160399022</v>
      </c>
      <c r="I10" s="375">
        <v>62.484003831393180203439202685</v>
      </c>
      <c r="J10" s="374">
        <v>25.031007751937984496124031008</v>
      </c>
      <c r="K10" s="382">
        <v>27.093699321065634470698785884</v>
      </c>
      <c r="L10" s="375">
        <v>20.68019899530411123943794937</v>
      </c>
      <c r="M10" s="374">
        <v>317.9844961240310077519379845</v>
      </c>
      <c r="N10" s="382">
        <v>497.41367732259650389251554206</v>
      </c>
      <c r="O10" s="375">
        <v>351.38898296120324074448087684</v>
      </c>
      <c r="P10" s="4"/>
      <c r="Q10" s="354">
        <v>91.17747440273037542662116041</v>
      </c>
      <c r="R10" s="355">
        <v>73.742293797293168215396229130</v>
      </c>
      <c r="S10" s="356">
        <v>76.332723318226676503559486050</v>
      </c>
      <c r="T10" s="354">
        <v>0.9507557289127254997562164800</v>
      </c>
      <c r="U10" s="355">
        <v>20.810791379837158725308697450</v>
      </c>
      <c r="V10" s="356">
        <v>17.782004234973986528566911630</v>
      </c>
      <c r="W10" s="354">
        <v>7.8717698683568990736226231100</v>
      </c>
      <c r="X10" s="355">
        <v>5.4469148228696730592950734200</v>
      </c>
      <c r="Y10" s="356">
        <v>5.8852724467993369678736023100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5</v>
      </c>
      <c r="C11" s="345" t="s">
        <v>47</v>
      </c>
      <c r="D11" s="370">
        <v>191.56470588235294117647058824</v>
      </c>
      <c r="E11" s="172">
        <v>240.5309734513274336283185841</v>
      </c>
      <c r="F11" s="371">
        <v>208.01699544764795144157814871</v>
      </c>
      <c r="G11" s="370">
        <v>4.9647058823529411764705882353</v>
      </c>
      <c r="H11" s="172">
        <v>61.410496469485889388924242359</v>
      </c>
      <c r="I11" s="371">
        <v>63.170218617550102035476950448</v>
      </c>
      <c r="J11" s="370">
        <v>32.564705882352941176470588235</v>
      </c>
      <c r="K11" s="172">
        <v>35.606566283170580219049057897</v>
      </c>
      <c r="L11" s="371">
        <v>25.242678006898148107088915869</v>
      </c>
      <c r="M11" s="370">
        <v>229.09411764705882352941176471</v>
      </c>
      <c r="N11" s="172">
        <v>337.54803620398390323629188435</v>
      </c>
      <c r="O11" s="371">
        <v>296.42989207209620158414401502</v>
      </c>
      <c r="P11" s="4"/>
      <c r="Q11" s="327">
        <v>83.61834334719868535921532378</v>
      </c>
      <c r="R11" s="171">
        <v>71.258294421233718358318997300</v>
      </c>
      <c r="S11" s="328">
        <v>70.174095464385587036453480780</v>
      </c>
      <c r="T11" s="327">
        <v>2.1671031684897036922918913400</v>
      </c>
      <c r="U11" s="171">
        <v>18.193113241036563720269790560</v>
      </c>
      <c r="V11" s="328">
        <v>21.310340254816864477047137500</v>
      </c>
      <c r="W11" s="327">
        <v>14.214553484311610948492784880</v>
      </c>
      <c r="X11" s="171">
        <v>10.548592337729717921411212150</v>
      </c>
      <c r="Y11" s="328">
        <v>8.515564280797548486499381720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6</v>
      </c>
      <c r="C12" s="347" t="s">
        <v>48</v>
      </c>
      <c r="D12" s="378">
        <v>173.10294117647058823529411765</v>
      </c>
      <c r="E12" s="173">
        <v>264.41632653061224489795918368</v>
      </c>
      <c r="F12" s="379">
        <v>206.64245548266166822867853796</v>
      </c>
      <c r="G12" s="378">
        <v>1.9411764705882352941176470588</v>
      </c>
      <c r="H12" s="173">
        <v>123.28770616586166921145565268</v>
      </c>
      <c r="I12" s="379">
        <v>98.54557968000885895294808485</v>
      </c>
      <c r="J12" s="378">
        <v>23.397058823529411764705882353</v>
      </c>
      <c r="K12" s="173">
        <v>32.685324863552043061253560796</v>
      </c>
      <c r="L12" s="379">
        <v>21.445300372142367373304476509</v>
      </c>
      <c r="M12" s="378">
        <v>198.44117647058823529411764706</v>
      </c>
      <c r="N12" s="173">
        <v>420.38935756002595717066839714</v>
      </c>
      <c r="O12" s="379">
        <v>326.63333553481289455493109931</v>
      </c>
      <c r="P12" s="4"/>
      <c r="Q12" s="359">
        <v>87.23136208685341633318511931</v>
      </c>
      <c r="R12" s="170">
        <v>62.897959183673469387755102040</v>
      </c>
      <c r="S12" s="360">
        <v>63.264349655039271670544722960</v>
      </c>
      <c r="T12" s="359">
        <v>0.978212538906180524677634500</v>
      </c>
      <c r="U12" s="170">
        <v>29.327028372324539571926331510</v>
      </c>
      <c r="V12" s="360">
        <v>30.170092565308838920105266370</v>
      </c>
      <c r="W12" s="359">
        <v>11.790425374240403142137246180</v>
      </c>
      <c r="X12" s="170">
        <v>7.7750124440019910403185664500</v>
      </c>
      <c r="Y12" s="360">
        <v>6.5655577796518894093500106700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7</v>
      </c>
      <c r="C13" s="345" t="s">
        <v>50</v>
      </c>
      <c r="D13" s="370">
        <v>185.79816513761467889908256881</v>
      </c>
      <c r="E13" s="172">
        <v>276.52816901408450704225352112</v>
      </c>
      <c r="F13" s="371">
        <v>214.8214917452830188679245283</v>
      </c>
      <c r="G13" s="370">
        <v>0.8990825688073394495412844037</v>
      </c>
      <c r="H13" s="172">
        <v>151.74890191330105959092994328</v>
      </c>
      <c r="I13" s="371">
        <v>130.71401438870533845594184452</v>
      </c>
      <c r="J13" s="370">
        <v>24.954128440366972477064220183</v>
      </c>
      <c r="K13" s="172">
        <v>26.750666194283369009920792772</v>
      </c>
      <c r="L13" s="371">
        <v>31.077394738250022436532017789</v>
      </c>
      <c r="M13" s="370">
        <v>211.65137614678899082568807339</v>
      </c>
      <c r="N13" s="172">
        <v>455.02773712166893564310425718</v>
      </c>
      <c r="O13" s="371">
        <v>376.61290087223837976039839061</v>
      </c>
      <c r="P13" s="4"/>
      <c r="Q13" s="327">
        <v>87.78500216731686172518422193</v>
      </c>
      <c r="R13" s="171">
        <v>60.771717074500934369561207220</v>
      </c>
      <c r="S13" s="328">
        <v>57.040396451569977833962346210</v>
      </c>
      <c r="T13" s="327">
        <v>0.4247941048981361074989163400</v>
      </c>
      <c r="U13" s="171">
        <v>33.349374012495689067475116900</v>
      </c>
      <c r="V13" s="328">
        <v>34.707789904692769191019881090</v>
      </c>
      <c r="W13" s="327">
        <v>11.790203727785002167316861730</v>
      </c>
      <c r="X13" s="171">
        <v>5.8789089130033765629636758800</v>
      </c>
      <c r="Y13" s="328">
        <v>8.251813643737252975017772700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8</v>
      </c>
      <c r="C14" s="347" t="s">
        <v>51</v>
      </c>
      <c r="D14" s="378">
        <v>208.4867256637168141592920354</v>
      </c>
      <c r="E14" s="173">
        <v>278.13818181818181818181818182</v>
      </c>
      <c r="F14" s="379">
        <v>228.11447721179624664879356568</v>
      </c>
      <c r="G14" s="378">
        <v>0.8938053097345132743362831858</v>
      </c>
      <c r="H14" s="173">
        <v>134.83909287897838230895131459</v>
      </c>
      <c r="I14" s="379">
        <v>76.516145944282880287800455693</v>
      </c>
      <c r="J14" s="378">
        <v>28.486725663716814159292035398</v>
      </c>
      <c r="K14" s="173">
        <v>26.976003268554029635862652635</v>
      </c>
      <c r="L14" s="379">
        <v>33.793810063904652753880499942</v>
      </c>
      <c r="M14" s="378">
        <v>237.86725663716814159292035398</v>
      </c>
      <c r="N14" s="173">
        <v>439.95327796571423012663214902</v>
      </c>
      <c r="O14" s="379">
        <v>338.42443321998377969047452133</v>
      </c>
      <c r="P14" s="4"/>
      <c r="Q14" s="359">
        <v>87.64835001302131775735704453</v>
      </c>
      <c r="R14" s="170">
        <v>63.219936240560812467760893650</v>
      </c>
      <c r="S14" s="360">
        <v>67.404848710647470527184181810</v>
      </c>
      <c r="T14" s="359">
        <v>0.3757580267123032850924513600</v>
      </c>
      <c r="U14" s="170">
        <v>30.648502837041359073881461560</v>
      </c>
      <c r="V14" s="360">
        <v>22.609521781941080980386938820</v>
      </c>
      <c r="W14" s="359">
        <v>11.975891960266378957550504110</v>
      </c>
      <c r="X14" s="170">
        <v>6.1315609223978284583576447900</v>
      </c>
      <c r="Y14" s="360">
        <v>9.985629507411448492428879370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9</v>
      </c>
      <c r="C15" s="345" t="s">
        <v>52</v>
      </c>
      <c r="D15" s="370">
        <v>277.38095238095238095238095238</v>
      </c>
      <c r="E15" s="172">
        <v>267.42968750000000000000000002</v>
      </c>
      <c r="F15" s="371">
        <v>229.57022359084214754317847101</v>
      </c>
      <c r="G15" s="370">
        <v>1.2</v>
      </c>
      <c r="H15" s="172">
        <v>68.913833911992780777290038396</v>
      </c>
      <c r="I15" s="371">
        <v>105.6936930299533461786497605</v>
      </c>
      <c r="J15" s="370">
        <v>31.266666666666666666666666667</v>
      </c>
      <c r="K15" s="172">
        <v>77.990270132951469081231550455</v>
      </c>
      <c r="L15" s="371">
        <v>23.891912698721544172952807172</v>
      </c>
      <c r="M15" s="370">
        <v>309.84761904761904761904761905</v>
      </c>
      <c r="N15" s="172">
        <v>414.33379154494424985852158886</v>
      </c>
      <c r="O15" s="371">
        <v>359.15582931951703789478103869</v>
      </c>
      <c r="P15" s="4"/>
      <c r="Q15" s="327">
        <v>89.52173111206737566853138255</v>
      </c>
      <c r="R15" s="171">
        <v>64.544503238035065550465961140</v>
      </c>
      <c r="S15" s="328">
        <v>63.919392322213653548943879130</v>
      </c>
      <c r="T15" s="327">
        <v>0.3872871457552099342226593700</v>
      </c>
      <c r="U15" s="171">
        <v>16.632443531827515400410677620</v>
      </c>
      <c r="V15" s="328">
        <v>29.428366297216549389473332700</v>
      </c>
      <c r="W15" s="327">
        <v>10.090981742177414397245958070</v>
      </c>
      <c r="X15" s="171">
        <v>18.823053230137419049123361240</v>
      </c>
      <c r="Y15" s="328">
        <v>6.6522413805697970615827881700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10</v>
      </c>
      <c r="C16" s="347" t="s">
        <v>53</v>
      </c>
      <c r="D16" s="378">
        <v>262.84070796460176991150442478</v>
      </c>
      <c r="E16" s="173">
        <v>271.5120967741935483870967742</v>
      </c>
      <c r="F16" s="379">
        <v>224.58189244383934649421375085</v>
      </c>
      <c r="G16" s="378">
        <v>1.0619469026548672566371681416</v>
      </c>
      <c r="H16" s="173">
        <v>97.68181684116461377425128207</v>
      </c>
      <c r="I16" s="379">
        <v>102.11303653702481395356268295</v>
      </c>
      <c r="J16" s="378">
        <v>31.424778761061946902654867257</v>
      </c>
      <c r="K16" s="173">
        <v>33.462054226983716592909802429</v>
      </c>
      <c r="L16" s="379">
        <v>28.839659865053036877367380384</v>
      </c>
      <c r="M16" s="378">
        <v>295.32743362831858407079646018</v>
      </c>
      <c r="N16" s="173">
        <v>402.65596784234187875425785869</v>
      </c>
      <c r="O16" s="379">
        <v>355.53458884591719732514381417</v>
      </c>
      <c r="P16" s="4"/>
      <c r="Q16" s="359">
        <v>88.99976027807743018099005154</v>
      </c>
      <c r="R16" s="170">
        <v>67.43029247253150874689110200</v>
      </c>
      <c r="S16" s="360">
        <v>63.167382159030782600222748690</v>
      </c>
      <c r="T16" s="359">
        <v>0.3595828838547285149226896800</v>
      </c>
      <c r="U16" s="170">
        <v>24.259373917788668394706740410</v>
      </c>
      <c r="V16" s="360">
        <v>28.720985170103635924854607190</v>
      </c>
      <c r="W16" s="359">
        <v>10.640656838067841304087258780</v>
      </c>
      <c r="X16" s="170">
        <v>8.310333609679822858402157600</v>
      </c>
      <c r="Y16" s="360">
        <v>8.111632670865581474922644120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11</v>
      </c>
      <c r="C17" s="345" t="s">
        <v>49</v>
      </c>
      <c r="D17" s="370">
        <v>165.72727272727272727272727273</v>
      </c>
      <c r="E17" s="172">
        <v>226.47208121827411167512690357</v>
      </c>
      <c r="F17" s="371">
        <v>186.66224018475750577367205543</v>
      </c>
      <c r="G17" s="370">
        <v>3.012987012987012987012987013</v>
      </c>
      <c r="H17" s="172">
        <v>111.38246640302377037848879996</v>
      </c>
      <c r="I17" s="371">
        <v>87.98210216473278607364151453</v>
      </c>
      <c r="J17" s="370">
        <v>32.623376623376623376623376623</v>
      </c>
      <c r="K17" s="172">
        <v>33.92257589492120961505335015</v>
      </c>
      <c r="L17" s="371">
        <v>29.334824379998996294812832656</v>
      </c>
      <c r="M17" s="370">
        <v>201.36363636363636363636363636</v>
      </c>
      <c r="N17" s="172">
        <v>371.77712351621909166866905368</v>
      </c>
      <c r="O17" s="371">
        <v>303.97916672948928814212640262</v>
      </c>
      <c r="P17" s="4"/>
      <c r="Q17" s="327">
        <v>82.30248306997742663656884876</v>
      </c>
      <c r="R17" s="171">
        <v>60.916088401656073240422182050</v>
      </c>
      <c r="S17" s="328">
        <v>61.406260893815798647423830440</v>
      </c>
      <c r="T17" s="327">
        <v>1.4962915188648822960335375700</v>
      </c>
      <c r="U17" s="171">
        <v>29.959472855560090967403347130</v>
      </c>
      <c r="V17" s="328">
        <v>28.943464485192157227296319540</v>
      </c>
      <c r="W17" s="327">
        <v>16.201225411157691067397613670</v>
      </c>
      <c r="X17" s="171">
        <v>9.124438742783835792174470810</v>
      </c>
      <c r="Y17" s="328">
        <v>9.650274620992044125279850020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12</v>
      </c>
      <c r="C18" s="347" t="s">
        <v>47</v>
      </c>
      <c r="D18" s="378">
        <v>148.4047619047619047619047619</v>
      </c>
      <c r="E18" s="173">
        <v>212.20338983050847457627118643</v>
      </c>
      <c r="F18" s="379">
        <v>194.70197668525088697415103903</v>
      </c>
      <c r="G18" s="378">
        <v>1.7261904761904761904761904762</v>
      </c>
      <c r="H18" s="173">
        <v>69.063601509385444914663378024</v>
      </c>
      <c r="I18" s="379">
        <v>66.660106015111041407117114053</v>
      </c>
      <c r="J18" s="378">
        <v>28.261904761904761904761904762</v>
      </c>
      <c r="K18" s="173">
        <v>36.336804907251639398117664187</v>
      </c>
      <c r="L18" s="379">
        <v>28.935950003441579316930918934</v>
      </c>
      <c r="M18" s="378">
        <v>178.39285714285714285714285714</v>
      </c>
      <c r="N18" s="173">
        <v>317.60379624714555888905222865</v>
      </c>
      <c r="O18" s="379">
        <v>290.29803270380350769819907202</v>
      </c>
      <c r="P18" s="4"/>
      <c r="Q18" s="359">
        <v>83.18985652318985652318985652</v>
      </c>
      <c r="R18" s="170">
        <v>66.813870721299867702685076490</v>
      </c>
      <c r="S18" s="360">
        <v>67.069685203106058229340875650</v>
      </c>
      <c r="T18" s="359">
        <v>0.967634300967634300967634300</v>
      </c>
      <c r="U18" s="170">
        <v>21.745206551512102409301805580</v>
      </c>
      <c r="V18" s="360">
        <v>22.962644766912902143720754010</v>
      </c>
      <c r="W18" s="359">
        <v>15.842509175842509175842509180</v>
      </c>
      <c r="X18" s="170">
        <v>11.440922727188029888013117930</v>
      </c>
      <c r="Y18" s="360">
        <v>9.967670029981039626938370340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13</v>
      </c>
      <c r="C19" s="345" t="s">
        <v>48</v>
      </c>
      <c r="D19" s="370">
        <v>159.23913043478260869565217391</v>
      </c>
      <c r="E19" s="172">
        <v>205.21578947368421052631578946</v>
      </c>
      <c r="F19" s="371">
        <v>201.04808877928483353884093711</v>
      </c>
      <c r="G19" s="370">
        <v>1.3695652173913043478260869565</v>
      </c>
      <c r="H19" s="172">
        <v>102.24668539881505462924137585</v>
      </c>
      <c r="I19" s="371">
        <v>55.538832039756282917721157269</v>
      </c>
      <c r="J19" s="370">
        <v>29.521739130434782608695652174</v>
      </c>
      <c r="K19" s="172">
        <v>32.139483505354264674948003659</v>
      </c>
      <c r="L19" s="371">
        <v>23.690573231719898188052834525</v>
      </c>
      <c r="M19" s="370">
        <v>190.13043478260869565217391304</v>
      </c>
      <c r="N19" s="172">
        <v>339.60195837785352983050516897</v>
      </c>
      <c r="O19" s="371">
        <v>280.27749405076101464461492891</v>
      </c>
      <c r="P19" s="4"/>
      <c r="Q19" s="327">
        <v>83.75257260461925451635033158</v>
      </c>
      <c r="R19" s="171">
        <v>60.428329228111704679952656660</v>
      </c>
      <c r="S19" s="328">
        <v>71.731799037304452466907340550</v>
      </c>
      <c r="T19" s="327">
        <v>0.7203292933912645780928424400</v>
      </c>
      <c r="U19" s="171">
        <v>30.107802053677105658808099550</v>
      </c>
      <c r="V19" s="328">
        <v>19.815658844765342960288808660</v>
      </c>
      <c r="W19" s="327">
        <v>15.527098101989480905556825980</v>
      </c>
      <c r="X19" s="171">
        <v>9.463868718211189661239243790</v>
      </c>
      <c r="Y19" s="328">
        <v>8.452542117930204572803850780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14</v>
      </c>
      <c r="C20" s="347" t="s">
        <v>50</v>
      </c>
      <c r="D20" s="378">
        <v>152.77659574468085106382978723</v>
      </c>
      <c r="E20" s="173">
        <v>193.48837209302325581395348837</v>
      </c>
      <c r="F20" s="379">
        <v>203.80325361512791991101223582</v>
      </c>
      <c r="G20" s="378">
        <v>0.9680851063829787234042553191</v>
      </c>
      <c r="H20" s="173">
        <v>49.81338543757046182297841</v>
      </c>
      <c r="I20" s="379">
        <v>119.28144552471488947624052925</v>
      </c>
      <c r="J20" s="378">
        <v>30.829787234042553191489361702</v>
      </c>
      <c r="K20" s="173">
        <v>33.068781194149657572239159841</v>
      </c>
      <c r="L20" s="379">
        <v>33.518963151140148083793671809</v>
      </c>
      <c r="M20" s="378">
        <v>184.57446808510638297872340426</v>
      </c>
      <c r="N20" s="173">
        <v>276.37053872474337520917105821</v>
      </c>
      <c r="O20" s="379">
        <v>356.60366229098295747104643687</v>
      </c>
      <c r="P20" s="4"/>
      <c r="Q20" s="359">
        <v>82.77233429394812680115273775</v>
      </c>
      <c r="R20" s="170">
        <v>70.010491344640671446057002970</v>
      </c>
      <c r="S20" s="360">
        <v>57.151194776240879747630949420</v>
      </c>
      <c r="T20" s="359">
        <v>0.5244956772334293948126801200</v>
      </c>
      <c r="U20" s="170">
        <v>18.024130092673544325931106840</v>
      </c>
      <c r="V20" s="360">
        <v>33.449304687000974612679030990</v>
      </c>
      <c r="W20" s="359">
        <v>16.703170028818443804034582130</v>
      </c>
      <c r="X20" s="170">
        <v>11.965378562685784228011890190</v>
      </c>
      <c r="Y20" s="360">
        <v>9.399500536758145639690019600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15</v>
      </c>
      <c r="C21" s="345" t="s">
        <v>51</v>
      </c>
      <c r="D21" s="370">
        <v>168.46728971962616822429906542</v>
      </c>
      <c r="E21" s="172">
        <v>205.10526315789473684210526314</v>
      </c>
      <c r="F21" s="371">
        <v>206.82131324004305705059203445</v>
      </c>
      <c r="G21" s="370">
        <v>2.1401869158878504672897196262</v>
      </c>
      <c r="H21" s="172">
        <v>108.7551363110573636889426363</v>
      </c>
      <c r="I21" s="371">
        <v>82.82726123692565530124600597</v>
      </c>
      <c r="J21" s="370">
        <v>30.280373831775700934579439252</v>
      </c>
      <c r="K21" s="172">
        <v>38.192573873494926126505073871</v>
      </c>
      <c r="L21" s="371">
        <v>20.653199564921893264515041172</v>
      </c>
      <c r="M21" s="370">
        <v>200.8878504672897196261682243</v>
      </c>
      <c r="N21" s="172">
        <v>352.05297334244702665755297333</v>
      </c>
      <c r="O21" s="371">
        <v>310.30177404189060561635308159</v>
      </c>
      <c r="P21" s="4"/>
      <c r="Q21" s="327">
        <v>83.86136310769946499185857176</v>
      </c>
      <c r="R21" s="171">
        <v>58.259773013871374527112232030</v>
      </c>
      <c r="S21" s="328">
        <v>66.651669613761946780225746330</v>
      </c>
      <c r="T21" s="327">
        <v>1.0653640381484066061874854600</v>
      </c>
      <c r="U21" s="171">
        <v>30.891696575807546803763701620</v>
      </c>
      <c r="V21" s="328">
        <v>26.692487174032079742469212440</v>
      </c>
      <c r="W21" s="327">
        <v>15.073272854152128401953942780</v>
      </c>
      <c r="X21" s="171">
        <v>10.848530410321078669124066350</v>
      </c>
      <c r="Y21" s="328">
        <v>6.6558432122059734773050412200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16</v>
      </c>
      <c r="C22" s="347" t="s">
        <v>52</v>
      </c>
      <c r="D22" s="378">
        <v>260.22807017543859649122807018</v>
      </c>
      <c r="E22" s="173">
        <v>289.25547445255474452554744527</v>
      </c>
      <c r="F22" s="379">
        <v>229.9616125150421179302045728</v>
      </c>
      <c r="G22" s="378">
        <v>0.4912280701754385964912280702</v>
      </c>
      <c r="H22" s="173">
        <v>75.656375467818697611280491784</v>
      </c>
      <c r="I22" s="379">
        <v>109.54253060080521005499304058</v>
      </c>
      <c r="J22" s="378">
        <v>31.745614035087719298245614035</v>
      </c>
      <c r="K22" s="173">
        <v>35.844680089672912808701936998</v>
      </c>
      <c r="L22" s="379">
        <v>31.700416229227885701184787451</v>
      </c>
      <c r="M22" s="378">
        <v>292.46491228070175438596491228</v>
      </c>
      <c r="N22" s="173">
        <v>400.75653001004635494552987407</v>
      </c>
      <c r="O22" s="379">
        <v>371.20455934507521368638240083</v>
      </c>
      <c r="P22" s="4"/>
      <c r="Q22" s="359">
        <v>88.97753516691161032962418644</v>
      </c>
      <c r="R22" s="170">
        <v>72.177357770141275295914471170</v>
      </c>
      <c r="S22" s="360">
        <v>61.950104524785123224298830960</v>
      </c>
      <c r="T22" s="359">
        <v>0.167961368885156414024774300</v>
      </c>
      <c r="U22" s="170">
        <v>18.878388697976326842306223750</v>
      </c>
      <c r="V22" s="360">
        <v>29.510017547756856602394833200</v>
      </c>
      <c r="W22" s="359">
        <v>10.854503464203233256351039260</v>
      </c>
      <c r="X22" s="170">
        <v>8.944253531882397861779305080</v>
      </c>
      <c r="Y22" s="360">
        <v>8.539877927458020173306335850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17</v>
      </c>
      <c r="C23" s="345" t="s">
        <v>53</v>
      </c>
      <c r="D23" s="370">
        <v>288.45669291338582677165354331</v>
      </c>
      <c r="E23" s="172">
        <v>292.16774193548387096774193548</v>
      </c>
      <c r="F23" s="371">
        <v>226.74874010079193664506839453</v>
      </c>
      <c r="G23" s="370">
        <v>1.1259842519685039370078740157</v>
      </c>
      <c r="H23" s="172">
        <v>67.152117735306077300727240358</v>
      </c>
      <c r="I23" s="371">
        <v>99.86060770167885596713819803</v>
      </c>
      <c r="J23" s="370">
        <v>33.787401574803149606299212598</v>
      </c>
      <c r="K23" s="172">
        <v>38.180536579366553739003771929</v>
      </c>
      <c r="L23" s="371">
        <v>26.310608437130094567320076994</v>
      </c>
      <c r="M23" s="370">
        <v>323.37007874015748031496062992</v>
      </c>
      <c r="N23" s="172">
        <v>397.50039625015650200747294777</v>
      </c>
      <c r="O23" s="371">
        <v>352.91995623960088717952666956</v>
      </c>
      <c r="P23" s="4"/>
      <c r="Q23" s="327">
        <v>89.20327262101879809097107237</v>
      </c>
      <c r="R23" s="171">
        <v>73.501245455769489699744176650</v>
      </c>
      <c r="S23" s="328">
        <v>64.249339288382419979424436190</v>
      </c>
      <c r="T23" s="327">
        <v>0.3482029804227135482614200800</v>
      </c>
      <c r="U23" s="171">
        <v>16.893597684125488084017772990</v>
      </c>
      <c r="V23" s="328">
        <v>28.295540089516074540261772180</v>
      </c>
      <c r="W23" s="327">
        <v>10.448524398558488360767507550</v>
      </c>
      <c r="X23" s="171">
        <v>9.605156860105022216238050360</v>
      </c>
      <c r="Y23" s="328">
        <v>7.4551206221015054803137916200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18</v>
      </c>
      <c r="C24" s="347" t="s">
        <v>49</v>
      </c>
      <c r="D24" s="378">
        <v>193.83898305084745762711864407</v>
      </c>
      <c r="E24" s="173">
        <v>250.86029411764705882352941176</v>
      </c>
      <c r="F24" s="379">
        <v>196.95494142385100630820066086</v>
      </c>
      <c r="G24" s="378">
        <v>1.5</v>
      </c>
      <c r="H24" s="173">
        <v>87.31716777709615639738269261</v>
      </c>
      <c r="I24" s="379">
        <v>85.91550933611636069758165657</v>
      </c>
      <c r="J24" s="378">
        <v>28.720338983050847457627118644</v>
      </c>
      <c r="K24" s="173">
        <v>36.709965997084955646629669168</v>
      </c>
      <c r="L24" s="379">
        <v>26.875450403044354486399051871</v>
      </c>
      <c r="M24" s="378">
        <v>224.05932203389830508474576271</v>
      </c>
      <c r="N24" s="173">
        <v>374.88742789182817086754177352</v>
      </c>
      <c r="O24" s="379">
        <v>309.74590116301172149218136932</v>
      </c>
      <c r="P24" s="4"/>
      <c r="Q24" s="359">
        <v>86.51234918113393093536064148</v>
      </c>
      <c r="R24" s="170">
        <v>66.916166148423494140644782290</v>
      </c>
      <c r="S24" s="360">
        <v>63.585971818945368067551765770</v>
      </c>
      <c r="T24" s="359">
        <v>0.669465562237603540224668100</v>
      </c>
      <c r="U24" s="170">
        <v>23.291570023599477367797348350</v>
      </c>
      <c r="V24" s="360">
        <v>27.737416060560272363318073470</v>
      </c>
      <c r="W24" s="359">
        <v>12.818185256628465524414690420</v>
      </c>
      <c r="X24" s="170">
        <v>9.792263827977028491557869360</v>
      </c>
      <c r="Y24" s="360">
        <v>8.676612120494359569130160750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19</v>
      </c>
      <c r="C25" s="345" t="s">
        <v>47</v>
      </c>
      <c r="D25" s="370">
        <v>194.1680672268907563025210084</v>
      </c>
      <c r="E25" s="172">
        <v>251.45818181818181818181818182</v>
      </c>
      <c r="F25" s="371">
        <v>198.91045454545454545454545455</v>
      </c>
      <c r="G25" s="370">
        <v>2.4705882352941176470588235294</v>
      </c>
      <c r="H25" s="172">
        <v>62.379570365866018039931083407</v>
      </c>
      <c r="I25" s="371">
        <v>100.57315996694426044760685887</v>
      </c>
      <c r="J25" s="370">
        <v>26.420168067226890756302521008</v>
      </c>
      <c r="K25" s="172">
        <v>36.510494537346711259754738015</v>
      </c>
      <c r="L25" s="371">
        <v>33.138968002377555516258493411</v>
      </c>
      <c r="M25" s="370">
        <v>223.05882352941176470588235294</v>
      </c>
      <c r="N25" s="172">
        <v>350.34824672139454748150400324</v>
      </c>
      <c r="O25" s="371">
        <v>332.62258251477636141841080683</v>
      </c>
      <c r="P25" s="4"/>
      <c r="Q25" s="327">
        <v>87.04792043399638336347197107</v>
      </c>
      <c r="R25" s="171">
        <v>71.773780565868646780181794910</v>
      </c>
      <c r="S25" s="328">
        <v>59.800646438856323234215173200</v>
      </c>
      <c r="T25" s="327">
        <v>1.1075949367088607594936708900</v>
      </c>
      <c r="U25" s="171">
        <v>17.805018563564204327230828320</v>
      </c>
      <c r="V25" s="328">
        <v>30.236419670175706665122245460</v>
      </c>
      <c r="W25" s="327">
        <v>11.844484629294755877034358050</v>
      </c>
      <c r="X25" s="171">
        <v>10.421200870567148892587376780</v>
      </c>
      <c r="Y25" s="328">
        <v>9.962933890967970100662581340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20</v>
      </c>
      <c r="C26" s="347" t="s">
        <v>48</v>
      </c>
      <c r="D26" s="378">
        <v>202.45762711864406779661016949</v>
      </c>
      <c r="E26" s="173">
        <v>232.56420233463035019455252919</v>
      </c>
      <c r="F26" s="379">
        <v>197.815073584064218819681879</v>
      </c>
      <c r="G26" s="378">
        <v>0.2203389830508474576271186441</v>
      </c>
      <c r="H26" s="173">
        <v>117.30298508377829642880268179</v>
      </c>
      <c r="I26" s="379">
        <v>86.52726100400215107030762004</v>
      </c>
      <c r="J26" s="378">
        <v>23.161016949152542372881355932</v>
      </c>
      <c r="K26" s="173">
        <v>29.712353197889188102571621334</v>
      </c>
      <c r="L26" s="379">
        <v>27.324085590949326941002779121</v>
      </c>
      <c r="M26" s="378">
        <v>225.83898305084745762711864407</v>
      </c>
      <c r="N26" s="173">
        <v>379.57954061629783472592683231</v>
      </c>
      <c r="O26" s="379">
        <v>311.66642017901569683099227816</v>
      </c>
      <c r="P26" s="4"/>
      <c r="Q26" s="359">
        <v>89.64689106533078164283838043</v>
      </c>
      <c r="R26" s="170">
        <v>61.268898201686913161105511640</v>
      </c>
      <c r="S26" s="360">
        <v>63.470127282381826115758095130</v>
      </c>
      <c r="T26" s="359">
        <v>0.0975646365717287703103305900</v>
      </c>
      <c r="U26" s="170">
        <v>30.903400350114052304917511010</v>
      </c>
      <c r="V26" s="360">
        <v>27.762779498125726182527456930</v>
      </c>
      <c r="W26" s="359">
        <v>10.255544298097489586851288980</v>
      </c>
      <c r="X26" s="170">
        <v>7.8277014481990345339769773500</v>
      </c>
      <c r="Y26" s="360">
        <v>8.767093219492447701714447940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21</v>
      </c>
      <c r="C27" s="345" t="s">
        <v>50</v>
      </c>
      <c r="D27" s="370">
        <v>183.62698412698412698412698413</v>
      </c>
      <c r="E27" s="172">
        <v>217.36792452830188679245283017</v>
      </c>
      <c r="F27" s="371">
        <v>193.32009590888655777011838753</v>
      </c>
      <c r="G27" s="370">
        <v>1.380952380952380952380952381</v>
      </c>
      <c r="H27" s="172">
        <v>68.901983673911594106273751582</v>
      </c>
      <c r="I27" s="371">
        <v>75.766311520281399029207161239</v>
      </c>
      <c r="J27" s="370">
        <v>23.055555555555555555555555556</v>
      </c>
      <c r="K27" s="172">
        <v>27.958277218481232082138809253</v>
      </c>
      <c r="L27" s="371">
        <v>20.181574468655575613256132101</v>
      </c>
      <c r="M27" s="370">
        <v>208.06349206349206349206349206</v>
      </c>
      <c r="N27" s="172">
        <v>314.22818542069471298086539101</v>
      </c>
      <c r="O27" s="371">
        <v>289.26798189782353241258168088</v>
      </c>
      <c r="P27" s="4"/>
      <c r="Q27" s="327">
        <v>88.25526396093988404028074458</v>
      </c>
      <c r="R27" s="171">
        <v>69.175183708388713201032739050</v>
      </c>
      <c r="S27" s="328">
        <v>66.830796357258752801928289390</v>
      </c>
      <c r="T27" s="327">
        <v>0.6637168141592920353982300900</v>
      </c>
      <c r="U27" s="171">
        <v>21.927372167988144889011106530</v>
      </c>
      <c r="V27" s="328">
        <v>26.192429256496108863796886080</v>
      </c>
      <c r="W27" s="327">
        <v>11.081019224900823924321025330</v>
      </c>
      <c r="X27" s="171">
        <v>8.897444123623141909956154420</v>
      </c>
      <c r="Y27" s="328">
        <v>6.9767743862451383342748245300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22</v>
      </c>
      <c r="C28" s="347" t="s">
        <v>51</v>
      </c>
      <c r="D28" s="378">
        <v>188.01587301587301587301587302</v>
      </c>
      <c r="E28" s="173">
        <v>240.71186440677966101694915253</v>
      </c>
      <c r="F28" s="379">
        <v>190.19248035914702581369248036</v>
      </c>
      <c r="G28" s="378">
        <v>1.1666666666666666666666666667</v>
      </c>
      <c r="H28" s="173">
        <v>74.178554133517813905223106186</v>
      </c>
      <c r="I28" s="379">
        <v>66.23606238050507571918151263</v>
      </c>
      <c r="J28" s="378">
        <v>23.611111111111111111111111111</v>
      </c>
      <c r="K28" s="173">
        <v>28.00552339729952277896309266</v>
      </c>
      <c r="L28" s="379">
        <v>19.754125288510783892815798777</v>
      </c>
      <c r="M28" s="378">
        <v>212.79365079365079365079365079</v>
      </c>
      <c r="N28" s="173">
        <v>342.8959419375969977011353514</v>
      </c>
      <c r="O28" s="379">
        <v>276.18266802816288542568979176</v>
      </c>
      <c r="P28" s="4"/>
      <c r="Q28" s="359">
        <v>88.35596001790243174697896464</v>
      </c>
      <c r="R28" s="170">
        <v>70.199683042789223454833597460</v>
      </c>
      <c r="S28" s="360">
        <v>68.864741483253658615198214970</v>
      </c>
      <c r="T28" s="359">
        <v>0.548261972251230792182604800</v>
      </c>
      <c r="U28" s="170">
        <v>21.632963549920760697305863710</v>
      </c>
      <c r="V28" s="360">
        <v>23.982700599355081625686562640</v>
      </c>
      <c r="W28" s="359">
        <v>11.095778009846337460838430550</v>
      </c>
      <c r="X28" s="170">
        <v>8.167353407290015847860538830</v>
      </c>
      <c r="Y28" s="360">
        <v>7.1525579173912597591152223900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23</v>
      </c>
      <c r="C29" s="345" t="s">
        <v>52</v>
      </c>
      <c r="D29" s="370">
        <v>245.53608247422680412371134021</v>
      </c>
      <c r="E29" s="172">
        <v>303.76816608996539792387543252</v>
      </c>
      <c r="F29" s="371">
        <v>213.28408495018353434714210802</v>
      </c>
      <c r="G29" s="370">
        <v>1.5876288659793814432989690722</v>
      </c>
      <c r="H29" s="172">
        <v>62.926912472697562230027310576</v>
      </c>
      <c r="I29" s="371">
        <v>89.09409181213861204884959257</v>
      </c>
      <c r="J29" s="370">
        <v>32.783505154639175257731958763</v>
      </c>
      <c r="K29" s="172">
        <v>36.435034032427646505450722151</v>
      </c>
      <c r="L29" s="371">
        <v>28.872505699735460759261645787</v>
      </c>
      <c r="M29" s="370">
        <v>279.90721649484536082474226804</v>
      </c>
      <c r="N29" s="172">
        <v>403.13011259509060665935346525</v>
      </c>
      <c r="O29" s="371">
        <v>331.25068246205760715525334639</v>
      </c>
      <c r="P29" s="4"/>
      <c r="Q29" s="327">
        <v>87.72052594747891422047070089</v>
      </c>
      <c r="R29" s="171">
        <v>75.352387876584723042668241920</v>
      </c>
      <c r="S29" s="328">
        <v>64.387515631643626416097419640</v>
      </c>
      <c r="T29" s="327">
        <v>0.5671982615741593311480240100</v>
      </c>
      <c r="U29" s="171">
        <v>15.609578770391239151179170260</v>
      </c>
      <c r="V29" s="328">
        <v>26.896274190270899158893771990</v>
      </c>
      <c r="W29" s="327">
        <v>11.712275790946926448381275090</v>
      </c>
      <c r="X29" s="171">
        <v>9.038033353024037806152587810</v>
      </c>
      <c r="Y29" s="328">
        <v>8.716210178085474425008808360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24</v>
      </c>
      <c r="C30" s="347" t="s">
        <v>53</v>
      </c>
      <c r="D30" s="378">
        <v>275.00833333333333333333333333</v>
      </c>
      <c r="E30" s="173">
        <v>366.47266881028938906752411574</v>
      </c>
      <c r="F30" s="379">
        <v>234.4</v>
      </c>
      <c r="G30" s="378">
        <v>0.2166666666666666666666666667</v>
      </c>
      <c r="H30" s="173">
        <v>93.5432049292162065530761863</v>
      </c>
      <c r="I30" s="379">
        <v>63.246242040600890179945121791</v>
      </c>
      <c r="J30" s="378">
        <v>31.366666666666666666666666667</v>
      </c>
      <c r="K30" s="173">
        <v>38.49394024003950834589891651</v>
      </c>
      <c r="L30" s="379">
        <v>27.222434031976102149833231637</v>
      </c>
      <c r="M30" s="378">
        <v>306.59166666666666666666666667</v>
      </c>
      <c r="N30" s="173">
        <v>498.50981397954510396649921857</v>
      </c>
      <c r="O30" s="379">
        <v>324.86867607257699232977835342</v>
      </c>
      <c r="P30" s="4"/>
      <c r="Q30" s="359">
        <v>89.69856758446359163925960153</v>
      </c>
      <c r="R30" s="170">
        <v>73.513631734705733598518245130</v>
      </c>
      <c r="S30" s="360">
        <v>72.152231736750784894587522500</v>
      </c>
      <c r="T30" s="359">
        <v>0.0706694572042075507596966600</v>
      </c>
      <c r="U30" s="170">
        <v>18.764566374826570434616199520</v>
      </c>
      <c r="V30" s="360">
        <v>19.468248772150449113117733110</v>
      </c>
      <c r="W30" s="359">
        <v>10.230762958332200809980701800</v>
      </c>
      <c r="X30" s="170">
        <v>7.7218018904676959668655553500</v>
      </c>
      <c r="Y30" s="360">
        <v>8.379519491098765992294744390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25</v>
      </c>
      <c r="C31" s="345" t="s">
        <v>49</v>
      </c>
      <c r="D31" s="370">
        <v>186.29921259842519685039370079</v>
      </c>
      <c r="E31" s="172">
        <v>255.31785714285714285714285714</v>
      </c>
      <c r="F31" s="371">
        <v>193.81076627300192254875034331</v>
      </c>
      <c r="G31" s="370">
        <v>2.4488188976377952755905511811</v>
      </c>
      <c r="H31" s="172">
        <v>95.09137147043773549797646184</v>
      </c>
      <c r="I31" s="371">
        <v>96.52310430104307476843534431</v>
      </c>
      <c r="J31" s="370">
        <v>31.716535433070866141732283465</v>
      </c>
      <c r="K31" s="172">
        <v>43.753443503744708563985672421</v>
      </c>
      <c r="L31" s="371">
        <v>29.175127906858727064506961793</v>
      </c>
      <c r="M31" s="370">
        <v>220.46456692913385826771653543</v>
      </c>
      <c r="N31" s="172">
        <v>394.16267211703958691910499139</v>
      </c>
      <c r="O31" s="371">
        <v>319.50899848090372438169264942</v>
      </c>
      <c r="P31" s="4"/>
      <c r="Q31" s="327">
        <v>84.50301796492731883281545769</v>
      </c>
      <c r="R31" s="171">
        <v>64.774742816601631784320681090</v>
      </c>
      <c r="S31" s="328">
        <v>60.658938306736146773951875340</v>
      </c>
      <c r="T31" s="327">
        <v>1.1107539554984106575234829800</v>
      </c>
      <c r="U31" s="171">
        <v>24.124905323912063890779747470</v>
      </c>
      <c r="V31" s="328">
        <v>30.209823435320875920634900310</v>
      </c>
      <c r="W31" s="327">
        <v>14.386228079574270509661059320</v>
      </c>
      <c r="X31" s="171">
        <v>11.100351859486304324899571440</v>
      </c>
      <c r="Y31" s="328">
        <v>9.131238257942977305413224360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26</v>
      </c>
      <c r="C32" s="347" t="s">
        <v>47</v>
      </c>
      <c r="D32" s="378">
        <v>132.52577319587628865979381443</v>
      </c>
      <c r="E32" s="173">
        <v>192.11818181818181818181818181</v>
      </c>
      <c r="F32" s="379">
        <v>165.83451118963486454652532391</v>
      </c>
      <c r="G32" s="378">
        <v>2.9175257731958762886597938144</v>
      </c>
      <c r="H32" s="173">
        <v>71.896842945448267666927493792</v>
      </c>
      <c r="I32" s="379">
        <v>63.158202620626957116630552318</v>
      </c>
      <c r="J32" s="378">
        <v>21.422680412371134020618556701</v>
      </c>
      <c r="K32" s="173">
        <v>36.142686041115024763630085848</v>
      </c>
      <c r="L32" s="379">
        <v>24.682112780259912187035094122</v>
      </c>
      <c r="M32" s="378">
        <v>156.86597938144329896907216495</v>
      </c>
      <c r="N32" s="173">
        <v>300.15771080474511061237576145</v>
      </c>
      <c r="O32" s="379">
        <v>253.67482659052173385019097036</v>
      </c>
      <c r="P32" s="4"/>
      <c r="Q32" s="359">
        <v>84.48343848580441640378548896</v>
      </c>
      <c r="R32" s="170">
        <v>64.005745947055202134208906220</v>
      </c>
      <c r="S32" s="360">
        <v>65.372868651773064433467695470</v>
      </c>
      <c r="T32" s="359">
        <v>1.8598843322818086225026288100</v>
      </c>
      <c r="U32" s="170">
        <v>23.953022147153072660973338170</v>
      </c>
      <c r="V32" s="360">
        <v>24.897307891955720853055083350</v>
      </c>
      <c r="W32" s="359">
        <v>13.656677181913774973711882230</v>
      </c>
      <c r="X32" s="170">
        <v>12.041231905791725204817755610</v>
      </c>
      <c r="Y32" s="360">
        <v>9.729823456271214713477221170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27</v>
      </c>
      <c r="C33" s="345" t="s">
        <v>48</v>
      </c>
      <c r="D33" s="370">
        <v>118.80681818181818181818181818</v>
      </c>
      <c r="E33" s="172">
        <v>203.86842105263157894736842104</v>
      </c>
      <c r="F33" s="371">
        <v>169.23695080736012016522718738</v>
      </c>
      <c r="G33" s="370">
        <v>1.9886363636363636363636363636</v>
      </c>
      <c r="H33" s="172">
        <v>67.949027317738281330698196486</v>
      </c>
      <c r="I33" s="371">
        <v>93.23221572942881625259039988</v>
      </c>
      <c r="J33" s="370">
        <v>30.397727272727272727272727273</v>
      </c>
      <c r="K33" s="172">
        <v>35.732321973322682606030974331</v>
      </c>
      <c r="L33" s="371">
        <v>22.78378275528947744468990941</v>
      </c>
      <c r="M33" s="370">
        <v>151.19318181818181818181818182</v>
      </c>
      <c r="N33" s="172">
        <v>307.54977034369254288409759185</v>
      </c>
      <c r="O33" s="371">
        <v>285.25294929207841386250749668</v>
      </c>
      <c r="P33" s="4"/>
      <c r="Q33" s="327">
        <v>78.579481397970687711386696730</v>
      </c>
      <c r="R33" s="171">
        <v>66.287944492627927146574154380</v>
      </c>
      <c r="S33" s="328">
        <v>59.328729545955967642817305770</v>
      </c>
      <c r="T33" s="327">
        <v>1.3152950018789928598271326600</v>
      </c>
      <c r="U33" s="171">
        <v>22.093668690372940156114483950</v>
      </c>
      <c r="V33" s="328">
        <v>32.684049704238381875735616480</v>
      </c>
      <c r="W33" s="327">
        <v>20.105223600150319428786170610</v>
      </c>
      <c r="X33" s="171">
        <v>11.618386816999132697311361660</v>
      </c>
      <c r="Y33" s="328">
        <v>7.987220749805650481447077750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28</v>
      </c>
      <c r="C34" s="347" t="s">
        <v>50</v>
      </c>
      <c r="D34" s="378">
        <v>126.500000000</v>
      </c>
      <c r="E34" s="173">
        <v>207.90000000000000000000000001</v>
      </c>
      <c r="F34" s="379">
        <v>175.75508853218600033096144299</v>
      </c>
      <c r="G34" s="378">
        <v>0.5104166666666666666666666667</v>
      </c>
      <c r="H34" s="173">
        <v>64.291094576795988631374633184</v>
      </c>
      <c r="I34" s="379">
        <v>77.477199718086307101984002145</v>
      </c>
      <c r="J34" s="378">
        <v>29.364583333333333333333333333</v>
      </c>
      <c r="K34" s="173">
        <v>36.841396122651754973773597988</v>
      </c>
      <c r="L34" s="379">
        <v>31.04163757345506844883834885</v>
      </c>
      <c r="M34" s="378">
        <v>156.375000000</v>
      </c>
      <c r="N34" s="173">
        <v>309.03249069944774360514823119</v>
      </c>
      <c r="O34" s="379">
        <v>284.27392582372737588178379399</v>
      </c>
      <c r="P34" s="4"/>
      <c r="Q34" s="359">
        <v>80.89528377298161470823341327</v>
      </c>
      <c r="R34" s="170">
        <v>67.274479628161482379642152060</v>
      </c>
      <c r="S34" s="360">
        <v>61.825961710314665096670416430</v>
      </c>
      <c r="T34" s="359">
        <v>0.3264055422328803623767652500</v>
      </c>
      <c r="U34" s="170">
        <v>20.803991978734318891946089630</v>
      </c>
      <c r="V34" s="360">
        <v>27.254416490567756902902039940</v>
      </c>
      <c r="W34" s="359">
        <v>18.778310684785504929389821480</v>
      </c>
      <c r="X34" s="170">
        <v>11.921528393104198728411758310</v>
      </c>
      <c r="Y34" s="360">
        <v>10.919621799117578000427543620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29</v>
      </c>
      <c r="C35" s="345" t="s">
        <v>51</v>
      </c>
      <c r="D35" s="370">
        <v>155.880000000</v>
      </c>
      <c r="E35" s="172">
        <v>239.05952380952380952380952382</v>
      </c>
      <c r="F35" s="371">
        <v>175.66621025406967898980678533</v>
      </c>
      <c r="G35" s="370">
        <v>1.36</v>
      </c>
      <c r="H35" s="172">
        <v>54.583283221632736195842991959</v>
      </c>
      <c r="I35" s="371">
        <v>57.463608280938881282304501543</v>
      </c>
      <c r="J35" s="370">
        <v>25.01</v>
      </c>
      <c r="K35" s="172">
        <v>38.304058401145779786556485585</v>
      </c>
      <c r="L35" s="371">
        <v>27.182915169389784878032983204</v>
      </c>
      <c r="M35" s="370">
        <v>182.250000000</v>
      </c>
      <c r="N35" s="172">
        <v>331.94686543230232550620900136</v>
      </c>
      <c r="O35" s="371">
        <v>260.31273370439834515014427007</v>
      </c>
      <c r="P35" s="4"/>
      <c r="Q35" s="327">
        <v>85.53086419753086419753086420</v>
      </c>
      <c r="R35" s="171">
        <v>72.017406610600430275767651090</v>
      </c>
      <c r="S35" s="328">
        <v>67.482757279768659433738815650</v>
      </c>
      <c r="T35" s="327">
        <v>0.746227709190672153635116600</v>
      </c>
      <c r="U35" s="171">
        <v>16.443379620575004889497359670</v>
      </c>
      <c r="V35" s="328">
        <v>22.074835703654997118848387790</v>
      </c>
      <c r="W35" s="327">
        <v>13.722908093278463648834019200</v>
      </c>
      <c r="X35" s="171">
        <v>11.539213768824564834734989240</v>
      </c>
      <c r="Y35" s="328">
        <v>10.442407016576343447412796560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30</v>
      </c>
      <c r="C36" s="347" t="s">
        <v>52</v>
      </c>
      <c r="D36" s="378">
        <v>221.08247422680412371134020619</v>
      </c>
      <c r="E36" s="173">
        <v>290.58528428093645484949832778</v>
      </c>
      <c r="F36" s="379">
        <v>205.8424258474576271186440678</v>
      </c>
      <c r="G36" s="378">
        <v>1.1752577319587628865979381443</v>
      </c>
      <c r="H36" s="173">
        <v>65.382215729370300877238293894</v>
      </c>
      <c r="I36" s="379">
        <v>65.047161540053823868325744346</v>
      </c>
      <c r="J36" s="378">
        <v>23.876288659793814432989690722</v>
      </c>
      <c r="K36" s="173">
        <v>36.171276292432812280349899404</v>
      </c>
      <c r="L36" s="379">
        <v>32.950351537366954927036946151</v>
      </c>
      <c r="M36" s="378">
        <v>246.13402061855670103092783505</v>
      </c>
      <c r="N36" s="173">
        <v>392.13877630273956800708652106</v>
      </c>
      <c r="O36" s="379">
        <v>303.83993892487840591400675829</v>
      </c>
      <c r="P36" s="4"/>
      <c r="Q36" s="359">
        <v>89.82198952879581151832460733</v>
      </c>
      <c r="R36" s="170">
        <v>74.102665138271958733342885800</v>
      </c>
      <c r="S36" s="360">
        <v>67.746994215382017016066037540</v>
      </c>
      <c r="T36" s="359">
        <v>0.4774869109947643979057591600</v>
      </c>
      <c r="U36" s="170">
        <v>16.673233987677317667287577020</v>
      </c>
      <c r="V36" s="360">
        <v>21.408364473156416914729664110</v>
      </c>
      <c r="W36" s="359">
        <v>9.700523560209424083769633510</v>
      </c>
      <c r="X36" s="170">
        <v>9.224100874050723599369537180</v>
      </c>
      <c r="Y36" s="360">
        <v>10.844641311461566069204298350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31</v>
      </c>
      <c r="C37" s="349" t="s">
        <v>53</v>
      </c>
      <c r="D37" s="380">
        <v>237.72916666666666666666666667</v>
      </c>
      <c r="E37" s="383">
        <v>248.01736111111111111111111111</v>
      </c>
      <c r="F37" s="381">
        <v>205.38036652569524541842880943</v>
      </c>
      <c r="G37" s="380">
        <v>2.1354166666666666666666666667</v>
      </c>
      <c r="H37" s="383">
        <v>62.959628831875712255952702115</v>
      </c>
      <c r="I37" s="381">
        <v>75.740052479949413228261003509</v>
      </c>
      <c r="J37" s="380">
        <v>32.041666666666666666666666667</v>
      </c>
      <c r="K37" s="383">
        <v>34.547321692802474767540912309</v>
      </c>
      <c r="L37" s="381">
        <v>18.656372872688678495783044393</v>
      </c>
      <c r="M37" s="380">
        <v>271.906250000</v>
      </c>
      <c r="N37" s="383">
        <v>345.52431163578929813460472556</v>
      </c>
      <c r="O37" s="381">
        <v>299.77679187833333714247285734</v>
      </c>
      <c r="P37" s="4"/>
      <c r="Q37" s="329">
        <v>87.43056353675822702371374938</v>
      </c>
      <c r="R37" s="330">
        <v>71.780002957517375414580560660</v>
      </c>
      <c r="S37" s="332">
        <v>68.511096285615869141812975950</v>
      </c>
      <c r="T37" s="329">
        <v>0.7853503428724667662720760100</v>
      </c>
      <c r="U37" s="330">
        <v>18.221475801170331875699769730</v>
      </c>
      <c r="V37" s="332">
        <v>25.265482362853853767973600940</v>
      </c>
      <c r="W37" s="329">
        <v>11.784086120369306210014174620</v>
      </c>
      <c r="X37" s="330">
        <v>9.998521241312292709719669600</v>
      </c>
      <c r="Y37" s="332">
        <v>6.2234213515302770902134231100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214.4013303769401330376940133</v>
      </c>
      <c r="E39" s="382">
        <v>274.93597560975609756097560976</v>
      </c>
      <c r="F39" s="375">
        <v>214.62211552776537144558582701</v>
      </c>
      <c r="G39" s="374">
        <v>2.4611973392461197339246119734</v>
      </c>
      <c r="H39" s="382">
        <v>98.2158479256586967054987124</v>
      </c>
      <c r="I39" s="375">
        <v>82.44707559745206289116711595</v>
      </c>
      <c r="J39" s="374">
        <v>29.175166297117516629711751663</v>
      </c>
      <c r="K39" s="382">
        <v>35.859595247973098301401405441</v>
      </c>
      <c r="L39" s="375">
        <v>26.191494577615778454122610025</v>
      </c>
      <c r="M39" s="374">
        <v>246.03769401330376940133037694</v>
      </c>
      <c r="N39" s="382">
        <v>409.01141878338789256787572759</v>
      </c>
      <c r="O39" s="375">
        <v>323.26068570283321279087555296</v>
      </c>
      <c r="P39" s="4"/>
      <c r="Q39" s="354">
        <v>87.14165983255679821201661815</v>
      </c>
      <c r="R39" s="355">
        <v>67.219633238494488518674635700</v>
      </c>
      <c r="S39" s="356">
        <v>66.392891254664661981915288440</v>
      </c>
      <c r="T39" s="354">
        <v>1.0003334444814938312770923600</v>
      </c>
      <c r="U39" s="355">
        <v>24.012984336183955816023971770</v>
      </c>
      <c r="V39" s="356">
        <v>25.504826056467607405389078780</v>
      </c>
      <c r="W39" s="354">
        <v>11.858006722961707956706289480</v>
      </c>
      <c r="X39" s="355">
        <v>8.767382425321555665301392530</v>
      </c>
      <c r="Y39" s="356">
        <v>8.102282688867730612695632790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168.07792207792207792207792208</v>
      </c>
      <c r="E40" s="172">
        <v>226.43318485523385300668151448</v>
      </c>
      <c r="F40" s="371">
        <v>193.39928934429616163285543114</v>
      </c>
      <c r="G40" s="370">
        <v>2.9714285714285714285714285714</v>
      </c>
      <c r="H40" s="172">
        <v>65.784762770464152115253221888</v>
      </c>
      <c r="I40" s="371">
        <v>74.220701901599110234633748027</v>
      </c>
      <c r="J40" s="370">
        <v>26.919480519480519480519480519</v>
      </c>
      <c r="K40" s="172">
        <v>36.158658547211294373500095197</v>
      </c>
      <c r="L40" s="371">
        <v>28.181176195271882125798161002</v>
      </c>
      <c r="M40" s="370">
        <v>197.96883116883116883116883117</v>
      </c>
      <c r="N40" s="172">
        <v>328.37660617290929949543483157</v>
      </c>
      <c r="O40" s="371">
        <v>295.80116744116715399328734017</v>
      </c>
      <c r="P40" s="4"/>
      <c r="Q40" s="327">
        <v>84.90120443989608753837676139</v>
      </c>
      <c r="R40" s="171">
        <v>68.955333784040531923872224640</v>
      </c>
      <c r="S40" s="328">
        <v>65.381516583352217026388964950</v>
      </c>
      <c r="T40" s="327">
        <v>1.5009577790023354063344616800</v>
      </c>
      <c r="U40" s="171">
        <v>20.033328054990818959175848600</v>
      </c>
      <c r="V40" s="328">
        <v>25.091416150803767351438718590</v>
      </c>
      <c r="W40" s="327">
        <v>13.597837781101577055288776930</v>
      </c>
      <c r="X40" s="171">
        <v>11.011338160968649116951926750</v>
      </c>
      <c r="Y40" s="328">
        <v>9.527067265844015622172316450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166.02732240437158469945355191</v>
      </c>
      <c r="E41" s="173">
        <v>229.33900226757369614512471655</v>
      </c>
      <c r="F41" s="379">
        <v>194.81950847933287896403800666</v>
      </c>
      <c r="G41" s="378">
        <v>1.2540983606557377049180327869</v>
      </c>
      <c r="H41" s="173">
        <v>105.09018207858533443469097831</v>
      </c>
      <c r="I41" s="379">
        <v>82.98313791982583587372025568</v>
      </c>
      <c r="J41" s="378">
        <v>26.54371584699453551912568306</v>
      </c>
      <c r="K41" s="173">
        <v>32.357848531038993056410470405</v>
      </c>
      <c r="L41" s="379">
        <v>23.900605493919817767330561748</v>
      </c>
      <c r="M41" s="378">
        <v>193.82513661202185792349726776</v>
      </c>
      <c r="N41" s="173">
        <v>366.78703287719802363622616527</v>
      </c>
      <c r="O41" s="379">
        <v>301.70325189307853260508882408</v>
      </c>
      <c r="P41" s="4"/>
      <c r="Q41" s="359">
        <v>85.65830279109106287003101212</v>
      </c>
      <c r="R41" s="170">
        <v>62.526474959750674486439302550</v>
      </c>
      <c r="S41" s="360">
        <v>64.573221288438586240296711150</v>
      </c>
      <c r="T41" s="359">
        <v>0.6470256554835071891739498200</v>
      </c>
      <c r="U41" s="170">
        <v>28.651553260818249291243367430</v>
      </c>
      <c r="V41" s="360">
        <v>27.504886804877550491502369400</v>
      </c>
      <c r="W41" s="359">
        <v>13.694671553425429940795038060</v>
      </c>
      <c r="X41" s="170">
        <v>8.821971779431076222317330010</v>
      </c>
      <c r="Y41" s="360">
        <v>7.9218919066838632682009194600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164.45647058823529411764705882</v>
      </c>
      <c r="E42" s="172">
        <v>227.87730727470141150922909881</v>
      </c>
      <c r="F42" s="371">
        <v>197.63281132923722463659523453</v>
      </c>
      <c r="G42" s="370">
        <v>0.9694117647058823529411764706</v>
      </c>
      <c r="H42" s="172">
        <v>88.94127732079431680660496238</v>
      </c>
      <c r="I42" s="371">
        <v>101.84397364371196728373370566</v>
      </c>
      <c r="J42" s="370">
        <v>26.687058823529411764705882353</v>
      </c>
      <c r="K42" s="172">
        <v>30.804370371328493944359183118</v>
      </c>
      <c r="L42" s="371">
        <v>29.003210369137409408499385881</v>
      </c>
      <c r="M42" s="370">
        <v>192.11294117647058823529411765</v>
      </c>
      <c r="N42" s="172">
        <v>347.6229549668242222601932443</v>
      </c>
      <c r="O42" s="371">
        <v>328.47999534208660132882832609</v>
      </c>
      <c r="P42" s="4"/>
      <c r="Q42" s="327">
        <v>85.60405643738977072310405644</v>
      </c>
      <c r="R42" s="171">
        <v>65.553009091833170829380639320</v>
      </c>
      <c r="S42" s="328">
        <v>60.165859148718594541641378160</v>
      </c>
      <c r="T42" s="327">
        <v>0.5046051342347638643934940200</v>
      </c>
      <c r="U42" s="171">
        <v>25.585559310743021874669784280</v>
      </c>
      <c r="V42" s="328">
        <v>31.004619790513975497180324240</v>
      </c>
      <c r="W42" s="327">
        <v>13.891338428375465412502449540</v>
      </c>
      <c r="X42" s="171">
        <v>8.861431597423807295949576400</v>
      </c>
      <c r="Y42" s="328">
        <v>8.829521060767429961178297600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181.30717488789237668161434978</v>
      </c>
      <c r="E43" s="173">
        <v>241.78217821782178217821782178</v>
      </c>
      <c r="F43" s="379">
        <v>201.06935263875773790787955094</v>
      </c>
      <c r="G43" s="378">
        <v>1.3744394618834080717488789238</v>
      </c>
      <c r="H43" s="173">
        <v>94.26177758209096789021339575</v>
      </c>
      <c r="I43" s="379">
        <v>71.213989582626279283068059539</v>
      </c>
      <c r="J43" s="378">
        <v>26.760089686098654708520179372</v>
      </c>
      <c r="K43" s="173">
        <v>32.7860325588683453318381257</v>
      </c>
      <c r="L43" s="379">
        <v>25.358553097196241873085235122</v>
      </c>
      <c r="M43" s="378">
        <v>209.44170403587443946188340807</v>
      </c>
      <c r="N43" s="173">
        <v>368.82998835878109540026934324</v>
      </c>
      <c r="O43" s="379">
        <v>297.64189531858025906403284559</v>
      </c>
      <c r="P43" s="4"/>
      <c r="Q43" s="359">
        <v>86.56689255012792925886672876</v>
      </c>
      <c r="R43" s="170">
        <v>65.553828552201953280928211340</v>
      </c>
      <c r="S43" s="360">
        <v>67.554116473940491017496526840</v>
      </c>
      <c r="T43" s="359">
        <v>0.6562396291657299461519521300</v>
      </c>
      <c r="U43" s="170">
        <v>25.556972197823942419703238500</v>
      </c>
      <c r="V43" s="360">
        <v>23.926063737231132547779101660</v>
      </c>
      <c r="W43" s="359">
        <v>12.776867820706340794981319120</v>
      </c>
      <c r="X43" s="170">
        <v>8.889199249974104299368550160</v>
      </c>
      <c r="Y43" s="360">
        <v>8.519819788828376434724371500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251.94430992736077481840193705</v>
      </c>
      <c r="E44" s="172">
        <v>288.36493738819320214669051878</v>
      </c>
      <c r="F44" s="371">
        <v>219.87447914984334119319099454</v>
      </c>
      <c r="G44" s="370">
        <v>1.0895883777239709443099273608</v>
      </c>
      <c r="H44" s="172">
        <v>68.074193709609830475178217537</v>
      </c>
      <c r="I44" s="371">
        <v>92.7216808949543799453324701</v>
      </c>
      <c r="J44" s="370">
        <v>30.019370460048426150121065375</v>
      </c>
      <c r="K44" s="172">
        <v>45.735141274968653762325121892</v>
      </c>
      <c r="L44" s="371">
        <v>29.424712784631683254797020314</v>
      </c>
      <c r="M44" s="370">
        <v>283.05326876513317191283292978</v>
      </c>
      <c r="N44" s="172">
        <v>402.17427237277168638419385821</v>
      </c>
      <c r="O44" s="371">
        <v>342.02087282942940439332048496</v>
      </c>
      <c r="P44" s="4"/>
      <c r="Q44" s="327">
        <v>89.00950376814569593074481827</v>
      </c>
      <c r="R44" s="171">
        <v>71.701487936282099219925340950</v>
      </c>
      <c r="S44" s="328">
        <v>64.286859843053444555215356880</v>
      </c>
      <c r="T44" s="327">
        <v>0.3849411040110863037955192900</v>
      </c>
      <c r="U44" s="171">
        <v>16.926541150427563298284496460</v>
      </c>
      <c r="V44" s="328">
        <v>27.109948035597225020331425760</v>
      </c>
      <c r="W44" s="327">
        <v>10.605555127843217765459662450</v>
      </c>
      <c r="X44" s="171">
        <v>11.371970913290337481790162590</v>
      </c>
      <c r="Y44" s="328">
        <v>8.603192121349330424453217360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267.89035087719298245614035088</v>
      </c>
      <c r="E45" s="385">
        <v>296.72342264477095937770095073</v>
      </c>
      <c r="F45" s="386">
        <v>223.08705155025447278858463172</v>
      </c>
      <c r="G45" s="384">
        <v>1.0833333333333333333333333333</v>
      </c>
      <c r="H45" s="385">
        <v>79.74637589552303677351843959</v>
      </c>
      <c r="I45" s="386">
        <v>84.73154918313356612004868782</v>
      </c>
      <c r="J45" s="384">
        <v>32.197368421052631578947368421</v>
      </c>
      <c r="K45" s="385">
        <v>36.34900592054882731439857051</v>
      </c>
      <c r="L45" s="386">
        <v>25.269032027747910049683985084</v>
      </c>
      <c r="M45" s="384">
        <v>301.17105263157894736842105263</v>
      </c>
      <c r="N45" s="385">
        <v>412.81880446084282346561796084</v>
      </c>
      <c r="O45" s="386">
        <v>333.08763276113594895831730462</v>
      </c>
      <c r="P45" s="4"/>
      <c r="Q45" s="364">
        <v>88.94956820597958262338532337</v>
      </c>
      <c r="R45" s="365">
        <v>71.877399827341469789178816600</v>
      </c>
      <c r="S45" s="366">
        <v>66.975483208719077596517368240</v>
      </c>
      <c r="T45" s="364">
        <v>0.3597069917136324580948636200</v>
      </c>
      <c r="U45" s="365">
        <v>19.317525033694833577532868680</v>
      </c>
      <c r="V45" s="366">
        <v>25.438215307109981388986907890</v>
      </c>
      <c r="W45" s="364">
        <v>10.690724802306784918519813010</v>
      </c>
      <c r="X45" s="365">
        <v>8.805075138963696633288314720</v>
      </c>
      <c r="Y45" s="366">
        <v>7.5863014841709410144957238600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169.71326676176890156918687589</v>
      </c>
      <c r="E47" s="382">
        <v>238.47383553766532489936745256</v>
      </c>
      <c r="F47" s="375">
        <v>186.79075164758172224290061962</v>
      </c>
      <c r="G47" s="374">
        <v>1.81597717546362339514978602</v>
      </c>
      <c r="H47" s="382">
        <v>69.172499994095451699217855262</v>
      </c>
      <c r="I47" s="375">
        <v>75.521702520595227708640818994</v>
      </c>
      <c r="J47" s="374">
        <v>27.807417974322396576319543509</v>
      </c>
      <c r="K47" s="382">
        <v>37.461559773913319262013562334</v>
      </c>
      <c r="L47" s="375">
        <v>26.716113250183566583892758877</v>
      </c>
      <c r="M47" s="374">
        <v>199.33666191155492154065620542</v>
      </c>
      <c r="N47" s="382">
        <v>345.10789530567409586059887016</v>
      </c>
      <c r="O47" s="375">
        <v>289.02856741836051653543419749</v>
      </c>
      <c r="P47" s="4"/>
      <c r="Q47" s="354">
        <v>85.13901313199985687193616488</v>
      </c>
      <c r="R47" s="355">
        <v>69.101240157499362284792183680</v>
      </c>
      <c r="S47" s="356">
        <v>64.627089742726882693713047880</v>
      </c>
      <c r="T47" s="354">
        <v>0.9110101263105163344902851800</v>
      </c>
      <c r="U47" s="355">
        <v>20.043731521362893362542741100</v>
      </c>
      <c r="V47" s="356">
        <v>26.129494117195599268166948370</v>
      </c>
      <c r="W47" s="354">
        <v>13.949976741689626793573549930</v>
      </c>
      <c r="X47" s="355">
        <v>10.855028321137744352665075220</v>
      </c>
      <c r="Y47" s="356">
        <v>9.243416140077518038120003750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203.65023793337865397688647179</v>
      </c>
      <c r="E48" s="172">
        <v>257.66527977044476327116212339</v>
      </c>
      <c r="F48" s="371">
        <v>207.33966595465424505237151607</v>
      </c>
      <c r="G48" s="370">
        <v>1.5914343983684568320870156356</v>
      </c>
      <c r="H48" s="172">
        <v>85.20824521791457941109244634</v>
      </c>
      <c r="I48" s="371">
        <v>84.51660641614157305041282331</v>
      </c>
      <c r="J48" s="370">
        <v>28.414004078857919782460910945</v>
      </c>
      <c r="K48" s="172">
        <v>36.006936197377070698520236772</v>
      </c>
      <c r="L48" s="371">
        <v>26.772095932952263870200309116</v>
      </c>
      <c r="M48" s="370">
        <v>233.65567641060503059143439837</v>
      </c>
      <c r="N48" s="172">
        <v>378.8804611857364133807748065</v>
      </c>
      <c r="O48" s="371">
        <v>318.6283683037480819729846485</v>
      </c>
      <c r="P48" s="4"/>
      <c r="Q48" s="327">
        <v>87.15826684026388717150484060</v>
      </c>
      <c r="R48" s="171">
        <v>68.007011753538533303436221180</v>
      </c>
      <c r="S48" s="328">
        <v>65.072569356723932296192289140</v>
      </c>
      <c r="T48" s="327">
        <v>0.6811023908410494388397110900</v>
      </c>
      <c r="U48" s="171">
        <v>22.489479914390049802572063320</v>
      </c>
      <c r="V48" s="328">
        <v>26.525135494392634476745597590</v>
      </c>
      <c r="W48" s="327">
        <v>12.160630768895063389655448310</v>
      </c>
      <c r="X48" s="171">
        <v>9.503508332071416893991715500</v>
      </c>
      <c r="Y48" s="328">
        <v>8.402295148883433227062113260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223.55578947368421052631578947</v>
      </c>
      <c r="E49" s="385">
        <v>282.72877091458045037111586363</v>
      </c>
      <c r="F49" s="386">
        <v>220.88855749356347681038546615</v>
      </c>
      <c r="G49" s="384">
        <v>1.5563909774436090225563909774</v>
      </c>
      <c r="H49" s="385">
        <v>92.28918347192828404881441051</v>
      </c>
      <c r="I49" s="386">
        <v>83.01169454986896848892988805</v>
      </c>
      <c r="J49" s="384">
        <v>28.357593984962406015037593985</v>
      </c>
      <c r="K49" s="385">
        <v>35.726275266807431990033996525</v>
      </c>
      <c r="L49" s="386">
        <v>26.172340320296440493626592637</v>
      </c>
      <c r="M49" s="384">
        <v>253.46977443609022556390977444</v>
      </c>
      <c r="N49" s="385">
        <v>410.74422965331616640996427066</v>
      </c>
      <c r="O49" s="386">
        <v>330.07259236372888579294194684</v>
      </c>
      <c r="P49" s="4"/>
      <c r="Q49" s="364">
        <v>88.19820429123847425268780843</v>
      </c>
      <c r="R49" s="365">
        <v>68.833291012563789986692578240</v>
      </c>
      <c r="S49" s="366">
        <v>66.921205396584919132631588750</v>
      </c>
      <c r="T49" s="364">
        <v>0.6140341509776491569044135700</v>
      </c>
      <c r="U49" s="365">
        <v>22.468771758479451638725699760</v>
      </c>
      <c r="V49" s="366">
        <v>25.149526640610279891654564780</v>
      </c>
      <c r="W49" s="364">
        <v>11.18776155778387659040777800</v>
      </c>
      <c r="X49" s="365">
        <v>8.69793722895675837458172200</v>
      </c>
      <c r="Y49" s="366">
        <v>7.929267962804800975713846480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5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138</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179</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185</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64" t="s">
        <v>211</v>
      </c>
      <c r="I5" s="664"/>
      <c r="J5" s="664"/>
      <c r="K5" s="664"/>
      <c r="L5" s="664"/>
      <c r="M5" s="664"/>
      <c r="N5" s="664"/>
      <c r="O5" s="664"/>
      <c r="P5" s="664"/>
      <c r="Q5" s="664"/>
      <c r="R5" s="664"/>
      <c r="S5" s="664"/>
      <c r="T5" s="664"/>
      <c r="U5" s="664"/>
      <c r="V5" s="664"/>
      <c r="AB5" s="664" t="s">
        <v>214</v>
      </c>
      <c r="AC5" s="664"/>
      <c r="AD5" s="664"/>
      <c r="AE5" s="664"/>
      <c r="AF5" s="664"/>
      <c r="AG5" s="664"/>
      <c r="AH5" s="664"/>
      <c r="AI5" s="664"/>
      <c r="AJ5" s="664"/>
      <c r="AK5" s="664"/>
      <c r="AL5" s="664"/>
      <c r="AM5" s="664"/>
      <c r="AN5" s="664"/>
      <c r="AO5" s="664"/>
      <c r="AP5" s="66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216</v>
      </c>
      <c r="D6" s="104" t="s">
        <v>217</v>
      </c>
      <c r="I6" s="665" t="s">
        <v>0</v>
      </c>
      <c r="J6" s="665"/>
      <c r="K6" s="665" t="s">
        <v>1</v>
      </c>
      <c r="L6" s="665"/>
      <c r="M6" s="665" t="s">
        <v>2</v>
      </c>
      <c r="N6" s="665"/>
      <c r="O6" s="665" t="s">
        <v>3</v>
      </c>
      <c r="P6" s="665"/>
      <c r="Q6" s="665" t="s">
        <v>4</v>
      </c>
      <c r="R6" s="665"/>
      <c r="S6" s="665" t="s">
        <v>5</v>
      </c>
      <c r="T6" s="665"/>
      <c r="U6" s="665" t="s">
        <v>6</v>
      </c>
      <c r="V6" s="665"/>
      <c r="AC6" s="665" t="s">
        <v>0</v>
      </c>
      <c r="AD6" s="665"/>
      <c r="AE6" s="665" t="s">
        <v>1</v>
      </c>
      <c r="AF6" s="665"/>
      <c r="AG6" s="665" t="s">
        <v>2</v>
      </c>
      <c r="AH6" s="665"/>
      <c r="AI6" s="665" t="s">
        <v>3</v>
      </c>
      <c r="AJ6" s="665"/>
      <c r="AK6" s="665" t="s">
        <v>4</v>
      </c>
      <c r="AL6" s="665"/>
      <c r="AM6" s="665" t="s">
        <v>5</v>
      </c>
      <c r="AN6" s="665"/>
      <c r="AO6" s="665" t="s">
        <v>6</v>
      </c>
      <c r="AP6" s="665"/>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218</v>
      </c>
      <c r="D7" s="104" t="s">
        <v>219</v>
      </c>
      <c r="E7" s="104"/>
      <c r="F7" s="104"/>
      <c r="G7" s="104"/>
      <c r="H7" s="97" t="s">
        <v>212</v>
      </c>
      <c r="I7" s="666">
        <v>20</v>
      </c>
      <c r="J7" s="666"/>
      <c r="K7" s="667">
        <v>21</v>
      </c>
      <c r="L7" s="667"/>
      <c r="M7" s="667">
        <v>22</v>
      </c>
      <c r="N7" s="667"/>
      <c r="O7" s="667">
        <v>23</v>
      </c>
      <c r="P7" s="667"/>
      <c r="Q7" s="667">
        <v>24</v>
      </c>
      <c r="R7" s="667"/>
      <c r="S7" s="667">
        <v>25</v>
      </c>
      <c r="T7" s="667"/>
      <c r="U7" s="668">
        <v>26</v>
      </c>
      <c r="V7" s="668"/>
      <c r="Y7" s="3"/>
      <c r="AB7" s="97" t="s">
        <v>212</v>
      </c>
      <c r="AC7" s="666">
        <v>21</v>
      </c>
      <c r="AD7" s="666"/>
      <c r="AE7" s="667">
        <v>22</v>
      </c>
      <c r="AF7" s="667"/>
      <c r="AG7" s="667">
        <v>23</v>
      </c>
      <c r="AH7" s="667"/>
      <c r="AI7" s="667">
        <v>24</v>
      </c>
      <c r="AJ7" s="667"/>
      <c r="AK7" s="667">
        <v>25</v>
      </c>
      <c r="AL7" s="667"/>
      <c r="AM7" s="667">
        <v>26</v>
      </c>
      <c r="AN7" s="667"/>
      <c r="AO7" s="668">
        <v>27</v>
      </c>
      <c r="AP7" s="668"/>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220</v>
      </c>
      <c r="D8" t="s">
        <v>221</v>
      </c>
      <c r="H8" s="97" t="s">
        <v>213</v>
      </c>
      <c r="I8" s="669">
        <v>27</v>
      </c>
      <c r="J8" s="669"/>
      <c r="K8" s="670">
        <v>28</v>
      </c>
      <c r="L8" s="670"/>
      <c r="M8" s="670">
        <v>29</v>
      </c>
      <c r="N8" s="670"/>
      <c r="O8" s="670">
        <v>30</v>
      </c>
      <c r="P8" s="670"/>
      <c r="Q8" s="670">
        <v>1</v>
      </c>
      <c r="R8" s="670"/>
      <c r="S8" s="670">
        <v>2</v>
      </c>
      <c r="T8" s="670"/>
      <c r="U8" s="671">
        <v>3</v>
      </c>
      <c r="V8" s="671"/>
      <c r="Y8" s="3"/>
      <c r="AB8" s="97" t="s">
        <v>213</v>
      </c>
      <c r="AC8" s="669">
        <v>28</v>
      </c>
      <c r="AD8" s="669"/>
      <c r="AE8" s="670">
        <v>29</v>
      </c>
      <c r="AF8" s="670"/>
      <c r="AG8" s="670">
        <v>30</v>
      </c>
      <c r="AH8" s="670"/>
      <c r="AI8" s="670">
        <v>1</v>
      </c>
      <c r="AJ8" s="670"/>
      <c r="AK8" s="670">
        <v>2</v>
      </c>
      <c r="AL8" s="670"/>
      <c r="AM8" s="670">
        <v>3</v>
      </c>
      <c r="AN8" s="670"/>
      <c r="AO8" s="671">
        <v>4</v>
      </c>
      <c r="AP8" s="671"/>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181</v>
      </c>
      <c r="I9" s="672">
        <v>4</v>
      </c>
      <c r="J9" s="672"/>
      <c r="K9" s="673">
        <v>5</v>
      </c>
      <c r="L9" s="673"/>
      <c r="M9" s="673">
        <v>6</v>
      </c>
      <c r="N9" s="673"/>
      <c r="O9" s="673">
        <v>7</v>
      </c>
      <c r="P9" s="673"/>
      <c r="Q9" s="673">
        <v>8</v>
      </c>
      <c r="R9" s="673"/>
      <c r="S9" s="673">
        <v>9</v>
      </c>
      <c r="T9" s="673"/>
      <c r="U9" s="674">
        <v>10</v>
      </c>
      <c r="V9" s="674"/>
      <c r="Y9" s="3"/>
      <c r="AB9" s="97" t="s">
        <v>181</v>
      </c>
      <c r="AC9" s="672">
        <v>5</v>
      </c>
      <c r="AD9" s="672"/>
      <c r="AE9" s="673">
        <v>6</v>
      </c>
      <c r="AF9" s="673"/>
      <c r="AG9" s="673">
        <v>7</v>
      </c>
      <c r="AH9" s="673"/>
      <c r="AI9" s="673">
        <v>8</v>
      </c>
      <c r="AJ9" s="673"/>
      <c r="AK9" s="673">
        <v>9</v>
      </c>
      <c r="AL9" s="673"/>
      <c r="AM9" s="673">
        <v>10</v>
      </c>
      <c r="AN9" s="673"/>
      <c r="AO9" s="674">
        <v>11</v>
      </c>
      <c r="AP9" s="67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181</v>
      </c>
      <c r="I10" s="669">
        <v>11</v>
      </c>
      <c r="J10" s="669"/>
      <c r="K10" s="670">
        <v>12</v>
      </c>
      <c r="L10" s="670"/>
      <c r="M10" s="670">
        <v>13</v>
      </c>
      <c r="N10" s="670"/>
      <c r="O10" s="670">
        <v>14</v>
      </c>
      <c r="P10" s="670"/>
      <c r="Q10" s="670">
        <v>15</v>
      </c>
      <c r="R10" s="670"/>
      <c r="S10" s="670">
        <v>16</v>
      </c>
      <c r="T10" s="670"/>
      <c r="U10" s="671">
        <v>17</v>
      </c>
      <c r="V10" s="671"/>
      <c r="Y10" s="3"/>
      <c r="AB10" s="97" t="s">
        <v>181</v>
      </c>
      <c r="AC10" s="669">
        <v>12</v>
      </c>
      <c r="AD10" s="669"/>
      <c r="AE10" s="670">
        <v>13</v>
      </c>
      <c r="AF10" s="670"/>
      <c r="AG10" s="670">
        <v>14</v>
      </c>
      <c r="AH10" s="670"/>
      <c r="AI10" s="670">
        <v>15</v>
      </c>
      <c r="AJ10" s="670"/>
      <c r="AK10" s="670">
        <v>16</v>
      </c>
      <c r="AL10" s="670"/>
      <c r="AM10" s="670">
        <v>17</v>
      </c>
      <c r="AN10" s="670"/>
      <c r="AO10" s="671">
        <v>18</v>
      </c>
      <c r="AP10" s="671"/>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181</v>
      </c>
      <c r="I11" s="672">
        <v>18</v>
      </c>
      <c r="J11" s="672"/>
      <c r="K11" s="673">
        <v>19</v>
      </c>
      <c r="L11" s="673"/>
      <c r="M11" s="673">
        <v>20</v>
      </c>
      <c r="N11" s="673"/>
      <c r="O11" s="673">
        <v>21</v>
      </c>
      <c r="P11" s="673"/>
      <c r="Q11" s="673">
        <v>22</v>
      </c>
      <c r="R11" s="673"/>
      <c r="S11" s="673">
        <v>23</v>
      </c>
      <c r="T11" s="673"/>
      <c r="U11" s="674">
        <v>24</v>
      </c>
      <c r="V11" s="674"/>
      <c r="Y11" s="3"/>
      <c r="AB11" s="97" t="s">
        <v>181</v>
      </c>
      <c r="AC11" s="672">
        <v>19</v>
      </c>
      <c r="AD11" s="672"/>
      <c r="AE11" s="673">
        <v>20</v>
      </c>
      <c r="AF11" s="673"/>
      <c r="AG11" s="673">
        <v>21</v>
      </c>
      <c r="AH11" s="673"/>
      <c r="AI11" s="673">
        <v>22</v>
      </c>
      <c r="AJ11" s="673"/>
      <c r="AK11" s="673">
        <v>23</v>
      </c>
      <c r="AL11" s="673"/>
      <c r="AM11" s="673">
        <v>24</v>
      </c>
      <c r="AN11" s="673"/>
      <c r="AO11" s="674">
        <v>25</v>
      </c>
      <c r="AP11" s="67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181</v>
      </c>
      <c r="I12" s="675">
        <v>25</v>
      </c>
      <c r="J12" s="675"/>
      <c r="K12" s="676">
        <v>26</v>
      </c>
      <c r="L12" s="676"/>
      <c r="M12" s="676">
        <v>27</v>
      </c>
      <c r="N12" s="676"/>
      <c r="O12" s="676">
        <v>28</v>
      </c>
      <c r="P12" s="676"/>
      <c r="Q12" s="676">
        <v>29</v>
      </c>
      <c r="R12" s="676"/>
      <c r="S12" s="676">
        <v>30</v>
      </c>
      <c r="T12" s="676"/>
      <c r="U12" s="677">
        <v>31</v>
      </c>
      <c r="V12" s="677"/>
      <c r="Y12" s="3"/>
      <c r="AB12" s="97" t="s">
        <v>215</v>
      </c>
      <c r="AC12" s="675">
        <v>26</v>
      </c>
      <c r="AD12" s="675"/>
      <c r="AE12" s="676">
        <v>27</v>
      </c>
      <c r="AF12" s="676"/>
      <c r="AG12" s="676">
        <v>28</v>
      </c>
      <c r="AH12" s="676"/>
      <c r="AI12" s="676">
        <v>29</v>
      </c>
      <c r="AJ12" s="676"/>
      <c r="AK12" s="676">
        <v>30</v>
      </c>
      <c r="AL12" s="676"/>
      <c r="AM12" s="676">
        <v>31</v>
      </c>
      <c r="AN12" s="676"/>
      <c r="AO12" s="677">
        <v>1</v>
      </c>
      <c r="AP12" s="677"/>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222</v>
      </c>
      <c r="D14" s="106" t="s">
        <v>223</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224</v>
      </c>
      <c r="D15" s="104" t="s">
        <v>219</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225</v>
      </c>
      <c r="D16" s="104" t="s">
        <v>221</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226</v>
      </c>
      <c r="D17" s="104" t="s">
        <v>227</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228</v>
      </c>
      <c r="D18" s="104" t="s">
        <v>229</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230</v>
      </c>
      <c r="D19" s="104" t="s">
        <v>231</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678"/>
      <c r="AW20" s="678"/>
      <c r="AX20" s="678"/>
      <c r="AY20" s="678"/>
      <c r="AZ20" s="678"/>
      <c r="BA20" s="678"/>
      <c r="BB20" s="678"/>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45802</v>
      </c>
      <c r="R21" s="119">
        <v>45803</v>
      </c>
      <c r="S21" s="119">
        <v>45804</v>
      </c>
      <c r="T21" s="119">
        <v>45805</v>
      </c>
      <c r="U21" s="119">
        <v>45806</v>
      </c>
      <c r="V21" s="119">
        <v>45807</v>
      </c>
      <c r="W21" s="119">
        <v>45808</v>
      </c>
      <c r="X21" s="120"/>
      <c r="Y21" s="120"/>
      <c r="Z21" s="119">
        <v>45802</v>
      </c>
      <c r="AA21" s="119">
        <v>45803</v>
      </c>
      <c r="AB21" s="119">
        <v>45804</v>
      </c>
      <c r="AC21" s="119">
        <v>45805</v>
      </c>
      <c r="AD21" s="119">
        <v>45806</v>
      </c>
      <c r="AE21" s="119">
        <v>45807</v>
      </c>
      <c r="AF21" s="119">
        <v>45808</v>
      </c>
      <c r="AG21" s="120"/>
      <c r="AH21" s="120"/>
      <c r="AI21" s="119">
        <v>45802</v>
      </c>
      <c r="AJ21" s="119">
        <v>45803</v>
      </c>
      <c r="AK21" s="119">
        <v>45804</v>
      </c>
      <c r="AL21" s="119">
        <v>45805</v>
      </c>
      <c r="AM21" s="119">
        <v>45806</v>
      </c>
      <c r="AN21" s="119">
        <v>45807</v>
      </c>
      <c r="AO21" s="119">
        <v>45808</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679">
        <v>56387</v>
      </c>
      <c r="D22" s="679" t="s">
        <v>186</v>
      </c>
      <c r="E22" s="679" t="s">
        <v>187</v>
      </c>
      <c r="F22" s="679" t="s">
        <v>188</v>
      </c>
      <c r="G22" s="679" t="s">
        <v>189</v>
      </c>
      <c r="H22" s="680">
        <v>132</v>
      </c>
      <c r="I22" s="680" t="s">
        <v>190</v>
      </c>
      <c r="J22" s="680"/>
      <c r="K22" s="680"/>
      <c r="L22" s="680"/>
      <c r="M22" s="680"/>
      <c r="N22" s="680"/>
      <c r="O22" s="113"/>
      <c r="Q22" s="681" t="s">
        <v>191</v>
      </c>
      <c r="R22" s="682" t="s">
        <v>191</v>
      </c>
      <c r="S22" s="682" t="s">
        <v>191</v>
      </c>
      <c r="T22" s="682" t="s">
        <v>191</v>
      </c>
      <c r="U22" s="682" t="s">
        <v>191</v>
      </c>
      <c r="V22" s="682" t="s">
        <v>191</v>
      </c>
      <c r="W22" s="683" t="s">
        <v>191</v>
      </c>
      <c r="Z22" s="681" t="s">
        <v>191</v>
      </c>
      <c r="AA22" s="682" t="s">
        <v>191</v>
      </c>
      <c r="AB22" s="682" t="s">
        <v>191</v>
      </c>
      <c r="AC22" s="682" t="s">
        <v>191</v>
      </c>
      <c r="AD22" s="682" t="s">
        <v>191</v>
      </c>
      <c r="AE22" s="682" t="s">
        <v>191</v>
      </c>
      <c r="AF22" s="683" t="s">
        <v>191</v>
      </c>
      <c r="AI22" s="681" t="s">
        <v>191</v>
      </c>
      <c r="AJ22" s="682" t="s">
        <v>191</v>
      </c>
      <c r="AK22" s="682" t="s">
        <v>191</v>
      </c>
      <c r="AL22" s="682" t="s">
        <v>191</v>
      </c>
      <c r="AM22" s="682" t="s">
        <v>191</v>
      </c>
      <c r="AN22" s="682" t="s">
        <v>191</v>
      </c>
      <c r="AO22" s="683" t="s">
        <v>191</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684">
        <v>33931</v>
      </c>
      <c r="D23" s="684" t="s">
        <v>192</v>
      </c>
      <c r="E23" s="684" t="s">
        <v>187</v>
      </c>
      <c r="F23" s="684" t="s">
        <v>193</v>
      </c>
      <c r="G23" s="684" t="s">
        <v>194</v>
      </c>
      <c r="H23" s="685">
        <v>107</v>
      </c>
      <c r="I23" s="685" t="s">
        <v>195</v>
      </c>
      <c r="J23" s="685"/>
      <c r="K23" s="685"/>
      <c r="L23" s="685"/>
      <c r="M23" s="685"/>
      <c r="N23" s="685"/>
      <c r="O23" s="113"/>
      <c r="Q23" s="686" t="s">
        <v>191</v>
      </c>
      <c r="R23" s="687" t="s">
        <v>191</v>
      </c>
      <c r="S23" s="687" t="s">
        <v>191</v>
      </c>
      <c r="T23" s="687" t="s">
        <v>191</v>
      </c>
      <c r="U23" s="687" t="s">
        <v>191</v>
      </c>
      <c r="V23" s="687" t="s">
        <v>191</v>
      </c>
      <c r="W23" s="688" t="s">
        <v>191</v>
      </c>
      <c r="Z23" s="686" t="s">
        <v>191</v>
      </c>
      <c r="AA23" s="687" t="s">
        <v>191</v>
      </c>
      <c r="AB23" s="687" t="s">
        <v>191</v>
      </c>
      <c r="AC23" s="687" t="s">
        <v>191</v>
      </c>
      <c r="AD23" s="687" t="s">
        <v>196</v>
      </c>
      <c r="AE23" s="687" t="s">
        <v>191</v>
      </c>
      <c r="AF23" s="688" t="s">
        <v>191</v>
      </c>
      <c r="AI23" s="686" t="s">
        <v>191</v>
      </c>
      <c r="AJ23" s="687" t="s">
        <v>191</v>
      </c>
      <c r="AK23" s="687" t="s">
        <v>191</v>
      </c>
      <c r="AL23" s="687" t="s">
        <v>191</v>
      </c>
      <c r="AM23" s="687" t="s">
        <v>191</v>
      </c>
      <c r="AN23" s="687" t="s">
        <v>191</v>
      </c>
      <c r="AO23" s="688" t="s">
        <v>191</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679">
        <v>34401</v>
      </c>
      <c r="D24" s="679" t="s">
        <v>197</v>
      </c>
      <c r="E24" s="679" t="s">
        <v>187</v>
      </c>
      <c r="F24" s="679" t="s">
        <v>193</v>
      </c>
      <c r="G24" s="679" t="s">
        <v>175</v>
      </c>
      <c r="H24" s="680">
        <v>0</v>
      </c>
      <c r="I24" s="680" t="s">
        <v>198</v>
      </c>
      <c r="J24" s="680"/>
      <c r="K24" s="680"/>
      <c r="L24" s="680"/>
      <c r="M24" s="680"/>
      <c r="N24" s="680"/>
      <c r="O24" s="113"/>
      <c r="Q24" s="681" t="s">
        <v>175</v>
      </c>
      <c r="R24" s="682" t="s">
        <v>175</v>
      </c>
      <c r="S24" s="682" t="s">
        <v>175</v>
      </c>
      <c r="T24" s="682" t="s">
        <v>175</v>
      </c>
      <c r="U24" s="682" t="s">
        <v>175</v>
      </c>
      <c r="V24" s="682" t="s">
        <v>175</v>
      </c>
      <c r="W24" s="683" t="s">
        <v>175</v>
      </c>
      <c r="Z24" s="681" t="s">
        <v>175</v>
      </c>
      <c r="AA24" s="682" t="s">
        <v>175</v>
      </c>
      <c r="AB24" s="682" t="s">
        <v>175</v>
      </c>
      <c r="AC24" s="682" t="s">
        <v>175</v>
      </c>
      <c r="AD24" s="682" t="s">
        <v>175</v>
      </c>
      <c r="AE24" s="682" t="s">
        <v>175</v>
      </c>
      <c r="AF24" s="683" t="s">
        <v>175</v>
      </c>
      <c r="AI24" s="681" t="s">
        <v>175</v>
      </c>
      <c r="AJ24" s="682" t="s">
        <v>175</v>
      </c>
      <c r="AK24" s="682" t="s">
        <v>175</v>
      </c>
      <c r="AL24" s="682" t="s">
        <v>175</v>
      </c>
      <c r="AM24" s="682" t="s">
        <v>175</v>
      </c>
      <c r="AN24" s="682" t="s">
        <v>175</v>
      </c>
      <c r="AO24" s="683" t="s">
        <v>175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684">
        <v>39070</v>
      </c>
      <c r="D25" s="684" t="s">
        <v>199</v>
      </c>
      <c r="E25" s="684" t="s">
        <v>187</v>
      </c>
      <c r="F25" s="684" t="s">
        <v>193</v>
      </c>
      <c r="G25" s="684" t="s">
        <v>200</v>
      </c>
      <c r="H25" s="685">
        <v>73</v>
      </c>
      <c r="I25" s="685" t="s">
        <v>201</v>
      </c>
      <c r="J25" s="685"/>
      <c r="K25" s="685"/>
      <c r="L25" s="685"/>
      <c r="M25" s="685"/>
      <c r="N25" s="685"/>
      <c r="O25" s="113"/>
      <c r="Q25" s="686" t="s">
        <v>191</v>
      </c>
      <c r="R25" s="687" t="s">
        <v>191</v>
      </c>
      <c r="S25" s="687" t="s">
        <v>191</v>
      </c>
      <c r="T25" s="687" t="s">
        <v>191</v>
      </c>
      <c r="U25" s="687" t="s">
        <v>191</v>
      </c>
      <c r="V25" s="687" t="s">
        <v>191</v>
      </c>
      <c r="W25" s="688" t="s">
        <v>191</v>
      </c>
      <c r="Z25" s="686" t="s">
        <v>191</v>
      </c>
      <c r="AA25" s="687" t="s">
        <v>191</v>
      </c>
      <c r="AB25" s="687" t="s">
        <v>191</v>
      </c>
      <c r="AC25" s="687" t="s">
        <v>191</v>
      </c>
      <c r="AD25" s="687" t="s">
        <v>191</v>
      </c>
      <c r="AE25" s="687" t="s">
        <v>191</v>
      </c>
      <c r="AF25" s="688" t="s">
        <v>191</v>
      </c>
      <c r="AI25" s="686" t="s">
        <v>191</v>
      </c>
      <c r="AJ25" s="687" t="s">
        <v>191</v>
      </c>
      <c r="AK25" s="687" t="s">
        <v>191</v>
      </c>
      <c r="AL25" s="687" t="s">
        <v>191</v>
      </c>
      <c r="AM25" s="687" t="s">
        <v>191</v>
      </c>
      <c r="AN25" s="687" t="s">
        <v>191</v>
      </c>
      <c r="AO25" s="688" t="s">
        <v>191</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679">
        <v>44117</v>
      </c>
      <c r="D26" s="679" t="s">
        <v>202</v>
      </c>
      <c r="E26" s="679" t="s">
        <v>187</v>
      </c>
      <c r="F26" s="679" t="s">
        <v>193</v>
      </c>
      <c r="G26" s="679" t="s">
        <v>203</v>
      </c>
      <c r="H26" s="680">
        <v>129</v>
      </c>
      <c r="I26" s="680" t="s">
        <v>204</v>
      </c>
      <c r="J26" s="680"/>
      <c r="K26" s="680"/>
      <c r="L26" s="680"/>
      <c r="M26" s="680"/>
      <c r="N26" s="680"/>
      <c r="O26" s="113"/>
      <c r="Q26" s="681" t="s">
        <v>191</v>
      </c>
      <c r="R26" s="682" t="s">
        <v>191</v>
      </c>
      <c r="S26" s="682" t="s">
        <v>191</v>
      </c>
      <c r="T26" s="682" t="s">
        <v>191</v>
      </c>
      <c r="U26" s="682" t="s">
        <v>191</v>
      </c>
      <c r="V26" s="682" t="s">
        <v>191</v>
      </c>
      <c r="W26" s="683" t="s">
        <v>191</v>
      </c>
      <c r="Z26" s="681" t="s">
        <v>191</v>
      </c>
      <c r="AA26" s="682" t="s">
        <v>191</v>
      </c>
      <c r="AB26" s="682" t="s">
        <v>191</v>
      </c>
      <c r="AC26" s="682" t="s">
        <v>191</v>
      </c>
      <c r="AD26" s="682" t="s">
        <v>191</v>
      </c>
      <c r="AE26" s="682" t="s">
        <v>191</v>
      </c>
      <c r="AF26" s="683" t="s">
        <v>191</v>
      </c>
      <c r="AI26" s="681" t="s">
        <v>191</v>
      </c>
      <c r="AJ26" s="682" t="s">
        <v>191</v>
      </c>
      <c r="AK26" s="682" t="s">
        <v>191</v>
      </c>
      <c r="AL26" s="682" t="s">
        <v>191</v>
      </c>
      <c r="AM26" s="682" t="s">
        <v>191</v>
      </c>
      <c r="AN26" s="682" t="s">
        <v>191</v>
      </c>
      <c r="AO26" s="683" t="s">
        <v>191</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684">
        <v>53909</v>
      </c>
      <c r="D27" s="684" t="s">
        <v>205</v>
      </c>
      <c r="E27" s="684" t="s">
        <v>187</v>
      </c>
      <c r="F27" s="684" t="s">
        <v>206</v>
      </c>
      <c r="G27" s="684" t="s">
        <v>207</v>
      </c>
      <c r="H27" s="685">
        <v>35</v>
      </c>
      <c r="I27" s="685" t="s">
        <v>208</v>
      </c>
      <c r="J27" s="685"/>
      <c r="K27" s="685"/>
      <c r="L27" s="685"/>
      <c r="M27" s="685"/>
      <c r="N27" s="685"/>
      <c r="O27" s="113"/>
      <c r="Q27" s="686" t="s">
        <v>191</v>
      </c>
      <c r="R27" s="687" t="s">
        <v>191</v>
      </c>
      <c r="S27" s="687" t="s">
        <v>191</v>
      </c>
      <c r="T27" s="687" t="s">
        <v>191</v>
      </c>
      <c r="U27" s="687" t="s">
        <v>191</v>
      </c>
      <c r="V27" s="687" t="s">
        <v>191</v>
      </c>
      <c r="W27" s="688" t="s">
        <v>191</v>
      </c>
      <c r="Z27" s="686" t="s">
        <v>191</v>
      </c>
      <c r="AA27" s="687" t="s">
        <v>191</v>
      </c>
      <c r="AB27" s="687" t="s">
        <v>191</v>
      </c>
      <c r="AC27" s="687" t="s">
        <v>191</v>
      </c>
      <c r="AD27" s="687" t="s">
        <v>191</v>
      </c>
      <c r="AE27" s="687" t="s">
        <v>191</v>
      </c>
      <c r="AF27" s="688" t="s">
        <v>191</v>
      </c>
      <c r="AI27" s="686" t="s">
        <v>209</v>
      </c>
      <c r="AJ27" s="687" t="s">
        <v>209</v>
      </c>
      <c r="AK27" s="687" t="s">
        <v>209</v>
      </c>
      <c r="AL27" s="687" t="s">
        <v>209</v>
      </c>
      <c r="AM27" s="687" t="s">
        <v>209</v>
      </c>
      <c r="AN27" s="687" t="s">
        <v>209</v>
      </c>
      <c r="AO27" s="688" t="s">
        <v>209</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680">
        <v>476</v>
      </c>
      <c r="I28" s="689"/>
      <c r="J28" s="689"/>
      <c r="K28" s="689"/>
      <c r="L28" s="689"/>
      <c r="M28" s="689"/>
      <c r="N28" s="689"/>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689"/>
      <c r="J29" s="689"/>
      <c r="K29" s="689"/>
      <c r="L29" s="689"/>
      <c r="M29" s="689"/>
      <c r="N29" s="689"/>
      <c r="O29" s="113"/>
      <c r="P29" t="s">
        <v>210</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689"/>
      <c r="J30" s="689"/>
      <c r="K30" s="689"/>
      <c r="L30" s="689"/>
      <c r="M30" s="689"/>
      <c r="N30" s="689"/>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689"/>
      <c r="J31" s="689"/>
      <c r="K31" s="689"/>
      <c r="L31" s="689"/>
      <c r="M31" s="689"/>
      <c r="N31" s="689"/>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689"/>
      <c r="J32" s="689"/>
      <c r="K32" s="689"/>
      <c r="L32" s="689"/>
      <c r="M32" s="689"/>
      <c r="N32" s="689"/>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689"/>
      <c r="J33" s="689"/>
      <c r="K33" s="689"/>
      <c r="L33" s="689"/>
      <c r="M33" s="689"/>
      <c r="N33" s="689"/>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689"/>
      <c r="J34" s="689"/>
      <c r="K34" s="689"/>
      <c r="L34" s="689"/>
      <c r="M34" s="689"/>
      <c r="N34" s="689"/>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689"/>
      <c r="J35" s="689"/>
      <c r="K35" s="689"/>
      <c r="L35" s="689"/>
      <c r="M35" s="689"/>
      <c r="N35" s="689"/>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689"/>
      <c r="J36" s="689"/>
      <c r="K36" s="689"/>
      <c r="L36" s="689"/>
      <c r="M36" s="689"/>
      <c r="N36" s="689"/>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689"/>
      <c r="J37" s="689"/>
      <c r="K37" s="689"/>
      <c r="L37" s="689"/>
      <c r="M37" s="689"/>
      <c r="N37" s="689"/>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689"/>
      <c r="J38" s="689"/>
      <c r="K38" s="689"/>
      <c r="L38" s="689"/>
      <c r="M38" s="689"/>
      <c r="N38" s="689"/>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689"/>
      <c r="J39" s="689"/>
      <c r="K39" s="689"/>
      <c r="L39" s="689"/>
      <c r="M39" s="689"/>
      <c r="N39" s="689"/>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689"/>
      <c r="J40" s="689"/>
      <c r="K40" s="689"/>
      <c r="L40" s="689"/>
      <c r="M40" s="689"/>
      <c r="N40" s="689"/>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689"/>
      <c r="J41" s="689"/>
      <c r="K41" s="689"/>
      <c r="L41" s="689"/>
      <c r="M41" s="689"/>
      <c r="N41" s="689"/>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689"/>
      <c r="J42" s="689"/>
      <c r="K42" s="689"/>
      <c r="L42" s="689"/>
      <c r="M42" s="689"/>
      <c r="N42" s="689"/>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689"/>
      <c r="J43" s="689"/>
      <c r="K43" s="689"/>
      <c r="L43" s="689"/>
      <c r="M43" s="689"/>
      <c r="N43" s="689"/>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689"/>
      <c r="J44" s="689"/>
      <c r="K44" s="689"/>
      <c r="L44" s="689"/>
      <c r="M44" s="689"/>
      <c r="N44" s="689"/>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689"/>
      <c r="J45" s="689"/>
      <c r="K45" s="689"/>
      <c r="L45" s="689"/>
      <c r="M45" s="689"/>
      <c r="N45" s="689"/>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689"/>
      <c r="J46" s="689"/>
      <c r="K46" s="689"/>
      <c r="L46" s="689"/>
      <c r="M46" s="689"/>
      <c r="N46" s="689"/>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689"/>
      <c r="J47" s="689"/>
      <c r="K47" s="689"/>
      <c r="L47" s="689"/>
      <c r="M47" s="689"/>
      <c r="N47" s="689"/>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689"/>
      <c r="J48" s="689"/>
      <c r="K48" s="689"/>
      <c r="L48" s="689"/>
      <c r="M48" s="689"/>
      <c r="N48" s="689"/>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689"/>
      <c r="J49" s="689"/>
      <c r="K49" s="689"/>
      <c r="L49" s="689"/>
      <c r="M49" s="689"/>
      <c r="N49" s="689"/>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689"/>
      <c r="J50" s="689"/>
      <c r="K50" s="689"/>
      <c r="L50" s="689"/>
      <c r="M50" s="689"/>
      <c r="N50" s="689"/>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689"/>
      <c r="J51" s="689"/>
      <c r="K51" s="689"/>
      <c r="L51" s="689"/>
      <c r="M51" s="689"/>
      <c r="N51" s="689"/>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689"/>
      <c r="J52" s="689"/>
      <c r="K52" s="689"/>
      <c r="L52" s="689"/>
      <c r="M52" s="689"/>
      <c r="N52" s="689"/>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689"/>
      <c r="J53" s="689"/>
      <c r="K53" s="689"/>
      <c r="L53" s="689"/>
      <c r="M53" s="689"/>
      <c r="N53" s="689"/>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689"/>
      <c r="J54" s="689"/>
      <c r="K54" s="689"/>
      <c r="L54" s="689"/>
      <c r="M54" s="689"/>
      <c r="N54" s="689"/>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689"/>
      <c r="J55" s="689"/>
      <c r="K55" s="689"/>
      <c r="L55" s="689"/>
      <c r="M55" s="689"/>
      <c r="N55" s="689"/>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689"/>
      <c r="J56" s="689"/>
      <c r="K56" s="689"/>
      <c r="L56" s="689"/>
      <c r="M56" s="689"/>
      <c r="N56" s="689"/>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689"/>
      <c r="J57" s="689"/>
      <c r="K57" s="689"/>
      <c r="L57" s="689"/>
      <c r="M57" s="689"/>
      <c r="N57" s="689"/>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689"/>
      <c r="J58" s="689"/>
      <c r="K58" s="689"/>
      <c r="L58" s="689"/>
      <c r="M58" s="689"/>
      <c r="N58" s="689"/>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689"/>
      <c r="J59" s="689"/>
      <c r="K59" s="689"/>
      <c r="L59" s="689"/>
      <c r="M59" s="689"/>
      <c r="N59" s="689"/>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689"/>
      <c r="J60" s="689"/>
      <c r="K60" s="689"/>
      <c r="L60" s="689"/>
      <c r="M60" s="689"/>
      <c r="N60" s="689"/>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689"/>
      <c r="J61" s="689"/>
      <c r="K61" s="689"/>
      <c r="L61" s="689"/>
      <c r="M61" s="689"/>
      <c r="N61" s="689"/>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689"/>
      <c r="J62" s="689"/>
      <c r="K62" s="689"/>
      <c r="L62" s="689"/>
      <c r="M62" s="689"/>
      <c r="N62" s="689"/>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689"/>
      <c r="J63" s="689"/>
      <c r="K63" s="689"/>
      <c r="L63" s="689"/>
      <c r="M63" s="689"/>
      <c r="N63" s="689"/>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689"/>
      <c r="J64" s="689"/>
      <c r="K64" s="689"/>
      <c r="L64" s="689"/>
      <c r="M64" s="689"/>
      <c r="N64" s="689"/>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689"/>
      <c r="J65" s="689"/>
      <c r="K65" s="689"/>
      <c r="L65" s="689"/>
      <c r="M65" s="689"/>
      <c r="N65" s="689"/>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689"/>
      <c r="J66" s="689"/>
      <c r="K66" s="689"/>
      <c r="L66" s="689"/>
      <c r="M66" s="689"/>
      <c r="N66" s="689"/>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689"/>
      <c r="J67" s="689"/>
      <c r="K67" s="689"/>
      <c r="L67" s="689"/>
      <c r="M67" s="689"/>
      <c r="N67" s="689"/>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689"/>
      <c r="J68" s="689"/>
      <c r="K68" s="689"/>
      <c r="L68" s="689"/>
      <c r="M68" s="689"/>
      <c r="N68" s="689"/>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689"/>
      <c r="J69" s="689"/>
      <c r="K69" s="689"/>
      <c r="L69" s="689"/>
      <c r="M69" s="689"/>
      <c r="N69" s="689"/>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689"/>
      <c r="J70" s="689"/>
      <c r="K70" s="689"/>
      <c r="L70" s="689"/>
      <c r="M70" s="689"/>
      <c r="N70" s="689"/>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689"/>
      <c r="J71" s="689"/>
      <c r="K71" s="689"/>
      <c r="L71" s="689"/>
      <c r="M71" s="689"/>
      <c r="N71" s="689"/>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689"/>
      <c r="J72" s="689"/>
      <c r="K72" s="689"/>
      <c r="L72" s="689"/>
      <c r="M72" s="689"/>
      <c r="N72" s="689"/>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689"/>
      <c r="J73" s="689"/>
      <c r="K73" s="689"/>
      <c r="L73" s="689"/>
      <c r="M73" s="689"/>
      <c r="N73" s="689"/>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689"/>
      <c r="J74" s="689"/>
      <c r="K74" s="689"/>
      <c r="L74" s="689"/>
      <c r="M74" s="689"/>
      <c r="N74" s="689"/>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689"/>
      <c r="J75" s="689"/>
      <c r="K75" s="689"/>
      <c r="L75" s="689"/>
      <c r="M75" s="689"/>
      <c r="N75" s="689"/>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689"/>
      <c r="J76" s="689"/>
      <c r="K76" s="689"/>
      <c r="L76" s="689"/>
      <c r="M76" s="689"/>
      <c r="N76" s="689"/>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689"/>
      <c r="J77" s="689"/>
      <c r="K77" s="689"/>
      <c r="L77" s="689"/>
      <c r="M77" s="689"/>
      <c r="N77" s="689"/>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689"/>
      <c r="J78" s="689"/>
      <c r="K78" s="689"/>
      <c r="L78" s="689"/>
      <c r="M78" s="689"/>
      <c r="N78" s="689"/>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689"/>
      <c r="J79" s="689"/>
      <c r="K79" s="689"/>
      <c r="L79" s="689"/>
      <c r="M79" s="689"/>
      <c r="N79" s="689"/>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689"/>
      <c r="J80" s="689"/>
      <c r="K80" s="689"/>
      <c r="L80" s="689"/>
      <c r="M80" s="689"/>
      <c r="N80" s="689"/>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689"/>
      <c r="J81" s="689"/>
      <c r="K81" s="689"/>
      <c r="L81" s="689"/>
      <c r="M81" s="689"/>
      <c r="N81" s="689"/>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689"/>
      <c r="J82" s="689"/>
      <c r="K82" s="689"/>
      <c r="L82" s="689"/>
      <c r="M82" s="689"/>
      <c r="N82" s="689"/>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689"/>
      <c r="J83" s="689"/>
      <c r="K83" s="689"/>
      <c r="L83" s="689"/>
      <c r="M83" s="689"/>
      <c r="N83" s="689"/>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689"/>
      <c r="J84" s="689"/>
      <c r="K84" s="689"/>
      <c r="L84" s="689"/>
      <c r="M84" s="689"/>
      <c r="N84" s="689"/>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689"/>
      <c r="J85" s="689"/>
      <c r="K85" s="689"/>
      <c r="L85" s="689"/>
      <c r="M85" s="689"/>
      <c r="N85" s="689"/>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689"/>
      <c r="J86" s="689"/>
      <c r="K86" s="689"/>
      <c r="L86" s="689"/>
      <c r="M86" s="689"/>
      <c r="N86" s="689"/>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689"/>
      <c r="J87" s="689"/>
      <c r="K87" s="689"/>
      <c r="L87" s="689"/>
      <c r="M87" s="689"/>
      <c r="N87" s="689"/>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689"/>
      <c r="J88" s="689"/>
      <c r="K88" s="689"/>
      <c r="L88" s="689"/>
      <c r="M88" s="689"/>
      <c r="N88" s="689"/>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689"/>
      <c r="J89" s="689"/>
      <c r="K89" s="689"/>
      <c r="L89" s="689"/>
      <c r="M89" s="689"/>
      <c r="N89" s="689"/>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689"/>
      <c r="J90" s="689"/>
      <c r="K90" s="689"/>
      <c r="L90" s="689"/>
      <c r="M90" s="689"/>
      <c r="N90" s="689"/>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689"/>
      <c r="J91" s="689"/>
      <c r="K91" s="689"/>
      <c r="L91" s="689"/>
      <c r="M91" s="689"/>
      <c r="N91" s="689"/>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689"/>
      <c r="J92" s="689"/>
      <c r="K92" s="689"/>
      <c r="L92" s="689"/>
      <c r="M92" s="689"/>
      <c r="N92" s="689"/>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689"/>
      <c r="J93" s="689"/>
      <c r="K93" s="689"/>
      <c r="L93" s="689"/>
      <c r="M93" s="689"/>
      <c r="N93" s="689"/>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689"/>
      <c r="J94" s="689"/>
      <c r="K94" s="689"/>
      <c r="L94" s="689"/>
      <c r="M94" s="689"/>
      <c r="N94" s="689"/>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689"/>
      <c r="J95" s="689"/>
      <c r="K95" s="689"/>
      <c r="L95" s="689"/>
      <c r="M95" s="689"/>
      <c r="N95" s="689"/>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689"/>
      <c r="J96" s="689"/>
      <c r="K96" s="689"/>
      <c r="L96" s="689"/>
      <c r="M96" s="689"/>
      <c r="N96" s="689"/>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689"/>
      <c r="J97" s="689"/>
      <c r="K97" s="689"/>
      <c r="L97" s="689"/>
      <c r="M97" s="689"/>
      <c r="N97" s="689"/>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689"/>
      <c r="J98" s="689"/>
      <c r="K98" s="689"/>
      <c r="L98" s="689"/>
      <c r="M98" s="689"/>
      <c r="N98" s="689"/>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689"/>
      <c r="J99" s="689"/>
      <c r="K99" s="689"/>
      <c r="L99" s="689"/>
      <c r="M99" s="689"/>
      <c r="N99" s="689"/>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689"/>
      <c r="J100" s="689"/>
      <c r="K100" s="689"/>
      <c r="L100" s="689"/>
      <c r="M100" s="689"/>
      <c r="N100" s="689"/>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690" t="s">
        <v>114</v>
      </c>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90"/>
      <c r="AD103" s="690"/>
      <c r="AE103" s="690"/>
      <c r="AF103" s="690"/>
      <c r="AG103" s="690"/>
      <c r="AH103" s="690"/>
      <c r="AI103" s="690"/>
      <c r="AJ103" s="690"/>
      <c r="AK103" s="690"/>
      <c r="AL103" s="690"/>
      <c r="AM103" s="690"/>
      <c r="AN103" s="690"/>
      <c r="AO103" s="690"/>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691"/>
      <c r="B105" s="691"/>
      <c r="C105" s="691"/>
      <c r="D105" s="691"/>
      <c r="E105" s="691"/>
      <c r="F105" s="691"/>
      <c r="G105" s="691"/>
      <c r="H105" s="691"/>
      <c r="I105" s="691"/>
      <c r="J105" s="691"/>
      <c r="K105" s="691"/>
      <c r="L105" s="691"/>
      <c r="M105" s="691"/>
      <c r="N105" s="691"/>
      <c r="O105" s="691"/>
      <c r="P105" s="691"/>
      <c r="Q105" s="691"/>
      <c r="R105" s="691"/>
      <c r="S105" s="691"/>
      <c r="T105" s="691"/>
      <c r="U105" s="691"/>
      <c r="V105" s="691"/>
      <c r="W105" s="691"/>
      <c r="X105" s="691"/>
      <c r="Y105" s="691"/>
      <c r="Z105" s="691"/>
      <c r="AA105" s="691"/>
      <c r="AB105" s="691"/>
      <c r="AC105" s="691"/>
      <c r="AD105" s="691"/>
      <c r="AE105" s="691"/>
      <c r="AF105" s="691"/>
      <c r="AG105" s="691"/>
      <c r="AH105" s="691"/>
      <c r="AI105" s="691"/>
      <c r="AJ105" s="691"/>
      <c r="AK105" s="691"/>
      <c r="AL105" s="691"/>
      <c r="AM105" s="691"/>
      <c r="AN105" s="691"/>
      <c r="AO105" s="691"/>
      <c r="AP105" s="691"/>
      <c r="AQ105" s="691"/>
      <c r="AR105" s="691"/>
      <c r="AS105" s="691"/>
      <c r="AT105" s="691"/>
      <c r="AU105" s="691"/>
      <c r="AV105" s="691"/>
      <c r="AW105" s="691"/>
      <c r="AX105" s="691"/>
      <c r="AY105" s="691"/>
      <c r="AZ105" s="691"/>
      <c r="BA105" s="691"/>
      <c r="BB105" s="691"/>
      <c r="BC105" s="691"/>
      <c r="BD105" s="691"/>
      <c r="BE105" s="691"/>
      <c r="BF105" s="691"/>
      <c r="BG105" s="691"/>
      <c r="BH105" s="691"/>
      <c r="BI105" s="691"/>
      <c r="BJ105" s="691"/>
      <c r="BK105" s="691"/>
      <c r="BL105" s="691"/>
      <c r="BM105" s="691"/>
      <c r="BN105" s="691"/>
      <c r="BO105" s="691"/>
      <c r="BP105" s="691"/>
      <c r="BQ105" s="691"/>
      <c r="BR105" s="244"/>
      <c r="BS105" s="244"/>
      <c r="BT105" s="244"/>
      <c r="BU105" s="244"/>
      <c r="BV105" s="244"/>
      <c r="BW105" s="244"/>
      <c r="BX105" s="244"/>
      <c r="BY105" s="244"/>
      <c r="BZ105" s="244"/>
      <c r="CA105" s="244"/>
      <c r="CB105" s="244"/>
      <c r="CC105" s="244"/>
      <c r="CD105" s="244"/>
      <c r="CE105" s="244"/>
      <c r="CF105" s="244"/>
    </row>
    <row r="106" ht="12.75" customHeight="1">
      <c r="A106" s="691"/>
      <c r="B106" s="691"/>
      <c r="C106" s="691"/>
      <c r="D106" s="691"/>
      <c r="E106" s="691"/>
      <c r="F106" s="691"/>
      <c r="G106" s="691"/>
      <c r="H106" s="691"/>
      <c r="I106" s="691"/>
      <c r="J106" s="691"/>
      <c r="K106" s="691"/>
      <c r="L106" s="691"/>
      <c r="M106" s="691"/>
      <c r="N106" s="691"/>
      <c r="O106" s="691"/>
      <c r="P106" s="691"/>
      <c r="Q106" s="691"/>
      <c r="R106" s="691"/>
      <c r="S106" s="691"/>
      <c r="T106" s="691"/>
      <c r="U106" s="691"/>
      <c r="V106" s="691"/>
      <c r="W106" s="691"/>
      <c r="X106" s="691"/>
      <c r="Y106" s="691"/>
      <c r="Z106" s="691"/>
      <c r="AA106" s="691"/>
      <c r="AB106" s="691"/>
      <c r="AC106" s="691"/>
      <c r="AD106" s="691"/>
      <c r="AE106" s="691"/>
      <c r="AF106" s="691"/>
      <c r="AG106" s="691"/>
      <c r="AH106" s="691"/>
      <c r="AI106" s="691"/>
      <c r="AJ106" s="691"/>
      <c r="AK106" s="691"/>
      <c r="AL106" s="691"/>
      <c r="AM106" s="691"/>
      <c r="AN106" s="691"/>
      <c r="AO106" s="691"/>
      <c r="AP106" s="691"/>
      <c r="AQ106" s="691"/>
      <c r="AR106" s="691"/>
      <c r="AS106" s="691"/>
      <c r="AT106" s="691"/>
      <c r="AU106" s="691"/>
      <c r="AV106" s="691"/>
      <c r="AW106" s="691"/>
      <c r="AX106" s="691"/>
      <c r="AY106" s="691"/>
      <c r="AZ106" s="691"/>
      <c r="BA106" s="691"/>
      <c r="BB106" s="691"/>
      <c r="BC106" s="691"/>
      <c r="BD106" s="691"/>
      <c r="BE106" s="691"/>
      <c r="BF106" s="691"/>
      <c r="BG106" s="691"/>
      <c r="BH106" s="691"/>
      <c r="BI106" s="691"/>
      <c r="BJ106" s="691"/>
      <c r="BK106" s="691"/>
      <c r="BL106" s="691"/>
      <c r="BM106" s="691"/>
      <c r="BN106" s="691"/>
      <c r="BO106" s="691"/>
      <c r="BP106" s="691"/>
      <c r="BQ106" s="691"/>
      <c r="BR106" s="244"/>
      <c r="BS106" s="244"/>
      <c r="BT106" s="244"/>
      <c r="BU106" s="244"/>
      <c r="BV106" s="244"/>
      <c r="BW106" s="244"/>
      <c r="BX106" s="244"/>
      <c r="BY106" s="244"/>
      <c r="BZ106" s="244"/>
      <c r="CA106" s="244"/>
      <c r="CB106" s="244"/>
      <c r="CC106" s="244"/>
      <c r="CD106" s="244"/>
      <c r="CE106" s="244"/>
      <c r="CF106" s="244"/>
    </row>
    <row r="107" ht="12.75" customHeight="1">
      <c r="A107" s="691"/>
      <c r="B107" s="691"/>
      <c r="C107" s="691"/>
      <c r="D107" s="691"/>
      <c r="E107" s="691"/>
      <c r="F107" s="691"/>
      <c r="G107" s="691"/>
      <c r="H107" s="691"/>
      <c r="I107" s="691"/>
      <c r="J107" s="691"/>
      <c r="K107" s="691"/>
      <c r="L107" s="691"/>
      <c r="M107" s="691"/>
      <c r="N107" s="691"/>
      <c r="O107" s="691"/>
      <c r="P107" s="691"/>
      <c r="Q107" s="691"/>
      <c r="R107" s="691"/>
      <c r="S107" s="691"/>
      <c r="T107" s="691"/>
      <c r="U107" s="691"/>
      <c r="V107" s="691"/>
      <c r="W107" s="691"/>
      <c r="X107" s="691"/>
      <c r="Y107" s="691"/>
      <c r="Z107" s="691"/>
      <c r="AA107" s="691"/>
      <c r="AB107" s="691"/>
      <c r="AC107" s="691"/>
      <c r="AD107" s="691"/>
      <c r="AE107" s="691"/>
      <c r="AF107" s="691"/>
      <c r="AG107" s="691"/>
      <c r="AH107" s="691"/>
      <c r="AI107" s="691"/>
      <c r="AJ107" s="691"/>
      <c r="AK107" s="691"/>
      <c r="AL107" s="691"/>
      <c r="AM107" s="691"/>
      <c r="AN107" s="691"/>
      <c r="AO107" s="691"/>
      <c r="AP107" s="691"/>
      <c r="AQ107" s="691"/>
      <c r="AR107" s="691"/>
      <c r="AS107" s="691"/>
      <c r="AT107" s="691"/>
      <c r="AU107" s="691"/>
      <c r="AV107" s="691"/>
      <c r="AW107" s="691"/>
      <c r="AX107" s="691"/>
      <c r="AY107" s="691"/>
      <c r="AZ107" s="691"/>
      <c r="BA107" s="691"/>
      <c r="BB107" s="691"/>
      <c r="BC107" s="691"/>
      <c r="BD107" s="691"/>
      <c r="BE107" s="691"/>
      <c r="BF107" s="691"/>
      <c r="BG107" s="691"/>
      <c r="BH107" s="691"/>
      <c r="BI107" s="691"/>
      <c r="BJ107" s="691"/>
      <c r="BK107" s="691"/>
      <c r="BL107" s="691"/>
      <c r="BM107" s="691"/>
      <c r="BN107" s="691"/>
      <c r="BO107" s="691"/>
      <c r="BP107" s="691"/>
      <c r="BQ107" s="691"/>
      <c r="BR107" s="244"/>
      <c r="BS107" s="244"/>
      <c r="BT107" s="244"/>
      <c r="BU107" s="244"/>
      <c r="BV107" s="244"/>
      <c r="BW107" s="244"/>
      <c r="BX107" s="244"/>
      <c r="BY107" s="244"/>
      <c r="BZ107" s="244"/>
      <c r="CA107" s="244"/>
      <c r="CB107" s="244"/>
      <c r="CC107" s="244"/>
      <c r="CD107" s="244"/>
      <c r="CE107" s="244"/>
      <c r="CF107" s="244"/>
    </row>
    <row r="108" ht="12.75" customHeight="1">
      <c r="A108" s="691"/>
      <c r="B108" s="691"/>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1"/>
      <c r="AD108" s="691"/>
      <c r="AE108" s="691"/>
      <c r="AF108" s="691"/>
      <c r="AG108" s="691"/>
      <c r="AH108" s="691"/>
      <c r="AI108" s="691"/>
      <c r="AJ108" s="691"/>
      <c r="AK108" s="691"/>
      <c r="AL108" s="691"/>
      <c r="AM108" s="691"/>
      <c r="AN108" s="691"/>
      <c r="AO108" s="691"/>
      <c r="AP108" s="691"/>
      <c r="AQ108" s="691"/>
      <c r="AR108" s="691"/>
      <c r="AS108" s="691"/>
      <c r="AT108" s="691"/>
      <c r="AU108" s="691"/>
      <c r="AV108" s="691"/>
      <c r="AW108" s="691"/>
      <c r="AX108" s="691"/>
      <c r="AY108" s="691"/>
      <c r="AZ108" s="691"/>
      <c r="BA108" s="691"/>
      <c r="BB108" s="691"/>
      <c r="BC108" s="691"/>
      <c r="BD108" s="691"/>
      <c r="BE108" s="691"/>
      <c r="BF108" s="691"/>
      <c r="BG108" s="691"/>
      <c r="BH108" s="691"/>
      <c r="BI108" s="691"/>
      <c r="BJ108" s="691"/>
      <c r="BK108" s="691"/>
      <c r="BL108" s="691"/>
      <c r="BM108" s="691"/>
      <c r="BN108" s="691"/>
      <c r="BO108" s="691"/>
      <c r="BP108" s="691"/>
      <c r="BQ108" s="691"/>
      <c r="BR108" s="244"/>
      <c r="BS108" s="244"/>
      <c r="BT108" s="244"/>
      <c r="BU108" s="244"/>
      <c r="BV108" s="244"/>
      <c r="BW108" s="244"/>
      <c r="BX108" s="244"/>
      <c r="BY108" s="244"/>
      <c r="BZ108" s="244"/>
      <c r="CA108" s="244"/>
      <c r="CB108" s="244"/>
      <c r="CC108" s="244"/>
      <c r="CD108" s="244"/>
      <c r="CE108" s="244"/>
      <c r="CF108" s="244"/>
    </row>
    <row r="109" ht="12.75" customHeight="1">
      <c r="A109" s="691"/>
      <c r="B109" s="691"/>
      <c r="C109" s="691"/>
      <c r="D109" s="691"/>
      <c r="E109" s="691"/>
      <c r="F109" s="691"/>
      <c r="G109" s="691"/>
      <c r="H109" s="691"/>
      <c r="I109" s="691"/>
      <c r="J109" s="691"/>
      <c r="K109" s="691"/>
      <c r="L109" s="691"/>
      <c r="M109" s="691"/>
      <c r="N109" s="691"/>
      <c r="O109" s="691"/>
      <c r="P109" s="691"/>
      <c r="Q109" s="691"/>
      <c r="R109" s="691"/>
      <c r="S109" s="691"/>
      <c r="T109" s="691"/>
      <c r="U109" s="691"/>
      <c r="V109" s="691"/>
      <c r="W109" s="691"/>
      <c r="X109" s="691"/>
      <c r="Y109" s="691"/>
      <c r="Z109" s="691"/>
      <c r="AA109" s="691"/>
      <c r="AB109" s="691"/>
      <c r="AC109" s="691"/>
      <c r="AD109" s="691"/>
      <c r="AE109" s="691"/>
      <c r="AF109" s="691"/>
      <c r="AG109" s="691"/>
      <c r="AH109" s="691"/>
      <c r="AI109" s="691"/>
      <c r="AJ109" s="691"/>
      <c r="AK109" s="691"/>
      <c r="AL109" s="691"/>
      <c r="AM109" s="691"/>
      <c r="AN109" s="691"/>
      <c r="AO109" s="691"/>
      <c r="AP109" s="691"/>
      <c r="AQ109" s="691"/>
      <c r="AR109" s="691"/>
      <c r="AS109" s="691"/>
      <c r="AT109" s="691"/>
      <c r="AU109" s="691"/>
      <c r="AV109" s="691"/>
      <c r="AW109" s="691"/>
      <c r="AX109" s="691"/>
      <c r="AY109" s="691"/>
      <c r="AZ109" s="691"/>
      <c r="BA109" s="691"/>
      <c r="BB109" s="691"/>
      <c r="BC109" s="691"/>
      <c r="BD109" s="691"/>
      <c r="BE109" s="691"/>
      <c r="BF109" s="691"/>
      <c r="BG109" s="691"/>
      <c r="BH109" s="691"/>
      <c r="BI109" s="691"/>
      <c r="BJ109" s="691"/>
      <c r="BK109" s="691"/>
      <c r="BL109" s="691"/>
      <c r="BM109" s="691"/>
      <c r="BN109" s="691"/>
      <c r="BO109" s="691"/>
      <c r="BP109" s="691"/>
      <c r="BQ109" s="691"/>
      <c r="BR109" s="244"/>
      <c r="BS109" s="244"/>
      <c r="BT109" s="244"/>
      <c r="BU109" s="244"/>
      <c r="BV109" s="244"/>
      <c r="BW109" s="244"/>
      <c r="BX109" s="244"/>
      <c r="BY109" s="244"/>
      <c r="BZ109" s="244"/>
      <c r="CA109" s="244"/>
      <c r="CB109" s="244"/>
      <c r="CC109" s="244"/>
      <c r="CD109" s="244"/>
      <c r="CE109" s="244"/>
      <c r="CF109" s="244"/>
    </row>
    <row r="110" ht="12.75" customHeight="1">
      <c r="A110" s="691"/>
      <c r="B110" s="691"/>
      <c r="C110" s="691"/>
      <c r="D110" s="691"/>
      <c r="E110" s="691"/>
      <c r="F110" s="691"/>
      <c r="G110" s="691"/>
      <c r="H110" s="691"/>
      <c r="I110" s="691"/>
      <c r="J110" s="691"/>
      <c r="K110" s="691"/>
      <c r="L110" s="691"/>
      <c r="M110" s="691"/>
      <c r="N110" s="691"/>
      <c r="O110" s="691"/>
      <c r="P110" s="691"/>
      <c r="Q110" s="691"/>
      <c r="R110" s="691"/>
      <c r="S110" s="691"/>
      <c r="T110" s="691"/>
      <c r="U110" s="691"/>
      <c r="V110" s="691"/>
      <c r="W110" s="691"/>
      <c r="X110" s="691"/>
      <c r="Y110" s="691"/>
      <c r="Z110" s="691"/>
      <c r="AA110" s="691"/>
      <c r="AB110" s="691"/>
      <c r="AC110" s="691"/>
      <c r="AD110" s="691"/>
      <c r="AE110" s="691"/>
      <c r="AF110" s="691"/>
      <c r="AG110" s="691"/>
      <c r="AH110" s="691"/>
      <c r="AI110" s="691"/>
      <c r="AJ110" s="691"/>
      <c r="AK110" s="691"/>
      <c r="AL110" s="691"/>
      <c r="AM110" s="691"/>
      <c r="AN110" s="691"/>
      <c r="AO110" s="691"/>
      <c r="AP110" s="691"/>
      <c r="AQ110" s="691"/>
      <c r="AR110" s="691"/>
      <c r="AS110" s="691"/>
      <c r="AT110" s="691"/>
      <c r="AU110" s="691"/>
      <c r="AV110" s="691"/>
      <c r="AW110" s="691"/>
      <c r="AX110" s="691"/>
      <c r="AY110" s="691"/>
      <c r="AZ110" s="691"/>
      <c r="BA110" s="691"/>
      <c r="BB110" s="691"/>
      <c r="BC110" s="691"/>
      <c r="BD110" s="691"/>
      <c r="BE110" s="691"/>
      <c r="BF110" s="691"/>
      <c r="BG110" s="691"/>
      <c r="BH110" s="691"/>
      <c r="BI110" s="691"/>
      <c r="BJ110" s="691"/>
      <c r="BK110" s="691"/>
      <c r="BL110" s="691"/>
      <c r="BM110" s="691"/>
      <c r="BN110" s="691"/>
      <c r="BO110" s="691"/>
      <c r="BP110" s="691"/>
      <c r="BQ110" s="691"/>
      <c r="BR110" s="244"/>
      <c r="BS110" s="244"/>
      <c r="BT110" s="244"/>
      <c r="BU110" s="244"/>
      <c r="BV110" s="244"/>
      <c r="BW110" s="244"/>
      <c r="BX110" s="244"/>
      <c r="BY110" s="244"/>
      <c r="BZ110" s="244"/>
      <c r="CA110" s="244"/>
      <c r="CB110" s="244"/>
      <c r="CC110" s="244"/>
      <c r="CD110" s="244"/>
      <c r="CE110" s="244"/>
      <c r="CF110" s="244"/>
    </row>
    <row r="111" ht="12.75" customHeight="1">
      <c r="A111" s="691"/>
      <c r="B111" s="691"/>
      <c r="C111" s="691"/>
      <c r="D111" s="691"/>
      <c r="E111" s="691"/>
      <c r="F111" s="691"/>
      <c r="G111" s="691"/>
      <c r="H111" s="691"/>
      <c r="I111" s="691"/>
      <c r="J111" s="691"/>
      <c r="K111" s="691"/>
      <c r="L111" s="691"/>
      <c r="M111" s="691"/>
      <c r="N111" s="691"/>
      <c r="O111" s="691"/>
      <c r="P111" s="691"/>
      <c r="Q111" s="691"/>
      <c r="R111" s="691"/>
      <c r="S111" s="691"/>
      <c r="T111" s="691"/>
      <c r="U111" s="691"/>
      <c r="V111" s="691"/>
      <c r="W111" s="691"/>
      <c r="X111" s="691"/>
      <c r="Y111" s="691"/>
      <c r="Z111" s="691"/>
      <c r="AA111" s="691"/>
      <c r="AB111" s="691"/>
      <c r="AC111" s="691"/>
      <c r="AD111" s="691"/>
      <c r="AE111" s="691"/>
      <c r="AF111" s="691"/>
      <c r="AG111" s="691"/>
      <c r="AH111" s="691"/>
      <c r="AI111" s="691"/>
      <c r="AJ111" s="691"/>
      <c r="AK111" s="691"/>
      <c r="AL111" s="691"/>
      <c r="AM111" s="691"/>
      <c r="AN111" s="691"/>
      <c r="AO111" s="691"/>
      <c r="AP111" s="691"/>
      <c r="AQ111" s="691"/>
      <c r="AR111" s="691"/>
      <c r="AS111" s="691"/>
      <c r="AT111" s="691"/>
      <c r="AU111" s="691"/>
      <c r="AV111" s="691"/>
      <c r="AW111" s="691"/>
      <c r="AX111" s="691"/>
      <c r="AY111" s="691"/>
      <c r="AZ111" s="691"/>
      <c r="BA111" s="691"/>
      <c r="BB111" s="691"/>
      <c r="BC111" s="691"/>
      <c r="BD111" s="691"/>
      <c r="BE111" s="691"/>
      <c r="BF111" s="691"/>
      <c r="BG111" s="691"/>
      <c r="BH111" s="691"/>
      <c r="BI111" s="691"/>
      <c r="BJ111" s="691"/>
      <c r="BK111" s="691"/>
      <c r="BL111" s="691"/>
      <c r="BM111" s="691"/>
      <c r="BN111" s="691"/>
      <c r="BO111" s="691"/>
      <c r="BP111" s="691"/>
      <c r="BQ111" s="691"/>
      <c r="BR111" s="244"/>
      <c r="BS111" s="244"/>
      <c r="BT111" s="244"/>
      <c r="BU111" s="244"/>
      <c r="BV111" s="244"/>
      <c r="BW111" s="244"/>
      <c r="BX111" s="244"/>
      <c r="BY111" s="244"/>
      <c r="BZ111" s="244"/>
      <c r="CA111" s="244"/>
      <c r="CB111" s="244"/>
      <c r="CC111" s="244"/>
      <c r="CD111" s="244"/>
      <c r="CE111" s="244"/>
      <c r="CF111" s="244"/>
    </row>
    <row r="112" ht="12.75" customHeight="1">
      <c r="A112" s="691"/>
      <c r="B112" s="691"/>
      <c r="C112" s="691"/>
      <c r="D112" s="691"/>
      <c r="E112" s="691"/>
      <c r="F112" s="691"/>
      <c r="G112" s="691"/>
      <c r="H112" s="691"/>
      <c r="I112" s="691"/>
      <c r="J112" s="691"/>
      <c r="K112" s="691"/>
      <c r="L112" s="691"/>
      <c r="M112" s="691"/>
      <c r="N112" s="691"/>
      <c r="O112" s="691"/>
      <c r="P112" s="691"/>
      <c r="Q112" s="691"/>
      <c r="R112" s="691"/>
      <c r="S112" s="691"/>
      <c r="T112" s="691"/>
      <c r="U112" s="691"/>
      <c r="V112" s="691"/>
      <c r="W112" s="691"/>
      <c r="X112" s="691"/>
      <c r="Y112" s="691"/>
      <c r="Z112" s="691"/>
      <c r="AA112" s="691"/>
      <c r="AB112" s="691"/>
      <c r="AC112" s="691"/>
      <c r="AD112" s="691"/>
      <c r="AE112" s="691"/>
      <c r="AF112" s="691"/>
      <c r="AG112" s="691"/>
      <c r="AH112" s="691"/>
      <c r="AI112" s="691"/>
      <c r="AJ112" s="691"/>
      <c r="AK112" s="691"/>
      <c r="AL112" s="691"/>
      <c r="AM112" s="691"/>
      <c r="AN112" s="691"/>
      <c r="AO112" s="691"/>
      <c r="AP112" s="691"/>
      <c r="AQ112" s="691"/>
      <c r="AR112" s="691"/>
      <c r="AS112" s="691"/>
      <c r="AT112" s="691"/>
      <c r="AU112" s="691"/>
      <c r="AV112" s="691"/>
      <c r="AW112" s="691"/>
      <c r="AX112" s="691"/>
      <c r="AY112" s="691"/>
      <c r="AZ112" s="691"/>
      <c r="BA112" s="691"/>
      <c r="BB112" s="691"/>
      <c r="BC112" s="691"/>
      <c r="BD112" s="691"/>
      <c r="BE112" s="691"/>
      <c r="BF112" s="691"/>
      <c r="BG112" s="691"/>
      <c r="BH112" s="691"/>
      <c r="BI112" s="691"/>
      <c r="BJ112" s="691"/>
      <c r="BK112" s="691"/>
      <c r="BL112" s="691"/>
      <c r="BM112" s="691"/>
      <c r="BN112" s="691"/>
      <c r="BO112" s="691"/>
      <c r="BP112" s="691"/>
      <c r="BQ112" s="691"/>
      <c r="BR112" s="244"/>
      <c r="BS112" s="244"/>
      <c r="BT112" s="244"/>
      <c r="BU112" s="244"/>
      <c r="BV112" s="244"/>
      <c r="BW112" s="244"/>
      <c r="BX112" s="244"/>
      <c r="BY112" s="244"/>
      <c r="BZ112" s="244"/>
      <c r="CA112" s="244"/>
      <c r="CB112" s="244"/>
      <c r="CC112" s="244"/>
      <c r="CD112" s="244"/>
      <c r="CE112" s="244"/>
      <c r="CF112" s="244"/>
    </row>
    <row r="113" ht="12.75" customHeight="1">
      <c r="A113" s="691"/>
      <c r="B113" s="691"/>
      <c r="C113" s="691"/>
      <c r="D113" s="691"/>
      <c r="E113" s="691"/>
      <c r="F113" s="691"/>
      <c r="G113" s="691"/>
      <c r="H113" s="691"/>
      <c r="I113" s="691"/>
      <c r="J113" s="691"/>
      <c r="K113" s="691"/>
      <c r="L113" s="691"/>
      <c r="M113" s="691"/>
      <c r="N113" s="691"/>
      <c r="O113" s="691"/>
      <c r="P113" s="691"/>
      <c r="Q113" s="691"/>
      <c r="R113" s="691"/>
      <c r="S113" s="691"/>
      <c r="T113" s="691"/>
      <c r="U113" s="691"/>
      <c r="V113" s="691"/>
      <c r="W113" s="691"/>
      <c r="X113" s="691"/>
      <c r="Y113" s="691"/>
      <c r="Z113" s="691"/>
      <c r="AA113" s="691"/>
      <c r="AB113" s="691"/>
      <c r="AC113" s="691"/>
      <c r="AD113" s="691"/>
      <c r="AE113" s="691"/>
      <c r="AF113" s="691"/>
      <c r="AG113" s="691"/>
      <c r="AH113" s="691"/>
      <c r="AI113" s="691"/>
      <c r="AJ113" s="691"/>
      <c r="AK113" s="691"/>
      <c r="AL113" s="691"/>
      <c r="AM113" s="691"/>
      <c r="AN113" s="691"/>
      <c r="AO113" s="691"/>
      <c r="AP113" s="691"/>
      <c r="AQ113" s="691"/>
      <c r="AR113" s="691"/>
      <c r="AS113" s="691"/>
      <c r="AT113" s="691"/>
      <c r="AU113" s="691"/>
      <c r="AV113" s="691"/>
      <c r="AW113" s="691"/>
      <c r="AX113" s="691"/>
      <c r="AY113" s="691"/>
      <c r="AZ113" s="691"/>
      <c r="BA113" s="691"/>
      <c r="BB113" s="691"/>
      <c r="BC113" s="691"/>
      <c r="BD113" s="691"/>
      <c r="BE113" s="691"/>
      <c r="BF113" s="691"/>
      <c r="BG113" s="691"/>
      <c r="BH113" s="691"/>
      <c r="BI113" s="691"/>
      <c r="BJ113" s="691"/>
      <c r="BK113" s="691"/>
      <c r="BL113" s="691"/>
      <c r="BM113" s="691"/>
      <c r="BN113" s="691"/>
      <c r="BO113" s="691"/>
      <c r="BP113" s="691"/>
      <c r="BQ113" s="691"/>
      <c r="BR113" s="244"/>
      <c r="BS113" s="244"/>
      <c r="BT113" s="244"/>
      <c r="BU113" s="244"/>
      <c r="BV113" s="244"/>
      <c r="BW113" s="244"/>
      <c r="BX113" s="244"/>
      <c r="BY113" s="244"/>
      <c r="BZ113" s="244"/>
      <c r="CA113" s="244"/>
      <c r="CB113" s="244"/>
      <c r="CC113" s="244"/>
      <c r="CD113" s="244"/>
      <c r="CE113" s="244"/>
      <c r="CF113" s="244"/>
    </row>
    <row r="114">
      <c r="A114" s="691"/>
      <c r="B114" s="691"/>
      <c r="C114" s="691"/>
      <c r="D114" s="691"/>
      <c r="E114" s="691"/>
      <c r="F114" s="691"/>
      <c r="G114" s="691"/>
      <c r="H114" s="691"/>
      <c r="I114" s="691"/>
      <c r="J114" s="691"/>
      <c r="K114" s="691"/>
      <c r="L114" s="691"/>
      <c r="M114" s="691"/>
      <c r="N114" s="691"/>
      <c r="O114" s="691"/>
      <c r="P114" s="691"/>
      <c r="Q114" s="691"/>
      <c r="R114" s="691"/>
      <c r="S114" s="691"/>
      <c r="T114" s="691"/>
      <c r="U114" s="691"/>
      <c r="V114" s="691"/>
      <c r="W114" s="691"/>
      <c r="X114" s="691"/>
      <c r="Y114" s="691"/>
      <c r="Z114" s="691"/>
      <c r="AA114" s="691"/>
      <c r="AB114" s="691"/>
      <c r="AC114" s="691"/>
      <c r="AD114" s="691"/>
      <c r="AE114" s="691"/>
      <c r="AF114" s="691"/>
      <c r="AG114" s="691"/>
      <c r="AH114" s="691"/>
      <c r="AI114" s="691"/>
      <c r="AJ114" s="691"/>
      <c r="AK114" s="691"/>
      <c r="AL114" s="691"/>
      <c r="AM114" s="691"/>
      <c r="AN114" s="691"/>
      <c r="AO114" s="691"/>
      <c r="AP114" s="691"/>
      <c r="AQ114" s="691"/>
      <c r="AR114" s="691"/>
      <c r="AS114" s="691"/>
      <c r="AT114" s="691"/>
      <c r="AU114" s="691"/>
      <c r="AV114" s="691"/>
      <c r="AW114" s="691"/>
      <c r="AX114" s="691"/>
      <c r="AY114" s="691"/>
      <c r="AZ114" s="691"/>
      <c r="BA114" s="691"/>
      <c r="BB114" s="691"/>
      <c r="BC114" s="691"/>
      <c r="BD114" s="691"/>
      <c r="BE114" s="691"/>
      <c r="BF114" s="691"/>
      <c r="BG114" s="691"/>
      <c r="BH114" s="691"/>
      <c r="BI114" s="691"/>
      <c r="BJ114" s="691"/>
      <c r="BK114" s="691"/>
      <c r="BL114" s="691"/>
      <c r="BM114" s="691"/>
      <c r="BN114" s="691"/>
      <c r="BO114" s="691"/>
      <c r="BP114" s="691"/>
      <c r="BQ114" s="691"/>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140</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179</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180</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0.9621212121212121212121212121</v>
      </c>
      <c r="F10" s="73">
        <v>4.9586776859122464312547095900</v>
      </c>
      <c r="G10" s="66"/>
      <c r="H10" s="67">
        <v>0.7348484848484848484848484848</v>
      </c>
      <c r="I10" s="73">
        <v>-4.9019607842801614763552361400</v>
      </c>
      <c r="J10" s="66"/>
      <c r="K10" s="67">
        <v>0.6666666666666666666666666667</v>
      </c>
      <c r="L10" s="73">
        <v>-9.278350515404059942608101640</v>
      </c>
      <c r="M10" s="67"/>
      <c r="N10" s="67">
        <v>0.7272727272727272727272727273</v>
      </c>
      <c r="O10" s="73">
        <v>4.3478260869111531190926473300</v>
      </c>
      <c r="P10" s="66"/>
      <c r="Q10" s="67">
        <v>0.7575757575757575757575757576</v>
      </c>
      <c r="R10" s="73">
        <v>4.1666666666276041666666813200</v>
      </c>
      <c r="S10" s="66"/>
      <c r="T10" s="67">
        <v>0.7348484848484848484848484848</v>
      </c>
      <c r="U10" s="73">
        <v>-15.652173913031742911153117470</v>
      </c>
      <c r="V10" s="66"/>
      <c r="W10" s="67">
        <v>0.7272727272727272727272727273</v>
      </c>
      <c r="X10" s="73">
        <v>-20.661157024822238918106676210</v>
      </c>
      <c r="Y10" s="177"/>
      <c r="Z10" s="67">
        <v>0.7586580086580086580086580087</v>
      </c>
      <c r="AA10" s="73">
        <v>-5.7795698924959135449184821700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0.8896418199419167473378509197</v>
      </c>
      <c r="F11" s="81">
        <v>-0.5411255411148848175633878400</v>
      </c>
      <c r="G11" s="181"/>
      <c r="H11" s="180">
        <v>0.5992255566311713455953533398</v>
      </c>
      <c r="I11" s="81">
        <v>-14.147018030534728695889699320</v>
      </c>
      <c r="J11" s="181"/>
      <c r="K11" s="180">
        <v>0.5440464666021297192642787996</v>
      </c>
      <c r="L11" s="81">
        <v>-19.599427753929820855872173580</v>
      </c>
      <c r="M11" s="180"/>
      <c r="N11" s="180">
        <v>0.6863504356243949661181026137</v>
      </c>
      <c r="O11" s="81">
        <v>-1.3908205841796179982629126600</v>
      </c>
      <c r="P11" s="181"/>
      <c r="Q11" s="180">
        <v>0.8247821878025169409486931268</v>
      </c>
      <c r="R11" s="81">
        <v>-1.6166281755174719583548901100</v>
      </c>
      <c r="S11" s="182"/>
      <c r="T11" s="180">
        <v>0.9506292352371732817037754114</v>
      </c>
      <c r="U11" s="81">
        <v>2.2916666667090750868055731300</v>
      </c>
      <c r="V11" s="181"/>
      <c r="W11" s="180">
        <v>0.9448209099709583736689254598</v>
      </c>
      <c r="X11" s="81">
        <v>-2.5948103792525989936295061900</v>
      </c>
      <c r="Y11" s="183"/>
      <c r="Z11" s="180">
        <v>0.7770709445443230535195685244</v>
      </c>
      <c r="AA11" s="81">
        <v>-4.6172126973348529059329128100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108.14703069870719420736891446</v>
      </c>
      <c r="F12" s="73">
        <v>5.5297259866921117086325284200</v>
      </c>
      <c r="G12" s="68"/>
      <c r="H12" s="68">
        <v>122.63303470899869288469845113</v>
      </c>
      <c r="I12" s="73">
        <v>10.768475403184521119053819920</v>
      </c>
      <c r="J12" s="68"/>
      <c r="K12" s="68">
        <v>122.53855278769232532516052926</v>
      </c>
      <c r="L12" s="73">
        <v>12.837069376696898828738469240</v>
      </c>
      <c r="M12" s="68"/>
      <c r="N12" s="68">
        <v>105.96230285940191804272765686</v>
      </c>
      <c r="O12" s="73">
        <v>5.8195866807159988000004856100</v>
      </c>
      <c r="P12" s="68"/>
      <c r="Q12" s="68">
        <v>91.85161473888488687793764343</v>
      </c>
      <c r="R12" s="73">
        <v>5.8783255085247911550126355100</v>
      </c>
      <c r="S12" s="68"/>
      <c r="T12" s="68">
        <v>77.301271369513565963401213250</v>
      </c>
      <c r="U12" s="73">
        <v>-17.541840077971540656145561740</v>
      </c>
      <c r="V12" s="68"/>
      <c r="W12" s="68">
        <v>76.974664679579321067772593050</v>
      </c>
      <c r="X12" s="73">
        <v>-18.547622273426626909098157970</v>
      </c>
      <c r="Y12" s="174"/>
      <c r="Z12" s="68">
        <v>97.63046913344618711193385591</v>
      </c>
      <c r="AA12" s="73">
        <v>-1.2186236405312216966679725200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186.29921259842519685039370079</v>
      </c>
      <c r="F14" s="73">
        <v>-1.7511997715539748722552936100</v>
      </c>
      <c r="G14" s="70"/>
      <c r="H14" s="237">
        <v>132.52577319587628865979381443</v>
      </c>
      <c r="I14" s="73">
        <v>-16.655596115810380280074757980</v>
      </c>
      <c r="J14" s="70"/>
      <c r="K14" s="237">
        <v>118.80681818181818181818181818</v>
      </c>
      <c r="L14" s="73">
        <v>-13.513986013974331072304804310</v>
      </c>
      <c r="M14" s="70"/>
      <c r="N14" s="237">
        <v>126.500000000</v>
      </c>
      <c r="O14" s="73">
        <v>-7.912644405766234363386246800</v>
      </c>
      <c r="P14" s="70"/>
      <c r="Q14" s="237">
        <v>155.880000000</v>
      </c>
      <c r="R14" s="73">
        <v>0.459720730375841091142776400</v>
      </c>
      <c r="S14" s="70"/>
      <c r="T14" s="237">
        <v>221.08247422680412371134020619</v>
      </c>
      <c r="U14" s="73">
        <v>-10.233786900799655028091700290</v>
      </c>
      <c r="V14" s="70"/>
      <c r="W14" s="237">
        <v>237.72916666666666666666666667</v>
      </c>
      <c r="X14" s="73">
        <v>-6.6912249686314204330709418700</v>
      </c>
      <c r="Y14" s="178"/>
      <c r="Z14" s="237">
        <v>169.71326676176890156918687589</v>
      </c>
      <c r="AA14" s="73">
        <v>-9.273587211072342747224179240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203.61520130576713819368879215</v>
      </c>
      <c r="F15" s="81">
        <v>-9.527545341308907148228773610</v>
      </c>
      <c r="G15" s="184"/>
      <c r="H15" s="238">
        <v>149.763360258481421647819063</v>
      </c>
      <c r="I15" s="81">
        <v>-1.6842314496533702144747061900</v>
      </c>
      <c r="J15" s="184"/>
      <c r="K15" s="238">
        <v>144.72195729537366548042704627</v>
      </c>
      <c r="L15" s="81">
        <v>-7.319930402929147537870532200</v>
      </c>
      <c r="M15" s="184"/>
      <c r="N15" s="238">
        <v>167.28067700987306064880112836</v>
      </c>
      <c r="O15" s="81">
        <v>12.336933043254678619971642070</v>
      </c>
      <c r="P15" s="184"/>
      <c r="Q15" s="238">
        <v>174.64693661971830985915492958</v>
      </c>
      <c r="R15" s="81">
        <v>-5.6023429280672223498721904900</v>
      </c>
      <c r="S15" s="184"/>
      <c r="T15" s="238">
        <v>259.52308553971486761710794297</v>
      </c>
      <c r="U15" s="81">
        <v>6.6461917735176038875551641700</v>
      </c>
      <c r="V15" s="184"/>
      <c r="W15" s="238">
        <v>246.6597745901639344262295082</v>
      </c>
      <c r="X15" s="81">
        <v>0.4406753102450927637291035500</v>
      </c>
      <c r="Y15" s="186"/>
      <c r="Z15" s="238">
        <v>200.06272112475529453639437622</v>
      </c>
      <c r="AA15" s="81">
        <v>0.397463637323271618292096200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91.49572890612978244951801318</v>
      </c>
      <c r="F16" s="73">
        <v>8.595263165001699177700903120</v>
      </c>
      <c r="G16" s="68"/>
      <c r="H16" s="68">
        <v>88.49011732050438464140359840</v>
      </c>
      <c r="I16" s="73">
        <v>-15.227836680603203697761441420</v>
      </c>
      <c r="J16" s="68"/>
      <c r="K16" s="68">
        <v>82.09315324509812089686015582</v>
      </c>
      <c r="L16" s="73">
        <v>-6.6832660333807476851519622800</v>
      </c>
      <c r="M16" s="68"/>
      <c r="N16" s="68">
        <v>75.621406047103384691189864630</v>
      </c>
      <c r="O16" s="73">
        <v>-18.025752439970128275868595780</v>
      </c>
      <c r="P16" s="68"/>
      <c r="Q16" s="68">
        <v>89.25435682816144609366838165</v>
      </c>
      <c r="R16" s="73">
        <v>6.4218369888891032128693685300</v>
      </c>
      <c r="S16" s="68"/>
      <c r="T16" s="68">
        <v>85.18798000842375760363560197</v>
      </c>
      <c r="U16" s="73">
        <v>-15.828018228845878471536340960</v>
      </c>
      <c r="V16" s="68"/>
      <c r="W16" s="68">
        <v>96.37938211109994507939295801</v>
      </c>
      <c r="X16" s="73">
        <v>-7.1006096452769334532197218500</v>
      </c>
      <c r="Y16" s="174"/>
      <c r="Z16" s="68">
        <v>84.83003020632765655111226869</v>
      </c>
      <c r="AA16" s="73">
        <v>-9.632764113823358649647854200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179.24242424242424242424242424</v>
      </c>
      <c r="F18" s="73">
        <v>3.1206415620533695284279581500</v>
      </c>
      <c r="G18" s="70"/>
      <c r="H18" s="237">
        <v>97.38636363636363636363636364</v>
      </c>
      <c r="I18" s="73">
        <v>-20.741106110109944248706836170</v>
      </c>
      <c r="J18" s="70"/>
      <c r="K18" s="237">
        <v>79.204545454545454545454545455</v>
      </c>
      <c r="L18" s="73">
        <v>-21.538461538485091643815839370</v>
      </c>
      <c r="M18" s="70"/>
      <c r="N18" s="237">
        <v>92.000000000</v>
      </c>
      <c r="O18" s="73">
        <v>-3.9088463364213094087890922800</v>
      </c>
      <c r="P18" s="70"/>
      <c r="Q18" s="237">
        <v>118.09090909090909090909090909</v>
      </c>
      <c r="R18" s="73">
        <v>4.6455424274832645619726794700</v>
      </c>
      <c r="S18" s="70"/>
      <c r="T18" s="237">
        <v>162.46212121212121212121212121</v>
      </c>
      <c r="U18" s="73">
        <v>-24.284150690258154787216868990</v>
      </c>
      <c r="V18" s="70"/>
      <c r="W18" s="237">
        <v>172.89393939393939393939393939</v>
      </c>
      <c r="X18" s="73">
        <v>-25.969897495797462716200376780</v>
      </c>
      <c r="Y18" s="178"/>
      <c r="Z18" s="237">
        <v>128.754329004329004329004329</v>
      </c>
      <c r="AA18" s="73">
        <v>-14.517183649110392635559450810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181.14459825750242013552758955</v>
      </c>
      <c r="F19" s="81">
        <v>-10.017114901160737409258267760</v>
      </c>
      <c r="G19" s="184"/>
      <c r="H19" s="238">
        <v>89.74203291384317521781219748</v>
      </c>
      <c r="I19" s="81">
        <v>-15.592980953306743008652856270</v>
      </c>
      <c r="J19" s="184"/>
      <c r="K19" s="238">
        <v>78.735469506292352371732817038</v>
      </c>
      <c r="L19" s="81">
        <v>-25.484693685932195900212763530</v>
      </c>
      <c r="M19" s="184"/>
      <c r="N19" s="238">
        <v>114.81316553727008712487899322</v>
      </c>
      <c r="O19" s="81">
        <v>10.774527854896339869009481410</v>
      </c>
      <c r="P19" s="184"/>
      <c r="Q19" s="238">
        <v>144.04568247821878025169409487</v>
      </c>
      <c r="R19" s="81">
        <v>-7.1284020493334999892018487300</v>
      </c>
      <c r="S19" s="184"/>
      <c r="T19" s="238">
        <v>246.710232333010648596321394</v>
      </c>
      <c r="U19" s="81">
        <v>9.090167001696625202109243290</v>
      </c>
      <c r="V19" s="184"/>
      <c r="W19" s="238">
        <v>233.04931268151016456921587609</v>
      </c>
      <c r="X19" s="81">
        <v>-2.1655697576705090058540068900</v>
      </c>
      <c r="Y19" s="186"/>
      <c r="Z19" s="238">
        <v>155.46292767252108975245470889</v>
      </c>
      <c r="AA19" s="81">
        <v>-4.238100801525346805250756300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98.94991402814463934594945963</v>
      </c>
      <c r="F20" s="73">
        <v>14.600283652585091008443977540</v>
      </c>
      <c r="G20" s="68"/>
      <c r="H20" s="68">
        <v>108.51811628772244618489210318</v>
      </c>
      <c r="I20" s="73">
        <v>-6.0991671249004954458419113700</v>
      </c>
      <c r="J20" s="68"/>
      <c r="K20" s="68">
        <v>100.59576192431026469490094141</v>
      </c>
      <c r="L20" s="73">
        <v>5.295867845994995102053070600</v>
      </c>
      <c r="M20" s="68"/>
      <c r="N20" s="68">
        <v>80.13018330211568082609032416</v>
      </c>
      <c r="O20" s="73">
        <v>-13.255190047480688888039180330</v>
      </c>
      <c r="P20" s="68"/>
      <c r="Q20" s="68">
        <v>81.98156797152255689918566389</v>
      </c>
      <c r="R20" s="73">
        <v>12.677658979267468254295543570</v>
      </c>
      <c r="S20" s="68"/>
      <c r="T20" s="68">
        <v>65.851391600505680725689644030</v>
      </c>
      <c r="U20" s="73">
        <v>-30.593332661594148153753743240</v>
      </c>
      <c r="V20" s="68"/>
      <c r="W20" s="68">
        <v>74.187706200286991700897229400</v>
      </c>
      <c r="X20" s="73">
        <v>-24.331237662632457109850458850</v>
      </c>
      <c r="Y20" s="174"/>
      <c r="Z20" s="68">
        <v>82.81995645647711055845215142</v>
      </c>
      <c r="AA20" s="73">
        <v>-10.734000613632588178360652380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0.8541666666666666666666666667</v>
      </c>
      <c r="F27" s="73">
        <v>2.2675736961785182100051013800</v>
      </c>
      <c r="G27" s="66"/>
      <c r="H27" s="67">
        <v>0.7291666666666666666666666667</v>
      </c>
      <c r="I27" s="73">
        <v>-9.624413145519539773854389380</v>
      </c>
      <c r="J27" s="66"/>
      <c r="K27" s="67">
        <v>0.6931818181818181818181818182</v>
      </c>
      <c r="L27" s="73">
        <v>-13.475177304925265328705781680</v>
      </c>
      <c r="M27" s="67"/>
      <c r="N27" s="67">
        <v>0.8049242424242424242424242424</v>
      </c>
      <c r="O27" s="73">
        <v>-2.9680365296271970976418048600</v>
      </c>
      <c r="P27" s="66"/>
      <c r="Q27" s="67">
        <v>0.8446969696969696969696969697</v>
      </c>
      <c r="R27" s="73">
        <v>2.7649769584874599163286682200</v>
      </c>
      <c r="S27" s="66"/>
      <c r="T27" s="67">
        <v>0.7821969696969696969696969697</v>
      </c>
      <c r="U27" s="73">
        <v>-12.314225053033875613615134030</v>
      </c>
      <c r="V27" s="66"/>
      <c r="W27" s="67">
        <v>0.8636363636363636363636363636</v>
      </c>
      <c r="X27" s="73">
        <v>-1.935483870987987513007279900</v>
      </c>
      <c r="Y27" s="177"/>
      <c r="Z27" s="67">
        <v>0.795995670995670995670995671</v>
      </c>
      <c r="AA27" s="73">
        <v>-5.0355067785143385369931622200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0.8201839303000968054211035818</v>
      </c>
      <c r="F28" s="81">
        <v>-3.9671294984020811571305429900</v>
      </c>
      <c r="G28" s="181"/>
      <c r="H28" s="180">
        <v>0.7195062923523717328170377541</v>
      </c>
      <c r="I28" s="81">
        <v>-6.9774718398456206208949947800</v>
      </c>
      <c r="J28" s="181"/>
      <c r="K28" s="180">
        <v>0.7330590513068731848983543078</v>
      </c>
      <c r="L28" s="81">
        <v>-5.1956181533818424229956302200</v>
      </c>
      <c r="M28" s="180"/>
      <c r="N28" s="180">
        <v>0.759922555663117134559535334</v>
      </c>
      <c r="O28" s="81">
        <v>1.6839378237867795108593740400</v>
      </c>
      <c r="P28" s="181"/>
      <c r="Q28" s="180">
        <v>0.821878025169409486931268151</v>
      </c>
      <c r="R28" s="81">
        <v>3.1591737546184211808442059500</v>
      </c>
      <c r="S28" s="182"/>
      <c r="T28" s="180">
        <v>0.8910939012584704743465634076</v>
      </c>
      <c r="U28" s="81">
        <v>0.7111597373880823585461354900</v>
      </c>
      <c r="V28" s="181"/>
      <c r="W28" s="180">
        <v>0.928121974830590513068731849</v>
      </c>
      <c r="X28" s="81">
        <v>-0.7761966364431440817098270700</v>
      </c>
      <c r="Y28" s="183"/>
      <c r="Z28" s="180">
        <v>0.8105379615544184760060849122</v>
      </c>
      <c r="AA28" s="81">
        <v>-1.5826371689177986620087559900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104.14330677683928120076052003</v>
      </c>
      <c r="F29" s="73">
        <v>6.4922595378237746310508696400</v>
      </c>
      <c r="G29" s="68"/>
      <c r="H29" s="68">
        <v>101.34263930939197072339249672</v>
      </c>
      <c r="I29" s="73">
        <v>-2.84548416175534573857134700</v>
      </c>
      <c r="J29" s="68"/>
      <c r="K29" s="68">
        <v>94.56016086915738633310574078</v>
      </c>
      <c r="L29" s="73">
        <v>-8.733308514146121044505084360</v>
      </c>
      <c r="M29" s="68"/>
      <c r="N29" s="68">
        <v>105.92187801584338722481826916</v>
      </c>
      <c r="O29" s="73">
        <v>-4.574935287734269950818613300</v>
      </c>
      <c r="P29" s="68"/>
      <c r="Q29" s="68">
        <v>102.77643930475906258044241467</v>
      </c>
      <c r="R29" s="73">
        <v>-0.3821248093703801570988112900</v>
      </c>
      <c r="S29" s="68"/>
      <c r="T29" s="68">
        <v>87.77941007033094023928721109</v>
      </c>
      <c r="U29" s="73">
        <v>-12.933407602894790516608015070</v>
      </c>
      <c r="V29" s="68"/>
      <c r="W29" s="68">
        <v>93.05203271300860769389938328</v>
      </c>
      <c r="X29" s="73">
        <v>-1.1683559743886999655557994100</v>
      </c>
      <c r="Y29" s="174"/>
      <c r="Z29" s="68">
        <v>98.20584707341185256149822794</v>
      </c>
      <c r="AA29" s="73">
        <v>-3.508394769262312476510207700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214.4013303769401330376940133</v>
      </c>
      <c r="F31" s="73">
        <v>-12.528113109788449007652841690</v>
      </c>
      <c r="G31" s="70"/>
      <c r="H31" s="237">
        <v>168.07792207792207792207792208</v>
      </c>
      <c r="I31" s="73">
        <v>5.2277861460263522718173779500</v>
      </c>
      <c r="J31" s="70"/>
      <c r="K31" s="237">
        <v>166.02732240437158469945355191</v>
      </c>
      <c r="L31" s="73">
        <v>6.9936430735837171707306737600</v>
      </c>
      <c r="M31" s="70"/>
      <c r="N31" s="237">
        <v>164.45647058823529411764705882</v>
      </c>
      <c r="O31" s="73">
        <v>1.5420988999438732453441236800</v>
      </c>
      <c r="P31" s="70"/>
      <c r="Q31" s="237">
        <v>181.30717488789237668161434978</v>
      </c>
      <c r="R31" s="73">
        <v>2.5375474346409249465295859600</v>
      </c>
      <c r="S31" s="70"/>
      <c r="T31" s="237">
        <v>251.94430992736077481840193705</v>
      </c>
      <c r="U31" s="73">
        <v>-1.3445208584884315347890948400</v>
      </c>
      <c r="V31" s="70"/>
      <c r="W31" s="237">
        <v>267.89035087719298245614035088</v>
      </c>
      <c r="X31" s="73">
        <v>0.6634556985912690087850238700</v>
      </c>
      <c r="Y31" s="178"/>
      <c r="Z31" s="237">
        <v>203.65023793337865397688647179</v>
      </c>
      <c r="AA31" s="73">
        <v>-0.4067283175338940399244910200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219.93471525523753319563293006</v>
      </c>
      <c r="F32" s="81">
        <v>-2.5145652800936711272198880600</v>
      </c>
      <c r="G32" s="184"/>
      <c r="H32" s="238">
        <v>189.42456441305079044735956946</v>
      </c>
      <c r="I32" s="81">
        <v>6.751520631865345903607884500</v>
      </c>
      <c r="J32" s="184"/>
      <c r="K32" s="238">
        <v>193.79262132717068339385935952</v>
      </c>
      <c r="L32" s="81">
        <v>8.124966615682525611983797290</v>
      </c>
      <c r="M32" s="184"/>
      <c r="N32" s="238">
        <v>187.2340063694267515923566879</v>
      </c>
      <c r="O32" s="81">
        <v>10.60229167338241665992161300</v>
      </c>
      <c r="P32" s="184"/>
      <c r="Q32" s="238">
        <v>192.76957302709069493521790342</v>
      </c>
      <c r="R32" s="81">
        <v>0.8331679105444877828773934600</v>
      </c>
      <c r="S32" s="184"/>
      <c r="T32" s="238">
        <v>245.56639598044541010320478001</v>
      </c>
      <c r="U32" s="81">
        <v>-1.0661304687421318850725048400</v>
      </c>
      <c r="V32" s="184"/>
      <c r="W32" s="238">
        <v>255.2357340286831812255541069</v>
      </c>
      <c r="X32" s="81">
        <v>-1.6144834753641869738840796900</v>
      </c>
      <c r="Y32" s="186"/>
      <c r="Z32" s="238">
        <v>214.173374424159699709947108</v>
      </c>
      <c r="AA32" s="81">
        <v>2.0738231596742579401598987400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97.48407845853746408860756927</v>
      </c>
      <c r="F33" s="73">
        <v>-10.271839950707502310450986320</v>
      </c>
      <c r="G33" s="68"/>
      <c r="H33" s="68">
        <v>88.73079507860193013424243579</v>
      </c>
      <c r="I33" s="73">
        <v>-1.427365602697615790667496700</v>
      </c>
      <c r="J33" s="68"/>
      <c r="K33" s="68">
        <v>85.67267487653752951895044307</v>
      </c>
      <c r="L33" s="73">
        <v>-1.0463111134635983770568409300</v>
      </c>
      <c r="M33" s="68"/>
      <c r="N33" s="68">
        <v>87.83472285679441579893798077</v>
      </c>
      <c r="O33" s="73">
        <v>-8.191686299052219553893169210</v>
      </c>
      <c r="P33" s="68"/>
      <c r="Q33" s="68">
        <v>94.05383434781161629348911914</v>
      </c>
      <c r="R33" s="73">
        <v>1.6902965159542449002077420600</v>
      </c>
      <c r="S33" s="68"/>
      <c r="T33" s="68">
        <v>102.59722586288631734756072050</v>
      </c>
      <c r="U33" s="73">
        <v>-0.2813903783233704057160281900</v>
      </c>
      <c r="V33" s="68"/>
      <c r="W33" s="68">
        <v>104.95801142291072502323086657</v>
      </c>
      <c r="X33" s="73">
        <v>2.3153196267166617544064763800</v>
      </c>
      <c r="Y33" s="174"/>
      <c r="Z33" s="68">
        <v>95.08662712201619503145791244</v>
      </c>
      <c r="AA33" s="73">
        <v>-2.4301543730773115436797075600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183.1344696969696969696969697</v>
      </c>
      <c r="F35" s="73">
        <v>-10.544623611153630538579431250</v>
      </c>
      <c r="G35" s="70"/>
      <c r="H35" s="237">
        <v>122.55681818181818181818181818</v>
      </c>
      <c r="I35" s="73">
        <v>-4.8997707365732666882122460300</v>
      </c>
      <c r="J35" s="70"/>
      <c r="K35" s="237">
        <v>115.08712121212121212121212121</v>
      </c>
      <c r="L35" s="73">
        <v>-7.4239400356585640668470236500</v>
      </c>
      <c r="M35" s="70"/>
      <c r="N35" s="237">
        <v>132.375000000</v>
      </c>
      <c r="O35" s="73">
        <v>-1.4717076884239590545164325900</v>
      </c>
      <c r="P35" s="70"/>
      <c r="Q35" s="237">
        <v>153.14962121212121212121212121</v>
      </c>
      <c r="R35" s="73">
        <v>5.3726869950548056932183510900</v>
      </c>
      <c r="S35" s="70"/>
      <c r="T35" s="237">
        <v>197.07007575757575757575757576</v>
      </c>
      <c r="U35" s="73">
        <v>-13.493178587160665732838038860</v>
      </c>
      <c r="V35" s="70"/>
      <c r="W35" s="237">
        <v>231.35984848484848484848484848</v>
      </c>
      <c r="X35" s="73">
        <v>-1.2848692504070225228949365300</v>
      </c>
      <c r="Y35" s="178"/>
      <c r="Z35" s="237">
        <v>162.10470779220779220779220779</v>
      </c>
      <c r="AA35" s="73">
        <v>-5.4217542641343244422799884900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180.38691916747337850919651501</v>
      </c>
      <c r="F36" s="81">
        <v>-6.3819387175672072397949235800</v>
      </c>
      <c r="G36" s="184"/>
      <c r="H36" s="238">
        <v>136.29216602129719264278799613</v>
      </c>
      <c r="I36" s="81">
        <v>-0.6970366587721131536148337900</v>
      </c>
      <c r="J36" s="184"/>
      <c r="K36" s="238">
        <v>142.06143514036786060019361084</v>
      </c>
      <c r="L36" s="81">
        <v>2.5072062218808778785766354400</v>
      </c>
      <c r="M36" s="184"/>
      <c r="N36" s="238">
        <v>142.28334462729912875121006776</v>
      </c>
      <c r="O36" s="81">
        <v>12.464765496893793012741191920</v>
      </c>
      <c r="P36" s="184"/>
      <c r="Q36" s="238">
        <v>158.43307599225556631171345595</v>
      </c>
      <c r="R36" s="81">
        <v>4.0186628870180019930261432700</v>
      </c>
      <c r="S36" s="184"/>
      <c r="T36" s="238">
        <v>218.82271781219748305905130687</v>
      </c>
      <c r="U36" s="81">
        <v>-0.3625526219648665199400717700</v>
      </c>
      <c r="V36" s="184"/>
      <c r="W36" s="238">
        <v>236.88989351403678606001936108</v>
      </c>
      <c r="X36" s="81">
        <v>-2.3781485454285286701034710300</v>
      </c>
      <c r="Y36" s="186"/>
      <c r="Z36" s="238">
        <v>173.59565032498962799059604481</v>
      </c>
      <c r="AA36" s="81">
        <v>0.4583648946564977866128150200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101.52314288760507774566428760</v>
      </c>
      <c r="F37" s="73">
        <v>-4.4464549218035401930262346600</v>
      </c>
      <c r="G37" s="68"/>
      <c r="H37" s="68">
        <v>89.92212961283832572640107194</v>
      </c>
      <c r="I37" s="73">
        <v>-4.2322343023494022663548186800</v>
      </c>
      <c r="J37" s="68"/>
      <c r="K37" s="68">
        <v>81.01221918417201430256889432</v>
      </c>
      <c r="L37" s="73">
        <v>-9.688242050098655381639771760</v>
      </c>
      <c r="M37" s="68"/>
      <c r="N37" s="68">
        <v>93.03618799989968796110756114</v>
      </c>
      <c r="O37" s="73">
        <v>-12.391857239659901147185884360</v>
      </c>
      <c r="P37" s="68"/>
      <c r="Q37" s="68">
        <v>96.66518197220663135586159536</v>
      </c>
      <c r="R37" s="73">
        <v>1.301712664308332290466445900</v>
      </c>
      <c r="S37" s="68"/>
      <c r="T37" s="68">
        <v>90.05923961090137339626242783</v>
      </c>
      <c r="U37" s="73">
        <v>-13.178404616660084024071545300</v>
      </c>
      <c r="V37" s="68"/>
      <c r="W37" s="68">
        <v>97.66556312423489101323436736</v>
      </c>
      <c r="X37" s="73">
        <v>1.1199124773262991185845765100</v>
      </c>
      <c r="Y37" s="174"/>
      <c r="Z37" s="68">
        <v>93.38062761867636225164284386</v>
      </c>
      <c r="AA37" s="73">
        <v>-5.8532897334715971718361323200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142</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179</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180</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0.7586580086580086580086580087</v>
      </c>
      <c r="F10" s="73">
        <v>-5.7795698924959135449184821700</v>
      </c>
      <c r="G10" s="66"/>
      <c r="H10" s="17" t="s">
        <v>32</v>
      </c>
      <c r="I10" s="19">
        <v>0</v>
      </c>
      <c r="J10" s="73">
        <v>0</v>
      </c>
      <c r="K10" s="1"/>
      <c r="L10" s="17" t="s">
        <v>32</v>
      </c>
      <c r="M10" s="19">
        <v>0</v>
      </c>
      <c r="N10" s="73">
        <v>0</v>
      </c>
      <c r="O10" s="1"/>
      <c r="P10" s="17" t="s">
        <v>32</v>
      </c>
      <c r="Q10" s="19">
        <v>0.7586580086580086580086580087</v>
      </c>
      <c r="R10" s="73">
        <v>-5.7795698924959135449184821700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0.6952012169824367307426358733</v>
      </c>
      <c r="F11" s="81">
        <v>-7.2152821431331414852334979600</v>
      </c>
      <c r="G11" s="181"/>
      <c r="H11" s="187" t="s">
        <v>27</v>
      </c>
      <c r="I11" s="190">
        <v>0.0818697275618863227769326511</v>
      </c>
      <c r="J11" s="81">
        <v>37.691491067066999384843651730</v>
      </c>
      <c r="K11" s="191"/>
      <c r="L11" s="187" t="s">
        <v>27</v>
      </c>
      <c r="M11" s="190">
        <v>0</v>
      </c>
      <c r="N11" s="81">
        <v>-100</v>
      </c>
      <c r="O11" s="191"/>
      <c r="P11" s="187" t="s">
        <v>27</v>
      </c>
      <c r="Q11" s="190">
        <v>0.7770709445443230535195685244</v>
      </c>
      <c r="R11" s="81">
        <v>-4.6172126973348529059329128100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109.12783092519408917766508236</v>
      </c>
      <c r="F12" s="73">
        <v>1.5473585347557340930961745400</v>
      </c>
      <c r="G12" s="68"/>
      <c r="H12" s="406" t="s">
        <v>91</v>
      </c>
      <c r="I12" s="74">
        <v>0</v>
      </c>
      <c r="J12" s="73">
        <v>0</v>
      </c>
      <c r="K12" s="1"/>
      <c r="L12" s="406" t="s">
        <v>91</v>
      </c>
      <c r="M12" s="74">
        <v>0</v>
      </c>
      <c r="N12" s="73">
        <v>0</v>
      </c>
      <c r="O12" s="1"/>
      <c r="P12" s="406" t="s">
        <v>91</v>
      </c>
      <c r="Q12" s="74">
        <v>97.63046913344618711193385591</v>
      </c>
      <c r="R12" s="73">
        <v>-1.2186236405312216966679725200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169.71326676176890156918687589</v>
      </c>
      <c r="F14" s="73">
        <v>-9.273587211072342747224179240</v>
      </c>
      <c r="G14" s="70"/>
      <c r="H14" s="76" t="s">
        <v>32</v>
      </c>
      <c r="I14" s="239">
        <v>0</v>
      </c>
      <c r="J14" s="73">
        <v>0</v>
      </c>
      <c r="K14" s="77"/>
      <c r="L14" s="76" t="s">
        <v>32</v>
      </c>
      <c r="M14" s="239">
        <v>0</v>
      </c>
      <c r="N14" s="73">
        <v>0</v>
      </c>
      <c r="O14" s="77"/>
      <c r="P14" s="76" t="s">
        <v>32</v>
      </c>
      <c r="Q14" s="239">
        <v>169.71326676176890156918687589</v>
      </c>
      <c r="R14" s="73">
        <v>-9.273587211072342747224179240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194.68398953780368829009717505</v>
      </c>
      <c r="F15" s="81">
        <v>-0.5288921928314034859528436800</v>
      </c>
      <c r="G15" s="184"/>
      <c r="H15" s="189" t="s">
        <v>27</v>
      </c>
      <c r="I15" s="240">
        <v>245.7365111376028023068944275</v>
      </c>
      <c r="J15" s="81">
        <v>-0.7076680676314087452879495100</v>
      </c>
      <c r="K15" s="188"/>
      <c r="L15" s="189" t="s">
        <v>27</v>
      </c>
      <c r="M15" s="240">
        <v>0</v>
      </c>
      <c r="N15" s="81">
        <v>-100</v>
      </c>
      <c r="O15" s="188"/>
      <c r="P15" s="189" t="s">
        <v>27</v>
      </c>
      <c r="Q15" s="240">
        <v>200.06272112475529453639437622</v>
      </c>
      <c r="R15" s="81">
        <v>0.397463637323271618292096200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87.17371529353071798861624648</v>
      </c>
      <c r="F16" s="73">
        <v>-8.791190940755492975466673840</v>
      </c>
      <c r="G16" s="68"/>
      <c r="H16" s="406" t="s">
        <v>92</v>
      </c>
      <c r="I16" s="74">
        <v>0</v>
      </c>
      <c r="J16" s="73">
        <v>0</v>
      </c>
      <c r="K16" s="1"/>
      <c r="L16" s="406" t="s">
        <v>92</v>
      </c>
      <c r="M16" s="74">
        <v>0</v>
      </c>
      <c r="N16" s="73">
        <v>0</v>
      </c>
      <c r="O16" s="1"/>
      <c r="P16" s="406" t="s">
        <v>92</v>
      </c>
      <c r="Q16" s="74">
        <v>84.83003020632765655111226869</v>
      </c>
      <c r="R16" s="73">
        <v>-9.632764113823358649647854200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128.754329004329004329004329</v>
      </c>
      <c r="F18" s="73">
        <v>-14.517183649110392635559450810</v>
      </c>
      <c r="G18" s="70"/>
      <c r="H18" s="76" t="s">
        <v>32</v>
      </c>
      <c r="I18" s="239">
        <v>0</v>
      </c>
      <c r="J18" s="73">
        <v>0</v>
      </c>
      <c r="K18" s="77"/>
      <c r="L18" s="76" t="s">
        <v>32</v>
      </c>
      <c r="M18" s="239">
        <v>0</v>
      </c>
      <c r="N18" s="73">
        <v>0</v>
      </c>
      <c r="O18" s="77"/>
      <c r="P18" s="76" t="s">
        <v>32</v>
      </c>
      <c r="Q18" s="239">
        <v>128.754329004329004329004329</v>
      </c>
      <c r="R18" s="73">
        <v>-14.517183649110392635559450810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135.34454645367710427801389835</v>
      </c>
      <c r="F19" s="81">
        <v>-7.7060132719373936218240819300</v>
      </c>
      <c r="G19" s="184"/>
      <c r="H19" s="189" t="s">
        <v>27</v>
      </c>
      <c r="I19" s="240">
        <v>20.118381218843985474440810549</v>
      </c>
      <c r="J19" s="81">
        <v>36.717092353152830477432968090</v>
      </c>
      <c r="K19" s="188"/>
      <c r="L19" s="189" t="s">
        <v>27</v>
      </c>
      <c r="M19" s="240">
        <v>0</v>
      </c>
      <c r="N19" s="81">
        <v>-100</v>
      </c>
      <c r="O19" s="188"/>
      <c r="P19" s="189" t="s">
        <v>27</v>
      </c>
      <c r="Q19" s="240">
        <v>155.46292767252108975245470889</v>
      </c>
      <c r="R19" s="81">
        <v>-4.238100801525346805250756300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95.13078463665660708078573234</v>
      </c>
      <c r="F20" s="73">
        <v>-7.3798636494471443973631169800</v>
      </c>
      <c r="G20" s="68"/>
      <c r="H20" s="406" t="s">
        <v>93</v>
      </c>
      <c r="I20" s="74">
        <v>0</v>
      </c>
      <c r="J20" s="73">
        <v>0</v>
      </c>
      <c r="K20" s="1"/>
      <c r="L20" s="406" t="s">
        <v>93</v>
      </c>
      <c r="M20" s="74">
        <v>0</v>
      </c>
      <c r="N20" s="73">
        <v>0</v>
      </c>
      <c r="O20" s="1"/>
      <c r="P20" s="406" t="s">
        <v>93</v>
      </c>
      <c r="Q20" s="74">
        <v>82.81995645647711055845215142</v>
      </c>
      <c r="R20" s="73">
        <v>-10.734000613632588178360652380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0.7083333333333333333333333333</v>
      </c>
      <c r="F27" s="73">
        <v>-11.822162344238375280389780320</v>
      </c>
      <c r="G27" s="1"/>
      <c r="H27" s="17" t="s">
        <v>32</v>
      </c>
      <c r="I27" s="19">
        <v>0.0876623376623376623376623377</v>
      </c>
      <c r="J27" s="73">
        <v>151.16279069477728501896256910</v>
      </c>
      <c r="K27" s="1"/>
      <c r="L27" s="17" t="s">
        <v>32</v>
      </c>
      <c r="M27" s="19">
        <v>0</v>
      </c>
      <c r="N27" s="73">
        <v>0</v>
      </c>
      <c r="O27" s="1"/>
      <c r="P27" s="17" t="s">
        <v>32</v>
      </c>
      <c r="Q27" s="19">
        <v>0.795995670995670995670995671</v>
      </c>
      <c r="R27" s="73">
        <v>-5.0355067785143385369931622200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0.6882173973171069008435900982</v>
      </c>
      <c r="F28" s="81">
        <v>-7.5039460201881186117181535100</v>
      </c>
      <c r="G28" s="191"/>
      <c r="H28" s="187" t="s">
        <v>27</v>
      </c>
      <c r="I28" s="190">
        <v>0.122320564237311575162494814</v>
      </c>
      <c r="J28" s="81">
        <v>70.510405269228536869746601160</v>
      </c>
      <c r="K28" s="191"/>
      <c r="L28" s="187" t="s">
        <v>27</v>
      </c>
      <c r="M28" s="190">
        <v>0</v>
      </c>
      <c r="N28" s="81">
        <v>-100</v>
      </c>
      <c r="O28" s="191"/>
      <c r="P28" s="187" t="s">
        <v>27</v>
      </c>
      <c r="Q28" s="190">
        <v>0.8105379615544184760060849122</v>
      </c>
      <c r="R28" s="81">
        <v>-1.5826371689177986620087559900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102.92290431697234858602840409</v>
      </c>
      <c r="F29" s="73">
        <v>-4.6685411304144741932132276900</v>
      </c>
      <c r="G29" s="75"/>
      <c r="H29" s="406" t="s">
        <v>91</v>
      </c>
      <c r="I29" s="74">
        <v>71.666067115656107728179999550</v>
      </c>
      <c r="J29" s="73">
        <v>47.300565207080309715980015440</v>
      </c>
      <c r="K29" s="75"/>
      <c r="L29" s="406" t="s">
        <v>91</v>
      </c>
      <c r="M29" s="74">
        <v>0</v>
      </c>
      <c r="N29" s="73">
        <v>0</v>
      </c>
      <c r="O29" s="75"/>
      <c r="P29" s="406" t="s">
        <v>91</v>
      </c>
      <c r="Q29" s="74">
        <v>98.20584707341185256149822794</v>
      </c>
      <c r="R29" s="73">
        <v>-3.508394769262312476510207700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202.21352177234530175706646295</v>
      </c>
      <c r="F31" s="73">
        <v>1.3350976336208100681077641500</v>
      </c>
      <c r="G31" s="77"/>
      <c r="H31" s="76" t="s">
        <v>32</v>
      </c>
      <c r="I31" s="239">
        <v>215.25925925925925925925925926</v>
      </c>
      <c r="J31" s="73">
        <v>-32.310059126726249553599251710</v>
      </c>
      <c r="K31" s="77"/>
      <c r="L31" s="76" t="s">
        <v>32</v>
      </c>
      <c r="M31" s="239">
        <v>0</v>
      </c>
      <c r="N31" s="73">
        <v>0</v>
      </c>
      <c r="O31" s="77"/>
      <c r="P31" s="76" t="s">
        <v>32</v>
      </c>
      <c r="Q31" s="239">
        <v>203.65023793337865397688647179</v>
      </c>
      <c r="R31" s="73">
        <v>-0.4067283175338940399244910200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211.20531604818361659772329575</v>
      </c>
      <c r="F32" s="81">
        <v>1.6644523693742811133589244700</v>
      </c>
      <c r="G32" s="188"/>
      <c r="H32" s="189" t="s">
        <v>27</v>
      </c>
      <c r="I32" s="240">
        <v>230.87268760453841944763145138</v>
      </c>
      <c r="J32" s="81">
        <v>-2.2391581558053791812943057300</v>
      </c>
      <c r="K32" s="188"/>
      <c r="L32" s="189" t="s">
        <v>27</v>
      </c>
      <c r="M32" s="240">
        <v>0</v>
      </c>
      <c r="N32" s="81">
        <v>-100</v>
      </c>
      <c r="O32" s="188"/>
      <c r="P32" s="189" t="s">
        <v>27</v>
      </c>
      <c r="Q32" s="240">
        <v>214.173374424159699709947108</v>
      </c>
      <c r="R32" s="81">
        <v>2.0738231596742579401598987400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95.74262881062963143898469894</v>
      </c>
      <c r="F33" s="73">
        <v>-0.3239625336854246264204084600</v>
      </c>
      <c r="G33" s="75"/>
      <c r="H33" s="406" t="s">
        <v>92</v>
      </c>
      <c r="I33" s="74">
        <v>93.23721289545190215863538276</v>
      </c>
      <c r="J33" s="73">
        <v>-30.759658369999052844271463760</v>
      </c>
      <c r="K33" s="75"/>
      <c r="L33" s="406" t="s">
        <v>92</v>
      </c>
      <c r="M33" s="74">
        <v>0</v>
      </c>
      <c r="N33" s="73">
        <v>0</v>
      </c>
      <c r="O33" s="75"/>
      <c r="P33" s="406" t="s">
        <v>92</v>
      </c>
      <c r="Q33" s="74">
        <v>95.08662712201619503145791244</v>
      </c>
      <c r="R33" s="73">
        <v>-2.4301543730773115436797075600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143.23457792207792207792207792</v>
      </c>
      <c r="F35" s="73">
        <v>-10.644902120326962860753749390</v>
      </c>
      <c r="G35" s="77"/>
      <c r="H35" s="76" t="s">
        <v>32</v>
      </c>
      <c r="I35" s="239">
        <v>18.87012987012987012987012987</v>
      </c>
      <c r="J35" s="73">
        <v>70.011944518875358874537659250</v>
      </c>
      <c r="K35" s="77"/>
      <c r="L35" s="76" t="s">
        <v>32</v>
      </c>
      <c r="M35" s="239">
        <v>0</v>
      </c>
      <c r="N35" s="73">
        <v>0</v>
      </c>
      <c r="O35" s="77"/>
      <c r="P35" s="76" t="s">
        <v>32</v>
      </c>
      <c r="Q35" s="239">
        <v>162.10470779220779220779220779</v>
      </c>
      <c r="R35" s="73">
        <v>-5.4217542641343244422799884900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145.35517291021791840666159332</v>
      </c>
      <c r="F36" s="81">
        <v>-5.964393258119132395362806700</v>
      </c>
      <c r="G36" s="188"/>
      <c r="H36" s="189" t="s">
        <v>27</v>
      </c>
      <c r="I36" s="240">
        <v>28.240477414771709583934451494</v>
      </c>
      <c r="J36" s="81">
        <v>66.692407622561494325902474170</v>
      </c>
      <c r="K36" s="188"/>
      <c r="L36" s="189" t="s">
        <v>27</v>
      </c>
      <c r="M36" s="240">
        <v>0</v>
      </c>
      <c r="N36" s="81">
        <v>-100</v>
      </c>
      <c r="O36" s="188"/>
      <c r="P36" s="189" t="s">
        <v>27</v>
      </c>
      <c r="Q36" s="240">
        <v>173.59565032498962799059604481</v>
      </c>
      <c r="R36" s="81">
        <v>0.4583648946564977866128150200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98.54109424132282151845395392</v>
      </c>
      <c r="F37" s="73">
        <v>-4.9773793399839924918133632100</v>
      </c>
      <c r="G37" s="75"/>
      <c r="H37" s="406" t="s">
        <v>93</v>
      </c>
      <c r="I37" s="74">
        <v>66.819443570173471931053318610</v>
      </c>
      <c r="J37" s="73">
        <v>1.9914145722850464557821628700</v>
      </c>
      <c r="K37" s="75"/>
      <c r="L37" s="406" t="s">
        <v>93</v>
      </c>
      <c r="M37" s="74">
        <v>0</v>
      </c>
      <c r="N37" s="73">
        <v>0</v>
      </c>
      <c r="O37" s="75"/>
      <c r="P37" s="406" t="s">
        <v>93</v>
      </c>
      <c r="Q37" s="74">
        <v>93.38062761867636225164284386</v>
      </c>
      <c r="R37" s="73">
        <v>-5.8532897334715971718361323200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144</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179</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180</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51</v>
      </c>
      <c r="D23" s="50" t="s">
        <v>52</v>
      </c>
      <c r="E23" s="50" t="s">
        <v>53</v>
      </c>
      <c r="F23" s="50" t="s">
        <v>49</v>
      </c>
      <c r="G23" s="50" t="s">
        <v>47</v>
      </c>
      <c r="H23" s="50" t="s">
        <v>48</v>
      </c>
      <c r="I23" s="50" t="s">
        <v>50</v>
      </c>
      <c r="J23" s="50" t="s">
        <v>51</v>
      </c>
      <c r="K23" s="50" t="s">
        <v>52</v>
      </c>
      <c r="L23" s="50" t="s">
        <v>53</v>
      </c>
      <c r="M23" s="50" t="s">
        <v>49</v>
      </c>
      <c r="N23" s="50" t="s">
        <v>47</v>
      </c>
      <c r="O23" s="50" t="s">
        <v>48</v>
      </c>
      <c r="P23" s="50" t="s">
        <v>50</v>
      </c>
      <c r="Q23" s="50" t="s">
        <v>51</v>
      </c>
      <c r="R23" s="50" t="s">
        <v>52</v>
      </c>
      <c r="S23" s="50" t="s">
        <v>53</v>
      </c>
      <c r="T23" s="50" t="s">
        <v>49</v>
      </c>
      <c r="U23" s="50" t="s">
        <v>47</v>
      </c>
      <c r="V23" s="50" t="s">
        <v>48</v>
      </c>
      <c r="W23" s="50" t="s">
        <v>50</v>
      </c>
      <c r="X23" s="50" t="s">
        <v>51</v>
      </c>
      <c r="Y23" s="50" t="s">
        <v>52</v>
      </c>
      <c r="Z23" s="50" t="s">
        <v>53</v>
      </c>
      <c r="AA23" s="50" t="s">
        <v>49</v>
      </c>
      <c r="AB23" s="50" t="s">
        <v>47</v>
      </c>
      <c r="AC23" s="50" t="s">
        <v>48</v>
      </c>
      <c r="AD23" s="50" t="s">
        <v>50</v>
      </c>
      <c r="AE23" s="50" t="s">
        <v>51</v>
      </c>
      <c r="AF23" s="50" t="s">
        <v>52</v>
      </c>
      <c r="AG23" s="50" t="s">
        <v>53</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181</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93.93939393939393939393939394</v>
      </c>
      <c r="D26" s="287">
        <v>96.96969696969696969696969697</v>
      </c>
      <c r="E26" s="287">
        <v>99.24242424242424242424242424</v>
      </c>
      <c r="F26" s="287">
        <v>97.72727272727272727272727273</v>
      </c>
      <c r="G26" s="287">
        <v>64.393939393939393939393939390</v>
      </c>
      <c r="H26" s="287">
        <v>51.515151515151515151515151520</v>
      </c>
      <c r="I26" s="287">
        <v>82.57575757575757575757575758</v>
      </c>
      <c r="J26" s="287">
        <v>85.60606060606060606060606061</v>
      </c>
      <c r="K26" s="287">
        <v>79.54545454545454545454545455</v>
      </c>
      <c r="L26" s="287">
        <v>85.60606060606060606060606061</v>
      </c>
      <c r="M26" s="287">
        <v>58.333333333333333333333333330</v>
      </c>
      <c r="N26" s="287">
        <v>63.636363636363636363636363640</v>
      </c>
      <c r="O26" s="287">
        <v>69.696969696969696969696969700</v>
      </c>
      <c r="P26" s="287">
        <v>71.212121212121212121212121210</v>
      </c>
      <c r="Q26" s="287">
        <v>81.06060606060606060606060606</v>
      </c>
      <c r="R26" s="287">
        <v>86.36363636363636363636363636</v>
      </c>
      <c r="S26" s="287">
        <v>96.21212121212121212121212121</v>
      </c>
      <c r="T26" s="287">
        <v>89.39393939393939393939393939</v>
      </c>
      <c r="U26" s="287">
        <v>90.15151515151515151515151515</v>
      </c>
      <c r="V26" s="287">
        <v>89.39393939393939393939393939</v>
      </c>
      <c r="W26" s="287">
        <v>95.45454545454545454545454545</v>
      </c>
      <c r="X26" s="287">
        <v>95.45454545454545454545454545</v>
      </c>
      <c r="Y26" s="287">
        <v>73.484848484848484848484848480</v>
      </c>
      <c r="Z26" s="287">
        <v>90.90909090909090909090909091</v>
      </c>
      <c r="AA26" s="287">
        <v>96.21212121212121212121212121</v>
      </c>
      <c r="AB26" s="287">
        <v>73.484848484848484848484848480</v>
      </c>
      <c r="AC26" s="287">
        <v>66.666666666666666666666666670</v>
      </c>
      <c r="AD26" s="287">
        <v>72.727272727272727272727272730</v>
      </c>
      <c r="AE26" s="287">
        <v>75.757575757575757575757575760</v>
      </c>
      <c r="AF26" s="287">
        <v>73.484848484848484848484848480</v>
      </c>
      <c r="AG26" s="288">
        <v>72.727272727272727272727272730</v>
      </c>
      <c r="AH26" s="218"/>
      <c r="AI26" s="302">
        <v>81.25610948191593352883675464</v>
      </c>
      <c r="AJ26" s="302">
        <v>79.25685425685425685425685426</v>
      </c>
      <c r="AK26" s="302">
        <v>85.45454545454545454545454545</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91.38431752178121974830590513</v>
      </c>
      <c r="D27" s="202">
        <v>96.61181026137463697967086157</v>
      </c>
      <c r="E27" s="202">
        <v>98.83833494675701839303000968</v>
      </c>
      <c r="F27" s="202">
        <v>84.41432720232333010648596321</v>
      </c>
      <c r="G27" s="202">
        <v>74.733785091965150048402710550</v>
      </c>
      <c r="H27" s="202">
        <v>78.218780251694094869312681510</v>
      </c>
      <c r="I27" s="202">
        <v>79.57405614714424007744433688</v>
      </c>
      <c r="J27" s="202">
        <v>84.60793804453049370764762827</v>
      </c>
      <c r="K27" s="202">
        <v>85.47918683446272991287512101</v>
      </c>
      <c r="L27" s="202">
        <v>82.76863504356243949661181026</v>
      </c>
      <c r="M27" s="202">
        <v>65.44046466602129719264278800</v>
      </c>
      <c r="N27" s="202">
        <v>65.343659244917715392061955470</v>
      </c>
      <c r="O27" s="202">
        <v>75.508228460793804453049370760</v>
      </c>
      <c r="P27" s="202">
        <v>76.766698935140367860600193610</v>
      </c>
      <c r="Q27" s="202">
        <v>80.05808325266214908034849952</v>
      </c>
      <c r="R27" s="202">
        <v>90.22265246853823814133591481</v>
      </c>
      <c r="S27" s="202">
        <v>96.12778315585672797676669894</v>
      </c>
      <c r="T27" s="202">
        <v>89.25459825750242013552758955</v>
      </c>
      <c r="U27" s="202">
        <v>87.80251694094869312681510165</v>
      </c>
      <c r="V27" s="202">
        <v>85.09196515004840271055179090</v>
      </c>
      <c r="W27" s="202">
        <v>78.993223620522749273959341720</v>
      </c>
      <c r="X27" s="202">
        <v>81.60696999031945788964181994</v>
      </c>
      <c r="Y27" s="202">
        <v>85.67279767666989351403678606</v>
      </c>
      <c r="Z27" s="202">
        <v>97.87028073572120038722168441</v>
      </c>
      <c r="AA27" s="202">
        <v>88.96418199419167473378509197</v>
      </c>
      <c r="AB27" s="202">
        <v>59.922555663117134559535333980</v>
      </c>
      <c r="AC27" s="202">
        <v>54.404646660212971926427879960</v>
      </c>
      <c r="AD27" s="202">
        <v>68.635043562439496611810261370</v>
      </c>
      <c r="AE27" s="202">
        <v>82.47821878025169409486931268</v>
      </c>
      <c r="AF27" s="202">
        <v>95.06292352371732817037754114</v>
      </c>
      <c r="AG27" s="290">
        <v>94.48209099709583736689254598</v>
      </c>
      <c r="AH27" s="218"/>
      <c r="AI27" s="303">
        <v>82.46260500265434219154982356</v>
      </c>
      <c r="AJ27" s="303">
        <v>77.771631401834693219010740790</v>
      </c>
      <c r="AK27" s="303">
        <v>92.31364956437560503388189739</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102.79596815611652222046303743</v>
      </c>
      <c r="D28" s="292">
        <v>100.37043784536139543312045319</v>
      </c>
      <c r="E28" s="292">
        <v>100.40883863112601459342821184</v>
      </c>
      <c r="F28" s="292">
        <v>115.77095496250072026705646262</v>
      </c>
      <c r="G28" s="292">
        <v>86.16442926672069267468642479</v>
      </c>
      <c r="H28" s="292">
        <v>65.860336033598388206704334180</v>
      </c>
      <c r="I28" s="292">
        <v>103.77221116277980493683351332</v>
      </c>
      <c r="J28" s="292">
        <v>101.17970321063212547725104088</v>
      </c>
      <c r="K28" s="292">
        <v>93.05827241836774407663010529</v>
      </c>
      <c r="L28" s="292">
        <v>103.42814105967307127704667539</v>
      </c>
      <c r="M28" s="292">
        <v>89.13954635111382253480854789</v>
      </c>
      <c r="N28" s="292">
        <v>97.38720538723178995884774379</v>
      </c>
      <c r="O28" s="292">
        <v>92.30380730379973016157631605</v>
      </c>
      <c r="P28" s="292">
        <v>92.76433948569974129984572258</v>
      </c>
      <c r="Q28" s="292">
        <v>101.25224432958460819652689054</v>
      </c>
      <c r="R28" s="292">
        <v>95.72278579793366323686032206</v>
      </c>
      <c r="S28" s="292">
        <v>100.08773535959362830161770681</v>
      </c>
      <c r="T28" s="292">
        <v>100.15611647932960720423635860</v>
      </c>
      <c r="U28" s="292">
        <v>102.67531990249922513898839279</v>
      </c>
      <c r="V28" s="292">
        <v>105.05567621614553103242549733</v>
      </c>
      <c r="W28" s="292">
        <v>120.83890374335030844097332448</v>
      </c>
      <c r="X28" s="292">
        <v>116.96861857006994690128959610</v>
      </c>
      <c r="Y28" s="292">
        <v>85.77384009584385218555371869</v>
      </c>
      <c r="Z28" s="292">
        <v>92.88733027607443265701241465</v>
      </c>
      <c r="AA28" s="292">
        <v>108.14703069870719420736891446</v>
      </c>
      <c r="AB28" s="292">
        <v>122.63303470899869288469845113</v>
      </c>
      <c r="AC28" s="292">
        <v>122.53855278769232532516052926</v>
      </c>
      <c r="AD28" s="292">
        <v>105.96230285940191804272765686</v>
      </c>
      <c r="AE28" s="292">
        <v>91.85161473888488687793764343</v>
      </c>
      <c r="AF28" s="292">
        <v>77.301271369513565963401213250</v>
      </c>
      <c r="AG28" s="293">
        <v>76.974664679579321067772593050</v>
      </c>
      <c r="AH28" s="218"/>
      <c r="AI28" s="304">
        <v>98.53691801181327796098340106</v>
      </c>
      <c r="AJ28" s="304">
        <v>101.90972315776814453890577337</v>
      </c>
      <c r="AK28" s="304">
        <v>92.56978340449048548661557660</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5.0847457627581729388107069900</v>
      </c>
      <c r="D31" s="287">
        <v>1.5873015873499622071050872800</v>
      </c>
      <c r="E31" s="287">
        <v>3.9682539683034769463341127600</v>
      </c>
      <c r="F31" s="287">
        <v>8.403361344556034178377236310</v>
      </c>
      <c r="G31" s="287">
        <v>-16.666666666637254901960773940</v>
      </c>
      <c r="H31" s="287">
        <v>-39.285714285725127551020406220</v>
      </c>
      <c r="I31" s="287">
        <v>-6.0344827586336504161712229400</v>
      </c>
      <c r="J31" s="287">
        <v>-2.5862068965651605231866806600</v>
      </c>
      <c r="K31" s="287">
        <v>-17.968750000002563476562499920</v>
      </c>
      <c r="L31" s="287">
        <v>0.892857142839126275510207300</v>
      </c>
      <c r="M31" s="287">
        <v>-16.304347826123345935727772460</v>
      </c>
      <c r="N31" s="287">
        <v>-20.000000000045714285714259590</v>
      </c>
      <c r="O31" s="287">
        <v>-15.596330275272721151418208510</v>
      </c>
      <c r="P31" s="287">
        <v>-13.761467889952562915579473920</v>
      </c>
      <c r="Q31" s="287">
        <v>3.8834951456351022716561411700</v>
      </c>
      <c r="R31" s="287">
        <v>2.7027027027138056975894825700</v>
      </c>
      <c r="S31" s="287">
        <v>16.513761467830047975759646950</v>
      </c>
      <c r="T31" s="287">
        <v>8.256880733889335914485341250</v>
      </c>
      <c r="U31" s="287">
        <v>1.7094017093599824676747924800</v>
      </c>
      <c r="V31" s="287">
        <v>12.380952380888163265306159140</v>
      </c>
      <c r="W31" s="287">
        <v>4.1322314049208114199849874700</v>
      </c>
      <c r="X31" s="287">
        <v>5.8823529411942659416707889500</v>
      </c>
      <c r="Y31" s="287">
        <v>-17.09401709405110672802979100</v>
      </c>
      <c r="Z31" s="287">
        <v>-2.4390243902248661511005316800</v>
      </c>
      <c r="AA31" s="287">
        <v>4.9586776859122464312547095900</v>
      </c>
      <c r="AB31" s="287">
        <v>-4.9019607842801614763552361400</v>
      </c>
      <c r="AC31" s="287">
        <v>-9.278350515404059942608101640</v>
      </c>
      <c r="AD31" s="287">
        <v>4.3478260869111531190926473300</v>
      </c>
      <c r="AE31" s="287">
        <v>4.1666666666276041666666813200</v>
      </c>
      <c r="AF31" s="287">
        <v>-15.652173913031742911153117470</v>
      </c>
      <c r="AG31" s="288">
        <v>-20.661157024822238918106676210</v>
      </c>
      <c r="AH31" s="218"/>
      <c r="AI31" s="302">
        <v>-4.206280610751147861264099400</v>
      </c>
      <c r="AJ31" s="302">
        <v>-4.258775057437570507174411500</v>
      </c>
      <c r="AK31" s="302">
        <v>-4.8547328959543153073942717600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7.762557077673424240528784200</v>
      </c>
      <c r="D32" s="202">
        <v>0.1003009026781043229990965400</v>
      </c>
      <c r="E32" s="202">
        <v>4.6106557377003091616836873800</v>
      </c>
      <c r="F32" s="202">
        <v>-7.1352502662781637275283073300</v>
      </c>
      <c r="G32" s="202">
        <v>-8.095238095228248299319726840</v>
      </c>
      <c r="H32" s="202">
        <v>-4.3786982248209516473512730900</v>
      </c>
      <c r="I32" s="202">
        <v>-2.8368794325882802675921602200</v>
      </c>
      <c r="J32" s="202">
        <v>12.339331619517348550432527770</v>
      </c>
      <c r="K32" s="202">
        <v>-1.6703786191350600939479431600</v>
      </c>
      <c r="L32" s="202">
        <v>-9.139213602579928310150067080</v>
      </c>
      <c r="M32" s="202">
        <v>-14.646464646423694010815203280</v>
      </c>
      <c r="N32" s="202">
        <v>-15.625000000037652343749983200</v>
      </c>
      <c r="O32" s="202">
        <v>-10.344827586189686880697578950</v>
      </c>
      <c r="P32" s="202">
        <v>-4.687500000023599008413455700</v>
      </c>
      <c r="Q32" s="202">
        <v>-6.6591422122184823871713906700</v>
      </c>
      <c r="R32" s="202">
        <v>0.2150537634754505723205114200</v>
      </c>
      <c r="S32" s="202">
        <v>2.5826446280632484333378993400</v>
      </c>
      <c r="T32" s="202">
        <v>5.4919908467199427655797674900</v>
      </c>
      <c r="U32" s="202">
        <v>8.622754491005605794399226910</v>
      </c>
      <c r="V32" s="202">
        <v>12.548015364912882462977141300</v>
      </c>
      <c r="W32" s="202">
        <v>18.089725036135358684429344540</v>
      </c>
      <c r="X32" s="202">
        <v>10.629921259886510323020663530</v>
      </c>
      <c r="Y32" s="202">
        <v>1.9585253456330439433838063100</v>
      </c>
      <c r="Z32" s="202">
        <v>5.974842767315148398665668200</v>
      </c>
      <c r="AA32" s="202">
        <v>-0.5411255411148848175633878400</v>
      </c>
      <c r="AB32" s="202">
        <v>-14.147018030534728695889699320</v>
      </c>
      <c r="AC32" s="202">
        <v>-19.599427753929820855872173580</v>
      </c>
      <c r="AD32" s="202">
        <v>-1.3908205841796179982629126600</v>
      </c>
      <c r="AE32" s="202">
        <v>-1.6166281755174719583548901100</v>
      </c>
      <c r="AF32" s="202">
        <v>2.2916666667090750868055731300</v>
      </c>
      <c r="AG32" s="290">
        <v>-2.5948103792525989936295061900</v>
      </c>
      <c r="AH32" s="218"/>
      <c r="AI32" s="303">
        <v>-0.0756801755250334990448823500</v>
      </c>
      <c r="AJ32" s="303">
        <v>-1.4531310154541317525692965300</v>
      </c>
      <c r="AK32" s="303">
        <v>1.0645313235761403412238750400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-2.484918127037082506647997600</v>
      </c>
      <c r="D33" s="292">
        <v>1.4855107039742018833236283800</v>
      </c>
      <c r="E33" s="292">
        <v>-0.6140882732377224030514194200</v>
      </c>
      <c r="F33" s="292">
        <v>16.732518695586574113207105800</v>
      </c>
      <c r="G33" s="292">
        <v>-9.326424870550324119289381200</v>
      </c>
      <c r="H33" s="292">
        <v>-36.505480905255669899503345100</v>
      </c>
      <c r="I33" s="292">
        <v>-3.2909640070687196869757965900</v>
      </c>
      <c r="J33" s="292">
        <v>-13.286120097790223326596087610</v>
      </c>
      <c r="K33" s="292">
        <v>-16.575240656920688799842659870</v>
      </c>
      <c r="L33" s="292">
        <v>11.041144527935163870990114130</v>
      </c>
      <c r="M33" s="292">
        <v>-1.9423720092285074781076023400</v>
      </c>
      <c r="N33" s="292">
        <v>-5.185185185142696131482349100</v>
      </c>
      <c r="O33" s="292">
        <v>-5.8574453069682964194652496800</v>
      </c>
      <c r="P33" s="292">
        <v>-9.520228605736616791509715410</v>
      </c>
      <c r="Q33" s="292">
        <v>11.294772308393707604996401690</v>
      </c>
      <c r="R33" s="292">
        <v>2.4823106368146046020308760300</v>
      </c>
      <c r="S33" s="292">
        <v>13.580383787414494217383467040</v>
      </c>
      <c r="T33" s="292">
        <v>2.6209476805129470933177675900</v>
      </c>
      <c r="U33" s="292">
        <v>-6.3645530017497718102995819300</v>
      </c>
      <c r="V33" s="292">
        <v>-0.1484370767486981075018418500</v>
      </c>
      <c r="W33" s="292">
        <v>-11.819397180331310007141061630</v>
      </c>
      <c r="X33" s="292">
        <v>-4.2913962738252159714584673500</v>
      </c>
      <c r="Y33" s="292">
        <v>-18.686561398471753752049403800</v>
      </c>
      <c r="Z33" s="292">
        <v>-7.939494825234793854298312380</v>
      </c>
      <c r="AA33" s="292">
        <v>5.5297259866921117086325284200</v>
      </c>
      <c r="AB33" s="292">
        <v>10.768475403184521119053819920</v>
      </c>
      <c r="AC33" s="292">
        <v>12.837069376696898828738469240</v>
      </c>
      <c r="AD33" s="292">
        <v>5.8195866807159988000004856100</v>
      </c>
      <c r="AE33" s="292">
        <v>5.8783255085247911550126355100</v>
      </c>
      <c r="AF33" s="292">
        <v>-17.541840077971540656145561740</v>
      </c>
      <c r="AG33" s="293">
        <v>-18.547622273426626909098157970</v>
      </c>
      <c r="AH33" s="218"/>
      <c r="AI33" s="304">
        <v>-4.1337288485318689937625176600</v>
      </c>
      <c r="AJ33" s="304">
        <v>-2.8470148984953744765218966300</v>
      </c>
      <c r="AK33" s="304">
        <v>-5.8569155193020662840107122700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181</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297.04838709677419354838709677</v>
      </c>
      <c r="D38" s="295">
        <v>420.132812500</v>
      </c>
      <c r="E38" s="295">
        <v>408.95419847328244274809160305</v>
      </c>
      <c r="F38" s="295">
        <v>289.93023255813953488372093023</v>
      </c>
      <c r="G38" s="295">
        <v>191.56470588235294117647058824</v>
      </c>
      <c r="H38" s="295">
        <v>173.10294117647058823529411765</v>
      </c>
      <c r="I38" s="295">
        <v>185.79816513761467889908256881</v>
      </c>
      <c r="J38" s="295">
        <v>208.4867256637168141592920354</v>
      </c>
      <c r="K38" s="295">
        <v>277.38095238095238095238095238</v>
      </c>
      <c r="L38" s="295">
        <v>262.84070796460176991150442478</v>
      </c>
      <c r="M38" s="295">
        <v>165.72727272727272727272727273</v>
      </c>
      <c r="N38" s="295">
        <v>148.4047619047619047619047619</v>
      </c>
      <c r="O38" s="295">
        <v>159.23913043478260869565217391</v>
      </c>
      <c r="P38" s="295">
        <v>152.77659574468085106382978723</v>
      </c>
      <c r="Q38" s="295">
        <v>168.46728971962616822429906542</v>
      </c>
      <c r="R38" s="295">
        <v>260.22807017543859649122807018</v>
      </c>
      <c r="S38" s="295">
        <v>288.45669291338582677165354331</v>
      </c>
      <c r="T38" s="295">
        <v>193.83898305084745762711864407</v>
      </c>
      <c r="U38" s="295">
        <v>194.1680672268907563025210084</v>
      </c>
      <c r="V38" s="295">
        <v>202.45762711864406779661016949</v>
      </c>
      <c r="W38" s="295">
        <v>183.62698412698412698412698413</v>
      </c>
      <c r="X38" s="295">
        <v>188.01587301587301587301587302</v>
      </c>
      <c r="Y38" s="295">
        <v>245.53608247422680412371134021</v>
      </c>
      <c r="Z38" s="295">
        <v>275.00833333333333333333333333</v>
      </c>
      <c r="AA38" s="295">
        <v>186.29921259842519685039370079</v>
      </c>
      <c r="AB38" s="295">
        <v>132.52577319587628865979381443</v>
      </c>
      <c r="AC38" s="295">
        <v>118.80681818181818181818181818</v>
      </c>
      <c r="AD38" s="295">
        <v>126.500000000</v>
      </c>
      <c r="AE38" s="295">
        <v>155.880000000</v>
      </c>
      <c r="AF38" s="295">
        <v>221.08247422680412371134020619</v>
      </c>
      <c r="AG38" s="296">
        <v>237.72916666666666666666666667</v>
      </c>
      <c r="AH38" s="218"/>
      <c r="AI38" s="305">
        <v>223.55578947368421052631578947</v>
      </c>
      <c r="AJ38" s="305">
        <v>186.50978607191624943104233045</v>
      </c>
      <c r="AK38" s="305">
        <v>295.71010638297872340425531915</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301.69745762711864406779661017</v>
      </c>
      <c r="D39" s="207">
        <v>397.13426853707414829659318637</v>
      </c>
      <c r="E39" s="207">
        <v>393.97708129285014691478942214</v>
      </c>
      <c r="F39" s="207">
        <v>266.29779816513761467889908257</v>
      </c>
      <c r="G39" s="207">
        <v>179.39512953367875647668393783</v>
      </c>
      <c r="H39" s="207">
        <v>190.80512376237623762376237624</v>
      </c>
      <c r="I39" s="207">
        <v>186.50608272506082725060827251</v>
      </c>
      <c r="J39" s="207">
        <v>197.38684210526315789473684211</v>
      </c>
      <c r="K39" s="207">
        <v>235.39977349943374858437146092</v>
      </c>
      <c r="L39" s="207">
        <v>225.05730994152046783625730994</v>
      </c>
      <c r="M39" s="207">
        <v>170.22065088757396449704142011</v>
      </c>
      <c r="N39" s="207">
        <v>170.1608</v>
      </c>
      <c r="O39" s="207">
        <v>179.76164102564102564102564104</v>
      </c>
      <c r="P39" s="207">
        <v>174.02925598991172761664564943</v>
      </c>
      <c r="Q39" s="207">
        <v>181.7335792019347037484885127</v>
      </c>
      <c r="R39" s="207">
        <v>244.81427038626609442060085837</v>
      </c>
      <c r="S39" s="207">
        <v>266.43615307150050352467270894</v>
      </c>
      <c r="T39" s="207">
        <v>228.80210412147505422993492405</v>
      </c>
      <c r="U39" s="207">
        <v>239.36508269018743109151047409</v>
      </c>
      <c r="V39" s="207">
        <v>240.36346985210466439135381115</v>
      </c>
      <c r="W39" s="207">
        <v>218.13674019607843137254901961</v>
      </c>
      <c r="X39" s="207">
        <v>217.12516014234875444839857651</v>
      </c>
      <c r="Y39" s="207">
        <v>241.01570621468926553672316384</v>
      </c>
      <c r="Z39" s="207">
        <v>278.03560830860534124629080119</v>
      </c>
      <c r="AA39" s="207">
        <v>203.61520130576713819368879215</v>
      </c>
      <c r="AB39" s="207">
        <v>149.763360258481421647819063</v>
      </c>
      <c r="AC39" s="207">
        <v>144.72195729537366548042704627</v>
      </c>
      <c r="AD39" s="207">
        <v>167.28067700987306064880112836</v>
      </c>
      <c r="AE39" s="207">
        <v>174.64693661971830985915492958</v>
      </c>
      <c r="AF39" s="207">
        <v>259.52308553971486761710794297</v>
      </c>
      <c r="AG39" s="298">
        <v>246.6597745901639344262295082</v>
      </c>
      <c r="AH39" s="218"/>
      <c r="AI39" s="306">
        <v>231.16876547885030484341273147</v>
      </c>
      <c r="AJ39" s="306">
        <v>202.88533459783059688222393456</v>
      </c>
      <c r="AK39" s="306">
        <v>281.20754089765100671140939597</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98.45902893352449540410113105</v>
      </c>
      <c r="D40" s="292">
        <v>105.79112551722579247353700251</v>
      </c>
      <c r="E40" s="292">
        <v>103.80151990852680867900957427</v>
      </c>
      <c r="F40" s="292">
        <v>108.87443852554418676719492734</v>
      </c>
      <c r="G40" s="292">
        <v>106.78367154129836276689609903</v>
      </c>
      <c r="H40" s="292">
        <v>90.72237566954803206759805981</v>
      </c>
      <c r="I40" s="292">
        <v>99.62043190380618641947768281</v>
      </c>
      <c r="J40" s="292">
        <v>105.62341615075606557023993441</v>
      </c>
      <c r="K40" s="292">
        <v>117.83399289534974208875058702</v>
      </c>
      <c r="L40" s="292">
        <v>116.78834516991381076931204949</v>
      </c>
      <c r="M40" s="292">
        <v>97.36026261390908583163689417</v>
      </c>
      <c r="N40" s="292">
        <v>87.21442418275061280970985203</v>
      </c>
      <c r="O40" s="292">
        <v>88.58348729254492950960581849</v>
      </c>
      <c r="P40" s="292">
        <v>87.78788076502920119425077388</v>
      </c>
      <c r="Q40" s="292">
        <v>92.70014405673735032409522685</v>
      </c>
      <c r="R40" s="292">
        <v>106.29611981557148839553977409</v>
      </c>
      <c r="S40" s="292">
        <v>108.26484678900781956475439439</v>
      </c>
      <c r="T40" s="292">
        <v>84.71905614465582205107773846</v>
      </c>
      <c r="U40" s="292">
        <v>81.11795799314396668509960460</v>
      </c>
      <c r="V40" s="292">
        <v>84.22978218912379474897922797</v>
      </c>
      <c r="W40" s="292">
        <v>84.17975988909874505395301364</v>
      </c>
      <c r="X40" s="292">
        <v>86.59331460833499405842933010</v>
      </c>
      <c r="Y40" s="292">
        <v>101.87555256481915446914675991</v>
      </c>
      <c r="Z40" s="292">
        <v>98.91119162984814375417049521</v>
      </c>
      <c r="AA40" s="292">
        <v>91.49572890612978244951801318</v>
      </c>
      <c r="AB40" s="292">
        <v>88.49011732050438464140359840</v>
      </c>
      <c r="AC40" s="292">
        <v>82.09315324509812089686015582</v>
      </c>
      <c r="AD40" s="292">
        <v>75.621406047103384691189864630</v>
      </c>
      <c r="AE40" s="292">
        <v>89.25435682816144609366838165</v>
      </c>
      <c r="AF40" s="292">
        <v>85.18798000842375760363560197</v>
      </c>
      <c r="AG40" s="293">
        <v>96.37938211109994507939295801</v>
      </c>
      <c r="AH40" s="218"/>
      <c r="AI40" s="304">
        <v>96.70674539899696518710878746</v>
      </c>
      <c r="AJ40" s="304">
        <v>91.92866820150079005832457435</v>
      </c>
      <c r="AK40" s="304">
        <v>105.15724629538102833608936225</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-18.605541339827349489056864450</v>
      </c>
      <c r="D43" s="287">
        <v>-7.643786637713167064868609800</v>
      </c>
      <c r="E43" s="287">
        <v>-11.568365670199479265071261270</v>
      </c>
      <c r="F43" s="287">
        <v>-27.102415697730294398365331180</v>
      </c>
      <c r="G43" s="287">
        <v>7.2720285479295284184869419500</v>
      </c>
      <c r="H43" s="287">
        <v>-10.759358288763481092656750470</v>
      </c>
      <c r="I43" s="287">
        <v>-10.130151130147710847990950290</v>
      </c>
      <c r="J43" s="287">
        <v>5.3743199729271664520023846900</v>
      </c>
      <c r="K43" s="287">
        <v>-1.3866184180593690648129043900</v>
      </c>
      <c r="L43" s="287">
        <v>-1.3763968908889604831385067200</v>
      </c>
      <c r="M43" s="287">
        <v>-11.632612200610776502651407250</v>
      </c>
      <c r="N43" s="287">
        <v>-3.5437944908428317595301016900</v>
      </c>
      <c r="O43" s="287">
        <v>4.4851024403320540846857472300</v>
      </c>
      <c r="P43" s="287">
        <v>-1.8758533016759899506322162300</v>
      </c>
      <c r="Q43" s="287">
        <v>-13.524714237416830599227164150</v>
      </c>
      <c r="R43" s="287">
        <v>0.8741602565764204145926959900</v>
      </c>
      <c r="S43" s="287">
        <v>3.7990806759759846514002311900</v>
      </c>
      <c r="T43" s="287">
        <v>2.7348495212432164566381889200</v>
      </c>
      <c r="U43" s="287">
        <v>30.149893242918501765251645500</v>
      </c>
      <c r="V43" s="287">
        <v>52.093087554234426002223326040</v>
      </c>
      <c r="W43" s="287">
        <v>28.084770158360033982627156980</v>
      </c>
      <c r="X43" s="287">
        <v>18.839373712704043760919382560</v>
      </c>
      <c r="Y43" s="287">
        <v>5.1488658888293241654974514400</v>
      </c>
      <c r="Z43" s="287">
        <v>3.1910463697184421786804367700</v>
      </c>
      <c r="AA43" s="287">
        <v>-1.7511997715539748722552936100</v>
      </c>
      <c r="AB43" s="287">
        <v>-16.655596115810380280074757980</v>
      </c>
      <c r="AC43" s="287">
        <v>-13.513986013974331072304804310</v>
      </c>
      <c r="AD43" s="287">
        <v>-7.912644405766234363386246800</v>
      </c>
      <c r="AE43" s="287">
        <v>0.459720730375841091142776400</v>
      </c>
      <c r="AF43" s="287">
        <v>-10.233786900799655028091700290</v>
      </c>
      <c r="AG43" s="288">
        <v>-6.6912249686314204330709418700</v>
      </c>
      <c r="AH43" s="218"/>
      <c r="AI43" s="302">
        <v>-1.2361176183717614047848369400</v>
      </c>
      <c r="AJ43" s="302">
        <v>-1.8635965109371561922972816500</v>
      </c>
      <c r="AK43" s="302">
        <v>-4.0351946498842157114412286100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-0.3157416401472670514763234500</v>
      </c>
      <c r="D44" s="202">
        <v>-0.2071188270450100043163516500</v>
      </c>
      <c r="E44" s="202">
        <v>2.8659438264235232130815976600</v>
      </c>
      <c r="F44" s="202">
        <v>-15.283902716147765786352564210</v>
      </c>
      <c r="G44" s="202">
        <v>-11.692572853850986173548967930</v>
      </c>
      <c r="H44" s="202">
        <v>-1.6592852345732348134825579200</v>
      </c>
      <c r="I44" s="202">
        <v>-0.2104544128855724531502003100</v>
      </c>
      <c r="J44" s="202">
        <v>8.557840380773868048909108630</v>
      </c>
      <c r="K44" s="202">
        <v>2.6847517508045040951763238400</v>
      </c>
      <c r="L44" s="202">
        <v>-1.0010969239710437369633416300</v>
      </c>
      <c r="M44" s="202">
        <v>-4.1445510449607536468854687700</v>
      </c>
      <c r="N44" s="202">
        <v>-6.741359274196227923298471800</v>
      </c>
      <c r="O44" s="202">
        <v>-8.763190762120056311346296820</v>
      </c>
      <c r="P44" s="202">
        <v>-4.8698122586749518512821301900</v>
      </c>
      <c r="Q44" s="202">
        <v>-8.481991595548638033047871470</v>
      </c>
      <c r="R44" s="202">
        <v>-3.492978271615887123815432900</v>
      </c>
      <c r="S44" s="202">
        <v>1.2888371952153550600570189300</v>
      </c>
      <c r="T44" s="202">
        <v>31.210644377844816105170549220</v>
      </c>
      <c r="U44" s="202">
        <v>42.084745364259447954136750990</v>
      </c>
      <c r="V44" s="202">
        <v>46.515630851085133606926497380</v>
      </c>
      <c r="W44" s="202">
        <v>43.054481642227023776262516930</v>
      </c>
      <c r="X44" s="202">
        <v>9.039470347892717490905758960</v>
      </c>
      <c r="Y44" s="202">
        <v>-9.854062107420548786763759240</v>
      </c>
      <c r="Z44" s="202">
        <v>-7.9187565082273224488726997300</v>
      </c>
      <c r="AA44" s="202">
        <v>-9.527545341308907148228773610</v>
      </c>
      <c r="AB44" s="202">
        <v>-1.6842314496533702144747061900</v>
      </c>
      <c r="AC44" s="202">
        <v>-7.319930402929147537870532200</v>
      </c>
      <c r="AD44" s="202">
        <v>12.336933043254678619971642070</v>
      </c>
      <c r="AE44" s="202">
        <v>-5.6023429280672223498721904900</v>
      </c>
      <c r="AF44" s="202">
        <v>6.6461917735176038875551641700</v>
      </c>
      <c r="AG44" s="290">
        <v>0.4406753102450927637291035500</v>
      </c>
      <c r="AH44" s="218"/>
      <c r="AI44" s="303">
        <v>2.6256531359862011861061548200</v>
      </c>
      <c r="AJ44" s="303">
        <v>3.4278026440326549928871954200</v>
      </c>
      <c r="AK44" s="303">
        <v>-1.9152529947927956540154204400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-18.347731126845261567033006610</v>
      </c>
      <c r="D45" s="292">
        <v>-7.4521025179724277993977648300</v>
      </c>
      <c r="E45" s="292">
        <v>-14.032155793930274454883816510</v>
      </c>
      <c r="F45" s="292">
        <v>-13.950728799465709151809109830</v>
      </c>
      <c r="G45" s="292">
        <v>21.475658406815960830962953390</v>
      </c>
      <c r="H45" s="292">
        <v>-9.253616954026177373445469670</v>
      </c>
      <c r="I45" s="292">
        <v>-9.940617184795813680042409100</v>
      </c>
      <c r="J45" s="292">
        <v>-2.9325568717223783859447588200</v>
      </c>
      <c r="K45" s="292">
        <v>-3.9649218597849127076198451300</v>
      </c>
      <c r="L45" s="292">
        <v>-0.3790950760985757058637292600</v>
      </c>
      <c r="M45" s="292">
        <v>-7.8118262835042360306004098300</v>
      </c>
      <c r="N45" s="292">
        <v>3.4287061857861990298953752500</v>
      </c>
      <c r="O45" s="292">
        <v>14.520776551862534530895119860</v>
      </c>
      <c r="P45" s="292">
        <v>3.1472227985950140629720996800</v>
      </c>
      <c r="Q45" s="292">
        <v>-5.5100878283441899037931065300</v>
      </c>
      <c r="R45" s="292">
        <v>4.5252028816174635952593418900</v>
      </c>
      <c r="S45" s="292">
        <v>2.478302200152886234888683900</v>
      </c>
      <c r="T45" s="292">
        <v>-21.702351201471087578746885990</v>
      </c>
      <c r="U45" s="292">
        <v>-8.399812443496790191188627610</v>
      </c>
      <c r="V45" s="292">
        <v>3.806731521261802337646304300</v>
      </c>
      <c r="W45" s="292">
        <v>-10.464342893779755535780553190</v>
      </c>
      <c r="X45" s="292">
        <v>8.987482545151276850859666320</v>
      </c>
      <c r="Y45" s="292">
        <v>16.642932945139076562389083810</v>
      </c>
      <c r="Z45" s="292">
        <v>12.065218123331988833071692780</v>
      </c>
      <c r="AA45" s="292">
        <v>8.595263165001699177700903120</v>
      </c>
      <c r="AB45" s="292">
        <v>-15.227836680603203697761441420</v>
      </c>
      <c r="AC45" s="292">
        <v>-6.6832660333807476851519622800</v>
      </c>
      <c r="AD45" s="292">
        <v>-18.025752439970128275868595780</v>
      </c>
      <c r="AE45" s="292">
        <v>6.4218369888891032128693685300</v>
      </c>
      <c r="AF45" s="292">
        <v>-15.828018228845878471536340960</v>
      </c>
      <c r="AG45" s="293">
        <v>-7.1006096452769334532197218500</v>
      </c>
      <c r="AH45" s="218"/>
      <c r="AI45" s="304">
        <v>-3.7629682601910523750092530500</v>
      </c>
      <c r="AJ45" s="304">
        <v>-5.1160316855374981813559180400</v>
      </c>
      <c r="AK45" s="304">
        <v>-2.1613367213846244317071196500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181</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279.04545454545454545454545455</v>
      </c>
      <c r="D50" s="295">
        <v>407.40151515151515151515151515</v>
      </c>
      <c r="E50" s="295">
        <v>405.85606060606060606060606061</v>
      </c>
      <c r="F50" s="295">
        <v>283.34090909090909090909090909</v>
      </c>
      <c r="G50" s="295">
        <v>123.35606060606060606060606061</v>
      </c>
      <c r="H50" s="295">
        <v>89.17424242424242424242424242</v>
      </c>
      <c r="I50" s="295">
        <v>153.42424242424242424242424242</v>
      </c>
      <c r="J50" s="295">
        <v>178.47727272727272727272727273</v>
      </c>
      <c r="K50" s="295">
        <v>220.64393939393939393939393939</v>
      </c>
      <c r="L50" s="295">
        <v>225.00757575757575757575757576</v>
      </c>
      <c r="M50" s="295">
        <v>96.67424242424242424242424242</v>
      </c>
      <c r="N50" s="295">
        <v>94.43939393939393939393939394</v>
      </c>
      <c r="O50" s="295">
        <v>110.98484848484848484848484848</v>
      </c>
      <c r="P50" s="295">
        <v>108.79545454545454545454545455</v>
      </c>
      <c r="Q50" s="295">
        <v>136.56060606060606060606060606</v>
      </c>
      <c r="R50" s="295">
        <v>224.74242424242424242424242424</v>
      </c>
      <c r="S50" s="295">
        <v>277.53030303030303030303030303</v>
      </c>
      <c r="T50" s="295">
        <v>173.28030303030303030303030303</v>
      </c>
      <c r="U50" s="295">
        <v>175.04545454545454545454545455</v>
      </c>
      <c r="V50" s="295">
        <v>180.98484848484848484848484848</v>
      </c>
      <c r="W50" s="295">
        <v>175.28030303030303030303030303</v>
      </c>
      <c r="X50" s="295">
        <v>179.46969696969696969696969697</v>
      </c>
      <c r="Y50" s="295">
        <v>180.43181818181818181818181818</v>
      </c>
      <c r="Z50" s="295">
        <v>250.00757575757575757575757576</v>
      </c>
      <c r="AA50" s="295">
        <v>179.24242424242424242424242424</v>
      </c>
      <c r="AB50" s="295">
        <v>97.38636363636363636363636364</v>
      </c>
      <c r="AC50" s="295">
        <v>79.204545454545454545454545455</v>
      </c>
      <c r="AD50" s="295">
        <v>92.000000000</v>
      </c>
      <c r="AE50" s="295">
        <v>118.09090909090909090909090909</v>
      </c>
      <c r="AF50" s="295">
        <v>162.46212121212121212121212121</v>
      </c>
      <c r="AG50" s="296">
        <v>172.89393939393939393939393939</v>
      </c>
      <c r="AH50" s="218"/>
      <c r="AI50" s="305">
        <v>181.65273704789833822091886608</v>
      </c>
      <c r="AJ50" s="305">
        <v>147.82178932178932178932178932</v>
      </c>
      <c r="AK50" s="305">
        <v>252.69772727272727272727272727</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275.7041626331074540174249758</v>
      </c>
      <c r="D51" s="207">
        <v>383.67860600193610842207163601</v>
      </c>
      <c r="E51" s="207">
        <v>389.40038722168441432720232333</v>
      </c>
      <c r="F51" s="207">
        <v>224.79349467570183930300096805</v>
      </c>
      <c r="G51" s="207">
        <v>134.06877057115198451113262343</v>
      </c>
      <c r="H51" s="207">
        <v>149.24544046466602129719264279</v>
      </c>
      <c r="I51" s="207">
        <v>148.41045498547918683446272991</v>
      </c>
      <c r="J51" s="207">
        <v>167.00493707647628267182962246</v>
      </c>
      <c r="K51" s="207">
        <v>201.21781219748305905130687318</v>
      </c>
      <c r="L51" s="207">
        <v>186.27686350435624394966118103</v>
      </c>
      <c r="M51" s="207">
        <v>111.39318489835430784123910939</v>
      </c>
      <c r="N51" s="207">
        <v>111.18929332042594385285575992</v>
      </c>
      <c r="O51" s="207">
        <v>135.73483059051306873184898354</v>
      </c>
      <c r="P51" s="207">
        <v>133.59651500484027105517909003</v>
      </c>
      <c r="Q51" s="207">
        <v>145.49242013552758954501452081</v>
      </c>
      <c r="R51" s="207">
        <v>220.87792836398838334946757018</v>
      </c>
      <c r="S51" s="207">
        <v>256.11916747337850919651500484</v>
      </c>
      <c r="T51" s="207">
        <v>204.21639883833494675701839303</v>
      </c>
      <c r="U51" s="207">
        <v>210.16856727976766698935140368</v>
      </c>
      <c r="V51" s="207">
        <v>204.530000000</v>
      </c>
      <c r="W51" s="207">
        <v>172.31324298160696999031945789</v>
      </c>
      <c r="X51" s="207">
        <v>177.18926427879961277831558567</v>
      </c>
      <c r="Y51" s="207">
        <v>206.48489835430784123910939013</v>
      </c>
      <c r="Z51" s="207">
        <v>272.11423039690222652468538238</v>
      </c>
      <c r="AA51" s="207">
        <v>181.14459825750242013552758955</v>
      </c>
      <c r="AB51" s="207">
        <v>89.74203291384317521781219748</v>
      </c>
      <c r="AC51" s="207">
        <v>78.735469506292352371732817038</v>
      </c>
      <c r="AD51" s="207">
        <v>114.81316553727008712487899322</v>
      </c>
      <c r="AE51" s="207">
        <v>144.04568247821878025169409487</v>
      </c>
      <c r="AF51" s="207">
        <v>246.710232333010648596321394</v>
      </c>
      <c r="AG51" s="298">
        <v>233.04931268151016456921587609</v>
      </c>
      <c r="AH51" s="218"/>
      <c r="AI51" s="306">
        <v>190.62778596633669550010929644</v>
      </c>
      <c r="AJ51" s="306">
        <v>157.78723459180380767989674088</v>
      </c>
      <c r="AK51" s="306">
        <v>259.59294385285575992255566312</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101.21191202934467503496168364</v>
      </c>
      <c r="D52" s="292">
        <v>106.18301588322015385277185151</v>
      </c>
      <c r="E52" s="292">
        <v>104.22590062166316860449828362</v>
      </c>
      <c r="F52" s="292">
        <v>126.04497719103168529836980581</v>
      </c>
      <c r="G52" s="292">
        <v>92.00954113363023104136047560</v>
      </c>
      <c r="H52" s="292">
        <v>59.750061473626188226912223070</v>
      </c>
      <c r="I52" s="292">
        <v>103.37832495644075840957980514</v>
      </c>
      <c r="J52" s="292">
        <v>106.86945898223211877342266946</v>
      </c>
      <c r="K52" s="292">
        <v>109.65427811001751409169947095</v>
      </c>
      <c r="L52" s="292">
        <v>120.79201438361179457097668858</v>
      </c>
      <c r="M52" s="292">
        <v>86.78649642024106286698702644</v>
      </c>
      <c r="N52" s="292">
        <v>84.93569040614368087820743712</v>
      </c>
      <c r="O52" s="292">
        <v>81.76593141349251319783695758</v>
      </c>
      <c r="P52" s="292">
        <v>81.43584774014922826618515580</v>
      </c>
      <c r="Q52" s="292">
        <v>93.86097635424885890691309021</v>
      </c>
      <c r="R52" s="292">
        <v>101.74960708254003208677179706</v>
      </c>
      <c r="S52" s="292">
        <v>108.35983334169112742095733344</v>
      </c>
      <c r="T52" s="292">
        <v>84.85131655245160265916967057</v>
      </c>
      <c r="U52" s="292">
        <v>83.28812286778087879834787838</v>
      </c>
      <c r="V52" s="292">
        <v>88.48816725411845932063015131</v>
      </c>
      <c r="W52" s="292">
        <v>101.72189902375632250354748786</v>
      </c>
      <c r="X52" s="292">
        <v>101.28700387135690281078578888</v>
      </c>
      <c r="Y52" s="292">
        <v>87.38257355374324940571173662</v>
      </c>
      <c r="Z52" s="292">
        <v>91.87596524919701975956737152</v>
      </c>
      <c r="AA52" s="292">
        <v>98.94991402814463934594945963</v>
      </c>
      <c r="AB52" s="292">
        <v>108.51811628772244618489210318</v>
      </c>
      <c r="AC52" s="292">
        <v>100.59576192431026469490094141</v>
      </c>
      <c r="AD52" s="292">
        <v>80.13018330211568082609032416</v>
      </c>
      <c r="AE52" s="292">
        <v>81.98156797152255689918566389</v>
      </c>
      <c r="AF52" s="292">
        <v>65.851391600505680725689644030</v>
      </c>
      <c r="AG52" s="293">
        <v>74.187706200286991700897229400</v>
      </c>
      <c r="AH52" s="218"/>
      <c r="AI52" s="304">
        <v>95.29184642579423886631696209</v>
      </c>
      <c r="AJ52" s="304">
        <v>93.68425126671903177723399300</v>
      </c>
      <c r="AK52" s="304">
        <v>97.34383512978690753751352666</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-14.466840052009248882782984150</v>
      </c>
      <c r="D55" s="287">
        <v>-6.1778149970399832489970106400</v>
      </c>
      <c r="E55" s="287">
        <v>-8.059173831707757847520913330</v>
      </c>
      <c r="F55" s="287">
        <v>-20.976568277370827743521086090</v>
      </c>
      <c r="G55" s="287">
        <v>-10.606642876734226805226766370</v>
      </c>
      <c r="H55" s="287">
        <v>-45.818181818170844649021861990</v>
      </c>
      <c r="I55" s="287">
        <v>-15.553331665407277457926652390</v>
      </c>
      <c r="J55" s="287">
        <v>2.6491220426196783841779526600</v>
      </c>
      <c r="K55" s="287">
        <v>-19.106210421071515946190772450</v>
      </c>
      <c r="L55" s="287">
        <v>-0.4958290060021845513615329300</v>
      </c>
      <c r="M55" s="287">
        <v>-26.040338472226319285251085760</v>
      </c>
      <c r="N55" s="287">
        <v>-22.835035592718687207004329950</v>
      </c>
      <c r="O55" s="287">
        <v>-11.810739224667492085332931920</v>
      </c>
      <c r="P55" s="287">
        <v>-15.379176241836255375465181360</v>
      </c>
      <c r="Q55" s="287">
        <v>-10.166450712676912923125628810</v>
      </c>
      <c r="R55" s="287">
        <v>3.6004889121791039348136626400</v>
      </c>
      <c r="S55" s="287">
        <v>20.940213264651699027177949020</v>
      </c>
      <c r="T55" s="287">
        <v>11.217543518450105522419225930</v>
      </c>
      <c r="U55" s="287">
        <v>32.374677742815651557579720440</v>
      </c>
      <c r="V55" s="287">
        <v>70.923660299004047108146582280</v>
      </c>
      <c r="W55" s="287">
        <v>33.377529255745266551638595770</v>
      </c>
      <c r="X55" s="287">
        <v>25.829925107547600367548091770</v>
      </c>
      <c r="Y55" s="287">
        <v>-12.825299220391414257267544780</v>
      </c>
      <c r="Z55" s="287">
        <v>0.6741915802453620025306003500</v>
      </c>
      <c r="AA55" s="287">
        <v>3.1206415620533695284279581500</v>
      </c>
      <c r="AB55" s="287">
        <v>-20.741106110109944248706836170</v>
      </c>
      <c r="AC55" s="287">
        <v>-21.538461538485091643815839370</v>
      </c>
      <c r="AD55" s="287">
        <v>-3.9088463364213094087890922800</v>
      </c>
      <c r="AE55" s="287">
        <v>4.6455424274832645619726794700</v>
      </c>
      <c r="AF55" s="287">
        <v>-24.284150690258154787216868990</v>
      </c>
      <c r="AG55" s="288">
        <v>-25.969897495797462716200376780</v>
      </c>
      <c r="AH55" s="218"/>
      <c r="AI55" s="302">
        <v>-5.3904036534402542027065762900</v>
      </c>
      <c r="AJ55" s="302">
        <v>-6.0430051850024051969607090200</v>
      </c>
      <c r="AK55" s="302">
        <v>-8.694029623785453356142853450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7.4223058124319666968106507100</v>
      </c>
      <c r="D56" s="202">
        <v>-0.1070256663974167284025876200</v>
      </c>
      <c r="E56" s="202">
        <v>7.6087383676183974453436476200</v>
      </c>
      <c r="F56" s="202">
        <v>-21.328608273146758349319679810</v>
      </c>
      <c r="G56" s="202">
        <v>-18.841269337124650907674679260</v>
      </c>
      <c r="H56" s="202">
        <v>-5.9653283662901272666959499400</v>
      </c>
      <c r="I56" s="202">
        <v>-3.0413635075644994566142662900</v>
      </c>
      <c r="J56" s="202">
        <v>21.953152304325845663617603780</v>
      </c>
      <c r="K56" s="202">
        <v>0.9695276124487347809447863200</v>
      </c>
      <c r="L56" s="202">
        <v>-10.048818140271918685603664400</v>
      </c>
      <c r="M56" s="202">
        <v>-18.183985487866004799484816470</v>
      </c>
      <c r="N56" s="202">
        <v>-21.313021887607218123277778530</v>
      </c>
      <c r="O56" s="202">
        <v>-18.201481372916564430714004410</v>
      </c>
      <c r="P56" s="202">
        <v>-9.329039809016858545765043770</v>
      </c>
      <c r="Q56" s="202">
        <v>-14.576305924960378166613468900</v>
      </c>
      <c r="R56" s="202">
        <v>-3.285436289392706795533159900</v>
      </c>
      <c r="S56" s="202">
        <v>3.9047679079163923529746577500</v>
      </c>
      <c r="T56" s="202">
        <v>38.416720956911094144009252610</v>
      </c>
      <c r="U56" s="202">
        <v>54.336364126268131037108607460</v>
      </c>
      <c r="V56" s="202">
        <v>64.900434722276571682883592350</v>
      </c>
      <c r="W56" s="202">
        <v>68.932644023267040958445105830</v>
      </c>
      <c r="X56" s="202">
        <v>20.630280187997605270159086570</v>
      </c>
      <c r="Y56" s="202">
        <v>-8.088531065752734530657157550</v>
      </c>
      <c r="Z56" s="202">
        <v>-2.4170469914229896579169232400</v>
      </c>
      <c r="AA56" s="202">
        <v>-10.017114901160737409258267760</v>
      </c>
      <c r="AB56" s="202">
        <v>-15.592980953306743008652856270</v>
      </c>
      <c r="AC56" s="202">
        <v>-25.484693685932195900212763530</v>
      </c>
      <c r="AD56" s="202">
        <v>10.774527854896339869009481410</v>
      </c>
      <c r="AE56" s="202">
        <v>-7.1284020493334999892018487300</v>
      </c>
      <c r="AF56" s="202">
        <v>9.090167001696625202109243290</v>
      </c>
      <c r="AG56" s="290">
        <v>-2.1655697576705090058540068900</v>
      </c>
      <c r="AH56" s="218"/>
      <c r="AI56" s="303">
        <v>2.5479858614771626493041405600</v>
      </c>
      <c r="AJ56" s="303">
        <v>1.9248611652405089115881597900</v>
      </c>
      <c r="AK56" s="303">
        <v>-0.8711101392462219477803738300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-20.376723157186988538572270760</v>
      </c>
      <c r="D57" s="292">
        <v>-6.0772935946137951425771863100</v>
      </c>
      <c r="E57" s="292">
        <v>-14.560074243947783370735080360</v>
      </c>
      <c r="F57" s="292">
        <v>0.447481591503010823609054200</v>
      </c>
      <c r="G57" s="292">
        <v>10.146322389592204086498654750</v>
      </c>
      <c r="H57" s="292">
        <v>-42.381020489044944366422200970</v>
      </c>
      <c r="I57" s="292">
        <v>-12.904439058260043270776037870</v>
      </c>
      <c r="J57" s="292">
        <v>-15.829053941577806251516247640</v>
      </c>
      <c r="K57" s="292">
        <v>-19.882967176580014299220443520</v>
      </c>
      <c r="L57" s="292">
        <v>10.620193016656024344830318280</v>
      </c>
      <c r="M57" s="292">
        <v>-9.602463565665925221888635100</v>
      </c>
      <c r="N57" s="292">
        <v>-1.9342637645554650481233910500</v>
      </c>
      <c r="O57" s="292">
        <v>7.8127847002138315483244104900</v>
      </c>
      <c r="P57" s="292">
        <v>-6.6726286123289350728078544700</v>
      </c>
      <c r="Q57" s="292">
        <v>5.1623326058492896642388661400</v>
      </c>
      <c r="R57" s="292">
        <v>7.1198431109139732582133209600</v>
      </c>
      <c r="S57" s="292">
        <v>16.395248937851318176289540370</v>
      </c>
      <c r="T57" s="292">
        <v>-19.650210791308092761963348550</v>
      </c>
      <c r="U57" s="292">
        <v>-14.229754930289002693705825930</v>
      </c>
      <c r="V57" s="292">
        <v>3.6526438435390369613239406600</v>
      </c>
      <c r="W57" s="292">
        <v>-21.046917825170652152577591940</v>
      </c>
      <c r="X57" s="292">
        <v>4.310397780244617066920226300</v>
      </c>
      <c r="Y57" s="292">
        <v>-5.1536203365372882744385434500</v>
      </c>
      <c r="Z57" s="292">
        <v>3.1678059295153299227674377100</v>
      </c>
      <c r="AA57" s="292">
        <v>14.600283652585091008443977540</v>
      </c>
      <c r="AB57" s="292">
        <v>-6.0991671249004954458419113700</v>
      </c>
      <c r="AC57" s="292">
        <v>5.295867845994995102053070600</v>
      </c>
      <c r="AD57" s="292">
        <v>-13.255190047480688888039180330</v>
      </c>
      <c r="AE57" s="292">
        <v>12.677658979267468254295543570</v>
      </c>
      <c r="AF57" s="292">
        <v>-30.593332661594148153753743240</v>
      </c>
      <c r="AG57" s="293">
        <v>-24.331237662632457109850458850</v>
      </c>
      <c r="AH57" s="218"/>
      <c r="AI57" s="304">
        <v>-7.7411462040914624439155893700</v>
      </c>
      <c r="AJ57" s="304">
        <v>-7.8173923997838291918096092600</v>
      </c>
      <c r="AK57" s="304">
        <v>-7.8916645747819982650743514900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6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146</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692" t="s">
        <v>182</v>
      </c>
      <c r="S4" s="692"/>
      <c r="T4" s="692"/>
      <c r="U4" s="692"/>
      <c r="V4" s="692"/>
      <c r="W4" s="692"/>
      <c r="X4" s="692"/>
      <c r="Y4" s="692"/>
      <c r="Z4" s="692"/>
      <c r="AA4" s="692"/>
      <c r="AB4" s="692"/>
      <c r="AC4" s="692"/>
      <c r="AD4" s="692"/>
      <c r="AE4" s="692"/>
      <c r="AF4" s="692"/>
      <c r="AG4" s="692"/>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693" t="s">
        <v>72</v>
      </c>
      <c r="Y22" s="693"/>
      <c r="Z22" s="693"/>
      <c r="AA22" s="693"/>
      <c r="AB22" s="693"/>
      <c r="AC22" s="693"/>
      <c r="AD22" s="693"/>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181</v>
      </c>
      <c r="D24" s="276"/>
      <c r="E24" s="276"/>
      <c r="F24" s="276"/>
      <c r="G24" s="276"/>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4</v>
      </c>
      <c r="D25">
        <v>5</v>
      </c>
      <c r="E25">
        <v>6</v>
      </c>
      <c r="F25">
        <v>7</v>
      </c>
      <c r="G25">
        <v>8</v>
      </c>
      <c r="H25">
        <v>9</v>
      </c>
      <c r="I25">
        <v>10</v>
      </c>
      <c r="J25">
        <v>11</v>
      </c>
      <c r="K25">
        <v>12</v>
      </c>
      <c r="L25">
        <v>13</v>
      </c>
      <c r="M25">
        <v>14</v>
      </c>
      <c r="N25">
        <v>15</v>
      </c>
      <c r="O25">
        <v>16</v>
      </c>
      <c r="P25">
        <v>17</v>
      </c>
      <c r="Q25">
        <v>18</v>
      </c>
      <c r="R25">
        <v>19</v>
      </c>
      <c r="S25">
        <v>20</v>
      </c>
      <c r="T25">
        <v>21</v>
      </c>
      <c r="U25">
        <v>22</v>
      </c>
      <c r="V25">
        <v>23</v>
      </c>
      <c r="W25">
        <v>24</v>
      </c>
      <c r="X25" s="323">
        <v>25</v>
      </c>
      <c r="Y25">
        <v>26</v>
      </c>
      <c r="Z25">
        <v>27</v>
      </c>
      <c r="AA25">
        <v>28</v>
      </c>
      <c r="AB25">
        <v>29</v>
      </c>
      <c r="AC25">
        <v>30</v>
      </c>
      <c r="AD25" s="337">
        <v>31</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97.72727272727272727272727273</v>
      </c>
      <c r="D26" s="445">
        <v>64.393939393939393939393939390</v>
      </c>
      <c r="E26" s="445">
        <v>51.515151515151515151515151520</v>
      </c>
      <c r="F26" s="445">
        <v>82.57575757575757575757575758</v>
      </c>
      <c r="G26" s="445">
        <v>85.60606060606060606060606061</v>
      </c>
      <c r="H26" s="445">
        <v>79.54545454545454545454545455</v>
      </c>
      <c r="I26" s="445">
        <v>85.60606060606060606060606061</v>
      </c>
      <c r="J26" s="445">
        <v>58.333333333333333333333333330</v>
      </c>
      <c r="K26" s="445">
        <v>63.636363636363636363636363640</v>
      </c>
      <c r="L26" s="445">
        <v>69.696969696969696969696969700</v>
      </c>
      <c r="M26" s="445">
        <v>71.212121212121212121212121210</v>
      </c>
      <c r="N26" s="445">
        <v>81.06060606060606060606060606</v>
      </c>
      <c r="O26" s="445">
        <v>86.36363636363636363636363636</v>
      </c>
      <c r="P26" s="445">
        <v>96.21212121212121212121212121</v>
      </c>
      <c r="Q26" s="445">
        <v>89.39393939393939393939393939</v>
      </c>
      <c r="R26" s="445">
        <v>90.15151515151515151515151515</v>
      </c>
      <c r="S26" s="445">
        <v>89.39393939393939393939393939</v>
      </c>
      <c r="T26" s="445">
        <v>95.45454545454545454545454545</v>
      </c>
      <c r="U26" s="445">
        <v>95.45454545454545454545454545</v>
      </c>
      <c r="V26" s="445">
        <v>73.484848484848484848484848480</v>
      </c>
      <c r="W26" s="445">
        <v>90.90909090909090909090909091</v>
      </c>
      <c r="X26" s="446">
        <v>96.21212121212121212121212121</v>
      </c>
      <c r="Y26" s="445">
        <v>73.484848484848484848484848480</v>
      </c>
      <c r="Z26" s="445">
        <v>66.666666666666666666666666670</v>
      </c>
      <c r="AA26" s="445">
        <v>72.727272727272727272727272730</v>
      </c>
      <c r="AB26" s="445">
        <v>75.757575757575757575757575760</v>
      </c>
      <c r="AC26" s="445">
        <v>73.484848484848484848484848480</v>
      </c>
      <c r="AD26" s="447">
        <v>72.727272727272727272727272730</v>
      </c>
      <c r="AE26" s="448"/>
      <c r="AF26" s="444">
        <v>75.865800865800865800865800870</v>
      </c>
      <c r="AG26" s="445">
        <v>79.59956709956709956709956710</v>
      </c>
      <c r="AH26" s="449">
        <v>81.25610948191593352883675464</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84.41432720232333010648596321</v>
      </c>
      <c r="D27" s="81">
        <v>74.733785091965150048402710550</v>
      </c>
      <c r="E27" s="81">
        <v>78.218780251694094869312681510</v>
      </c>
      <c r="F27" s="81">
        <v>79.57405614714424007744433688</v>
      </c>
      <c r="G27" s="81">
        <v>84.60793804453049370764762827</v>
      </c>
      <c r="H27" s="81">
        <v>85.47918683446272991287512101</v>
      </c>
      <c r="I27" s="81">
        <v>82.76863504356243949661181026</v>
      </c>
      <c r="J27" s="81">
        <v>65.44046466602129719264278800</v>
      </c>
      <c r="K27" s="81">
        <v>65.343659244917715392061955470</v>
      </c>
      <c r="L27" s="81">
        <v>75.508228460793804453049370760</v>
      </c>
      <c r="M27" s="81">
        <v>76.766698935140367860600193610</v>
      </c>
      <c r="N27" s="81">
        <v>80.05808325266214908034849952</v>
      </c>
      <c r="O27" s="81">
        <v>90.22265246853823814133591481</v>
      </c>
      <c r="P27" s="81">
        <v>96.12778315585672797676669894</v>
      </c>
      <c r="Q27" s="81">
        <v>89.25459825750242013552758955</v>
      </c>
      <c r="R27" s="81">
        <v>87.80251694094869312681510165</v>
      </c>
      <c r="S27" s="81">
        <v>85.09196515004840271055179090</v>
      </c>
      <c r="T27" s="81">
        <v>78.993223620522749273959341720</v>
      </c>
      <c r="U27" s="81">
        <v>81.60696999031945788964181994</v>
      </c>
      <c r="V27" s="81">
        <v>85.67279767666989351403678606</v>
      </c>
      <c r="W27" s="81">
        <v>97.87028073572120038722168441</v>
      </c>
      <c r="X27" s="82">
        <v>88.96418199419167473378509197</v>
      </c>
      <c r="Y27" s="81">
        <v>59.922555663117134559535333980</v>
      </c>
      <c r="Z27" s="81">
        <v>54.404646660212971926427879960</v>
      </c>
      <c r="AA27" s="81">
        <v>68.635043562439496611810261370</v>
      </c>
      <c r="AB27" s="81">
        <v>82.47821878025169409486931268</v>
      </c>
      <c r="AC27" s="81">
        <v>95.06292352371732817037754114</v>
      </c>
      <c r="AD27" s="83">
        <v>94.48209099709583736689254598</v>
      </c>
      <c r="AE27" s="88"/>
      <c r="AF27" s="327">
        <v>77.707094454432305351956852440</v>
      </c>
      <c r="AG27" s="81">
        <v>81.05379615544184760060849122</v>
      </c>
      <c r="AH27" s="328">
        <v>82.46260500265434219154982356</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50">
        <v>80.61724533416744864977583151</v>
      </c>
      <c r="D28" s="451">
        <v>68.710249191950787196329892610</v>
      </c>
      <c r="E28" s="451">
        <v>66.750078198310916484203941190</v>
      </c>
      <c r="F28" s="451">
        <v>70.732978834323845271608799920</v>
      </c>
      <c r="G28" s="451">
        <v>77.781253258262954853508497550</v>
      </c>
      <c r="H28" s="451">
        <v>77.875091231362735898237931390</v>
      </c>
      <c r="I28" s="451">
        <v>76.582212490876863726410176210</v>
      </c>
      <c r="J28" s="451">
        <v>54.175789802940256490459806070</v>
      </c>
      <c r="K28" s="451">
        <v>61.714106975289333750390991550</v>
      </c>
      <c r="L28" s="451">
        <v>67.646752163486602022729642370</v>
      </c>
      <c r="M28" s="451">
        <v>74.986966948180585966009800850</v>
      </c>
      <c r="N28" s="451">
        <v>77.489312897508080492128036700</v>
      </c>
      <c r="O28" s="451">
        <v>86.64372849546449796684391617</v>
      </c>
      <c r="P28" s="451">
        <v>86.89396309039724741945573976</v>
      </c>
      <c r="Q28" s="451">
        <v>69.419247210926910645396726100</v>
      </c>
      <c r="R28" s="451">
        <v>68.814513606506099468251485770</v>
      </c>
      <c r="S28" s="451">
        <v>70.138671671358565321655718900</v>
      </c>
      <c r="T28" s="451">
        <v>69.575643832759879053279115840</v>
      </c>
      <c r="U28" s="451">
        <v>74.319674695026587425711604630</v>
      </c>
      <c r="V28" s="451">
        <v>79.53289542279220102179126264</v>
      </c>
      <c r="W28" s="451">
        <v>89.09394223751433635700135544</v>
      </c>
      <c r="X28" s="452">
        <v>75.925346679178396413304139300</v>
      </c>
      <c r="Y28" s="451">
        <v>53.112292774476071316859555830</v>
      </c>
      <c r="Z28" s="451">
        <v>55.531227192159316025440517150</v>
      </c>
      <c r="AA28" s="451">
        <v>63.006985715775205922218746740</v>
      </c>
      <c r="AB28" s="451">
        <v>68.532999687206756334063184240</v>
      </c>
      <c r="AC28" s="451">
        <v>78.740485872171827755187154620</v>
      </c>
      <c r="AD28" s="453">
        <v>81.35752267751016578041914295</v>
      </c>
      <c r="AE28" s="448"/>
      <c r="AF28" s="450">
        <v>68.029551514068248506784634400</v>
      </c>
      <c r="AG28" s="451">
        <v>72.346470649567302679595454070</v>
      </c>
      <c r="AH28" s="454">
        <v>74.201284133983136071787731110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181</v>
      </c>
      <c r="D31" s="276"/>
      <c r="E31" s="276"/>
      <c r="F31" s="276"/>
      <c r="G31" s="276"/>
      <c r="H31" s="276"/>
      <c r="I31" s="276"/>
      <c r="J31" s="276"/>
      <c r="K31" s="276"/>
      <c r="L31" s="276"/>
      <c r="M31" s="276"/>
      <c r="N31" s="276"/>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4</v>
      </c>
      <c r="D32">
        <v>5</v>
      </c>
      <c r="E32">
        <v>6</v>
      </c>
      <c r="F32">
        <v>7</v>
      </c>
      <c r="G32">
        <v>8</v>
      </c>
      <c r="H32">
        <v>9</v>
      </c>
      <c r="I32">
        <v>10</v>
      </c>
      <c r="J32">
        <v>11</v>
      </c>
      <c r="K32">
        <v>12</v>
      </c>
      <c r="L32">
        <v>13</v>
      </c>
      <c r="M32">
        <v>14</v>
      </c>
      <c r="N32">
        <v>15</v>
      </c>
      <c r="O32">
        <v>16</v>
      </c>
      <c r="P32">
        <v>17</v>
      </c>
      <c r="Q32">
        <v>18</v>
      </c>
      <c r="R32">
        <v>19</v>
      </c>
      <c r="S32">
        <v>20</v>
      </c>
      <c r="T32">
        <v>21</v>
      </c>
      <c r="U32">
        <v>22</v>
      </c>
      <c r="V32">
        <v>23</v>
      </c>
      <c r="W32">
        <v>24</v>
      </c>
      <c r="X32" s="323">
        <v>25</v>
      </c>
      <c r="Y32">
        <v>26</v>
      </c>
      <c r="Z32">
        <v>27</v>
      </c>
      <c r="AA32">
        <v>28</v>
      </c>
      <c r="AB32">
        <v>29</v>
      </c>
      <c r="AC32">
        <v>30</v>
      </c>
      <c r="AD32" s="337">
        <v>31</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8.403361344556034178377236310</v>
      </c>
      <c r="D33" s="445">
        <v>-16.666666666637254901960773940</v>
      </c>
      <c r="E33" s="445">
        <v>-39.285714285725127551020406220</v>
      </c>
      <c r="F33" s="445">
        <v>-6.0344827586336504161712229400</v>
      </c>
      <c r="G33" s="445">
        <v>-2.5862068965651605231866806600</v>
      </c>
      <c r="H33" s="445">
        <v>-17.968750000002563476562499920</v>
      </c>
      <c r="I33" s="445">
        <v>0.892857142839126275510207300</v>
      </c>
      <c r="J33" s="445">
        <v>-16.304347826123345935727772460</v>
      </c>
      <c r="K33" s="445">
        <v>-20.000000000045714285714259590</v>
      </c>
      <c r="L33" s="445">
        <v>-15.596330275272721151418208510</v>
      </c>
      <c r="M33" s="445">
        <v>-13.761467889952562915579473920</v>
      </c>
      <c r="N33" s="445">
        <v>3.8834951456351022716561411700</v>
      </c>
      <c r="O33" s="445">
        <v>2.7027027027138056975894825700</v>
      </c>
      <c r="P33" s="445">
        <v>16.513761467830047975759646950</v>
      </c>
      <c r="Q33" s="445">
        <v>8.256880733889335914485341250</v>
      </c>
      <c r="R33" s="445">
        <v>1.7094017093599824676747924800</v>
      </c>
      <c r="S33" s="445">
        <v>12.380952380888163265306159140</v>
      </c>
      <c r="T33" s="445">
        <v>4.1322314049208114199849874700</v>
      </c>
      <c r="U33" s="445">
        <v>5.8823529411942659416707889500</v>
      </c>
      <c r="V33" s="445">
        <v>-17.09401709405110672802979100</v>
      </c>
      <c r="W33" s="445">
        <v>-2.4390243902248661511005316800</v>
      </c>
      <c r="X33" s="446">
        <v>4.9586776859122464312547095900</v>
      </c>
      <c r="Y33" s="445">
        <v>-4.9019607842801614763552361400</v>
      </c>
      <c r="Z33" s="445">
        <v>-9.278350515404059942608101640</v>
      </c>
      <c r="AA33" s="445">
        <v>4.3478260869111531190926473300</v>
      </c>
      <c r="AB33" s="445">
        <v>4.1666666666276041666666813200</v>
      </c>
      <c r="AC33" s="445">
        <v>-15.652173913031742911153117470</v>
      </c>
      <c r="AD33" s="447">
        <v>-20.661157024822238918106676210</v>
      </c>
      <c r="AE33" s="448"/>
      <c r="AF33" s="444">
        <v>-5.7795698924959135449184821700</v>
      </c>
      <c r="AG33" s="445">
        <v>-5.0355067785143385369931622200</v>
      </c>
      <c r="AH33" s="449">
        <v>-4.206280610751147861264099400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-7.1352502662781637275283073300</v>
      </c>
      <c r="D34" s="81">
        <v>-8.095238095228248299319726840</v>
      </c>
      <c r="E34" s="81">
        <v>-4.3786982248209516473512730900</v>
      </c>
      <c r="F34" s="81">
        <v>-2.8368794325882802675921602200</v>
      </c>
      <c r="G34" s="81">
        <v>12.339331619517348550432527770</v>
      </c>
      <c r="H34" s="81">
        <v>-1.6703786191350600939479431600</v>
      </c>
      <c r="I34" s="81">
        <v>-9.139213602579928310150067080</v>
      </c>
      <c r="J34" s="81">
        <v>-14.646464646423694010815203280</v>
      </c>
      <c r="K34" s="81">
        <v>-15.625000000037652343749983200</v>
      </c>
      <c r="L34" s="81">
        <v>-10.344827586189686880697578950</v>
      </c>
      <c r="M34" s="81">
        <v>-4.687500000023599008413455700</v>
      </c>
      <c r="N34" s="81">
        <v>-6.6591422122184823871713906700</v>
      </c>
      <c r="O34" s="81">
        <v>0.2150537634754505723205114200</v>
      </c>
      <c r="P34" s="81">
        <v>2.5826446280632484333378993400</v>
      </c>
      <c r="Q34" s="81">
        <v>5.4919908467199427655797674900</v>
      </c>
      <c r="R34" s="81">
        <v>8.622754491005605794399226910</v>
      </c>
      <c r="S34" s="81">
        <v>12.548015364912882462977141300</v>
      </c>
      <c r="T34" s="81">
        <v>18.089725036135358684429344540</v>
      </c>
      <c r="U34" s="81">
        <v>10.629921259886510323020663530</v>
      </c>
      <c r="V34" s="81">
        <v>1.9585253456330439433838063100</v>
      </c>
      <c r="W34" s="81">
        <v>5.974842767315148398665668200</v>
      </c>
      <c r="X34" s="82">
        <v>-0.5411255411148848175633878400</v>
      </c>
      <c r="Y34" s="81">
        <v>-14.147018030534728695889699320</v>
      </c>
      <c r="Z34" s="81">
        <v>-19.599427753929820855872173580</v>
      </c>
      <c r="AA34" s="81">
        <v>-1.3908205841796179982629126600</v>
      </c>
      <c r="AB34" s="81">
        <v>-1.6166281755174719583548901100</v>
      </c>
      <c r="AC34" s="81">
        <v>2.2916666667090750868055731300</v>
      </c>
      <c r="AD34" s="83">
        <v>-2.5948103792525989936295061900</v>
      </c>
      <c r="AE34" s="88"/>
      <c r="AF34" s="327">
        <v>-4.6172126973348529059329128100</v>
      </c>
      <c r="AG34" s="81">
        <v>-1.5826371689177986620087559900</v>
      </c>
      <c r="AH34" s="328">
        <v>-0.0756801755250334990448823500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183</v>
      </c>
      <c r="C35" s="450">
        <v>-0.1719723476711425135526355600</v>
      </c>
      <c r="D35" s="451">
        <v>-4.8112658730250997381693030200</v>
      </c>
      <c r="E35" s="451">
        <v>-14.127519621604651309815955560</v>
      </c>
      <c r="F35" s="451">
        <v>-10.800071010659766473206068160</v>
      </c>
      <c r="G35" s="451">
        <v>-0.3865291742174172051822153700</v>
      </c>
      <c r="H35" s="451">
        <v>-3.9349570858463744018776587200</v>
      </c>
      <c r="I35" s="451">
        <v>-2.3748336560832479883518556600</v>
      </c>
      <c r="J35" s="451">
        <v>-10.908815017594091856842092070</v>
      </c>
      <c r="K35" s="451">
        <v>-5.6350000818026742360452259200</v>
      </c>
      <c r="L35" s="451">
        <v>-6.4777675478208307322070406200</v>
      </c>
      <c r="M35" s="451">
        <v>-1.9593957611572482970206926400</v>
      </c>
      <c r="N35" s="451">
        <v>-0.9360588009075025433278821200</v>
      </c>
      <c r="O35" s="451">
        <v>2.3376868644712857428082358400</v>
      </c>
      <c r="P35" s="451">
        <v>6.2968099816603067266442621300</v>
      </c>
      <c r="Q35" s="451">
        <v>6.4587181628119413722692502100</v>
      </c>
      <c r="R35" s="451">
        <v>2.4363162278097085724490835200</v>
      </c>
      <c r="S35" s="451">
        <v>1.1056381630134913938817355700</v>
      </c>
      <c r="T35" s="451">
        <v>0.7891539014599676277653197200</v>
      </c>
      <c r="U35" s="451">
        <v>6.3813636259304747284085755200</v>
      </c>
      <c r="V35" s="451">
        <v>2.3313083063986794604022859900</v>
      </c>
      <c r="W35" s="451">
        <v>3.2957300420219850885879520700</v>
      </c>
      <c r="X35" s="452">
        <v>-1.2139385731607354344567513500</v>
      </c>
      <c r="Y35" s="451">
        <v>-2.0380221661719130670202993700</v>
      </c>
      <c r="Z35" s="451">
        <v>-5.8775770154975640624341633500</v>
      </c>
      <c r="AA35" s="451">
        <v>0.5157315445143697254038311400</v>
      </c>
      <c r="AB35" s="451">
        <v>-1.5414830075628558247113650600</v>
      </c>
      <c r="AC35" s="451">
        <v>-2.9439272329302701044824888900</v>
      </c>
      <c r="AD35" s="453">
        <v>-2.2934195643193015147615159700</v>
      </c>
      <c r="AE35" s="448"/>
      <c r="AF35" s="450">
        <v>-2.1483770110664893479617655900</v>
      </c>
      <c r="AG35" s="451">
        <v>-1.5949181635793243660877814700</v>
      </c>
      <c r="AH35" s="454">
        <v>-0.4064489123950002493785318800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181</v>
      </c>
      <c r="D38" s="276"/>
      <c r="E38" s="276"/>
      <c r="F38" s="276"/>
      <c r="G38" s="276"/>
      <c r="H38" s="276"/>
      <c r="I38" s="276"/>
      <c r="J38" s="276"/>
      <c r="K38" s="276"/>
      <c r="L38" s="276"/>
      <c r="M38" s="276"/>
      <c r="N38" s="276"/>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4</v>
      </c>
      <c r="D39">
        <v>5</v>
      </c>
      <c r="E39">
        <v>6</v>
      </c>
      <c r="F39">
        <v>7</v>
      </c>
      <c r="G39">
        <v>8</v>
      </c>
      <c r="H39">
        <v>9</v>
      </c>
      <c r="I39">
        <v>10</v>
      </c>
      <c r="J39">
        <v>11</v>
      </c>
      <c r="K39">
        <v>12</v>
      </c>
      <c r="L39">
        <v>13</v>
      </c>
      <c r="M39">
        <v>14</v>
      </c>
      <c r="N39">
        <v>15</v>
      </c>
      <c r="O39">
        <v>16</v>
      </c>
      <c r="P39">
        <v>17</v>
      </c>
      <c r="Q39">
        <v>18</v>
      </c>
      <c r="R39">
        <v>19</v>
      </c>
      <c r="S39">
        <v>20</v>
      </c>
      <c r="T39">
        <v>21</v>
      </c>
      <c r="U39">
        <v>22</v>
      </c>
      <c r="V39">
        <v>23</v>
      </c>
      <c r="W39">
        <v>24</v>
      </c>
      <c r="X39" s="323">
        <v>25</v>
      </c>
      <c r="Y39">
        <v>26</v>
      </c>
      <c r="Z39">
        <v>27</v>
      </c>
      <c r="AA39">
        <v>28</v>
      </c>
      <c r="AB39">
        <v>29</v>
      </c>
      <c r="AC39">
        <v>30</v>
      </c>
      <c r="AD39" s="337">
        <v>31</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115.77095496250072026705646262</v>
      </c>
      <c r="D40" s="445">
        <v>86.16442926672069267468642479</v>
      </c>
      <c r="E40" s="445">
        <v>65.860336033598388206704334180</v>
      </c>
      <c r="F40" s="445">
        <v>103.77221116277980493683351332</v>
      </c>
      <c r="G40" s="445">
        <v>101.17970321063212547725104088</v>
      </c>
      <c r="H40" s="445">
        <v>93.05827241836774407663010529</v>
      </c>
      <c r="I40" s="445">
        <v>103.42814105967307127704667539</v>
      </c>
      <c r="J40" s="445">
        <v>89.13954635111382253480854789</v>
      </c>
      <c r="K40" s="445">
        <v>97.38720538723178995884774379</v>
      </c>
      <c r="L40" s="445">
        <v>92.30380730379973016157631605</v>
      </c>
      <c r="M40" s="445">
        <v>92.76433948569974129984572258</v>
      </c>
      <c r="N40" s="445">
        <v>101.25224432958460819652689054</v>
      </c>
      <c r="O40" s="445">
        <v>95.72278579793366323686032206</v>
      </c>
      <c r="P40" s="445">
        <v>100.08773535959362830161770681</v>
      </c>
      <c r="Q40" s="445">
        <v>100.15611647932960720423635860</v>
      </c>
      <c r="R40" s="445">
        <v>102.67531990249922513898839279</v>
      </c>
      <c r="S40" s="445">
        <v>105.05567621614553103242549733</v>
      </c>
      <c r="T40" s="445">
        <v>120.83890374335030844097332448</v>
      </c>
      <c r="U40" s="445">
        <v>116.96861857006994690128959610</v>
      </c>
      <c r="V40" s="445">
        <v>85.77384009584385218555371869</v>
      </c>
      <c r="W40" s="445">
        <v>92.88733027607443265701241465</v>
      </c>
      <c r="X40" s="446">
        <v>108.14703069870719420736891446</v>
      </c>
      <c r="Y40" s="445">
        <v>122.63303470899869288469845113</v>
      </c>
      <c r="Z40" s="445">
        <v>122.53855278769232532516052926</v>
      </c>
      <c r="AA40" s="445">
        <v>105.96230285940191804272765686</v>
      </c>
      <c r="AB40" s="445">
        <v>91.85161473888488687793764343</v>
      </c>
      <c r="AC40" s="445">
        <v>77.301271369513565963401213250</v>
      </c>
      <c r="AD40" s="447">
        <v>76.974664679579321067772593050</v>
      </c>
      <c r="AE40" s="448"/>
      <c r="AF40" s="444">
        <v>97.63046913344618711193385591</v>
      </c>
      <c r="AG40" s="445">
        <v>98.20584707341185256149822794</v>
      </c>
      <c r="AH40" s="449">
        <v>98.53691801181327796098340106</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183</v>
      </c>
      <c r="C41" s="329">
        <v>121.22378074584768062975151789</v>
      </c>
      <c r="D41" s="330">
        <v>93.71809904807744732097425601</v>
      </c>
      <c r="E41" s="330">
        <v>77.176166538878316973531400160</v>
      </c>
      <c r="F41" s="330">
        <v>116.74293792885582255158496230</v>
      </c>
      <c r="G41" s="330">
        <v>110.06001706063488330920325624</v>
      </c>
      <c r="H41" s="330">
        <v>102.14492630139101345400244787</v>
      </c>
      <c r="I41" s="330">
        <v>111.78321678318301235796199377</v>
      </c>
      <c r="J41" s="330">
        <v>107.67417244041873171281610021</v>
      </c>
      <c r="K41" s="330">
        <v>103.11477675895559215188578343</v>
      </c>
      <c r="L41" s="330">
        <v>103.03077009301849092120747652</v>
      </c>
      <c r="M41" s="330">
        <v>94.96599757303639026238382380</v>
      </c>
      <c r="N41" s="330">
        <v>104.60875574910573184316911056</v>
      </c>
      <c r="O41" s="330">
        <v>99.67673121098639763737547866</v>
      </c>
      <c r="P41" s="330">
        <v>110.72359665771842025738274740</v>
      </c>
      <c r="Q41" s="330">
        <v>128.77399710537775502542148583</v>
      </c>
      <c r="R41" s="330">
        <v>131.00654269973612984989356476</v>
      </c>
      <c r="S41" s="330">
        <v>127.45313999208655098772093366</v>
      </c>
      <c r="T41" s="330">
        <v>137.19534623917541238620203783</v>
      </c>
      <c r="U41" s="330">
        <v>128.43778696056018110300280217</v>
      </c>
      <c r="V41" s="330">
        <v>92.39554035371168147845222934</v>
      </c>
      <c r="W41" s="330">
        <v>102.03734241184683562746932479</v>
      </c>
      <c r="X41" s="331">
        <v>126.71937030282779221632491010</v>
      </c>
      <c r="Y41" s="330">
        <v>138.35751508006758690316243162</v>
      </c>
      <c r="Z41" s="330">
        <v>120.05257228680652550937605726</v>
      </c>
      <c r="AA41" s="330">
        <v>115.42731635396297221817599682</v>
      </c>
      <c r="AB41" s="330">
        <v>110.54174792195051300193889138</v>
      </c>
      <c r="AC41" s="330">
        <v>93.32536835512839685335310181</v>
      </c>
      <c r="AD41" s="338">
        <v>89.39219181434831278479383088</v>
      </c>
      <c r="AE41" s="88"/>
      <c r="AF41" s="329">
        <v>111.51889021358122915267322843</v>
      </c>
      <c r="AG41" s="330">
        <v>110.02550143060392894621734089</v>
      </c>
      <c r="AH41" s="332">
        <v>109.50768632949213365002861076</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181</v>
      </c>
      <c r="D44" s="276"/>
      <c r="E44" s="276"/>
      <c r="F44" s="276"/>
      <c r="G44" s="276"/>
      <c r="H44" s="276"/>
      <c r="I44" s="276"/>
      <c r="J44" s="276"/>
      <c r="K44" s="276"/>
      <c r="L44" s="276"/>
      <c r="M44" s="276"/>
      <c r="N44" s="276"/>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4</v>
      </c>
      <c r="D45">
        <v>5</v>
      </c>
      <c r="E45">
        <v>6</v>
      </c>
      <c r="F45">
        <v>7</v>
      </c>
      <c r="G45">
        <v>8</v>
      </c>
      <c r="H45">
        <v>9</v>
      </c>
      <c r="I45">
        <v>10</v>
      </c>
      <c r="J45">
        <v>11</v>
      </c>
      <c r="K45">
        <v>12</v>
      </c>
      <c r="L45">
        <v>13</v>
      </c>
      <c r="M45">
        <v>14</v>
      </c>
      <c r="N45">
        <v>15</v>
      </c>
      <c r="O45">
        <v>16</v>
      </c>
      <c r="P45">
        <v>17</v>
      </c>
      <c r="Q45">
        <v>18</v>
      </c>
      <c r="R45">
        <v>19</v>
      </c>
      <c r="S45">
        <v>20</v>
      </c>
      <c r="T45">
        <v>21</v>
      </c>
      <c r="U45">
        <v>22</v>
      </c>
      <c r="V45">
        <v>23</v>
      </c>
      <c r="W45">
        <v>24</v>
      </c>
      <c r="X45" s="323">
        <v>25</v>
      </c>
      <c r="Y45">
        <v>26</v>
      </c>
      <c r="Z45">
        <v>27</v>
      </c>
      <c r="AA45">
        <v>28</v>
      </c>
      <c r="AB45">
        <v>29</v>
      </c>
      <c r="AC45">
        <v>30</v>
      </c>
      <c r="AD45" s="337">
        <v>31</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16.732518695586574113207105800</v>
      </c>
      <c r="D46" s="445">
        <v>-9.326424870550324119289381200</v>
      </c>
      <c r="E46" s="445">
        <v>-36.505480905255669899503345100</v>
      </c>
      <c r="F46" s="445">
        <v>-3.2909640070687196869757965900</v>
      </c>
      <c r="G46" s="445">
        <v>-13.286120097790223326596087610</v>
      </c>
      <c r="H46" s="445">
        <v>-16.575240656920688799842659870</v>
      </c>
      <c r="I46" s="445">
        <v>11.041144527935163870990114130</v>
      </c>
      <c r="J46" s="445">
        <v>-1.9423720092285074781076023400</v>
      </c>
      <c r="K46" s="445">
        <v>-5.185185185142696131482349100</v>
      </c>
      <c r="L46" s="445">
        <v>-5.8574453069682964194652496800</v>
      </c>
      <c r="M46" s="445">
        <v>-9.520228605736616791509715410</v>
      </c>
      <c r="N46" s="445">
        <v>11.294772308393707604996401690</v>
      </c>
      <c r="O46" s="445">
        <v>2.4823106368146046020308760300</v>
      </c>
      <c r="P46" s="445">
        <v>13.580383787414494217383467040</v>
      </c>
      <c r="Q46" s="445">
        <v>2.6209476805129470933177675900</v>
      </c>
      <c r="R46" s="445">
        <v>-6.3645530017497718102995819300</v>
      </c>
      <c r="S46" s="445">
        <v>-0.1484370767486981075018418500</v>
      </c>
      <c r="T46" s="445">
        <v>-11.819397180331310007141061630</v>
      </c>
      <c r="U46" s="445">
        <v>-4.2913962738252159714584673500</v>
      </c>
      <c r="V46" s="445">
        <v>-18.686561398471753752049403800</v>
      </c>
      <c r="W46" s="445">
        <v>-7.939494825234793854298312380</v>
      </c>
      <c r="X46" s="446">
        <v>5.5297259866921117086325284200</v>
      </c>
      <c r="Y46" s="445">
        <v>10.768475403184521119053819920</v>
      </c>
      <c r="Z46" s="445">
        <v>12.837069376696898828738469240</v>
      </c>
      <c r="AA46" s="445">
        <v>5.8195866807159988000004856100</v>
      </c>
      <c r="AB46" s="445">
        <v>5.8783255085247911550126355100</v>
      </c>
      <c r="AC46" s="445">
        <v>-17.541840077971540656145561740</v>
      </c>
      <c r="AD46" s="447">
        <v>-18.547622273426626909098157970</v>
      </c>
      <c r="AE46" s="448"/>
      <c r="AF46" s="444">
        <v>-1.2186236405312216966679725200</v>
      </c>
      <c r="AG46" s="445">
        <v>-3.508394769262312476510207700</v>
      </c>
      <c r="AH46" s="449">
        <v>-4.1337288485318689937625176600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183</v>
      </c>
      <c r="C47" s="329">
        <v>8.590106299589749037868145510</v>
      </c>
      <c r="D47" s="330">
        <v>-12.454625962274455680459975250</v>
      </c>
      <c r="E47" s="330">
        <v>-29.297156147410932164790046590</v>
      </c>
      <c r="F47" s="330">
        <v>5.3425919797143338510920854300</v>
      </c>
      <c r="G47" s="330">
        <v>-2.2082131102739639473851960800</v>
      </c>
      <c r="H47" s="330">
        <v>-14.608636490918689025258608820</v>
      </c>
      <c r="I47" s="330">
        <v>3.3471807744745795132022394600</v>
      </c>
      <c r="J47" s="330">
        <v>-6.0561915406835986518684667500</v>
      </c>
      <c r="K47" s="330">
        <v>-15.222804991948070173200512300</v>
      </c>
      <c r="L47" s="330">
        <v>-9.750155111057432496605529670</v>
      </c>
      <c r="M47" s="330">
        <v>-12.037943075150339179593073290</v>
      </c>
      <c r="N47" s="330">
        <v>4.8650940879281440335990383700</v>
      </c>
      <c r="O47" s="330">
        <v>0.3566778274315867757480054600</v>
      </c>
      <c r="P47" s="330">
        <v>9.611719757163378998416753360</v>
      </c>
      <c r="Q47" s="330">
        <v>1.6890702820792748723272564500</v>
      </c>
      <c r="R47" s="330">
        <v>-0.7096257901232391180325912300</v>
      </c>
      <c r="S47" s="330">
        <v>11.152013302874753416339517120</v>
      </c>
      <c r="T47" s="330">
        <v>3.3169020415953047506158634600</v>
      </c>
      <c r="U47" s="330">
        <v>-0.4690771651335263194495730400</v>
      </c>
      <c r="V47" s="330">
        <v>-18.982778312838274850814241760</v>
      </c>
      <c r="W47" s="330">
        <v>-5.5517826631770189477703124600</v>
      </c>
      <c r="X47" s="331">
        <v>6.2484688324418834143892260800</v>
      </c>
      <c r="Y47" s="330">
        <v>-2.9235206163988202716471955500</v>
      </c>
      <c r="Z47" s="330">
        <v>-3.6131384978959471446748633200</v>
      </c>
      <c r="AA47" s="330">
        <v>3.8124326247009125078581722400</v>
      </c>
      <c r="AB47" s="330">
        <v>5.7975174201331883975171909300</v>
      </c>
      <c r="AC47" s="330">
        <v>-13.093716155855832501074808590</v>
      </c>
      <c r="AD47" s="338">
        <v>-18.798874526757523931637507260</v>
      </c>
      <c r="AE47" s="88"/>
      <c r="AF47" s="329">
        <v>-3.7109173772578620065383659900</v>
      </c>
      <c r="AG47" s="330">
        <v>-3.4963525773303559905874631300</v>
      </c>
      <c r="AH47" s="332">
        <v>-3.8153391026596324766682962400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181</v>
      </c>
      <c r="D50" s="276"/>
      <c r="E50" s="276"/>
      <c r="F50" s="276"/>
      <c r="G50" s="276"/>
      <c r="H50" s="276"/>
      <c r="I50" s="276"/>
      <c r="J50" s="276"/>
      <c r="K50" s="276"/>
      <c r="L50" s="276"/>
      <c r="M50" s="276"/>
      <c r="N50" s="276"/>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4</v>
      </c>
      <c r="D51">
        <v>5</v>
      </c>
      <c r="E51">
        <v>6</v>
      </c>
      <c r="F51">
        <v>7</v>
      </c>
      <c r="G51">
        <v>8</v>
      </c>
      <c r="H51">
        <v>9</v>
      </c>
      <c r="I51">
        <v>10</v>
      </c>
      <c r="J51">
        <v>11</v>
      </c>
      <c r="K51">
        <v>12</v>
      </c>
      <c r="L51">
        <v>13</v>
      </c>
      <c r="M51">
        <v>14</v>
      </c>
      <c r="N51">
        <v>15</v>
      </c>
      <c r="O51">
        <v>16</v>
      </c>
      <c r="P51">
        <v>17</v>
      </c>
      <c r="Q51">
        <v>18</v>
      </c>
      <c r="R51">
        <v>19</v>
      </c>
      <c r="S51">
        <v>20</v>
      </c>
      <c r="T51">
        <v>21</v>
      </c>
      <c r="U51">
        <v>22</v>
      </c>
      <c r="V51">
        <v>23</v>
      </c>
      <c r="W51">
        <v>24</v>
      </c>
      <c r="X51" s="323">
        <v>25</v>
      </c>
      <c r="Y51">
        <v>26</v>
      </c>
      <c r="Z51">
        <v>27</v>
      </c>
      <c r="AA51">
        <v>28</v>
      </c>
      <c r="AB51">
        <v>29</v>
      </c>
      <c r="AC51">
        <v>30</v>
      </c>
      <c r="AD51" s="337">
        <v>31</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232</v>
      </c>
      <c r="D52" s="456" t="s">
        <v>233</v>
      </c>
      <c r="E52" s="456" t="s">
        <v>235</v>
      </c>
      <c r="F52" s="456" t="s">
        <v>236</v>
      </c>
      <c r="G52" s="456" t="s">
        <v>237</v>
      </c>
      <c r="H52" s="456" t="s">
        <v>234</v>
      </c>
      <c r="I52" s="456" t="s">
        <v>234</v>
      </c>
      <c r="J52" s="456" t="s">
        <v>238</v>
      </c>
      <c r="K52" s="456" t="s">
        <v>238</v>
      </c>
      <c r="L52" s="456" t="s">
        <v>238</v>
      </c>
      <c r="M52" s="456" t="s">
        <v>238</v>
      </c>
      <c r="N52" s="456" t="s">
        <v>238</v>
      </c>
      <c r="O52" s="456" t="s">
        <v>234</v>
      </c>
      <c r="P52" s="456" t="s">
        <v>234</v>
      </c>
      <c r="Q52" s="456" t="s">
        <v>234</v>
      </c>
      <c r="R52" s="456" t="s">
        <v>234</v>
      </c>
      <c r="S52" s="456" t="s">
        <v>234</v>
      </c>
      <c r="T52" s="456" t="s">
        <v>232</v>
      </c>
      <c r="U52" s="456" t="s">
        <v>232</v>
      </c>
      <c r="V52" s="456" t="s">
        <v>240</v>
      </c>
      <c r="W52" s="456" t="s">
        <v>235</v>
      </c>
      <c r="X52" s="457" t="s">
        <v>237</v>
      </c>
      <c r="Y52" s="456" t="s">
        <v>232</v>
      </c>
      <c r="Z52" s="456" t="s">
        <v>236</v>
      </c>
      <c r="AA52" s="456" t="s">
        <v>237</v>
      </c>
      <c r="AB52" s="456" t="s">
        <v>234</v>
      </c>
      <c r="AC52" s="456" t="s">
        <v>235</v>
      </c>
      <c r="AD52" s="458" t="s">
        <v>235</v>
      </c>
      <c r="AE52" s="459"/>
      <c r="AF52" s="455" t="s">
        <v>238</v>
      </c>
      <c r="AG52" s="456" t="s">
        <v>234</v>
      </c>
      <c r="AH52" s="460" t="s">
        <v>234</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232</v>
      </c>
      <c r="D53" s="334" t="s">
        <v>234</v>
      </c>
      <c r="E53" s="334" t="s">
        <v>235</v>
      </c>
      <c r="F53" s="334" t="s">
        <v>234</v>
      </c>
      <c r="G53" s="334" t="s">
        <v>233</v>
      </c>
      <c r="H53" s="334" t="s">
        <v>233</v>
      </c>
      <c r="I53" s="334" t="s">
        <v>232</v>
      </c>
      <c r="J53" s="334" t="s">
        <v>237</v>
      </c>
      <c r="K53" s="334" t="s">
        <v>238</v>
      </c>
      <c r="L53" s="334" t="s">
        <v>237</v>
      </c>
      <c r="M53" s="334" t="s">
        <v>234</v>
      </c>
      <c r="N53" s="334" t="s">
        <v>239</v>
      </c>
      <c r="O53" s="334" t="s">
        <v>237</v>
      </c>
      <c r="P53" s="334" t="s">
        <v>239</v>
      </c>
      <c r="Q53" s="334" t="s">
        <v>237</v>
      </c>
      <c r="R53" s="334" t="s">
        <v>240</v>
      </c>
      <c r="S53" s="334" t="s">
        <v>234</v>
      </c>
      <c r="T53" s="334" t="s">
        <v>233</v>
      </c>
      <c r="U53" s="334" t="s">
        <v>240</v>
      </c>
      <c r="V53" s="334" t="s">
        <v>235</v>
      </c>
      <c r="W53" s="334" t="s">
        <v>233</v>
      </c>
      <c r="X53" s="60" t="s">
        <v>237</v>
      </c>
      <c r="Y53" s="61" t="s">
        <v>232</v>
      </c>
      <c r="Z53" s="61" t="s">
        <v>236</v>
      </c>
      <c r="AA53" s="61" t="s">
        <v>238</v>
      </c>
      <c r="AB53" s="61" t="s">
        <v>238</v>
      </c>
      <c r="AC53" s="61" t="s">
        <v>235</v>
      </c>
      <c r="AD53" s="62" t="s">
        <v>235</v>
      </c>
      <c r="AE53" s="59"/>
      <c r="AF53" s="333" t="s">
        <v>238</v>
      </c>
      <c r="AG53" s="334" t="s">
        <v>234</v>
      </c>
      <c r="AH53" s="335" t="s">
        <v>240</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50" t="s">
        <v>114</v>
      </c>
      <c r="C56" s="650"/>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c r="AC56" s="650"/>
      <c r="AD56" s="650"/>
      <c r="AE56" s="650"/>
      <c r="AF56" s="650"/>
      <c r="AG56" s="650"/>
      <c r="AH56" s="650"/>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45731</v>
      </c>
      <c r="C72" s="658">
        <v>45738</v>
      </c>
      <c r="D72" s="658">
        <v>45745</v>
      </c>
      <c r="E72" s="658">
        <v>45752</v>
      </c>
      <c r="F72" s="658">
        <v>45759</v>
      </c>
      <c r="G72" s="658">
        <v>45766</v>
      </c>
      <c r="H72" s="658">
        <v>45773</v>
      </c>
      <c r="I72" s="658">
        <v>45780</v>
      </c>
      <c r="J72" s="658">
        <v>45787</v>
      </c>
      <c r="K72" s="658">
        <v>45794</v>
      </c>
      <c r="L72" s="658">
        <v>45801</v>
      </c>
      <c r="M72" s="658">
        <v>45808</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90.90909090909090909090909091</v>
      </c>
      <c r="C73" s="658">
        <v>90.90909090909090909090909091</v>
      </c>
      <c r="D73" s="658">
        <v>90.25974025974025974025974026</v>
      </c>
      <c r="E73" s="658">
        <v>95.12987012987012987012987013</v>
      </c>
      <c r="F73" s="658">
        <v>93.83116883116883116883116883</v>
      </c>
      <c r="G73" s="658">
        <v>96.21212121212121212121212121</v>
      </c>
      <c r="H73" s="658">
        <v>88.09523809523809523809523810</v>
      </c>
      <c r="I73" s="658">
        <v>94.04761904761904761904761905</v>
      </c>
      <c r="J73" s="658">
        <v>78.138528138528138528138528140</v>
      </c>
      <c r="K73" s="658">
        <v>75.216450216450216450216450220</v>
      </c>
      <c r="L73" s="658">
        <v>89.17748917748917748917748918</v>
      </c>
      <c r="M73" s="658">
        <v>75.865800865800865800865800870</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86.87595076752869589268427603</v>
      </c>
      <c r="C74" s="658">
        <v>89.64181994191674733785091965</v>
      </c>
      <c r="D74" s="658">
        <v>86.69616927119347254874844420</v>
      </c>
      <c r="E74" s="658">
        <v>84.53554261107587542143739360</v>
      </c>
      <c r="F74" s="658">
        <v>93.04383902641405061540589130</v>
      </c>
      <c r="G74" s="658">
        <v>91.06624256672659383211174111</v>
      </c>
      <c r="H74" s="658">
        <v>81.74526344903886046190015212</v>
      </c>
      <c r="I74" s="658">
        <v>94.55123772645553865302171207</v>
      </c>
      <c r="J74" s="658">
        <v>81.39952980224035403125432167</v>
      </c>
      <c r="K74" s="658">
        <v>78.495367169132900013829345870</v>
      </c>
      <c r="L74" s="658">
        <v>86.61319319596183100539344489</v>
      </c>
      <c r="M74" s="658">
        <v>77.707094454432305351956852440</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183</v>
      </c>
      <c r="B75" s="658">
        <v>80.40195772154535041132979277</v>
      </c>
      <c r="C75" s="658">
        <v>88.89781467101054729920709302</v>
      </c>
      <c r="D75" s="658">
        <v>84.58071138483509617530236087</v>
      </c>
      <c r="E75" s="658">
        <v>85.23250100504757225175324965</v>
      </c>
      <c r="F75" s="658">
        <v>88.20322623888466866258545958</v>
      </c>
      <c r="G75" s="658">
        <v>81.27262165422941150185441709</v>
      </c>
      <c r="H75" s="658">
        <v>76.013226685732159613923767820</v>
      </c>
      <c r="I75" s="658">
        <v>89.62122227683691556071912656</v>
      </c>
      <c r="J75" s="658">
        <v>74.149872648465078868582152910</v>
      </c>
      <c r="K75" s="658">
        <v>72.792945767609514872573990500</v>
      </c>
      <c r="L75" s="658">
        <v>74.413512668126368470441038470</v>
      </c>
      <c r="M75" s="658">
        <v>68.029551514068248506784634400</v>
      </c>
      <c r="N75" s="658"/>
      <c r="O75" s="658"/>
      <c r="P75" s="658"/>
      <c r="Q75" s="658"/>
      <c r="R75" s="658"/>
      <c r="S75" s="658"/>
      <c r="T75" s="658"/>
      <c r="U75" s="658"/>
      <c r="V75" s="658"/>
      <c r="W75" s="658"/>
      <c r="X75" s="658"/>
      <c r="Y75" s="658"/>
      <c r="Z75" s="658"/>
      <c r="AA75" s="658"/>
      <c r="AB75" s="658"/>
      <c r="AC75" s="658"/>
      <c r="AD75" s="658"/>
      <c r="AE75" s="658"/>
      <c r="AF75" s="658"/>
      <c r="AG75" s="658"/>
      <c r="AH75" s="658"/>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148</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180</v>
      </c>
      <c r="B4" s="442"/>
      <c r="C4" s="211"/>
      <c r="D4" s="212"/>
      <c r="E4" s="212"/>
      <c r="F4" s="212"/>
      <c r="G4" s="212"/>
      <c r="H4" s="212"/>
      <c r="I4" s="212"/>
      <c r="J4" s="212"/>
      <c r="K4" s="212"/>
      <c r="L4" s="212"/>
      <c r="M4" s="212"/>
      <c r="N4" s="212"/>
      <c r="O4" s="212"/>
      <c r="P4" s="212"/>
      <c r="Q4" s="212"/>
      <c r="R4" s="659" t="s">
        <v>182</v>
      </c>
      <c r="S4" s="659"/>
      <c r="T4" s="659"/>
      <c r="U4" s="659"/>
      <c r="V4" s="659"/>
      <c r="W4" s="659"/>
      <c r="X4" s="659"/>
      <c r="Y4" s="659"/>
      <c r="Z4" s="659"/>
      <c r="AA4" s="659"/>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183</v>
      </c>
      <c r="G9" s="339" t="s">
        <v>63</v>
      </c>
      <c r="H9" s="340" t="s">
        <v>26</v>
      </c>
      <c r="I9" s="341" t="s">
        <v>183</v>
      </c>
      <c r="J9" s="340" t="s">
        <v>63</v>
      </c>
      <c r="K9" s="340" t="s">
        <v>26</v>
      </c>
      <c r="L9" s="341" t="s">
        <v>183</v>
      </c>
      <c r="M9" s="339" t="s">
        <v>63</v>
      </c>
      <c r="N9" s="340" t="s">
        <v>26</v>
      </c>
      <c r="O9" s="341" t="s">
        <v>183</v>
      </c>
      <c r="P9" s="96"/>
      <c r="Q9" s="339" t="s">
        <v>63</v>
      </c>
      <c r="R9" s="340" t="s">
        <v>26</v>
      </c>
      <c r="S9" s="341" t="s">
        <v>183</v>
      </c>
      <c r="T9" s="339" t="s">
        <v>63</v>
      </c>
      <c r="U9" s="340" t="s">
        <v>26</v>
      </c>
      <c r="V9" s="341" t="s">
        <v>183</v>
      </c>
      <c r="W9" s="340"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181</v>
      </c>
      <c r="B10" s="342">
        <v>4</v>
      </c>
      <c r="C10" s="350" t="s">
        <v>49</v>
      </c>
      <c r="D10" s="354">
        <v>76.515151515151515151515151520</v>
      </c>
      <c r="E10" s="355">
        <v>74.443368828654404646660212970</v>
      </c>
      <c r="F10" s="356">
        <v>54.659714651794580276808727110</v>
      </c>
      <c r="G10" s="354">
        <v>21.212121212121212121212121210</v>
      </c>
      <c r="H10" s="355">
        <v>9.970958373668925459825750240</v>
      </c>
      <c r="I10" s="356">
        <v>18.268056695985015241934040940</v>
      </c>
      <c r="J10" s="355">
        <v>0</v>
      </c>
      <c r="K10" s="355">
        <v>0</v>
      </c>
      <c r="L10" s="356">
        <v>7.6894739863878531310330634600</v>
      </c>
      <c r="M10" s="354">
        <v>97.72727272727272727272727273</v>
      </c>
      <c r="N10" s="355">
        <v>84.41432720232333010648596321</v>
      </c>
      <c r="O10" s="356">
        <v>80.61724533416744864977583151</v>
      </c>
      <c r="P10" s="4"/>
      <c r="Q10" s="354">
        <v>42.253521126704463400119046140</v>
      </c>
      <c r="R10" s="355">
        <v>6.6574202496264840595489841900</v>
      </c>
      <c r="S10" s="356">
        <v>-2.7088070274734564806900947600</v>
      </c>
      <c r="T10" s="354">
        <v>-41.666666666608333333333275010</v>
      </c>
      <c r="U10" s="355">
        <v>-48.499999999956482499999963240</v>
      </c>
      <c r="V10" s="356">
        <v>3.6116852563415168238424460400</v>
      </c>
      <c r="W10" s="355">
        <v>0</v>
      </c>
      <c r="X10" s="355">
        <v>-100</v>
      </c>
      <c r="Y10" s="356">
        <v>10.746867606382567585049299140</v>
      </c>
      <c r="Z10" s="354">
        <v>8.403361344556034178377236310</v>
      </c>
      <c r="AA10" s="355">
        <v>-7.1352502662781637275283073300</v>
      </c>
      <c r="AB10" s="356">
        <v>-0.1719723476711425135526355600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5</v>
      </c>
      <c r="C11" s="351" t="s">
        <v>47</v>
      </c>
      <c r="D11" s="327">
        <v>64.393939393939393939393939390</v>
      </c>
      <c r="E11" s="171">
        <v>59.632139399806389157792836400</v>
      </c>
      <c r="F11" s="328">
        <v>45.533429120041057135903472490</v>
      </c>
      <c r="G11" s="327">
        <v>0</v>
      </c>
      <c r="H11" s="171">
        <v>15.101645692158760890609874150</v>
      </c>
      <c r="I11" s="328">
        <v>16.837760588136644133889163660</v>
      </c>
      <c r="J11" s="171">
        <v>0</v>
      </c>
      <c r="K11" s="171">
        <v>0</v>
      </c>
      <c r="L11" s="328">
        <v>6.3390594837730859265372564600</v>
      </c>
      <c r="M11" s="327">
        <v>64.393939393939393939393939390</v>
      </c>
      <c r="N11" s="171">
        <v>74.733785091965150048402710550</v>
      </c>
      <c r="O11" s="328">
        <v>68.710249191950787196329892610</v>
      </c>
      <c r="P11" s="4"/>
      <c r="Q11" s="327">
        <v>-16.666666666637254901960773940</v>
      </c>
      <c r="R11" s="171">
        <v>-13.117066290500073008528242640</v>
      </c>
      <c r="S11" s="328">
        <v>-7.1252355307809458967690814500</v>
      </c>
      <c r="T11" s="327">
        <v>0</v>
      </c>
      <c r="U11" s="171">
        <v>33.333333333557834757835135820</v>
      </c>
      <c r="V11" s="328">
        <v>-2.9324531254399342311355815800</v>
      </c>
      <c r="W11" s="171">
        <v>0</v>
      </c>
      <c r="X11" s="171">
        <v>-100</v>
      </c>
      <c r="Y11" s="328">
        <v>9.105261430970018210566037440</v>
      </c>
      <c r="Z11" s="327">
        <v>-16.666666666637254901960773940</v>
      </c>
      <c r="AA11" s="171">
        <v>-8.095238095228248299319726840</v>
      </c>
      <c r="AB11" s="328">
        <v>-4.8112658730250997381693030200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6</v>
      </c>
      <c r="C12" s="352" t="s">
        <v>48</v>
      </c>
      <c r="D12" s="359">
        <v>51.515151515151515151515151520</v>
      </c>
      <c r="E12" s="170">
        <v>60.890609874152952565343659240</v>
      </c>
      <c r="F12" s="360">
        <v>44.129470460813981156280307830</v>
      </c>
      <c r="G12" s="359">
        <v>0</v>
      </c>
      <c r="H12" s="170">
        <v>17.328170377541142303969022270</v>
      </c>
      <c r="I12" s="360">
        <v>15.235444429016240795085977740</v>
      </c>
      <c r="J12" s="170">
        <v>0</v>
      </c>
      <c r="K12" s="170">
        <v>0</v>
      </c>
      <c r="L12" s="360">
        <v>7.3851633084806945328376556300</v>
      </c>
      <c r="M12" s="359">
        <v>51.515151515151515151515151520</v>
      </c>
      <c r="N12" s="170">
        <v>78.218780251694094869312681510</v>
      </c>
      <c r="O12" s="360">
        <v>66.750078198310916484203941190</v>
      </c>
      <c r="P12" s="4"/>
      <c r="Q12" s="359">
        <v>-35.849056603749377002491980890</v>
      </c>
      <c r="R12" s="170">
        <v>-12.638888888915339891975300640</v>
      </c>
      <c r="S12" s="360">
        <v>-15.152300287800769172042393380</v>
      </c>
      <c r="T12" s="359">
        <v>-100</v>
      </c>
      <c r="U12" s="170">
        <v>55.652173913209958412098476780</v>
      </c>
      <c r="V12" s="360">
        <v>-21.745368514749474415484109800</v>
      </c>
      <c r="W12" s="170">
        <v>0</v>
      </c>
      <c r="X12" s="170">
        <v>-100</v>
      </c>
      <c r="Y12" s="360">
        <v>18.118183542577619436391981360</v>
      </c>
      <c r="Z12" s="359">
        <v>-39.285714285725127551020406220</v>
      </c>
      <c r="AA12" s="170">
        <v>-4.3786982248209516473512730900</v>
      </c>
      <c r="AB12" s="360">
        <v>-14.127519621604651309815955560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7</v>
      </c>
      <c r="C13" s="351" t="s">
        <v>50</v>
      </c>
      <c r="D13" s="327">
        <v>71.969696969696969696969696970</v>
      </c>
      <c r="E13" s="171">
        <v>65.44046466602129719264278800</v>
      </c>
      <c r="F13" s="328">
        <v>48.819493207773492449423979860</v>
      </c>
      <c r="G13" s="327">
        <v>10.606060606060606060606060610</v>
      </c>
      <c r="H13" s="171">
        <v>14.133591481122942884801548890</v>
      </c>
      <c r="I13" s="328">
        <v>14.899383193587242948417201810</v>
      </c>
      <c r="J13" s="171">
        <v>0</v>
      </c>
      <c r="K13" s="171">
        <v>0</v>
      </c>
      <c r="L13" s="328">
        <v>7.0141024329631098737676182500</v>
      </c>
      <c r="M13" s="327">
        <v>82.57575757575757575757575758</v>
      </c>
      <c r="N13" s="171">
        <v>79.57405614714424007744433688</v>
      </c>
      <c r="O13" s="328">
        <v>70.732978834323845271608799920</v>
      </c>
      <c r="P13" s="4"/>
      <c r="Q13" s="327">
        <v>-4.0404040404040404040404040400</v>
      </c>
      <c r="R13" s="171">
        <v>-6.6298342541526739110527752900</v>
      </c>
      <c r="S13" s="328">
        <v>-9.904800986606533879650927930</v>
      </c>
      <c r="T13" s="327">
        <v>-17.647058823606920415224840510</v>
      </c>
      <c r="U13" s="171">
        <v>28.070175438693105570944979040</v>
      </c>
      <c r="V13" s="328">
        <v>-24.088030302800507769535441290</v>
      </c>
      <c r="W13" s="171">
        <v>0</v>
      </c>
      <c r="X13" s="171">
        <v>-100</v>
      </c>
      <c r="Y13" s="328">
        <v>27.915803748307260784957653640</v>
      </c>
      <c r="Z13" s="327">
        <v>-6.0344827586336504161712229400</v>
      </c>
      <c r="AA13" s="171">
        <v>-2.8368794325882802675921602200</v>
      </c>
      <c r="AB13" s="328">
        <v>-10.800071010659766473206068160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8</v>
      </c>
      <c r="C14" s="352" t="s">
        <v>51</v>
      </c>
      <c r="D14" s="359">
        <v>75.00</v>
      </c>
      <c r="E14" s="170">
        <v>76.379477250726040658276863500</v>
      </c>
      <c r="F14" s="360">
        <v>58.695206702395890296498617960</v>
      </c>
      <c r="G14" s="359">
        <v>10.606060606060606060606060610</v>
      </c>
      <c r="H14" s="170">
        <v>8.228460793804453049370764760</v>
      </c>
      <c r="I14" s="360">
        <v>11.316902899008235925568210960</v>
      </c>
      <c r="J14" s="170">
        <v>0</v>
      </c>
      <c r="K14" s="170">
        <v>0</v>
      </c>
      <c r="L14" s="360">
        <v>7.7691436568588286314416686400</v>
      </c>
      <c r="M14" s="359">
        <v>85.60606060606060606060606061</v>
      </c>
      <c r="N14" s="170">
        <v>84.60793804453049370764762827</v>
      </c>
      <c r="O14" s="360">
        <v>77.781253258262954853508497550</v>
      </c>
      <c r="P14" s="4"/>
      <c r="Q14" s="359">
        <v>-1.0000000000316799999999898600</v>
      </c>
      <c r="R14" s="170">
        <v>4.6419098143245789036720162700</v>
      </c>
      <c r="S14" s="360">
        <v>-1.674010446309073600614494100</v>
      </c>
      <c r="T14" s="359">
        <v>-12.499999999912499999999912470</v>
      </c>
      <c r="U14" s="170">
        <v>372.22222221259413580266544162</v>
      </c>
      <c r="V14" s="360">
        <v>-12.893648092865563826556908580</v>
      </c>
      <c r="W14" s="170">
        <v>0</v>
      </c>
      <c r="X14" s="170">
        <v>-100</v>
      </c>
      <c r="Y14" s="360">
        <v>43.965920002896227056196997190</v>
      </c>
      <c r="Z14" s="359">
        <v>-2.5862068965651605231866806600</v>
      </c>
      <c r="AA14" s="170">
        <v>12.339331619517348550432527770</v>
      </c>
      <c r="AB14" s="360">
        <v>-0.3865291742174172051822153700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9</v>
      </c>
      <c r="C15" s="351" t="s">
        <v>52</v>
      </c>
      <c r="D15" s="327">
        <v>68.939393939393939393939393940</v>
      </c>
      <c r="E15" s="171">
        <v>74.540174249757986447241045500</v>
      </c>
      <c r="F15" s="328">
        <v>64.553107652469930288445255520</v>
      </c>
      <c r="G15" s="327">
        <v>10.606060606060606060606060610</v>
      </c>
      <c r="H15" s="171">
        <v>10.939012584704743465634075510</v>
      </c>
      <c r="I15" s="328">
        <v>5.7803460249144471545595550200</v>
      </c>
      <c r="J15" s="171">
        <v>0</v>
      </c>
      <c r="K15" s="171">
        <v>0</v>
      </c>
      <c r="L15" s="328">
        <v>7.5416375539783584552331208600</v>
      </c>
      <c r="M15" s="327">
        <v>79.54545454545454545454545455</v>
      </c>
      <c r="N15" s="171">
        <v>85.47918683446272991287512101</v>
      </c>
      <c r="O15" s="328">
        <v>77.875091231362735898237931390</v>
      </c>
      <c r="P15" s="4"/>
      <c r="Q15" s="327">
        <v>-9.000000000029119999999990680</v>
      </c>
      <c r="R15" s="171">
        <v>-11.392405063277883789019822930</v>
      </c>
      <c r="S15" s="328">
        <v>-4.5997009427197266503058157300</v>
      </c>
      <c r="T15" s="327">
        <v>-49.999999999949999999999949980</v>
      </c>
      <c r="U15" s="171">
        <v>606.24999998053398437553653217</v>
      </c>
      <c r="V15" s="328">
        <v>-16.161779444169735231887688160</v>
      </c>
      <c r="W15" s="171">
        <v>0</v>
      </c>
      <c r="X15" s="171">
        <v>-100</v>
      </c>
      <c r="Y15" s="328">
        <v>15.939566836129305482295035910</v>
      </c>
      <c r="Z15" s="327">
        <v>-17.968750000002563476562499920</v>
      </c>
      <c r="AA15" s="171">
        <v>-1.6703786191350600939479431600</v>
      </c>
      <c r="AB15" s="328">
        <v>-3.9349570858463744018776587200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10</v>
      </c>
      <c r="C16" s="352" t="s">
        <v>53</v>
      </c>
      <c r="D16" s="359">
        <v>75.00</v>
      </c>
      <c r="E16" s="170">
        <v>73.088092933204259438528557600</v>
      </c>
      <c r="F16" s="360">
        <v>64.059334976645426890644990160</v>
      </c>
      <c r="G16" s="359">
        <v>10.606060606060606060606060610</v>
      </c>
      <c r="H16" s="170">
        <v>9.680542110358180058083252660</v>
      </c>
      <c r="I16" s="360">
        <v>4.3465897563467463688866030400</v>
      </c>
      <c r="J16" s="170">
        <v>0</v>
      </c>
      <c r="K16" s="170">
        <v>0</v>
      </c>
      <c r="L16" s="360">
        <v>8.176287757884690466878583010</v>
      </c>
      <c r="M16" s="359">
        <v>85.60606060606060606060606061</v>
      </c>
      <c r="N16" s="170">
        <v>82.76863504356243949661181026</v>
      </c>
      <c r="O16" s="360">
        <v>76.582212490876863726410176210</v>
      </c>
      <c r="P16" s="4"/>
      <c r="Q16" s="359">
        <v>1.0204081632982923781757708700</v>
      </c>
      <c r="R16" s="170">
        <v>-18.201516793060594251398883810</v>
      </c>
      <c r="S16" s="360">
        <v>-1.7107040351367391202127772500</v>
      </c>
      <c r="T16" s="359">
        <v>-0.000000000371428571427191800</v>
      </c>
      <c r="U16" s="170">
        <v>809.0909091245454545466990907</v>
      </c>
      <c r="V16" s="360">
        <v>-37.733045043143615576198804280</v>
      </c>
      <c r="W16" s="170">
        <v>0</v>
      </c>
      <c r="X16" s="170">
        <v>-100</v>
      </c>
      <c r="Y16" s="360">
        <v>29.982305704377374418883003820</v>
      </c>
      <c r="Z16" s="359">
        <v>0.892857142839126275510207300</v>
      </c>
      <c r="AA16" s="170">
        <v>-9.139213602579928310150067080</v>
      </c>
      <c r="AB16" s="360">
        <v>-2.3748336560832479883518556600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11</v>
      </c>
      <c r="C17" s="351" t="s">
        <v>49</v>
      </c>
      <c r="D17" s="327">
        <v>57.575757575757575757575757580</v>
      </c>
      <c r="E17" s="171">
        <v>55.953533397870280735721200390</v>
      </c>
      <c r="F17" s="328">
        <v>41.469699547137146969889562030</v>
      </c>
      <c r="G17" s="327">
        <v>0.7575757575757575757575757600</v>
      </c>
      <c r="H17" s="171">
        <v>9.486931268151016456921587610</v>
      </c>
      <c r="I17" s="328">
        <v>5.1794808413975375399127371400</v>
      </c>
      <c r="J17" s="171">
        <v>0</v>
      </c>
      <c r="K17" s="171">
        <v>0</v>
      </c>
      <c r="L17" s="328">
        <v>7.526609414405571980657506900</v>
      </c>
      <c r="M17" s="327">
        <v>58.333333333333333333333333330</v>
      </c>
      <c r="N17" s="171">
        <v>65.44046466602129719264278800</v>
      </c>
      <c r="O17" s="328">
        <v>54.175789802940256490459806070</v>
      </c>
      <c r="P17" s="4"/>
      <c r="Q17" s="327">
        <v>-17.391304347862003780718320860</v>
      </c>
      <c r="R17" s="171">
        <v>-23.035952063925438430073704060</v>
      </c>
      <c r="S17" s="328">
        <v>-11.561318245049873083055459680</v>
      </c>
      <c r="T17" s="327">
        <v>0</v>
      </c>
      <c r="U17" s="171">
        <v>180.00000000209600000001569009</v>
      </c>
      <c r="V17" s="328">
        <v>-29.645906791525105278062465880</v>
      </c>
      <c r="W17" s="171">
        <v>0</v>
      </c>
      <c r="X17" s="171">
        <v>-100</v>
      </c>
      <c r="Y17" s="328">
        <v>14.797067939234109571176433330</v>
      </c>
      <c r="Z17" s="327">
        <v>-16.304347826123345935727772460</v>
      </c>
      <c r="AA17" s="171">
        <v>-14.646464646423694010815203280</v>
      </c>
      <c r="AB17" s="328">
        <v>-10.908815017594091856842092070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12</v>
      </c>
      <c r="C18" s="352" t="s">
        <v>47</v>
      </c>
      <c r="D18" s="359">
        <v>55.303030303030303030303030300</v>
      </c>
      <c r="E18" s="170">
        <v>54.791868344627299128751210070</v>
      </c>
      <c r="F18" s="360">
        <v>42.471850027277160359615724130</v>
      </c>
      <c r="G18" s="359">
        <v>8.333333333333333333333333330</v>
      </c>
      <c r="H18" s="170">
        <v>10.551790900290416263310745400</v>
      </c>
      <c r="I18" s="360">
        <v>11.984409158540759911600428490</v>
      </c>
      <c r="J18" s="170">
        <v>0</v>
      </c>
      <c r="K18" s="170">
        <v>0</v>
      </c>
      <c r="L18" s="360">
        <v>7.2578477894714134791748389300</v>
      </c>
      <c r="M18" s="359">
        <v>63.636363636363636363636363640</v>
      </c>
      <c r="N18" s="170">
        <v>65.343659244917715392061955470</v>
      </c>
      <c r="O18" s="360">
        <v>61.714106975289333750390991550</v>
      </c>
      <c r="P18" s="4"/>
      <c r="Q18" s="359">
        <v>-30.476190476230204081632630360</v>
      </c>
      <c r="R18" s="170">
        <v>-18.443804034599407436321201560</v>
      </c>
      <c r="S18" s="360">
        <v>-7.8510830760528810747916154300</v>
      </c>
      <c r="T18" s="359">
        <v>0</v>
      </c>
      <c r="U18" s="170">
        <v>7.9207920787858543280087087700</v>
      </c>
      <c r="V18" s="360">
        <v>-9.299129316264998911755533960</v>
      </c>
      <c r="W18" s="170">
        <v>0</v>
      </c>
      <c r="X18" s="170">
        <v>-100</v>
      </c>
      <c r="Y18" s="360">
        <v>19.063131610506633673742390830</v>
      </c>
      <c r="Z18" s="359">
        <v>-20.000000000045714285714259590</v>
      </c>
      <c r="AA18" s="170">
        <v>-15.625000000037652343749983200</v>
      </c>
      <c r="AB18" s="360">
        <v>-5.6350000818026742360452259200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13</v>
      </c>
      <c r="C19" s="351" t="s">
        <v>48</v>
      </c>
      <c r="D19" s="327">
        <v>61.363636363636363636363636360</v>
      </c>
      <c r="E19" s="171">
        <v>63.407550822846079380445304930</v>
      </c>
      <c r="F19" s="328">
        <v>46.33077375199074072389377700</v>
      </c>
      <c r="G19" s="327">
        <v>8.333333333333333333333333330</v>
      </c>
      <c r="H19" s="171">
        <v>12.100677637947725072604065830</v>
      </c>
      <c r="I19" s="328">
        <v>14.446746971926256207280636610</v>
      </c>
      <c r="J19" s="171">
        <v>0</v>
      </c>
      <c r="K19" s="171">
        <v>0</v>
      </c>
      <c r="L19" s="328">
        <v>6.8692314395696050915552287700</v>
      </c>
      <c r="M19" s="327">
        <v>69.696969696969696969696969700</v>
      </c>
      <c r="N19" s="171">
        <v>75.508228460793804453049370760</v>
      </c>
      <c r="O19" s="328">
        <v>67.646752163486602022729642370</v>
      </c>
      <c r="P19" s="4"/>
      <c r="Q19" s="327">
        <v>-25.688073394533591448531248800</v>
      </c>
      <c r="R19" s="171">
        <v>-6.1604584527219285966453477500</v>
      </c>
      <c r="S19" s="328">
        <v>-6.3205923909077693137909612700</v>
      </c>
      <c r="T19" s="327">
        <v>0</v>
      </c>
      <c r="U19" s="171">
        <v>-23.780487804938466686496085350</v>
      </c>
      <c r="V19" s="328">
        <v>-13.565951705547738140432605050</v>
      </c>
      <c r="W19" s="171">
        <v>0</v>
      </c>
      <c r="X19" s="171">
        <v>-100</v>
      </c>
      <c r="Y19" s="328">
        <v>11.489047776847411198084320710</v>
      </c>
      <c r="Z19" s="327">
        <v>-15.596330275272721151418208510</v>
      </c>
      <c r="AA19" s="171">
        <v>-10.344827586189686880697578950</v>
      </c>
      <c r="AB19" s="328">
        <v>-6.4777675478208307322070406200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14</v>
      </c>
      <c r="C20" s="352" t="s">
        <v>50</v>
      </c>
      <c r="D20" s="359">
        <v>62.878787878787878787878787880</v>
      </c>
      <c r="E20" s="170">
        <v>64.956437560503388189738625360</v>
      </c>
      <c r="F20" s="360">
        <v>48.449191398535969657281373030</v>
      </c>
      <c r="G20" s="359">
        <v>8.333333333333333333333333330</v>
      </c>
      <c r="H20" s="170">
        <v>11.810261374636979670861568250</v>
      </c>
      <c r="I20" s="360">
        <v>19.448461763598249326589019220</v>
      </c>
      <c r="J20" s="170">
        <v>0</v>
      </c>
      <c r="K20" s="170">
        <v>0</v>
      </c>
      <c r="L20" s="360">
        <v>7.089313786046366982139408600</v>
      </c>
      <c r="M20" s="359">
        <v>71.212121212121212121212121210</v>
      </c>
      <c r="N20" s="170">
        <v>76.766698935140367860600193610</v>
      </c>
      <c r="O20" s="360">
        <v>74.986966948180585966009800850</v>
      </c>
      <c r="P20" s="4"/>
      <c r="Q20" s="359">
        <v>-23.853211009213433212692514200</v>
      </c>
      <c r="R20" s="170">
        <v>-5.0919377651602555971903303100</v>
      </c>
      <c r="S20" s="360">
        <v>-7.0136461600472165121612550800</v>
      </c>
      <c r="T20" s="359">
        <v>0</v>
      </c>
      <c r="U20" s="170">
        <v>1.6666666669276111111117808900</v>
      </c>
      <c r="V20" s="360">
        <v>8.502616132944782741104043590</v>
      </c>
      <c r="W20" s="170">
        <v>0</v>
      </c>
      <c r="X20" s="170">
        <v>-100</v>
      </c>
      <c r="Y20" s="360">
        <v>9.781540197988557461630650880</v>
      </c>
      <c r="Z20" s="359">
        <v>-13.761467889952562915579473920</v>
      </c>
      <c r="AA20" s="170">
        <v>-4.687500000023599008413455700</v>
      </c>
      <c r="AB20" s="360">
        <v>-1.9593957611572482970206926400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15</v>
      </c>
      <c r="C21" s="351" t="s">
        <v>51</v>
      </c>
      <c r="D21" s="327">
        <v>72.727272727272727272727272730</v>
      </c>
      <c r="E21" s="171">
        <v>74.443368828654404646660212970</v>
      </c>
      <c r="F21" s="328">
        <v>52.300314693014435849691206980</v>
      </c>
      <c r="G21" s="327">
        <v>8.333333333333333333333333330</v>
      </c>
      <c r="H21" s="171">
        <v>5.6147144240077444336882865400</v>
      </c>
      <c r="I21" s="328">
        <v>17.444486037234853022108664090</v>
      </c>
      <c r="J21" s="171">
        <v>0</v>
      </c>
      <c r="K21" s="171">
        <v>0</v>
      </c>
      <c r="L21" s="328">
        <v>7.7445121672587916203281656300</v>
      </c>
      <c r="M21" s="327">
        <v>81.06060606060606060606060606</v>
      </c>
      <c r="N21" s="171">
        <v>80.05808325266214908034849952</v>
      </c>
      <c r="O21" s="328">
        <v>77.489312897508080492128036700</v>
      </c>
      <c r="P21" s="4"/>
      <c r="Q21" s="327">
        <v>-6.7961165048507493637477611900</v>
      </c>
      <c r="R21" s="171">
        <v>-3.1486146095164099131394464100</v>
      </c>
      <c r="S21" s="328">
        <v>-6.2179064237023494209102538200</v>
      </c>
      <c r="T21" s="327">
        <v>0</v>
      </c>
      <c r="U21" s="171">
        <v>-25.641025641228698224851516560</v>
      </c>
      <c r="V21" s="328">
        <v>6.248050443310466128283193200</v>
      </c>
      <c r="W21" s="171">
        <v>0</v>
      </c>
      <c r="X21" s="171">
        <v>-100</v>
      </c>
      <c r="Y21" s="328">
        <v>28.327482227106544536618758440</v>
      </c>
      <c r="Z21" s="327">
        <v>3.8834951456351022716561411700</v>
      </c>
      <c r="AA21" s="171">
        <v>-6.6591422122184823871713906700</v>
      </c>
      <c r="AB21" s="328">
        <v>-0.9360588009075025433278821200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16</v>
      </c>
      <c r="C22" s="352" t="s">
        <v>52</v>
      </c>
      <c r="D22" s="359">
        <v>86.36363636363636363636363636</v>
      </c>
      <c r="E22" s="170">
        <v>78.896418199419167473378509200</v>
      </c>
      <c r="F22" s="360">
        <v>63.359216450065446410854783310</v>
      </c>
      <c r="G22" s="359">
        <v>0</v>
      </c>
      <c r="H22" s="170">
        <v>11.326234269119070667957405610</v>
      </c>
      <c r="I22" s="360">
        <v>15.523008030266034370659421910</v>
      </c>
      <c r="J22" s="170">
        <v>0</v>
      </c>
      <c r="K22" s="170">
        <v>0</v>
      </c>
      <c r="L22" s="360">
        <v>7.7615040151330171853297109600</v>
      </c>
      <c r="M22" s="359">
        <v>86.36363636363636363636363636</v>
      </c>
      <c r="N22" s="170">
        <v>90.22265246853823814133591481</v>
      </c>
      <c r="O22" s="360">
        <v>86.64372849546449796684391617</v>
      </c>
      <c r="P22" s="4"/>
      <c r="Q22" s="359">
        <v>2.7027027027138056975894825700</v>
      </c>
      <c r="R22" s="170">
        <v>-6.6437571591913481838376348100</v>
      </c>
      <c r="S22" s="360">
        <v>-4.6921575641591356142025429500</v>
      </c>
      <c r="T22" s="359">
        <v>0</v>
      </c>
      <c r="U22" s="170">
        <v>154.34782608494385633271913981</v>
      </c>
      <c r="V22" s="360">
        <v>30.954940616962109417750668770</v>
      </c>
      <c r="W22" s="170">
        <v>0</v>
      </c>
      <c r="X22" s="170">
        <v>-100</v>
      </c>
      <c r="Y22" s="360">
        <v>22.569229506613686535176508860</v>
      </c>
      <c r="Z22" s="359">
        <v>2.7027027027138056975894825700</v>
      </c>
      <c r="AA22" s="170">
        <v>0.2150537634754505723205114200</v>
      </c>
      <c r="AB22" s="360">
        <v>2.3376868644712857428082358400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17</v>
      </c>
      <c r="C23" s="351" t="s">
        <v>53</v>
      </c>
      <c r="D23" s="327">
        <v>96.21212121212121212121212121</v>
      </c>
      <c r="E23" s="171">
        <v>83.83349467570183930300096806</v>
      </c>
      <c r="F23" s="328">
        <v>68.448244596397730467249755500</v>
      </c>
      <c r="G23" s="327">
        <v>0</v>
      </c>
      <c r="H23" s="171">
        <v>12.294288480154888673765730880</v>
      </c>
      <c r="I23" s="328">
        <v>10.691257230869129682495060640</v>
      </c>
      <c r="J23" s="171">
        <v>0</v>
      </c>
      <c r="K23" s="171">
        <v>0</v>
      </c>
      <c r="L23" s="328">
        <v>7.7544612631303872697109236100</v>
      </c>
      <c r="M23" s="327">
        <v>96.21212121212121212121212121</v>
      </c>
      <c r="N23" s="171">
        <v>96.12778315585672797676669894</v>
      </c>
      <c r="O23" s="328">
        <v>86.89396309039724741945573976</v>
      </c>
      <c r="P23" s="4"/>
      <c r="Q23" s="327">
        <v>16.513761467830047975759646950</v>
      </c>
      <c r="R23" s="171">
        <v>-7.6759061834098153763621551300</v>
      </c>
      <c r="S23" s="328">
        <v>3.3477912182642174490761613100</v>
      </c>
      <c r="T23" s="327">
        <v>0</v>
      </c>
      <c r="U23" s="171">
        <v>477.27272726698078512402414578</v>
      </c>
      <c r="V23" s="328">
        <v>19.301048851352104627126577940</v>
      </c>
      <c r="W23" s="171">
        <v>0</v>
      </c>
      <c r="X23" s="171">
        <v>-100</v>
      </c>
      <c r="Y23" s="328">
        <v>18.316642362469936544203815690</v>
      </c>
      <c r="Z23" s="327">
        <v>16.513761467830047975759646950</v>
      </c>
      <c r="AA23" s="171">
        <v>2.5826446280632484333378993400</v>
      </c>
      <c r="AB23" s="328">
        <v>6.2968099816603067266442621300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18</v>
      </c>
      <c r="C24" s="352" t="s">
        <v>49</v>
      </c>
      <c r="D24" s="359">
        <v>76.515151515151515151515151520</v>
      </c>
      <c r="E24" s="170">
        <v>70.474346563407550822846079390</v>
      </c>
      <c r="F24" s="360">
        <v>51.360785886514525845653562190</v>
      </c>
      <c r="G24" s="359">
        <v>12.878787878787878787878787880</v>
      </c>
      <c r="H24" s="170">
        <v>18.780251694094869312681510170</v>
      </c>
      <c r="I24" s="360">
        <v>10.627922375464645418302709930</v>
      </c>
      <c r="J24" s="170">
        <v>0</v>
      </c>
      <c r="K24" s="170">
        <v>0</v>
      </c>
      <c r="L24" s="360">
        <v>7.4305389489477393814404539800</v>
      </c>
      <c r="M24" s="359">
        <v>89.39393939393939393939393939</v>
      </c>
      <c r="N24" s="170">
        <v>89.25459825750242013552758955</v>
      </c>
      <c r="O24" s="360">
        <v>69.419247210926910645396726100</v>
      </c>
      <c r="P24" s="4"/>
      <c r="Q24" s="359">
        <v>-7.3394495413320090901439028200</v>
      </c>
      <c r="R24" s="170">
        <v>-11.327649208237219991068769330</v>
      </c>
      <c r="S24" s="360">
        <v>-0.4762172209186849643307450600</v>
      </c>
      <c r="T24" s="359">
        <v>0</v>
      </c>
      <c r="U24" s="170">
        <v>351.16279069269064359118539418</v>
      </c>
      <c r="V24" s="360">
        <v>37.136886371000976146566863740</v>
      </c>
      <c r="W24" s="170">
        <v>0</v>
      </c>
      <c r="X24" s="170">
        <v>-100</v>
      </c>
      <c r="Y24" s="360">
        <v>26.990441605566510795185583640</v>
      </c>
      <c r="Z24" s="359">
        <v>8.256880733889335914485341250</v>
      </c>
      <c r="AA24" s="170">
        <v>5.4919908467199427655797674900</v>
      </c>
      <c r="AB24" s="360">
        <v>6.4587181628119413722692502100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19</v>
      </c>
      <c r="C25" s="351" t="s">
        <v>47</v>
      </c>
      <c r="D25" s="327">
        <v>64.393939393939393939393939390</v>
      </c>
      <c r="E25" s="171">
        <v>64.375605033881897386253630200</v>
      </c>
      <c r="F25" s="328">
        <v>48.000589214008361539216811860</v>
      </c>
      <c r="G25" s="327">
        <v>25.757575757575757575757575760</v>
      </c>
      <c r="H25" s="171">
        <v>23.426911907066795740561471440</v>
      </c>
      <c r="I25" s="328">
        <v>13.432628521675856427044741620</v>
      </c>
      <c r="J25" s="171">
        <v>0</v>
      </c>
      <c r="K25" s="171">
        <v>0</v>
      </c>
      <c r="L25" s="328">
        <v>7.3812958708218815019899322800</v>
      </c>
      <c r="M25" s="327">
        <v>90.15151515151515151515151515</v>
      </c>
      <c r="N25" s="171">
        <v>87.80251694094869312681510165</v>
      </c>
      <c r="O25" s="328">
        <v>68.814513606506099468251485770</v>
      </c>
      <c r="P25" s="4"/>
      <c r="Q25" s="327">
        <v>-27.350427350457155380232291090</v>
      </c>
      <c r="R25" s="171">
        <v>-11.214953271049137167313422240</v>
      </c>
      <c r="S25" s="328">
        <v>-3.9497284914881259013766879200</v>
      </c>
      <c r="T25" s="327">
        <v>0</v>
      </c>
      <c r="U25" s="171">
        <v>210.25641025556301775148160352</v>
      </c>
      <c r="V25" s="328">
        <v>19.164430732332446088748311120</v>
      </c>
      <c r="W25" s="171">
        <v>0</v>
      </c>
      <c r="X25" s="171">
        <v>-100</v>
      </c>
      <c r="Y25" s="328">
        <v>24.451601108374330262737663530</v>
      </c>
      <c r="Z25" s="327">
        <v>1.7094017093599824676747924800</v>
      </c>
      <c r="AA25" s="171">
        <v>8.622754491005605794399226910</v>
      </c>
      <c r="AB25" s="328">
        <v>2.4363162278097085724490835200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20</v>
      </c>
      <c r="C26" s="352" t="s">
        <v>48</v>
      </c>
      <c r="D26" s="359">
        <v>53.030303030303030303030303030</v>
      </c>
      <c r="E26" s="170">
        <v>59.825750242013552758954501450</v>
      </c>
      <c r="F26" s="360">
        <v>47.023663892820311120883749310</v>
      </c>
      <c r="G26" s="359">
        <v>36.363636363636363636363636360</v>
      </c>
      <c r="H26" s="170">
        <v>25.266214908034849951597289450</v>
      </c>
      <c r="I26" s="360">
        <v>15.895012501980048906777863690</v>
      </c>
      <c r="J26" s="170">
        <v>0</v>
      </c>
      <c r="K26" s="170">
        <v>0</v>
      </c>
      <c r="L26" s="360">
        <v>7.2199952765582052939941059100</v>
      </c>
      <c r="M26" s="359">
        <v>89.39393939393939393939393939</v>
      </c>
      <c r="N26" s="170">
        <v>85.09196515004840271055179090</v>
      </c>
      <c r="O26" s="360">
        <v>70.138671671358565321655718900</v>
      </c>
      <c r="P26" s="4"/>
      <c r="Q26" s="359">
        <v>-33.333333333371428571428549660</v>
      </c>
      <c r="R26" s="170">
        <v>-8.849557522084368392199841900</v>
      </c>
      <c r="S26" s="360">
        <v>-5.1099269456275308801983919700</v>
      </c>
      <c r="T26" s="359">
        <v>0</v>
      </c>
      <c r="U26" s="170">
        <v>166.32653061086978342358061114</v>
      </c>
      <c r="V26" s="360">
        <v>17.372089170497388593612522730</v>
      </c>
      <c r="W26" s="170">
        <v>0</v>
      </c>
      <c r="X26" s="170">
        <v>-100</v>
      </c>
      <c r="Y26" s="360">
        <v>15.090435498906309445469962160</v>
      </c>
      <c r="Z26" s="359">
        <v>12.380952380888163265306159140</v>
      </c>
      <c r="AA26" s="170">
        <v>12.548015364912882462977141300</v>
      </c>
      <c r="AB26" s="360">
        <v>1.1056381630134913938817355700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21</v>
      </c>
      <c r="C27" s="351" t="s">
        <v>50</v>
      </c>
      <c r="D27" s="327">
        <v>57.575757575757575757575757580</v>
      </c>
      <c r="E27" s="171">
        <v>53.920619554695062923523717330</v>
      </c>
      <c r="F27" s="328">
        <v>47.792666591020945237990495330</v>
      </c>
      <c r="G27" s="327">
        <v>37.878787878787878787878787880</v>
      </c>
      <c r="H27" s="171">
        <v>25.072604065827686350435624390</v>
      </c>
      <c r="I27" s="328">
        <v>14.870541815861192311498194190</v>
      </c>
      <c r="J27" s="171">
        <v>0</v>
      </c>
      <c r="K27" s="171">
        <v>0</v>
      </c>
      <c r="L27" s="328">
        <v>6.9124354258777415037904263200</v>
      </c>
      <c r="M27" s="327">
        <v>95.45454545454545454545454545</v>
      </c>
      <c r="N27" s="171">
        <v>78.993223620522749273959341720</v>
      </c>
      <c r="O27" s="328">
        <v>69.575643832759879053279115840</v>
      </c>
      <c r="P27" s="4"/>
      <c r="Q27" s="327">
        <v>-37.190082644650939143501118660</v>
      </c>
      <c r="R27" s="171">
        <v>-12.695924764911218688888665490</v>
      </c>
      <c r="S27" s="328">
        <v>-6.5404847143098109339563601500</v>
      </c>
      <c r="T27" s="327">
        <v>0</v>
      </c>
      <c r="U27" s="171">
        <v>439.58333333007335069446414007</v>
      </c>
      <c r="V27" s="328">
        <v>27.683025375422618620044234270</v>
      </c>
      <c r="W27" s="171">
        <v>0</v>
      </c>
      <c r="X27" s="171">
        <v>-100</v>
      </c>
      <c r="Y27" s="328">
        <v>10.649621038554528283325363890</v>
      </c>
      <c r="Z27" s="327">
        <v>4.1322314049208114199849874700</v>
      </c>
      <c r="AA27" s="171">
        <v>18.089725036135358684429344540</v>
      </c>
      <c r="AB27" s="328">
        <v>0.7891539014599676277653197200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22</v>
      </c>
      <c r="C28" s="352" t="s">
        <v>51</v>
      </c>
      <c r="D28" s="359">
        <v>62.878787878787878787878787880</v>
      </c>
      <c r="E28" s="170">
        <v>60.890609874152952565343659240</v>
      </c>
      <c r="F28" s="360">
        <v>52.892926706028928386779115740</v>
      </c>
      <c r="G28" s="359">
        <v>32.575757575757575757575757580</v>
      </c>
      <c r="H28" s="170">
        <v>20.716360116166505324298160700</v>
      </c>
      <c r="I28" s="360">
        <v>15.268300898884449011473584820</v>
      </c>
      <c r="J28" s="170">
        <v>0</v>
      </c>
      <c r="K28" s="170">
        <v>0</v>
      </c>
      <c r="L28" s="360">
        <v>6.1584470901132100274589040700</v>
      </c>
      <c r="M28" s="359">
        <v>95.45454545454545454545454545</v>
      </c>
      <c r="N28" s="170">
        <v>81.60696999031945788964181994</v>
      </c>
      <c r="O28" s="360">
        <v>74.319674695026587425711604630</v>
      </c>
      <c r="P28" s="4"/>
      <c r="Q28" s="359">
        <v>-30.252100840324412117788289820</v>
      </c>
      <c r="R28" s="170">
        <v>-8.972503617978994347419046920</v>
      </c>
      <c r="S28" s="360">
        <v>1.6528790200470865040160243100</v>
      </c>
      <c r="T28" s="359">
        <v>0</v>
      </c>
      <c r="U28" s="170">
        <v>234.37500000157783203125744544</v>
      </c>
      <c r="V28" s="360">
        <v>29.106114994962745880153418700</v>
      </c>
      <c r="W28" s="170">
        <v>0</v>
      </c>
      <c r="X28" s="170">
        <v>-100</v>
      </c>
      <c r="Y28" s="360">
        <v>2.5979537411324096821396896800</v>
      </c>
      <c r="Z28" s="359">
        <v>5.8823529411942659416707889500</v>
      </c>
      <c r="AA28" s="170">
        <v>10.629921259886510323020663530</v>
      </c>
      <c r="AB28" s="360">
        <v>6.3813636259304747284085755200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23</v>
      </c>
      <c r="C29" s="351" t="s">
        <v>52</v>
      </c>
      <c r="D29" s="327">
        <v>71.969696969696969696969696970</v>
      </c>
      <c r="E29" s="171">
        <v>78.799612778315585672797676670</v>
      </c>
      <c r="F29" s="328">
        <v>62.024096015074707131220392780</v>
      </c>
      <c r="G29" s="327">
        <v>1.5151515151515151515151515200</v>
      </c>
      <c r="H29" s="171">
        <v>6.8731848983543078412391093900</v>
      </c>
      <c r="I29" s="328">
        <v>10.264592644686131863070523440</v>
      </c>
      <c r="J29" s="171">
        <v>0</v>
      </c>
      <c r="K29" s="171">
        <v>0</v>
      </c>
      <c r="L29" s="328">
        <v>7.2442067630313620275003464300</v>
      </c>
      <c r="M29" s="327">
        <v>73.484848484848484848484848480</v>
      </c>
      <c r="N29" s="171">
        <v>85.67279767666989351403678606</v>
      </c>
      <c r="O29" s="328">
        <v>79.53289542279220102179126264</v>
      </c>
      <c r="P29" s="4"/>
      <c r="Q29" s="327">
        <v>-18.803418803452114836730207680</v>
      </c>
      <c r="R29" s="171">
        <v>4.3589743589657961867192643500</v>
      </c>
      <c r="S29" s="328">
        <v>-3.376615085818217495790537700</v>
      </c>
      <c r="T29" s="327">
        <v>0</v>
      </c>
      <c r="U29" s="171">
        <v>-10.126582278681236981252558260</v>
      </c>
      <c r="V29" s="328">
        <v>43.445447076959246905895496670</v>
      </c>
      <c r="W29" s="171">
        <v>0</v>
      </c>
      <c r="X29" s="171">
        <v>-100</v>
      </c>
      <c r="Y29" s="328">
        <v>13.658970699271755457875769630</v>
      </c>
      <c r="Z29" s="327">
        <v>-17.09401709405110672802979100</v>
      </c>
      <c r="AA29" s="171">
        <v>1.9585253456330439433838063100</v>
      </c>
      <c r="AB29" s="328">
        <v>2.3313083063986794604022859900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24</v>
      </c>
      <c r="C30" s="352" t="s">
        <v>53</v>
      </c>
      <c r="D30" s="359">
        <v>90.15151515151515151515151515</v>
      </c>
      <c r="E30" s="170">
        <v>91.38431752178121974830590513</v>
      </c>
      <c r="F30" s="360">
        <v>72.021342121499794828744800970</v>
      </c>
      <c r="G30" s="359">
        <v>0.7575757575757575757575757600</v>
      </c>
      <c r="H30" s="170">
        <v>6.4859632139399806389157792800</v>
      </c>
      <c r="I30" s="360">
        <v>9.291933811413170250856091540</v>
      </c>
      <c r="J30" s="170">
        <v>0</v>
      </c>
      <c r="K30" s="170">
        <v>0</v>
      </c>
      <c r="L30" s="360">
        <v>7.7806663046013712774004629300</v>
      </c>
      <c r="M30" s="359">
        <v>90.90909090909090909090909091</v>
      </c>
      <c r="N30" s="170">
        <v>97.87028073572120038722168441</v>
      </c>
      <c r="O30" s="360">
        <v>89.09394223751433635700135544</v>
      </c>
      <c r="P30" s="4"/>
      <c r="Q30" s="359">
        <v>-3.2520325203063255998413605900</v>
      </c>
      <c r="R30" s="170">
        <v>8.381171067763616255910245440</v>
      </c>
      <c r="S30" s="360">
        <v>-2.5561643855415135178539287700</v>
      </c>
      <c r="T30" s="359">
        <v>0</v>
      </c>
      <c r="U30" s="170">
        <v>-14.102564102798668639052613940</v>
      </c>
      <c r="V30" s="360">
        <v>48.446283676097193254628545160</v>
      </c>
      <c r="W30" s="170">
        <v>0</v>
      </c>
      <c r="X30" s="170">
        <v>-100</v>
      </c>
      <c r="Y30" s="360">
        <v>27.945107842362326829747611840</v>
      </c>
      <c r="Z30" s="359">
        <v>-2.4390243902248661511005316800</v>
      </c>
      <c r="AA30" s="170">
        <v>5.974842767315148398665668200</v>
      </c>
      <c r="AB30" s="360">
        <v>3.2957300420219850885879520700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25</v>
      </c>
      <c r="C31" s="351" t="s">
        <v>49</v>
      </c>
      <c r="D31" s="327">
        <v>96.21212121212121212121212121</v>
      </c>
      <c r="E31" s="171">
        <v>83.15585672797676669893514038</v>
      </c>
      <c r="F31" s="328">
        <v>62.906674557080556767020546530</v>
      </c>
      <c r="G31" s="327">
        <v>0</v>
      </c>
      <c r="H31" s="171">
        <v>5.808325266214908034849951600</v>
      </c>
      <c r="I31" s="328">
        <v>6.1317382116201080238772939100</v>
      </c>
      <c r="J31" s="171">
        <v>0</v>
      </c>
      <c r="K31" s="171">
        <v>0</v>
      </c>
      <c r="L31" s="328">
        <v>6.8869339104777316224062988600</v>
      </c>
      <c r="M31" s="327">
        <v>96.21212121212121212121212121</v>
      </c>
      <c r="N31" s="171">
        <v>88.96418199419167473378509197</v>
      </c>
      <c r="O31" s="328">
        <v>75.925346679178396413304139300</v>
      </c>
      <c r="P31" s="4"/>
      <c r="Q31" s="327">
        <v>4.9586776859122464312547095900</v>
      </c>
      <c r="R31" s="171">
        <v>1.4167650531704775100396180700</v>
      </c>
      <c r="S31" s="328">
        <v>-4.2572227847143980326088659800</v>
      </c>
      <c r="T31" s="327">
        <v>0</v>
      </c>
      <c r="U31" s="171">
        <v>-15.492957747040666534414039470</v>
      </c>
      <c r="V31" s="328">
        <v>20.647182635575671024653757250</v>
      </c>
      <c r="W31" s="171">
        <v>0</v>
      </c>
      <c r="X31" s="171">
        <v>-100</v>
      </c>
      <c r="Y31" s="328">
        <v>13.418278879915091442987170940</v>
      </c>
      <c r="Z31" s="327">
        <v>4.9586776859122464312547095900</v>
      </c>
      <c r="AA31" s="171">
        <v>-0.5411255411148848175633878400</v>
      </c>
      <c r="AB31" s="328">
        <v>-1.2139385731607354344567513500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26</v>
      </c>
      <c r="C32" s="352" t="s">
        <v>47</v>
      </c>
      <c r="D32" s="359">
        <v>73.484848484848484848484848480</v>
      </c>
      <c r="E32" s="170">
        <v>59.535333978702807357212003870</v>
      </c>
      <c r="F32" s="360">
        <v>41.486951807327837247927976510</v>
      </c>
      <c r="G32" s="359">
        <v>0</v>
      </c>
      <c r="H32" s="170">
        <v>0.3872216844143272023233301100</v>
      </c>
      <c r="I32" s="360">
        <v>4.6771197701486125461078694400</v>
      </c>
      <c r="J32" s="170">
        <v>0</v>
      </c>
      <c r="K32" s="170">
        <v>0</v>
      </c>
      <c r="L32" s="360">
        <v>6.9482211969996215228237098900</v>
      </c>
      <c r="M32" s="359">
        <v>73.484848484848484848484848480</v>
      </c>
      <c r="N32" s="170">
        <v>59.922555663117134559535333980</v>
      </c>
      <c r="O32" s="360">
        <v>53.112292774476071316859555830</v>
      </c>
      <c r="P32" s="4"/>
      <c r="Q32" s="359">
        <v>-4.9019607842801614763552361400</v>
      </c>
      <c r="R32" s="170">
        <v>-13.258110014054456006891021470</v>
      </c>
      <c r="S32" s="360">
        <v>-10.363572172760639135837300510</v>
      </c>
      <c r="T32" s="359">
        <v>0</v>
      </c>
      <c r="U32" s="170">
        <v>-49.999999998149999999931549550</v>
      </c>
      <c r="V32" s="360">
        <v>82.16947851775380688428089578</v>
      </c>
      <c r="W32" s="170">
        <v>0</v>
      </c>
      <c r="X32" s="170">
        <v>-100</v>
      </c>
      <c r="Y32" s="360">
        <v>29.480913123720789983377910810</v>
      </c>
      <c r="Z32" s="359">
        <v>-4.9019607842801614763552361400</v>
      </c>
      <c r="AA32" s="170">
        <v>-14.147018030534728695889699320</v>
      </c>
      <c r="AB32" s="360">
        <v>-2.0380221661719130670202993700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27</v>
      </c>
      <c r="C33" s="351" t="s">
        <v>48</v>
      </c>
      <c r="D33" s="327">
        <v>66.666666666666666666666666670</v>
      </c>
      <c r="E33" s="171">
        <v>53.146176185866408518877057120</v>
      </c>
      <c r="F33" s="328">
        <v>43.108009230831539667421621360</v>
      </c>
      <c r="G33" s="327">
        <v>0</v>
      </c>
      <c r="H33" s="171">
        <v>1.2584704743465634075508228500</v>
      </c>
      <c r="I33" s="328">
        <v>5.5486659594091772433124754300</v>
      </c>
      <c r="J33" s="171">
        <v>0</v>
      </c>
      <c r="K33" s="171">
        <v>0</v>
      </c>
      <c r="L33" s="328">
        <v>6.8745520019185991147064203600</v>
      </c>
      <c r="M33" s="327">
        <v>66.666666666666666666666666670</v>
      </c>
      <c r="N33" s="171">
        <v>54.404646660212971926427879960</v>
      </c>
      <c r="O33" s="328">
        <v>55.531227192159316025440517150</v>
      </c>
      <c r="P33" s="4"/>
      <c r="Q33" s="327">
        <v>-9.278350515404059942608101640</v>
      </c>
      <c r="R33" s="171">
        <v>-20.087336244588711122976269260</v>
      </c>
      <c r="S33" s="328">
        <v>-14.764947547256307184756407640</v>
      </c>
      <c r="T33" s="327">
        <v>0</v>
      </c>
      <c r="U33" s="171">
        <v>44.444444449788888889086633780</v>
      </c>
      <c r="V33" s="328">
        <v>103.45078935546342169482993024</v>
      </c>
      <c r="W33" s="171">
        <v>0</v>
      </c>
      <c r="X33" s="171">
        <v>-100</v>
      </c>
      <c r="Y33" s="328">
        <v>20.686404109596901493934426560</v>
      </c>
      <c r="Z33" s="327">
        <v>-9.278350515404059942608101640</v>
      </c>
      <c r="AA33" s="171">
        <v>-19.599427753929820855872173580</v>
      </c>
      <c r="AB33" s="328">
        <v>-5.8775770154975640624341633500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28</v>
      </c>
      <c r="C34" s="352" t="s">
        <v>50</v>
      </c>
      <c r="D34" s="359">
        <v>72.727272727272727272727272730</v>
      </c>
      <c r="E34" s="170">
        <v>63.213939980638915779283639880</v>
      </c>
      <c r="F34" s="360">
        <v>49.486323533848995282735034930</v>
      </c>
      <c r="G34" s="359">
        <v>0</v>
      </c>
      <c r="H34" s="170">
        <v>5.4211035818005808325266214900</v>
      </c>
      <c r="I34" s="360">
        <v>8.037736189255529879727590540</v>
      </c>
      <c r="J34" s="170">
        <v>0</v>
      </c>
      <c r="K34" s="170">
        <v>0</v>
      </c>
      <c r="L34" s="360">
        <v>5.4829259926706807597561212700</v>
      </c>
      <c r="M34" s="359">
        <v>72.727272727272727272727272730</v>
      </c>
      <c r="N34" s="170">
        <v>68.635043562439496611810261370</v>
      </c>
      <c r="O34" s="360">
        <v>63.006985715775205922218746740</v>
      </c>
      <c r="P34" s="4"/>
      <c r="Q34" s="359">
        <v>4.3478260869111531190926473300</v>
      </c>
      <c r="R34" s="170">
        <v>-5.6358381503191538724982362300</v>
      </c>
      <c r="S34" s="360">
        <v>-4.7680277912324318513225751800</v>
      </c>
      <c r="T34" s="359">
        <v>0</v>
      </c>
      <c r="U34" s="170">
        <v>194.73684210014404432141855077</v>
      </c>
      <c r="V34" s="360">
        <v>89.21856924514494414521607566</v>
      </c>
      <c r="W34" s="170">
        <v>0</v>
      </c>
      <c r="X34" s="170">
        <v>-100</v>
      </c>
      <c r="Y34" s="360">
        <v>-15.280620046551637434433830120</v>
      </c>
      <c r="Z34" s="359">
        <v>4.3478260869111531190926473300</v>
      </c>
      <c r="AA34" s="170">
        <v>-1.3908205841796179982629126600</v>
      </c>
      <c r="AB34" s="360">
        <v>0.5157315445143697254038311400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29</v>
      </c>
      <c r="C35" s="351" t="s">
        <v>51</v>
      </c>
      <c r="D35" s="327">
        <v>75.757575757575757575757575760</v>
      </c>
      <c r="E35" s="171">
        <v>72.797676669893514036786060020</v>
      </c>
      <c r="F35" s="328">
        <v>52.727211020016097658856556880</v>
      </c>
      <c r="G35" s="327">
        <v>0</v>
      </c>
      <c r="H35" s="171">
        <v>9.680542110358180058083252660</v>
      </c>
      <c r="I35" s="328">
        <v>8.898490274553602143835190200</v>
      </c>
      <c r="J35" s="171">
        <v>0</v>
      </c>
      <c r="K35" s="171">
        <v>0</v>
      </c>
      <c r="L35" s="328">
        <v>6.9072983926370565313714371500</v>
      </c>
      <c r="M35" s="327">
        <v>75.757575757575757575757575760</v>
      </c>
      <c r="N35" s="171">
        <v>82.47821878025169409486931268</v>
      </c>
      <c r="O35" s="328">
        <v>68.532999687206756334063184240</v>
      </c>
      <c r="P35" s="4"/>
      <c r="Q35" s="327">
        <v>4.1666666666276041666666813200</v>
      </c>
      <c r="R35" s="171">
        <v>-4.1938230820966811186951636100</v>
      </c>
      <c r="S35" s="328">
        <v>-8.046458903087006004839966430</v>
      </c>
      <c r="T35" s="327">
        <v>0</v>
      </c>
      <c r="U35" s="171">
        <v>40.950914623509563757850865140</v>
      </c>
      <c r="V35" s="328">
        <v>49.365647738182756111043868650</v>
      </c>
      <c r="W35" s="171">
        <v>0</v>
      </c>
      <c r="X35" s="171">
        <v>-100</v>
      </c>
      <c r="Y35" s="328">
        <v>9.512761120032842323153873880</v>
      </c>
      <c r="Z35" s="327">
        <v>4.1666666666276041666666813200</v>
      </c>
      <c r="AA35" s="171">
        <v>-1.6166281755174719583548901100</v>
      </c>
      <c r="AB35" s="328">
        <v>-1.5414830075628558247113650600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30</v>
      </c>
      <c r="C36" s="352" t="s">
        <v>52</v>
      </c>
      <c r="D36" s="359">
        <v>73.484848484848484848484848480</v>
      </c>
      <c r="E36" s="170">
        <v>76.766698935140367860600193610</v>
      </c>
      <c r="F36" s="360">
        <v>61.117341335113063676159145730</v>
      </c>
      <c r="G36" s="359">
        <v>0</v>
      </c>
      <c r="H36" s="170">
        <v>18.296224588576960309777347530</v>
      </c>
      <c r="I36" s="360">
        <v>10.548579334518855522499141090</v>
      </c>
      <c r="J36" s="170">
        <v>0</v>
      </c>
      <c r="K36" s="170">
        <v>0</v>
      </c>
      <c r="L36" s="360">
        <v>7.074565202539908556528867800</v>
      </c>
      <c r="M36" s="359">
        <v>73.484848484848484848484848480</v>
      </c>
      <c r="N36" s="170">
        <v>95.06292352371732817037754114</v>
      </c>
      <c r="O36" s="360">
        <v>78.740485872171827755187154620</v>
      </c>
      <c r="P36" s="4"/>
      <c r="Q36" s="359">
        <v>-15.652173913031742911153117470</v>
      </c>
      <c r="R36" s="170">
        <v>-3.9951573850376393131225228700</v>
      </c>
      <c r="S36" s="360">
        <v>-10.169183032671437579950487360</v>
      </c>
      <c r="T36" s="359">
        <v>0</v>
      </c>
      <c r="U36" s="170">
        <v>45.384615384218372781066172890</v>
      </c>
      <c r="V36" s="360">
        <v>38.379698548323396515585751260</v>
      </c>
      <c r="W36" s="170">
        <v>0</v>
      </c>
      <c r="X36" s="170">
        <v>-100</v>
      </c>
      <c r="Y36" s="360">
        <v>29.336648338209594878883353430</v>
      </c>
      <c r="Z36" s="359">
        <v>-15.652173913031742911153117470</v>
      </c>
      <c r="AA36" s="170">
        <v>2.2916666667090750868055731300</v>
      </c>
      <c r="AB36" s="360">
        <v>-2.9439272329302701044824888900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31</v>
      </c>
      <c r="C37" s="353" t="s">
        <v>53</v>
      </c>
      <c r="D37" s="329">
        <v>72.727272727272727272727272730</v>
      </c>
      <c r="E37" s="330">
        <v>78.025169409486931268151016460</v>
      </c>
      <c r="F37" s="332">
        <v>65.381578703269487843353212440</v>
      </c>
      <c r="G37" s="329">
        <v>0</v>
      </c>
      <c r="H37" s="330">
        <v>16.456921587608906098741529530</v>
      </c>
      <c r="I37" s="332">
        <v>8.452584233042545089337615650</v>
      </c>
      <c r="J37" s="330">
        <v>0</v>
      </c>
      <c r="K37" s="330">
        <v>0</v>
      </c>
      <c r="L37" s="332">
        <v>7.5233597411981328477283148600</v>
      </c>
      <c r="M37" s="329">
        <v>72.727272727272727272727272730</v>
      </c>
      <c r="N37" s="330">
        <v>94.48209099709583736689254598</v>
      </c>
      <c r="O37" s="332">
        <v>81.35752267751016578041914295</v>
      </c>
      <c r="P37" s="4"/>
      <c r="Q37" s="329">
        <v>-20.661157024822238918106676210</v>
      </c>
      <c r="R37" s="330">
        <v>-7.5688073394239955075330288800</v>
      </c>
      <c r="S37" s="332">
        <v>-4.4295311744909887747628853700</v>
      </c>
      <c r="T37" s="329">
        <v>0</v>
      </c>
      <c r="U37" s="330">
        <v>39.344262295518274657351540860</v>
      </c>
      <c r="V37" s="332">
        <v>14.827335667375025485832670250</v>
      </c>
      <c r="W37" s="330">
        <v>0</v>
      </c>
      <c r="X37" s="330">
        <v>-100</v>
      </c>
      <c r="Y37" s="332">
        <v>0.3896621997839571514850726100</v>
      </c>
      <c r="Z37" s="329">
        <v>-20.661157024822238918106676210</v>
      </c>
      <c r="AA37" s="330">
        <v>-2.5948103792525989936295061900</v>
      </c>
      <c r="AB37" s="332">
        <v>-2.2934195643193015147615159700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76.704545454545454545454545450</v>
      </c>
      <c r="E39" s="355">
        <v>71.006776379477250726040658280</v>
      </c>
      <c r="F39" s="356">
        <v>52.599218660631702464843099460</v>
      </c>
      <c r="G39" s="354">
        <v>8.712121212121212121212121210</v>
      </c>
      <c r="H39" s="355">
        <v>11.011616650532429816069699900</v>
      </c>
      <c r="I39" s="356">
        <v>10.051799531116826556006695480</v>
      </c>
      <c r="J39" s="355">
        <v>0</v>
      </c>
      <c r="K39" s="355">
        <v>0</v>
      </c>
      <c r="L39" s="356">
        <v>7.383389065054724028884330800</v>
      </c>
      <c r="M39" s="354">
        <v>85.41666666666666666666666667</v>
      </c>
      <c r="N39" s="355">
        <v>82.01839303000968054211035818</v>
      </c>
      <c r="O39" s="356">
        <v>70.034407256803253049734125740</v>
      </c>
      <c r="P39" s="4"/>
      <c r="Q39" s="354">
        <v>3.0534351145289901520890452400</v>
      </c>
      <c r="R39" s="355">
        <v>-6.5605095541257246135745849800</v>
      </c>
      <c r="S39" s="356">
        <v>-4.5311942061447570128560164800</v>
      </c>
      <c r="T39" s="354">
        <v>-4.1666666665708333333332375200</v>
      </c>
      <c r="U39" s="355">
        <v>30.372492836483460726923709230</v>
      </c>
      <c r="V39" s="356">
        <v>6.2964728778813369838484991100</v>
      </c>
      <c r="W39" s="355">
        <v>0</v>
      </c>
      <c r="X39" s="355">
        <v>-100</v>
      </c>
      <c r="Y39" s="356">
        <v>16.167970183755208221205743660</v>
      </c>
      <c r="Z39" s="354">
        <v>2.2675736961785182100051013800</v>
      </c>
      <c r="AA39" s="355">
        <v>-3.9671294984020811571305429900</v>
      </c>
      <c r="AB39" s="356">
        <v>-1.2318425800852359219999183600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64.393939393939393939393939390</v>
      </c>
      <c r="E40" s="171">
        <v>59.583736689254598257502420140</v>
      </c>
      <c r="F40" s="328">
        <v>44.373205042163604070665996250</v>
      </c>
      <c r="G40" s="327">
        <v>8.522727272727272727272727270</v>
      </c>
      <c r="H40" s="171">
        <v>12.366892545982575024201355280</v>
      </c>
      <c r="I40" s="328">
        <v>11.732979509625468254660550800</v>
      </c>
      <c r="J40" s="171">
        <v>0</v>
      </c>
      <c r="K40" s="171">
        <v>0</v>
      </c>
      <c r="L40" s="328">
        <v>6.9816060852665006076314343900</v>
      </c>
      <c r="M40" s="327">
        <v>72.916666666666666666666666670</v>
      </c>
      <c r="N40" s="171">
        <v>71.950629235237173281703775410</v>
      </c>
      <c r="O40" s="328">
        <v>63.087790637055572932957981440</v>
      </c>
      <c r="P40" s="4"/>
      <c r="Q40" s="327">
        <v>-20.187793427212061098988291920</v>
      </c>
      <c r="R40" s="171">
        <v>-13.946172666853846196135716620</v>
      </c>
      <c r="S40" s="328">
        <v>-7.2539997150583607083367189200</v>
      </c>
      <c r="T40" s="327">
        <v>0</v>
      </c>
      <c r="U40" s="171">
        <v>68.092105262523125865653366670</v>
      </c>
      <c r="V40" s="328">
        <v>5.7040585775940403188527451600</v>
      </c>
      <c r="W40" s="171">
        <v>0</v>
      </c>
      <c r="X40" s="171">
        <v>-100</v>
      </c>
      <c r="Y40" s="328">
        <v>20.356394895209809362008635130</v>
      </c>
      <c r="Z40" s="327">
        <v>-9.624413145519539773854389380</v>
      </c>
      <c r="AA40" s="171">
        <v>-6.9774718398456206208949947800</v>
      </c>
      <c r="AB40" s="328">
        <v>-2.5587048142393326675882950700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58.143939393939393939393939390</v>
      </c>
      <c r="E41" s="170">
        <v>59.317521781219748305905130680</v>
      </c>
      <c r="F41" s="360">
        <v>45.147979334114143167119863870</v>
      </c>
      <c r="G41" s="359">
        <v>11.174242424242424242424242420</v>
      </c>
      <c r="H41" s="170">
        <v>13.988383349467570183930300100</v>
      </c>
      <c r="I41" s="360">
        <v>12.781467465582930788114238370</v>
      </c>
      <c r="J41" s="170">
        <v>0</v>
      </c>
      <c r="K41" s="170">
        <v>0</v>
      </c>
      <c r="L41" s="360">
        <v>7.0872355066317760082733526700</v>
      </c>
      <c r="M41" s="359">
        <v>69.318181818181818181818181820</v>
      </c>
      <c r="N41" s="170">
        <v>73.305905130687318489835430780</v>
      </c>
      <c r="O41" s="360">
        <v>65.016682306328849963507454910</v>
      </c>
      <c r="P41" s="4"/>
      <c r="Q41" s="359">
        <v>-26.378896882519427910908674350</v>
      </c>
      <c r="R41" s="170">
        <v>-11.929572403858425590719481270</v>
      </c>
      <c r="S41" s="360">
        <v>-10.419933898207963001661671640</v>
      </c>
      <c r="T41" s="359">
        <v>883.3333333018666666676735996</v>
      </c>
      <c r="U41" s="170">
        <v>49.740932642417219254208199260</v>
      </c>
      <c r="V41" s="360">
        <v>-2.5300180368860857933565024200</v>
      </c>
      <c r="W41" s="170">
        <v>0</v>
      </c>
      <c r="X41" s="170">
        <v>-100</v>
      </c>
      <c r="Y41" s="360">
        <v>16.264067521636182588790450930</v>
      </c>
      <c r="Z41" s="359">
        <v>-13.475177304925265328705781680</v>
      </c>
      <c r="AA41" s="170">
        <v>-5.1956181533818424229956302200</v>
      </c>
      <c r="AB41" s="360">
        <v>-6.5968029288537938307145719400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66.287878787878787878787878790</v>
      </c>
      <c r="E42" s="171">
        <v>61.882865440464666021297192640</v>
      </c>
      <c r="F42" s="328">
        <v>48.636918682794850656857720790</v>
      </c>
      <c r="G42" s="327">
        <v>14.204545454545454545454545450</v>
      </c>
      <c r="H42" s="171">
        <v>14.109390125847047434656340750</v>
      </c>
      <c r="I42" s="328">
        <v>14.314030740575553616558001440</v>
      </c>
      <c r="J42" s="171">
        <v>0</v>
      </c>
      <c r="K42" s="171">
        <v>0</v>
      </c>
      <c r="L42" s="328">
        <v>6.6246944093894747798633936100</v>
      </c>
      <c r="M42" s="327">
        <v>80.49242424242424242424242424</v>
      </c>
      <c r="N42" s="171">
        <v>75.992255566311713455953533400</v>
      </c>
      <c r="O42" s="328">
        <v>69.575643832759879053279115840</v>
      </c>
      <c r="P42" s="4"/>
      <c r="Q42" s="327">
        <v>-16.864608075958948550278967910</v>
      </c>
      <c r="R42" s="171">
        <v>-7.3886273088804245400275878700</v>
      </c>
      <c r="S42" s="328">
        <v>-7.0889801214057811515027694700</v>
      </c>
      <c r="T42" s="327">
        <v>341.17647058782006920415263979</v>
      </c>
      <c r="U42" s="171">
        <v>93.68770764238001788060458210</v>
      </c>
      <c r="V42" s="328">
        <v>7.1290957904038774065898221400</v>
      </c>
      <c r="W42" s="171">
        <v>0</v>
      </c>
      <c r="X42" s="171">
        <v>-100</v>
      </c>
      <c r="Y42" s="328">
        <v>7.4563610702561433348542576200</v>
      </c>
      <c r="Z42" s="327">
        <v>-2.9680365296271970976418048600</v>
      </c>
      <c r="AA42" s="171">
        <v>1.6839378237867795108593740400</v>
      </c>
      <c r="AB42" s="328">
        <v>-3.1982077952912360872462356700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71.590909090909090909090909090</v>
      </c>
      <c r="E43" s="170">
        <v>71.127783155856727976766698940</v>
      </c>
      <c r="F43" s="360">
        <v>54.153914780363838047956374390</v>
      </c>
      <c r="G43" s="359">
        <v>12.878787878787878787878787880</v>
      </c>
      <c r="H43" s="170">
        <v>11.060019361084220716360116170</v>
      </c>
      <c r="I43" s="360">
        <v>13.232045027420285025746412520</v>
      </c>
      <c r="J43" s="170">
        <v>0</v>
      </c>
      <c r="K43" s="170">
        <v>0</v>
      </c>
      <c r="L43" s="360">
        <v>7.1448503267169717026500438700</v>
      </c>
      <c r="M43" s="359">
        <v>84.46969696969696969696969697</v>
      </c>
      <c r="N43" s="170">
        <v>82.18780251694094869312681510</v>
      </c>
      <c r="O43" s="360">
        <v>74.530810134501094776352830780</v>
      </c>
      <c r="P43" s="4"/>
      <c r="Q43" s="359">
        <v>-9.569377990468698060941812220</v>
      </c>
      <c r="R43" s="170">
        <v>-2.8082134933684519399988369400</v>
      </c>
      <c r="S43" s="360">
        <v>-3.6563377092045740518224107600</v>
      </c>
      <c r="T43" s="359">
        <v>325.00000000042500000000042504</v>
      </c>
      <c r="U43" s="170">
        <v>97.88116983298809723334151879</v>
      </c>
      <c r="V43" s="360">
        <v>12.149331079263642453546330880</v>
      </c>
      <c r="W43" s="170">
        <v>0</v>
      </c>
      <c r="X43" s="170">
        <v>-100</v>
      </c>
      <c r="Y43" s="360">
        <v>20.378516246517861172571910420</v>
      </c>
      <c r="Z43" s="359">
        <v>2.7649769584874599163286682200</v>
      </c>
      <c r="AA43" s="170">
        <v>3.1591737546184211808442059500</v>
      </c>
      <c r="AB43" s="360">
        <v>0.7949169572418489276565903300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75.189393939393939393939393940</v>
      </c>
      <c r="E44" s="171">
        <v>77.250726040658276863504356240</v>
      </c>
      <c r="F44" s="328">
        <v>62.763440363180786876669894330</v>
      </c>
      <c r="G44" s="327">
        <v>3.0303030303030303030303030300</v>
      </c>
      <c r="H44" s="171">
        <v>11.858664085188770571151984510</v>
      </c>
      <c r="I44" s="328">
        <v>10.529131508596367227697160370</v>
      </c>
      <c r="J44" s="171">
        <v>0</v>
      </c>
      <c r="K44" s="171">
        <v>0</v>
      </c>
      <c r="L44" s="328">
        <v>7.4054783836706615561480115100</v>
      </c>
      <c r="M44" s="327">
        <v>78.219696969696969696969696970</v>
      </c>
      <c r="N44" s="171">
        <v>89.10939012584704743465634076</v>
      </c>
      <c r="O44" s="328">
        <v>80.69805025544781566051506621</v>
      </c>
      <c r="P44" s="4"/>
      <c r="Q44" s="327">
        <v>-10.383747178313387584140553210</v>
      </c>
      <c r="R44" s="171">
        <v>-4.6594982078876967150987268400</v>
      </c>
      <c r="S44" s="328">
        <v>-5.7505745372847801528845090100</v>
      </c>
      <c r="T44" s="327">
        <v>-42.857142856816326530610379010</v>
      </c>
      <c r="U44" s="171">
        <v>80.81180811718979861385769160</v>
      </c>
      <c r="V44" s="328">
        <v>25.619669972756668036627487870</v>
      </c>
      <c r="W44" s="171">
        <v>0</v>
      </c>
      <c r="X44" s="171">
        <v>-100</v>
      </c>
      <c r="Y44" s="328">
        <v>20.020741842249118582092288550</v>
      </c>
      <c r="Z44" s="327">
        <v>-12.314225053033875613615134030</v>
      </c>
      <c r="AA44" s="171">
        <v>0.7111597373880823585461354900</v>
      </c>
      <c r="AB44" s="328">
        <v>-0.5506014963653577889088829600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83.52272727272727272727272727</v>
      </c>
      <c r="E45" s="365">
        <v>81.58276863504356243949661181</v>
      </c>
      <c r="F45" s="366">
        <v>67.477625099453110007498189770</v>
      </c>
      <c r="G45" s="364">
        <v>2.8409090909090909090909090900</v>
      </c>
      <c r="H45" s="365">
        <v>11.229428848015488867376573090</v>
      </c>
      <c r="I45" s="366">
        <v>8.195591257917897847893842720</v>
      </c>
      <c r="J45" s="365">
        <v>0</v>
      </c>
      <c r="K45" s="365">
        <v>0</v>
      </c>
      <c r="L45" s="366">
        <v>7.808693766703645465429571100</v>
      </c>
      <c r="M45" s="364">
        <v>86.36363636363636363636363636</v>
      </c>
      <c r="N45" s="365">
        <v>92.81219748305905130687318490</v>
      </c>
      <c r="O45" s="366">
        <v>83.48191012407465332082160359</v>
      </c>
      <c r="P45" s="4"/>
      <c r="Q45" s="364">
        <v>-2.2172949002598885944513398200</v>
      </c>
      <c r="R45" s="365">
        <v>-6.4650388456977987524035972100</v>
      </c>
      <c r="S45" s="366">
        <v>-1.3946006213712818392791920200</v>
      </c>
      <c r="T45" s="364">
        <v>7.1428571434693877551055393200</v>
      </c>
      <c r="U45" s="365">
        <v>99.14163090070978651292326263</v>
      </c>
      <c r="V45" s="366">
        <v>10.89004725689817371901079200</v>
      </c>
      <c r="W45" s="365">
        <v>0</v>
      </c>
      <c r="X45" s="365">
        <v>-100</v>
      </c>
      <c r="Y45" s="366">
        <v>18.253726669223634289406547830</v>
      </c>
      <c r="Z45" s="364">
        <v>-1.935483870987987513007279900</v>
      </c>
      <c r="AA45" s="365">
        <v>-0.7761966364431440817098270700</v>
      </c>
      <c r="AB45" s="366">
        <v>1.2809751579722340179598551500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75.865800865800865800865800870</v>
      </c>
      <c r="E47" s="355">
        <v>69.520121698243673074263587330</v>
      </c>
      <c r="F47" s="356">
        <v>53.744870026783939734782013480</v>
      </c>
      <c r="G47" s="354">
        <v>0</v>
      </c>
      <c r="H47" s="355">
        <v>8.186972756188632277693265110</v>
      </c>
      <c r="I47" s="356">
        <v>7.4707019960783472069567394700</v>
      </c>
      <c r="J47" s="355">
        <v>0</v>
      </c>
      <c r="K47" s="355">
        <v>0</v>
      </c>
      <c r="L47" s="356">
        <v>6.8139794912059615650458814500</v>
      </c>
      <c r="M47" s="354">
        <v>75.865800865800865800865800870</v>
      </c>
      <c r="N47" s="355">
        <v>77.707094454432305351956852440</v>
      </c>
      <c r="O47" s="356">
        <v>68.029551514068248506784634400</v>
      </c>
      <c r="P47" s="4"/>
      <c r="Q47" s="354">
        <v>-5.7795698924959135449184821700</v>
      </c>
      <c r="R47" s="355">
        <v>-7.2152821431331414852334979600</v>
      </c>
      <c r="S47" s="356">
        <v>-7.8457627592559116391553773500</v>
      </c>
      <c r="T47" s="354">
        <v>0</v>
      </c>
      <c r="U47" s="355">
        <v>37.691491067066999384843651730</v>
      </c>
      <c r="V47" s="356">
        <v>47.101412154689006839448341580</v>
      </c>
      <c r="W47" s="355">
        <v>0</v>
      </c>
      <c r="X47" s="355">
        <v>-100</v>
      </c>
      <c r="Y47" s="356">
        <v>11.266779473701591589762754590</v>
      </c>
      <c r="Z47" s="354">
        <v>-5.7795698924959135449184821700</v>
      </c>
      <c r="AA47" s="355">
        <v>-4.6172126973348529059329128100</v>
      </c>
      <c r="AB47" s="356">
        <v>-2.1483770110664893479617655900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70.833333333333333333333333330</v>
      </c>
      <c r="E48" s="171">
        <v>68.821739731710690084359009820</v>
      </c>
      <c r="F48" s="328">
        <v>53.593185994671719327373019840</v>
      </c>
      <c r="G48" s="327">
        <v>8.766233766233766233766233770</v>
      </c>
      <c r="H48" s="171">
        <v>12.232056423731157516249481400</v>
      </c>
      <c r="I48" s="328">
        <v>11.548149291547904188096700240</v>
      </c>
      <c r="J48" s="171">
        <v>0</v>
      </c>
      <c r="K48" s="171">
        <v>0</v>
      </c>
      <c r="L48" s="328">
        <v>7.2051353633476791641257339900</v>
      </c>
      <c r="M48" s="327">
        <v>79.59956709956709956709956710</v>
      </c>
      <c r="N48" s="171">
        <v>81.05379615544184760060849122</v>
      </c>
      <c r="O48" s="328">
        <v>72.346470649567302679595454070</v>
      </c>
      <c r="P48" s="4"/>
      <c r="Q48" s="327">
        <v>-11.822162344238375280389780320</v>
      </c>
      <c r="R48" s="171">
        <v>-7.5039460201881186117181535100</v>
      </c>
      <c r="S48" s="328">
        <v>-5.4793924652058311032745301200</v>
      </c>
      <c r="T48" s="327">
        <v>151.16279069477728501896256910</v>
      </c>
      <c r="U48" s="171">
        <v>70.510405269228536869746601160</v>
      </c>
      <c r="V48" s="328">
        <v>8.349254822717734370074999640</v>
      </c>
      <c r="W48" s="171">
        <v>0</v>
      </c>
      <c r="X48" s="171">
        <v>-100</v>
      </c>
      <c r="Y48" s="328">
        <v>16.951791060708059601800781550</v>
      </c>
      <c r="Z48" s="327">
        <v>-5.0355067785143385369931622200</v>
      </c>
      <c r="AA48" s="171">
        <v>-1.5826371689177986620087559900</v>
      </c>
      <c r="AB48" s="328">
        <v>-1.5949181635793243660877814700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71.334310850439882697947214080</v>
      </c>
      <c r="E49" s="365">
        <v>70.486837585485432345501670670</v>
      </c>
      <c r="F49" s="366">
        <v>54.491309870854793413725772780</v>
      </c>
      <c r="G49" s="364">
        <v>9.921798631476050830889540570</v>
      </c>
      <c r="H49" s="365">
        <v>11.975767417168909846048152890</v>
      </c>
      <c r="I49" s="366">
        <v>12.518749433760432660555496910</v>
      </c>
      <c r="J49" s="365">
        <v>0</v>
      </c>
      <c r="K49" s="365">
        <v>0</v>
      </c>
      <c r="L49" s="366">
        <v>7.1912248293679099975064614200</v>
      </c>
      <c r="M49" s="364">
        <v>81.25610948191593352883675464</v>
      </c>
      <c r="N49" s="365">
        <v>82.46260500265434219154982356</v>
      </c>
      <c r="O49" s="366">
        <v>74.201284133983136071787731110</v>
      </c>
      <c r="P49" s="4"/>
      <c r="Q49" s="364">
        <v>-6.5920000000377816678399847100</v>
      </c>
      <c r="R49" s="365">
        <v>-3.79303206398364615543679700</v>
      </c>
      <c r="S49" s="366">
        <v>-4.1940635380889690671366971500</v>
      </c>
      <c r="T49" s="364">
        <v>17.341040461761682648939595570</v>
      </c>
      <c r="U49" s="365">
        <v>41.724891427274320989227115410</v>
      </c>
      <c r="V49" s="366">
        <v>8.820553662583073557100129360</v>
      </c>
      <c r="W49" s="365">
        <v>0</v>
      </c>
      <c r="X49" s="365">
        <v>-100</v>
      </c>
      <c r="Y49" s="366">
        <v>17.440006946643063328767802580</v>
      </c>
      <c r="Z49" s="364">
        <v>-4.206280610751147861264099400</v>
      </c>
      <c r="AA49" s="365">
        <v>-0.0756801755250334990448823500</v>
      </c>
      <c r="AB49" s="366">
        <v>-0.4064489123950002493785318800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150</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692" t="s">
        <v>182</v>
      </c>
      <c r="S4" s="692"/>
      <c r="T4" s="692"/>
      <c r="U4" s="692"/>
      <c r="V4" s="692"/>
      <c r="W4" s="692"/>
      <c r="X4" s="692"/>
      <c r="Y4" s="692"/>
      <c r="Z4" s="692"/>
      <c r="AA4" s="692"/>
      <c r="AB4" s="692"/>
      <c r="AC4" s="692"/>
      <c r="AD4" s="692"/>
      <c r="AE4" s="692"/>
      <c r="AF4" s="692"/>
      <c r="AG4" s="692"/>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693" t="s">
        <v>72</v>
      </c>
      <c r="Y22" s="693"/>
      <c r="Z22" s="693"/>
      <c r="AA22" s="693"/>
      <c r="AB22" s="693"/>
      <c r="AC22" s="693"/>
      <c r="AD22" s="693"/>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181</v>
      </c>
      <c r="D24" s="276"/>
      <c r="E24" s="276"/>
      <c r="F24" s="276"/>
      <c r="G24" s="276"/>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4</v>
      </c>
      <c r="D25">
        <v>5</v>
      </c>
      <c r="E25">
        <v>6</v>
      </c>
      <c r="F25">
        <v>7</v>
      </c>
      <c r="G25">
        <v>8</v>
      </c>
      <c r="H25">
        <v>9</v>
      </c>
      <c r="I25">
        <v>10</v>
      </c>
      <c r="J25">
        <v>11</v>
      </c>
      <c r="K25">
        <v>12</v>
      </c>
      <c r="L25">
        <v>13</v>
      </c>
      <c r="M25">
        <v>14</v>
      </c>
      <c r="N25">
        <v>15</v>
      </c>
      <c r="O25">
        <v>16</v>
      </c>
      <c r="P25">
        <v>17</v>
      </c>
      <c r="Q25">
        <v>18</v>
      </c>
      <c r="R25">
        <v>19</v>
      </c>
      <c r="S25">
        <v>20</v>
      </c>
      <c r="T25">
        <v>21</v>
      </c>
      <c r="U25">
        <v>22</v>
      </c>
      <c r="V25">
        <v>23</v>
      </c>
      <c r="W25">
        <v>24</v>
      </c>
      <c r="X25" s="323">
        <v>25</v>
      </c>
      <c r="Y25">
        <v>26</v>
      </c>
      <c r="Z25">
        <v>27</v>
      </c>
      <c r="AA25">
        <v>28</v>
      </c>
      <c r="AB25">
        <v>29</v>
      </c>
      <c r="AC25">
        <v>30</v>
      </c>
      <c r="AD25" s="337">
        <v>31</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289.93023255813953488372093023</v>
      </c>
      <c r="D26" s="462">
        <v>191.56470588235294117647058824</v>
      </c>
      <c r="E26" s="462">
        <v>173.10294117647058823529411765</v>
      </c>
      <c r="F26" s="462">
        <v>185.79816513761467889908256881</v>
      </c>
      <c r="G26" s="462">
        <v>208.4867256637168141592920354</v>
      </c>
      <c r="H26" s="462">
        <v>277.38095238095238095238095238</v>
      </c>
      <c r="I26" s="462">
        <v>262.84070796460176991150442478</v>
      </c>
      <c r="J26" s="462">
        <v>165.72727272727272727272727273</v>
      </c>
      <c r="K26" s="462">
        <v>148.4047619047619047619047619</v>
      </c>
      <c r="L26" s="462">
        <v>159.23913043478260869565217391</v>
      </c>
      <c r="M26" s="462">
        <v>152.77659574468085106382978723</v>
      </c>
      <c r="N26" s="462">
        <v>168.46728971962616822429906542</v>
      </c>
      <c r="O26" s="462">
        <v>260.22807017543859649122807018</v>
      </c>
      <c r="P26" s="462">
        <v>288.45669291338582677165354331</v>
      </c>
      <c r="Q26" s="462">
        <v>193.83898305084745762711864407</v>
      </c>
      <c r="R26" s="462">
        <v>194.1680672268907563025210084</v>
      </c>
      <c r="S26" s="462">
        <v>202.45762711864406779661016949</v>
      </c>
      <c r="T26" s="462">
        <v>183.62698412698412698412698413</v>
      </c>
      <c r="U26" s="462">
        <v>188.01587301587301587301587302</v>
      </c>
      <c r="V26" s="462">
        <v>245.53608247422680412371134021</v>
      </c>
      <c r="W26" s="462">
        <v>275.00833333333333333333333333</v>
      </c>
      <c r="X26" s="463">
        <v>186.29921259842519685039370079</v>
      </c>
      <c r="Y26" s="462">
        <v>132.52577319587628865979381443</v>
      </c>
      <c r="Z26" s="462">
        <v>118.80681818181818181818181818</v>
      </c>
      <c r="AA26" s="462">
        <v>126.500000000</v>
      </c>
      <c r="AB26" s="462">
        <v>155.880000000</v>
      </c>
      <c r="AC26" s="462">
        <v>221.08247422680412371134020619</v>
      </c>
      <c r="AD26" s="464">
        <v>237.72916666666666666666666667</v>
      </c>
      <c r="AE26" s="465"/>
      <c r="AF26" s="461">
        <v>169.71326676176890156918687589</v>
      </c>
      <c r="AG26" s="462">
        <v>203.65023793337865397688647179</v>
      </c>
      <c r="AH26" s="466">
        <v>223.55578947368421052631578947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266.29779816513761467889908257</v>
      </c>
      <c r="D27" s="85">
        <v>179.39512953367875647668393783</v>
      </c>
      <c r="E27" s="85">
        <v>190.80512376237623762376237624</v>
      </c>
      <c r="F27" s="85">
        <v>186.50608272506082725060827251</v>
      </c>
      <c r="G27" s="85">
        <v>197.38684210526315789473684211</v>
      </c>
      <c r="H27" s="85">
        <v>235.39977349943374858437146092</v>
      </c>
      <c r="I27" s="85">
        <v>225.05730994152046783625730994</v>
      </c>
      <c r="J27" s="85">
        <v>170.22065088757396449704142011</v>
      </c>
      <c r="K27" s="85">
        <v>170.1608</v>
      </c>
      <c r="L27" s="85">
        <v>179.76164102564102564102564104</v>
      </c>
      <c r="M27" s="85">
        <v>174.02925598991172761664564943</v>
      </c>
      <c r="N27" s="85">
        <v>181.7335792019347037484885127</v>
      </c>
      <c r="O27" s="85">
        <v>244.81427038626609442060085837</v>
      </c>
      <c r="P27" s="85">
        <v>266.43615307150050352467270894</v>
      </c>
      <c r="Q27" s="85">
        <v>228.80210412147505422993492405</v>
      </c>
      <c r="R27" s="85">
        <v>239.36508269018743109151047409</v>
      </c>
      <c r="S27" s="85">
        <v>240.36346985210466439135381115</v>
      </c>
      <c r="T27" s="85">
        <v>218.13674019607843137254901961</v>
      </c>
      <c r="U27" s="85">
        <v>217.12516014234875444839857651</v>
      </c>
      <c r="V27" s="85">
        <v>241.01570621468926553672316384</v>
      </c>
      <c r="W27" s="85">
        <v>278.03560830860534124629080119</v>
      </c>
      <c r="X27" s="86">
        <v>203.61520130576713819368879215</v>
      </c>
      <c r="Y27" s="85">
        <v>149.763360258481421647819063</v>
      </c>
      <c r="Z27" s="85">
        <v>144.72195729537366548042704627</v>
      </c>
      <c r="AA27" s="85">
        <v>167.28067700987306064880112836</v>
      </c>
      <c r="AB27" s="85">
        <v>174.64693661971830985915492958</v>
      </c>
      <c r="AC27" s="85">
        <v>259.52308553971486761710794297</v>
      </c>
      <c r="AD27" s="87">
        <v>246.6597745901639344262295082</v>
      </c>
      <c r="AE27" s="169"/>
      <c r="AF27" s="370">
        <v>200.06272112475529453639437622</v>
      </c>
      <c r="AG27" s="85">
        <v>214.173374424159699709947108</v>
      </c>
      <c r="AH27" s="371">
        <v>231.16876547885030484341273147</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67">
        <v>268.22478013450594930160372478</v>
      </c>
      <c r="D28" s="468">
        <v>208.01699544764795144157814871</v>
      </c>
      <c r="E28" s="468">
        <v>206.64245548266166822867853796</v>
      </c>
      <c r="F28" s="468">
        <v>214.8214917452830188679245283</v>
      </c>
      <c r="G28" s="468">
        <v>228.11447721179624664879356568</v>
      </c>
      <c r="H28" s="468">
        <v>229.57022359084214754317847101</v>
      </c>
      <c r="I28" s="468">
        <v>224.58189244383934649421375085</v>
      </c>
      <c r="J28" s="468">
        <v>186.66224018475750577367205543</v>
      </c>
      <c r="K28" s="468">
        <v>194.70197668525088697415103903</v>
      </c>
      <c r="L28" s="468">
        <v>201.04808877928483353884093711</v>
      </c>
      <c r="M28" s="468">
        <v>203.80325361512791991101223582</v>
      </c>
      <c r="N28" s="468">
        <v>206.82131324004305705059203445</v>
      </c>
      <c r="O28" s="468">
        <v>229.9616125150421179302045728</v>
      </c>
      <c r="P28" s="468">
        <v>226.74874010079193664506839453</v>
      </c>
      <c r="Q28" s="468">
        <v>196.95494142385100630820066086</v>
      </c>
      <c r="R28" s="468">
        <v>198.91045454545454545454545455</v>
      </c>
      <c r="S28" s="468">
        <v>197.815073584064218819681879</v>
      </c>
      <c r="T28" s="468">
        <v>193.32009590888655777011838753</v>
      </c>
      <c r="U28" s="468">
        <v>190.19248035914702581369248036</v>
      </c>
      <c r="V28" s="468">
        <v>213.28408495018353434714210802</v>
      </c>
      <c r="W28" s="468">
        <v>234.4</v>
      </c>
      <c r="X28" s="469">
        <v>193.81076627300192254875034331</v>
      </c>
      <c r="Y28" s="468">
        <v>165.83451118963486454652532391</v>
      </c>
      <c r="Z28" s="468">
        <v>169.23695080736012016522718738</v>
      </c>
      <c r="AA28" s="468">
        <v>175.75508853218600033096144299</v>
      </c>
      <c r="AB28" s="468">
        <v>175.66621025406967898980678533</v>
      </c>
      <c r="AC28" s="468">
        <v>205.8424258474576271186440678</v>
      </c>
      <c r="AD28" s="470">
        <v>205.38036652569524541842880943</v>
      </c>
      <c r="AE28" s="465"/>
      <c r="AF28" s="467">
        <v>186.79075164758172224290061962</v>
      </c>
      <c r="AG28" s="468">
        <v>207.33966595465424505237151607</v>
      </c>
      <c r="AH28" s="471">
        <v>220.88855749356347681038546615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181</v>
      </c>
      <c r="D33" s="276"/>
      <c r="E33" s="276"/>
      <c r="F33" s="276"/>
      <c r="G33" s="276"/>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4</v>
      </c>
      <c r="D34">
        <v>5</v>
      </c>
      <c r="E34">
        <v>6</v>
      </c>
      <c r="F34">
        <v>7</v>
      </c>
      <c r="G34">
        <v>8</v>
      </c>
      <c r="H34">
        <v>9</v>
      </c>
      <c r="I34">
        <v>10</v>
      </c>
      <c r="J34">
        <v>11</v>
      </c>
      <c r="K34">
        <v>12</v>
      </c>
      <c r="L34">
        <v>13</v>
      </c>
      <c r="M34">
        <v>14</v>
      </c>
      <c r="N34">
        <v>15</v>
      </c>
      <c r="O34">
        <v>16</v>
      </c>
      <c r="P34">
        <v>17</v>
      </c>
      <c r="Q34">
        <v>18</v>
      </c>
      <c r="R34">
        <v>19</v>
      </c>
      <c r="S34">
        <v>20</v>
      </c>
      <c r="T34">
        <v>21</v>
      </c>
      <c r="U34">
        <v>22</v>
      </c>
      <c r="V34">
        <v>23</v>
      </c>
      <c r="W34">
        <v>24</v>
      </c>
      <c r="X34" s="323">
        <v>25</v>
      </c>
      <c r="Y34">
        <v>26</v>
      </c>
      <c r="Z34">
        <v>27</v>
      </c>
      <c r="AA34">
        <v>28</v>
      </c>
      <c r="AB34">
        <v>29</v>
      </c>
      <c r="AC34">
        <v>30</v>
      </c>
      <c r="AD34" s="337">
        <v>31</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-27.102415697730294398365331180</v>
      </c>
      <c r="D35" s="445">
        <v>7.2720285479295284184869419500</v>
      </c>
      <c r="E35" s="445">
        <v>-10.759358288763481092656750470</v>
      </c>
      <c r="F35" s="445">
        <v>-10.130151130147710847990950290</v>
      </c>
      <c r="G35" s="445">
        <v>5.3743199729271664520023846900</v>
      </c>
      <c r="H35" s="445">
        <v>-1.3866184180593690648129043900</v>
      </c>
      <c r="I35" s="445">
        <v>-1.3763968908889604831385067200</v>
      </c>
      <c r="J35" s="445">
        <v>-11.632612200610776502651407250</v>
      </c>
      <c r="K35" s="445">
        <v>-3.5437944908428317595301016900</v>
      </c>
      <c r="L35" s="445">
        <v>4.4851024403320540846857472300</v>
      </c>
      <c r="M35" s="445">
        <v>-1.8758533016759899506322162300</v>
      </c>
      <c r="N35" s="445">
        <v>-13.524714237416830599227164150</v>
      </c>
      <c r="O35" s="445">
        <v>0.8741602565764204145926959900</v>
      </c>
      <c r="P35" s="445">
        <v>3.7990806759759846514002311900</v>
      </c>
      <c r="Q35" s="445">
        <v>2.7348495212432164566381889200</v>
      </c>
      <c r="R35" s="445">
        <v>30.149893242918501765251645500</v>
      </c>
      <c r="S35" s="445">
        <v>52.093087554234426002223326040</v>
      </c>
      <c r="T35" s="445">
        <v>28.084770158360033982627156980</v>
      </c>
      <c r="U35" s="445">
        <v>18.839373712704043760919382560</v>
      </c>
      <c r="V35" s="445">
        <v>5.1488658888293241654974514400</v>
      </c>
      <c r="W35" s="445">
        <v>3.1910463697184421786804367700</v>
      </c>
      <c r="X35" s="446">
        <v>-1.7511997715539748722552936100</v>
      </c>
      <c r="Y35" s="445">
        <v>-16.655596115810380280074757980</v>
      </c>
      <c r="Z35" s="445">
        <v>-13.513986013974331072304804310</v>
      </c>
      <c r="AA35" s="445">
        <v>-7.912644405766234363386246800</v>
      </c>
      <c r="AB35" s="445">
        <v>0.459720730375841091142776400</v>
      </c>
      <c r="AC35" s="445">
        <v>-10.233786900799655028091700290</v>
      </c>
      <c r="AD35" s="447">
        <v>-6.6912249686314204330709418700</v>
      </c>
      <c r="AE35" s="448"/>
      <c r="AF35" s="444">
        <v>-9.273587211072342747224179240</v>
      </c>
      <c r="AG35" s="445">
        <v>-0.4067283175338940399244910200</v>
      </c>
      <c r="AH35" s="449">
        <v>-1.2361176183717614047848369400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-15.283902716147765786352564210</v>
      </c>
      <c r="D36" s="81">
        <v>-11.692572853850986173548967930</v>
      </c>
      <c r="E36" s="81">
        <v>-1.6592852345732348134825579200</v>
      </c>
      <c r="F36" s="81">
        <v>-0.2104544128855724531502003100</v>
      </c>
      <c r="G36" s="81">
        <v>8.557840380773868048909108630</v>
      </c>
      <c r="H36" s="81">
        <v>2.6847517508045040951763238400</v>
      </c>
      <c r="I36" s="81">
        <v>-1.0010969239710437369633416300</v>
      </c>
      <c r="J36" s="81">
        <v>-4.1445510449607536468854687700</v>
      </c>
      <c r="K36" s="81">
        <v>-6.741359274196227923298471800</v>
      </c>
      <c r="L36" s="81">
        <v>-8.763190762120056311346296820</v>
      </c>
      <c r="M36" s="81">
        <v>-4.8698122586749518512821301900</v>
      </c>
      <c r="N36" s="81">
        <v>-8.481991595548638033047871470</v>
      </c>
      <c r="O36" s="81">
        <v>-3.492978271615887123815432900</v>
      </c>
      <c r="P36" s="81">
        <v>1.2888371952153550600570189300</v>
      </c>
      <c r="Q36" s="81">
        <v>31.210644377844816105170549220</v>
      </c>
      <c r="R36" s="81">
        <v>42.084745364259447954136750990</v>
      </c>
      <c r="S36" s="81">
        <v>46.515630851085133606926497380</v>
      </c>
      <c r="T36" s="81">
        <v>43.054481642227023776262516930</v>
      </c>
      <c r="U36" s="81">
        <v>9.039470347892717490905758960</v>
      </c>
      <c r="V36" s="81">
        <v>-9.854062107420548786763759240</v>
      </c>
      <c r="W36" s="81">
        <v>-7.9187565082273224488726997300</v>
      </c>
      <c r="X36" s="82">
        <v>-9.527545341308907148228773610</v>
      </c>
      <c r="Y36" s="81">
        <v>-1.6842314496533702144747061900</v>
      </c>
      <c r="Z36" s="81">
        <v>-7.319930402929147537870532200</v>
      </c>
      <c r="AA36" s="81">
        <v>12.336933043254678619971642070</v>
      </c>
      <c r="AB36" s="81">
        <v>-5.6023429280672223498721904900</v>
      </c>
      <c r="AC36" s="81">
        <v>6.6461917735176038875551641700</v>
      </c>
      <c r="AD36" s="83">
        <v>0.4406753102450927637291035500</v>
      </c>
      <c r="AE36" s="88"/>
      <c r="AF36" s="327">
        <v>0.397463637323271618292096200</v>
      </c>
      <c r="AG36" s="81">
        <v>2.0738231596742579401598987400</v>
      </c>
      <c r="AH36" s="328">
        <v>2.6256531359862011861061548200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183</v>
      </c>
      <c r="C37" s="450">
        <v>-6.5668317747071416292514057900</v>
      </c>
      <c r="D37" s="451">
        <v>-6.2585304995734678728670538500</v>
      </c>
      <c r="E37" s="451">
        <v>-4.0998952438694602567802286700</v>
      </c>
      <c r="F37" s="451">
        <v>-0.4553657754033887108924706200</v>
      </c>
      <c r="G37" s="451">
        <v>7.2727355295351328788353769200</v>
      </c>
      <c r="H37" s="451">
        <v>-0.1400310540326152571351060800</v>
      </c>
      <c r="I37" s="451">
        <v>0.2068151153920572557400542400</v>
      </c>
      <c r="J37" s="451">
        <v>0.2969260397504829801347802300</v>
      </c>
      <c r="K37" s="451">
        <v>2.2651615809730942440196023600</v>
      </c>
      <c r="L37" s="451">
        <v>1.4120719186807644707012806700</v>
      </c>
      <c r="M37" s="451">
        <v>3.9596131625500054530012018900</v>
      </c>
      <c r="N37" s="451">
        <v>1.8409608838959258255218996400</v>
      </c>
      <c r="O37" s="451">
        <v>0.7706268111028434499683060700</v>
      </c>
      <c r="P37" s="451">
        <v>-0.9750834339393514986266116700</v>
      </c>
      <c r="Q37" s="451">
        <v>3.2060188925835590766708626400</v>
      </c>
      <c r="R37" s="451">
        <v>3.470874842500758621118572600</v>
      </c>
      <c r="S37" s="451">
        <v>1.8834919680879582812670970200</v>
      </c>
      <c r="T37" s="451">
        <v>2.9564833686265633100667468400</v>
      </c>
      <c r="U37" s="451">
        <v>-1.7512633922830070571838969500</v>
      </c>
      <c r="V37" s="451">
        <v>-4.9037243149109527420288931700</v>
      </c>
      <c r="W37" s="451">
        <v>-3.7106784258665876282347557100</v>
      </c>
      <c r="X37" s="452">
        <v>-5.525850265119147344205827500</v>
      </c>
      <c r="Y37" s="451">
        <v>-2.1336668174159435317808285600</v>
      </c>
      <c r="Z37" s="451">
        <v>0.5279271701405867116326286600</v>
      </c>
      <c r="AA37" s="451">
        <v>0.3305690408173704250389919600</v>
      </c>
      <c r="AB37" s="451">
        <v>-3.7668091905039103914714046200</v>
      </c>
      <c r="AC37" s="451">
        <v>-1.5096875592899215243468420700</v>
      </c>
      <c r="AD37" s="453">
        <v>-2.0620708701100952662158911100</v>
      </c>
      <c r="AE37" s="448"/>
      <c r="AF37" s="450">
        <v>-2.2126099371771466888191598800</v>
      </c>
      <c r="AG37" s="451">
        <v>-0.6546707916444103335985747700</v>
      </c>
      <c r="AH37" s="454">
        <v>-0.5610430159366737021132480300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181</v>
      </c>
      <c r="D40" s="276"/>
      <c r="E40" s="276"/>
      <c r="F40" s="276"/>
      <c r="G40" s="276"/>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4</v>
      </c>
      <c r="D41" s="280">
        <v>5</v>
      </c>
      <c r="E41" s="280">
        <v>6</v>
      </c>
      <c r="F41" s="280">
        <v>7</v>
      </c>
      <c r="G41" s="280">
        <v>8</v>
      </c>
      <c r="H41" s="280">
        <v>9</v>
      </c>
      <c r="I41" s="280">
        <v>10</v>
      </c>
      <c r="J41" s="280">
        <v>11</v>
      </c>
      <c r="K41" s="280">
        <v>12</v>
      </c>
      <c r="L41" s="280">
        <v>13</v>
      </c>
      <c r="M41" s="280">
        <v>14</v>
      </c>
      <c r="N41" s="280">
        <v>15</v>
      </c>
      <c r="O41" s="280">
        <v>16</v>
      </c>
      <c r="P41" s="280">
        <v>17</v>
      </c>
      <c r="Q41" s="280">
        <v>18</v>
      </c>
      <c r="R41" s="280">
        <v>19</v>
      </c>
      <c r="S41" s="280">
        <v>20</v>
      </c>
      <c r="T41" s="280">
        <v>21</v>
      </c>
      <c r="U41" s="280">
        <v>22</v>
      </c>
      <c r="V41" s="280">
        <v>23</v>
      </c>
      <c r="W41" s="280">
        <v>24</v>
      </c>
      <c r="X41" s="315">
        <v>25</v>
      </c>
      <c r="Y41" s="280">
        <v>26</v>
      </c>
      <c r="Z41" s="280">
        <v>27</v>
      </c>
      <c r="AA41" s="280">
        <v>28</v>
      </c>
      <c r="AB41" s="280">
        <v>29</v>
      </c>
      <c r="AC41" s="280">
        <v>30</v>
      </c>
      <c r="AD41" s="373">
        <v>31</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108.87443852554418676719492734</v>
      </c>
      <c r="D42" s="445">
        <v>106.78367154129836276689609903</v>
      </c>
      <c r="E42" s="445">
        <v>90.72237566954803206759805981</v>
      </c>
      <c r="F42" s="445">
        <v>99.62043190380618641947768281</v>
      </c>
      <c r="G42" s="445">
        <v>105.62341615075606557023993441</v>
      </c>
      <c r="H42" s="445">
        <v>117.83399289534974208875058702</v>
      </c>
      <c r="I42" s="445">
        <v>116.78834516991381076931204949</v>
      </c>
      <c r="J42" s="445">
        <v>97.36026261390908583163689417</v>
      </c>
      <c r="K42" s="445">
        <v>87.21442418275061280970985203</v>
      </c>
      <c r="L42" s="445">
        <v>88.58348729254492950960581849</v>
      </c>
      <c r="M42" s="445">
        <v>87.78788076502920119425077388</v>
      </c>
      <c r="N42" s="445">
        <v>92.70014405673735032409522685</v>
      </c>
      <c r="O42" s="445">
        <v>106.29611981557148839553977409</v>
      </c>
      <c r="P42" s="445">
        <v>108.26484678900781956475439439</v>
      </c>
      <c r="Q42" s="445">
        <v>84.71905614465582205107773846</v>
      </c>
      <c r="R42" s="445">
        <v>81.11795799314396668509960460</v>
      </c>
      <c r="S42" s="445">
        <v>84.22978218912379474897922797</v>
      </c>
      <c r="T42" s="445">
        <v>84.17975988909874505395301364</v>
      </c>
      <c r="U42" s="445">
        <v>86.59331460833499405842933010</v>
      </c>
      <c r="V42" s="445">
        <v>101.87555256481915446914675991</v>
      </c>
      <c r="W42" s="445">
        <v>98.91119162984814375417049521</v>
      </c>
      <c r="X42" s="446">
        <v>91.49572890612978244951801318</v>
      </c>
      <c r="Y42" s="445">
        <v>88.49011732050438464140359840</v>
      </c>
      <c r="Z42" s="445">
        <v>82.09315324509812089686015582</v>
      </c>
      <c r="AA42" s="445">
        <v>75.621406047103384691189864630</v>
      </c>
      <c r="AB42" s="445">
        <v>89.25435682816144609366838165</v>
      </c>
      <c r="AC42" s="445">
        <v>85.18798000842375760363560197</v>
      </c>
      <c r="AD42" s="447">
        <v>96.37938211109994507939295801</v>
      </c>
      <c r="AE42" s="448"/>
      <c r="AF42" s="444">
        <v>84.83003020632765655111226869</v>
      </c>
      <c r="AG42" s="445">
        <v>95.08662712201619503145791244</v>
      </c>
      <c r="AH42" s="449">
        <v>96.70674539899696518710878746</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183</v>
      </c>
      <c r="C43" s="329">
        <v>108.09226217382131593506433682</v>
      </c>
      <c r="D43" s="330">
        <v>92.09089164573024918958279965</v>
      </c>
      <c r="E43" s="330">
        <v>83.76930131425130948594423482</v>
      </c>
      <c r="F43" s="330">
        <v>86.48956099695257249135983608</v>
      </c>
      <c r="G43" s="330">
        <v>91.39565722088774408011456171</v>
      </c>
      <c r="H43" s="330">
        <v>120.82618905985523043498383106</v>
      </c>
      <c r="I43" s="330">
        <v>117.03557446439087370344966516</v>
      </c>
      <c r="J43" s="330">
        <v>88.78457290729974982623016581</v>
      </c>
      <c r="K43" s="330">
        <v>76.22149730129908068118536300</v>
      </c>
      <c r="L43" s="330">
        <v>79.204498486721222630395612590</v>
      </c>
      <c r="M43" s="330">
        <v>74.962785448564335609358776470</v>
      </c>
      <c r="N43" s="330">
        <v>81.45547820022447132600900481</v>
      </c>
      <c r="O43" s="330">
        <v>113.16152610404241602524930450</v>
      </c>
      <c r="P43" s="330">
        <v>127.21424285980767521308714072</v>
      </c>
      <c r="Q43" s="330">
        <v>98.41793338591786737871826442</v>
      </c>
      <c r="R43" s="330">
        <v>97.61581796721275860713455020</v>
      </c>
      <c r="S43" s="330">
        <v>102.34691596066379212183338512</v>
      </c>
      <c r="T43" s="330">
        <v>94.98597818486307450961396430</v>
      </c>
      <c r="U43" s="330">
        <v>98.85557655112475555181092114</v>
      </c>
      <c r="V43" s="330">
        <v>115.12161469129652512046410295</v>
      </c>
      <c r="W43" s="330">
        <v>117.32437428896473265073947668</v>
      </c>
      <c r="X43" s="331">
        <v>96.12428462101321029556615894</v>
      </c>
      <c r="Y43" s="330">
        <v>79.91447150850190083756101312</v>
      </c>
      <c r="Z43" s="330">
        <v>70.201464641741390577389766630</v>
      </c>
      <c r="AA43" s="330">
        <v>71.975156484202731696207316580</v>
      </c>
      <c r="AB43" s="330">
        <v>88.73647343704894697532247422</v>
      </c>
      <c r="AC43" s="330">
        <v>107.40374503290921905794423801</v>
      </c>
      <c r="AD43" s="338">
        <v>115.75067796800272163741122120</v>
      </c>
      <c r="AE43" s="88"/>
      <c r="AF43" s="329">
        <v>90.85742482687283504222240434</v>
      </c>
      <c r="AG43" s="330">
        <v>98.22058745762259503938310933</v>
      </c>
      <c r="AH43" s="332">
        <v>101.20750119895254900338092552</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181</v>
      </c>
      <c r="D46" s="276"/>
      <c r="E46" s="276"/>
      <c r="F46" s="276"/>
      <c r="G46" s="276"/>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4</v>
      </c>
      <c r="D47">
        <v>5</v>
      </c>
      <c r="E47">
        <v>6</v>
      </c>
      <c r="F47">
        <v>7</v>
      </c>
      <c r="G47">
        <v>8</v>
      </c>
      <c r="H47">
        <v>9</v>
      </c>
      <c r="I47">
        <v>10</v>
      </c>
      <c r="J47">
        <v>11</v>
      </c>
      <c r="K47">
        <v>12</v>
      </c>
      <c r="L47">
        <v>13</v>
      </c>
      <c r="M47">
        <v>14</v>
      </c>
      <c r="N47">
        <v>15</v>
      </c>
      <c r="O47">
        <v>16</v>
      </c>
      <c r="P47">
        <v>17</v>
      </c>
      <c r="Q47">
        <v>18</v>
      </c>
      <c r="R47">
        <v>19</v>
      </c>
      <c r="S47">
        <v>20</v>
      </c>
      <c r="T47">
        <v>21</v>
      </c>
      <c r="U47">
        <v>22</v>
      </c>
      <c r="V47">
        <v>23</v>
      </c>
      <c r="W47">
        <v>24</v>
      </c>
      <c r="X47" s="323">
        <v>25</v>
      </c>
      <c r="Y47">
        <v>26</v>
      </c>
      <c r="Z47">
        <v>27</v>
      </c>
      <c r="AA47">
        <v>28</v>
      </c>
      <c r="AB47">
        <v>29</v>
      </c>
      <c r="AC47">
        <v>30</v>
      </c>
      <c r="AD47" s="337">
        <v>31</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-13.950728799465709151809109830</v>
      </c>
      <c r="D48" s="445">
        <v>21.475658406815960830962953390</v>
      </c>
      <c r="E48" s="445">
        <v>-9.253616954026177373445469670</v>
      </c>
      <c r="F48" s="445">
        <v>-9.940617184795813680042409100</v>
      </c>
      <c r="G48" s="445">
        <v>-2.9325568717223783859447588200</v>
      </c>
      <c r="H48" s="445">
        <v>-3.9649218597849127076198451300</v>
      </c>
      <c r="I48" s="445">
        <v>-0.3790950760985757058637292600</v>
      </c>
      <c r="J48" s="445">
        <v>-7.8118262835042360306004098300</v>
      </c>
      <c r="K48" s="445">
        <v>3.4287061857861990298953752500</v>
      </c>
      <c r="L48" s="445">
        <v>14.520776551862534530895119860</v>
      </c>
      <c r="M48" s="445">
        <v>3.1472227985950140629720996800</v>
      </c>
      <c r="N48" s="445">
        <v>-5.5100878283441899037931065300</v>
      </c>
      <c r="O48" s="445">
        <v>4.5252028816174635952593418900</v>
      </c>
      <c r="P48" s="445">
        <v>2.478302200152886234888683900</v>
      </c>
      <c r="Q48" s="445">
        <v>-21.702351201471087578746885990</v>
      </c>
      <c r="R48" s="445">
        <v>-8.399812443496790191188627610</v>
      </c>
      <c r="S48" s="445">
        <v>3.806731521261802337646304300</v>
      </c>
      <c r="T48" s="445">
        <v>-10.464342893779755535780553190</v>
      </c>
      <c r="U48" s="445">
        <v>8.987482545151276850859666320</v>
      </c>
      <c r="V48" s="445">
        <v>16.642932945139076562389083810</v>
      </c>
      <c r="W48" s="445">
        <v>12.065218123331988833071692780</v>
      </c>
      <c r="X48" s="446">
        <v>8.595263165001699177700903120</v>
      </c>
      <c r="Y48" s="445">
        <v>-15.227836680603203697761441420</v>
      </c>
      <c r="Z48" s="445">
        <v>-6.6832660333807476851519622800</v>
      </c>
      <c r="AA48" s="445">
        <v>-18.025752439970128275868595780</v>
      </c>
      <c r="AB48" s="445">
        <v>6.4218369888891032128693685300</v>
      </c>
      <c r="AC48" s="445">
        <v>-15.828018228845878471536340960</v>
      </c>
      <c r="AD48" s="447">
        <v>-7.1006096452769334532197218500</v>
      </c>
      <c r="AE48" s="448"/>
      <c r="AF48" s="444">
        <v>-9.632764113823358649647854200</v>
      </c>
      <c r="AG48" s="445">
        <v>-2.4301543730773115436797075600</v>
      </c>
      <c r="AH48" s="449">
        <v>-3.7629682601910523750092530500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183</v>
      </c>
      <c r="C49" s="329">
        <v>-21.978901404151599970260403610</v>
      </c>
      <c r="D49" s="330">
        <v>14.433909687633851957320677240</v>
      </c>
      <c r="E49" s="330">
        <v>-6.9441666011212624946384518300</v>
      </c>
      <c r="F49" s="330">
        <v>-9.719042548274386609028310200</v>
      </c>
      <c r="G49" s="330">
        <v>-1.7697092809767321312477093700</v>
      </c>
      <c r="H49" s="330">
        <v>-1.2483354212661771914308249100</v>
      </c>
      <c r="I49" s="330">
        <v>-1.5799444423511218275678501100</v>
      </c>
      <c r="J49" s="330">
        <v>-11.894221200429574262691176240</v>
      </c>
      <c r="K49" s="330">
        <v>-5.6802883622220506851111429200</v>
      </c>
      <c r="L49" s="330">
        <v>3.0302413347291234118005877300</v>
      </c>
      <c r="M49" s="330">
        <v>-5.6132052502733392781859652300</v>
      </c>
      <c r="N49" s="330">
        <v>-15.087912552991050820215113680</v>
      </c>
      <c r="O49" s="330">
        <v>0.1027416904934144287173949800</v>
      </c>
      <c r="P49" s="330">
        <v>4.8211745846431231990194826500</v>
      </c>
      <c r="Q49" s="330">
        <v>-0.4565328422149789657000054200</v>
      </c>
      <c r="R49" s="330">
        <v>25.784085078005568430058491290</v>
      </c>
      <c r="S49" s="330">
        <v>49.281384664177518514279730890</v>
      </c>
      <c r="T49" s="330">
        <v>24.406706569189428412639625820</v>
      </c>
      <c r="U49" s="330">
        <v>20.957660949046940230543659690</v>
      </c>
      <c r="V49" s="330">
        <v>10.570960988029591298875386790</v>
      </c>
      <c r="W49" s="330">
        <v>7.1676949040537343428269219500</v>
      </c>
      <c r="X49" s="331">
        <v>3.9954320881734816254895148900</v>
      </c>
      <c r="Y49" s="330">
        <v>-14.838534178339564105109520540</v>
      </c>
      <c r="Z49" s="330">
        <v>-13.968171412065678712795270770</v>
      </c>
      <c r="AA49" s="330">
        <v>-8.216053716647326624057936710</v>
      </c>
      <c r="AB49" s="330">
        <v>4.391966934984812279747553400</v>
      </c>
      <c r="AC49" s="330">
        <v>-8.857824820877113528994392940</v>
      </c>
      <c r="AD49" s="338">
        <v>-4.7266203601063724111794111300</v>
      </c>
      <c r="AE49" s="88"/>
      <c r="AF49" s="329">
        <v>-7.2207441770478939583913704200</v>
      </c>
      <c r="AG49" s="330">
        <v>0.2495763776957871247085464800</v>
      </c>
      <c r="AH49" s="332">
        <v>-0.6788834304992221776685137200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181</v>
      </c>
      <c r="D52" s="276"/>
      <c r="E52" s="276"/>
      <c r="F52" s="276"/>
      <c r="G52" s="276"/>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4</v>
      </c>
      <c r="D53" s="42">
        <v>5</v>
      </c>
      <c r="E53" s="42">
        <v>6</v>
      </c>
      <c r="F53" s="42">
        <v>7</v>
      </c>
      <c r="G53" s="42">
        <v>8</v>
      </c>
      <c r="H53" s="42">
        <v>9</v>
      </c>
      <c r="I53" s="42">
        <v>10</v>
      </c>
      <c r="J53" s="42">
        <v>11</v>
      </c>
      <c r="K53" s="42">
        <v>12</v>
      </c>
      <c r="L53" s="42">
        <v>13</v>
      </c>
      <c r="M53" s="42">
        <v>14</v>
      </c>
      <c r="N53" s="42">
        <v>15</v>
      </c>
      <c r="O53" s="42">
        <v>16</v>
      </c>
      <c r="P53" s="42">
        <v>17</v>
      </c>
      <c r="Q53" s="42">
        <v>18</v>
      </c>
      <c r="R53" s="42">
        <v>19</v>
      </c>
      <c r="S53" s="42">
        <v>20</v>
      </c>
      <c r="T53" s="42">
        <v>21</v>
      </c>
      <c r="U53" s="42">
        <v>22</v>
      </c>
      <c r="V53" s="42">
        <v>23</v>
      </c>
      <c r="W53" s="42">
        <v>24</v>
      </c>
      <c r="X53" s="323">
        <v>25</v>
      </c>
      <c r="Y53" s="42">
        <v>26</v>
      </c>
      <c r="Z53" s="42">
        <v>27</v>
      </c>
      <c r="AA53" s="42">
        <v>28</v>
      </c>
      <c r="AB53" s="42">
        <v>29</v>
      </c>
      <c r="AC53" s="42">
        <v>30</v>
      </c>
      <c r="AD53" s="337">
        <v>31</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237</v>
      </c>
      <c r="D54" s="456" t="s">
        <v>236</v>
      </c>
      <c r="E54" s="456" t="s">
        <v>234</v>
      </c>
      <c r="F54" s="456" t="s">
        <v>237</v>
      </c>
      <c r="G54" s="456" t="s">
        <v>236</v>
      </c>
      <c r="H54" s="456" t="s">
        <v>239</v>
      </c>
      <c r="I54" s="456" t="s">
        <v>239</v>
      </c>
      <c r="J54" s="456" t="s">
        <v>238</v>
      </c>
      <c r="K54" s="456" t="s">
        <v>240</v>
      </c>
      <c r="L54" s="456" t="s">
        <v>240</v>
      </c>
      <c r="M54" s="456" t="s">
        <v>240</v>
      </c>
      <c r="N54" s="456" t="s">
        <v>240</v>
      </c>
      <c r="O54" s="456" t="s">
        <v>238</v>
      </c>
      <c r="P54" s="456" t="s">
        <v>236</v>
      </c>
      <c r="Q54" s="456" t="s">
        <v>240</v>
      </c>
      <c r="R54" s="456" t="s">
        <v>234</v>
      </c>
      <c r="S54" s="456" t="s">
        <v>234</v>
      </c>
      <c r="T54" s="456" t="s">
        <v>240</v>
      </c>
      <c r="U54" s="456" t="s">
        <v>240</v>
      </c>
      <c r="V54" s="456" t="s">
        <v>238</v>
      </c>
      <c r="W54" s="456" t="s">
        <v>238</v>
      </c>
      <c r="X54" s="457" t="s">
        <v>238</v>
      </c>
      <c r="Y54" s="456" t="s">
        <v>233</v>
      </c>
      <c r="Z54" s="456" t="s">
        <v>240</v>
      </c>
      <c r="AA54" s="456" t="s">
        <v>233</v>
      </c>
      <c r="AB54" s="456" t="s">
        <v>240</v>
      </c>
      <c r="AC54" s="456" t="s">
        <v>240</v>
      </c>
      <c r="AD54" s="458" t="s">
        <v>234</v>
      </c>
      <c r="AE54" s="459"/>
      <c r="AF54" s="455" t="s">
        <v>233</v>
      </c>
      <c r="AG54" s="456" t="s">
        <v>240</v>
      </c>
      <c r="AH54" s="460" t="s">
        <v>240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233</v>
      </c>
      <c r="D55" s="334" t="s">
        <v>236</v>
      </c>
      <c r="E55" s="334" t="s">
        <v>234</v>
      </c>
      <c r="F55" s="334" t="s">
        <v>233</v>
      </c>
      <c r="G55" s="334" t="s">
        <v>238</v>
      </c>
      <c r="H55" s="334" t="s">
        <v>240</v>
      </c>
      <c r="I55" s="334" t="s">
        <v>238</v>
      </c>
      <c r="J55" s="334" t="s">
        <v>234</v>
      </c>
      <c r="K55" s="334" t="s">
        <v>237</v>
      </c>
      <c r="L55" s="334" t="s">
        <v>232</v>
      </c>
      <c r="M55" s="334" t="s">
        <v>236</v>
      </c>
      <c r="N55" s="334" t="s">
        <v>240</v>
      </c>
      <c r="O55" s="334" t="s">
        <v>236</v>
      </c>
      <c r="P55" s="334" t="s">
        <v>237</v>
      </c>
      <c r="Q55" s="334" t="s">
        <v>235</v>
      </c>
      <c r="R55" s="334" t="s">
        <v>240</v>
      </c>
      <c r="S55" s="334" t="s">
        <v>236</v>
      </c>
      <c r="T55" s="334" t="s">
        <v>238</v>
      </c>
      <c r="U55" s="334" t="s">
        <v>238</v>
      </c>
      <c r="V55" s="334" t="s">
        <v>239</v>
      </c>
      <c r="W55" s="334" t="s">
        <v>239</v>
      </c>
      <c r="X55" s="60" t="s">
        <v>232</v>
      </c>
      <c r="Y55" s="61" t="s">
        <v>240</v>
      </c>
      <c r="Z55" s="61" t="s">
        <v>240</v>
      </c>
      <c r="AA55" s="61" t="s">
        <v>240</v>
      </c>
      <c r="AB55" s="61" t="s">
        <v>236</v>
      </c>
      <c r="AC55" s="61" t="s">
        <v>233</v>
      </c>
      <c r="AD55" s="62" t="s">
        <v>235</v>
      </c>
      <c r="AE55" s="59"/>
      <c r="AF55" s="333" t="s">
        <v>233</v>
      </c>
      <c r="AG55" s="334" t="s">
        <v>240</v>
      </c>
      <c r="AH55" s="335" t="s">
        <v>240</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45731</v>
      </c>
      <c r="C72" s="658">
        <v>45738</v>
      </c>
      <c r="D72" s="658">
        <v>45745</v>
      </c>
      <c r="E72" s="658">
        <v>45752</v>
      </c>
      <c r="F72" s="658">
        <v>45759</v>
      </c>
      <c r="G72" s="658">
        <v>45766</v>
      </c>
      <c r="H72" s="658">
        <v>45773</v>
      </c>
      <c r="I72" s="658">
        <v>45780</v>
      </c>
      <c r="J72" s="658">
        <v>45787</v>
      </c>
      <c r="K72" s="658">
        <v>45794</v>
      </c>
      <c r="L72" s="658">
        <v>45801</v>
      </c>
      <c r="M72" s="658">
        <v>45808</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272.44761904761904761904761905</v>
      </c>
      <c r="C73" s="658">
        <v>292.02738095238095238095238095</v>
      </c>
      <c r="D73" s="658">
        <v>328.03836930455635491606714628</v>
      </c>
      <c r="E73" s="658">
        <v>264.93856655290102389078498294</v>
      </c>
      <c r="F73" s="658">
        <v>297.68166089965397923875432526</v>
      </c>
      <c r="G73" s="658">
        <v>261.60854893138357705286839145</v>
      </c>
      <c r="H73" s="658">
        <v>236.04422604422604422604422604</v>
      </c>
      <c r="I73" s="658">
        <v>322.13578826237054085155350978</v>
      </c>
      <c r="J73" s="658">
        <v>232.81440443213296398891966759</v>
      </c>
      <c r="K73" s="658">
        <v>199.37266187050359712230215827</v>
      </c>
      <c r="L73" s="658">
        <v>210.57524271844660194174757282</v>
      </c>
      <c r="M73" s="658">
        <v>169.71326676176890156918687589</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285.67296720789557465775230818</v>
      </c>
      <c r="C74" s="658">
        <v>300.09978864547979018821351435</v>
      </c>
      <c r="D74" s="658">
        <v>306.30572340086138140054235125</v>
      </c>
      <c r="E74" s="658">
        <v>252.22283348722976896495920952</v>
      </c>
      <c r="F74" s="658">
        <v>283.71227407847800237812128419</v>
      </c>
      <c r="G74" s="658">
        <v>258.67207137433561123766135156</v>
      </c>
      <c r="H74" s="658">
        <v>234.59271866012519032312637456</v>
      </c>
      <c r="I74" s="658">
        <v>332.01755887084978791867778265</v>
      </c>
      <c r="J74" s="658">
        <v>212.53505946313285762827047231</v>
      </c>
      <c r="K74" s="658">
        <v>202.81512508809020436927413671</v>
      </c>
      <c r="L74" s="658">
        <v>238.66647772632923519080312949</v>
      </c>
      <c r="M74" s="658">
        <v>200.06272112475529453639437622</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183</v>
      </c>
      <c r="B75" s="658">
        <v>265.91052232316317279404962348</v>
      </c>
      <c r="C75" s="658">
        <v>286.60591050570634894072760133</v>
      </c>
      <c r="D75" s="658">
        <v>303.53818418460672576333192627</v>
      </c>
      <c r="E75" s="658">
        <v>260.3981971594780147790996279</v>
      </c>
      <c r="F75" s="658">
        <v>261.89942077443977236266612628</v>
      </c>
      <c r="G75" s="658">
        <v>255.10237519243457224543655157</v>
      </c>
      <c r="H75" s="658">
        <v>229.51864479846373914917798287</v>
      </c>
      <c r="I75" s="658">
        <v>288.94759760009307118283501471</v>
      </c>
      <c r="J75" s="658">
        <v>226.80824394359407014583584428</v>
      </c>
      <c r="K75" s="658">
        <v>209.33256941744592907859466759</v>
      </c>
      <c r="L75" s="658">
        <v>204.77657679297023559318641286</v>
      </c>
      <c r="M75" s="658">
        <v>186.79075164758172224290061962</v>
      </c>
      <c r="N75" s="658"/>
      <c r="O75" s="658"/>
      <c r="P75" s="658"/>
      <c r="Q75" s="658"/>
      <c r="R75" s="658"/>
      <c r="S75" s="658"/>
      <c r="T75" s="658"/>
      <c r="U75" s="658"/>
      <c r="V75" s="658"/>
      <c r="W75" s="658"/>
      <c r="X75" s="658"/>
      <c r="Y75" s="658"/>
      <c r="Z75" s="658"/>
      <c r="AA75" s="658"/>
      <c r="AB75" s="658"/>
      <c r="AC75" s="658"/>
      <c r="AD75" s="658"/>
      <c r="AE75" s="658"/>
      <c r="AF75" s="658"/>
      <c r="AG75" s="658"/>
      <c r="AH75" s="658"/>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7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152</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180</v>
      </c>
      <c r="B4" s="442"/>
      <c r="C4" s="211"/>
      <c r="D4" s="212"/>
      <c r="E4" s="212"/>
      <c r="F4" s="212"/>
      <c r="G4" s="212"/>
      <c r="H4" s="212"/>
      <c r="I4" s="212"/>
      <c r="J4" s="212"/>
      <c r="K4" s="212"/>
      <c r="L4" s="212"/>
      <c r="M4" s="212"/>
      <c r="N4" s="212"/>
      <c r="O4" s="212"/>
      <c r="P4" s="212"/>
      <c r="Q4" s="212"/>
      <c r="R4" s="660" t="s">
        <v>182</v>
      </c>
      <c r="S4" s="660"/>
      <c r="T4" s="660"/>
      <c r="U4" s="660"/>
      <c r="V4" s="660"/>
      <c r="W4" s="660"/>
      <c r="X4" s="660"/>
      <c r="Y4" s="660"/>
      <c r="Z4" s="660"/>
      <c r="AA4" s="660"/>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61" t="s">
        <v>21</v>
      </c>
      <c r="E8" s="661"/>
      <c r="F8" s="661"/>
      <c r="G8" s="661" t="s">
        <v>24</v>
      </c>
      <c r="H8" s="661"/>
      <c r="I8" s="661"/>
      <c r="J8" s="661" t="s">
        <v>25</v>
      </c>
      <c r="K8" s="661"/>
      <c r="L8" s="661"/>
      <c r="M8" s="661" t="s">
        <v>23</v>
      </c>
      <c r="N8" s="661"/>
      <c r="O8" s="661"/>
      <c r="Q8" s="661" t="s">
        <v>21</v>
      </c>
      <c r="R8" s="661"/>
      <c r="S8" s="661"/>
      <c r="T8" s="661" t="s">
        <v>24</v>
      </c>
      <c r="U8" s="661"/>
      <c r="V8" s="661"/>
      <c r="W8" s="661" t="s">
        <v>25</v>
      </c>
      <c r="X8" s="661"/>
      <c r="Y8" s="661"/>
      <c r="Z8" s="661" t="s">
        <v>23</v>
      </c>
      <c r="AA8" s="661"/>
      <c r="AB8" s="66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181</v>
      </c>
      <c r="B10" s="342">
        <v>4</v>
      </c>
      <c r="C10" s="343" t="s">
        <v>49</v>
      </c>
      <c r="D10" s="374">
        <v>248.6039603960396039603960396</v>
      </c>
      <c r="E10" s="382">
        <v>261.40926265104997883531252338</v>
      </c>
      <c r="F10" s="375">
        <v>268.12004444754030164560461272</v>
      </c>
      <c r="G10" s="374">
        <v>439</v>
      </c>
      <c r="H10" s="382">
        <v>302.79569923633559490917154881</v>
      </c>
      <c r="I10" s="375">
        <v>306.50404301057527622387844846</v>
      </c>
      <c r="J10" s="374">
        <v>0</v>
      </c>
      <c r="K10" s="382">
        <v>0</v>
      </c>
      <c r="L10" s="375">
        <v>178.02837359682682698894474561</v>
      </c>
      <c r="M10" s="374">
        <v>289.93023255813953488372093023</v>
      </c>
      <c r="N10" s="382">
        <v>266.29779816513761467889908257</v>
      </c>
      <c r="O10" s="375">
        <v>268.22478013450594930160372478</v>
      </c>
      <c r="P10" s="4"/>
      <c r="Q10" s="354">
        <v>-30.266746254267312421008593540</v>
      </c>
      <c r="R10" s="355">
        <v>-12.478551525335847927863244840</v>
      </c>
      <c r="S10" s="356">
        <v>-4.4605692413479906425690433100</v>
      </c>
      <c r="T10" s="354">
        <v>-4.2921378934459735658809102100</v>
      </c>
      <c r="U10" s="355">
        <v>-21.196368553545053856443316980</v>
      </c>
      <c r="V10" s="356">
        <v>-13.618766307052770919713797600</v>
      </c>
      <c r="W10" s="354">
        <v>0</v>
      </c>
      <c r="X10" s="355">
        <v>-100</v>
      </c>
      <c r="Y10" s="356">
        <v>6.518831153376211020408842200</v>
      </c>
      <c r="Z10" s="354">
        <v>-27.102415697730294398365331180</v>
      </c>
      <c r="AA10" s="355">
        <v>-15.283902716147765786352564210</v>
      </c>
      <c r="AB10" s="356">
        <v>-6.5668317747071416292514057900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5</v>
      </c>
      <c r="C11" s="345" t="s">
        <v>47</v>
      </c>
      <c r="D11" s="370">
        <v>191.56470588235294117647058824</v>
      </c>
      <c r="E11" s="172">
        <v>170.91238702579651219654685534</v>
      </c>
      <c r="F11" s="371">
        <v>204.35659489627994200190134844</v>
      </c>
      <c r="G11" s="370">
        <v>0</v>
      </c>
      <c r="H11" s="172">
        <v>212.89108712890608004440472507</v>
      </c>
      <c r="I11" s="371">
        <v>235.97149065400808556229105826</v>
      </c>
      <c r="J11" s="370">
        <v>0</v>
      </c>
      <c r="K11" s="172">
        <v>0</v>
      </c>
      <c r="L11" s="371">
        <v>160.0571191649798774140727786</v>
      </c>
      <c r="M11" s="370">
        <v>191.56470588235294117647058824</v>
      </c>
      <c r="N11" s="172">
        <v>179.39512953367875647668393783</v>
      </c>
      <c r="O11" s="371">
        <v>208.01699544764795144157814871</v>
      </c>
      <c r="P11" s="4"/>
      <c r="Q11" s="327">
        <v>7.2720285479295284184869419500</v>
      </c>
      <c r="R11" s="171">
        <v>-17.143846947342385985799345460</v>
      </c>
      <c r="S11" s="328">
        <v>-4.9342272106315227536792277500</v>
      </c>
      <c r="T11" s="327">
        <v>0</v>
      </c>
      <c r="U11" s="171">
        <v>13.235017604226885622695362470</v>
      </c>
      <c r="V11" s="328">
        <v>-10.519713719512061374413637570</v>
      </c>
      <c r="W11" s="327">
        <v>0</v>
      </c>
      <c r="X11" s="171">
        <v>-100</v>
      </c>
      <c r="Y11" s="328">
        <v>2.8266931958497186847293392900</v>
      </c>
      <c r="Z11" s="327">
        <v>7.2720285479295284184869419500</v>
      </c>
      <c r="AA11" s="171">
        <v>-11.692572853850986173548967930</v>
      </c>
      <c r="AB11" s="328">
        <v>-6.2585304995734678728670538500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6</v>
      </c>
      <c r="C12" s="347" t="s">
        <v>48</v>
      </c>
      <c r="D12" s="378">
        <v>173.10294117647058823529411765</v>
      </c>
      <c r="E12" s="173">
        <v>179.50184915642830021325710033</v>
      </c>
      <c r="F12" s="379">
        <v>206.77852361205281453148503968</v>
      </c>
      <c r="G12" s="378">
        <v>0</v>
      </c>
      <c r="H12" s="173">
        <v>230.52445184696424115006303855</v>
      </c>
      <c r="I12" s="379">
        <v>231.76316192606773392980364544</v>
      </c>
      <c r="J12" s="378">
        <v>0</v>
      </c>
      <c r="K12" s="173">
        <v>0</v>
      </c>
      <c r="L12" s="379">
        <v>154.00587518031772759192229984</v>
      </c>
      <c r="M12" s="378">
        <v>173.10294117647058823529411765</v>
      </c>
      <c r="N12" s="173">
        <v>190.80512376237623762376237624</v>
      </c>
      <c r="O12" s="379">
        <v>206.64245548266166822867853796</v>
      </c>
      <c r="P12" s="4"/>
      <c r="Q12" s="359">
        <v>-10.146849984288731006602926470</v>
      </c>
      <c r="R12" s="170">
        <v>-8.824956191501587158342537410</v>
      </c>
      <c r="S12" s="360">
        <v>-1.5285374150871500083768995400</v>
      </c>
      <c r="T12" s="359">
        <v>-100</v>
      </c>
      <c r="U12" s="170">
        <v>27.976606341176895184246268040</v>
      </c>
      <c r="V12" s="360">
        <v>-8.680938802567100180231784680</v>
      </c>
      <c r="W12" s="359">
        <v>0</v>
      </c>
      <c r="X12" s="170">
        <v>-100</v>
      </c>
      <c r="Y12" s="360">
        <v>8.596480630034377673826577430</v>
      </c>
      <c r="Z12" s="359">
        <v>-10.759358288763481092656750470</v>
      </c>
      <c r="AA12" s="170">
        <v>-1.6592852345732348134825579200</v>
      </c>
      <c r="AB12" s="360">
        <v>-4.0998952438694602567802286700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7</v>
      </c>
      <c r="C13" s="345" t="s">
        <v>50</v>
      </c>
      <c r="D13" s="370">
        <v>173.47368421052631578947368421</v>
      </c>
      <c r="E13" s="172">
        <v>182.51331360946745562130177515</v>
      </c>
      <c r="F13" s="371">
        <v>216.09621696684267078671254659</v>
      </c>
      <c r="G13" s="370">
        <v>269.42857142857142857142857143</v>
      </c>
      <c r="H13" s="172">
        <v>204.99315068493150684931506849</v>
      </c>
      <c r="I13" s="371">
        <v>237.73605256185253017315198202</v>
      </c>
      <c r="J13" s="370">
        <v>0</v>
      </c>
      <c r="K13" s="172">
        <v>0</v>
      </c>
      <c r="L13" s="371">
        <v>157.27396296703307202366361891</v>
      </c>
      <c r="M13" s="370">
        <v>185.79816513761467889908256881</v>
      </c>
      <c r="N13" s="172">
        <v>186.50608272506082725060827251</v>
      </c>
      <c r="O13" s="371">
        <v>214.8214917452830188679245283</v>
      </c>
      <c r="P13" s="4"/>
      <c r="Q13" s="327">
        <v>-15.652989849028427818756875030</v>
      </c>
      <c r="R13" s="171">
        <v>-2.6243621881582539511424857100</v>
      </c>
      <c r="S13" s="328">
        <v>2.9779581749257901925931101700</v>
      </c>
      <c r="T13" s="327">
        <v>26.492287055667337357478202550</v>
      </c>
      <c r="U13" s="171">
        <v>10.775656426918530235016873940</v>
      </c>
      <c r="V13" s="328">
        <v>-6.0814257907582898139049270400</v>
      </c>
      <c r="W13" s="327">
        <v>0</v>
      </c>
      <c r="X13" s="171">
        <v>-100</v>
      </c>
      <c r="Y13" s="328">
        <v>11.487605389651552193574827780</v>
      </c>
      <c r="Z13" s="327">
        <v>-10.130151130147710847990950290</v>
      </c>
      <c r="AA13" s="171">
        <v>-0.2104544128855724531502003100</v>
      </c>
      <c r="AB13" s="328">
        <v>-0.4553657754033887108924706200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8</v>
      </c>
      <c r="C14" s="347" t="s">
        <v>51</v>
      </c>
      <c r="D14" s="378">
        <v>198.64646464646464646464646465</v>
      </c>
      <c r="E14" s="173">
        <v>197.48680648963005756803336564</v>
      </c>
      <c r="F14" s="379">
        <v>237.63435886402313632558552291</v>
      </c>
      <c r="G14" s="378">
        <v>278.07142857142857142857142857</v>
      </c>
      <c r="H14" s="173">
        <v>196.45893740802217151554911189</v>
      </c>
      <c r="I14" s="379">
        <v>235.23523414986064403003799047</v>
      </c>
      <c r="J14" s="378">
        <v>0</v>
      </c>
      <c r="K14" s="173">
        <v>0</v>
      </c>
      <c r="L14" s="379">
        <v>145.8201646808553625583849925</v>
      </c>
      <c r="M14" s="378">
        <v>208.4867256637168141592920354</v>
      </c>
      <c r="N14" s="173">
        <v>197.38684210526315789473684211</v>
      </c>
      <c r="O14" s="379">
        <v>228.11447721179624664879356568</v>
      </c>
      <c r="P14" s="4"/>
      <c r="Q14" s="359">
        <v>1.2778957104438903154106580200</v>
      </c>
      <c r="R14" s="170">
        <v>9.088780282720465803281894680</v>
      </c>
      <c r="S14" s="360">
        <v>9.750676407495309364715966890</v>
      </c>
      <c r="T14" s="359">
        <v>33.327625326426644976240421250</v>
      </c>
      <c r="U14" s="170">
        <v>-10.970244882427350362509855560</v>
      </c>
      <c r="V14" s="360">
        <v>4.723839710436757670252049400</v>
      </c>
      <c r="W14" s="359">
        <v>0</v>
      </c>
      <c r="X14" s="170">
        <v>-100</v>
      </c>
      <c r="Y14" s="360">
        <v>3.4349201196167357158449520100</v>
      </c>
      <c r="Z14" s="359">
        <v>5.3743199729271664520023846900</v>
      </c>
      <c r="AA14" s="170">
        <v>8.557840380773868048909108630</v>
      </c>
      <c r="AB14" s="360">
        <v>7.2727355295351328788353769200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9</v>
      </c>
      <c r="C15" s="345" t="s">
        <v>52</v>
      </c>
      <c r="D15" s="370">
        <v>263.2967032967032967032967033</v>
      </c>
      <c r="E15" s="172">
        <v>240.84935064935064935064935065</v>
      </c>
      <c r="F15" s="371">
        <v>238.35438627746454279812619179</v>
      </c>
      <c r="G15" s="370">
        <v>368.92857142857142857142857143</v>
      </c>
      <c r="H15" s="172">
        <v>198.26548672566371681415929204</v>
      </c>
      <c r="I15" s="371">
        <v>235.27625334765008361644752922</v>
      </c>
      <c r="J15" s="370">
        <v>0</v>
      </c>
      <c r="K15" s="172">
        <v>0</v>
      </c>
      <c r="L15" s="371">
        <v>150.00821578092995126246048902</v>
      </c>
      <c r="M15" s="370">
        <v>277.38095238095238095238095238</v>
      </c>
      <c r="N15" s="172">
        <v>235.39977349943374858437146092</v>
      </c>
      <c r="O15" s="371">
        <v>229.57022359084214754317847101</v>
      </c>
      <c r="P15" s="4"/>
      <c r="Q15" s="327">
        <v>-9.910113153800281700096933110</v>
      </c>
      <c r="R15" s="171">
        <v>4.5115542453182156449676132400</v>
      </c>
      <c r="S15" s="328">
        <v>0.9315912674515438679281520700</v>
      </c>
      <c r="T15" s="327">
        <v>52.404839185618460293795882970</v>
      </c>
      <c r="U15" s="171">
        <v>-8.157322161037961071022350270</v>
      </c>
      <c r="V15" s="328">
        <v>-3.8382803034980920002560029900</v>
      </c>
      <c r="W15" s="327">
        <v>0</v>
      </c>
      <c r="X15" s="171">
        <v>-100</v>
      </c>
      <c r="Y15" s="328">
        <v>0.6164701034560290895277180400</v>
      </c>
      <c r="Z15" s="327">
        <v>-1.3866184180593690648129043900</v>
      </c>
      <c r="AA15" s="171">
        <v>2.6847517508045040951763238400</v>
      </c>
      <c r="AB15" s="328">
        <v>-0.1400310540326152571351060800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10</v>
      </c>
      <c r="C16" s="347" t="s">
        <v>53</v>
      </c>
      <c r="D16" s="378">
        <v>248.42424242424242424242424242</v>
      </c>
      <c r="E16" s="173">
        <v>228.01589403973509933774834437</v>
      </c>
      <c r="F16" s="379">
        <v>231.79879387457659279120026713</v>
      </c>
      <c r="G16" s="378">
        <v>364.78571428571428571428571429</v>
      </c>
      <c r="H16" s="173">
        <v>202.72</v>
      </c>
      <c r="I16" s="379">
        <v>250.10999013405593494335630834</v>
      </c>
      <c r="J16" s="378">
        <v>0</v>
      </c>
      <c r="K16" s="173">
        <v>0</v>
      </c>
      <c r="L16" s="379">
        <v>154.46815731856586692000366535</v>
      </c>
      <c r="M16" s="378">
        <v>262.84070796460176991150442478</v>
      </c>
      <c r="N16" s="173">
        <v>225.05730994152046783625730994</v>
      </c>
      <c r="O16" s="379">
        <v>224.58189244383934649421375085</v>
      </c>
      <c r="P16" s="4"/>
      <c r="Q16" s="359">
        <v>-5.9398997118881305422630634700</v>
      </c>
      <c r="R16" s="170">
        <v>-0.0141661636901428114526464500</v>
      </c>
      <c r="S16" s="360">
        <v>0.0996977106936445210687012600</v>
      </c>
      <c r="T16" s="359">
        <v>28.769541099350921308174450380</v>
      </c>
      <c r="U16" s="170">
        <v>-2.0673947952863307773569553600</v>
      </c>
      <c r="V16" s="360">
        <v>12.202541766923113927656724060</v>
      </c>
      <c r="W16" s="359">
        <v>0</v>
      </c>
      <c r="X16" s="170">
        <v>-100</v>
      </c>
      <c r="Y16" s="360">
        <v>4.1769004522833950843577363400</v>
      </c>
      <c r="Z16" s="359">
        <v>-1.3763968908889604831385067200</v>
      </c>
      <c r="AA16" s="170">
        <v>-1.0010969239710437369633416300</v>
      </c>
      <c r="AB16" s="360">
        <v>0.2068151153920572557400542400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11</v>
      </c>
      <c r="C17" s="345" t="s">
        <v>49</v>
      </c>
      <c r="D17" s="370">
        <v>164.05263157894736842105263158</v>
      </c>
      <c r="E17" s="172">
        <v>167.36383015423438659122189201</v>
      </c>
      <c r="F17" s="371">
        <v>187.83902579159790947757871081</v>
      </c>
      <c r="G17" s="370">
        <v>293</v>
      </c>
      <c r="H17" s="172">
        <v>187.07006296788290357422190218</v>
      </c>
      <c r="I17" s="371">
        <v>224.9283490730015397252950333</v>
      </c>
      <c r="J17" s="370">
        <v>0</v>
      </c>
      <c r="K17" s="172">
        <v>0</v>
      </c>
      <c r="L17" s="371">
        <v>153.8454019765978428116751958</v>
      </c>
      <c r="M17" s="370">
        <v>165.72727272727272727272727273</v>
      </c>
      <c r="N17" s="172">
        <v>170.22065088757396449704142011</v>
      </c>
      <c r="O17" s="371">
        <v>186.66224018475750577367205543</v>
      </c>
      <c r="P17" s="4"/>
      <c r="Q17" s="327">
        <v>-12.525547089018728352525010840</v>
      </c>
      <c r="R17" s="171">
        <v>-5.1164007574948286197119811100</v>
      </c>
      <c r="S17" s="328">
        <v>-0.1069299635085173413556045500</v>
      </c>
      <c r="T17" s="327">
        <v>0</v>
      </c>
      <c r="U17" s="171">
        <v>-8.885874630813663888119104790</v>
      </c>
      <c r="V17" s="328">
        <v>7.7146113168833528485216647200</v>
      </c>
      <c r="W17" s="327">
        <v>0</v>
      </c>
      <c r="X17" s="171">
        <v>-100</v>
      </c>
      <c r="Y17" s="328">
        <v>4.796591172853362336897730900</v>
      </c>
      <c r="Z17" s="327">
        <v>-11.632612200610776502651407250</v>
      </c>
      <c r="AA17" s="171">
        <v>-4.1445510449607536468854687700</v>
      </c>
      <c r="AB17" s="328">
        <v>0.2969260397504829801347802300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12</v>
      </c>
      <c r="C18" s="347" t="s">
        <v>47</v>
      </c>
      <c r="D18" s="378">
        <v>145.3013698630136986301369863</v>
      </c>
      <c r="E18" s="173">
        <v>166.63152545681387378497228134</v>
      </c>
      <c r="F18" s="379">
        <v>188.29328276730299872465086984</v>
      </c>
      <c r="G18" s="378">
        <v>169</v>
      </c>
      <c r="H18" s="173">
        <v>188.48712469214080218078613545</v>
      </c>
      <c r="I18" s="379">
        <v>243.77858668524414882351464604</v>
      </c>
      <c r="J18" s="378">
        <v>0</v>
      </c>
      <c r="K18" s="173">
        <v>0</v>
      </c>
      <c r="L18" s="379">
        <v>151.16770914954965559033249275</v>
      </c>
      <c r="M18" s="378">
        <v>148.4047619047619047619047619</v>
      </c>
      <c r="N18" s="173">
        <v>170.1608</v>
      </c>
      <c r="O18" s="379">
        <v>194.70197668525088697415103903</v>
      </c>
      <c r="P18" s="4"/>
      <c r="Q18" s="359">
        <v>-5.560855242211772716320123600</v>
      </c>
      <c r="R18" s="170">
        <v>-7.4053902012356767760544268300</v>
      </c>
      <c r="S18" s="360">
        <v>-0.7681071173541580103803109500</v>
      </c>
      <c r="T18" s="359">
        <v>0</v>
      </c>
      <c r="U18" s="170">
        <v>-6.0030182033483986523532914400</v>
      </c>
      <c r="V18" s="360">
        <v>16.533226661984620983499886860</v>
      </c>
      <c r="W18" s="359">
        <v>0</v>
      </c>
      <c r="X18" s="170">
        <v>-100</v>
      </c>
      <c r="Y18" s="360">
        <v>-2.1319358014718964469972458100</v>
      </c>
      <c r="Z18" s="359">
        <v>-3.5437944908428317595301016900</v>
      </c>
      <c r="AA18" s="170">
        <v>-6.741359274196227923298471800</v>
      </c>
      <c r="AB18" s="360">
        <v>2.2651615809730942440196023600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13</v>
      </c>
      <c r="C19" s="345" t="s">
        <v>48</v>
      </c>
      <c r="D19" s="370">
        <v>157.91358024691358024691358025</v>
      </c>
      <c r="E19" s="172">
        <v>177.67033037852608504535651449</v>
      </c>
      <c r="F19" s="371">
        <v>195.53685132333711219178341657</v>
      </c>
      <c r="G19" s="370">
        <v>169</v>
      </c>
      <c r="H19" s="172">
        <v>190.72010881652331436233186416</v>
      </c>
      <c r="I19" s="371">
        <v>253.56210187318327970561182638</v>
      </c>
      <c r="J19" s="370">
        <v>0</v>
      </c>
      <c r="K19" s="172">
        <v>0</v>
      </c>
      <c r="L19" s="371">
        <v>127.77689848517854278094150901</v>
      </c>
      <c r="M19" s="370">
        <v>159.23913043478260869565217391</v>
      </c>
      <c r="N19" s="172">
        <v>179.76164102564102564102564104</v>
      </c>
      <c r="O19" s="371">
        <v>201.04808877928483353884093711</v>
      </c>
      <c r="P19" s="4"/>
      <c r="Q19" s="327">
        <v>3.6153397959924425477974264900</v>
      </c>
      <c r="R19" s="171">
        <v>-8.53958571368253598513033700</v>
      </c>
      <c r="S19" s="328">
        <v>-1.3254656766337089761685823300</v>
      </c>
      <c r="T19" s="327">
        <v>0</v>
      </c>
      <c r="U19" s="171">
        <v>-9.341453451356624849654834740</v>
      </c>
      <c r="V19" s="328">
        <v>17.155028583571062333883762660</v>
      </c>
      <c r="W19" s="327">
        <v>0</v>
      </c>
      <c r="X19" s="171">
        <v>-100</v>
      </c>
      <c r="Y19" s="328">
        <v>-14.589619521767061146538708620</v>
      </c>
      <c r="Z19" s="327">
        <v>4.4851024403320540846857472300</v>
      </c>
      <c r="AA19" s="171">
        <v>-8.763190762120056311346296820</v>
      </c>
      <c r="AB19" s="328">
        <v>1.4120719186807644707012806700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14</v>
      </c>
      <c r="C20" s="347" t="s">
        <v>50</v>
      </c>
      <c r="D20" s="378">
        <v>150.6265060240963855421686747</v>
      </c>
      <c r="E20" s="173">
        <v>171.66194773283825058499413966</v>
      </c>
      <c r="F20" s="379">
        <v>193.90462743343319857772283028</v>
      </c>
      <c r="G20" s="378">
        <v>169</v>
      </c>
      <c r="H20" s="173">
        <v>187.04945140381585129072895316</v>
      </c>
      <c r="I20" s="379">
        <v>246.11542109399812118912019081</v>
      </c>
      <c r="J20" s="378">
        <v>0</v>
      </c>
      <c r="K20" s="173">
        <v>0</v>
      </c>
      <c r="L20" s="379">
        <v>155.37456964799393747275181162</v>
      </c>
      <c r="M20" s="378">
        <v>152.77659574468085106382978723</v>
      </c>
      <c r="N20" s="173">
        <v>174.02925598991172761664564943</v>
      </c>
      <c r="O20" s="379">
        <v>203.80325361512791991101223582</v>
      </c>
      <c r="P20" s="4"/>
      <c r="Q20" s="359">
        <v>-3.256795965889883560230957600</v>
      </c>
      <c r="R20" s="170">
        <v>-3.78650072488124381092706300</v>
      </c>
      <c r="S20" s="360">
        <v>-0.7827492435056138653150898400</v>
      </c>
      <c r="T20" s="359">
        <v>0</v>
      </c>
      <c r="U20" s="170">
        <v>-11.063183672160071180910990270</v>
      </c>
      <c r="V20" s="360">
        <v>15.148988131949916473390715660</v>
      </c>
      <c r="W20" s="359">
        <v>0</v>
      </c>
      <c r="X20" s="170">
        <v>-100</v>
      </c>
      <c r="Y20" s="360">
        <v>2.3440785115854915600812409700</v>
      </c>
      <c r="Z20" s="359">
        <v>-1.8758533016759899506322162300</v>
      </c>
      <c r="AA20" s="170">
        <v>-4.8698122586749518512821301900</v>
      </c>
      <c r="AB20" s="360">
        <v>3.9596131625500054530012018900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15</v>
      </c>
      <c r="C21" s="345" t="s">
        <v>51</v>
      </c>
      <c r="D21" s="370">
        <v>168.40625</v>
      </c>
      <c r="E21" s="172">
        <v>180.94498631395079428455467856</v>
      </c>
      <c r="F21" s="371">
        <v>206.87168098620459952202862562</v>
      </c>
      <c r="G21" s="370">
        <v>169</v>
      </c>
      <c r="H21" s="172">
        <v>192.18923318227308957202503783</v>
      </c>
      <c r="I21" s="371">
        <v>230.54548933076771059731798811</v>
      </c>
      <c r="J21" s="370">
        <v>0</v>
      </c>
      <c r="K21" s="172">
        <v>0</v>
      </c>
      <c r="L21" s="371">
        <v>153.04254725205023249986292809</v>
      </c>
      <c r="M21" s="370">
        <v>168.46728971962616822429906542</v>
      </c>
      <c r="N21" s="172">
        <v>181.7335792019347037484885127</v>
      </c>
      <c r="O21" s="371">
        <v>206.82131324004305705059203445</v>
      </c>
      <c r="P21" s="4"/>
      <c r="Q21" s="327">
        <v>-13.556046297226931083258496540</v>
      </c>
      <c r="R21" s="171">
        <v>-8.209656503896694929842355230</v>
      </c>
      <c r="S21" s="328">
        <v>0.2927879526607325041692578900</v>
      </c>
      <c r="T21" s="327">
        <v>0</v>
      </c>
      <c r="U21" s="171">
        <v>-12.380895903716818322674585800</v>
      </c>
      <c r="V21" s="328">
        <v>8.128373439136671318606905900</v>
      </c>
      <c r="W21" s="327">
        <v>0</v>
      </c>
      <c r="X21" s="171">
        <v>-100</v>
      </c>
      <c r="Y21" s="328">
        <v>4.7628780338059145995654476900</v>
      </c>
      <c r="Z21" s="327">
        <v>-13.524714237416830599227164150</v>
      </c>
      <c r="AA21" s="171">
        <v>-8.481991595548638033047871470</v>
      </c>
      <c r="AB21" s="328">
        <v>1.8409608838959258255218996400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16</v>
      </c>
      <c r="C22" s="347" t="s">
        <v>52</v>
      </c>
      <c r="D22" s="378">
        <v>260.22807017543859649122807018</v>
      </c>
      <c r="E22" s="173">
        <v>237.575355999202069757268792</v>
      </c>
      <c r="F22" s="379">
        <v>238.57596759605351735053216198</v>
      </c>
      <c r="G22" s="378">
        <v>0</v>
      </c>
      <c r="H22" s="173">
        <v>295.23918684316506963953790181</v>
      </c>
      <c r="I22" s="379">
        <v>230.53192296942985181162599712</v>
      </c>
      <c r="J22" s="378">
        <v>0</v>
      </c>
      <c r="K22" s="173">
        <v>0</v>
      </c>
      <c r="L22" s="379">
        <v>158.49972563882665489938140433</v>
      </c>
      <c r="M22" s="378">
        <v>260.22807017543859649122807018</v>
      </c>
      <c r="N22" s="173">
        <v>244.81427038626609442060085837</v>
      </c>
      <c r="O22" s="379">
        <v>229.9616125150421179302045728</v>
      </c>
      <c r="P22" s="4"/>
      <c r="Q22" s="359">
        <v>0.8741602565764204145926959900</v>
      </c>
      <c r="R22" s="170">
        <v>-6.6183302687853155557822183800</v>
      </c>
      <c r="S22" s="360">
        <v>0.9405365859576283211413938600</v>
      </c>
      <c r="T22" s="359">
        <v>0</v>
      </c>
      <c r="U22" s="170">
        <v>13.174623453769581597294732480</v>
      </c>
      <c r="V22" s="360">
        <v>2.3090386888863287275049983700</v>
      </c>
      <c r="W22" s="359">
        <v>0</v>
      </c>
      <c r="X22" s="170">
        <v>-100</v>
      </c>
      <c r="Y22" s="360">
        <v>7.0779911384078975525211728500</v>
      </c>
      <c r="Z22" s="359">
        <v>0.8741602565764204145926959900</v>
      </c>
      <c r="AA22" s="170">
        <v>-3.492978271615887123815432900</v>
      </c>
      <c r="AB22" s="360">
        <v>0.7706268111028434499683060700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17</v>
      </c>
      <c r="C23" s="345" t="s">
        <v>53</v>
      </c>
      <c r="D23" s="370">
        <v>288.45669291338582677165354331</v>
      </c>
      <c r="E23" s="172">
        <v>265.30956910129023809977515297</v>
      </c>
      <c r="F23" s="371">
        <v>235.55368793832105537013924784</v>
      </c>
      <c r="G23" s="370">
        <v>0</v>
      </c>
      <c r="H23" s="172">
        <v>274.11821384474530555586391718</v>
      </c>
      <c r="I23" s="371">
        <v>222.62772689236764704155284208</v>
      </c>
      <c r="J23" s="370">
        <v>0</v>
      </c>
      <c r="K23" s="172">
        <v>0</v>
      </c>
      <c r="L23" s="371">
        <v>154.70964002369222553655945392</v>
      </c>
      <c r="M23" s="370">
        <v>288.45669291338582677165354331</v>
      </c>
      <c r="N23" s="172">
        <v>266.43615307150050352467270894</v>
      </c>
      <c r="O23" s="371">
        <v>226.74874010079193664506839453</v>
      </c>
      <c r="P23" s="4"/>
      <c r="Q23" s="327">
        <v>3.7990806759759846514002311900</v>
      </c>
      <c r="R23" s="171">
        <v>0.7065305934804539674901158900</v>
      </c>
      <c r="S23" s="328">
        <v>-1.3580925141515459009088108600</v>
      </c>
      <c r="T23" s="327">
        <v>0</v>
      </c>
      <c r="U23" s="171">
        <v>-2.638197500487987463079931400</v>
      </c>
      <c r="V23" s="328">
        <v>3.1903993389409261510286299100</v>
      </c>
      <c r="W23" s="327">
        <v>0</v>
      </c>
      <c r="X23" s="171">
        <v>-100</v>
      </c>
      <c r="Y23" s="328">
        <v>4.608961780479567747692120600</v>
      </c>
      <c r="Z23" s="327">
        <v>3.7990806759759846514002311900</v>
      </c>
      <c r="AA23" s="171">
        <v>1.2888371952153550600570189300</v>
      </c>
      <c r="AB23" s="328">
        <v>-0.9750834339393514986266116700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18</v>
      </c>
      <c r="C24" s="347" t="s">
        <v>49</v>
      </c>
      <c r="D24" s="378">
        <v>200.98019801980198019801980198</v>
      </c>
      <c r="E24" s="173">
        <v>227.68739601670165060461569193</v>
      </c>
      <c r="F24" s="379">
        <v>194.86547426817902658923709096</v>
      </c>
      <c r="G24" s="378">
        <v>151.41176470588235294117647059</v>
      </c>
      <c r="H24" s="173">
        <v>232.98513247340823896824626934</v>
      </c>
      <c r="I24" s="379">
        <v>236.68012179753942741019925987</v>
      </c>
      <c r="J24" s="378">
        <v>0</v>
      </c>
      <c r="K24" s="173">
        <v>0</v>
      </c>
      <c r="L24" s="379">
        <v>154.57854580478085775914782524</v>
      </c>
      <c r="M24" s="378">
        <v>193.83898305084745762711864407</v>
      </c>
      <c r="N24" s="173">
        <v>228.80210412147505422993492405</v>
      </c>
      <c r="O24" s="379">
        <v>196.95494142385100630820066086</v>
      </c>
      <c r="P24" s="4"/>
      <c r="Q24" s="359">
        <v>6.5197003994689982095233709500</v>
      </c>
      <c r="R24" s="170">
        <v>30.305610926624806212704346290</v>
      </c>
      <c r="S24" s="360">
        <v>1.3830926614712434124408020700</v>
      </c>
      <c r="T24" s="359">
        <v>0</v>
      </c>
      <c r="U24" s="170">
        <v>37.237718706109421108231378030</v>
      </c>
      <c r="V24" s="360">
        <v>9.832853261010659767079915520</v>
      </c>
      <c r="W24" s="359">
        <v>0</v>
      </c>
      <c r="X24" s="170">
        <v>-100</v>
      </c>
      <c r="Y24" s="360">
        <v>5.8062617059805829778431710300</v>
      </c>
      <c r="Z24" s="359">
        <v>2.7348495212432164566381889200</v>
      </c>
      <c r="AA24" s="170">
        <v>31.210644377844816105170549220</v>
      </c>
      <c r="AB24" s="360">
        <v>3.2060188925835590766708626400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19</v>
      </c>
      <c r="C25" s="345" t="s">
        <v>47</v>
      </c>
      <c r="D25" s="370">
        <v>216.2</v>
      </c>
      <c r="E25" s="172">
        <v>243.55653681690684815066629651</v>
      </c>
      <c r="F25" s="371">
        <v>199.52971434353715589920178575</v>
      </c>
      <c r="G25" s="370">
        <v>139.08823529411764705882352941</v>
      </c>
      <c r="H25" s="172">
        <v>227.84724387089647099093765626</v>
      </c>
      <c r="I25" s="371">
        <v>223.60980051953739256779466581</v>
      </c>
      <c r="J25" s="370">
        <v>0</v>
      </c>
      <c r="K25" s="172">
        <v>0</v>
      </c>
      <c r="L25" s="371">
        <v>149.93504687866145756105504253</v>
      </c>
      <c r="M25" s="370">
        <v>194.1680672268907563025210084</v>
      </c>
      <c r="N25" s="172">
        <v>239.36508269018743109151047409</v>
      </c>
      <c r="O25" s="371">
        <v>198.91045454545454545454545455</v>
      </c>
      <c r="P25" s="4"/>
      <c r="Q25" s="327">
        <v>44.917788599288437190168842950</v>
      </c>
      <c r="R25" s="171">
        <v>46.056613372221804766204192790</v>
      </c>
      <c r="S25" s="328">
        <v>3.8833366505149884333538812800</v>
      </c>
      <c r="T25" s="327">
        <v>0</v>
      </c>
      <c r="U25" s="171">
        <v>22.989805576716570873616530070</v>
      </c>
      <c r="V25" s="328">
        <v>2.1434788040735543829948211700</v>
      </c>
      <c r="W25" s="327">
        <v>0</v>
      </c>
      <c r="X25" s="171">
        <v>-100</v>
      </c>
      <c r="Y25" s="328">
        <v>4.8929720364906328181698740800</v>
      </c>
      <c r="Z25" s="327">
        <v>30.149893242918501765251645500</v>
      </c>
      <c r="AA25" s="171">
        <v>42.084745364259447954136750990</v>
      </c>
      <c r="AB25" s="328">
        <v>3.470874842500758621118572600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20</v>
      </c>
      <c r="C26" s="347" t="s">
        <v>48</v>
      </c>
      <c r="D26" s="378">
        <v>223.81428571428571428571428571</v>
      </c>
      <c r="E26" s="173">
        <v>244.69358410019557169798142068</v>
      </c>
      <c r="F26" s="379">
        <v>200.84999402252910868015409984</v>
      </c>
      <c r="G26" s="378">
        <v>171.3125</v>
      </c>
      <c r="H26" s="173">
        <v>230.1105556554756195043964828</v>
      </c>
      <c r="I26" s="379">
        <v>213.40118561514636678917454332</v>
      </c>
      <c r="J26" s="378">
        <v>0</v>
      </c>
      <c r="K26" s="173">
        <v>0</v>
      </c>
      <c r="L26" s="379">
        <v>143.73546421106929131314307574</v>
      </c>
      <c r="M26" s="378">
        <v>202.45762711864406779661016949</v>
      </c>
      <c r="N26" s="173">
        <v>240.36346985210466439135381115</v>
      </c>
      <c r="O26" s="379">
        <v>197.815073584064218819681879</v>
      </c>
      <c r="P26" s="4"/>
      <c r="Q26" s="359">
        <v>68.136939257333318637126278890</v>
      </c>
      <c r="R26" s="170">
        <v>50.233551018098286659549317490</v>
      </c>
      <c r="S26" s="360">
        <v>2.5239529387813321013680729500</v>
      </c>
      <c r="T26" s="359">
        <v>0</v>
      </c>
      <c r="U26" s="170">
        <v>33.666790452325782410222668140</v>
      </c>
      <c r="V26" s="360">
        <v>1.6737384514318994203922851900</v>
      </c>
      <c r="W26" s="359">
        <v>0</v>
      </c>
      <c r="X26" s="170">
        <v>-100</v>
      </c>
      <c r="Y26" s="360">
        <v>-1.8188784336328562572749018800</v>
      </c>
      <c r="Z26" s="359">
        <v>52.093087554234426002223326040</v>
      </c>
      <c r="AA26" s="170">
        <v>46.515630851085133606926497380</v>
      </c>
      <c r="AB26" s="360">
        <v>1.8834919680879582812670970200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21</v>
      </c>
      <c r="C27" s="345" t="s">
        <v>50</v>
      </c>
      <c r="D27" s="370">
        <v>194.44736842105263157894736842</v>
      </c>
      <c r="E27" s="172">
        <v>212.22930174651524015088858855</v>
      </c>
      <c r="F27" s="371">
        <v>195.39361975585292019417818103</v>
      </c>
      <c r="G27" s="370">
        <v>167.18</v>
      </c>
      <c r="H27" s="172">
        <v>230.84115415903865342067589258</v>
      </c>
      <c r="I27" s="371">
        <v>207.51708409713615309537459347</v>
      </c>
      <c r="J27" s="370">
        <v>0</v>
      </c>
      <c r="K27" s="172">
        <v>0</v>
      </c>
      <c r="L27" s="371">
        <v>148.44211567663632062093246781</v>
      </c>
      <c r="M27" s="370">
        <v>183.62698412698412698412698413</v>
      </c>
      <c r="N27" s="172">
        <v>218.13674019607843137254901961</v>
      </c>
      <c r="O27" s="371">
        <v>193.32009590888655777011838753</v>
      </c>
      <c r="P27" s="4"/>
      <c r="Q27" s="327">
        <v>35.632279811802249618748780060</v>
      </c>
      <c r="R27" s="171">
        <v>41.071722897651469975304922290</v>
      </c>
      <c r="S27" s="328">
        <v>3.9842145911320511177280893200</v>
      </c>
      <c r="T27" s="327">
        <v>0</v>
      </c>
      <c r="U27" s="171">
        <v>29.428284304414041470194996720</v>
      </c>
      <c r="V27" s="328">
        <v>1.9174397802720556421109699600</v>
      </c>
      <c r="W27" s="327">
        <v>0</v>
      </c>
      <c r="X27" s="171">
        <v>-100</v>
      </c>
      <c r="Y27" s="328">
        <v>-5.5104173542257240938598284200</v>
      </c>
      <c r="Z27" s="327">
        <v>28.084770158360033982627156980</v>
      </c>
      <c r="AA27" s="171">
        <v>43.054481642227023776262516930</v>
      </c>
      <c r="AB27" s="328">
        <v>2.9564833686265633100667468400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22</v>
      </c>
      <c r="C28" s="347" t="s">
        <v>51</v>
      </c>
      <c r="D28" s="378">
        <v>200.31325301204819277108433735</v>
      </c>
      <c r="E28" s="173">
        <v>210.63854580558494810483077722</v>
      </c>
      <c r="F28" s="379">
        <v>187.98967150548171138606276182</v>
      </c>
      <c r="G28" s="378">
        <v>164.27906976744186046511627907</v>
      </c>
      <c r="H28" s="173">
        <v>236.19095648732274599094131369</v>
      </c>
      <c r="I28" s="379">
        <v>199.27279080053352857840732518</v>
      </c>
      <c r="J28" s="378">
        <v>0</v>
      </c>
      <c r="K28" s="173">
        <v>0</v>
      </c>
      <c r="L28" s="379">
        <v>186.59938221179352891130601364</v>
      </c>
      <c r="M28" s="378">
        <v>188.01587301587301587301587302</v>
      </c>
      <c r="N28" s="173">
        <v>217.12516014234875444839857651</v>
      </c>
      <c r="O28" s="379">
        <v>190.19248035914702581369248036</v>
      </c>
      <c r="P28" s="4"/>
      <c r="Q28" s="359">
        <v>26.612190515938602723786536160</v>
      </c>
      <c r="R28" s="170">
        <v>10.075615074987641612320475440</v>
      </c>
      <c r="S28" s="360">
        <v>-4.3853958536161295283372609200</v>
      </c>
      <c r="T28" s="359">
        <v>0</v>
      </c>
      <c r="U28" s="170">
        <v>-16.875587615422089919194601820</v>
      </c>
      <c r="V28" s="360">
        <v>-1.7644250247321814427537872700</v>
      </c>
      <c r="W28" s="359">
        <v>0</v>
      </c>
      <c r="X28" s="170">
        <v>-100</v>
      </c>
      <c r="Y28" s="360">
        <v>25.183313617395932530762644230</v>
      </c>
      <c r="Z28" s="359">
        <v>18.839373712704043760919382560</v>
      </c>
      <c r="AA28" s="170">
        <v>9.039470347892717490905758960</v>
      </c>
      <c r="AB28" s="360">
        <v>-1.7512633922830070571838969500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23</v>
      </c>
      <c r="C29" s="345" t="s">
        <v>52</v>
      </c>
      <c r="D29" s="370">
        <v>244.83157894736842105263157895</v>
      </c>
      <c r="E29" s="172">
        <v>237.51217366048073177501819924</v>
      </c>
      <c r="F29" s="371">
        <v>219.58429233797014363050847147</v>
      </c>
      <c r="G29" s="370">
        <v>279</v>
      </c>
      <c r="H29" s="172">
        <v>281.1829667657561173962702228</v>
      </c>
      <c r="I29" s="371">
        <v>202.3665288447684580862533406</v>
      </c>
      <c r="J29" s="370">
        <v>0</v>
      </c>
      <c r="K29" s="172">
        <v>0</v>
      </c>
      <c r="L29" s="371">
        <v>174.81190836079739647143568304</v>
      </c>
      <c r="M29" s="370">
        <v>245.53608247422680412371134021</v>
      </c>
      <c r="N29" s="172">
        <v>241.01570621468926553672316384</v>
      </c>
      <c r="O29" s="371">
        <v>213.28408495018353434714210802</v>
      </c>
      <c r="P29" s="4"/>
      <c r="Q29" s="327">
        <v>4.8471678812804128516051589100</v>
      </c>
      <c r="R29" s="171">
        <v>-10.813714787183170791902029720</v>
      </c>
      <c r="S29" s="328">
        <v>-5.2261203092224426895200606600</v>
      </c>
      <c r="T29" s="327">
        <v>0</v>
      </c>
      <c r="U29" s="171">
        <v>-2.8410131634869809104524532400</v>
      </c>
      <c r="V29" s="328">
        <v>-7.2420532572754115443908111400</v>
      </c>
      <c r="W29" s="327">
        <v>0</v>
      </c>
      <c r="X29" s="171">
        <v>-100</v>
      </c>
      <c r="Y29" s="328">
        <v>11.691071619592803089923970700</v>
      </c>
      <c r="Z29" s="327">
        <v>5.1488658888293241654974514400</v>
      </c>
      <c r="AA29" s="171">
        <v>-9.854062107420548786763759240</v>
      </c>
      <c r="AB29" s="328">
        <v>-4.9037243149109527420288931700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24</v>
      </c>
      <c r="C30" s="347" t="s">
        <v>53</v>
      </c>
      <c r="D30" s="378">
        <v>274.97478991596638655462184874</v>
      </c>
      <c r="E30" s="173">
        <v>276.95338983050847457627118644</v>
      </c>
      <c r="F30" s="379">
        <v>245.63716240011924781800718492</v>
      </c>
      <c r="G30" s="378">
        <v>279</v>
      </c>
      <c r="H30" s="173">
        <v>293.28358208955223880597014925</v>
      </c>
      <c r="I30" s="379">
        <v>208.66997323811512925158449152</v>
      </c>
      <c r="J30" s="378">
        <v>0</v>
      </c>
      <c r="K30" s="173">
        <v>0</v>
      </c>
      <c r="L30" s="379">
        <v>161.11144221680725582573471488</v>
      </c>
      <c r="M30" s="378">
        <v>275.00833333333333333333333333</v>
      </c>
      <c r="N30" s="173">
        <v>278.03560830860534124629080119</v>
      </c>
      <c r="O30" s="379">
        <v>234.4</v>
      </c>
      <c r="P30" s="4"/>
      <c r="Q30" s="359">
        <v>3.1784599135374364251487541500</v>
      </c>
      <c r="R30" s="170">
        <v>-8.860571212675840661938259120</v>
      </c>
      <c r="S30" s="360">
        <v>-3.1119371251187136970490896700</v>
      </c>
      <c r="T30" s="359">
        <v>0</v>
      </c>
      <c r="U30" s="170">
        <v>1.4730432571780307463410604800</v>
      </c>
      <c r="V30" s="360">
        <v>-3.4619317983156790598465973800</v>
      </c>
      <c r="W30" s="359">
        <v>0</v>
      </c>
      <c r="X30" s="170">
        <v>-100</v>
      </c>
      <c r="Y30" s="360">
        <v>8.248612860473095929087046390</v>
      </c>
      <c r="Z30" s="359">
        <v>3.1910463697184421786804367700</v>
      </c>
      <c r="AA30" s="170">
        <v>-7.9187565082273224488726997300</v>
      </c>
      <c r="AB30" s="360">
        <v>-3.7106784258665876282347557100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25</v>
      </c>
      <c r="C31" s="345" t="s">
        <v>49</v>
      </c>
      <c r="D31" s="370">
        <v>186.29921259842519685039370079</v>
      </c>
      <c r="E31" s="172">
        <v>197.3216940089598589623580634</v>
      </c>
      <c r="F31" s="371">
        <v>196.43178721230795511420880009</v>
      </c>
      <c r="G31" s="370">
        <v>0</v>
      </c>
      <c r="H31" s="172">
        <v>293.71724743839135252224039219</v>
      </c>
      <c r="I31" s="371">
        <v>207.05055337544190679669726736</v>
      </c>
      <c r="J31" s="370">
        <v>0</v>
      </c>
      <c r="K31" s="172">
        <v>0</v>
      </c>
      <c r="L31" s="371">
        <v>158.08185948741383878654613069</v>
      </c>
      <c r="M31" s="370">
        <v>186.29921259842519685039370079</v>
      </c>
      <c r="N31" s="172">
        <v>203.61520130576713819368879215</v>
      </c>
      <c r="O31" s="371">
        <v>193.81076627300192254875034331</v>
      </c>
      <c r="P31" s="4"/>
      <c r="Q31" s="327">
        <v>-1.7511997715539748722552936100</v>
      </c>
      <c r="R31" s="171">
        <v>-10.360399814748123393781159870</v>
      </c>
      <c r="S31" s="328">
        <v>-6.2244518868608013561151226300</v>
      </c>
      <c r="T31" s="327">
        <v>0</v>
      </c>
      <c r="U31" s="171">
        <v>1.6519399776432378715528486900</v>
      </c>
      <c r="V31" s="328">
        <v>-3.6238359242760407344826792100</v>
      </c>
      <c r="W31" s="327">
        <v>0</v>
      </c>
      <c r="X31" s="171">
        <v>-100</v>
      </c>
      <c r="Y31" s="328">
        <v>5.2075656511176734087509702700</v>
      </c>
      <c r="Z31" s="327">
        <v>-1.7511997715539748722552936100</v>
      </c>
      <c r="AA31" s="171">
        <v>-9.527545341308907148228773610</v>
      </c>
      <c r="AB31" s="328">
        <v>-5.525850265119147344205827500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26</v>
      </c>
      <c r="C32" s="347" t="s">
        <v>47</v>
      </c>
      <c r="D32" s="378">
        <v>132.52577319587628865979381443</v>
      </c>
      <c r="E32" s="173">
        <v>149.21547113769833533421577379</v>
      </c>
      <c r="F32" s="379">
        <v>165.27730126932087085363614732</v>
      </c>
      <c r="G32" s="378">
        <v>0</v>
      </c>
      <c r="H32" s="173">
        <v>234.00131257888094236432477912</v>
      </c>
      <c r="I32" s="379">
        <v>188.82478835906358880808170555</v>
      </c>
      <c r="J32" s="378">
        <v>0</v>
      </c>
      <c r="K32" s="173">
        <v>0</v>
      </c>
      <c r="L32" s="379">
        <v>153.68588546710458531344054528</v>
      </c>
      <c r="M32" s="378">
        <v>132.52577319587628865979381443</v>
      </c>
      <c r="N32" s="173">
        <v>149.763360258481421647819063</v>
      </c>
      <c r="O32" s="379">
        <v>165.83451118963486454652532391</v>
      </c>
      <c r="P32" s="4"/>
      <c r="Q32" s="359">
        <v>-16.655596115810380280074757980</v>
      </c>
      <c r="R32" s="170">
        <v>-1.355175515007312235861024300</v>
      </c>
      <c r="S32" s="360">
        <v>-2.7249188187864884258845661800</v>
      </c>
      <c r="T32" s="359">
        <v>0</v>
      </c>
      <c r="U32" s="170">
        <v>-2.6010523688125625493734334900</v>
      </c>
      <c r="V32" s="360">
        <v>-8.641472634457963043193243150</v>
      </c>
      <c r="W32" s="359">
        <v>0</v>
      </c>
      <c r="X32" s="170">
        <v>-100</v>
      </c>
      <c r="Y32" s="360">
        <v>4.058304844195106643181964300</v>
      </c>
      <c r="Z32" s="359">
        <v>-16.655596115810380280074757980</v>
      </c>
      <c r="AA32" s="170">
        <v>-1.6842314496533702144747061900</v>
      </c>
      <c r="AB32" s="360">
        <v>-2.1336668174159435317808285600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27</v>
      </c>
      <c r="C33" s="345" t="s">
        <v>48</v>
      </c>
      <c r="D33" s="370">
        <v>118.80681818181818181818181818</v>
      </c>
      <c r="E33" s="172">
        <v>142.87568170206255139985191378</v>
      </c>
      <c r="F33" s="371">
        <v>165.71829468214058354086829033</v>
      </c>
      <c r="G33" s="370">
        <v>0</v>
      </c>
      <c r="H33" s="172">
        <v>222.69159581289686780625379489</v>
      </c>
      <c r="I33" s="371">
        <v>215.52631280251925958167517434</v>
      </c>
      <c r="J33" s="370">
        <v>0</v>
      </c>
      <c r="K33" s="172">
        <v>0</v>
      </c>
      <c r="L33" s="371">
        <v>153.9396708639000484800626415</v>
      </c>
      <c r="M33" s="370">
        <v>118.80681818181818181818181818</v>
      </c>
      <c r="N33" s="172">
        <v>144.72195729537366548042704627</v>
      </c>
      <c r="O33" s="371">
        <v>169.23695080736012016522718738</v>
      </c>
      <c r="P33" s="4"/>
      <c r="Q33" s="327">
        <v>-13.513986013974331072304804310</v>
      </c>
      <c r="R33" s="171">
        <v>-7.7418869774191826106933701800</v>
      </c>
      <c r="S33" s="328">
        <v>-1.9216597496478459519512733200</v>
      </c>
      <c r="T33" s="327">
        <v>0</v>
      </c>
      <c r="U33" s="171">
        <v>-11.435378491458926865754341940</v>
      </c>
      <c r="V33" s="328">
        <v>5.9768634219763112861888153300</v>
      </c>
      <c r="W33" s="327">
        <v>0</v>
      </c>
      <c r="X33" s="171">
        <v>-100</v>
      </c>
      <c r="Y33" s="328">
        <v>5.3651576755996443727018312100</v>
      </c>
      <c r="Z33" s="327">
        <v>-13.513986013974331072304804310</v>
      </c>
      <c r="AA33" s="171">
        <v>-7.319930402929147537870532200</v>
      </c>
      <c r="AB33" s="328">
        <v>0.5279271701405867116326286600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28</v>
      </c>
      <c r="C34" s="347" t="s">
        <v>50</v>
      </c>
      <c r="D34" s="378">
        <v>126.5</v>
      </c>
      <c r="E34" s="173">
        <v>162.19908116385911179173047475</v>
      </c>
      <c r="F34" s="379">
        <v>171.37352885030835630860188587</v>
      </c>
      <c r="G34" s="378">
        <v>0</v>
      </c>
      <c r="H34" s="173">
        <v>226.53571428571428571428571431</v>
      </c>
      <c r="I34" s="379">
        <v>224.95956997257353126937627153</v>
      </c>
      <c r="J34" s="378">
        <v>0</v>
      </c>
      <c r="K34" s="173">
        <v>0</v>
      </c>
      <c r="L34" s="379">
        <v>143.16931929409654740815596302</v>
      </c>
      <c r="M34" s="378">
        <v>126.500000000</v>
      </c>
      <c r="N34" s="173">
        <v>167.28067700987306064880112836</v>
      </c>
      <c r="O34" s="379">
        <v>175.75508853218600033096144299</v>
      </c>
      <c r="P34" s="4"/>
      <c r="Q34" s="359">
        <v>-7.912644405766234363386246800</v>
      </c>
      <c r="R34" s="170">
        <v>10.040811648194398074217381540</v>
      </c>
      <c r="S34" s="360">
        <v>-1.5867996272733670021874714800</v>
      </c>
      <c r="T34" s="359">
        <v>0</v>
      </c>
      <c r="U34" s="170">
        <v>14.900516425064375425314223290</v>
      </c>
      <c r="V34" s="360">
        <v>7.903000466499109905059441800</v>
      </c>
      <c r="W34" s="359">
        <v>0</v>
      </c>
      <c r="X34" s="170">
        <v>-100</v>
      </c>
      <c r="Y34" s="360">
        <v>-11.437585402404052407497365890</v>
      </c>
      <c r="Z34" s="359">
        <v>-7.912644405766234363386246800</v>
      </c>
      <c r="AA34" s="170">
        <v>12.336933043254678619971642070</v>
      </c>
      <c r="AB34" s="360">
        <v>0.3305690408173704250389919600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29</v>
      </c>
      <c r="C35" s="345" t="s">
        <v>51</v>
      </c>
      <c r="D35" s="370">
        <v>155.88</v>
      </c>
      <c r="E35" s="172">
        <v>167.42595030590468428277282086</v>
      </c>
      <c r="F35" s="371">
        <v>172.41822812218813390440450876</v>
      </c>
      <c r="G35" s="370">
        <v>0</v>
      </c>
      <c r="H35" s="172">
        <v>228.94875369959677419354838709</v>
      </c>
      <c r="I35" s="371">
        <v>215.39234005484120304419463853</v>
      </c>
      <c r="J35" s="370">
        <v>0</v>
      </c>
      <c r="K35" s="172">
        <v>0</v>
      </c>
      <c r="L35" s="371">
        <v>149.28172097022363059935023566</v>
      </c>
      <c r="M35" s="370">
        <v>155.880000000</v>
      </c>
      <c r="N35" s="172">
        <v>174.64693661971830985915492958</v>
      </c>
      <c r="O35" s="371">
        <v>175.66621025406967898980678533</v>
      </c>
      <c r="P35" s="4"/>
      <c r="Q35" s="327">
        <v>0.459720730375841091142776400</v>
      </c>
      <c r="R35" s="171">
        <v>-8.008871837816965968488292990</v>
      </c>
      <c r="S35" s="328">
        <v>-6.3685355161129851048906051600</v>
      </c>
      <c r="T35" s="327">
        <v>0</v>
      </c>
      <c r="U35" s="171">
        <v>3.448747516407464410695212900</v>
      </c>
      <c r="V35" s="328">
        <v>1.5199655741300835100744957700</v>
      </c>
      <c r="W35" s="327">
        <v>0</v>
      </c>
      <c r="X35" s="171">
        <v>-100</v>
      </c>
      <c r="Y35" s="328">
        <v>6.6425996141622809275102797800</v>
      </c>
      <c r="Z35" s="327">
        <v>0.459720730375841091142776400</v>
      </c>
      <c r="AA35" s="171">
        <v>-5.6023429280672223498721904900</v>
      </c>
      <c r="AB35" s="328">
        <v>-3.7668091905039103914714046200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30</v>
      </c>
      <c r="C36" s="347" t="s">
        <v>52</v>
      </c>
      <c r="D36" s="378">
        <v>221.08247422680412371134020619</v>
      </c>
      <c r="E36" s="173">
        <v>264.23398596478817830914855014</v>
      </c>
      <c r="F36" s="379">
        <v>214.20370871223220693907853148</v>
      </c>
      <c r="G36" s="378">
        <v>0</v>
      </c>
      <c r="H36" s="173">
        <v>239.75724407366653227960423146</v>
      </c>
      <c r="I36" s="379">
        <v>205.12615340566724445833870599</v>
      </c>
      <c r="J36" s="378">
        <v>0</v>
      </c>
      <c r="K36" s="173">
        <v>0</v>
      </c>
      <c r="L36" s="379">
        <v>134.67710221912338047398018342</v>
      </c>
      <c r="M36" s="378">
        <v>221.08247422680412371134020619</v>
      </c>
      <c r="N36" s="173">
        <v>259.52308553971486761710794297</v>
      </c>
      <c r="O36" s="379">
        <v>205.8424258474576271186440678</v>
      </c>
      <c r="P36" s="4"/>
      <c r="Q36" s="359">
        <v>-10.233786900799655028091700290</v>
      </c>
      <c r="R36" s="170">
        <v>8.326117184143476397858292210</v>
      </c>
      <c r="S36" s="360">
        <v>-0.0873971555170570326662545900</v>
      </c>
      <c r="T36" s="359">
        <v>0</v>
      </c>
      <c r="U36" s="170">
        <v>-0.9706664921053713622387685800</v>
      </c>
      <c r="V36" s="360">
        <v>-0.6940855608185529263769044500</v>
      </c>
      <c r="W36" s="359">
        <v>0</v>
      </c>
      <c r="X36" s="170">
        <v>-100</v>
      </c>
      <c r="Y36" s="360">
        <v>-7.3172087211972232267900722900</v>
      </c>
      <c r="Z36" s="359">
        <v>-10.233786900799655028091700290</v>
      </c>
      <c r="AA36" s="170">
        <v>6.6461917735176038875551641700</v>
      </c>
      <c r="AB36" s="360">
        <v>-1.5096875592899215243468420700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31</v>
      </c>
      <c r="C37" s="349" t="s">
        <v>53</v>
      </c>
      <c r="D37" s="380">
        <v>237.72916666666666666666666667</v>
      </c>
      <c r="E37" s="383">
        <v>245.17735824889386756425751783</v>
      </c>
      <c r="F37" s="381">
        <v>211.0681257910218108155031618</v>
      </c>
      <c r="G37" s="380">
        <v>0</v>
      </c>
      <c r="H37" s="383">
        <v>253.68817206700907496004965084</v>
      </c>
      <c r="I37" s="381">
        <v>208.31160584608845738771972168</v>
      </c>
      <c r="J37" s="380">
        <v>0</v>
      </c>
      <c r="K37" s="383">
        <v>0</v>
      </c>
      <c r="L37" s="381">
        <v>152.65774778104641066287991564</v>
      </c>
      <c r="M37" s="380">
        <v>237.72916666666666666666666667</v>
      </c>
      <c r="N37" s="383">
        <v>246.6597745901639344262295082</v>
      </c>
      <c r="O37" s="381">
        <v>205.38036652569524541842880943</v>
      </c>
      <c r="P37" s="4"/>
      <c r="Q37" s="329">
        <v>-6.6912249686314204330709418700</v>
      </c>
      <c r="R37" s="330">
        <v>-0.0790362022758780141220515400</v>
      </c>
      <c r="S37" s="332">
        <v>-2.4966444913405973063127371300</v>
      </c>
      <c r="T37" s="329">
        <v>0</v>
      </c>
      <c r="U37" s="330">
        <v>0.535945922213958802535742600</v>
      </c>
      <c r="V37" s="332">
        <v>1.8626181569036729855613648800</v>
      </c>
      <c r="W37" s="329">
        <v>0</v>
      </c>
      <c r="X37" s="330">
        <v>-100</v>
      </c>
      <c r="Y37" s="332">
        <v>-0.2438224994426409948209548500</v>
      </c>
      <c r="Z37" s="329">
        <v>-6.6912249686314204330709418700</v>
      </c>
      <c r="AA37" s="330">
        <v>0.4406753102450927637291035500</v>
      </c>
      <c r="AB37" s="332">
        <v>-2.0620708701100952662158911100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201.32345679012345679012345679</v>
      </c>
      <c r="E39" s="382">
        <v>215.75179831685761065538765652</v>
      </c>
      <c r="F39" s="375">
        <v>212.9799103349826605701820116</v>
      </c>
      <c r="G39" s="374">
        <v>329.54347826086956521739130435</v>
      </c>
      <c r="H39" s="382">
        <v>246.90763458975773700459915543</v>
      </c>
      <c r="I39" s="375">
        <v>262.37200188555602015456837641</v>
      </c>
      <c r="J39" s="374">
        <v>0</v>
      </c>
      <c r="K39" s="382">
        <v>0</v>
      </c>
      <c r="L39" s="375">
        <v>161.31413299922961971144813149</v>
      </c>
      <c r="M39" s="374">
        <v>214.4013303769401330376940133</v>
      </c>
      <c r="N39" s="382">
        <v>219.93471525523753319563293006</v>
      </c>
      <c r="O39" s="375">
        <v>214.62211552776537144558582701</v>
      </c>
      <c r="P39" s="4"/>
      <c r="Q39" s="354">
        <v>-8.081092849919109094799705590</v>
      </c>
      <c r="R39" s="355">
        <v>-0.0383613711594973587946502600</v>
      </c>
      <c r="S39" s="356">
        <v>-2.7536331282840424550685503800</v>
      </c>
      <c r="T39" s="354">
        <v>-28.155121240306403549826122500</v>
      </c>
      <c r="U39" s="355">
        <v>-22.958074282953338868600281500</v>
      </c>
      <c r="V39" s="356">
        <v>-5.977340056104384825972751200</v>
      </c>
      <c r="W39" s="354">
        <v>0</v>
      </c>
      <c r="X39" s="355">
        <v>-100</v>
      </c>
      <c r="Y39" s="356">
        <v>5.4217956212952357992326006900</v>
      </c>
      <c r="Z39" s="354">
        <v>-12.528113109788449007652841690</v>
      </c>
      <c r="AA39" s="355">
        <v>-2.5145652800936711272198880600</v>
      </c>
      <c r="AB39" s="356">
        <v>-2.9309926823036619715677971900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170.94705882352941176470588235</v>
      </c>
      <c r="E40" s="172">
        <v>184.13001037748774749232451754</v>
      </c>
      <c r="F40" s="371">
        <v>190.07313000323447424281211529</v>
      </c>
      <c r="G40" s="370">
        <v>146.4</v>
      </c>
      <c r="H40" s="172">
        <v>214.93374647871852382367326382</v>
      </c>
      <c r="I40" s="371">
        <v>229.72846151851260161936832827</v>
      </c>
      <c r="J40" s="370">
        <v>0</v>
      </c>
      <c r="K40" s="172">
        <v>0</v>
      </c>
      <c r="L40" s="371">
        <v>153.48625516925757854314326353</v>
      </c>
      <c r="M40" s="370">
        <v>168.07792207792207792207792208</v>
      </c>
      <c r="N40" s="172">
        <v>189.42456441305079044735956946</v>
      </c>
      <c r="O40" s="371">
        <v>193.39928934429616163285543114</v>
      </c>
      <c r="P40" s="4"/>
      <c r="Q40" s="327">
        <v>7.0240536400432383391915656200</v>
      </c>
      <c r="R40" s="171">
        <v>4.6710398519978437565659186100</v>
      </c>
      <c r="S40" s="328">
        <v>-1.0120891874080943987033764500</v>
      </c>
      <c r="T40" s="327">
        <v>0</v>
      </c>
      <c r="U40" s="171">
        <v>11.459627471823654177382479070</v>
      </c>
      <c r="V40" s="328">
        <v>-1.3267253555738182760621100500</v>
      </c>
      <c r="W40" s="327">
        <v>0</v>
      </c>
      <c r="X40" s="171">
        <v>-100</v>
      </c>
      <c r="Y40" s="328">
        <v>2.1537073233939303770334782100</v>
      </c>
      <c r="Z40" s="327">
        <v>5.2277861460263522718173779500</v>
      </c>
      <c r="AA40" s="171">
        <v>6.751520631865345903607884500</v>
      </c>
      <c r="AB40" s="328">
        <v>-0.9577023802610608021758655800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165.09446254071661237785016287</v>
      </c>
      <c r="E41" s="173">
        <v>187.24606843969040822795530468</v>
      </c>
      <c r="F41" s="379">
        <v>192.54952973553181819806714652</v>
      </c>
      <c r="G41" s="378">
        <v>170.88135593220338983050847458</v>
      </c>
      <c r="H41" s="173">
        <v>221.55317691058617549010648488</v>
      </c>
      <c r="I41" s="379">
        <v>230.4520267698080813210737166</v>
      </c>
      <c r="J41" s="378">
        <v>0</v>
      </c>
      <c r="K41" s="173">
        <v>0</v>
      </c>
      <c r="L41" s="379">
        <v>145.01857841256421825756554966</v>
      </c>
      <c r="M41" s="378">
        <v>166.02732240437158469945355191</v>
      </c>
      <c r="N41" s="173">
        <v>193.79262132717068339385935952</v>
      </c>
      <c r="O41" s="379">
        <v>194.81950847933287896403800666</v>
      </c>
      <c r="P41" s="4"/>
      <c r="Q41" s="359">
        <v>7.0092342884350697794939682700</v>
      </c>
      <c r="R41" s="170">
        <v>5.4516401001503720619723490300</v>
      </c>
      <c r="S41" s="360">
        <v>-0.4057821122306693454406763700</v>
      </c>
      <c r="T41" s="359">
        <v>-21.373609233636687748114756590</v>
      </c>
      <c r="U41" s="170">
        <v>15.023055164116103946058212430</v>
      </c>
      <c r="V41" s="360">
        <v>1.105693627286515795200661800</v>
      </c>
      <c r="W41" s="359">
        <v>0</v>
      </c>
      <c r="X41" s="170">
        <v>-100</v>
      </c>
      <c r="Y41" s="360">
        <v>-0.6473503076369031321111174900</v>
      </c>
      <c r="Z41" s="359">
        <v>6.9936430735837171707306737600</v>
      </c>
      <c r="AA41" s="170">
        <v>8.124966615682525611983797290</v>
      </c>
      <c r="AB41" s="360">
        <v>-0.4516408794921148420000510600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159.72571428571428571428571429</v>
      </c>
      <c r="E42" s="172">
        <v>180.95107078668105393295894077</v>
      </c>
      <c r="F42" s="371">
        <v>194.10799061479777848701586604</v>
      </c>
      <c r="G42" s="370">
        <v>186.53333333333333333333333333</v>
      </c>
      <c r="H42" s="172">
        <v>214.79055231296148386522124951</v>
      </c>
      <c r="I42" s="371">
        <v>230.9402623121066485792783224</v>
      </c>
      <c r="J42" s="370">
        <v>0</v>
      </c>
      <c r="K42" s="172">
        <v>0</v>
      </c>
      <c r="L42" s="371">
        <v>151.5435217815367362770365392</v>
      </c>
      <c r="M42" s="370">
        <v>164.45647058823529411764705882</v>
      </c>
      <c r="N42" s="172">
        <v>187.2340063694267515923566879</v>
      </c>
      <c r="O42" s="371">
        <v>197.63281132923722463659523453</v>
      </c>
      <c r="P42" s="4"/>
      <c r="Q42" s="327">
        <v>-0.1076611936406498211457342200</v>
      </c>
      <c r="R42" s="171">
        <v>8.651654780738060805589908460</v>
      </c>
      <c r="S42" s="328">
        <v>1.0766340801817010321689330900</v>
      </c>
      <c r="T42" s="327">
        <v>-12.425665101721439749608763690</v>
      </c>
      <c r="U42" s="171">
        <v>10.250289894234958153578490940</v>
      </c>
      <c r="V42" s="328">
        <v>2.3764084947248804400019413700</v>
      </c>
      <c r="W42" s="327">
        <v>0</v>
      </c>
      <c r="X42" s="171">
        <v>-100</v>
      </c>
      <c r="Y42" s="328">
        <v>-1.1765932294746450176742235700</v>
      </c>
      <c r="Z42" s="327">
        <v>1.5420988999438732453441236800</v>
      </c>
      <c r="AA42" s="171">
        <v>10.60229167338241665992161300</v>
      </c>
      <c r="AB42" s="328">
        <v>1.3727673032513498463839258700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180.01851851851851851851851852</v>
      </c>
      <c r="E43" s="173">
        <v>188.28164162555274963068546902</v>
      </c>
      <c r="F43" s="379">
        <v>202.21025673648469378202842125</v>
      </c>
      <c r="G43" s="378">
        <v>188.47058823529411764705882353</v>
      </c>
      <c r="H43" s="173">
        <v>221.63178394420233880834881081</v>
      </c>
      <c r="I43" s="379">
        <v>219.97932713432155384353652528</v>
      </c>
      <c r="J43" s="378">
        <v>0</v>
      </c>
      <c r="K43" s="173">
        <v>0</v>
      </c>
      <c r="L43" s="379">
        <v>157.40125001848819835525568811</v>
      </c>
      <c r="M43" s="378">
        <v>181.30717488789237668161434978</v>
      </c>
      <c r="N43" s="173">
        <v>192.76957302709069493521790342</v>
      </c>
      <c r="O43" s="379">
        <v>201.06935263875773790787955094</v>
      </c>
      <c r="P43" s="4"/>
      <c r="Q43" s="359">
        <v>2.5131680459088667371139200700</v>
      </c>
      <c r="R43" s="170">
        <v>0.2189614160286968759214263200</v>
      </c>
      <c r="S43" s="360">
        <v>0.5452221519903724082639168800</v>
      </c>
      <c r="T43" s="359">
        <v>-9.633520774207195614236104990</v>
      </c>
      <c r="U43" s="170">
        <v>-6.8814641694989027508712478200</v>
      </c>
      <c r="V43" s="360">
        <v>2.9737176900791493106343821700</v>
      </c>
      <c r="W43" s="359">
        <v>0</v>
      </c>
      <c r="X43" s="170">
        <v>-100</v>
      </c>
      <c r="Y43" s="360">
        <v>9.264422577497845069369276580</v>
      </c>
      <c r="Z43" s="359">
        <v>2.5375474346409249465295859600</v>
      </c>
      <c r="AA43" s="170">
        <v>0.8331679105444877828773934600</v>
      </c>
      <c r="AB43" s="360">
        <v>1.2789065299635737743296765400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247.68261964735516372795969773</v>
      </c>
      <c r="E44" s="172">
        <v>244.97192210810088593865716789</v>
      </c>
      <c r="F44" s="371">
        <v>227.89374199545281509964927226</v>
      </c>
      <c r="G44" s="370">
        <v>357.6875</v>
      </c>
      <c r="H44" s="172">
        <v>249.43896863457545323225779608</v>
      </c>
      <c r="I44" s="371">
        <v>217.95545354530247427092782325</v>
      </c>
      <c r="J44" s="370">
        <v>0</v>
      </c>
      <c r="K44" s="172">
        <v>0</v>
      </c>
      <c r="L44" s="371">
        <v>154.63752518427866734523904678</v>
      </c>
      <c r="M44" s="370">
        <v>251.94430992736077481840193705</v>
      </c>
      <c r="N44" s="172">
        <v>245.56639598044541010320478001</v>
      </c>
      <c r="O44" s="371">
        <v>219.87447914984334119319099454</v>
      </c>
      <c r="P44" s="4"/>
      <c r="Q44" s="327">
        <v>-3.3316589544331080282423273800</v>
      </c>
      <c r="R44" s="171">
        <v>-1.371325004515248870691359700</v>
      </c>
      <c r="S44" s="328">
        <v>-0.7301946406326733555596085500</v>
      </c>
      <c r="T44" s="327">
        <v>47.761138979067307304689178790</v>
      </c>
      <c r="U44" s="171">
        <v>-3.1422788342968502670552243200</v>
      </c>
      <c r="V44" s="328">
        <v>-2.4849538558849668002770796700</v>
      </c>
      <c r="W44" s="327">
        <v>0</v>
      </c>
      <c r="X44" s="171">
        <v>-100</v>
      </c>
      <c r="Y44" s="328">
        <v>3.1637164506331593199506814300</v>
      </c>
      <c r="Z44" s="327">
        <v>-1.3445208584884315347890948400</v>
      </c>
      <c r="AA44" s="171">
        <v>-1.0661304687421318850725048400</v>
      </c>
      <c r="AB44" s="328">
        <v>-1.3509959058576251074703615800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264.78911564625850340136054422</v>
      </c>
      <c r="E45" s="385">
        <v>255.40404556224437954648378578</v>
      </c>
      <c r="F45" s="386">
        <v>231.42189106628972681501743381</v>
      </c>
      <c r="G45" s="384">
        <v>359.06666666666666666666666667</v>
      </c>
      <c r="H45" s="385">
        <v>254.01293622774611325173094424</v>
      </c>
      <c r="I45" s="386">
        <v>218.62409206824546429365130331</v>
      </c>
      <c r="J45" s="384">
        <v>0</v>
      </c>
      <c r="K45" s="385">
        <v>0</v>
      </c>
      <c r="L45" s="386">
        <v>155.74690476999262526371538537</v>
      </c>
      <c r="M45" s="384">
        <v>267.89035087719298245614035088</v>
      </c>
      <c r="N45" s="385">
        <v>255.2357340286831812255541069</v>
      </c>
      <c r="O45" s="386">
        <v>223.08705155025447278858463172</v>
      </c>
      <c r="P45" s="4"/>
      <c r="Q45" s="364">
        <v>-0.3023065598802485695508311700</v>
      </c>
      <c r="R45" s="365">
        <v>-1.6842739719985322431789901800</v>
      </c>
      <c r="S45" s="366">
        <v>-1.7347954923591550567589379200</v>
      </c>
      <c r="T45" s="364">
        <v>26.750714405788876317754536340</v>
      </c>
      <c r="U45" s="365">
        <v>-4.2313805330090399397508856300</v>
      </c>
      <c r="V45" s="366">
        <v>1.8078907094650872538780964900</v>
      </c>
      <c r="W45" s="364">
        <v>0</v>
      </c>
      <c r="X45" s="365">
        <v>-100</v>
      </c>
      <c r="Y45" s="366">
        <v>4.0732079120469958053430249700</v>
      </c>
      <c r="Z45" s="364">
        <v>0.6634556985912690087850238700</v>
      </c>
      <c r="AA45" s="365">
        <v>-1.6144834753641869738840796900</v>
      </c>
      <c r="AB45" s="366">
        <v>-1.6229516342744533564939067100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169.71326676176890156918687589</v>
      </c>
      <c r="E47" s="382">
        <v>194.68398953780368829009717505</v>
      </c>
      <c r="F47" s="375">
        <v>188.24604452083921861548934261</v>
      </c>
      <c r="G47" s="374">
        <v>0</v>
      </c>
      <c r="H47" s="382">
        <v>245.7365111376028023068944275</v>
      </c>
      <c r="I47" s="375">
        <v>210.30750101956804023087892439</v>
      </c>
      <c r="J47" s="374">
        <v>0</v>
      </c>
      <c r="K47" s="382">
        <v>0</v>
      </c>
      <c r="L47" s="375">
        <v>149.52894991683345448433806527</v>
      </c>
      <c r="M47" s="374">
        <v>169.71326676176890156918687589</v>
      </c>
      <c r="N47" s="382">
        <v>200.06272112475529453639437622</v>
      </c>
      <c r="O47" s="375">
        <v>186.79075164758172224290061962</v>
      </c>
      <c r="P47" s="4"/>
      <c r="Q47" s="354">
        <v>-9.273587211072342747224179240</v>
      </c>
      <c r="R47" s="355">
        <v>-0.5288921928314034859528436800</v>
      </c>
      <c r="S47" s="356">
        <v>-2.9067085846235068853704686300</v>
      </c>
      <c r="T47" s="354">
        <v>0</v>
      </c>
      <c r="U47" s="355">
        <v>-0.7076680676314087452879495100</v>
      </c>
      <c r="V47" s="356">
        <v>0.9852004178535754387102784500</v>
      </c>
      <c r="W47" s="354">
        <v>0</v>
      </c>
      <c r="X47" s="355">
        <v>-100</v>
      </c>
      <c r="Y47" s="356">
        <v>0.0575868983851017362276499600</v>
      </c>
      <c r="Z47" s="354">
        <v>-9.273587211072342747224179240</v>
      </c>
      <c r="AA47" s="355">
        <v>0.397463637323271618292096200</v>
      </c>
      <c r="AB47" s="356">
        <v>-2.2126099371771466888191598800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202.21352177234530175706646295</v>
      </c>
      <c r="E48" s="172">
        <v>211.20531604818361659772329575</v>
      </c>
      <c r="F48" s="371">
        <v>209.62270277650998775584818533</v>
      </c>
      <c r="G48" s="370">
        <v>215.25925925925925925925925926</v>
      </c>
      <c r="H48" s="172">
        <v>230.87268760453841944763145138</v>
      </c>
      <c r="I48" s="371">
        <v>229.86148092485850016568908124</v>
      </c>
      <c r="J48" s="370">
        <v>0</v>
      </c>
      <c r="K48" s="172">
        <v>0</v>
      </c>
      <c r="L48" s="371">
        <v>154.26078827465945566981139382</v>
      </c>
      <c r="M48" s="370">
        <v>203.65023793337865397688647179</v>
      </c>
      <c r="N48" s="172">
        <v>214.173374424159699709947108</v>
      </c>
      <c r="O48" s="371">
        <v>207.33966595465424505237151607</v>
      </c>
      <c r="P48" s="4"/>
      <c r="Q48" s="327">
        <v>1.3350976336208100681077641500</v>
      </c>
      <c r="R48" s="171">
        <v>1.6644523693742811133589244700</v>
      </c>
      <c r="S48" s="328">
        <v>-0.6590351582527680509437534400</v>
      </c>
      <c r="T48" s="327">
        <v>-32.310059126726249553599251710</v>
      </c>
      <c r="U48" s="171">
        <v>-2.2391581558053791812943057300</v>
      </c>
      <c r="V48" s="328">
        <v>-0.3436420680009680918544408400</v>
      </c>
      <c r="W48" s="327">
        <v>0</v>
      </c>
      <c r="X48" s="171">
        <v>-100</v>
      </c>
      <c r="Y48" s="328">
        <v>3.1845538204140258077942134100</v>
      </c>
      <c r="Z48" s="327">
        <v>-0.4067283175338940399244910200</v>
      </c>
      <c r="AA48" s="171">
        <v>2.0738231596742579401598987400</v>
      </c>
      <c r="AB48" s="328">
        <v>-0.6546707916444103335985747700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218.42446043165467625899280576</v>
      </c>
      <c r="E49" s="385">
        <v>229.7217410208165972833447564</v>
      </c>
      <c r="F49" s="386">
        <v>223.69025327694929735035399565</v>
      </c>
      <c r="G49" s="384">
        <v>260.44827586206896551724137931</v>
      </c>
      <c r="H49" s="385">
        <v>239.68564580915978256071503486</v>
      </c>
      <c r="I49" s="386">
        <v>245.18059622541848277612893202</v>
      </c>
      <c r="J49" s="384">
        <v>0</v>
      </c>
      <c r="K49" s="385">
        <v>0</v>
      </c>
      <c r="L49" s="386">
        <v>157.37030711843376172906981317</v>
      </c>
      <c r="M49" s="384">
        <v>223.55578947368421052631578947</v>
      </c>
      <c r="N49" s="385">
        <v>231.16876547885030484341273147</v>
      </c>
      <c r="O49" s="386">
        <v>220.88855749356347681038546615</v>
      </c>
      <c r="P49" s="4"/>
      <c r="Q49" s="364">
        <v>4.8978246472171554141736080500</v>
      </c>
      <c r="R49" s="365">
        <v>4.3913629272960913160192605700</v>
      </c>
      <c r="S49" s="366">
        <v>0.3836254879987403384994343100</v>
      </c>
      <c r="T49" s="364">
        <v>-33.232245089003423747615592330</v>
      </c>
      <c r="U49" s="365">
        <v>-13.133515418245381957508627810</v>
      </c>
      <c r="V49" s="366">
        <v>-4.2963538985110620999137465800</v>
      </c>
      <c r="W49" s="364">
        <v>0</v>
      </c>
      <c r="X49" s="365">
        <v>-100</v>
      </c>
      <c r="Y49" s="366">
        <v>3.7704731856023751306365299400</v>
      </c>
      <c r="Z49" s="364">
        <v>-1.2361176183717614047848369400</v>
      </c>
      <c r="AA49" s="365">
        <v>2.6256531359862011861061548200</v>
      </c>
      <c r="AB49" s="366">
        <v>-0.5610430159366737021132480300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154</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179</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180</v>
      </c>
      <c r="R4" s="692" t="s">
        <v>184</v>
      </c>
      <c r="S4" s="692"/>
      <c r="T4" s="692"/>
      <c r="U4" s="692"/>
      <c r="V4" s="692"/>
      <c r="W4" s="692"/>
      <c r="X4" s="692"/>
      <c r="Y4" s="692"/>
      <c r="Z4" s="692"/>
      <c r="AA4" s="692"/>
      <c r="AB4" s="692"/>
      <c r="AC4" s="692"/>
      <c r="AD4" s="692"/>
      <c r="AE4" s="692"/>
      <c r="AF4" s="692"/>
      <c r="AG4" s="692"/>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693" t="s">
        <v>72</v>
      </c>
      <c r="Y22" s="693"/>
      <c r="Z22" s="693"/>
      <c r="AA22" s="693"/>
      <c r="AB22" s="693"/>
      <c r="AC22" s="693"/>
      <c r="AD22" s="693"/>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181</v>
      </c>
      <c r="D24" s="276"/>
      <c r="E24" s="276"/>
      <c r="F24" s="276"/>
      <c r="G24" s="276"/>
      <c r="H24" s="276"/>
      <c r="I24" s="276"/>
      <c r="J24" s="276"/>
      <c r="K24" s="276"/>
      <c r="L24" s="276"/>
      <c r="M24" s="276"/>
      <c r="N24" s="276"/>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4</v>
      </c>
      <c r="D25" s="280">
        <v>5</v>
      </c>
      <c r="E25" s="280">
        <v>6</v>
      </c>
      <c r="F25" s="280">
        <v>7</v>
      </c>
      <c r="G25" s="280">
        <v>8</v>
      </c>
      <c r="H25" s="280">
        <v>9</v>
      </c>
      <c r="I25" s="280">
        <v>10</v>
      </c>
      <c r="J25" s="280">
        <v>11</v>
      </c>
      <c r="K25" s="280">
        <v>12</v>
      </c>
      <c r="L25" s="280">
        <v>13</v>
      </c>
      <c r="M25" s="280">
        <v>14</v>
      </c>
      <c r="N25" s="280">
        <v>15</v>
      </c>
      <c r="O25" s="280">
        <v>16</v>
      </c>
      <c r="P25" s="280">
        <v>17</v>
      </c>
      <c r="Q25" s="280">
        <v>18</v>
      </c>
      <c r="R25" s="280">
        <v>19</v>
      </c>
      <c r="S25" s="280">
        <v>20</v>
      </c>
      <c r="T25" s="280">
        <v>21</v>
      </c>
      <c r="U25" s="280">
        <v>22</v>
      </c>
      <c r="V25" s="280">
        <v>23</v>
      </c>
      <c r="W25" s="280">
        <v>24</v>
      </c>
      <c r="X25" s="315">
        <v>25</v>
      </c>
      <c r="Y25" s="280">
        <v>26</v>
      </c>
      <c r="Z25" s="280">
        <v>27</v>
      </c>
      <c r="AA25" s="280">
        <v>28</v>
      </c>
      <c r="AB25" s="280">
        <v>29</v>
      </c>
      <c r="AC25" s="280">
        <v>30</v>
      </c>
      <c r="AD25" s="373">
        <v>31</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283.34090909090909090909090909</v>
      </c>
      <c r="D26" s="462">
        <v>123.35606060606060606060606061</v>
      </c>
      <c r="E26" s="462">
        <v>89.17424242424242424242424242</v>
      </c>
      <c r="F26" s="462">
        <v>153.42424242424242424242424242</v>
      </c>
      <c r="G26" s="462">
        <v>178.47727272727272727272727273</v>
      </c>
      <c r="H26" s="462">
        <v>220.64393939393939393939393939</v>
      </c>
      <c r="I26" s="462">
        <v>225.00757575757575757575757576</v>
      </c>
      <c r="J26" s="462">
        <v>96.67424242424242424242424242</v>
      </c>
      <c r="K26" s="462">
        <v>94.43939393939393939393939394</v>
      </c>
      <c r="L26" s="462">
        <v>110.98484848484848484848484848</v>
      </c>
      <c r="M26" s="462">
        <v>108.79545454545454545454545455</v>
      </c>
      <c r="N26" s="462">
        <v>136.56060606060606060606060606</v>
      </c>
      <c r="O26" s="462">
        <v>224.74242424242424242424242424</v>
      </c>
      <c r="P26" s="462">
        <v>277.53030303030303030303030303</v>
      </c>
      <c r="Q26" s="462">
        <v>173.28030303030303030303030303</v>
      </c>
      <c r="R26" s="462">
        <v>175.04545454545454545454545455</v>
      </c>
      <c r="S26" s="462">
        <v>180.98484848484848484848484848</v>
      </c>
      <c r="T26" s="462">
        <v>175.28030303030303030303030303</v>
      </c>
      <c r="U26" s="462">
        <v>179.46969696969696969696969697</v>
      </c>
      <c r="V26" s="462">
        <v>180.43181818181818181818181818</v>
      </c>
      <c r="W26" s="462">
        <v>250.00757575757575757575757576</v>
      </c>
      <c r="X26" s="463">
        <v>179.24242424242424242424242424</v>
      </c>
      <c r="Y26" s="462">
        <v>97.38636363636363636363636364</v>
      </c>
      <c r="Z26" s="462">
        <v>79.204545454545454545454545455</v>
      </c>
      <c r="AA26" s="462">
        <v>92.000000000</v>
      </c>
      <c r="AB26" s="462">
        <v>118.09090909090909090909090909</v>
      </c>
      <c r="AC26" s="462">
        <v>162.46212121212121212121212121</v>
      </c>
      <c r="AD26" s="464">
        <v>172.89393939393939393939393939</v>
      </c>
      <c r="AE26" s="465"/>
      <c r="AF26" s="461">
        <v>128.754329004329004329004329</v>
      </c>
      <c r="AG26" s="462">
        <v>162.10470779220779220779220779</v>
      </c>
      <c r="AH26" s="466">
        <v>181.65273704789833822091886608</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224.79349467570183930300096805</v>
      </c>
      <c r="D27" s="85">
        <v>134.06877057115198451113262343</v>
      </c>
      <c r="E27" s="85">
        <v>149.24544046466602129719264279</v>
      </c>
      <c r="F27" s="85">
        <v>148.41045498547918683446272991</v>
      </c>
      <c r="G27" s="85">
        <v>167.00493707647628267182962246</v>
      </c>
      <c r="H27" s="85">
        <v>201.21781219748305905130687318</v>
      </c>
      <c r="I27" s="85">
        <v>186.27686350435624394966118103</v>
      </c>
      <c r="J27" s="85">
        <v>111.39318489835430784123910939</v>
      </c>
      <c r="K27" s="85">
        <v>111.18929332042594385285575992</v>
      </c>
      <c r="L27" s="85">
        <v>135.73483059051306873184898354</v>
      </c>
      <c r="M27" s="85">
        <v>133.59651500484027105517909003</v>
      </c>
      <c r="N27" s="85">
        <v>145.49242013552758954501452081</v>
      </c>
      <c r="O27" s="85">
        <v>220.87792836398838334946757018</v>
      </c>
      <c r="P27" s="85">
        <v>256.11916747337850919651500484</v>
      </c>
      <c r="Q27" s="85">
        <v>204.21639883833494675701839303</v>
      </c>
      <c r="R27" s="85">
        <v>210.16856727976766698935140368</v>
      </c>
      <c r="S27" s="85">
        <v>204.530000000</v>
      </c>
      <c r="T27" s="85">
        <v>172.31324298160696999031945789</v>
      </c>
      <c r="U27" s="85">
        <v>177.18926427879961277831558567</v>
      </c>
      <c r="V27" s="85">
        <v>206.48489835430784123910939013</v>
      </c>
      <c r="W27" s="85">
        <v>272.11423039690222652468538238</v>
      </c>
      <c r="X27" s="86">
        <v>181.14459825750242013552758955</v>
      </c>
      <c r="Y27" s="85">
        <v>89.74203291384317521781219748</v>
      </c>
      <c r="Z27" s="85">
        <v>78.735469506292352371732817038</v>
      </c>
      <c r="AA27" s="85">
        <v>114.81316553727008712487899322</v>
      </c>
      <c r="AB27" s="85">
        <v>144.04568247821878025169409487</v>
      </c>
      <c r="AC27" s="85">
        <v>246.710232333010648596321394</v>
      </c>
      <c r="AD27" s="87">
        <v>233.04931268151016456921587609</v>
      </c>
      <c r="AE27" s="169"/>
      <c r="AF27" s="370">
        <v>155.46292767252108975245470889</v>
      </c>
      <c r="AG27" s="85">
        <v>173.59565032498962799059604481</v>
      </c>
      <c r="AH27" s="371">
        <v>190.62778596633669550010929644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183</v>
      </c>
      <c r="C28" s="467">
        <v>216.23542904806589510999895736</v>
      </c>
      <c r="D28" s="468">
        <v>142.92899593368783234282139506</v>
      </c>
      <c r="E28" s="468">
        <v>137.93400062558648733187363153</v>
      </c>
      <c r="F28" s="468">
        <v>151.9496402877697841726618705</v>
      </c>
      <c r="G28" s="468">
        <v>177.43029923886977374622041497</v>
      </c>
      <c r="H28" s="468">
        <v>178.77802106141174017307892816</v>
      </c>
      <c r="I28" s="468">
        <v>171.98978208737357939735168387</v>
      </c>
      <c r="J28" s="468">
        <v>101.12574288395370659993744135</v>
      </c>
      <c r="K28" s="468">
        <v>120.1585861745386299655927432</v>
      </c>
      <c r="L28" s="468">
        <v>136.00250234594932749452611824</v>
      </c>
      <c r="M28" s="468">
        <v>152.82587842769262850589093942</v>
      </c>
      <c r="N28" s="468">
        <v>160.26441455531227192159316025</v>
      </c>
      <c r="O28" s="468">
        <v>199.24731519132520070899801898</v>
      </c>
      <c r="P28" s="468">
        <v>197.03096653112292774476071317</v>
      </c>
      <c r="Q28" s="468">
        <v>136.72463768115942028985507246</v>
      </c>
      <c r="R28" s="468">
        <v>136.87926180794494838911479512</v>
      </c>
      <c r="S28" s="468">
        <v>138.74486497758315087060786154</v>
      </c>
      <c r="T28" s="468">
        <v>134.50370138671671358565321656</v>
      </c>
      <c r="U28" s="468">
        <v>141.35043269732040454592847461</v>
      </c>
      <c r="V28" s="468">
        <v>169.63100823688874986966948181</v>
      </c>
      <c r="W28" s="468">
        <v>208.83620060473360442081117715</v>
      </c>
      <c r="X28" s="469">
        <v>147.15149619434886873110207486</v>
      </c>
      <c r="Y28" s="468">
        <v>88.07851110416015014075695965</v>
      </c>
      <c r="Z28" s="468">
        <v>93.97935564591804817015952455</v>
      </c>
      <c r="AA28" s="468">
        <v>110.73798352622250026066103639</v>
      </c>
      <c r="AB28" s="468">
        <v>120.38932332394953602335522886</v>
      </c>
      <c r="AC28" s="468">
        <v>162.08132624335314357209884266</v>
      </c>
      <c r="AD28" s="470">
        <v>167.09237827129600667292253154</v>
      </c>
      <c r="AE28" s="465"/>
      <c r="AF28" s="467">
        <v>127.07291061560689336729374265</v>
      </c>
      <c r="AG28" s="468">
        <v>150.00293057479482252707151049</v>
      </c>
      <c r="AH28" s="471">
        <v>163.90214616525573370195848931</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181</v>
      </c>
      <c r="D33" s="276"/>
      <c r="E33" s="276"/>
      <c r="F33" s="276"/>
      <c r="G33" s="276"/>
      <c r="H33" s="276"/>
      <c r="I33" s="276"/>
      <c r="J33" s="276"/>
      <c r="K33" s="276"/>
      <c r="L33" s="276"/>
      <c r="M33" s="276"/>
      <c r="N33" s="276"/>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4</v>
      </c>
      <c r="D34" s="280">
        <v>5</v>
      </c>
      <c r="E34" s="280">
        <v>6</v>
      </c>
      <c r="F34" s="280">
        <v>7</v>
      </c>
      <c r="G34" s="280">
        <v>8</v>
      </c>
      <c r="H34" s="280">
        <v>9</v>
      </c>
      <c r="I34" s="280">
        <v>10</v>
      </c>
      <c r="J34" s="280">
        <v>11</v>
      </c>
      <c r="K34" s="280">
        <v>12</v>
      </c>
      <c r="L34" s="280">
        <v>13</v>
      </c>
      <c r="M34" s="280">
        <v>14</v>
      </c>
      <c r="N34" s="280">
        <v>15</v>
      </c>
      <c r="O34" s="280">
        <v>16</v>
      </c>
      <c r="P34" s="280">
        <v>17</v>
      </c>
      <c r="Q34" s="280">
        <v>18</v>
      </c>
      <c r="R34" s="280">
        <v>19</v>
      </c>
      <c r="S34" s="280">
        <v>20</v>
      </c>
      <c r="T34" s="280">
        <v>21</v>
      </c>
      <c r="U34" s="280">
        <v>22</v>
      </c>
      <c r="V34" s="280">
        <v>23</v>
      </c>
      <c r="W34" s="280">
        <v>24</v>
      </c>
      <c r="X34" s="315">
        <v>25</v>
      </c>
      <c r="Y34" s="280">
        <v>26</v>
      </c>
      <c r="Z34" s="280">
        <v>27</v>
      </c>
      <c r="AA34" s="280">
        <v>28</v>
      </c>
      <c r="AB34" s="280">
        <v>29</v>
      </c>
      <c r="AC34" s="280">
        <v>30</v>
      </c>
      <c r="AD34" s="373">
        <v>31</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-20.976568277370827743521086090</v>
      </c>
      <c r="D35" s="445">
        <v>-10.606642876734226805226766370</v>
      </c>
      <c r="E35" s="445">
        <v>-45.818181818170844649021861990</v>
      </c>
      <c r="F35" s="445">
        <v>-15.553331665407277457926652390</v>
      </c>
      <c r="G35" s="445">
        <v>2.6491220426196783841779526600</v>
      </c>
      <c r="H35" s="445">
        <v>-19.106210421071515946190772450</v>
      </c>
      <c r="I35" s="445">
        <v>-0.4958290060021845513615329300</v>
      </c>
      <c r="J35" s="445">
        <v>-26.040338472226319285251085760</v>
      </c>
      <c r="K35" s="445">
        <v>-22.835035592718687207004329950</v>
      </c>
      <c r="L35" s="445">
        <v>-11.810739224667492085332931920</v>
      </c>
      <c r="M35" s="445">
        <v>-15.379176241836255375465181360</v>
      </c>
      <c r="N35" s="445">
        <v>-10.166450712676912923125628810</v>
      </c>
      <c r="O35" s="445">
        <v>3.6004889121791039348136626400</v>
      </c>
      <c r="P35" s="445">
        <v>20.940213264651699027177949020</v>
      </c>
      <c r="Q35" s="445">
        <v>11.217543518450105522419225930</v>
      </c>
      <c r="R35" s="445">
        <v>32.374677742815651557579720440</v>
      </c>
      <c r="S35" s="445">
        <v>70.923660299004047108146582280</v>
      </c>
      <c r="T35" s="445">
        <v>33.377529255745266551638595770</v>
      </c>
      <c r="U35" s="445">
        <v>25.829925107547600367548091770</v>
      </c>
      <c r="V35" s="445">
        <v>-12.825299220391414257267544780</v>
      </c>
      <c r="W35" s="445">
        <v>0.6741915802453620025306003500</v>
      </c>
      <c r="X35" s="446">
        <v>3.1206415620533695284279581500</v>
      </c>
      <c r="Y35" s="445">
        <v>-20.741106110109944248706836170</v>
      </c>
      <c r="Z35" s="445">
        <v>-21.538461538485091643815839370</v>
      </c>
      <c r="AA35" s="445">
        <v>-3.9088463364213094087890922800</v>
      </c>
      <c r="AB35" s="445">
        <v>4.6455424274832645619726794700</v>
      </c>
      <c r="AC35" s="445">
        <v>-24.284150690258154787216868990</v>
      </c>
      <c r="AD35" s="447">
        <v>-25.969897495797462716200376780</v>
      </c>
      <c r="AE35" s="448"/>
      <c r="AF35" s="444">
        <v>-14.517183649110392635559450810</v>
      </c>
      <c r="AG35" s="445">
        <v>-5.4217542641343244422799884900</v>
      </c>
      <c r="AH35" s="449">
        <v>-5.3904036534402542027065762900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-21.328608273146758349319679810</v>
      </c>
      <c r="D36" s="81">
        <v>-18.841269337124650907674679260</v>
      </c>
      <c r="E36" s="81">
        <v>-5.9653283662901272666959499400</v>
      </c>
      <c r="F36" s="81">
        <v>-3.0413635075644994566142662900</v>
      </c>
      <c r="G36" s="81">
        <v>21.953152304325845663617603780</v>
      </c>
      <c r="H36" s="81">
        <v>0.9695276124487347809447863200</v>
      </c>
      <c r="I36" s="81">
        <v>-10.048818140271918685603664400</v>
      </c>
      <c r="J36" s="81">
        <v>-18.183985487866004799484816470</v>
      </c>
      <c r="K36" s="81">
        <v>-21.313021887607218123277778530</v>
      </c>
      <c r="L36" s="81">
        <v>-18.201481372916564430714004410</v>
      </c>
      <c r="M36" s="81">
        <v>-9.329039809016858545765043770</v>
      </c>
      <c r="N36" s="81">
        <v>-14.576305924960378166613468900</v>
      </c>
      <c r="O36" s="81">
        <v>-3.285436289392706795533159900</v>
      </c>
      <c r="P36" s="81">
        <v>3.9047679079163923529746577500</v>
      </c>
      <c r="Q36" s="81">
        <v>38.416720956911094144009252610</v>
      </c>
      <c r="R36" s="81">
        <v>54.336364126268131037108607460</v>
      </c>
      <c r="S36" s="81">
        <v>64.900434722276571682883592350</v>
      </c>
      <c r="T36" s="81">
        <v>68.932644023267040958445105830</v>
      </c>
      <c r="U36" s="81">
        <v>20.630280187997605270159086570</v>
      </c>
      <c r="V36" s="81">
        <v>-8.088531065752734530657157550</v>
      </c>
      <c r="W36" s="81">
        <v>-2.4170469914229896579169232400</v>
      </c>
      <c r="X36" s="82">
        <v>-10.017114901160737409258267760</v>
      </c>
      <c r="Y36" s="81">
        <v>-15.592980953306743008652856270</v>
      </c>
      <c r="Z36" s="81">
        <v>-25.484693685932195900212763530</v>
      </c>
      <c r="AA36" s="81">
        <v>10.774527854896339869009481410</v>
      </c>
      <c r="AB36" s="81">
        <v>-7.1284020493334999892018487300</v>
      </c>
      <c r="AC36" s="81">
        <v>9.090167001696625202109243290</v>
      </c>
      <c r="AD36" s="83">
        <v>-2.1655697576705090058540068900</v>
      </c>
      <c r="AE36" s="88"/>
      <c r="AF36" s="327">
        <v>-4.238100801525346805250756300</v>
      </c>
      <c r="AG36" s="81">
        <v>0.4583648946564977866128150200</v>
      </c>
      <c r="AH36" s="328">
        <v>2.5479858614771626493041405600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183</v>
      </c>
      <c r="C37" s="450">
        <v>-6.7275109875757559529966191900</v>
      </c>
      <c r="D37" s="451">
        <v>-10.768681830547460904920805670</v>
      </c>
      <c r="E37" s="451">
        <v>-17.648201360369589279459656310</v>
      </c>
      <c r="F37" s="451">
        <v>-11.206256959020344157826096150</v>
      </c>
      <c r="G37" s="451">
        <v>6.8580951107555178857711238500</v>
      </c>
      <c r="H37" s="451">
        <v>-4.0694779780098420630609922800</v>
      </c>
      <c r="I37" s="451">
        <v>-2.1729300556385082744836692600</v>
      </c>
      <c r="J37" s="451">
        <v>-10.644280090254273576497679370</v>
      </c>
      <c r="K37" s="451">
        <v>-3.4974803577480574960295121300</v>
      </c>
      <c r="L37" s="451">
        <v>-5.1571663656474051223065020500</v>
      </c>
      <c r="M37" s="451">
        <v>1.9226329089460669425930896600</v>
      </c>
      <c r="N37" s="451">
        <v>0.887669606700246792140869300</v>
      </c>
      <c r="O37" s="451">
        <v>3.1263285172797563496026946300</v>
      </c>
      <c r="P37" s="451">
        <v>5.2603273966897101148509983500</v>
      </c>
      <c r="Q37" s="451">
        <v>9.871804779823069288178691250</v>
      </c>
      <c r="R37" s="451">
        <v>5.9917525573285483037857343900</v>
      </c>
      <c r="S37" s="451">
        <v>3.0099547371032174883433627900</v>
      </c>
      <c r="T37" s="451">
        <v>3.7689684739371464167117203700</v>
      </c>
      <c r="U37" s="451">
        <v>4.5183457485288814657133683100</v>
      </c>
      <c r="V37" s="451">
        <v>-2.6867369408073699580364240600</v>
      </c>
      <c r="W37" s="451">
        <v>-0.5372423274916391799274661900</v>
      </c>
      <c r="X37" s="452">
        <v>-6.6727084104436474867985509800</v>
      </c>
      <c r="Y37" s="451">
        <v>-4.1282043807924045796591077300</v>
      </c>
      <c r="Z37" s="451">
        <v>-5.3806791713299037698359786800</v>
      </c>
      <c r="AA37" s="451">
        <v>0.8480054342399302669494669700</v>
      </c>
      <c r="AB37" s="451">
        <v>-5.2502274744056818922784216600</v>
      </c>
      <c r="AC37" s="451">
        <v>-4.4091706889882309033847079500</v>
      </c>
      <c r="AD37" s="453">
        <v>-4.3081984976604746555747824800</v>
      </c>
      <c r="AE37" s="448"/>
      <c r="AF37" s="450">
        <v>-4.3134517449913912406717097300</v>
      </c>
      <c r="AG37" s="451">
        <v>-2.2391474917898874055577671300</v>
      </c>
      <c r="AH37" s="454">
        <v>-0.9652115751773726432986615200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181</v>
      </c>
      <c r="D40" s="276"/>
      <c r="E40" s="276"/>
      <c r="F40" s="276"/>
      <c r="G40" s="276"/>
      <c r="H40" s="276"/>
      <c r="I40" s="276"/>
      <c r="J40" s="276"/>
      <c r="K40" s="276"/>
      <c r="L40" s="276"/>
      <c r="M40" s="276"/>
      <c r="N40" s="276"/>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4</v>
      </c>
      <c r="D41" s="280">
        <v>5</v>
      </c>
      <c r="E41" s="280">
        <v>6</v>
      </c>
      <c r="F41" s="280">
        <v>7</v>
      </c>
      <c r="G41" s="280">
        <v>8</v>
      </c>
      <c r="H41" s="280">
        <v>9</v>
      </c>
      <c r="I41" s="280">
        <v>10</v>
      </c>
      <c r="J41" s="280">
        <v>11</v>
      </c>
      <c r="K41" s="280">
        <v>12</v>
      </c>
      <c r="L41" s="280">
        <v>13</v>
      </c>
      <c r="M41" s="280">
        <v>14</v>
      </c>
      <c r="N41" s="280">
        <v>15</v>
      </c>
      <c r="O41" s="280">
        <v>16</v>
      </c>
      <c r="P41" s="280">
        <v>17</v>
      </c>
      <c r="Q41" s="280">
        <v>18</v>
      </c>
      <c r="R41" s="280">
        <v>19</v>
      </c>
      <c r="S41" s="280">
        <v>20</v>
      </c>
      <c r="T41" s="280">
        <v>21</v>
      </c>
      <c r="U41" s="280">
        <v>22</v>
      </c>
      <c r="V41" s="280">
        <v>23</v>
      </c>
      <c r="W41" s="280">
        <v>24</v>
      </c>
      <c r="X41" s="315">
        <v>25</v>
      </c>
      <c r="Y41" s="280">
        <v>26</v>
      </c>
      <c r="Z41" s="280">
        <v>27</v>
      </c>
      <c r="AA41" s="280">
        <v>28</v>
      </c>
      <c r="AB41" s="280">
        <v>29</v>
      </c>
      <c r="AC41" s="280">
        <v>30</v>
      </c>
      <c r="AD41" s="373">
        <v>31</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126.04497719103168529836980581</v>
      </c>
      <c r="D42" s="445">
        <v>92.00954113363023104136047560</v>
      </c>
      <c r="E42" s="445">
        <v>59.750061473626188226912223070</v>
      </c>
      <c r="F42" s="445">
        <v>103.37832495644075840957980514</v>
      </c>
      <c r="G42" s="445">
        <v>106.86945898223211877342266946</v>
      </c>
      <c r="H42" s="445">
        <v>109.65427811001751409169947095</v>
      </c>
      <c r="I42" s="445">
        <v>120.79201438361179457097668858</v>
      </c>
      <c r="J42" s="445">
        <v>86.78649642024106286698702644</v>
      </c>
      <c r="K42" s="445">
        <v>84.93569040614368087820743712</v>
      </c>
      <c r="L42" s="445">
        <v>81.76593141349251319783695758</v>
      </c>
      <c r="M42" s="445">
        <v>81.43584774014922826618515580</v>
      </c>
      <c r="N42" s="445">
        <v>93.86097635424885890691309021</v>
      </c>
      <c r="O42" s="445">
        <v>101.74960708254003208677179706</v>
      </c>
      <c r="P42" s="445">
        <v>108.35983334169112742095733344</v>
      </c>
      <c r="Q42" s="445">
        <v>84.85131655245160265916967057</v>
      </c>
      <c r="R42" s="445">
        <v>83.28812286778087879834787838</v>
      </c>
      <c r="S42" s="445">
        <v>88.48816725411845932063015131</v>
      </c>
      <c r="T42" s="445">
        <v>101.72189902375632250354748786</v>
      </c>
      <c r="U42" s="445">
        <v>101.28700387135690281078578888</v>
      </c>
      <c r="V42" s="445">
        <v>87.38257355374324940571173662</v>
      </c>
      <c r="W42" s="445">
        <v>91.87596524919701975956737152</v>
      </c>
      <c r="X42" s="446">
        <v>98.94991402814463934594945963</v>
      </c>
      <c r="Y42" s="445">
        <v>108.51811628772244618489210318</v>
      </c>
      <c r="Z42" s="445">
        <v>100.59576192431026469490094141</v>
      </c>
      <c r="AA42" s="445">
        <v>80.13018330211568082609032416</v>
      </c>
      <c r="AB42" s="445">
        <v>81.98156797152255689918566389</v>
      </c>
      <c r="AC42" s="445">
        <v>65.851391600505680725689644030</v>
      </c>
      <c r="AD42" s="447">
        <v>74.187706200286991700897229400</v>
      </c>
      <c r="AE42" s="448"/>
      <c r="AF42" s="444">
        <v>82.81995645647711055845215142</v>
      </c>
      <c r="AG42" s="445">
        <v>93.38062761867636225164284386</v>
      </c>
      <c r="AH42" s="449">
        <v>95.29184642579423886631696209</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183</v>
      </c>
      <c r="C43" s="329">
        <v>131.03352690084933513359754700</v>
      </c>
      <c r="D43" s="330">
        <v>86.30583304683772729408906910</v>
      </c>
      <c r="E43" s="330">
        <v>64.649935490736459330097693720</v>
      </c>
      <c r="F43" s="330">
        <v>100.97045450956610108710557227</v>
      </c>
      <c r="G43" s="330">
        <v>100.59007593002085617626527661</v>
      </c>
      <c r="H43" s="330">
        <v>123.41782176801299941329698339</v>
      </c>
      <c r="I43" s="330">
        <v>130.82612991697013723078367285</v>
      </c>
      <c r="J43" s="330">
        <v>95.59805413260218719603650236</v>
      </c>
      <c r="K43" s="330">
        <v>78.595626784626585614752492210</v>
      </c>
      <c r="L43" s="330">
        <v>81.60500473923396898644890353</v>
      </c>
      <c r="M43" s="330">
        <v>71.189157009769327759898123880</v>
      </c>
      <c r="N43" s="330">
        <v>85.20956223471878262174109729</v>
      </c>
      <c r="O43" s="330">
        <v>112.79571020901639191192818157</v>
      </c>
      <c r="P43" s="330">
        <v>140.85618515528966697716280887</v>
      </c>
      <c r="Q43" s="330">
        <v>126.73670668949926291203927210</v>
      </c>
      <c r="R43" s="330">
        <v>127.88310824697315828381723129</v>
      </c>
      <c r="S43" s="330">
        <v>130.44435807701281129051926946</v>
      </c>
      <c r="T43" s="330">
        <v>130.31634164949092155051473966</v>
      </c>
      <c r="U43" s="330">
        <v>126.96791480930861232292572211</v>
      </c>
      <c r="V43" s="330">
        <v>106.36723795795294401350918920</v>
      </c>
      <c r="W43" s="330">
        <v>119.71467352578773544305017020</v>
      </c>
      <c r="X43" s="331">
        <v>121.80808817991977947044336724</v>
      </c>
      <c r="Y43" s="330">
        <v>110.56767696850837653516944138</v>
      </c>
      <c r="Z43" s="330">
        <v>84.27866408552129690299799223</v>
      </c>
      <c r="AA43" s="330">
        <v>83.07899157133677100803426315</v>
      </c>
      <c r="AB43" s="330">
        <v>98.09084878165884503337385661</v>
      </c>
      <c r="AC43" s="330">
        <v>100.23494067919296668886855003</v>
      </c>
      <c r="AD43" s="338">
        <v>103.47206807555259836592889954</v>
      </c>
      <c r="AE43" s="88"/>
      <c r="AF43" s="329">
        <v>101.32319184363011387684231673</v>
      </c>
      <c r="AG43" s="330">
        <v>108.06769385840309113274736697</v>
      </c>
      <c r="AH43" s="332">
        <v>110.82999295487952907370901936</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181</v>
      </c>
      <c r="D46" s="276"/>
      <c r="E46" s="276"/>
      <c r="F46" s="276"/>
      <c r="G46" s="276"/>
      <c r="H46" s="276"/>
      <c r="I46" s="276"/>
      <c r="J46" s="276"/>
      <c r="K46" s="276"/>
      <c r="L46" s="276"/>
      <c r="M46" s="276"/>
      <c r="N46" s="276"/>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4</v>
      </c>
      <c r="D47" s="280">
        <v>5</v>
      </c>
      <c r="E47" s="280">
        <v>6</v>
      </c>
      <c r="F47" s="280">
        <v>7</v>
      </c>
      <c r="G47" s="280">
        <v>8</v>
      </c>
      <c r="H47" s="280">
        <v>9</v>
      </c>
      <c r="I47" s="280">
        <v>10</v>
      </c>
      <c r="J47" s="280">
        <v>11</v>
      </c>
      <c r="K47" s="280">
        <v>12</v>
      </c>
      <c r="L47" s="280">
        <v>13</v>
      </c>
      <c r="M47" s="280">
        <v>14</v>
      </c>
      <c r="N47" s="280">
        <v>15</v>
      </c>
      <c r="O47" s="280">
        <v>16</v>
      </c>
      <c r="P47" s="280">
        <v>17</v>
      </c>
      <c r="Q47" s="280">
        <v>18</v>
      </c>
      <c r="R47" s="280">
        <v>19</v>
      </c>
      <c r="S47" s="280">
        <v>20</v>
      </c>
      <c r="T47" s="280">
        <v>21</v>
      </c>
      <c r="U47" s="280">
        <v>22</v>
      </c>
      <c r="V47" s="280">
        <v>23</v>
      </c>
      <c r="W47" s="280">
        <v>24</v>
      </c>
      <c r="X47" s="315">
        <v>25</v>
      </c>
      <c r="Y47" s="280">
        <v>26</v>
      </c>
      <c r="Z47" s="280">
        <v>27</v>
      </c>
      <c r="AA47" s="280">
        <v>28</v>
      </c>
      <c r="AB47" s="280">
        <v>29</v>
      </c>
      <c r="AC47" s="280">
        <v>30</v>
      </c>
      <c r="AD47" s="373">
        <v>31</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0.447481591503010823609054200</v>
      </c>
      <c r="D48" s="445">
        <v>10.146322389592204086498654750</v>
      </c>
      <c r="E48" s="445">
        <v>-42.381020489044944366422200970</v>
      </c>
      <c r="F48" s="445">
        <v>-12.904439058260043270776037870</v>
      </c>
      <c r="G48" s="445">
        <v>-15.829053941577806251516247640</v>
      </c>
      <c r="H48" s="445">
        <v>-19.882967176580014299220443520</v>
      </c>
      <c r="I48" s="445">
        <v>10.620193016656024344830318280</v>
      </c>
      <c r="J48" s="445">
        <v>-9.602463565665925221888635100</v>
      </c>
      <c r="K48" s="445">
        <v>-1.9342637645554650481233910500</v>
      </c>
      <c r="L48" s="445">
        <v>7.8127847002138315483244104900</v>
      </c>
      <c r="M48" s="445">
        <v>-6.6726286123289350728078544700</v>
      </c>
      <c r="N48" s="445">
        <v>5.1623326058492896642388661400</v>
      </c>
      <c r="O48" s="445">
        <v>7.1198431109139732582133209600</v>
      </c>
      <c r="P48" s="445">
        <v>16.395248937851318176289540370</v>
      </c>
      <c r="Q48" s="445">
        <v>-19.650210791308092761963348550</v>
      </c>
      <c r="R48" s="445">
        <v>-14.229754930289002693705825930</v>
      </c>
      <c r="S48" s="445">
        <v>3.6526438435390369613239406600</v>
      </c>
      <c r="T48" s="445">
        <v>-21.046917825170652152577591940</v>
      </c>
      <c r="U48" s="445">
        <v>4.310397780244617066920226300</v>
      </c>
      <c r="V48" s="445">
        <v>-5.1536203365372882744385434500</v>
      </c>
      <c r="W48" s="445">
        <v>3.1678059295153299227674377100</v>
      </c>
      <c r="X48" s="446">
        <v>14.600283652585091008443977540</v>
      </c>
      <c r="Y48" s="445">
        <v>-6.0991671249004954458419113700</v>
      </c>
      <c r="Z48" s="445">
        <v>5.295867845994995102053070600</v>
      </c>
      <c r="AA48" s="445">
        <v>-13.255190047480688888039180330</v>
      </c>
      <c r="AB48" s="445">
        <v>12.677658979267468254295543570</v>
      </c>
      <c r="AC48" s="445">
        <v>-30.593332661594148153753743240</v>
      </c>
      <c r="AD48" s="447">
        <v>-24.331237662632457109850458850</v>
      </c>
      <c r="AE48" s="448"/>
      <c r="AF48" s="444">
        <v>-10.734000613632588178360652380</v>
      </c>
      <c r="AG48" s="445">
        <v>-5.8532897334715971718361323200</v>
      </c>
      <c r="AH48" s="449">
        <v>-7.7411462040914624439155893700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183</v>
      </c>
      <c r="C49" s="329">
        <v>-15.276806098631948992873761440</v>
      </c>
      <c r="D49" s="330">
        <v>0.1815942620985746487264700</v>
      </c>
      <c r="E49" s="330">
        <v>-34.206879416295476729790449110</v>
      </c>
      <c r="F49" s="330">
        <v>-4.8956993561928813075814397400</v>
      </c>
      <c r="G49" s="330">
        <v>-3.9388434388900727122350969400</v>
      </c>
      <c r="H49" s="330">
        <v>-15.674607128274977875806880930</v>
      </c>
      <c r="I49" s="330">
        <v>1.7143527354410083939116012100</v>
      </c>
      <c r="J49" s="330">
        <v>-17.230075923049122593216721800</v>
      </c>
      <c r="K49" s="330">
        <v>-20.038394133784989276912117220</v>
      </c>
      <c r="L49" s="330">
        <v>-7.0153670066735976805433268700</v>
      </c>
      <c r="M49" s="330">
        <v>-16.975433872700496944516701860</v>
      </c>
      <c r="N49" s="330">
        <v>-10.956859606753683851610193550</v>
      </c>
      <c r="O49" s="330">
        <v>0.4597859748662869047306426700</v>
      </c>
      <c r="P49" s="330">
        <v>14.896292131919270367978396510</v>
      </c>
      <c r="Q49" s="330">
        <v>1.2248262793450835531577898500</v>
      </c>
      <c r="R49" s="330">
        <v>24.891488770565476458346041510</v>
      </c>
      <c r="S49" s="330">
        <v>65.929264540841941877227548830</v>
      </c>
      <c r="T49" s="330">
        <v>28.533155159342764728674391140</v>
      </c>
      <c r="U49" s="330">
        <v>20.390276182060702179187702210</v>
      </c>
      <c r="V49" s="330">
        <v>-10.418479414666536310883844240</v>
      </c>
      <c r="W49" s="330">
        <v>1.2179773978607181230011717700</v>
      </c>
      <c r="X49" s="331">
        <v>10.493554249538569013773023660</v>
      </c>
      <c r="Y49" s="330">
        <v>-17.328247188939831107761961310</v>
      </c>
      <c r="Z49" s="330">
        <v>-17.076620531236930483764633270</v>
      </c>
      <c r="AA49" s="330">
        <v>-4.7168526042904796525767483400</v>
      </c>
      <c r="AB49" s="330">
        <v>10.444109403316847616389691490</v>
      </c>
      <c r="AC49" s="330">
        <v>-20.791722537125539286765699600</v>
      </c>
      <c r="AD49" s="338">
        <v>-22.636943456024280084314261660</v>
      </c>
      <c r="AE49" s="88"/>
      <c r="AF49" s="329">
        <v>-10.663705703896356211965848430</v>
      </c>
      <c r="AG49" s="330">
        <v>-3.2555022697086552945571745600</v>
      </c>
      <c r="AH49" s="332">
        <v>-4.4683208280986902179135715500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181</v>
      </c>
      <c r="D52" s="276"/>
      <c r="E52" s="276"/>
      <c r="F52" s="276"/>
      <c r="G52" s="276"/>
      <c r="H52" s="276"/>
      <c r="I52" s="276"/>
      <c r="J52" s="276"/>
      <c r="K52" s="276"/>
      <c r="L52" s="276"/>
      <c r="M52" s="276"/>
      <c r="N52" s="276"/>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4</v>
      </c>
      <c r="D53" s="280">
        <v>5</v>
      </c>
      <c r="E53" s="280">
        <v>6</v>
      </c>
      <c r="F53" s="280">
        <v>7</v>
      </c>
      <c r="G53" s="280">
        <v>8</v>
      </c>
      <c r="H53" s="280">
        <v>9</v>
      </c>
      <c r="I53" s="280">
        <v>10</v>
      </c>
      <c r="J53" s="280">
        <v>11</v>
      </c>
      <c r="K53" s="280">
        <v>12</v>
      </c>
      <c r="L53" s="280">
        <v>13</v>
      </c>
      <c r="M53" s="280">
        <v>14</v>
      </c>
      <c r="N53" s="280">
        <v>15</v>
      </c>
      <c r="O53" s="280">
        <v>16</v>
      </c>
      <c r="P53" s="280">
        <v>17</v>
      </c>
      <c r="Q53" s="280">
        <v>18</v>
      </c>
      <c r="R53" s="280">
        <v>19</v>
      </c>
      <c r="S53" s="280">
        <v>20</v>
      </c>
      <c r="T53" s="280">
        <v>21</v>
      </c>
      <c r="U53" s="280">
        <v>22</v>
      </c>
      <c r="V53" s="280">
        <v>23</v>
      </c>
      <c r="W53" s="280">
        <v>24</v>
      </c>
      <c r="X53" s="315">
        <v>25</v>
      </c>
      <c r="Y53" s="280">
        <v>26</v>
      </c>
      <c r="Z53" s="280">
        <v>27</v>
      </c>
      <c r="AA53" s="280">
        <v>28</v>
      </c>
      <c r="AB53" s="280">
        <v>29</v>
      </c>
      <c r="AC53" s="280">
        <v>30</v>
      </c>
      <c r="AD53" s="373">
        <v>31</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232</v>
      </c>
      <c r="D54" s="445" t="s">
        <v>234</v>
      </c>
      <c r="E54" s="445" t="s">
        <v>233</v>
      </c>
      <c r="F54" s="445" t="s">
        <v>237</v>
      </c>
      <c r="G54" s="445" t="s">
        <v>238</v>
      </c>
      <c r="H54" s="445" t="s">
        <v>237</v>
      </c>
      <c r="I54" s="445" t="s">
        <v>232</v>
      </c>
      <c r="J54" s="445" t="s">
        <v>238</v>
      </c>
      <c r="K54" s="445" t="s">
        <v>238</v>
      </c>
      <c r="L54" s="445" t="s">
        <v>234</v>
      </c>
      <c r="M54" s="445" t="s">
        <v>234</v>
      </c>
      <c r="N54" s="445" t="s">
        <v>234</v>
      </c>
      <c r="O54" s="445" t="s">
        <v>238</v>
      </c>
      <c r="P54" s="445" t="s">
        <v>236</v>
      </c>
      <c r="Q54" s="445" t="s">
        <v>240</v>
      </c>
      <c r="R54" s="445" t="s">
        <v>240</v>
      </c>
      <c r="S54" s="445" t="s">
        <v>234</v>
      </c>
      <c r="T54" s="445" t="s">
        <v>234</v>
      </c>
      <c r="U54" s="445" t="s">
        <v>237</v>
      </c>
      <c r="V54" s="445" t="s">
        <v>238</v>
      </c>
      <c r="W54" s="445" t="s">
        <v>234</v>
      </c>
      <c r="X54" s="446" t="s">
        <v>238</v>
      </c>
      <c r="Y54" s="445" t="s">
        <v>236</v>
      </c>
      <c r="Z54" s="445" t="s">
        <v>237</v>
      </c>
      <c r="AA54" s="445" t="s">
        <v>234</v>
      </c>
      <c r="AB54" s="445" t="s">
        <v>240</v>
      </c>
      <c r="AC54" s="445" t="s">
        <v>233</v>
      </c>
      <c r="AD54" s="447" t="s">
        <v>233</v>
      </c>
      <c r="AE54" s="448"/>
      <c r="AF54" s="444" t="s">
        <v>240</v>
      </c>
      <c r="AG54" s="445" t="s">
        <v>240</v>
      </c>
      <c r="AH54" s="449" t="s">
        <v>240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238</v>
      </c>
      <c r="D55" s="330" t="s">
        <v>237</v>
      </c>
      <c r="E55" s="330" t="s">
        <v>235</v>
      </c>
      <c r="F55" s="330" t="s">
        <v>233</v>
      </c>
      <c r="G55" s="330" t="s">
        <v>240</v>
      </c>
      <c r="H55" s="330" t="s">
        <v>233</v>
      </c>
      <c r="I55" s="330" t="s">
        <v>237</v>
      </c>
      <c r="J55" s="330" t="s">
        <v>237</v>
      </c>
      <c r="K55" s="330" t="s">
        <v>238</v>
      </c>
      <c r="L55" s="330" t="s">
        <v>236</v>
      </c>
      <c r="M55" s="330" t="s">
        <v>238</v>
      </c>
      <c r="N55" s="330" t="s">
        <v>236</v>
      </c>
      <c r="O55" s="330" t="s">
        <v>237</v>
      </c>
      <c r="P55" s="330" t="s">
        <v>232</v>
      </c>
      <c r="Q55" s="330" t="s">
        <v>240</v>
      </c>
      <c r="R55" s="330" t="s">
        <v>234</v>
      </c>
      <c r="S55" s="330" t="s">
        <v>237</v>
      </c>
      <c r="T55" s="330" t="s">
        <v>240</v>
      </c>
      <c r="U55" s="330" t="s">
        <v>237</v>
      </c>
      <c r="V55" s="330" t="s">
        <v>240</v>
      </c>
      <c r="W55" s="330" t="s">
        <v>237</v>
      </c>
      <c r="X55" s="89" t="s">
        <v>232</v>
      </c>
      <c r="Y55" s="90" t="s">
        <v>238</v>
      </c>
      <c r="Z55" s="90" t="s">
        <v>237</v>
      </c>
      <c r="AA55" s="90" t="s">
        <v>234</v>
      </c>
      <c r="AB55" s="90" t="s">
        <v>237</v>
      </c>
      <c r="AC55" s="90" t="s">
        <v>233</v>
      </c>
      <c r="AD55" s="91" t="s">
        <v>235</v>
      </c>
      <c r="AE55" s="88"/>
      <c r="AF55" s="329" t="s">
        <v>240</v>
      </c>
      <c r="AG55" s="330" t="s">
        <v>240</v>
      </c>
      <c r="AH55" s="332" t="s">
        <v>233</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8"/>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8"/>
      <c r="Z65" s="658"/>
      <c r="AA65" s="658"/>
      <c r="AB65" s="658"/>
      <c r="AC65" s="658"/>
      <c r="AD65" s="658"/>
      <c r="AE65" s="658"/>
      <c r="AF65" s="658"/>
      <c r="AG65" s="658"/>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5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58"/>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58"/>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58"/>
      <c r="B72" s="658" t="n">
        <v>45731</v>
      </c>
      <c r="C72" s="658">
        <v>45738</v>
      </c>
      <c r="D72" s="658">
        <v>45745</v>
      </c>
      <c r="E72" s="658">
        <v>45752</v>
      </c>
      <c r="F72" s="658">
        <v>45759</v>
      </c>
      <c r="G72" s="658">
        <v>45766</v>
      </c>
      <c r="H72" s="658">
        <v>45773</v>
      </c>
      <c r="I72" s="658">
        <v>45780</v>
      </c>
      <c r="J72" s="658">
        <v>45787</v>
      </c>
      <c r="K72" s="658">
        <v>45794</v>
      </c>
      <c r="L72" s="658">
        <v>45801</v>
      </c>
      <c r="M72" s="658">
        <v>45808</v>
      </c>
      <c r="N72" s="658"/>
      <c r="O72" s="658"/>
      <c r="P72" s="658"/>
      <c r="Q72" s="658"/>
      <c r="R72" s="658"/>
      <c r="S72" s="658"/>
      <c r="T72" s="658"/>
      <c r="U72" s="658"/>
      <c r="V72" s="658"/>
      <c r="W72" s="658"/>
      <c r="X72" s="658"/>
      <c r="Y72" s="658"/>
      <c r="Z72" s="658"/>
      <c r="AA72" s="658"/>
      <c r="AB72" s="658"/>
      <c r="AC72" s="658"/>
      <c r="AD72" s="658"/>
      <c r="AE72" s="658"/>
      <c r="AF72" s="658"/>
      <c r="AG72" s="65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58" t="s">
        <v>32</v>
      </c>
      <c r="B73" s="658">
        <v>247.67965367965367965367965368</v>
      </c>
      <c r="C73" s="658">
        <v>265.47943722943722943722943723</v>
      </c>
      <c r="D73" s="658">
        <v>296.08658008658008658008658009</v>
      </c>
      <c r="E73" s="658">
        <v>252.03571428571428571428571429</v>
      </c>
      <c r="F73" s="658">
        <v>279.31818181818181818181818182</v>
      </c>
      <c r="G73" s="658">
        <v>251.6991341991341991341991342</v>
      </c>
      <c r="H73" s="658">
        <v>207.94372294372294372294372294</v>
      </c>
      <c r="I73" s="658">
        <v>302.96103896103896103896103896</v>
      </c>
      <c r="J73" s="658">
        <v>181.91774891774891774891774892</v>
      </c>
      <c r="K73" s="658">
        <v>149.96103896103896103896103896</v>
      </c>
      <c r="L73" s="658">
        <v>187.78571428571428571428571429</v>
      </c>
      <c r="M73" s="658">
        <v>128.754329004329004329004329</v>
      </c>
      <c r="N73" s="658"/>
      <c r="O73" s="658"/>
      <c r="P73" s="658"/>
      <c r="Q73" s="658"/>
      <c r="R73" s="658"/>
      <c r="S73" s="658"/>
      <c r="T73" s="658"/>
      <c r="U73" s="658"/>
      <c r="V73" s="658"/>
      <c r="W73" s="658"/>
      <c r="X73" s="658"/>
      <c r="Y73" s="658"/>
      <c r="Z73" s="658"/>
      <c r="AA73" s="658"/>
      <c r="AB73" s="658"/>
      <c r="AC73" s="658"/>
      <c r="AD73" s="658"/>
      <c r="AE73" s="658"/>
      <c r="AF73" s="658"/>
      <c r="AG73" s="65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58" t="s">
        <v>26</v>
      </c>
      <c r="B74" s="658">
        <v>248.18110634766975522057806666</v>
      </c>
      <c r="C74" s="658">
        <v>269.01491218365371317936661596</v>
      </c>
      <c r="D74" s="658">
        <v>265.55532844696445858110911354</v>
      </c>
      <c r="E74" s="658">
        <v>213.21794087746007372471971731</v>
      </c>
      <c r="F74" s="658">
        <v>263.97679159175770986032360669</v>
      </c>
      <c r="G74" s="658">
        <v>235.56293597012861291660904439</v>
      </c>
      <c r="H74" s="658">
        <v>191.76843590098188355690775826</v>
      </c>
      <c r="I74" s="658">
        <v>313.92671138155165260683169686</v>
      </c>
      <c r="J74" s="658">
        <v>173.00253906790208823122666298</v>
      </c>
      <c r="K74" s="658">
        <v>159.20047711243258193887429125</v>
      </c>
      <c r="L74" s="658">
        <v>206.71665744710275203982851611</v>
      </c>
      <c r="M74" s="658">
        <v>155.46292767252108975245470889</v>
      </c>
      <c r="N74" s="658"/>
      <c r="O74" s="658"/>
      <c r="P74" s="658"/>
      <c r="Q74" s="658"/>
      <c r="R74" s="658"/>
      <c r="S74" s="658"/>
      <c r="T74" s="658"/>
      <c r="U74" s="658"/>
      <c r="V74" s="658"/>
      <c r="W74" s="658"/>
      <c r="X74" s="658"/>
      <c r="Y74" s="658"/>
      <c r="Z74" s="658"/>
      <c r="AA74" s="658"/>
      <c r="AB74" s="658"/>
      <c r="AC74" s="658"/>
      <c r="AD74" s="658"/>
      <c r="AE74" s="658"/>
      <c r="AF74" s="658"/>
      <c r="AG74" s="65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58" t="s">
        <v>183</v>
      </c>
      <c r="B75" s="658">
        <v>213.79726573541006530697252347</v>
      </c>
      <c r="C75" s="658">
        <v>254.78639115752517814373484477</v>
      </c>
      <c r="D75" s="658">
        <v>256.73475550795138424004403386</v>
      </c>
      <c r="E75" s="658">
        <v>221.94389601107785768526376915</v>
      </c>
      <c r="F75" s="658">
        <v>231.00373862400762619717890284</v>
      </c>
      <c r="G75" s="658">
        <v>207.32838822110013852272219491</v>
      </c>
      <c r="H75" s="658">
        <v>174.46452775667664626063124656</v>
      </c>
      <c r="I75" s="658">
        <v>258.9583687087597003142827353</v>
      </c>
      <c r="J75" s="658">
        <v>168.17802404039501318200098306</v>
      </c>
      <c r="K75" s="658">
        <v>152.37934372998495613447130494</v>
      </c>
      <c r="L75" s="658">
        <v>152.38144391319242742452001132</v>
      </c>
      <c r="M75" s="658">
        <v>127.07291061560689336729374265</v>
      </c>
      <c r="N75" s="658"/>
      <c r="O75" s="658"/>
      <c r="P75" s="658"/>
      <c r="Q75" s="658"/>
      <c r="R75" s="658"/>
      <c r="S75" s="658"/>
      <c r="T75" s="658"/>
      <c r="U75" s="658"/>
      <c r="V75" s="658"/>
      <c r="W75" s="658"/>
      <c r="X75" s="658"/>
      <c r="Y75" s="658"/>
      <c r="Z75" s="658"/>
      <c r="AA75" s="658"/>
      <c r="AB75" s="658"/>
      <c r="AC75" s="658"/>
      <c r="AD75" s="658"/>
      <c r="AE75" s="658"/>
      <c r="AF75" s="658"/>
      <c r="AG75" s="65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58"/>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58"/>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58"/>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8"/>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8"/>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8"/>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8"/>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8"/>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8"/>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8"/>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8"/>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8"/>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8"/>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8"/>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8"/>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8"/>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8"/>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8"/>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8"/>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8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156</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2"/>
      <c r="C4" s="211"/>
      <c r="D4" s="212"/>
      <c r="E4" s="212"/>
      <c r="F4" s="212"/>
      <c r="G4" s="212"/>
      <c r="H4" s="212"/>
      <c r="I4" s="212"/>
      <c r="J4" s="212"/>
      <c r="K4" s="212"/>
      <c r="L4" s="212"/>
      <c r="M4" s="212"/>
      <c r="N4" s="212"/>
      <c r="O4" s="212"/>
      <c r="P4" s="212"/>
      <c r="Q4" s="212"/>
      <c r="R4" s="660" t="s">
        <v>182</v>
      </c>
      <c r="S4" s="660"/>
      <c r="T4" s="660"/>
      <c r="U4" s="660"/>
      <c r="V4" s="660"/>
      <c r="W4" s="660"/>
      <c r="X4" s="660"/>
      <c r="Y4" s="660"/>
      <c r="Z4" s="660"/>
      <c r="AA4" s="660"/>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181</v>
      </c>
      <c r="B10" s="342">
        <v>4</v>
      </c>
      <c r="C10" s="343" t="s">
        <v>49</v>
      </c>
      <c r="D10" s="374">
        <v>190.21969696969696969696969697</v>
      </c>
      <c r="E10" s="382">
        <v>194.60186154758706072057631218</v>
      </c>
      <c r="F10" s="375">
        <v>146.5536512192903272590630865</v>
      </c>
      <c r="G10" s="374">
        <v>93.12121212121212121212121212</v>
      </c>
      <c r="H10" s="382">
        <v>30.191633128114778582424655883</v>
      </c>
      <c r="I10" s="375">
        <v>55.992332352658187847029205045</v>
      </c>
      <c r="J10" s="374">
        <v>0</v>
      </c>
      <c r="K10" s="382">
        <v>0</v>
      </c>
      <c r="L10" s="375">
        <v>13.689445476117380003906665816</v>
      </c>
      <c r="M10" s="374">
        <v>283.34090909090909090909090909</v>
      </c>
      <c r="N10" s="382">
        <v>224.79349467570183930300096805</v>
      </c>
      <c r="O10" s="375">
        <v>216.23542904806589510999895736</v>
      </c>
      <c r="P10" s="4"/>
      <c r="Q10" s="354">
        <v>-0.8019911504550187116118261700</v>
      </c>
      <c r="R10" s="355">
        <v>-6.651880891783656362335109600</v>
      </c>
      <c r="S10" s="356">
        <v>-7.0485480556747465539213269900</v>
      </c>
      <c r="T10" s="354">
        <v>-44.170413771192032407565646900</v>
      </c>
      <c r="U10" s="355">
        <v>-59.416129805066408094187103120</v>
      </c>
      <c r="V10" s="356">
        <v>-10.498948025393842562580689420</v>
      </c>
      <c r="W10" s="354">
        <v>0</v>
      </c>
      <c r="X10" s="355">
        <v>-100</v>
      </c>
      <c r="Y10" s="356">
        <v>17.966268912483613990039366080</v>
      </c>
      <c r="Z10" s="354">
        <v>-20.976568277370827743521086090</v>
      </c>
      <c r="AA10" s="355">
        <v>-21.328608273146758349319679810</v>
      </c>
      <c r="AB10" s="356">
        <v>-6.7275109875757559529966191900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5</v>
      </c>
      <c r="C11" s="345" t="s">
        <v>47</v>
      </c>
      <c r="D11" s="370">
        <v>123.35606060606060606060606061</v>
      </c>
      <c r="E11" s="172">
        <v>101.91871288275958520142581112</v>
      </c>
      <c r="F11" s="371">
        <v>93.05056528922706787310713393</v>
      </c>
      <c r="G11" s="370">
        <v>0</v>
      </c>
      <c r="H11" s="172">
        <v>32.150057688392399309706812305</v>
      </c>
      <c r="I11" s="371">
        <v>39.732314652579118072770280111</v>
      </c>
      <c r="J11" s="370">
        <v>0</v>
      </c>
      <c r="K11" s="172">
        <v>0</v>
      </c>
      <c r="L11" s="371">
        <v>10.14611599188164639694398102</v>
      </c>
      <c r="M11" s="370">
        <v>123.35606060606060606060606061</v>
      </c>
      <c r="N11" s="172">
        <v>134.06877057115198451113262343</v>
      </c>
      <c r="O11" s="371">
        <v>142.92899593368783234282139506</v>
      </c>
      <c r="P11" s="4"/>
      <c r="Q11" s="327">
        <v>-10.606642876734226805226766370</v>
      </c>
      <c r="R11" s="171">
        <v>-28.012143469071810517797610790</v>
      </c>
      <c r="S11" s="328">
        <v>-11.707887430946107994092906140</v>
      </c>
      <c r="T11" s="327">
        <v>0</v>
      </c>
      <c r="U11" s="171">
        <v>50.980023471960016632924422660</v>
      </c>
      <c r="V11" s="328">
        <v>-13.143681171415708818025840140</v>
      </c>
      <c r="W11" s="327">
        <v>0</v>
      </c>
      <c r="X11" s="171">
        <v>-100</v>
      </c>
      <c r="Y11" s="328">
        <v>12.189332432341364010204499850</v>
      </c>
      <c r="Z11" s="327">
        <v>-10.606642876734226805226766370</v>
      </c>
      <c r="AA11" s="171">
        <v>-18.841269337124650907674679260</v>
      </c>
      <c r="AB11" s="328">
        <v>-10.768681830547460904920805670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6</v>
      </c>
      <c r="C12" s="347" t="s">
        <v>48</v>
      </c>
      <c r="D12" s="378">
        <v>89.17424242424242424242424242</v>
      </c>
      <c r="E12" s="173">
        <v>109.29977068673126895850795364</v>
      </c>
      <c r="F12" s="379">
        <v>91.25026749668811000570701483</v>
      </c>
      <c r="G12" s="378">
        <v>0</v>
      </c>
      <c r="H12" s="173">
        <v>39.945669777934752338684689159</v>
      </c>
      <c r="I12" s="379">
        <v>35.310147742176975847988007712</v>
      </c>
      <c r="J12" s="378">
        <v>0</v>
      </c>
      <c r="K12" s="173">
        <v>0</v>
      </c>
      <c r="L12" s="379">
        <v>11.373585386721401478178608998</v>
      </c>
      <c r="M12" s="378">
        <v>89.17424242424242424242424242</v>
      </c>
      <c r="N12" s="173">
        <v>149.24544046466602129719264279</v>
      </c>
      <c r="O12" s="379">
        <v>137.93400062558648733187363153</v>
      </c>
      <c r="P12" s="4"/>
      <c r="Q12" s="359">
        <v>-42.358356593685625098651491790</v>
      </c>
      <c r="R12" s="170">
        <v>-20.348468672846839325091830660</v>
      </c>
      <c r="S12" s="360">
        <v>-16.449229123794272086769483510</v>
      </c>
      <c r="T12" s="359">
        <v>-100</v>
      </c>
      <c r="U12" s="170">
        <v>99.19836986994697803409309754</v>
      </c>
      <c r="V12" s="360">
        <v>-28.538605184255225037969385810</v>
      </c>
      <c r="W12" s="359">
        <v>0</v>
      </c>
      <c r="X12" s="170">
        <v>-100</v>
      </c>
      <c r="Y12" s="360">
        <v>28.272190311635899284073876290</v>
      </c>
      <c r="Z12" s="359">
        <v>-45.818181818170844649021861990</v>
      </c>
      <c r="AA12" s="170">
        <v>-5.9653283662901272666959499400</v>
      </c>
      <c r="AB12" s="360">
        <v>-17.648201360369589279459656310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7</v>
      </c>
      <c r="C13" s="345" t="s">
        <v>50</v>
      </c>
      <c r="D13" s="370">
        <v>124.84848484848484848484848485</v>
      </c>
      <c r="E13" s="172">
        <v>119.43756050338818973862536302</v>
      </c>
      <c r="F13" s="371">
        <v>105.49707796438322702882589446</v>
      </c>
      <c r="G13" s="370">
        <v>28.575757575757575757575757576</v>
      </c>
      <c r="H13" s="172">
        <v>28.972894482090997095837366893</v>
      </c>
      <c r="I13" s="371">
        <v>35.421205460498390014578751654</v>
      </c>
      <c r="J13" s="370">
        <v>0</v>
      </c>
      <c r="K13" s="172">
        <v>0</v>
      </c>
      <c r="L13" s="371">
        <v>11.031356862888167129257224396</v>
      </c>
      <c r="M13" s="370">
        <v>153.42424242424242424242424242</v>
      </c>
      <c r="N13" s="172">
        <v>148.41045498547918683446272991</v>
      </c>
      <c r="O13" s="371">
        <v>151.9496402877697841726618705</v>
      </c>
      <c r="P13" s="4"/>
      <c r="Q13" s="327">
        <v>-19.060949855115171160552035750</v>
      </c>
      <c r="R13" s="171">
        <v>-9.080205579054669814425539440</v>
      </c>
      <c r="S13" s="328">
        <v>-7.2218036423256350296026614200</v>
      </c>
      <c r="T13" s="327">
        <v>4.1701187517950865189186159100</v>
      </c>
      <c r="U13" s="171">
        <v>41.870577529153615978981749180</v>
      </c>
      <c r="V13" s="328">
        <v>-28.704560406265792248341108880</v>
      </c>
      <c r="W13" s="327">
        <v>0</v>
      </c>
      <c r="X13" s="171">
        <v>-100</v>
      </c>
      <c r="Y13" s="328">
        <v>42.610266515030846767903189460</v>
      </c>
      <c r="Z13" s="327">
        <v>-15.553331665407277457926652390</v>
      </c>
      <c r="AA13" s="171">
        <v>-3.0413635075644994566142662900</v>
      </c>
      <c r="AB13" s="328">
        <v>-11.206256959020344157826096150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8</v>
      </c>
      <c r="C14" s="347" t="s">
        <v>51</v>
      </c>
      <c r="D14" s="378">
        <v>148.98484848484848484848484848</v>
      </c>
      <c r="E14" s="173">
        <v>150.83939043593234793918521345</v>
      </c>
      <c r="F14" s="379">
        <v>139.4799781311516103472950414</v>
      </c>
      <c r="G14" s="378">
        <v>29.492424242424242424242424242</v>
      </c>
      <c r="H14" s="173">
        <v>16.165546640543934732644409014</v>
      </c>
      <c r="I14" s="379">
        <v>26.621343032994391027490229068</v>
      </c>
      <c r="J14" s="378">
        <v>0</v>
      </c>
      <c r="K14" s="173">
        <v>0</v>
      </c>
      <c r="L14" s="379">
        <v>11.328978074723772371435144502</v>
      </c>
      <c r="M14" s="378">
        <v>178.47727272727272727272727273</v>
      </c>
      <c r="N14" s="173">
        <v>167.00493707647628267182962246</v>
      </c>
      <c r="O14" s="379">
        <v>177.43029923886977374622041497</v>
      </c>
      <c r="P14" s="4"/>
      <c r="Q14" s="359">
        <v>0.2651167533455857112319779100</v>
      </c>
      <c r="R14" s="170">
        <v>14.152583080946078272959478770</v>
      </c>
      <c r="S14" s="360">
        <v>7.9134386195221202026307383400</v>
      </c>
      <c r="T14" s="359">
        <v>16.661672160637298372449581930</v>
      </c>
      <c r="U14" s="170">
        <v>320.41828805272739366691559279</v>
      </c>
      <c r="V14" s="360">
        <v>-8.778883650892762458142384120</v>
      </c>
      <c r="W14" s="359">
        <v>0</v>
      </c>
      <c r="X14" s="170">
        <v>-100</v>
      </c>
      <c r="Y14" s="360">
        <v>48.911034356387818116103335830</v>
      </c>
      <c r="Z14" s="359">
        <v>2.6491220426196783841779526600</v>
      </c>
      <c r="AA14" s="170">
        <v>21.953152304325845663617603780</v>
      </c>
      <c r="AB14" s="360">
        <v>6.8580951107555178857711238500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9</v>
      </c>
      <c r="C15" s="345" t="s">
        <v>52</v>
      </c>
      <c r="D15" s="370">
        <v>181.51515151515151515151515152</v>
      </c>
      <c r="E15" s="172">
        <v>179.52952565343659244917715392</v>
      </c>
      <c r="F15" s="371">
        <v>153.86516356807570118355962128</v>
      </c>
      <c r="G15" s="370">
        <v>39.128787878787878787878787879</v>
      </c>
      <c r="H15" s="172">
        <v>21.688286544046466602129719264</v>
      </c>
      <c r="I15" s="371">
        <v>13.59978155794853550984791616</v>
      </c>
      <c r="J15" s="370">
        <v>0</v>
      </c>
      <c r="K15" s="172">
        <v>0</v>
      </c>
      <c r="L15" s="371">
        <v>11.313075935387503479671390731</v>
      </c>
      <c r="M15" s="370">
        <v>220.64393939393939393939393939</v>
      </c>
      <c r="N15" s="172">
        <v>201.21781219748305905130687318</v>
      </c>
      <c r="O15" s="371">
        <v>178.77802106141174017307892816</v>
      </c>
      <c r="P15" s="4"/>
      <c r="Q15" s="327">
        <v>-18.018202969961622464806543690</v>
      </c>
      <c r="R15" s="171">
        <v>-7.39482535222485051764150900</v>
      </c>
      <c r="S15" s="328">
        <v>-3.7109600876185630853517764100</v>
      </c>
      <c r="T15" s="327">
        <v>-23.797580407222249164825251620</v>
      </c>
      <c r="U15" s="171">
        <v>548.63891223053324895320466383</v>
      </c>
      <c r="V15" s="328">
        <v>-19.379725350219364184303316830</v>
      </c>
      <c r="W15" s="327">
        <v>0</v>
      </c>
      <c r="X15" s="171">
        <v>-100</v>
      </c>
      <c r="Y15" s="328">
        <v>16.654299602506428244145111310</v>
      </c>
      <c r="Z15" s="327">
        <v>-19.106210421071515946190772450</v>
      </c>
      <c r="AA15" s="171">
        <v>0.9695276124487347809447863200</v>
      </c>
      <c r="AB15" s="328">
        <v>-4.0694779780098420630609922800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10</v>
      </c>
      <c r="C16" s="347" t="s">
        <v>53</v>
      </c>
      <c r="D16" s="378">
        <v>186.31818181818181818181818182</v>
      </c>
      <c r="E16" s="173">
        <v>166.65246853823814133591481123</v>
      </c>
      <c r="F16" s="379">
        <v>148.48876583993888062565971698</v>
      </c>
      <c r="G16" s="378">
        <v>38.689393939393939393939393939</v>
      </c>
      <c r="H16" s="173">
        <v>19.624394966118102613746369797</v>
      </c>
      <c r="I16" s="379">
        <v>10.871255210766733244570429754</v>
      </c>
      <c r="J16" s="378">
        <v>0</v>
      </c>
      <c r="K16" s="173">
        <v>0</v>
      </c>
      <c r="L16" s="379">
        <v>12.629761036667965527121537132</v>
      </c>
      <c r="M16" s="378">
        <v>225.00757575757575757575757576</v>
      </c>
      <c r="N16" s="173">
        <v>186.27686350435624394966118103</v>
      </c>
      <c r="O16" s="379">
        <v>171.98978208737357939735168387</v>
      </c>
      <c r="P16" s="4"/>
      <c r="Q16" s="359">
        <v>-4.9801027701418657980986989200</v>
      </c>
      <c r="R16" s="170">
        <v>-18.213104500091488568559707320</v>
      </c>
      <c r="S16" s="360">
        <v>-1.6127118572907976736037587800</v>
      </c>
      <c r="T16" s="359">
        <v>28.769541099149617436562053020</v>
      </c>
      <c r="U16" s="170">
        <v>790.29641095444482379856094003</v>
      </c>
      <c r="V16" s="360">
        <v>-30.134893857468505839296058750</v>
      </c>
      <c r="W16" s="359">
        <v>0</v>
      </c>
      <c r="X16" s="170">
        <v>-100</v>
      </c>
      <c r="Y16" s="360">
        <v>35.411537219174844162752277510</v>
      </c>
      <c r="Z16" s="359">
        <v>-0.4958290060021845513615329300</v>
      </c>
      <c r="AA16" s="170">
        <v>-10.048818140271918685603664400</v>
      </c>
      <c r="AB16" s="360">
        <v>-2.1729300556385082744836692600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11</v>
      </c>
      <c r="C17" s="345" t="s">
        <v>49</v>
      </c>
      <c r="D17" s="370">
        <v>94.45454545454545454545454545</v>
      </c>
      <c r="E17" s="172">
        <v>93.64597660130442928337488247</v>
      </c>
      <c r="F17" s="371">
        <v>77.896279628045106962828178144</v>
      </c>
      <c r="G17" s="370">
        <v>2.2196969696969696969696969697</v>
      </c>
      <c r="H17" s="172">
        <v>17.747208297049878557864226927</v>
      </c>
      <c r="I17" s="371">
        <v>11.650120747107890479177804484</v>
      </c>
      <c r="J17" s="370">
        <v>0</v>
      </c>
      <c r="K17" s="172">
        <v>0</v>
      </c>
      <c r="L17" s="371">
        <v>11.579342508800709157931458726</v>
      </c>
      <c r="M17" s="370">
        <v>96.67424242424242424242424242</v>
      </c>
      <c r="N17" s="172">
        <v>111.39318489835430784123910939</v>
      </c>
      <c r="O17" s="371">
        <v>101.12574288395370659993744135</v>
      </c>
      <c r="P17" s="4"/>
      <c r="Q17" s="327">
        <v>-27.738495421339843965873406260</v>
      </c>
      <c r="R17" s="171">
        <v>-26.973741195476021546073805370</v>
      </c>
      <c r="S17" s="328">
        <v>-11.655885695107062040090068400</v>
      </c>
      <c r="T17" s="327">
        <v>0</v>
      </c>
      <c r="U17" s="171">
        <v>155.11955103193952308332299025</v>
      </c>
      <c r="V17" s="328">
        <v>-24.218361954635522175959891980</v>
      </c>
      <c r="W17" s="327">
        <v>0</v>
      </c>
      <c r="X17" s="171">
        <v>-100</v>
      </c>
      <c r="Y17" s="328">
        <v>20.303413967047251890936654640</v>
      </c>
      <c r="Z17" s="327">
        <v>-26.040338472226319285251085760</v>
      </c>
      <c r="AA17" s="171">
        <v>-18.183985487866004799484816470</v>
      </c>
      <c r="AB17" s="328">
        <v>-10.644280090254273576497679370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12</v>
      </c>
      <c r="C18" s="347" t="s">
        <v>47</v>
      </c>
      <c r="D18" s="378">
        <v>80.35606060606060606060606061</v>
      </c>
      <c r="E18" s="173">
        <v>91.30052604894158040880378629</v>
      </c>
      <c r="F18" s="379">
        <v>79.97164066836583935065754943</v>
      </c>
      <c r="G18" s="378">
        <v>14.083333333333333333333333333</v>
      </c>
      <c r="H18" s="173">
        <v>19.888767271484363444051973634</v>
      </c>
      <c r="I18" s="379">
        <v>29.215423269267625276124338687</v>
      </c>
      <c r="J18" s="378">
        <v>0</v>
      </c>
      <c r="K18" s="173">
        <v>0</v>
      </c>
      <c r="L18" s="379">
        <v>10.971522236905165338810855079</v>
      </c>
      <c r="M18" s="378">
        <v>94.43939393939393939393939394</v>
      </c>
      <c r="N18" s="173">
        <v>111.18929332042594385285575992</v>
      </c>
      <c r="O18" s="379">
        <v>120.1585861745386299655927432</v>
      </c>
      <c r="P18" s="4"/>
      <c r="Q18" s="359">
        <v>-34.342308882718363164182169720</v>
      </c>
      <c r="R18" s="170">
        <v>-24.483358579111921220900855530</v>
      </c>
      <c r="S18" s="360">
        <v>-8.558885465510543655969847310</v>
      </c>
      <c r="T18" s="359">
        <v>0</v>
      </c>
      <c r="U18" s="170">
        <v>1.4422872853490368673419675100</v>
      </c>
      <c r="V18" s="360">
        <v>5.696651218201417255205075900</v>
      </c>
      <c r="W18" s="359">
        <v>0</v>
      </c>
      <c r="X18" s="170">
        <v>-100</v>
      </c>
      <c r="Y18" s="360">
        <v>16.524782081086674767354557200</v>
      </c>
      <c r="Z18" s="359">
        <v>-22.835035592718687207004329950</v>
      </c>
      <c r="AA18" s="170">
        <v>-21.313021887607218123277778530</v>
      </c>
      <c r="AB18" s="360">
        <v>-3.4974803577480574960295121300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13</v>
      </c>
      <c r="C19" s="345" t="s">
        <v>48</v>
      </c>
      <c r="D19" s="370">
        <v>96.90151515151515151515151515</v>
      </c>
      <c r="E19" s="172">
        <v>112.65640503188246438016313357</v>
      </c>
      <c r="F19" s="371">
        <v>90.59373618838183012887214053</v>
      </c>
      <c r="G19" s="370">
        <v>14.083333333333333333333333333</v>
      </c>
      <c r="H19" s="172">
        <v>23.078425558630604351685849969</v>
      </c>
      <c r="I19" s="371">
        <v>36.631475274316674430060545716</v>
      </c>
      <c r="J19" s="370">
        <v>0</v>
      </c>
      <c r="K19" s="172">
        <v>0</v>
      </c>
      <c r="L19" s="371">
        <v>8.777290883250822935593431996</v>
      </c>
      <c r="M19" s="370">
        <v>110.98484848484848484848484848</v>
      </c>
      <c r="N19" s="172">
        <v>135.73483059051306873184898354</v>
      </c>
      <c r="O19" s="371">
        <v>136.00250234594932749452611824</v>
      </c>
      <c r="P19" s="4"/>
      <c r="Q19" s="327">
        <v>-23.001444738752347526518329840</v>
      </c>
      <c r="R19" s="171">
        <v>-14.173966536460178148026607510</v>
      </c>
      <c r="S19" s="328">
        <v>-7.5622807847893757553814919100</v>
      </c>
      <c r="T19" s="327">
        <v>0</v>
      </c>
      <c r="U19" s="171">
        <v>-30.900498057374764810030539630</v>
      </c>
      <c r="V19" s="328">
        <v>1.2618339853655068891696089600</v>
      </c>
      <c r="W19" s="327">
        <v>0</v>
      </c>
      <c r="X19" s="171">
        <v>-100</v>
      </c>
      <c r="Y19" s="328">
        <v>-4.7767801033501563730100865800</v>
      </c>
      <c r="Z19" s="327">
        <v>-11.810739224667492085332931920</v>
      </c>
      <c r="AA19" s="171">
        <v>-18.201481372916564430714004410</v>
      </c>
      <c r="AB19" s="328">
        <v>-5.1571663656474051223065020500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14</v>
      </c>
      <c r="C20" s="347" t="s">
        <v>50</v>
      </c>
      <c r="D20" s="378">
        <v>94.71212121212121212121212121</v>
      </c>
      <c r="E20" s="173">
        <v>111.50548589422503982820045277</v>
      </c>
      <c r="F20" s="379">
        <v>93.94522407584213538850204298</v>
      </c>
      <c r="G20" s="378">
        <v>14.083333333333333333333333333</v>
      </c>
      <c r="H20" s="173">
        <v>22.091029110615231226978637256</v>
      </c>
      <c r="I20" s="379">
        <v>47.86566356578504473673101394</v>
      </c>
      <c r="J20" s="378">
        <v>0</v>
      </c>
      <c r="K20" s="173">
        <v>0</v>
      </c>
      <c r="L20" s="379">
        <v>11.014990786065448380657882503</v>
      </c>
      <c r="M20" s="378">
        <v>108.79545454545454545454545455</v>
      </c>
      <c r="N20" s="173">
        <v>133.59651500484027105517909003</v>
      </c>
      <c r="O20" s="379">
        <v>152.82587842769262850589093942</v>
      </c>
      <c r="P20" s="4"/>
      <c r="Q20" s="359">
        <v>-26.333156561203040505818933050</v>
      </c>
      <c r="R20" s="170">
        <v>-8.685632229647262365583576740</v>
      </c>
      <c r="S20" s="360">
        <v>-7.7414961414019822045479793700</v>
      </c>
      <c r="T20" s="359">
        <v>0</v>
      </c>
      <c r="U20" s="170">
        <v>-9.580903399934823811374279390</v>
      </c>
      <c r="V20" s="360">
        <v>24.939664573831791555843364280</v>
      </c>
      <c r="W20" s="359">
        <v>0</v>
      </c>
      <c r="X20" s="170">
        <v>-100</v>
      </c>
      <c r="Y20" s="360">
        <v>12.354905691356263292815651050</v>
      </c>
      <c r="Z20" s="359">
        <v>-15.379176241836255375465181360</v>
      </c>
      <c r="AA20" s="170">
        <v>-9.329039809016858545765043770</v>
      </c>
      <c r="AB20" s="360">
        <v>1.9226329089460669425930896600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15</v>
      </c>
      <c r="C21" s="345" t="s">
        <v>51</v>
      </c>
      <c r="D21" s="370">
        <v>122.47727272727272727272727273</v>
      </c>
      <c r="E21" s="172">
        <v>134.70154353865262420602376361</v>
      </c>
      <c r="F21" s="371">
        <v>108.19454016651391515178218676</v>
      </c>
      <c r="G21" s="370">
        <v>14.083333333333333333333333333</v>
      </c>
      <c r="H21" s="172">
        <v>10.790876596874965338990757206</v>
      </c>
      <c r="I21" s="371">
        <v>40.217475695780541069082221443</v>
      </c>
      <c r="J21" s="370">
        <v>0</v>
      </c>
      <c r="K21" s="172">
        <v>0</v>
      </c>
      <c r="L21" s="371">
        <v>11.852398693017815700728752044</v>
      </c>
      <c r="M21" s="370">
        <v>136.56060606060606060606060606</v>
      </c>
      <c r="N21" s="172">
        <v>145.49242013552758954501452081</v>
      </c>
      <c r="O21" s="371">
        <v>160.26441455531227192159316025</v>
      </c>
      <c r="P21" s="4"/>
      <c r="Q21" s="327">
        <v>-19.430878102288230956849663870</v>
      </c>
      <c r="R21" s="171">
        <v>-11.099780669395959314439644840</v>
      </c>
      <c r="S21" s="328">
        <v>-5.9433237520084545645110586800</v>
      </c>
      <c r="T21" s="327">
        <v>0</v>
      </c>
      <c r="U21" s="171">
        <v>-34.847332851567037946292870220</v>
      </c>
      <c r="V21" s="328">
        <v>14.884288754928079804440545190</v>
      </c>
      <c r="W21" s="327">
        <v>0</v>
      </c>
      <c r="X21" s="171">
        <v>-100</v>
      </c>
      <c r="Y21" s="328">
        <v>34.439563690079265788156029130</v>
      </c>
      <c r="Z21" s="327">
        <v>-10.166450712676912923125628810</v>
      </c>
      <c r="AA21" s="171">
        <v>-14.576305924960378166613468900</v>
      </c>
      <c r="AB21" s="328">
        <v>0.887669606700246792140869300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16</v>
      </c>
      <c r="C22" s="347" t="s">
        <v>52</v>
      </c>
      <c r="D22" s="378">
        <v>224.74242424242424242424242424</v>
      </c>
      <c r="E22" s="173">
        <v>187.43844640788933867587034412</v>
      </c>
      <c r="F22" s="379">
        <v>151.15986370702154912391566561</v>
      </c>
      <c r="G22" s="378">
        <v>0</v>
      </c>
      <c r="H22" s="173">
        <v>33.439481956099044673597226052</v>
      </c>
      <c r="I22" s="379">
        <v>35.785488914871304492376590016</v>
      </c>
      <c r="J22" s="378">
        <v>0</v>
      </c>
      <c r="K22" s="173">
        <v>0</v>
      </c>
      <c r="L22" s="379">
        <v>12.30196256943234709270576335</v>
      </c>
      <c r="M22" s="378">
        <v>224.74242424242424242424242424</v>
      </c>
      <c r="N22" s="173">
        <v>220.87792836398838334946757018</v>
      </c>
      <c r="O22" s="379">
        <v>199.24731519132520070899801898</v>
      </c>
      <c r="P22" s="4"/>
      <c r="Q22" s="359">
        <v>3.6004889121791039348136626400</v>
      </c>
      <c r="R22" s="170">
        <v>-12.822381636943495118687873030</v>
      </c>
      <c r="S22" s="360">
        <v>-3.79575243675381214699133900</v>
      </c>
      <c r="T22" s="359">
        <v>0</v>
      </c>
      <c r="U22" s="170">
        <v>187.85719443611888308296498597</v>
      </c>
      <c r="V22" s="360">
        <v>33.978740860758400815688185540</v>
      </c>
      <c r="W22" s="359">
        <v>0</v>
      </c>
      <c r="X22" s="170">
        <v>-100</v>
      </c>
      <c r="Y22" s="360">
        <v>31.244668709820302785271304960</v>
      </c>
      <c r="Z22" s="359">
        <v>3.6004889121791039348136626400</v>
      </c>
      <c r="AA22" s="170">
        <v>-3.285436289392706795533159900</v>
      </c>
      <c r="AB22" s="360">
        <v>3.1263285172797563496026946300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17</v>
      </c>
      <c r="C23" s="345" t="s">
        <v>53</v>
      </c>
      <c r="D23" s="370">
        <v>277.53030303030303030303030303</v>
      </c>
      <c r="E23" s="172">
        <v>222.41828348665764394424519119</v>
      </c>
      <c r="F23" s="371">
        <v>161.23236447585741437918262081</v>
      </c>
      <c r="G23" s="370">
        <v>0</v>
      </c>
      <c r="H23" s="172">
        <v>33.700883986720865252269813635</v>
      </c>
      <c r="I23" s="371">
        <v>23.801702949299834038396504991</v>
      </c>
      <c r="J23" s="370">
        <v>0</v>
      </c>
      <c r="K23" s="172">
        <v>0</v>
      </c>
      <c r="L23" s="371">
        <v>11.996899105965679327181587362</v>
      </c>
      <c r="M23" s="370">
        <v>277.53030303030303030303030303</v>
      </c>
      <c r="N23" s="172">
        <v>256.11916747337850919651500484</v>
      </c>
      <c r="O23" s="371">
        <v>197.03096653112292774476071317</v>
      </c>
      <c r="P23" s="4"/>
      <c r="Q23" s="327">
        <v>20.940213264651699027177949020</v>
      </c>
      <c r="R23" s="171">
        <v>-7.0236082153655956905135923700</v>
      </c>
      <c r="S23" s="328">
        <v>1.9442326022418415740314528100</v>
      </c>
      <c r="T23" s="327">
        <v>0</v>
      </c>
      <c r="U23" s="171">
        <v>462.04313261230747733793651432</v>
      </c>
      <c r="V23" s="328">
        <v>23.107228724744809782257127930</v>
      </c>
      <c r="W23" s="327">
        <v>0</v>
      </c>
      <c r="X23" s="171">
        <v>-100</v>
      </c>
      <c r="Y23" s="328">
        <v>23.769811189864327731315090880</v>
      </c>
      <c r="Z23" s="327">
        <v>20.940213264651699027177949020</v>
      </c>
      <c r="AA23" s="171">
        <v>3.9047679079163923529746577500</v>
      </c>
      <c r="AB23" s="328">
        <v>5.2603273966897101148509983500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18</v>
      </c>
      <c r="C24" s="347" t="s">
        <v>49</v>
      </c>
      <c r="D24" s="378">
        <v>153.78030303030303030303030303</v>
      </c>
      <c r="E24" s="173">
        <v>160.46120455000852046482112656</v>
      </c>
      <c r="F24" s="379">
        <v>100.08443900562048850702224377</v>
      </c>
      <c r="G24" s="378">
        <v>19.5</v>
      </c>
      <c r="H24" s="173">
        <v>43.755194288326426292197266463</v>
      </c>
      <c r="I24" s="379">
        <v>25.154179622797668347140990592</v>
      </c>
      <c r="J24" s="378">
        <v>0</v>
      </c>
      <c r="K24" s="173">
        <v>0</v>
      </c>
      <c r="L24" s="379">
        <v>11.48601905274126343569183811</v>
      </c>
      <c r="M24" s="378">
        <v>173.28030303030303030303030303</v>
      </c>
      <c r="N24" s="173">
        <v>204.21639883833494675701839303</v>
      </c>
      <c r="O24" s="379">
        <v>136.72463768115942028985507246</v>
      </c>
      <c r="P24" s="4"/>
      <c r="Q24" s="359">
        <v>-1.2982592628418357015001151100</v>
      </c>
      <c r="R24" s="170">
        <v>15.545048422124173869609593230</v>
      </c>
      <c r="S24" s="360">
        <v>0.9002889151585558239699706100</v>
      </c>
      <c r="T24" s="359">
        <v>0</v>
      </c>
      <c r="U24" s="170">
        <v>519.16552160136446628064669407</v>
      </c>
      <c r="V24" s="360">
        <v>50.621355174755426910511484450</v>
      </c>
      <c r="W24" s="359">
        <v>0</v>
      </c>
      <c r="X24" s="170">
        <v>-100</v>
      </c>
      <c r="Y24" s="360">
        <v>34.363838986502500179641360190</v>
      </c>
      <c r="Z24" s="359">
        <v>11.217543518450105522419225930</v>
      </c>
      <c r="AA24" s="170">
        <v>38.416720956911094144009252610</v>
      </c>
      <c r="AB24" s="360">
        <v>9.871804779823069288178691250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19</v>
      </c>
      <c r="C25" s="345" t="s">
        <v>47</v>
      </c>
      <c r="D25" s="370">
        <v>139.21969696969696969696969697</v>
      </c>
      <c r="E25" s="172">
        <v>156.79099417545310166524016184</v>
      </c>
      <c r="F25" s="371">
        <v>95.77543854192559071594864463</v>
      </c>
      <c r="G25" s="370">
        <v>35.825757575757575757575757576</v>
      </c>
      <c r="H25" s="172">
        <v>53.377573104314565324111241835</v>
      </c>
      <c r="I25" s="371">
        <v>30.036673841849867179634540056</v>
      </c>
      <c r="J25" s="370">
        <v>0</v>
      </c>
      <c r="K25" s="172">
        <v>0</v>
      </c>
      <c r="L25" s="371">
        <v>11.067149424169490493531610445</v>
      </c>
      <c r="M25" s="370">
        <v>175.04545454545454545454545455</v>
      </c>
      <c r="N25" s="172">
        <v>210.16856727976766698935140368</v>
      </c>
      <c r="O25" s="371">
        <v>136.87926180794494838911479512</v>
      </c>
      <c r="P25" s="4"/>
      <c r="Q25" s="327">
        <v>5.2821541106086396898486333600</v>
      </c>
      <c r="R25" s="171">
        <v>29.676432433335238106719676160</v>
      </c>
      <c r="S25" s="328">
        <v>-0.2197730950271941118139447700</v>
      </c>
      <c r="T25" s="327">
        <v>0</v>
      </c>
      <c r="U25" s="171">
        <v>281.58375576404200736797749772</v>
      </c>
      <c r="V25" s="328">
        <v>21.718695047249714765777774970</v>
      </c>
      <c r="W25" s="327">
        <v>0</v>
      </c>
      <c r="X25" s="171">
        <v>-100</v>
      </c>
      <c r="Y25" s="328">
        <v>30.540983149274751527690218820</v>
      </c>
      <c r="Z25" s="327">
        <v>32.374677742815651557579720440</v>
      </c>
      <c r="AA25" s="171">
        <v>54.336364126268131037108607460</v>
      </c>
      <c r="AB25" s="328">
        <v>5.9917525573285483037857343900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20</v>
      </c>
      <c r="C26" s="347" t="s">
        <v>48</v>
      </c>
      <c r="D26" s="378">
        <v>118.68939393939393939393939394</v>
      </c>
      <c r="E26" s="173">
        <v>146.38977248201438848920863309</v>
      </c>
      <c r="F26" s="379">
        <v>94.44702611790377366088021323</v>
      </c>
      <c r="G26" s="378">
        <v>62.295454545454545454545454545</v>
      </c>
      <c r="H26" s="173">
        <v>58.140227517985611510791366904</v>
      </c>
      <c r="I26" s="379">
        <v>33.920145132901164737258847651</v>
      </c>
      <c r="J26" s="378">
        <v>0</v>
      </c>
      <c r="K26" s="173">
        <v>0</v>
      </c>
      <c r="L26" s="379">
        <v>10.377693726778212472468800651</v>
      </c>
      <c r="M26" s="378">
        <v>180.98484848484848484848484848</v>
      </c>
      <c r="N26" s="173">
        <v>204.530000000</v>
      </c>
      <c r="O26" s="379">
        <v>138.74486497758315087060786154</v>
      </c>
      <c r="P26" s="4"/>
      <c r="Q26" s="359">
        <v>12.091292838195747427514964610</v>
      </c>
      <c r="R26" s="170">
        <v>36.938546503222580098578043680</v>
      </c>
      <c r="S26" s="360">
        <v>-2.714946158140490524397111100</v>
      </c>
      <c r="T26" s="359">
        <v>0</v>
      </c>
      <c r="U26" s="170">
        <v>255.99012559238490412379430955</v>
      </c>
      <c r="V26" s="360">
        <v>19.336590957999820572633395880</v>
      </c>
      <c r="W26" s="359">
        <v>0</v>
      </c>
      <c r="X26" s="170">
        <v>-100</v>
      </c>
      <c r="Y26" s="360">
        <v>12.997080387945239370654420030</v>
      </c>
      <c r="Z26" s="359">
        <v>70.923660299004047108146582280</v>
      </c>
      <c r="AA26" s="170">
        <v>64.900434722276571682883592350</v>
      </c>
      <c r="AB26" s="360">
        <v>3.0099547371032174883433627900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21</v>
      </c>
      <c r="C27" s="345" t="s">
        <v>50</v>
      </c>
      <c r="D27" s="370">
        <v>111.95454545454545454545454545</v>
      </c>
      <c r="E27" s="172">
        <v>114.43535437832428728368339189</v>
      </c>
      <c r="F27" s="371">
        <v>93.38382123004202001541699475</v>
      </c>
      <c r="G27" s="370">
        <v>63.325757575757575757575757576</v>
      </c>
      <c r="H27" s="172">
        <v>57.877888603282682706636066</v>
      </c>
      <c r="I27" s="371">
        <v>30.85891476572046803681987414</v>
      </c>
      <c r="J27" s="370">
        <v>0</v>
      </c>
      <c r="K27" s="172">
        <v>0</v>
      </c>
      <c r="L27" s="371">
        <v>10.260965390954225533416347678</v>
      </c>
      <c r="M27" s="370">
        <v>175.28030303030303030303030303</v>
      </c>
      <c r="N27" s="172">
        <v>172.31324298160696999031945789</v>
      </c>
      <c r="O27" s="371">
        <v>134.50370138671671358565321656</v>
      </c>
      <c r="P27" s="4"/>
      <c r="Q27" s="327">
        <v>-14.809477143043456407480867520</v>
      </c>
      <c r="R27" s="171">
        <v>23.161363094043974107669074260</v>
      </c>
      <c r="S27" s="328">
        <v>-2.8168570695882606258314100</v>
      </c>
      <c r="T27" s="327">
        <v>0</v>
      </c>
      <c r="U27" s="171">
        <v>598.37345072556630380639237243</v>
      </c>
      <c r="V27" s="328">
        <v>30.131270496292805385996939180</v>
      </c>
      <c r="W27" s="327">
        <v>0</v>
      </c>
      <c r="X27" s="171">
        <v>-100</v>
      </c>
      <c r="Y27" s="328">
        <v>4.5523651182814518166010121900</v>
      </c>
      <c r="Z27" s="327">
        <v>33.377529255745266551638595770</v>
      </c>
      <c r="AA27" s="171">
        <v>68.932644023267040958445105830</v>
      </c>
      <c r="AB27" s="328">
        <v>3.7689684739371464167117203700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22</v>
      </c>
      <c r="C28" s="347" t="s">
        <v>51</v>
      </c>
      <c r="D28" s="378">
        <v>125.95454545454545454545454545</v>
      </c>
      <c r="E28" s="173">
        <v>128.25909517106769831359008603</v>
      </c>
      <c r="F28" s="379">
        <v>99.43323916429899075494252819</v>
      </c>
      <c r="G28" s="378">
        <v>53.515151515151515151515151515</v>
      </c>
      <c r="H28" s="173">
        <v>48.930169107731914464725499642</v>
      </c>
      <c r="I28" s="379">
        <v>30.425569309029988361099195721</v>
      </c>
      <c r="J28" s="378">
        <v>0</v>
      </c>
      <c r="K28" s="173">
        <v>0</v>
      </c>
      <c r="L28" s="379">
        <v>11.491624223991425429886750695</v>
      </c>
      <c r="M28" s="378">
        <v>179.46969696969696969696969697</v>
      </c>
      <c r="N28" s="173">
        <v>177.18926427879961277831558567</v>
      </c>
      <c r="O28" s="379">
        <v>141.35043269732040454592847461</v>
      </c>
      <c r="P28" s="4"/>
      <c r="Q28" s="359">
        <v>-11.690657035116656660580220610</v>
      </c>
      <c r="R28" s="170">
        <v>0.1990765298893778119498432900</v>
      </c>
      <c r="S28" s="360">
        <v>-2.8050021215769148037018705900</v>
      </c>
      <c r="T28" s="359">
        <v>0</v>
      </c>
      <c r="U28" s="170">
        <v>177.94725391091557401816157140</v>
      </c>
      <c r="V28" s="360">
        <v>26.828134393772015887312603150</v>
      </c>
      <c r="W28" s="359">
        <v>0</v>
      </c>
      <c r="X28" s="170">
        <v>-100</v>
      </c>
      <c r="Y28" s="360">
        <v>28.435518196150406464095374090</v>
      </c>
      <c r="Z28" s="359">
        <v>25.829925107547600367548091770</v>
      </c>
      <c r="AA28" s="170">
        <v>20.630280187997605270159086570</v>
      </c>
      <c r="AB28" s="360">
        <v>4.5183457485288814657133683100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23</v>
      </c>
      <c r="C29" s="345" t="s">
        <v>52</v>
      </c>
      <c r="D29" s="370">
        <v>176.20454545454545454545454545</v>
      </c>
      <c r="E29" s="172">
        <v>187.15867314581927944323796145</v>
      </c>
      <c r="F29" s="371">
        <v>136.19517231372493531283627942</v>
      </c>
      <c r="G29" s="370">
        <v>4.2272727272727272727272727273</v>
      </c>
      <c r="H29" s="172">
        <v>19.326225208488561795871428673</v>
      </c>
      <c r="I29" s="371">
        <v>20.772099835106742562147541609</v>
      </c>
      <c r="J29" s="370">
        <v>0</v>
      </c>
      <c r="K29" s="172">
        <v>0</v>
      </c>
      <c r="L29" s="371">
        <v>12.663736088057071994685660788</v>
      </c>
      <c r="M29" s="370">
        <v>180.43181818181818181818181818</v>
      </c>
      <c r="N29" s="172">
        <v>206.48489835430784123910939013</v>
      </c>
      <c r="O29" s="371">
        <v>169.63100823688874986966948181</v>
      </c>
      <c r="P29" s="4"/>
      <c r="Q29" s="327">
        <v>-14.867684198979044556820163080</v>
      </c>
      <c r="R29" s="171">
        <v>-6.9261074830311155396182766300</v>
      </c>
      <c r="S29" s="328">
        <v>-8.426269428208204820976155600</v>
      </c>
      <c r="T29" s="327">
        <v>0</v>
      </c>
      <c r="U29" s="171">
        <v>-12.679897906460909360067318290</v>
      </c>
      <c r="V29" s="328">
        <v>33.057051405107482359134561910</v>
      </c>
      <c r="W29" s="327">
        <v>0</v>
      </c>
      <c r="X29" s="171">
        <v>-100</v>
      </c>
      <c r="Y29" s="328">
        <v>26.946922366218929189025106060</v>
      </c>
      <c r="Z29" s="327">
        <v>-12.825299220391414257267544780</v>
      </c>
      <c r="AA29" s="171">
        <v>-8.088531065752734530657157550</v>
      </c>
      <c r="AB29" s="328">
        <v>-2.6867369408073699580364240600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24</v>
      </c>
      <c r="C30" s="347" t="s">
        <v>53</v>
      </c>
      <c r="D30" s="378">
        <v>247.89393939393939393939393939</v>
      </c>
      <c r="E30" s="173">
        <v>253.0919651500484027105517909</v>
      </c>
      <c r="F30" s="379">
        <v>176.91118110973394021813004674</v>
      </c>
      <c r="G30" s="378">
        <v>2.1136363636363636363636363636</v>
      </c>
      <c r="H30" s="173">
        <v>19.022265246853823814133591481</v>
      </c>
      <c r="I30" s="379">
        <v>19.389475797579233485923589974</v>
      </c>
      <c r="J30" s="378">
        <v>0</v>
      </c>
      <c r="K30" s="173">
        <v>0</v>
      </c>
      <c r="L30" s="379">
        <v>12.535543697420430716757540418</v>
      </c>
      <c r="M30" s="378">
        <v>250.00757575757575757575757576</v>
      </c>
      <c r="N30" s="173">
        <v>272.11423039690222652468538238</v>
      </c>
      <c r="O30" s="379">
        <v>208.83620060473360442081117715</v>
      </c>
      <c r="P30" s="4"/>
      <c r="Q30" s="359">
        <v>-0.176937156789529546171137100</v>
      </c>
      <c r="R30" s="170">
        <v>-1.2220197758507389034095483500</v>
      </c>
      <c r="S30" s="360">
        <v>-5.588555282132167861388790100</v>
      </c>
      <c r="T30" s="359">
        <v>0</v>
      </c>
      <c r="U30" s="170">
        <v>-12.837257714996221093358991030</v>
      </c>
      <c r="V30" s="360">
        <v>43.307174578847083478046056290</v>
      </c>
      <c r="W30" s="359">
        <v>0</v>
      </c>
      <c r="X30" s="170">
        <v>-100</v>
      </c>
      <c r="Y30" s="360">
        <v>38.498804461836942785932970260</v>
      </c>
      <c r="Z30" s="359">
        <v>0.6741915802453620025306003500</v>
      </c>
      <c r="AA30" s="170">
        <v>-2.4170469914229896579169232400</v>
      </c>
      <c r="AB30" s="360">
        <v>-0.5372423274916391799274661900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25</v>
      </c>
      <c r="C31" s="345" t="s">
        <v>49</v>
      </c>
      <c r="D31" s="370">
        <v>179.24242424242424242424242424</v>
      </c>
      <c r="E31" s="172">
        <v>164.08454516330737545853395593</v>
      </c>
      <c r="F31" s="371">
        <v>123.56870510830354706949588216</v>
      </c>
      <c r="G31" s="370">
        <v>0</v>
      </c>
      <c r="H31" s="172">
        <v>17.060053094195044676993633623</v>
      </c>
      <c r="I31" s="371">
        <v>12.695797898692858784123546899</v>
      </c>
      <c r="J31" s="370">
        <v>0</v>
      </c>
      <c r="K31" s="172">
        <v>0</v>
      </c>
      <c r="L31" s="371">
        <v>10.8869931873524628774826458</v>
      </c>
      <c r="M31" s="370">
        <v>179.24242424242424242424242424</v>
      </c>
      <c r="N31" s="172">
        <v>181.14459825750242013552758955</v>
      </c>
      <c r="O31" s="371">
        <v>147.15149619434886873110207486</v>
      </c>
      <c r="P31" s="4"/>
      <c r="Q31" s="327">
        <v>3.1206415620533695284279581500</v>
      </c>
      <c r="R31" s="171">
        <v>-9.090417285574797555270662360</v>
      </c>
      <c r="S31" s="328">
        <v>-10.216685887719751804159908490</v>
      </c>
      <c r="T31" s="327">
        <v>0</v>
      </c>
      <c r="U31" s="171">
        <v>-14.096952131714813591283375730</v>
      </c>
      <c r="V31" s="328">
        <v>16.275126689950163541060044370</v>
      </c>
      <c r="W31" s="327">
        <v>0</v>
      </c>
      <c r="X31" s="171">
        <v>-100</v>
      </c>
      <c r="Y31" s="328">
        <v>19.324610213573768146319286400</v>
      </c>
      <c r="Z31" s="327">
        <v>3.1206415620533695284279581500</v>
      </c>
      <c r="AA31" s="171">
        <v>-10.017114901160737409258267760</v>
      </c>
      <c r="AB31" s="328">
        <v>-6.6727084104436474867985509800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26</v>
      </c>
      <c r="C32" s="347" t="s">
        <v>47</v>
      </c>
      <c r="D32" s="378">
        <v>97.38636363636363636363636364</v>
      </c>
      <c r="E32" s="173">
        <v>88.83592908972359751262604151</v>
      </c>
      <c r="F32" s="379">
        <v>68.568514326055189523171710076</v>
      </c>
      <c r="G32" s="378">
        <v>0</v>
      </c>
      <c r="H32" s="173">
        <v>0.9061038241195777051861559695</v>
      </c>
      <c r="I32" s="379">
        <v>8.831561507283039024677497068</v>
      </c>
      <c r="J32" s="378">
        <v>0</v>
      </c>
      <c r="K32" s="173">
        <v>0</v>
      </c>
      <c r="L32" s="379">
        <v>10.678435270821921592907752502</v>
      </c>
      <c r="M32" s="378">
        <v>97.38636363636363636363636364</v>
      </c>
      <c r="N32" s="173">
        <v>89.74203291384317521781219748</v>
      </c>
      <c r="O32" s="379">
        <v>88.07851110416015014075695965</v>
      </c>
      <c r="P32" s="4"/>
      <c r="Q32" s="359">
        <v>-20.741106110109944248706836170</v>
      </c>
      <c r="R32" s="170">
        <v>-14.433614868439671628447483620</v>
      </c>
      <c r="S32" s="360">
        <v>-12.806092063105551398457912200</v>
      </c>
      <c r="T32" s="359">
        <v>0</v>
      </c>
      <c r="U32" s="170">
        <v>-51.300526185668107634132114370</v>
      </c>
      <c r="V32" s="360">
        <v>66.427352884603407336105802100</v>
      </c>
      <c r="W32" s="359">
        <v>0</v>
      </c>
      <c r="X32" s="170">
        <v>-100</v>
      </c>
      <c r="Y32" s="360">
        <v>34.735643293518994381273371520</v>
      </c>
      <c r="Z32" s="359">
        <v>-20.741106110109944248706836170</v>
      </c>
      <c r="AA32" s="170">
        <v>-15.592980953306743008652856270</v>
      </c>
      <c r="AB32" s="360">
        <v>-4.1282043807924045796591077300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27</v>
      </c>
      <c r="C33" s="345" t="s">
        <v>48</v>
      </c>
      <c r="D33" s="370">
        <v>79.204545454545454545454545455</v>
      </c>
      <c r="E33" s="172">
        <v>75.932961524135857423541820587</v>
      </c>
      <c r="F33" s="371">
        <v>71.437857768753775270830017661</v>
      </c>
      <c r="G33" s="370">
        <v>0</v>
      </c>
      <c r="H33" s="172">
        <v>2.8025079821564949481909964507</v>
      </c>
      <c r="I33" s="371">
        <v>11.958835152043129676165627313</v>
      </c>
      <c r="J33" s="370">
        <v>0</v>
      </c>
      <c r="K33" s="172">
        <v>0</v>
      </c>
      <c r="L33" s="371">
        <v>10.582662725121143223163879578</v>
      </c>
      <c r="M33" s="370">
        <v>79.204545454545454545454545455</v>
      </c>
      <c r="N33" s="172">
        <v>78.735469506292352371732817038</v>
      </c>
      <c r="O33" s="371">
        <v>93.97935564591804817015952455</v>
      </c>
      <c r="P33" s="4"/>
      <c r="Q33" s="327">
        <v>-21.538461538485091643815839370</v>
      </c>
      <c r="R33" s="171">
        <v>-26.274084353134106627759330760</v>
      </c>
      <c r="S33" s="328">
        <v>-16.402875242853966405301033080</v>
      </c>
      <c r="T33" s="327">
        <v>0</v>
      </c>
      <c r="U33" s="171">
        <v>27.926675512602794229462856930</v>
      </c>
      <c r="V33" s="328">
        <v>115.61076516705833994623845919</v>
      </c>
      <c r="W33" s="327">
        <v>0</v>
      </c>
      <c r="X33" s="171">
        <v>-100</v>
      </c>
      <c r="Y33" s="328">
        <v>27.161419982733369059818766620</v>
      </c>
      <c r="Z33" s="327">
        <v>-21.538461538485091643815839370</v>
      </c>
      <c r="AA33" s="171">
        <v>-25.484693685932195900212763530</v>
      </c>
      <c r="AB33" s="328">
        <v>-5.3806791713299037698359786800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28</v>
      </c>
      <c r="C34" s="347" t="s">
        <v>50</v>
      </c>
      <c r="D34" s="378">
        <v>92</v>
      </c>
      <c r="E34" s="173">
        <v>102.5324298160696999031945789</v>
      </c>
      <c r="F34" s="379">
        <v>84.80645893823764164680482724</v>
      </c>
      <c r="G34" s="378">
        <v>0</v>
      </c>
      <c r="H34" s="173">
        <v>12.280735721200387221684414327</v>
      </c>
      <c r="I34" s="379">
        <v>18.081656766879159016060509679</v>
      </c>
      <c r="J34" s="378">
        <v>0</v>
      </c>
      <c r="K34" s="173">
        <v>0</v>
      </c>
      <c r="L34" s="379">
        <v>7.849867821105699597795699463</v>
      </c>
      <c r="M34" s="378">
        <v>92.000000000</v>
      </c>
      <c r="N34" s="173">
        <v>114.81316553727008712487899322</v>
      </c>
      <c r="O34" s="379">
        <v>110.73798352622250026066103639</v>
      </c>
      <c r="P34" s="4"/>
      <c r="Q34" s="359">
        <v>-3.9088463364213094087890922800</v>
      </c>
      <c r="R34" s="170">
        <v>3.8390896044508081453958712500</v>
      </c>
      <c r="S34" s="360">
        <v>-6.2791683713806058115266355100</v>
      </c>
      <c r="T34" s="359">
        <v>0</v>
      </c>
      <c r="U34" s="170">
        <v>238.65415367824950685374543702</v>
      </c>
      <c r="V34" s="360">
        <v>104.17251365759297450511717695</v>
      </c>
      <c r="W34" s="359">
        <v>0</v>
      </c>
      <c r="X34" s="170">
        <v>-100</v>
      </c>
      <c r="Y34" s="360">
        <v>-24.970471481495631736417519860</v>
      </c>
      <c r="Z34" s="359">
        <v>-3.9088463364213094087890922800</v>
      </c>
      <c r="AA34" s="170">
        <v>10.774527854896339869009481410</v>
      </c>
      <c r="AB34" s="360">
        <v>0.8480054342399302669494669700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29</v>
      </c>
      <c r="C35" s="345" t="s">
        <v>51</v>
      </c>
      <c r="D35" s="370">
        <v>118.09090909090909090909090909</v>
      </c>
      <c r="E35" s="172">
        <v>121.88220196518908284670393155</v>
      </c>
      <c r="F35" s="371">
        <v>90.91132297895887610334516026</v>
      </c>
      <c r="G35" s="370">
        <v>0</v>
      </c>
      <c r="H35" s="172">
        <v>22.163480513029697404990163319</v>
      </c>
      <c r="I35" s="371">
        <v>19.166666431913467331232635832</v>
      </c>
      <c r="J35" s="370">
        <v>0</v>
      </c>
      <c r="K35" s="172">
        <v>0</v>
      </c>
      <c r="L35" s="371">
        <v>10.311333913077192588777432764</v>
      </c>
      <c r="M35" s="370">
        <v>118.09090909090909090909090909</v>
      </c>
      <c r="N35" s="172">
        <v>144.04568247821878025169409487</v>
      </c>
      <c r="O35" s="371">
        <v>120.38932332394953602335522886</v>
      </c>
      <c r="P35" s="4"/>
      <c r="Q35" s="327">
        <v>4.6455424274832645619726794700</v>
      </c>
      <c r="R35" s="171">
        <v>-11.866817004205102937883953370</v>
      </c>
      <c r="S35" s="328">
        <v>-13.902552826111772479473859350</v>
      </c>
      <c r="T35" s="327">
        <v>0</v>
      </c>
      <c r="U35" s="171">
        <v>45.81195578994169462555875200</v>
      </c>
      <c r="V35" s="328">
        <v>51.635954163053712576894024290</v>
      </c>
      <c r="W35" s="327">
        <v>0</v>
      </c>
      <c r="X35" s="171">
        <v>-100</v>
      </c>
      <c r="Y35" s="328">
        <v>16.787255366773686323766645050</v>
      </c>
      <c r="Z35" s="327">
        <v>4.6455424274832645619726794700</v>
      </c>
      <c r="AA35" s="171">
        <v>-7.1284020493334999892018487300</v>
      </c>
      <c r="AB35" s="328">
        <v>-5.2502274744056818922784216600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30</v>
      </c>
      <c r="C36" s="347" t="s">
        <v>52</v>
      </c>
      <c r="D36" s="378">
        <v>162.46212121212121212121212121</v>
      </c>
      <c r="E36" s="173">
        <v>202.84370848990999554613243007</v>
      </c>
      <c r="F36" s="379">
        <v>130.91561180612627740029945964</v>
      </c>
      <c r="G36" s="378">
        <v>0</v>
      </c>
      <c r="H36" s="173">
        <v>43.866523843100653050188963936</v>
      </c>
      <c r="I36" s="379">
        <v>21.637895027843660508774941466</v>
      </c>
      <c r="J36" s="378">
        <v>0</v>
      </c>
      <c r="K36" s="173">
        <v>0</v>
      </c>
      <c r="L36" s="379">
        <v>9.527819409383205663024441548</v>
      </c>
      <c r="M36" s="378">
        <v>162.46212121212121212121212121</v>
      </c>
      <c r="N36" s="173">
        <v>246.710232333010648596321394</v>
      </c>
      <c r="O36" s="379">
        <v>162.08132624335314357209884266</v>
      </c>
      <c r="P36" s="4"/>
      <c r="Q36" s="359">
        <v>-24.284150690258154787216868990</v>
      </c>
      <c r="R36" s="170">
        <v>3.9983183136151499897850821800</v>
      </c>
      <c r="S36" s="360">
        <v>-10.247692611553658590261402330</v>
      </c>
      <c r="T36" s="359">
        <v>0</v>
      </c>
      <c r="U36" s="170">
        <v>43.973415638350334359137535740</v>
      </c>
      <c r="V36" s="360">
        <v>37.419225041146548008569510480</v>
      </c>
      <c r="W36" s="359">
        <v>0</v>
      </c>
      <c r="X36" s="170">
        <v>-100</v>
      </c>
      <c r="Y36" s="360">
        <v>19.872815827838701901404406700</v>
      </c>
      <c r="Z36" s="359">
        <v>-24.284150690258154787216868990</v>
      </c>
      <c r="AA36" s="170">
        <v>9.090167001696625202109243290</v>
      </c>
      <c r="AB36" s="360">
        <v>-4.4091706889882309033847079500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31</v>
      </c>
      <c r="C37" s="349" t="s">
        <v>53</v>
      </c>
      <c r="D37" s="380">
        <v>172.89393939393939393939393939</v>
      </c>
      <c r="E37" s="383">
        <v>191.30004912740412125536452988</v>
      </c>
      <c r="F37" s="381">
        <v>137.99967278157276948643423611</v>
      </c>
      <c r="G37" s="380">
        <v>0</v>
      </c>
      <c r="H37" s="383">
        <v>41.749263554106043313851346218</v>
      </c>
      <c r="I37" s="381">
        <v>17.607713951344205555195160993</v>
      </c>
      <c r="J37" s="380">
        <v>0</v>
      </c>
      <c r="K37" s="383">
        <v>0</v>
      </c>
      <c r="L37" s="381">
        <v>11.484991538379031631293134441</v>
      </c>
      <c r="M37" s="380">
        <v>172.89393939393939393939393939</v>
      </c>
      <c r="N37" s="383">
        <v>233.04931268151016456921587609</v>
      </c>
      <c r="O37" s="381">
        <v>167.09237827129600667292253154</v>
      </c>
      <c r="P37" s="4"/>
      <c r="Q37" s="329">
        <v>-25.969897495797462716200376780</v>
      </c>
      <c r="R37" s="330">
        <v>-7.6418614438539059007092693900</v>
      </c>
      <c r="S37" s="332">
        <v>-6.8155860197296151599812505200</v>
      </c>
      <c r="T37" s="329">
        <v>0</v>
      </c>
      <c r="U37" s="330">
        <v>40.091072186649261054383533060</v>
      </c>
      <c r="V37" s="332">
        <v>16.966130470444129434730463970</v>
      </c>
      <c r="W37" s="329">
        <v>0</v>
      </c>
      <c r="X37" s="330">
        <v>-100</v>
      </c>
      <c r="Y37" s="332">
        <v>0.1448896160186688861769045800</v>
      </c>
      <c r="Z37" s="329">
        <v>-25.969897495797462716200376780</v>
      </c>
      <c r="AA37" s="330">
        <v>-2.1655697576705090058540068900</v>
      </c>
      <c r="AB37" s="332">
        <v>-4.3081984976604746555747824800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154.42424242424242424242424242</v>
      </c>
      <c r="E39" s="382">
        <v>153.19839696555184648182656929</v>
      </c>
      <c r="F39" s="375">
        <v>112.02576874031486744960234764</v>
      </c>
      <c r="G39" s="374">
        <v>28.710227272727272727272727273</v>
      </c>
      <c r="H39" s="382">
        <v>27.188522201921532027369945724</v>
      </c>
      <c r="I39" s="375">
        <v>26.373107655314151364367886756</v>
      </c>
      <c r="J39" s="374">
        <v>0</v>
      </c>
      <c r="K39" s="382">
        <v>0</v>
      </c>
      <c r="L39" s="375">
        <v>11.910450056252953868753152113</v>
      </c>
      <c r="M39" s="374">
        <v>183.1344696969696969696969697</v>
      </c>
      <c r="N39" s="382">
        <v>180.38691916747337850919651501</v>
      </c>
      <c r="O39" s="375">
        <v>150.30932645188197268272338651</v>
      </c>
      <c r="P39" s="4"/>
      <c r="Q39" s="354">
        <v>-5.2744086620967046735993098300</v>
      </c>
      <c r="R39" s="355">
        <v>-6.5963542238928375144552565800</v>
      </c>
      <c r="S39" s="356">
        <v>-7.160054869603711160139801400</v>
      </c>
      <c r="T39" s="354">
        <v>-31.148657855353678783175601100</v>
      </c>
      <c r="U39" s="355">
        <v>0.4414790867885415610439998100</v>
      </c>
      <c r="V39" s="356">
        <v>-0.057228773699383661694078200</v>
      </c>
      <c r="W39" s="354">
        <v>0</v>
      </c>
      <c r="X39" s="355">
        <v>-100</v>
      </c>
      <c r="Y39" s="356">
        <v>22.466360104509589721865553850</v>
      </c>
      <c r="Z39" s="354">
        <v>-10.544623611153630538579431250</v>
      </c>
      <c r="AA39" s="355">
        <v>-6.3819387175672072397949235800</v>
      </c>
      <c r="AB39" s="356">
        <v>-4.1267300464876910423810685100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110.07954545454545454545454545</v>
      </c>
      <c r="E40" s="172">
        <v>109.71154054921946619702395019</v>
      </c>
      <c r="F40" s="371">
        <v>84.34153970639342186572125951</v>
      </c>
      <c r="G40" s="370">
        <v>12.477272727272727272727272727</v>
      </c>
      <c r="H40" s="172">
        <v>26.580625472077726445764045937</v>
      </c>
      <c r="I40" s="371">
        <v>26.953993317744912388301663982</v>
      </c>
      <c r="J40" s="370">
        <v>0</v>
      </c>
      <c r="K40" s="172">
        <v>0</v>
      </c>
      <c r="L40" s="371">
        <v>10.715805730944555955548549761</v>
      </c>
      <c r="M40" s="370">
        <v>122.55681818181818181818181818</v>
      </c>
      <c r="N40" s="172">
        <v>136.29216602129719264278799613</v>
      </c>
      <c r="O40" s="371">
        <v>122.01133875508289020957147326</v>
      </c>
      <c r="P40" s="4"/>
      <c r="Q40" s="327">
        <v>-14.581741226257323542764212080</v>
      </c>
      <c r="R40" s="171">
        <v>-9.926564097969944062993540890</v>
      </c>
      <c r="S40" s="328">
        <v>-8.192671955746541606212607180</v>
      </c>
      <c r="T40" s="327">
        <v>0</v>
      </c>
      <c r="U40" s="171">
        <v>87.35483433647254305253320909</v>
      </c>
      <c r="V40" s="328">
        <v>4.3016560308793403724460119100</v>
      </c>
      <c r="W40" s="327">
        <v>0</v>
      </c>
      <c r="X40" s="171">
        <v>-100</v>
      </c>
      <c r="Y40" s="328">
        <v>22.948519385997635993245262220</v>
      </c>
      <c r="Z40" s="327">
        <v>-4.8997707365732666882122460300</v>
      </c>
      <c r="AA40" s="171">
        <v>-0.6970366587721131536148337900</v>
      </c>
      <c r="AB40" s="328">
        <v>-3.4919024175839694209552188300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95.99242424242424242424242424</v>
      </c>
      <c r="E41" s="173">
        <v>111.06972743119099481285538522</v>
      </c>
      <c r="F41" s="379">
        <v>86.93222189293187226657234656</v>
      </c>
      <c r="G41" s="378">
        <v>19.09469696969696969696969697</v>
      </c>
      <c r="H41" s="173">
        <v>30.99170770917686578733822562</v>
      </c>
      <c r="I41" s="379">
        <v>29.4551508253594861728682571</v>
      </c>
      <c r="J41" s="378">
        <v>0</v>
      </c>
      <c r="K41" s="173">
        <v>0</v>
      </c>
      <c r="L41" s="379">
        <v>10.277808180467895027351180305</v>
      </c>
      <c r="M41" s="378">
        <v>115.08712121212121212121212121</v>
      </c>
      <c r="N41" s="173">
        <v>142.06143514036786060019361084</v>
      </c>
      <c r="O41" s="379">
        <v>126.66518089875925346679178396</v>
      </c>
      <c r="P41" s="4"/>
      <c r="Q41" s="359">
        <v>-21.218621279247348264830335170</v>
      </c>
      <c r="R41" s="170">
        <v>-7.1282896566978330572047809900</v>
      </c>
      <c r="S41" s="360">
        <v>-10.783433782640579718738891680</v>
      </c>
      <c r="T41" s="359">
        <v>673.15950920150532575558097507</v>
      </c>
      <c r="U41" s="170">
        <v>72.236595556198468727239458280</v>
      </c>
      <c r="V41" s="360">
        <v>-1.4522986574759381268925341600</v>
      </c>
      <c r="W41" s="359">
        <v>0</v>
      </c>
      <c r="X41" s="170">
        <v>-100</v>
      </c>
      <c r="Y41" s="360">
        <v>15.511431723143458511179915190</v>
      </c>
      <c r="Z41" s="359">
        <v>-7.4239400356585640668470236500</v>
      </c>
      <c r="AA41" s="170">
        <v>2.5072062218808778785766354400</v>
      </c>
      <c r="AB41" s="360">
        <v>-7.0186499495918349798094966600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105.87878787878787878787878788</v>
      </c>
      <c r="E42" s="172">
        <v>111.97770764800180418842594664</v>
      </c>
      <c r="F42" s="371">
        <v>94.40814555212625601988743986</v>
      </c>
      <c r="G42" s="370">
        <v>26.496212121212121212121212121</v>
      </c>
      <c r="H42" s="172">
        <v>30.305636979297324562784121118</v>
      </c>
      <c r="I42" s="371">
        <v>33.056860139720765451047537353</v>
      </c>
      <c r="J42" s="370">
        <v>0</v>
      </c>
      <c r="K42" s="172">
        <v>0</v>
      </c>
      <c r="L42" s="371">
        <v>10.03929521525338516028178851</v>
      </c>
      <c r="M42" s="370">
        <v>132.375000000</v>
      </c>
      <c r="N42" s="172">
        <v>142.28334462729912875121006776</v>
      </c>
      <c r="O42" s="371">
        <v>137.50430090710040663121676572</v>
      </c>
      <c r="P42" s="4"/>
      <c r="Q42" s="327">
        <v>-16.954112631270002517659137990</v>
      </c>
      <c r="R42" s="171">
        <v>0.6237889439683193292145040500</v>
      </c>
      <c r="S42" s="328">
        <v>-6.0886684171274174306044569300</v>
      </c>
      <c r="T42" s="327">
        <v>286.35735984278581147853442157</v>
      </c>
      <c r="U42" s="171">
        <v>113.54125916377231167974841747</v>
      </c>
      <c r="V42" s="328">
        <v>9.674920722789237215579536620</v>
      </c>
      <c r="W42" s="327">
        <v>0</v>
      </c>
      <c r="X42" s="171">
        <v>-100</v>
      </c>
      <c r="Y42" s="328">
        <v>6.1920368020871369052022384300</v>
      </c>
      <c r="Z42" s="327">
        <v>-1.4717076884239590545164325900</v>
      </c>
      <c r="AA42" s="171">
        <v>12.464765496893793012741191920</v>
      </c>
      <c r="AB42" s="328">
        <v>-1.8693444429475409546564765400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128.87689393939393939393939394</v>
      </c>
      <c r="E43" s="173">
        <v>133.92055777771043832637574866</v>
      </c>
      <c r="F43" s="379">
        <v>109.50477011023084808934122915</v>
      </c>
      <c r="G43" s="378">
        <v>24.272727272727272727272727273</v>
      </c>
      <c r="H43" s="173">
        <v>24.512518214545127985337707294</v>
      </c>
      <c r="I43" s="379">
        <v>29.107763617429596947226070517</v>
      </c>
      <c r="J43" s="378">
        <v>0</v>
      </c>
      <c r="K43" s="173">
        <v>0</v>
      </c>
      <c r="L43" s="379">
        <v>11.246083726202551522707020001</v>
      </c>
      <c r="M43" s="378">
        <v>153.14962121212121212121212121</v>
      </c>
      <c r="N43" s="173">
        <v>158.43307599225556631171345595</v>
      </c>
      <c r="O43" s="379">
        <v>149.85861745386299655927431967</v>
      </c>
      <c r="P43" s="4"/>
      <c r="Q43" s="359">
        <v>-7.2967044943444875822391518500</v>
      </c>
      <c r="R43" s="170">
        <v>-2.595400981382101122522494900</v>
      </c>
      <c r="S43" s="360">
        <v>-3.1310507203173810708239285100</v>
      </c>
      <c r="T43" s="359">
        <v>284.05753670814625817504816539</v>
      </c>
      <c r="U43" s="170">
        <v>84.26404803241319081470639957</v>
      </c>
      <c r="V43" s="360">
        <v>15.484335576926651161049618360</v>
      </c>
      <c r="W43" s="359">
        <v>0</v>
      </c>
      <c r="X43" s="170">
        <v>-100</v>
      </c>
      <c r="Y43" s="360">
        <v>31.530890684624581786630944540</v>
      </c>
      <c r="Z43" s="359">
        <v>5.3726869950548056932183510900</v>
      </c>
      <c r="AA43" s="170">
        <v>4.0186628870180019930261432700</v>
      </c>
      <c r="AB43" s="360">
        <v>2.0839897320395646049461871900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186.23106060606060606060606061</v>
      </c>
      <c r="E44" s="172">
        <v>189.24258842426380152860447239</v>
      </c>
      <c r="F44" s="371">
        <v>143.03395284873711575515275649</v>
      </c>
      <c r="G44" s="370">
        <v>10.839015151515151515151515152</v>
      </c>
      <c r="H44" s="172">
        <v>29.580129387933681530446834482</v>
      </c>
      <c r="I44" s="371">
        <v>22.948816333942560768286747313</v>
      </c>
      <c r="J44" s="370">
        <v>0</v>
      </c>
      <c r="K44" s="172">
        <v>0</v>
      </c>
      <c r="L44" s="371">
        <v>11.451648500565032057521814104</v>
      </c>
      <c r="M44" s="370">
        <v>197.07007575757575757575757576</v>
      </c>
      <c r="N44" s="172">
        <v>218.82271781219748305905130687</v>
      </c>
      <c r="O44" s="371">
        <v>177.4344176832447085809613179</v>
      </c>
      <c r="P44" s="4"/>
      <c r="Q44" s="327">
        <v>-13.369455090087800771909321870</v>
      </c>
      <c r="R44" s="171">
        <v>-5.9669263483630649946496701500</v>
      </c>
      <c r="S44" s="328">
        <v>-6.4387787907713688821464671500</v>
      </c>
      <c r="T44" s="327">
        <v>-15.565063440403412320822147860</v>
      </c>
      <c r="U44" s="171">
        <v>75.130196941472518632921980640</v>
      </c>
      <c r="V44" s="328">
        <v>22.498079140496978935102453230</v>
      </c>
      <c r="W44" s="327">
        <v>0</v>
      </c>
      <c r="X44" s="171">
        <v>-100</v>
      </c>
      <c r="Y44" s="328">
        <v>23.817857797071161067679154880</v>
      </c>
      <c r="Z44" s="327">
        <v>-13.493178587160665732838038860</v>
      </c>
      <c r="AA44" s="171">
        <v>-0.3625526219648665199400717700</v>
      </c>
      <c r="AB44" s="328">
        <v>-1.8941587985290365886889565200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221.15909090909090909090909091</v>
      </c>
      <c r="E45" s="385">
        <v>208.36569157558707731151908081</v>
      </c>
      <c r="F45" s="386">
        <v>156.15799605177575117735165516</v>
      </c>
      <c r="G45" s="384">
        <v>10.200757575757575757575757576</v>
      </c>
      <c r="H45" s="385">
        <v>28.524201938449708748500280283</v>
      </c>
      <c r="I45" s="386">
        <v>17.917536977247501581021421428</v>
      </c>
      <c r="J45" s="384">
        <v>0</v>
      </c>
      <c r="K45" s="385">
        <v>0</v>
      </c>
      <c r="L45" s="386">
        <v>12.161798844608276800588449838</v>
      </c>
      <c r="M45" s="384">
        <v>231.35984848484848484848484848</v>
      </c>
      <c r="N45" s="385">
        <v>236.88989351403678606001936108</v>
      </c>
      <c r="O45" s="386">
        <v>186.23733187363152955896152643</v>
      </c>
      <c r="P45" s="4"/>
      <c r="Q45" s="364">
        <v>-2.5128984321309072331390572100</v>
      </c>
      <c r="R45" s="365">
        <v>-8.040423851138333534527784560</v>
      </c>
      <c r="S45" s="366">
        <v>-3.105202645099588606822936700</v>
      </c>
      <c r="T45" s="364">
        <v>35.804336862680927063095442820</v>
      </c>
      <c r="U45" s="365">
        <v>90.71519069828350110746200527</v>
      </c>
      <c r="V45" s="366">
        <v>12.894818119186980136951727490</v>
      </c>
      <c r="W45" s="364">
        <v>0</v>
      </c>
      <c r="X45" s="365">
        <v>-100</v>
      </c>
      <c r="Y45" s="366">
        <v>23.070446820459710382703974480</v>
      </c>
      <c r="Z45" s="364">
        <v>-1.2848692504070225228949365300</v>
      </c>
      <c r="AA45" s="365">
        <v>-2.3781485454285286701034710300</v>
      </c>
      <c r="AB45" s="366">
        <v>-0.36276608358072753896797400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128.754329004329004329004329</v>
      </c>
      <c r="E47" s="382">
        <v>135.34454645367710427801389835</v>
      </c>
      <c r="F47" s="375">
        <v>101.17259195828686807148304188</v>
      </c>
      <c r="G47" s="374">
        <v>0</v>
      </c>
      <c r="H47" s="382">
        <v>20.118381218843985474440810549</v>
      </c>
      <c r="I47" s="375">
        <v>15.71144667657135998517570275</v>
      </c>
      <c r="J47" s="374">
        <v>0</v>
      </c>
      <c r="K47" s="382">
        <v>0</v>
      </c>
      <c r="L47" s="375">
        <v>10.188871980748665310634998014</v>
      </c>
      <c r="M47" s="374">
        <v>128.754329004329004329004329</v>
      </c>
      <c r="N47" s="382">
        <v>155.46292767252108975245470889</v>
      </c>
      <c r="O47" s="375">
        <v>127.07291061560689336729374265</v>
      </c>
      <c r="P47" s="4"/>
      <c r="Q47" s="354">
        <v>-14.517183649110392635559450810</v>
      </c>
      <c r="R47" s="355">
        <v>-7.7060132719373936218240819300</v>
      </c>
      <c r="S47" s="356">
        <v>-10.524417884200806916198436060</v>
      </c>
      <c r="T47" s="354">
        <v>0</v>
      </c>
      <c r="U47" s="355">
        <v>36.717092353152830477432968090</v>
      </c>
      <c r="V47" s="356">
        <v>48.550655882057984401729165750</v>
      </c>
      <c r="W47" s="354">
        <v>0</v>
      </c>
      <c r="X47" s="355">
        <v>-100</v>
      </c>
      <c r="Y47" s="356">
        <v>11.330854560626865309370596420</v>
      </c>
      <c r="Z47" s="354">
        <v>-14.517183649110392635559450810</v>
      </c>
      <c r="AA47" s="355">
        <v>-4.238100801525346805250756300</v>
      </c>
      <c r="AB47" s="356">
        <v>-4.3134517449913912406717097300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143.23457792207792207792207792</v>
      </c>
      <c r="E48" s="172">
        <v>145.35517291021791840666159332</v>
      </c>
      <c r="F48" s="371">
        <v>112.34348498607287608908986205</v>
      </c>
      <c r="G48" s="370">
        <v>18.87012987012987012987012987</v>
      </c>
      <c r="H48" s="172">
        <v>28.240477414771709583934451494</v>
      </c>
      <c r="I48" s="371">
        <v>26.544746980965567810445654921</v>
      </c>
      <c r="J48" s="370">
        <v>0</v>
      </c>
      <c r="K48" s="172">
        <v>0</v>
      </c>
      <c r="L48" s="371">
        <v>11.11469860775637862753599352</v>
      </c>
      <c r="M48" s="370">
        <v>162.10470779220779220779220779</v>
      </c>
      <c r="N48" s="172">
        <v>173.59565032498962799059604481</v>
      </c>
      <c r="O48" s="371">
        <v>150.00293057479482252707151049</v>
      </c>
      <c r="P48" s="4"/>
      <c r="Q48" s="327">
        <v>-10.644902120326962860753749390</v>
      </c>
      <c r="R48" s="171">
        <v>-5.964393258119132395362806700</v>
      </c>
      <c r="S48" s="328">
        <v>-6.1023165005938814099476583500</v>
      </c>
      <c r="T48" s="327">
        <v>70.011944518875358874537659250</v>
      </c>
      <c r="U48" s="171">
        <v>66.692407622561494325902474170</v>
      </c>
      <c r="V48" s="328">
        <v>7.976921202976810589787140160</v>
      </c>
      <c r="W48" s="327">
        <v>0</v>
      </c>
      <c r="X48" s="171">
        <v>-100</v>
      </c>
      <c r="Y48" s="328">
        <v>20.676183790615277500792056730</v>
      </c>
      <c r="Z48" s="327">
        <v>-5.4217542641343244422799884900</v>
      </c>
      <c r="AA48" s="171">
        <v>0.4583648946564977866128150200</v>
      </c>
      <c r="AB48" s="328">
        <v>-2.2391474917898874055577671300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155.8115835777126099706744868</v>
      </c>
      <c r="E49" s="385">
        <v>161.92359049189245960339936425</v>
      </c>
      <c r="F49" s="386">
        <v>121.89174906404236045412695752</v>
      </c>
      <c r="G49" s="384">
        <v>25.841153470185728250244379277</v>
      </c>
      <c r="H49" s="385">
        <v>28.704195474444235896709932196</v>
      </c>
      <c r="I49" s="386">
        <v>30.69354450166002904545662334</v>
      </c>
      <c r="J49" s="384">
        <v>0</v>
      </c>
      <c r="K49" s="385">
        <v>0</v>
      </c>
      <c r="L49" s="386">
        <v>11.316852599553344202374908447</v>
      </c>
      <c r="M49" s="384">
        <v>181.65273704789833822091886608</v>
      </c>
      <c r="N49" s="385">
        <v>190.62778596633669550010929644</v>
      </c>
      <c r="O49" s="386">
        <v>163.90214616525573370195848931</v>
      </c>
      <c r="P49" s="4"/>
      <c r="Q49" s="364">
        <v>-2.0170399535411323177536968300</v>
      </c>
      <c r="R49" s="365">
        <v>0.431765059493785802439941800</v>
      </c>
      <c r="S49" s="366">
        <v>-3.8265275467355897519782073500</v>
      </c>
      <c r="T49" s="364">
        <v>-21.654021694058111947968375490</v>
      </c>
      <c r="U49" s="365">
        <v>23.111430960639772267476540340</v>
      </c>
      <c r="V49" s="366">
        <v>4.1452375632536857374845419100</v>
      </c>
      <c r="W49" s="364">
        <v>0</v>
      </c>
      <c r="X49" s="365">
        <v>-100</v>
      </c>
      <c r="Y49" s="366">
        <v>21.868050918246360367996813200</v>
      </c>
      <c r="Z49" s="364">
        <v>-5.3904036534402542027065762900</v>
      </c>
      <c r="AA49" s="365">
        <v>2.5479858614771626493041405600</v>
      </c>
      <c r="AB49" s="366">
        <v>-0.9652115751773726432986615200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8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158</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3"/>
      <c r="C4" s="211"/>
      <c r="D4" s="212"/>
      <c r="E4" s="212"/>
      <c r="F4" s="212"/>
      <c r="G4" s="212"/>
      <c r="H4" s="212"/>
      <c r="I4" s="212"/>
      <c r="J4" s="212"/>
      <c r="K4" s="212"/>
      <c r="L4" s="212"/>
      <c r="M4" s="212"/>
      <c r="N4" s="212"/>
      <c r="O4" s="212"/>
      <c r="P4" s="212"/>
      <c r="Q4" s="659" t="s">
        <v>182</v>
      </c>
      <c r="R4" s="659"/>
      <c r="S4" s="659"/>
      <c r="T4" s="659"/>
      <c r="U4" s="659"/>
      <c r="V4" s="659"/>
      <c r="W4" s="659"/>
      <c r="X4" s="659"/>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62" t="s">
        <v>33</v>
      </c>
      <c r="E8" s="662"/>
      <c r="F8" s="662"/>
      <c r="G8" s="662" t="s">
        <v>30</v>
      </c>
      <c r="H8" s="662"/>
      <c r="I8" s="662"/>
      <c r="J8" s="662" t="s">
        <v>29</v>
      </c>
      <c r="K8" s="662"/>
      <c r="L8" s="662"/>
      <c r="M8" s="662" t="s">
        <v>94</v>
      </c>
      <c r="N8" s="662"/>
      <c r="O8" s="662"/>
      <c r="Q8" s="662" t="s">
        <v>33</v>
      </c>
      <c r="R8" s="662"/>
      <c r="S8" s="662"/>
      <c r="T8" s="662" t="s">
        <v>30</v>
      </c>
      <c r="U8" s="662"/>
      <c r="V8" s="662"/>
      <c r="W8" s="662" t="s">
        <v>29</v>
      </c>
      <c r="X8" s="662"/>
      <c r="Y8" s="662"/>
      <c r="Z8" s="663" t="s">
        <v>23</v>
      </c>
      <c r="AA8" s="663"/>
      <c r="AB8" s="663"/>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94" t="s">
        <v>63</v>
      </c>
      <c r="AA9" s="94" t="s">
        <v>26</v>
      </c>
      <c r="AB9" s="95"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181</v>
      </c>
      <c r="B10" s="342">
        <v>4</v>
      </c>
      <c r="C10" s="343" t="s">
        <v>49</v>
      </c>
      <c r="D10" s="374">
        <v>289.93023255813953488372093023</v>
      </c>
      <c r="E10" s="382">
        <v>266.29779816513761467889908257</v>
      </c>
      <c r="F10" s="375">
        <v>268.22478013450594930160372478</v>
      </c>
      <c r="G10" s="374">
        <v>3.0232558139534883720930232558</v>
      </c>
      <c r="H10" s="382">
        <v>42.54610334480172201926399762</v>
      </c>
      <c r="I10" s="375">
        <v>62.484003831393180203439202685</v>
      </c>
      <c r="J10" s="374">
        <v>25.031007751937984496124031008</v>
      </c>
      <c r="K10" s="382">
        <v>33.742399076090215971547772222</v>
      </c>
      <c r="L10" s="375">
        <v>20.68019899530411123943794937</v>
      </c>
      <c r="M10" s="374">
        <v>317.9844961240310077519379845</v>
      </c>
      <c r="N10" s="382">
        <v>342.58630058602955266971085241</v>
      </c>
      <c r="O10" s="375">
        <v>351.38898296120324074448087684</v>
      </c>
      <c r="P10" s="4"/>
      <c r="Q10" s="354">
        <v>91.17747440273037542662116041</v>
      </c>
      <c r="R10" s="355">
        <v>77.731595720438176306345914370</v>
      </c>
      <c r="S10" s="356">
        <v>76.332723318226676503559486050</v>
      </c>
      <c r="T10" s="354">
        <v>0.9507557289127254997562164800</v>
      </c>
      <c r="U10" s="355">
        <v>12.419090685185654076425350510</v>
      </c>
      <c r="V10" s="356">
        <v>17.782004234973986528566911630</v>
      </c>
      <c r="W10" s="354">
        <v>7.8717698683568990736226231100</v>
      </c>
      <c r="X10" s="355">
        <v>9.849313594376169617228735120</v>
      </c>
      <c r="Y10" s="356">
        <v>5.8852724467993369678736023100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5</v>
      </c>
      <c r="C11" s="345" t="s">
        <v>47</v>
      </c>
      <c r="D11" s="370">
        <v>191.56470588235294117647058824</v>
      </c>
      <c r="E11" s="172">
        <v>179.39512953367875647668393783</v>
      </c>
      <c r="F11" s="371">
        <v>208.01699544764795144157814871</v>
      </c>
      <c r="G11" s="370">
        <v>4.9647058823529411764705882353</v>
      </c>
      <c r="H11" s="172">
        <v>40.880029364010480833916785973</v>
      </c>
      <c r="I11" s="371">
        <v>63.170218617550102035476950448</v>
      </c>
      <c r="J11" s="370">
        <v>32.564705882352941176470588235</v>
      </c>
      <c r="K11" s="172">
        <v>33.493470502940486467947385748</v>
      </c>
      <c r="L11" s="371">
        <v>25.242678006898148107088915869</v>
      </c>
      <c r="M11" s="370">
        <v>229.09411764705882352941176471</v>
      </c>
      <c r="N11" s="172">
        <v>253.76862940062972377854810955</v>
      </c>
      <c r="O11" s="371">
        <v>296.42989207209620158414401502</v>
      </c>
      <c r="P11" s="4"/>
      <c r="Q11" s="327">
        <v>83.61834334719868535921532378</v>
      </c>
      <c r="R11" s="171">
        <v>70.692398015226695958486420970</v>
      </c>
      <c r="S11" s="328">
        <v>70.174095464385587036453480780</v>
      </c>
      <c r="T11" s="327">
        <v>2.1671031684897036922918913400</v>
      </c>
      <c r="U11" s="171">
        <v>16.109173722758435458711963390</v>
      </c>
      <c r="V11" s="328">
        <v>21.310340254816864477047137500</v>
      </c>
      <c r="W11" s="327">
        <v>14.214553484311610948492784880</v>
      </c>
      <c r="X11" s="171">
        <v>13.198428262014868582801615640</v>
      </c>
      <c r="Y11" s="328">
        <v>8.515564280797548486499381720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6</v>
      </c>
      <c r="C12" s="347" t="s">
        <v>48</v>
      </c>
      <c r="D12" s="378">
        <v>173.10294117647058823529411765</v>
      </c>
      <c r="E12" s="173">
        <v>190.80512376237623762376237624</v>
      </c>
      <c r="F12" s="379">
        <v>206.64245548266166822867853796</v>
      </c>
      <c r="G12" s="378">
        <v>1.9411764705882352941176470588</v>
      </c>
      <c r="H12" s="173">
        <v>73.112356885405520345763207938</v>
      </c>
      <c r="I12" s="379">
        <v>98.54557968000885895294808485</v>
      </c>
      <c r="J12" s="378">
        <v>23.397058823529411764705882353</v>
      </c>
      <c r="K12" s="173">
        <v>31.33386723660236586246994626</v>
      </c>
      <c r="L12" s="379">
        <v>21.445300372142367373304476509</v>
      </c>
      <c r="M12" s="378">
        <v>198.44117647058823529411764706</v>
      </c>
      <c r="N12" s="173">
        <v>295.25134788438412383199553043</v>
      </c>
      <c r="O12" s="379">
        <v>326.63333553481289455493109931</v>
      </c>
      <c r="P12" s="4"/>
      <c r="Q12" s="359">
        <v>87.23136208685341633318511931</v>
      </c>
      <c r="R12" s="170">
        <v>64.624641048918287273288631350</v>
      </c>
      <c r="S12" s="360">
        <v>63.264349655039271670544722960</v>
      </c>
      <c r="T12" s="359">
        <v>0.978212538906180524677634500</v>
      </c>
      <c r="U12" s="170">
        <v>24.762751265757198908697958050</v>
      </c>
      <c r="V12" s="360">
        <v>30.170092565308838920105266370</v>
      </c>
      <c r="W12" s="359">
        <v>11.790425374240403142137246180</v>
      </c>
      <c r="X12" s="170">
        <v>10.612607685324513818013410590</v>
      </c>
      <c r="Y12" s="360">
        <v>6.5655577796518894093500106700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7</v>
      </c>
      <c r="C13" s="345" t="s">
        <v>50</v>
      </c>
      <c r="D13" s="370">
        <v>185.79816513761467889908256881</v>
      </c>
      <c r="E13" s="172">
        <v>186.50608272506082725060827251</v>
      </c>
      <c r="F13" s="371">
        <v>214.8214917452830188679245283</v>
      </c>
      <c r="G13" s="370">
        <v>0.8990825688073394495412844037</v>
      </c>
      <c r="H13" s="172">
        <v>42.193816211317270951741007544</v>
      </c>
      <c r="I13" s="371">
        <v>130.71401438870533845594184452</v>
      </c>
      <c r="J13" s="370">
        <v>24.954128440366972477064220183</v>
      </c>
      <c r="K13" s="172">
        <v>34.390637707354149169962236768</v>
      </c>
      <c r="L13" s="371">
        <v>31.077394738250022436532017789</v>
      </c>
      <c r="M13" s="370">
        <v>211.65137614678899082568807339</v>
      </c>
      <c r="N13" s="172">
        <v>263.09053664373224737231151681</v>
      </c>
      <c r="O13" s="371">
        <v>376.61290087223837976039839061</v>
      </c>
      <c r="P13" s="4"/>
      <c r="Q13" s="327">
        <v>87.78500216731686172518422193</v>
      </c>
      <c r="R13" s="171">
        <v>70.890456610235534181680219030</v>
      </c>
      <c r="S13" s="328">
        <v>57.040396451569977833962346210</v>
      </c>
      <c r="T13" s="327">
        <v>0.4247941048981361074989163400</v>
      </c>
      <c r="U13" s="171">
        <v>16.037755196210124791074925910</v>
      </c>
      <c r="V13" s="328">
        <v>34.707789904692769191019881090</v>
      </c>
      <c r="W13" s="327">
        <v>11.790203727785002167316861730</v>
      </c>
      <c r="X13" s="171">
        <v>13.071788193554341027244855060</v>
      </c>
      <c r="Y13" s="328">
        <v>8.251813643737252975017772700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8</v>
      </c>
      <c r="C14" s="347" t="s">
        <v>51</v>
      </c>
      <c r="D14" s="378">
        <v>208.4867256637168141592920354</v>
      </c>
      <c r="E14" s="173">
        <v>197.38684210526315789473684211</v>
      </c>
      <c r="F14" s="379">
        <v>228.11447721179624664879356568</v>
      </c>
      <c r="G14" s="378">
        <v>0.8938053097345132743362831858</v>
      </c>
      <c r="H14" s="173">
        <v>36.124484963173324940073683245</v>
      </c>
      <c r="I14" s="379">
        <v>76.516145944282880287800455693</v>
      </c>
      <c r="J14" s="378">
        <v>28.486725663716814159292035398</v>
      </c>
      <c r="K14" s="173">
        <v>32.850969170835017093623160534</v>
      </c>
      <c r="L14" s="379">
        <v>33.793810063904652753880499942</v>
      </c>
      <c r="M14" s="378">
        <v>237.86725663716814159292035398</v>
      </c>
      <c r="N14" s="173">
        <v>266.36229623927149992843368589</v>
      </c>
      <c r="O14" s="379">
        <v>338.42443321998377969047452133</v>
      </c>
      <c r="P14" s="4"/>
      <c r="Q14" s="359">
        <v>87.64835001302131775735704453</v>
      </c>
      <c r="R14" s="170">
        <v>74.104648027193704263378185920</v>
      </c>
      <c r="S14" s="360">
        <v>67.404848710647470527184181810</v>
      </c>
      <c r="T14" s="359">
        <v>0.3757580267123032850924513600</v>
      </c>
      <c r="U14" s="170">
        <v>13.562161564609331022479024930</v>
      </c>
      <c r="V14" s="360">
        <v>22.609521781941080980386938820</v>
      </c>
      <c r="W14" s="359">
        <v>11.975891960266378957550504110</v>
      </c>
      <c r="X14" s="170">
        <v>12.333190408196964714142789150</v>
      </c>
      <c r="Y14" s="360">
        <v>9.985629507411448492428879370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9</v>
      </c>
      <c r="C15" s="345" t="s">
        <v>52</v>
      </c>
      <c r="D15" s="370">
        <v>277.38095238095238095238095238</v>
      </c>
      <c r="E15" s="172">
        <v>235.39977349943374858437146092</v>
      </c>
      <c r="F15" s="371">
        <v>229.57022359084214754317847101</v>
      </c>
      <c r="G15" s="370">
        <v>1.2</v>
      </c>
      <c r="H15" s="172">
        <v>70.526303080609226210380830327</v>
      </c>
      <c r="I15" s="371">
        <v>105.6936930299533461786497605</v>
      </c>
      <c r="J15" s="370">
        <v>31.266666666666666666666666667</v>
      </c>
      <c r="K15" s="172">
        <v>35.156612552569989798375131689</v>
      </c>
      <c r="L15" s="371">
        <v>23.891912698721544172952807172</v>
      </c>
      <c r="M15" s="370">
        <v>309.84761904761904761904761905</v>
      </c>
      <c r="N15" s="172">
        <v>341.08268913261296459312742293</v>
      </c>
      <c r="O15" s="371">
        <v>359.15582931951703789478103869</v>
      </c>
      <c r="P15" s="4"/>
      <c r="Q15" s="327">
        <v>89.52173111206737566853138255</v>
      </c>
      <c r="R15" s="171">
        <v>69.015456075494440075553236370</v>
      </c>
      <c r="S15" s="328">
        <v>63.919392322213653548943879130</v>
      </c>
      <c r="T15" s="327">
        <v>0.3872871457552099342226593700</v>
      </c>
      <c r="U15" s="171">
        <v>20.677186303403570404885971940</v>
      </c>
      <c r="V15" s="328">
        <v>29.428366297216549389473332700</v>
      </c>
      <c r="W15" s="327">
        <v>10.090981742177414397245958070</v>
      </c>
      <c r="X15" s="171">
        <v>10.307357621101989519560791690</v>
      </c>
      <c r="Y15" s="328">
        <v>6.6522413805697970615827881700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10</v>
      </c>
      <c r="C16" s="347" t="s">
        <v>53</v>
      </c>
      <c r="D16" s="378">
        <v>262.84070796460176991150442478</v>
      </c>
      <c r="E16" s="173">
        <v>225.05730994152046783625730994</v>
      </c>
      <c r="F16" s="379">
        <v>224.58189244383934649421375085</v>
      </c>
      <c r="G16" s="378">
        <v>1.0619469026548672566371681416</v>
      </c>
      <c r="H16" s="173">
        <v>47.953162486130096115094513189</v>
      </c>
      <c r="I16" s="379">
        <v>102.11303653702481395356268295</v>
      </c>
      <c r="J16" s="378">
        <v>31.424778761061946902654867257</v>
      </c>
      <c r="K16" s="173">
        <v>33.278326786745428946019198795</v>
      </c>
      <c r="L16" s="379">
        <v>28.839659865053036877367380384</v>
      </c>
      <c r="M16" s="378">
        <v>295.32743362831858407079646018</v>
      </c>
      <c r="N16" s="173">
        <v>306.28879921439599289737102193</v>
      </c>
      <c r="O16" s="379">
        <v>355.53458884591719732514381417</v>
      </c>
      <c r="P16" s="4"/>
      <c r="Q16" s="359">
        <v>88.99976027807743018099005154</v>
      </c>
      <c r="R16" s="170">
        <v>73.478792080798515255412426700</v>
      </c>
      <c r="S16" s="360">
        <v>63.167382159030782600222748690</v>
      </c>
      <c r="T16" s="359">
        <v>0.3595828838547285149226896800</v>
      </c>
      <c r="U16" s="170">
        <v>15.656192002164547918102300260</v>
      </c>
      <c r="V16" s="360">
        <v>28.720985170103635924854607190</v>
      </c>
      <c r="W16" s="359">
        <v>10.640656838067841304087258780</v>
      </c>
      <c r="X16" s="170">
        <v>10.865015917036936826485273040</v>
      </c>
      <c r="Y16" s="360">
        <v>8.111632670865581474922644120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11</v>
      </c>
      <c r="C17" s="345" t="s">
        <v>49</v>
      </c>
      <c r="D17" s="370">
        <v>165.72727272727272727272727273</v>
      </c>
      <c r="E17" s="172">
        <v>170.22065088757396449704142011</v>
      </c>
      <c r="F17" s="371">
        <v>186.66224018475750577367205543</v>
      </c>
      <c r="G17" s="370">
        <v>3.012987012987012987012987013</v>
      </c>
      <c r="H17" s="172">
        <v>108.12070426071440354181227607</v>
      </c>
      <c r="I17" s="371">
        <v>87.98210216473278607364151453</v>
      </c>
      <c r="J17" s="370">
        <v>32.623376623376623376623376623</v>
      </c>
      <c r="K17" s="172">
        <v>26.77704806572079811098909416</v>
      </c>
      <c r="L17" s="371">
        <v>29.334824379998996294812832656</v>
      </c>
      <c r="M17" s="370">
        <v>201.36363636363636363636363636</v>
      </c>
      <c r="N17" s="172">
        <v>305.11840321400916614984279034</v>
      </c>
      <c r="O17" s="371">
        <v>303.97916672948928814212640262</v>
      </c>
      <c r="P17" s="4"/>
      <c r="Q17" s="327">
        <v>82.30248306997742663656884876</v>
      </c>
      <c r="R17" s="171">
        <v>55.788392012585911424851293800</v>
      </c>
      <c r="S17" s="328">
        <v>61.406260893815798647423830440</v>
      </c>
      <c r="T17" s="327">
        <v>1.4962915188648822960335375700</v>
      </c>
      <c r="U17" s="171">
        <v>35.435654854577504480381890270</v>
      </c>
      <c r="V17" s="328">
        <v>28.943464485192157227296319540</v>
      </c>
      <c r="W17" s="327">
        <v>16.201225411157691067397613670</v>
      </c>
      <c r="X17" s="171">
        <v>8.775953132836584094766815930</v>
      </c>
      <c r="Y17" s="328">
        <v>9.650274620992044125279850020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12</v>
      </c>
      <c r="C18" s="347" t="s">
        <v>47</v>
      </c>
      <c r="D18" s="378">
        <v>148.4047619047619047619047619</v>
      </c>
      <c r="E18" s="173">
        <v>170.1608</v>
      </c>
      <c r="F18" s="379">
        <v>194.70197668525088697415103903</v>
      </c>
      <c r="G18" s="378">
        <v>1.7261904761904761904761904762</v>
      </c>
      <c r="H18" s="173">
        <v>67.562116530137820855632564435</v>
      </c>
      <c r="I18" s="379">
        <v>66.660106015111041407117114053</v>
      </c>
      <c r="J18" s="378">
        <v>28.261904761904761904761904762</v>
      </c>
      <c r="K18" s="173">
        <v>26.820137157306456521457169028</v>
      </c>
      <c r="L18" s="379">
        <v>28.935950003441579316930918934</v>
      </c>
      <c r="M18" s="378">
        <v>178.39285714285714285714285714</v>
      </c>
      <c r="N18" s="173">
        <v>264.54305368744427737708973345</v>
      </c>
      <c r="O18" s="379">
        <v>290.29803270380350769819907202</v>
      </c>
      <c r="P18" s="4"/>
      <c r="Q18" s="359">
        <v>83.18985652318985652318985652</v>
      </c>
      <c r="R18" s="170">
        <v>64.322535643307333289241553270</v>
      </c>
      <c r="S18" s="360">
        <v>67.069685203106058229340875650</v>
      </c>
      <c r="T18" s="359">
        <v>0.967634300967634300967634300</v>
      </c>
      <c r="U18" s="170">
        <v>25.539176171286650939523690280</v>
      </c>
      <c r="V18" s="360">
        <v>22.962644766912902143720754010</v>
      </c>
      <c r="W18" s="359">
        <v>15.842509175842509175842509180</v>
      </c>
      <c r="X18" s="170">
        <v>10.138288185406015771234756450</v>
      </c>
      <c r="Y18" s="360">
        <v>9.967670029981039626938370340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13</v>
      </c>
      <c r="C19" s="345" t="s">
        <v>48</v>
      </c>
      <c r="D19" s="370">
        <v>159.23913043478260869565217391</v>
      </c>
      <c r="E19" s="172">
        <v>179.76164102564102564102564104</v>
      </c>
      <c r="F19" s="371">
        <v>201.04808877928483353884093711</v>
      </c>
      <c r="G19" s="370">
        <v>1.3695652173913043478260869565</v>
      </c>
      <c r="H19" s="172">
        <v>36.432611976410600488393374609</v>
      </c>
      <c r="I19" s="371">
        <v>55.538832039756282917721157269</v>
      </c>
      <c r="J19" s="370">
        <v>29.521739130434782608695652174</v>
      </c>
      <c r="K19" s="172">
        <v>27.856920459069949888521173453</v>
      </c>
      <c r="L19" s="371">
        <v>23.690573231719898188052834525</v>
      </c>
      <c r="M19" s="370">
        <v>190.13043478260869565217391304</v>
      </c>
      <c r="N19" s="172">
        <v>244.05117346112157601794018909</v>
      </c>
      <c r="O19" s="371">
        <v>280.27749405076101464461492891</v>
      </c>
      <c r="P19" s="4"/>
      <c r="Q19" s="327">
        <v>83.75257260461925451635033158</v>
      </c>
      <c r="R19" s="171">
        <v>73.657355740712242344482649390</v>
      </c>
      <c r="S19" s="328">
        <v>71.731799037304452466907340550</v>
      </c>
      <c r="T19" s="327">
        <v>0.7203292933912645780928424400</v>
      </c>
      <c r="U19" s="171">
        <v>14.928267485759283027861715600</v>
      </c>
      <c r="V19" s="328">
        <v>19.815658844765342960288808660</v>
      </c>
      <c r="W19" s="327">
        <v>15.527098101989480905556825980</v>
      </c>
      <c r="X19" s="171">
        <v>11.414376773528474627655635020</v>
      </c>
      <c r="Y19" s="328">
        <v>8.452542117930204572803850780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14</v>
      </c>
      <c r="C20" s="347" t="s">
        <v>50</v>
      </c>
      <c r="D20" s="378">
        <v>152.77659574468085106382978723</v>
      </c>
      <c r="E20" s="173">
        <v>174.02925598991172761664564943</v>
      </c>
      <c r="F20" s="379">
        <v>203.80325361512791991101223582</v>
      </c>
      <c r="G20" s="378">
        <v>0.9680851063829787234042553191</v>
      </c>
      <c r="H20" s="173">
        <v>52.084483329448930024168394948</v>
      </c>
      <c r="I20" s="379">
        <v>119.28144552471488947624052925</v>
      </c>
      <c r="J20" s="378">
        <v>30.829787234042553191489361702</v>
      </c>
      <c r="K20" s="173">
        <v>34.683955495869851158966588146</v>
      </c>
      <c r="L20" s="379">
        <v>33.518963151140148083793671809</v>
      </c>
      <c r="M20" s="378">
        <v>184.57446808510638297872340426</v>
      </c>
      <c r="N20" s="173">
        <v>260.79769481523050879978063252</v>
      </c>
      <c r="O20" s="379">
        <v>356.60366229098295747104643687</v>
      </c>
      <c r="P20" s="4"/>
      <c r="Q20" s="359">
        <v>82.77233429394812680115273775</v>
      </c>
      <c r="R20" s="170">
        <v>66.729599014748833649064139680</v>
      </c>
      <c r="S20" s="360">
        <v>57.151194776240879747630949420</v>
      </c>
      <c r="T20" s="359">
        <v>0.5244956772334293948126801200</v>
      </c>
      <c r="U20" s="170">
        <v>19.971220745010669278038392300</v>
      </c>
      <c r="V20" s="360">
        <v>33.449304687000974612679030990</v>
      </c>
      <c r="W20" s="359">
        <v>16.703170028818443804034582130</v>
      </c>
      <c r="X20" s="170">
        <v>13.299180240240497072897468020</v>
      </c>
      <c r="Y20" s="360">
        <v>9.399500536758145639690019600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15</v>
      </c>
      <c r="C21" s="345" t="s">
        <v>51</v>
      </c>
      <c r="D21" s="370">
        <v>168.46728971962616822429906542</v>
      </c>
      <c r="E21" s="172">
        <v>181.7335792019347037484885127</v>
      </c>
      <c r="F21" s="371">
        <v>206.82131324004305705059203445</v>
      </c>
      <c r="G21" s="370">
        <v>2.1401869158878504672897196262</v>
      </c>
      <c r="H21" s="172">
        <v>45.373546727272826193463676755</v>
      </c>
      <c r="I21" s="371">
        <v>82.82726123692565530124600597</v>
      </c>
      <c r="J21" s="370">
        <v>30.280373831775700934579439252</v>
      </c>
      <c r="K21" s="172">
        <v>47.424110197445871342689629609</v>
      </c>
      <c r="L21" s="371">
        <v>20.653199564921893264515041172</v>
      </c>
      <c r="M21" s="370">
        <v>200.8878504672897196261682243</v>
      </c>
      <c r="N21" s="172">
        <v>274.53123612665340128464181907</v>
      </c>
      <c r="O21" s="371">
        <v>310.30177404189060561635308159</v>
      </c>
      <c r="P21" s="4"/>
      <c r="Q21" s="327">
        <v>83.86136310769946499185857176</v>
      </c>
      <c r="R21" s="171">
        <v>66.197778353386703831783969790</v>
      </c>
      <c r="S21" s="328">
        <v>66.651669613761946780225746330</v>
      </c>
      <c r="T21" s="327">
        <v>1.0653640381484066061874854600</v>
      </c>
      <c r="U21" s="171">
        <v>16.527644492279196343165228830</v>
      </c>
      <c r="V21" s="328">
        <v>26.692487174032079742469212440</v>
      </c>
      <c r="W21" s="327">
        <v>15.073272854152128401953942780</v>
      </c>
      <c r="X21" s="171">
        <v>17.274577154334099825050801370</v>
      </c>
      <c r="Y21" s="328">
        <v>6.6558432122059734773050412200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16</v>
      </c>
      <c r="C22" s="347" t="s">
        <v>52</v>
      </c>
      <c r="D22" s="378">
        <v>260.22807017543859649122807018</v>
      </c>
      <c r="E22" s="173">
        <v>244.81427038626609442060085837</v>
      </c>
      <c r="F22" s="379">
        <v>229.9616125150421179302045728</v>
      </c>
      <c r="G22" s="378">
        <v>0.4912280701754385964912280702</v>
      </c>
      <c r="H22" s="173">
        <v>70.834454082460566144598099505</v>
      </c>
      <c r="I22" s="379">
        <v>109.54253060080521005499304058</v>
      </c>
      <c r="J22" s="378">
        <v>31.745614035087719298245614035</v>
      </c>
      <c r="K22" s="173">
        <v>58.840333581159501717964427915</v>
      </c>
      <c r="L22" s="379">
        <v>31.700416229227885701184787451</v>
      </c>
      <c r="M22" s="378">
        <v>292.46491228070175438596491228</v>
      </c>
      <c r="N22" s="173">
        <v>374.48905804988616228316338579</v>
      </c>
      <c r="O22" s="379">
        <v>371.20455934507521368638240083</v>
      </c>
      <c r="P22" s="4"/>
      <c r="Q22" s="359">
        <v>88.97753516691161032962418644</v>
      </c>
      <c r="R22" s="170">
        <v>65.372876756696606882592225700</v>
      </c>
      <c r="S22" s="360">
        <v>61.950104524785123224298830960</v>
      </c>
      <c r="T22" s="359">
        <v>0.167961368885156414024774300</v>
      </c>
      <c r="U22" s="170">
        <v>18.914959612257781560237834950</v>
      </c>
      <c r="V22" s="360">
        <v>29.510017547756856602394833200</v>
      </c>
      <c r="W22" s="359">
        <v>10.854503464203233256351039260</v>
      </c>
      <c r="X22" s="170">
        <v>15.712163631045611557169939350</v>
      </c>
      <c r="Y22" s="360">
        <v>8.539877927458020173306335850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17</v>
      </c>
      <c r="C23" s="345" t="s">
        <v>53</v>
      </c>
      <c r="D23" s="370">
        <v>288.45669291338582677165354331</v>
      </c>
      <c r="E23" s="172">
        <v>266.43615307150050352467270894</v>
      </c>
      <c r="F23" s="371">
        <v>226.74874010079193664506839453</v>
      </c>
      <c r="G23" s="370">
        <v>1.1259842519685039370078740157</v>
      </c>
      <c r="H23" s="172">
        <v>82.6614480245602560968970561</v>
      </c>
      <c r="I23" s="371">
        <v>99.86060770167885596713819803</v>
      </c>
      <c r="J23" s="370">
        <v>33.787401574803149606299212598</v>
      </c>
      <c r="K23" s="172">
        <v>34.953101249165493757073198367</v>
      </c>
      <c r="L23" s="371">
        <v>26.310608437130094567320076994</v>
      </c>
      <c r="M23" s="370">
        <v>323.37007874015748031496062992</v>
      </c>
      <c r="N23" s="172">
        <v>384.05070234522625337864296341</v>
      </c>
      <c r="O23" s="371">
        <v>352.91995623960088717952666956</v>
      </c>
      <c r="P23" s="4"/>
      <c r="Q23" s="327">
        <v>89.20327262101879809097107237</v>
      </c>
      <c r="R23" s="171">
        <v>69.375254737068261061010227970</v>
      </c>
      <c r="S23" s="328">
        <v>64.249339288382419979424436190</v>
      </c>
      <c r="T23" s="327">
        <v>0.3482029804227135482614200800</v>
      </c>
      <c r="U23" s="171">
        <v>21.523576840188985822616544270</v>
      </c>
      <c r="V23" s="328">
        <v>28.295540089516074540261772180</v>
      </c>
      <c r="W23" s="327">
        <v>10.448524398558488360767507550</v>
      </c>
      <c r="X23" s="171">
        <v>9.101168422742753116373227760</v>
      </c>
      <c r="Y23" s="328">
        <v>7.4551206221015054803137916200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18</v>
      </c>
      <c r="C24" s="347" t="s">
        <v>49</v>
      </c>
      <c r="D24" s="378">
        <v>193.83898305084745762711864407</v>
      </c>
      <c r="E24" s="173">
        <v>228.80210412147505422993492405</v>
      </c>
      <c r="F24" s="379">
        <v>196.95494142385100630820066086</v>
      </c>
      <c r="G24" s="378">
        <v>1.5</v>
      </c>
      <c r="H24" s="173">
        <v>123.60261198311466875084666236</v>
      </c>
      <c r="I24" s="379">
        <v>85.91550933611636069758165657</v>
      </c>
      <c r="J24" s="378">
        <v>28.720338983050847457627118644</v>
      </c>
      <c r="K24" s="173">
        <v>30.195249445640510210204005747</v>
      </c>
      <c r="L24" s="379">
        <v>26.875450403044354486399051871</v>
      </c>
      <c r="M24" s="378">
        <v>224.05932203389830508474576271</v>
      </c>
      <c r="N24" s="173">
        <v>382.59996555023023319098559216</v>
      </c>
      <c r="O24" s="379">
        <v>309.74590116301172149218136932</v>
      </c>
      <c r="P24" s="4"/>
      <c r="Q24" s="359">
        <v>86.51234918113393093536064148</v>
      </c>
      <c r="R24" s="170">
        <v>59.801914459774412380106841640</v>
      </c>
      <c r="S24" s="360">
        <v>63.585971818945368067551765770</v>
      </c>
      <c r="T24" s="359">
        <v>0.669465562237603540224668100</v>
      </c>
      <c r="U24" s="170">
        <v>32.305965267236101479082636470</v>
      </c>
      <c r="V24" s="360">
        <v>27.737416060560272363318073470</v>
      </c>
      <c r="W24" s="359">
        <v>12.818185256628465524414690420</v>
      </c>
      <c r="X24" s="170">
        <v>7.8921202729894861408105218900</v>
      </c>
      <c r="Y24" s="360">
        <v>8.676612120494359569130160750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19</v>
      </c>
      <c r="C25" s="345" t="s">
        <v>47</v>
      </c>
      <c r="D25" s="370">
        <v>194.1680672268907563025210084</v>
      </c>
      <c r="E25" s="172">
        <v>239.36508269018743109151047409</v>
      </c>
      <c r="F25" s="371">
        <v>198.91045454545454545454545455</v>
      </c>
      <c r="G25" s="370">
        <v>2.4705882352941176470588235294</v>
      </c>
      <c r="H25" s="172">
        <v>91.81568259171458859682045571</v>
      </c>
      <c r="I25" s="371">
        <v>100.57315996694426044760685887</v>
      </c>
      <c r="J25" s="370">
        <v>26.420168067226890756302521008</v>
      </c>
      <c r="K25" s="172">
        <v>30.670293121920073841669761582</v>
      </c>
      <c r="L25" s="371">
        <v>33.138968002377555516258493411</v>
      </c>
      <c r="M25" s="370">
        <v>223.05882352941176470588235294</v>
      </c>
      <c r="N25" s="172">
        <v>361.85105840382209353000069138</v>
      </c>
      <c r="O25" s="371">
        <v>332.62258251477636141841080683</v>
      </c>
      <c r="P25" s="4"/>
      <c r="Q25" s="327">
        <v>87.04792043399638336347197107</v>
      </c>
      <c r="R25" s="171">
        <v>66.150167902247349017021442020</v>
      </c>
      <c r="S25" s="328">
        <v>59.800646438856323234215173200</v>
      </c>
      <c r="T25" s="327">
        <v>1.1075949367088607594936708900</v>
      </c>
      <c r="U25" s="171">
        <v>25.373888084430921444013608310</v>
      </c>
      <c r="V25" s="328">
        <v>30.236419670175706665122245460</v>
      </c>
      <c r="W25" s="327">
        <v>11.844484629294755877034358050</v>
      </c>
      <c r="X25" s="171">
        <v>8.475944013321729538964949680</v>
      </c>
      <c r="Y25" s="328">
        <v>9.962933890967970100662581340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20</v>
      </c>
      <c r="C26" s="347" t="s">
        <v>48</v>
      </c>
      <c r="D26" s="378">
        <v>202.45762711864406779661016949</v>
      </c>
      <c r="E26" s="173">
        <v>240.36346985210466439135381115</v>
      </c>
      <c r="F26" s="379">
        <v>197.815073584064218819681879</v>
      </c>
      <c r="G26" s="378">
        <v>0.2203389830508474576271186441</v>
      </c>
      <c r="H26" s="173">
        <v>40.639232422524131695130766026</v>
      </c>
      <c r="I26" s="379">
        <v>86.52726100400215107030762004</v>
      </c>
      <c r="J26" s="378">
        <v>23.161016949152542372881355932</v>
      </c>
      <c r="K26" s="173">
        <v>28.835615016621874963303842805</v>
      </c>
      <c r="L26" s="379">
        <v>27.324085590949326941002779121</v>
      </c>
      <c r="M26" s="378">
        <v>225.83898305084745762711864407</v>
      </c>
      <c r="N26" s="173">
        <v>309.83831729125067104978841999</v>
      </c>
      <c r="O26" s="379">
        <v>311.66642017901569683099227816</v>
      </c>
      <c r="P26" s="4"/>
      <c r="Q26" s="359">
        <v>89.64689106533078164283838043</v>
      </c>
      <c r="R26" s="170">
        <v>77.577064048589233967828939220</v>
      </c>
      <c r="S26" s="360">
        <v>63.470127282381826115758095130</v>
      </c>
      <c r="T26" s="359">
        <v>0.0975646365717287703103305900</v>
      </c>
      <c r="U26" s="170">
        <v>13.116270698153484118638552690</v>
      </c>
      <c r="V26" s="360">
        <v>27.762779498125726182527456930</v>
      </c>
      <c r="W26" s="359">
        <v>10.255544298097489586851288980</v>
      </c>
      <c r="X26" s="170">
        <v>9.306665253257281913532508080</v>
      </c>
      <c r="Y26" s="360">
        <v>8.767093219492447701714447940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21</v>
      </c>
      <c r="C27" s="345" t="s">
        <v>50</v>
      </c>
      <c r="D27" s="370">
        <v>183.62698412698412698412698413</v>
      </c>
      <c r="E27" s="172">
        <v>218.13674019607843137254901961</v>
      </c>
      <c r="F27" s="371">
        <v>193.32009590888655777011838753</v>
      </c>
      <c r="G27" s="370">
        <v>1.380952380952380952380952381</v>
      </c>
      <c r="H27" s="172">
        <v>56.431121239906343120907417444</v>
      </c>
      <c r="I27" s="371">
        <v>75.766311520281399029207161239</v>
      </c>
      <c r="J27" s="370">
        <v>23.055555555555555555555555556</v>
      </c>
      <c r="K27" s="172">
        <v>28.182091824524143856891234885</v>
      </c>
      <c r="L27" s="371">
        <v>20.181574468655575613256132101</v>
      </c>
      <c r="M27" s="370">
        <v>208.06349206349206349206349206</v>
      </c>
      <c r="N27" s="172">
        <v>302.74995326050891835034767194</v>
      </c>
      <c r="O27" s="371">
        <v>289.26798189782353241258168088</v>
      </c>
      <c r="P27" s="4"/>
      <c r="Q27" s="327">
        <v>88.25526396093988404028074458</v>
      </c>
      <c r="R27" s="171">
        <v>72.051783277527745843820100100</v>
      </c>
      <c r="S27" s="328">
        <v>66.830796357258752801928289390</v>
      </c>
      <c r="T27" s="327">
        <v>0.6637168141592920353982300900</v>
      </c>
      <c r="U27" s="171">
        <v>18.639514434986137117771282790</v>
      </c>
      <c r="V27" s="328">
        <v>26.192429256496108863796886080</v>
      </c>
      <c r="W27" s="327">
        <v>11.081019224900823924321025330</v>
      </c>
      <c r="X27" s="171">
        <v>9.308702287486117038408617110</v>
      </c>
      <c r="Y27" s="328">
        <v>6.9767743862451383342748245300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22</v>
      </c>
      <c r="C28" s="347" t="s">
        <v>51</v>
      </c>
      <c r="D28" s="378">
        <v>188.01587301587301587301587302</v>
      </c>
      <c r="E28" s="173">
        <v>217.12516014234875444839857651</v>
      </c>
      <c r="F28" s="379">
        <v>190.19248035914702581369248036</v>
      </c>
      <c r="G28" s="378">
        <v>1.1666666666666666666666666667</v>
      </c>
      <c r="H28" s="173">
        <v>56.609767316984899819275040375</v>
      </c>
      <c r="I28" s="379">
        <v>66.23606238050507571918151263</v>
      </c>
      <c r="J28" s="378">
        <v>23.611111111111111111111111111</v>
      </c>
      <c r="K28" s="173">
        <v>28.801482761635211306483182153</v>
      </c>
      <c r="L28" s="379">
        <v>19.754125288510783892815798777</v>
      </c>
      <c r="M28" s="378">
        <v>212.79365079365079365079365079</v>
      </c>
      <c r="N28" s="173">
        <v>302.53641022096886557415679905</v>
      </c>
      <c r="O28" s="379">
        <v>276.18266802816288542568979176</v>
      </c>
      <c r="P28" s="4"/>
      <c r="Q28" s="359">
        <v>88.35596001790243174697896464</v>
      </c>
      <c r="R28" s="170">
        <v>71.768274100880357946183029420</v>
      </c>
      <c r="S28" s="360">
        <v>68.864741483253658615198214970</v>
      </c>
      <c r="T28" s="359">
        <v>0.548261972251230792182604800</v>
      </c>
      <c r="U28" s="170">
        <v>18.711720442388347051623279280</v>
      </c>
      <c r="V28" s="360">
        <v>23.982700599355081625686562640</v>
      </c>
      <c r="W28" s="359">
        <v>11.095778009846337460838430550</v>
      </c>
      <c r="X28" s="170">
        <v>9.520005456731295002193691290</v>
      </c>
      <c r="Y28" s="360">
        <v>7.1525579173912597591152223900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23</v>
      </c>
      <c r="C29" s="345" t="s">
        <v>52</v>
      </c>
      <c r="D29" s="370">
        <v>245.53608247422680412371134021</v>
      </c>
      <c r="E29" s="172">
        <v>241.01570621468926553672316384</v>
      </c>
      <c r="F29" s="371">
        <v>213.28408495018353434714210802</v>
      </c>
      <c r="G29" s="370">
        <v>1.5876288659793814432989690722</v>
      </c>
      <c r="H29" s="172">
        <v>70.614873059835631088595722407</v>
      </c>
      <c r="I29" s="371">
        <v>89.09409181213861204884959257</v>
      </c>
      <c r="J29" s="370">
        <v>32.783505154639175257731958763</v>
      </c>
      <c r="K29" s="172">
        <v>37.367318398789916546813940823</v>
      </c>
      <c r="L29" s="371">
        <v>28.872505699735460759261645787</v>
      </c>
      <c r="M29" s="370">
        <v>279.90721649484536082474226804</v>
      </c>
      <c r="N29" s="172">
        <v>348.99789767331481317213282707</v>
      </c>
      <c r="O29" s="371">
        <v>331.25068246205760715525334639</v>
      </c>
      <c r="P29" s="4"/>
      <c r="Q29" s="327">
        <v>87.72052594747891422047070089</v>
      </c>
      <c r="R29" s="171">
        <v>69.059357612605436659560667480</v>
      </c>
      <c r="S29" s="328">
        <v>64.387515631643626416097419640</v>
      </c>
      <c r="T29" s="327">
        <v>0.5671982615741593311480240100</v>
      </c>
      <c r="U29" s="171">
        <v>20.233609867167692020074649280</v>
      </c>
      <c r="V29" s="328">
        <v>26.896274190270899158893771990</v>
      </c>
      <c r="W29" s="327">
        <v>11.712275790946926448381275090</v>
      </c>
      <c r="X29" s="171">
        <v>10.707032520226871320364683240</v>
      </c>
      <c r="Y29" s="328">
        <v>8.716210178085474425008808360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24</v>
      </c>
      <c r="C30" s="347" t="s">
        <v>53</v>
      </c>
      <c r="D30" s="378">
        <v>275.00833333333333333333333333</v>
      </c>
      <c r="E30" s="173">
        <v>278.03560830860534124629080119</v>
      </c>
      <c r="F30" s="379">
        <v>234.4</v>
      </c>
      <c r="G30" s="378">
        <v>0.2166666666666666666666666667</v>
      </c>
      <c r="H30" s="173">
        <v>44.362946585707966603759708559</v>
      </c>
      <c r="I30" s="379">
        <v>63.246242040600890179945121791</v>
      </c>
      <c r="J30" s="378">
        <v>31.366666666666666666666666667</v>
      </c>
      <c r="K30" s="173">
        <v>39.318395476027638015534244214</v>
      </c>
      <c r="L30" s="379">
        <v>27.222434031976102149833231637</v>
      </c>
      <c r="M30" s="378">
        <v>306.59166666666666666666666667</v>
      </c>
      <c r="N30" s="173">
        <v>361.71695037034094586558475396</v>
      </c>
      <c r="O30" s="379">
        <v>324.86867607257699232977835342</v>
      </c>
      <c r="P30" s="4"/>
      <c r="Q30" s="359">
        <v>89.69856758446359163925960153</v>
      </c>
      <c r="R30" s="170">
        <v>76.865518197015886070857061120</v>
      </c>
      <c r="S30" s="360">
        <v>72.152231736750784894587522500</v>
      </c>
      <c r="T30" s="359">
        <v>0.0706694572042075507596966600</v>
      </c>
      <c r="U30" s="170">
        <v>12.264547331908921052396320370</v>
      </c>
      <c r="V30" s="360">
        <v>19.468248772150449113117733110</v>
      </c>
      <c r="W30" s="359">
        <v>10.230762958332200809980701800</v>
      </c>
      <c r="X30" s="170">
        <v>10.869934471075192876746618510</v>
      </c>
      <c r="Y30" s="360">
        <v>8.379519491098765992294744390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25</v>
      </c>
      <c r="C31" s="345" t="s">
        <v>49</v>
      </c>
      <c r="D31" s="370">
        <v>186.29921259842519685039370079</v>
      </c>
      <c r="E31" s="172">
        <v>203.61520130576713819368879215</v>
      </c>
      <c r="F31" s="371">
        <v>193.81076627300192254875034331</v>
      </c>
      <c r="G31" s="370">
        <v>2.4488188976377952755905511811</v>
      </c>
      <c r="H31" s="172">
        <v>100.18455386958945391784718601</v>
      </c>
      <c r="I31" s="371">
        <v>96.52310430104307476843534431</v>
      </c>
      <c r="J31" s="370">
        <v>31.716535433070866141732283465</v>
      </c>
      <c r="K31" s="172">
        <v>38.563272218970113306722890043</v>
      </c>
      <c r="L31" s="371">
        <v>29.175127906858727064506961793</v>
      </c>
      <c r="M31" s="370">
        <v>220.46456692913385826771653543</v>
      </c>
      <c r="N31" s="172">
        <v>342.3630273943267054182588682</v>
      </c>
      <c r="O31" s="371">
        <v>319.50899848090372438169264942</v>
      </c>
      <c r="P31" s="4"/>
      <c r="Q31" s="327">
        <v>84.50301796492731883281545769</v>
      </c>
      <c r="R31" s="171">
        <v>59.473478446388233983691171110</v>
      </c>
      <c r="S31" s="328">
        <v>60.658938306736146773951875340</v>
      </c>
      <c r="T31" s="327">
        <v>1.1107539554984106575234829800</v>
      </c>
      <c r="U31" s="171">
        <v>29.262667359872052363925246050</v>
      </c>
      <c r="V31" s="328">
        <v>30.209823435320875920634900310</v>
      </c>
      <c r="W31" s="327">
        <v>14.386228079574270509661059320</v>
      </c>
      <c r="X31" s="171">
        <v>11.263854193739713652383582840</v>
      </c>
      <c r="Y31" s="328">
        <v>9.131238257942977305413224360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26</v>
      </c>
      <c r="C32" s="347" t="s">
        <v>47</v>
      </c>
      <c r="D32" s="378">
        <v>132.52577319587628865979381443</v>
      </c>
      <c r="E32" s="173">
        <v>149.763360258481421647819063</v>
      </c>
      <c r="F32" s="379">
        <v>165.83451118963486454652532391</v>
      </c>
      <c r="G32" s="378">
        <v>2.9175257731958762886597938144</v>
      </c>
      <c r="H32" s="173">
        <v>76.57769574233478755056973796</v>
      </c>
      <c r="I32" s="379">
        <v>63.158202620626957116630552318</v>
      </c>
      <c r="J32" s="378">
        <v>21.422680412371134020618556701</v>
      </c>
      <c r="K32" s="173">
        <v>34.468749918330693267064745382</v>
      </c>
      <c r="L32" s="379">
        <v>24.682112780259912187035094122</v>
      </c>
      <c r="M32" s="378">
        <v>156.86597938144329896907216495</v>
      </c>
      <c r="N32" s="173">
        <v>260.80980591914690246545354634</v>
      </c>
      <c r="O32" s="379">
        <v>253.67482659052173385019097036</v>
      </c>
      <c r="P32" s="4"/>
      <c r="Q32" s="359">
        <v>84.48343848580441640378548896</v>
      </c>
      <c r="R32" s="170">
        <v>57.422442277691523956472567990</v>
      </c>
      <c r="S32" s="360">
        <v>65.372868651773064433467695470</v>
      </c>
      <c r="T32" s="359">
        <v>1.8598843322818086225026288100</v>
      </c>
      <c r="U32" s="170">
        <v>29.361509423489421023670669690</v>
      </c>
      <c r="V32" s="360">
        <v>24.897307891955720853055083350</v>
      </c>
      <c r="W32" s="359">
        <v>13.656677181913774973711882230</v>
      </c>
      <c r="X32" s="170">
        <v>13.216048298819055019856762320</v>
      </c>
      <c r="Y32" s="360">
        <v>9.729823456271214713477221170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27</v>
      </c>
      <c r="C33" s="345" t="s">
        <v>48</v>
      </c>
      <c r="D33" s="370">
        <v>118.80681818181818181818181818</v>
      </c>
      <c r="E33" s="172">
        <v>144.72195729537366548042704627</v>
      </c>
      <c r="F33" s="371">
        <v>169.23695080736012016522718738</v>
      </c>
      <c r="G33" s="370">
        <v>1.9886363636363636363636363636</v>
      </c>
      <c r="H33" s="172">
        <v>54.925374548316311855032222092</v>
      </c>
      <c r="I33" s="371">
        <v>93.23221572942881625259039988</v>
      </c>
      <c r="J33" s="370">
        <v>30.397727272727272727272727273</v>
      </c>
      <c r="K33" s="172">
        <v>33.415952124882601071202138524</v>
      </c>
      <c r="L33" s="371">
        <v>22.78378275528947744468990941</v>
      </c>
      <c r="M33" s="370">
        <v>151.19318181818181818181818182</v>
      </c>
      <c r="N33" s="172">
        <v>233.06328396857257840666140689</v>
      </c>
      <c r="O33" s="371">
        <v>285.25294929207841386250749668</v>
      </c>
      <c r="P33" s="4"/>
      <c r="Q33" s="327">
        <v>78.579481397970687711386696730</v>
      </c>
      <c r="R33" s="171">
        <v>62.095562557544971225987705940</v>
      </c>
      <c r="S33" s="328">
        <v>59.328729545955967642817305770</v>
      </c>
      <c r="T33" s="327">
        <v>1.3152950018789928598271326600</v>
      </c>
      <c r="U33" s="171">
        <v>23.566721284045205811437964320</v>
      </c>
      <c r="V33" s="328">
        <v>32.684049704238381875735616480</v>
      </c>
      <c r="W33" s="327">
        <v>20.105223600150319428786170610</v>
      </c>
      <c r="X33" s="171">
        <v>14.337716158409822962574329740</v>
      </c>
      <c r="Y33" s="328">
        <v>7.987220749805650481447077750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28</v>
      </c>
      <c r="C34" s="347" t="s">
        <v>50</v>
      </c>
      <c r="D34" s="378">
        <v>126.500000000</v>
      </c>
      <c r="E34" s="173">
        <v>167.28067700987306064880112836</v>
      </c>
      <c r="F34" s="379">
        <v>175.75508853218600033096144299</v>
      </c>
      <c r="G34" s="378">
        <v>0.5104166666666666666666666667</v>
      </c>
      <c r="H34" s="173">
        <v>56.699952300061578557464116516</v>
      </c>
      <c r="I34" s="379">
        <v>77.477199718086307101984002145</v>
      </c>
      <c r="J34" s="378">
        <v>29.364583333333333333333333333</v>
      </c>
      <c r="K34" s="173">
        <v>38.364573095275886177263585056</v>
      </c>
      <c r="L34" s="379">
        <v>31.04163757345506844883834885</v>
      </c>
      <c r="M34" s="378">
        <v>156.375000000</v>
      </c>
      <c r="N34" s="173">
        <v>262.34520240521052538352882993</v>
      </c>
      <c r="O34" s="379">
        <v>284.27392582372737588178379399</v>
      </c>
      <c r="P34" s="4"/>
      <c r="Q34" s="359">
        <v>80.89528377298161470823341327</v>
      </c>
      <c r="R34" s="170">
        <v>63.763573900427707400405725370</v>
      </c>
      <c r="S34" s="360">
        <v>61.825961710314665096670416430</v>
      </c>
      <c r="T34" s="359">
        <v>0.3264055422328803623767652500</v>
      </c>
      <c r="U34" s="170">
        <v>21.612726964407961261391399380</v>
      </c>
      <c r="V34" s="360">
        <v>27.254416490567756902902039940</v>
      </c>
      <c r="W34" s="359">
        <v>18.778310684785504929389821480</v>
      </c>
      <c r="X34" s="170">
        <v>14.623699135164331338202875250</v>
      </c>
      <c r="Y34" s="360">
        <v>10.919621799117578000427543620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29</v>
      </c>
      <c r="C35" s="345" t="s">
        <v>51</v>
      </c>
      <c r="D35" s="370">
        <v>155.880000000</v>
      </c>
      <c r="E35" s="172">
        <v>174.64693661971830985915492958</v>
      </c>
      <c r="F35" s="371">
        <v>175.66621025406967898980678533</v>
      </c>
      <c r="G35" s="370">
        <v>1.36</v>
      </c>
      <c r="H35" s="172">
        <v>92.19248840417956650702151469</v>
      </c>
      <c r="I35" s="371">
        <v>57.463608280938881282304501543</v>
      </c>
      <c r="J35" s="370">
        <v>25.01</v>
      </c>
      <c r="K35" s="172">
        <v>34.926568613455150463889037061</v>
      </c>
      <c r="L35" s="371">
        <v>27.182915169389784878032983204</v>
      </c>
      <c r="M35" s="370">
        <v>182.250000000</v>
      </c>
      <c r="N35" s="172">
        <v>301.76599363735302683006548134</v>
      </c>
      <c r="O35" s="371">
        <v>260.31273370439834515014427007</v>
      </c>
      <c r="P35" s="4"/>
      <c r="Q35" s="327">
        <v>85.53086419753086419753086420</v>
      </c>
      <c r="R35" s="171">
        <v>57.874956191916073456760727290</v>
      </c>
      <c r="S35" s="328">
        <v>67.482757279768659433738815650</v>
      </c>
      <c r="T35" s="327">
        <v>0.746227709190672153635116600</v>
      </c>
      <c r="U35" s="171">
        <v>30.550986641315122748821673670</v>
      </c>
      <c r="V35" s="328">
        <v>22.074835703654997118848387790</v>
      </c>
      <c r="W35" s="327">
        <v>13.722908093278463648834019200</v>
      </c>
      <c r="X35" s="171">
        <v>11.574057166768803794417599040</v>
      </c>
      <c r="Y35" s="328">
        <v>10.442407016576343447412796560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30</v>
      </c>
      <c r="C36" s="347" t="s">
        <v>52</v>
      </c>
      <c r="D36" s="378">
        <v>221.08247422680412371134020619</v>
      </c>
      <c r="E36" s="173">
        <v>259.52308553971486761710794297</v>
      </c>
      <c r="F36" s="379">
        <v>205.8424258474576271186440678</v>
      </c>
      <c r="G36" s="378">
        <v>1.1752577319587628865979381443</v>
      </c>
      <c r="H36" s="173">
        <v>78.996671399123322608015282576</v>
      </c>
      <c r="I36" s="379">
        <v>65.047161540053823868325744346</v>
      </c>
      <c r="J36" s="378">
        <v>23.876288659793814432989690722</v>
      </c>
      <c r="K36" s="173">
        <v>32.318343992964301737498966928</v>
      </c>
      <c r="L36" s="379">
        <v>32.950351537366954927036946151</v>
      </c>
      <c r="M36" s="378">
        <v>246.13402061855670103092783505</v>
      </c>
      <c r="N36" s="173">
        <v>370.83810093180249196262219247</v>
      </c>
      <c r="O36" s="379">
        <v>303.83993892487840591400675829</v>
      </c>
      <c r="P36" s="4"/>
      <c r="Q36" s="359">
        <v>89.82198952879581151832460733</v>
      </c>
      <c r="R36" s="170">
        <v>69.982853673237160136277422440</v>
      </c>
      <c r="S36" s="360">
        <v>67.746994215382017016066037540</v>
      </c>
      <c r="T36" s="359">
        <v>0.4774869109947643979057591600</v>
      </c>
      <c r="U36" s="170">
        <v>21.302199315719959341095763560</v>
      </c>
      <c r="V36" s="360">
        <v>21.408364473156416914729664110</v>
      </c>
      <c r="W36" s="359">
        <v>9.700523560209424083769633510</v>
      </c>
      <c r="X36" s="170">
        <v>8.714947011042880522626814010</v>
      </c>
      <c r="Y36" s="360">
        <v>10.844641311461566069204298350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31</v>
      </c>
      <c r="C37" s="349" t="s">
        <v>53</v>
      </c>
      <c r="D37" s="380">
        <v>237.72916666666666666666666667</v>
      </c>
      <c r="E37" s="383">
        <v>246.6597745901639344262295082</v>
      </c>
      <c r="F37" s="381">
        <v>205.38036652569524541842880943</v>
      </c>
      <c r="G37" s="380">
        <v>2.1354166666666666666666666667</v>
      </c>
      <c r="H37" s="383">
        <v>138.24390098749397041903238538</v>
      </c>
      <c r="I37" s="381">
        <v>75.740052479949413228261003509</v>
      </c>
      <c r="J37" s="380">
        <v>32.041666666666666666666666667</v>
      </c>
      <c r="K37" s="383">
        <v>30.685658220714315584571879424</v>
      </c>
      <c r="L37" s="381">
        <v>18.656372872688678495783044393</v>
      </c>
      <c r="M37" s="380">
        <v>271.906250000</v>
      </c>
      <c r="N37" s="383">
        <v>415.589333798372220429833773</v>
      </c>
      <c r="O37" s="381">
        <v>299.77679187833333714247285734</v>
      </c>
      <c r="P37" s="4"/>
      <c r="Q37" s="329">
        <v>87.43056353675822702371374938</v>
      </c>
      <c r="R37" s="330">
        <v>59.351805864640804936033430940</v>
      </c>
      <c r="S37" s="332">
        <v>68.511096285615869141812975950</v>
      </c>
      <c r="T37" s="329">
        <v>0.7853503428724667662720760100</v>
      </c>
      <c r="U37" s="330">
        <v>33.264545007443461939679910930</v>
      </c>
      <c r="V37" s="332">
        <v>25.265482362853853767973600940</v>
      </c>
      <c r="W37" s="329">
        <v>11.784086120369306210014174620</v>
      </c>
      <c r="X37" s="330">
        <v>7.3836491279157331242866581300</v>
      </c>
      <c r="Y37" s="332">
        <v>6.2234213515302770902134231100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214.4013303769401330376940133</v>
      </c>
      <c r="E39" s="382">
        <v>219.93471525523753319563293006</v>
      </c>
      <c r="F39" s="375">
        <v>214.62211552776537144558582701</v>
      </c>
      <c r="G39" s="374">
        <v>2.4611973392461197339246119734</v>
      </c>
      <c r="H39" s="382">
        <v>93.30805885260975837528636506</v>
      </c>
      <c r="I39" s="375">
        <v>82.44707559745206289116711595</v>
      </c>
      <c r="J39" s="374">
        <v>29.175166297117516629711751663</v>
      </c>
      <c r="K39" s="382">
        <v>32.695285820269109587755890907</v>
      </c>
      <c r="L39" s="375">
        <v>26.191494577615778454122610025</v>
      </c>
      <c r="M39" s="374">
        <v>246.03769401330376940133037694</v>
      </c>
      <c r="N39" s="382">
        <v>345.93805992811640115867518602</v>
      </c>
      <c r="O39" s="375">
        <v>323.26068570283321279087555296</v>
      </c>
      <c r="P39" s="4"/>
      <c r="Q39" s="354">
        <v>87.14165983255679821201661815</v>
      </c>
      <c r="R39" s="355">
        <v>63.576327883939247878585301620</v>
      </c>
      <c r="S39" s="356">
        <v>66.392891254664661981915288440</v>
      </c>
      <c r="T39" s="354">
        <v>1.0003334444814938312770923600</v>
      </c>
      <c r="U39" s="355">
        <v>26.972475613697592147857597810</v>
      </c>
      <c r="V39" s="356">
        <v>25.504826056467607405389078780</v>
      </c>
      <c r="W39" s="354">
        <v>11.858006722961707956706289480</v>
      </c>
      <c r="X39" s="355">
        <v>9.451196502363159973557100570</v>
      </c>
      <c r="Y39" s="356">
        <v>8.102282688867730612695632790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168.07792207792207792207792208</v>
      </c>
      <c r="E40" s="172">
        <v>189.42456441305079044735956946</v>
      </c>
      <c r="F40" s="371">
        <v>193.39928934429616163285543114</v>
      </c>
      <c r="G40" s="370">
        <v>2.9714285714285714285714285714</v>
      </c>
      <c r="H40" s="172">
        <v>69.909932425849137447848826401</v>
      </c>
      <c r="I40" s="371">
        <v>74.220701901599110234633748027</v>
      </c>
      <c r="J40" s="370">
        <v>26.919480519480519480519480519</v>
      </c>
      <c r="K40" s="172">
        <v>31.320102210050494386796677444</v>
      </c>
      <c r="L40" s="371">
        <v>28.181176195271882125798161002</v>
      </c>
      <c r="M40" s="370">
        <v>197.96883116883116883116883117</v>
      </c>
      <c r="N40" s="172">
        <v>290.65459904895042228200507329</v>
      </c>
      <c r="O40" s="371">
        <v>295.80116744116715399328734017</v>
      </c>
      <c r="P40" s="4"/>
      <c r="Q40" s="327">
        <v>84.90120443989608753837676139</v>
      </c>
      <c r="R40" s="171">
        <v>65.171707254200015096969626320</v>
      </c>
      <c r="S40" s="328">
        <v>65.381516583352217026388964950</v>
      </c>
      <c r="T40" s="327">
        <v>1.5009577790023354063344616800</v>
      </c>
      <c r="U40" s="171">
        <v>24.052580848402573376392743130</v>
      </c>
      <c r="V40" s="328">
        <v>25.091416150803767351438718590</v>
      </c>
      <c r="W40" s="327">
        <v>13.597837781101577055288776930</v>
      </c>
      <c r="X40" s="171">
        <v>10.775711897397411526637630550</v>
      </c>
      <c r="Y40" s="328">
        <v>9.527067265844015622172316450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166.02732240437158469945355191</v>
      </c>
      <c r="E41" s="173">
        <v>193.79262132717068339385935952</v>
      </c>
      <c r="F41" s="379">
        <v>194.81950847933287896403800666</v>
      </c>
      <c r="G41" s="378">
        <v>1.2540983606557377049180327869</v>
      </c>
      <c r="H41" s="173">
        <v>50.868988940429319195401636302</v>
      </c>
      <c r="I41" s="379">
        <v>82.98313791982583587372025568</v>
      </c>
      <c r="J41" s="378">
        <v>26.54371584699453551912568306</v>
      </c>
      <c r="K41" s="173">
        <v>30.099845948842496673714728145</v>
      </c>
      <c r="L41" s="379">
        <v>23.900605493919817767330561748</v>
      </c>
      <c r="M41" s="378">
        <v>193.82513661202185792349726776</v>
      </c>
      <c r="N41" s="173">
        <v>274.76145621644249926297572397</v>
      </c>
      <c r="O41" s="379">
        <v>301.70325189307853260508882408</v>
      </c>
      <c r="P41" s="4"/>
      <c r="Q41" s="359">
        <v>85.65830279109106287003101212</v>
      </c>
      <c r="R41" s="170">
        <v>70.531225156453944873706660470</v>
      </c>
      <c r="S41" s="360">
        <v>64.573221288438586240296711150</v>
      </c>
      <c r="T41" s="359">
        <v>0.6470256554835071891739498200</v>
      </c>
      <c r="U41" s="170">
        <v>18.513873685527939653971905370</v>
      </c>
      <c r="V41" s="360">
        <v>27.504886804877550491502369400</v>
      </c>
      <c r="W41" s="359">
        <v>13.694671553425429940795038060</v>
      </c>
      <c r="X41" s="170">
        <v>10.954901158018115472321434170</v>
      </c>
      <c r="Y41" s="360">
        <v>7.9218919066838632682009194600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164.45647058823529411764705882</v>
      </c>
      <c r="E42" s="172">
        <v>187.2340063694267515923566879</v>
      </c>
      <c r="F42" s="371">
        <v>197.63281132923722463659523453</v>
      </c>
      <c r="G42" s="370">
        <v>0.9694117647058823529411764706</v>
      </c>
      <c r="H42" s="172">
        <v>51.666997872121985164139858803</v>
      </c>
      <c r="I42" s="371">
        <v>101.84397364371196728373370566</v>
      </c>
      <c r="J42" s="370">
        <v>26.687058823529411764705882353</v>
      </c>
      <c r="K42" s="172">
        <v>33.748582852558027794163246016</v>
      </c>
      <c r="L42" s="371">
        <v>29.003210369137409408499385881</v>
      </c>
      <c r="M42" s="370">
        <v>192.11294117647058823529411765</v>
      </c>
      <c r="N42" s="172">
        <v>272.64958709410676455065979271</v>
      </c>
      <c r="O42" s="371">
        <v>328.47999534208660132882832609</v>
      </c>
      <c r="P42" s="4"/>
      <c r="Q42" s="327">
        <v>85.60405643738977072310405644</v>
      </c>
      <c r="R42" s="171">
        <v>68.672030045951151932188728200</v>
      </c>
      <c r="S42" s="328">
        <v>60.165859148718594541641378160</v>
      </c>
      <c r="T42" s="327">
        <v>0.5046051342347638643934940200</v>
      </c>
      <c r="U42" s="171">
        <v>18.949963732858611449729862920</v>
      </c>
      <c r="V42" s="328">
        <v>31.004619790513975497180324240</v>
      </c>
      <c r="W42" s="327">
        <v>13.891338428375465412502449540</v>
      </c>
      <c r="X42" s="171">
        <v>12.378006221190236618081408890</v>
      </c>
      <c r="Y42" s="328">
        <v>8.829521060767429961178297600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181.30717488789237668161434978</v>
      </c>
      <c r="E43" s="173">
        <v>192.76957302709069493521790342</v>
      </c>
      <c r="F43" s="379">
        <v>201.06935263875773790787955094</v>
      </c>
      <c r="G43" s="378">
        <v>1.3744394618834080717488789238</v>
      </c>
      <c r="H43" s="173">
        <v>57.528491451662948902017093457</v>
      </c>
      <c r="I43" s="379">
        <v>71.213989582626279283068059539</v>
      </c>
      <c r="J43" s="378">
        <v>26.760089686098654708520179372</v>
      </c>
      <c r="K43" s="173">
        <v>35.915362960930451079749631369</v>
      </c>
      <c r="L43" s="379">
        <v>25.358553097196241873085235122</v>
      </c>
      <c r="M43" s="378">
        <v>209.44170403587443946188340807</v>
      </c>
      <c r="N43" s="173">
        <v>286.21342743968409491698462824</v>
      </c>
      <c r="O43" s="379">
        <v>297.64189531858025906403284559</v>
      </c>
      <c r="P43" s="4"/>
      <c r="Q43" s="359">
        <v>86.56689255012792925886672876</v>
      </c>
      <c r="R43" s="170">
        <v>67.351687428331598731963610370</v>
      </c>
      <c r="S43" s="360">
        <v>67.554116473940491017496526840</v>
      </c>
      <c r="T43" s="359">
        <v>0.6562396291657299461519521300</v>
      </c>
      <c r="U43" s="170">
        <v>20.099857636408885797580092210</v>
      </c>
      <c r="V43" s="360">
        <v>23.926063737231132547779101660</v>
      </c>
      <c r="W43" s="359">
        <v>12.776867820706340794981319120</v>
      </c>
      <c r="X43" s="170">
        <v>12.548454935259515470456297420</v>
      </c>
      <c r="Y43" s="360">
        <v>8.519819788828376434724371500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251.94430992736077481840193705</v>
      </c>
      <c r="E44" s="172">
        <v>245.56639598044541010320478001</v>
      </c>
      <c r="F44" s="371">
        <v>219.87447914984334119319099454</v>
      </c>
      <c r="G44" s="370">
        <v>1.0895883777239709443099273608</v>
      </c>
      <c r="H44" s="172">
        <v>72.884663442945364124120022743</v>
      </c>
      <c r="I44" s="371">
        <v>92.7216808949543799453324701</v>
      </c>
      <c r="J44" s="370">
        <v>30.019370460048426150121065375</v>
      </c>
      <c r="K44" s="172">
        <v>40.925901783155887301266271388</v>
      </c>
      <c r="L44" s="371">
        <v>29.424712784631683254797020314</v>
      </c>
      <c r="M44" s="370">
        <v>283.05326876513317191283292978</v>
      </c>
      <c r="N44" s="172">
        <v>359.37696120654666152859107414</v>
      </c>
      <c r="O44" s="371">
        <v>342.02087282942940439332048496</v>
      </c>
      <c r="P44" s="4"/>
      <c r="Q44" s="327">
        <v>89.00950376814569593074481827</v>
      </c>
      <c r="R44" s="171">
        <v>68.331145979975524724117544800</v>
      </c>
      <c r="S44" s="328">
        <v>64.286859843053444555215356880</v>
      </c>
      <c r="T44" s="327">
        <v>0.3849411040110863037955192900</v>
      </c>
      <c r="U44" s="171">
        <v>20.280839149579198520375012890</v>
      </c>
      <c r="V44" s="328">
        <v>27.109948035597225020331425760</v>
      </c>
      <c r="W44" s="327">
        <v>10.605555127843217765459662450</v>
      </c>
      <c r="X44" s="171">
        <v>11.388014870445276755507442310</v>
      </c>
      <c r="Y44" s="328">
        <v>8.603192121349330424453217360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267.89035087719298245614035088</v>
      </c>
      <c r="E45" s="385">
        <v>255.2357340286831812255541069</v>
      </c>
      <c r="F45" s="386">
        <v>223.08705155025447278858463172</v>
      </c>
      <c r="G45" s="384">
        <v>1.0833333333333333333333333333</v>
      </c>
      <c r="H45" s="385">
        <v>78.97255754262697153794035436</v>
      </c>
      <c r="I45" s="386">
        <v>84.73154918313356612004868782</v>
      </c>
      <c r="J45" s="384">
        <v>32.197368421052631578947368421</v>
      </c>
      <c r="K45" s="385">
        <v>34.64445872040933274937871608</v>
      </c>
      <c r="L45" s="386">
        <v>25.269032027747910049683985084</v>
      </c>
      <c r="M45" s="384">
        <v>301.17105263157894736842105263</v>
      </c>
      <c r="N45" s="385">
        <v>368.85275029171948551287317736</v>
      </c>
      <c r="O45" s="386">
        <v>333.08763276113594895831730462</v>
      </c>
      <c r="P45" s="4"/>
      <c r="Q45" s="364">
        <v>88.94956820597958262338532337</v>
      </c>
      <c r="R45" s="365">
        <v>69.197188804155993972309752830</v>
      </c>
      <c r="S45" s="366">
        <v>66.975483208719077596517368240</v>
      </c>
      <c r="T45" s="364">
        <v>0.3597069917136324580948636200</v>
      </c>
      <c r="U45" s="365">
        <v>21.410320915370400116839780680</v>
      </c>
      <c r="V45" s="366">
        <v>25.438215307109981388986907890</v>
      </c>
      <c r="W45" s="364">
        <v>10.690724802306784918519813010</v>
      </c>
      <c r="X45" s="365">
        <v>9.392490280473605910850466490</v>
      </c>
      <c r="Y45" s="366">
        <v>7.5863014841709410144957238600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169.71326676176890156918687589</v>
      </c>
      <c r="E47" s="382">
        <v>200.06272112475529453639437622</v>
      </c>
      <c r="F47" s="375">
        <v>186.79075164758172224290061962</v>
      </c>
      <c r="G47" s="374">
        <v>1.81597717546362339514978602</v>
      </c>
      <c r="H47" s="382">
        <v>89.26647164008712879482173791</v>
      </c>
      <c r="I47" s="375">
        <v>75.521702520595227708640818994</v>
      </c>
      <c r="J47" s="374">
        <v>27.807417974322396576319543509</v>
      </c>
      <c r="K47" s="382">
        <v>34.561185881933931816139259018</v>
      </c>
      <c r="L47" s="375">
        <v>26.716113250183566583892758877</v>
      </c>
      <c r="M47" s="374">
        <v>199.33666191155492154065620542</v>
      </c>
      <c r="N47" s="382">
        <v>323.89037864677635514735537314</v>
      </c>
      <c r="O47" s="375">
        <v>289.02856741836051653543419749</v>
      </c>
      <c r="P47" s="4"/>
      <c r="Q47" s="354">
        <v>85.13901313199985687193616488</v>
      </c>
      <c r="R47" s="355">
        <v>61.768652085505997326696681200</v>
      </c>
      <c r="S47" s="356">
        <v>64.627089742726882693713047880</v>
      </c>
      <c r="T47" s="354">
        <v>0.9110101263105163344902851800</v>
      </c>
      <c r="U47" s="355">
        <v>27.560704956116666678728514740</v>
      </c>
      <c r="V47" s="356">
        <v>26.129494117195599268166948370</v>
      </c>
      <c r="W47" s="354">
        <v>13.949976741689626793573549930</v>
      </c>
      <c r="X47" s="355">
        <v>10.670642958377335994574804060</v>
      </c>
      <c r="Y47" s="356">
        <v>9.243416140077518038120003750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203.65023793337865397688647179</v>
      </c>
      <c r="E48" s="172">
        <v>214.173374424159699709947108</v>
      </c>
      <c r="F48" s="371">
        <v>207.33966595465424505237151607</v>
      </c>
      <c r="G48" s="370">
        <v>1.5914343983684568320870156356</v>
      </c>
      <c r="H48" s="172">
        <v>68.544942301455128777036000559</v>
      </c>
      <c r="I48" s="371">
        <v>84.51660641614157305041282331</v>
      </c>
      <c r="J48" s="370">
        <v>28.414004078857919782460910945</v>
      </c>
      <c r="K48" s="172">
        <v>34.40459022458274364046942825</v>
      </c>
      <c r="L48" s="371">
        <v>26.772095932952263870200309116</v>
      </c>
      <c r="M48" s="370">
        <v>233.65567641060503059143439837</v>
      </c>
      <c r="N48" s="172">
        <v>317.12290695019757212745253681</v>
      </c>
      <c r="O48" s="371">
        <v>318.6283683037480819729846485</v>
      </c>
      <c r="P48" s="4"/>
      <c r="Q48" s="327">
        <v>87.15826684026388717150484060</v>
      </c>
      <c r="R48" s="171">
        <v>67.536393533941230990105674800</v>
      </c>
      <c r="S48" s="328">
        <v>65.072569356723932296192289140</v>
      </c>
      <c r="T48" s="327">
        <v>0.6811023908410494388397110900</v>
      </c>
      <c r="U48" s="171">
        <v>21.614629785233313084426594880</v>
      </c>
      <c r="V48" s="328">
        <v>26.525135494392634476745597590</v>
      </c>
      <c r="W48" s="327">
        <v>12.160630768895063389655448310</v>
      </c>
      <c r="X48" s="171">
        <v>10.848976680825455925467730320</v>
      </c>
      <c r="Y48" s="328">
        <v>8.402295148883433227062113260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223.55578947368421052631578947</v>
      </c>
      <c r="E49" s="385">
        <v>231.16876547885030484341273147</v>
      </c>
      <c r="F49" s="386">
        <v>220.88855749356347681038546615</v>
      </c>
      <c r="G49" s="384">
        <v>1.5563909774436090225563909774</v>
      </c>
      <c r="H49" s="385">
        <v>70.129136591238797084902019446</v>
      </c>
      <c r="I49" s="386">
        <v>83.01169454986896848892988805</v>
      </c>
      <c r="J49" s="384">
        <v>28.357593984962406015037593985</v>
      </c>
      <c r="K49" s="385">
        <v>34.276134251317705090618395706</v>
      </c>
      <c r="L49" s="386">
        <v>26.172340320296440493626592637</v>
      </c>
      <c r="M49" s="384">
        <v>253.46977443609022556390977444</v>
      </c>
      <c r="N49" s="385">
        <v>335.57403632140680701893314663</v>
      </c>
      <c r="O49" s="386">
        <v>330.07259236372888579294194684</v>
      </c>
      <c r="P49" s="4"/>
      <c r="Q49" s="364">
        <v>88.19820429123847425268780843</v>
      </c>
      <c r="R49" s="365">
        <v>68.887559959329212807417444900</v>
      </c>
      <c r="S49" s="366">
        <v>66.921205396584919132631588750</v>
      </c>
      <c r="T49" s="364">
        <v>0.6140341509776491569044135700</v>
      </c>
      <c r="U49" s="365">
        <v>20.898260592506139238982141550</v>
      </c>
      <c r="V49" s="366">
        <v>25.149526640610279891654564780</v>
      </c>
      <c r="W49" s="364">
        <v>11.18776155778387659040777800</v>
      </c>
      <c r="X49" s="365">
        <v>10.214179448164647953600413540</v>
      </c>
      <c r="Y49" s="366">
        <v>7.929267962804800975713846480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8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160</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179</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185</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64" t="s">
        <v>211</v>
      </c>
      <c r="I5" s="664"/>
      <c r="J5" s="664"/>
      <c r="K5" s="664"/>
      <c r="L5" s="664"/>
      <c r="M5" s="664"/>
      <c r="N5" s="664"/>
      <c r="O5" s="664"/>
      <c r="P5" s="664"/>
      <c r="Q5" s="664"/>
      <c r="R5" s="664"/>
      <c r="S5" s="664"/>
      <c r="T5" s="664"/>
      <c r="U5" s="664"/>
      <c r="V5" s="664"/>
      <c r="AB5" s="664" t="s">
        <v>214</v>
      </c>
      <c r="AC5" s="664"/>
      <c r="AD5" s="664"/>
      <c r="AE5" s="664"/>
      <c r="AF5" s="664"/>
      <c r="AG5" s="664"/>
      <c r="AH5" s="664"/>
      <c r="AI5" s="664"/>
      <c r="AJ5" s="664"/>
      <c r="AK5" s="664"/>
      <c r="AL5" s="664"/>
      <c r="AM5" s="664"/>
      <c r="AN5" s="664"/>
      <c r="AO5" s="664"/>
      <c r="AP5" s="664"/>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216</v>
      </c>
      <c r="D6" s="104" t="s">
        <v>217</v>
      </c>
      <c r="I6" s="665" t="s">
        <v>0</v>
      </c>
      <c r="J6" s="665"/>
      <c r="K6" s="665" t="s">
        <v>1</v>
      </c>
      <c r="L6" s="665"/>
      <c r="M6" s="665" t="s">
        <v>2</v>
      </c>
      <c r="N6" s="665"/>
      <c r="O6" s="665" t="s">
        <v>3</v>
      </c>
      <c r="P6" s="665"/>
      <c r="Q6" s="665" t="s">
        <v>4</v>
      </c>
      <c r="R6" s="665"/>
      <c r="S6" s="665" t="s">
        <v>5</v>
      </c>
      <c r="T6" s="665"/>
      <c r="U6" s="665" t="s">
        <v>6</v>
      </c>
      <c r="V6" s="665"/>
      <c r="AC6" s="665" t="s">
        <v>0</v>
      </c>
      <c r="AD6" s="665"/>
      <c r="AE6" s="665" t="s">
        <v>1</v>
      </c>
      <c r="AF6" s="665"/>
      <c r="AG6" s="665" t="s">
        <v>2</v>
      </c>
      <c r="AH6" s="665"/>
      <c r="AI6" s="665" t="s">
        <v>3</v>
      </c>
      <c r="AJ6" s="665"/>
      <c r="AK6" s="665" t="s">
        <v>4</v>
      </c>
      <c r="AL6" s="665"/>
      <c r="AM6" s="665" t="s">
        <v>5</v>
      </c>
      <c r="AN6" s="665"/>
      <c r="AO6" s="665" t="s">
        <v>6</v>
      </c>
      <c r="AP6" s="665"/>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218</v>
      </c>
      <c r="D7" s="104" t="s">
        <v>219</v>
      </c>
      <c r="E7" s="104"/>
      <c r="F7" s="104"/>
      <c r="G7" s="104"/>
      <c r="H7" s="97" t="s">
        <v>212</v>
      </c>
      <c r="I7" s="666">
        <v>20</v>
      </c>
      <c r="J7" s="666"/>
      <c r="K7" s="667">
        <v>21</v>
      </c>
      <c r="L7" s="667"/>
      <c r="M7" s="667">
        <v>22</v>
      </c>
      <c r="N7" s="667"/>
      <c r="O7" s="667">
        <v>23</v>
      </c>
      <c r="P7" s="667"/>
      <c r="Q7" s="667">
        <v>24</v>
      </c>
      <c r="R7" s="667"/>
      <c r="S7" s="667">
        <v>25</v>
      </c>
      <c r="T7" s="667"/>
      <c r="U7" s="668">
        <v>26</v>
      </c>
      <c r="V7" s="668"/>
      <c r="Y7" s="3"/>
      <c r="AB7" s="97" t="s">
        <v>212</v>
      </c>
      <c r="AC7" s="666">
        <v>21</v>
      </c>
      <c r="AD7" s="666"/>
      <c r="AE7" s="667">
        <v>22</v>
      </c>
      <c r="AF7" s="667"/>
      <c r="AG7" s="667">
        <v>23</v>
      </c>
      <c r="AH7" s="667"/>
      <c r="AI7" s="667">
        <v>24</v>
      </c>
      <c r="AJ7" s="667"/>
      <c r="AK7" s="667">
        <v>25</v>
      </c>
      <c r="AL7" s="667"/>
      <c r="AM7" s="667">
        <v>26</v>
      </c>
      <c r="AN7" s="667"/>
      <c r="AO7" s="668">
        <v>27</v>
      </c>
      <c r="AP7" s="668"/>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220</v>
      </c>
      <c r="D8" t="s">
        <v>221</v>
      </c>
      <c r="H8" s="97" t="s">
        <v>213</v>
      </c>
      <c r="I8" s="669">
        <v>27</v>
      </c>
      <c r="J8" s="669"/>
      <c r="K8" s="670">
        <v>28</v>
      </c>
      <c r="L8" s="670"/>
      <c r="M8" s="670">
        <v>29</v>
      </c>
      <c r="N8" s="670"/>
      <c r="O8" s="670">
        <v>30</v>
      </c>
      <c r="P8" s="670"/>
      <c r="Q8" s="670">
        <v>1</v>
      </c>
      <c r="R8" s="670"/>
      <c r="S8" s="670">
        <v>2</v>
      </c>
      <c r="T8" s="670"/>
      <c r="U8" s="671">
        <v>3</v>
      </c>
      <c r="V8" s="671"/>
      <c r="Y8" s="3"/>
      <c r="AB8" s="97" t="s">
        <v>213</v>
      </c>
      <c r="AC8" s="669">
        <v>28</v>
      </c>
      <c r="AD8" s="669"/>
      <c r="AE8" s="670">
        <v>29</v>
      </c>
      <c r="AF8" s="670"/>
      <c r="AG8" s="670">
        <v>30</v>
      </c>
      <c r="AH8" s="670"/>
      <c r="AI8" s="670">
        <v>1</v>
      </c>
      <c r="AJ8" s="670"/>
      <c r="AK8" s="670">
        <v>2</v>
      </c>
      <c r="AL8" s="670"/>
      <c r="AM8" s="670">
        <v>3</v>
      </c>
      <c r="AN8" s="670"/>
      <c r="AO8" s="671">
        <v>4</v>
      </c>
      <c r="AP8" s="671"/>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181</v>
      </c>
      <c r="I9" s="672">
        <v>4</v>
      </c>
      <c r="J9" s="672"/>
      <c r="K9" s="673">
        <v>5</v>
      </c>
      <c r="L9" s="673"/>
      <c r="M9" s="673">
        <v>6</v>
      </c>
      <c r="N9" s="673"/>
      <c r="O9" s="673">
        <v>7</v>
      </c>
      <c r="P9" s="673"/>
      <c r="Q9" s="673">
        <v>8</v>
      </c>
      <c r="R9" s="673"/>
      <c r="S9" s="673">
        <v>9</v>
      </c>
      <c r="T9" s="673"/>
      <c r="U9" s="674">
        <v>10</v>
      </c>
      <c r="V9" s="674"/>
      <c r="Y9" s="3"/>
      <c r="AB9" s="97" t="s">
        <v>181</v>
      </c>
      <c r="AC9" s="672">
        <v>5</v>
      </c>
      <c r="AD9" s="672"/>
      <c r="AE9" s="673">
        <v>6</v>
      </c>
      <c r="AF9" s="673"/>
      <c r="AG9" s="673">
        <v>7</v>
      </c>
      <c r="AH9" s="673"/>
      <c r="AI9" s="673">
        <v>8</v>
      </c>
      <c r="AJ9" s="673"/>
      <c r="AK9" s="673">
        <v>9</v>
      </c>
      <c r="AL9" s="673"/>
      <c r="AM9" s="673">
        <v>10</v>
      </c>
      <c r="AN9" s="673"/>
      <c r="AO9" s="674">
        <v>11</v>
      </c>
      <c r="AP9" s="67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181</v>
      </c>
      <c r="I10" s="669">
        <v>11</v>
      </c>
      <c r="J10" s="669"/>
      <c r="K10" s="670">
        <v>12</v>
      </c>
      <c r="L10" s="670"/>
      <c r="M10" s="670">
        <v>13</v>
      </c>
      <c r="N10" s="670"/>
      <c r="O10" s="670">
        <v>14</v>
      </c>
      <c r="P10" s="670"/>
      <c r="Q10" s="670">
        <v>15</v>
      </c>
      <c r="R10" s="670"/>
      <c r="S10" s="670">
        <v>16</v>
      </c>
      <c r="T10" s="670"/>
      <c r="U10" s="671">
        <v>17</v>
      </c>
      <c r="V10" s="671"/>
      <c r="Y10" s="3"/>
      <c r="AB10" s="97" t="s">
        <v>181</v>
      </c>
      <c r="AC10" s="669">
        <v>12</v>
      </c>
      <c r="AD10" s="669"/>
      <c r="AE10" s="670">
        <v>13</v>
      </c>
      <c r="AF10" s="670"/>
      <c r="AG10" s="670">
        <v>14</v>
      </c>
      <c r="AH10" s="670"/>
      <c r="AI10" s="670">
        <v>15</v>
      </c>
      <c r="AJ10" s="670"/>
      <c r="AK10" s="670">
        <v>16</v>
      </c>
      <c r="AL10" s="670"/>
      <c r="AM10" s="670">
        <v>17</v>
      </c>
      <c r="AN10" s="670"/>
      <c r="AO10" s="671">
        <v>18</v>
      </c>
      <c r="AP10" s="671"/>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181</v>
      </c>
      <c r="I11" s="672">
        <v>18</v>
      </c>
      <c r="J11" s="672"/>
      <c r="K11" s="673">
        <v>19</v>
      </c>
      <c r="L11" s="673"/>
      <c r="M11" s="673">
        <v>20</v>
      </c>
      <c r="N11" s="673"/>
      <c r="O11" s="673">
        <v>21</v>
      </c>
      <c r="P11" s="673"/>
      <c r="Q11" s="673">
        <v>22</v>
      </c>
      <c r="R11" s="673"/>
      <c r="S11" s="673">
        <v>23</v>
      </c>
      <c r="T11" s="673"/>
      <c r="U11" s="674">
        <v>24</v>
      </c>
      <c r="V11" s="674"/>
      <c r="Y11" s="3"/>
      <c r="AB11" s="97" t="s">
        <v>181</v>
      </c>
      <c r="AC11" s="672">
        <v>19</v>
      </c>
      <c r="AD11" s="672"/>
      <c r="AE11" s="673">
        <v>20</v>
      </c>
      <c r="AF11" s="673"/>
      <c r="AG11" s="673">
        <v>21</v>
      </c>
      <c r="AH11" s="673"/>
      <c r="AI11" s="673">
        <v>22</v>
      </c>
      <c r="AJ11" s="673"/>
      <c r="AK11" s="673">
        <v>23</v>
      </c>
      <c r="AL11" s="673"/>
      <c r="AM11" s="673">
        <v>24</v>
      </c>
      <c r="AN11" s="673"/>
      <c r="AO11" s="674">
        <v>25</v>
      </c>
      <c r="AP11" s="67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181</v>
      </c>
      <c r="I12" s="675">
        <v>25</v>
      </c>
      <c r="J12" s="675"/>
      <c r="K12" s="676">
        <v>26</v>
      </c>
      <c r="L12" s="676"/>
      <c r="M12" s="676">
        <v>27</v>
      </c>
      <c r="N12" s="676"/>
      <c r="O12" s="676">
        <v>28</v>
      </c>
      <c r="P12" s="676"/>
      <c r="Q12" s="676">
        <v>29</v>
      </c>
      <c r="R12" s="676"/>
      <c r="S12" s="676">
        <v>30</v>
      </c>
      <c r="T12" s="676"/>
      <c r="U12" s="677">
        <v>31</v>
      </c>
      <c r="V12" s="677"/>
      <c r="Y12" s="3"/>
      <c r="AB12" s="97" t="s">
        <v>215</v>
      </c>
      <c r="AC12" s="675">
        <v>26</v>
      </c>
      <c r="AD12" s="675"/>
      <c r="AE12" s="676">
        <v>27</v>
      </c>
      <c r="AF12" s="676"/>
      <c r="AG12" s="676">
        <v>28</v>
      </c>
      <c r="AH12" s="676"/>
      <c r="AI12" s="676">
        <v>29</v>
      </c>
      <c r="AJ12" s="676"/>
      <c r="AK12" s="676">
        <v>30</v>
      </c>
      <c r="AL12" s="676"/>
      <c r="AM12" s="676">
        <v>31</v>
      </c>
      <c r="AN12" s="676"/>
      <c r="AO12" s="677">
        <v>1</v>
      </c>
      <c r="AP12" s="677"/>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222</v>
      </c>
      <c r="D14" s="106" t="s">
        <v>223</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224</v>
      </c>
      <c r="D15" s="104" t="s">
        <v>219</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225</v>
      </c>
      <c r="D16" s="104" t="s">
        <v>221</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226</v>
      </c>
      <c r="D17" s="104" t="s">
        <v>227</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228</v>
      </c>
      <c r="D18" s="104" t="s">
        <v>229</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230</v>
      </c>
      <c r="D19" s="104" t="s">
        <v>231</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678"/>
      <c r="AW20" s="678"/>
      <c r="AX20" s="678"/>
      <c r="AY20" s="678"/>
      <c r="AZ20" s="678"/>
      <c r="BA20" s="678"/>
      <c r="BB20" s="678"/>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45802</v>
      </c>
      <c r="R21" s="119">
        <v>45803</v>
      </c>
      <c r="S21" s="119">
        <v>45804</v>
      </c>
      <c r="T21" s="119">
        <v>45805</v>
      </c>
      <c r="U21" s="119">
        <v>45806</v>
      </c>
      <c r="V21" s="119">
        <v>45807</v>
      </c>
      <c r="W21" s="119">
        <v>45808</v>
      </c>
      <c r="X21" s="120"/>
      <c r="Y21" s="120"/>
      <c r="Z21" s="119">
        <v>45802</v>
      </c>
      <c r="AA21" s="119">
        <v>45803</v>
      </c>
      <c r="AB21" s="119">
        <v>45804</v>
      </c>
      <c r="AC21" s="119">
        <v>45805</v>
      </c>
      <c r="AD21" s="119">
        <v>45806</v>
      </c>
      <c r="AE21" s="119">
        <v>45807</v>
      </c>
      <c r="AF21" s="119">
        <v>45808</v>
      </c>
      <c r="AG21" s="120"/>
      <c r="AH21" s="120"/>
      <c r="AI21" s="119">
        <v>45802</v>
      </c>
      <c r="AJ21" s="119">
        <v>45803</v>
      </c>
      <c r="AK21" s="119">
        <v>45804</v>
      </c>
      <c r="AL21" s="119">
        <v>45805</v>
      </c>
      <c r="AM21" s="119">
        <v>45806</v>
      </c>
      <c r="AN21" s="119">
        <v>45807</v>
      </c>
      <c r="AO21" s="119">
        <v>45808</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679">
        <v>56387</v>
      </c>
      <c r="D22" s="679" t="s">
        <v>186</v>
      </c>
      <c r="E22" s="679" t="s">
        <v>187</v>
      </c>
      <c r="F22" s="679" t="s">
        <v>188</v>
      </c>
      <c r="G22" s="679" t="s">
        <v>189</v>
      </c>
      <c r="H22" s="680">
        <v>132</v>
      </c>
      <c r="I22" s="680" t="s">
        <v>190</v>
      </c>
      <c r="J22" s="680"/>
      <c r="K22" s="680"/>
      <c r="L22" s="680"/>
      <c r="M22" s="680"/>
      <c r="N22" s="680"/>
      <c r="O22" s="113"/>
      <c r="Q22" s="681" t="s">
        <v>191</v>
      </c>
      <c r="R22" s="682" t="s">
        <v>191</v>
      </c>
      <c r="S22" s="682" t="s">
        <v>191</v>
      </c>
      <c r="T22" s="682" t="s">
        <v>191</v>
      </c>
      <c r="U22" s="682" t="s">
        <v>191</v>
      </c>
      <c r="V22" s="682" t="s">
        <v>191</v>
      </c>
      <c r="W22" s="683" t="s">
        <v>191</v>
      </c>
      <c r="Z22" s="681" t="s">
        <v>191</v>
      </c>
      <c r="AA22" s="682" t="s">
        <v>191</v>
      </c>
      <c r="AB22" s="682" t="s">
        <v>191</v>
      </c>
      <c r="AC22" s="682" t="s">
        <v>191</v>
      </c>
      <c r="AD22" s="682" t="s">
        <v>191</v>
      </c>
      <c r="AE22" s="682" t="s">
        <v>191</v>
      </c>
      <c r="AF22" s="683" t="s">
        <v>191</v>
      </c>
      <c r="AI22" s="681" t="s">
        <v>191</v>
      </c>
      <c r="AJ22" s="682" t="s">
        <v>191</v>
      </c>
      <c r="AK22" s="682" t="s">
        <v>191</v>
      </c>
      <c r="AL22" s="682" t="s">
        <v>191</v>
      </c>
      <c r="AM22" s="682" t="s">
        <v>191</v>
      </c>
      <c r="AN22" s="682" t="s">
        <v>191</v>
      </c>
      <c r="AO22" s="683" t="s">
        <v>191</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684">
        <v>26819</v>
      </c>
      <c r="D23" s="684" t="s">
        <v>241</v>
      </c>
      <c r="E23" s="684" t="s">
        <v>187</v>
      </c>
      <c r="F23" s="684" t="s">
        <v>242</v>
      </c>
      <c r="G23" s="684" t="s">
        <v>243</v>
      </c>
      <c r="H23" s="685">
        <v>132</v>
      </c>
      <c r="I23" s="685" t="s">
        <v>244</v>
      </c>
      <c r="J23" s="685"/>
      <c r="K23" s="685"/>
      <c r="L23" s="685"/>
      <c r="M23" s="685"/>
      <c r="N23" s="685"/>
      <c r="O23" s="113"/>
      <c r="Q23" s="686" t="s">
        <v>191</v>
      </c>
      <c r="R23" s="687" t="s">
        <v>191</v>
      </c>
      <c r="S23" s="687" t="s">
        <v>191</v>
      </c>
      <c r="T23" s="687" t="s">
        <v>191</v>
      </c>
      <c r="U23" s="687" t="s">
        <v>191</v>
      </c>
      <c r="V23" s="687" t="s">
        <v>191</v>
      </c>
      <c r="W23" s="688" t="s">
        <v>191</v>
      </c>
      <c r="Z23" s="686" t="s">
        <v>191</v>
      </c>
      <c r="AA23" s="687" t="s">
        <v>191</v>
      </c>
      <c r="AB23" s="687" t="s">
        <v>191</v>
      </c>
      <c r="AC23" s="687" t="s">
        <v>191</v>
      </c>
      <c r="AD23" s="687" t="s">
        <v>191</v>
      </c>
      <c r="AE23" s="687" t="s">
        <v>191</v>
      </c>
      <c r="AF23" s="688" t="s">
        <v>191</v>
      </c>
      <c r="AI23" s="686" t="s">
        <v>191</v>
      </c>
      <c r="AJ23" s="687" t="s">
        <v>191</v>
      </c>
      <c r="AK23" s="687" t="s">
        <v>191</v>
      </c>
      <c r="AL23" s="687" t="s">
        <v>191</v>
      </c>
      <c r="AM23" s="687" t="s">
        <v>191</v>
      </c>
      <c r="AN23" s="687" t="s">
        <v>191</v>
      </c>
      <c r="AO23" s="688" t="s">
        <v>191</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679">
        <v>31851</v>
      </c>
      <c r="D24" s="679" t="s">
        <v>245</v>
      </c>
      <c r="E24" s="679" t="s">
        <v>187</v>
      </c>
      <c r="F24" s="679" t="s">
        <v>246</v>
      </c>
      <c r="G24" s="679" t="s">
        <v>247</v>
      </c>
      <c r="H24" s="680">
        <v>186</v>
      </c>
      <c r="I24" s="680" t="s">
        <v>248</v>
      </c>
      <c r="J24" s="680"/>
      <c r="K24" s="680"/>
      <c r="L24" s="680"/>
      <c r="M24" s="680"/>
      <c r="N24" s="680"/>
      <c r="O24" s="113"/>
      <c r="Q24" s="681" t="s">
        <v>191</v>
      </c>
      <c r="R24" s="682" t="s">
        <v>191</v>
      </c>
      <c r="S24" s="682" t="s">
        <v>191</v>
      </c>
      <c r="T24" s="682" t="s">
        <v>191</v>
      </c>
      <c r="U24" s="682" t="s">
        <v>191</v>
      </c>
      <c r="V24" s="682" t="s">
        <v>191</v>
      </c>
      <c r="W24" s="683" t="s">
        <v>191</v>
      </c>
      <c r="Z24" s="681" t="s">
        <v>191</v>
      </c>
      <c r="AA24" s="682" t="s">
        <v>191</v>
      </c>
      <c r="AB24" s="682" t="s">
        <v>191</v>
      </c>
      <c r="AC24" s="682" t="s">
        <v>191</v>
      </c>
      <c r="AD24" s="682" t="s">
        <v>191</v>
      </c>
      <c r="AE24" s="682" t="s">
        <v>191</v>
      </c>
      <c r="AF24" s="683" t="s">
        <v>191</v>
      </c>
      <c r="AI24" s="681" t="s">
        <v>191</v>
      </c>
      <c r="AJ24" s="682" t="s">
        <v>191</v>
      </c>
      <c r="AK24" s="682" t="s">
        <v>191</v>
      </c>
      <c r="AL24" s="682" t="s">
        <v>191</v>
      </c>
      <c r="AM24" s="682" t="s">
        <v>191</v>
      </c>
      <c r="AN24" s="682" t="s">
        <v>191</v>
      </c>
      <c r="AO24" s="683" t="s">
        <v>191</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684">
        <v>33931</v>
      </c>
      <c r="D25" s="684" t="s">
        <v>192</v>
      </c>
      <c r="E25" s="684" t="s">
        <v>187</v>
      </c>
      <c r="F25" s="684" t="s">
        <v>193</v>
      </c>
      <c r="G25" s="684" t="s">
        <v>194</v>
      </c>
      <c r="H25" s="685">
        <v>107</v>
      </c>
      <c r="I25" s="685" t="s">
        <v>195</v>
      </c>
      <c r="J25" s="685"/>
      <c r="K25" s="685"/>
      <c r="L25" s="685"/>
      <c r="M25" s="685"/>
      <c r="N25" s="685"/>
      <c r="O25" s="113"/>
      <c r="Q25" s="686" t="s">
        <v>191</v>
      </c>
      <c r="R25" s="687" t="s">
        <v>191</v>
      </c>
      <c r="S25" s="687" t="s">
        <v>191</v>
      </c>
      <c r="T25" s="687" t="s">
        <v>191</v>
      </c>
      <c r="U25" s="687" t="s">
        <v>191</v>
      </c>
      <c r="V25" s="687" t="s">
        <v>191</v>
      </c>
      <c r="W25" s="688" t="s">
        <v>191</v>
      </c>
      <c r="Z25" s="686" t="s">
        <v>191</v>
      </c>
      <c r="AA25" s="687" t="s">
        <v>191</v>
      </c>
      <c r="AB25" s="687" t="s">
        <v>191</v>
      </c>
      <c r="AC25" s="687" t="s">
        <v>191</v>
      </c>
      <c r="AD25" s="687" t="s">
        <v>196</v>
      </c>
      <c r="AE25" s="687" t="s">
        <v>191</v>
      </c>
      <c r="AF25" s="688" t="s">
        <v>191</v>
      </c>
      <c r="AI25" s="686" t="s">
        <v>191</v>
      </c>
      <c r="AJ25" s="687" t="s">
        <v>191</v>
      </c>
      <c r="AK25" s="687" t="s">
        <v>191</v>
      </c>
      <c r="AL25" s="687" t="s">
        <v>191</v>
      </c>
      <c r="AM25" s="687" t="s">
        <v>191</v>
      </c>
      <c r="AN25" s="687" t="s">
        <v>191</v>
      </c>
      <c r="AO25" s="688" t="s">
        <v>191</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679">
        <v>62556</v>
      </c>
      <c r="D26" s="679" t="s">
        <v>249</v>
      </c>
      <c r="E26" s="679" t="s">
        <v>187</v>
      </c>
      <c r="F26" s="679" t="s">
        <v>193</v>
      </c>
      <c r="G26" s="679" t="s">
        <v>250</v>
      </c>
      <c r="H26" s="680">
        <v>87</v>
      </c>
      <c r="I26" s="680" t="s">
        <v>251</v>
      </c>
      <c r="J26" s="680"/>
      <c r="K26" s="680"/>
      <c r="L26" s="680"/>
      <c r="M26" s="680"/>
      <c r="N26" s="680"/>
      <c r="O26" s="113"/>
      <c r="Q26" s="681" t="s">
        <v>191</v>
      </c>
      <c r="R26" s="682" t="s">
        <v>191</v>
      </c>
      <c r="S26" s="682" t="s">
        <v>191</v>
      </c>
      <c r="T26" s="682" t="s">
        <v>191</v>
      </c>
      <c r="U26" s="682" t="s">
        <v>191</v>
      </c>
      <c r="V26" s="682" t="s">
        <v>191</v>
      </c>
      <c r="W26" s="683" t="s">
        <v>191</v>
      </c>
      <c r="Z26" s="681" t="s">
        <v>191</v>
      </c>
      <c r="AA26" s="682" t="s">
        <v>191</v>
      </c>
      <c r="AB26" s="682" t="s">
        <v>191</v>
      </c>
      <c r="AC26" s="682" t="s">
        <v>191</v>
      </c>
      <c r="AD26" s="682" t="s">
        <v>191</v>
      </c>
      <c r="AE26" s="682" t="s">
        <v>191</v>
      </c>
      <c r="AF26" s="683" t="s">
        <v>191</v>
      </c>
      <c r="AI26" s="681" t="s">
        <v>175</v>
      </c>
      <c r="AJ26" s="682" t="s">
        <v>175</v>
      </c>
      <c r="AK26" s="682" t="s">
        <v>175</v>
      </c>
      <c r="AL26" s="682" t="s">
        <v>175</v>
      </c>
      <c r="AM26" s="682" t="s">
        <v>175</v>
      </c>
      <c r="AN26" s="682" t="s">
        <v>175</v>
      </c>
      <c r="AO26" s="683" t="s">
        <v>175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684">
        <v>64036</v>
      </c>
      <c r="D27" s="684" t="s">
        <v>252</v>
      </c>
      <c r="E27" s="684" t="s">
        <v>187</v>
      </c>
      <c r="F27" s="684" t="s">
        <v>193</v>
      </c>
      <c r="G27" s="684" t="s">
        <v>253</v>
      </c>
      <c r="H27" s="685">
        <v>105</v>
      </c>
      <c r="I27" s="685" t="s">
        <v>254</v>
      </c>
      <c r="J27" s="685"/>
      <c r="K27" s="685"/>
      <c r="L27" s="685"/>
      <c r="M27" s="685"/>
      <c r="N27" s="685"/>
      <c r="O27" s="113"/>
      <c r="Q27" s="686" t="s">
        <v>191</v>
      </c>
      <c r="R27" s="687" t="s">
        <v>191</v>
      </c>
      <c r="S27" s="687" t="s">
        <v>191</v>
      </c>
      <c r="T27" s="687" t="s">
        <v>191</v>
      </c>
      <c r="U27" s="687" t="s">
        <v>191</v>
      </c>
      <c r="V27" s="687" t="s">
        <v>191</v>
      </c>
      <c r="W27" s="688" t="s">
        <v>191</v>
      </c>
      <c r="Z27" s="686" t="s">
        <v>191</v>
      </c>
      <c r="AA27" s="687" t="s">
        <v>191</v>
      </c>
      <c r="AB27" s="687" t="s">
        <v>191</v>
      </c>
      <c r="AC27" s="687" t="s">
        <v>191</v>
      </c>
      <c r="AD27" s="687" t="s">
        <v>191</v>
      </c>
      <c r="AE27" s="687" t="s">
        <v>191</v>
      </c>
      <c r="AF27" s="688" t="s">
        <v>191</v>
      </c>
      <c r="AI27" s="686" t="s">
        <v>191</v>
      </c>
      <c r="AJ27" s="687" t="s">
        <v>191</v>
      </c>
      <c r="AK27" s="687" t="s">
        <v>191</v>
      </c>
      <c r="AL27" s="687" t="s">
        <v>191</v>
      </c>
      <c r="AM27" s="687" t="s">
        <v>191</v>
      </c>
      <c r="AN27" s="687" t="s">
        <v>191</v>
      </c>
      <c r="AO27" s="688" t="s">
        <v>191</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679">
        <v>67528</v>
      </c>
      <c r="D28" s="679" t="s">
        <v>255</v>
      </c>
      <c r="E28" s="679" t="s">
        <v>187</v>
      </c>
      <c r="F28" s="679" t="s">
        <v>193</v>
      </c>
      <c r="G28" s="679" t="s">
        <v>256</v>
      </c>
      <c r="H28" s="680">
        <v>118</v>
      </c>
      <c r="I28" s="680" t="s">
        <v>257</v>
      </c>
      <c r="J28" s="680"/>
      <c r="K28" s="680"/>
      <c r="L28" s="680"/>
      <c r="M28" s="680"/>
      <c r="N28" s="680"/>
      <c r="O28" s="113"/>
      <c r="Q28" s="681" t="s">
        <v>191</v>
      </c>
      <c r="R28" s="682" t="s">
        <v>191</v>
      </c>
      <c r="S28" s="682" t="s">
        <v>191</v>
      </c>
      <c r="T28" s="682" t="s">
        <v>191</v>
      </c>
      <c r="U28" s="682" t="s">
        <v>191</v>
      </c>
      <c r="V28" s="682" t="s">
        <v>191</v>
      </c>
      <c r="W28" s="683" t="s">
        <v>191</v>
      </c>
      <c r="Z28" s="681" t="s">
        <v>191</v>
      </c>
      <c r="AA28" s="682" t="s">
        <v>191</v>
      </c>
      <c r="AB28" s="682" t="s">
        <v>191</v>
      </c>
      <c r="AC28" s="682" t="s">
        <v>191</v>
      </c>
      <c r="AD28" s="682" t="s">
        <v>191</v>
      </c>
      <c r="AE28" s="682" t="s">
        <v>191</v>
      </c>
      <c r="AF28" s="683" t="s">
        <v>191</v>
      </c>
      <c r="AI28" s="681" t="s">
        <v>196</v>
      </c>
      <c r="AJ28" s="682" t="s">
        <v>196</v>
      </c>
      <c r="AK28" s="682" t="s">
        <v>196</v>
      </c>
      <c r="AL28" s="682" t="s">
        <v>196</v>
      </c>
      <c r="AM28" s="682" t="s">
        <v>196</v>
      </c>
      <c r="AN28" s="682" t="s">
        <v>196</v>
      </c>
      <c r="AO28" s="683" t="s">
        <v>196</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684">
        <v>68331</v>
      </c>
      <c r="D29" s="684" t="s">
        <v>258</v>
      </c>
      <c r="E29" s="684" t="s">
        <v>187</v>
      </c>
      <c r="F29" s="684" t="s">
        <v>259</v>
      </c>
      <c r="G29" s="684" t="s">
        <v>260</v>
      </c>
      <c r="H29" s="685">
        <v>96</v>
      </c>
      <c r="I29" s="685" t="s">
        <v>261</v>
      </c>
      <c r="J29" s="685"/>
      <c r="K29" s="685"/>
      <c r="L29" s="685"/>
      <c r="M29" s="685"/>
      <c r="N29" s="685"/>
      <c r="O29" s="113"/>
      <c r="Q29" s="686" t="s">
        <v>191</v>
      </c>
      <c r="R29" s="687" t="s">
        <v>191</v>
      </c>
      <c r="S29" s="687" t="s">
        <v>191</v>
      </c>
      <c r="T29" s="687" t="s">
        <v>191</v>
      </c>
      <c r="U29" s="687" t="s">
        <v>191</v>
      </c>
      <c r="V29" s="687" t="s">
        <v>191</v>
      </c>
      <c r="W29" s="688" t="s">
        <v>191</v>
      </c>
      <c r="Z29" s="686" t="s">
        <v>191</v>
      </c>
      <c r="AA29" s="687" t="s">
        <v>191</v>
      </c>
      <c r="AB29" s="687" t="s">
        <v>191</v>
      </c>
      <c r="AC29" s="687" t="s">
        <v>191</v>
      </c>
      <c r="AD29" s="687" t="s">
        <v>191</v>
      </c>
      <c r="AE29" s="687" t="s">
        <v>191</v>
      </c>
      <c r="AF29" s="688" t="s">
        <v>191</v>
      </c>
      <c r="AI29" s="686" t="s">
        <v>191</v>
      </c>
      <c r="AJ29" s="687" t="s">
        <v>191</v>
      </c>
      <c r="AK29" s="687" t="s">
        <v>191</v>
      </c>
      <c r="AL29" s="687" t="s">
        <v>191</v>
      </c>
      <c r="AM29" s="687" t="s">
        <v>191</v>
      </c>
      <c r="AN29" s="687" t="s">
        <v>191</v>
      </c>
      <c r="AO29" s="688" t="s">
        <v>191</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679">
        <v>70610</v>
      </c>
      <c r="D30" s="679" t="s">
        <v>262</v>
      </c>
      <c r="E30" s="679" t="s">
        <v>187</v>
      </c>
      <c r="F30" s="679" t="s">
        <v>263</v>
      </c>
      <c r="G30" s="679" t="s">
        <v>264</v>
      </c>
      <c r="H30" s="680">
        <v>202</v>
      </c>
      <c r="I30" s="680" t="s">
        <v>265</v>
      </c>
      <c r="J30" s="680"/>
      <c r="K30" s="680"/>
      <c r="L30" s="680"/>
      <c r="M30" s="680"/>
      <c r="N30" s="680"/>
      <c r="O30" s="113"/>
      <c r="Q30" s="681" t="s">
        <v>191</v>
      </c>
      <c r="R30" s="682" t="s">
        <v>191</v>
      </c>
      <c r="S30" s="682" t="s">
        <v>191</v>
      </c>
      <c r="T30" s="682" t="s">
        <v>191</v>
      </c>
      <c r="U30" s="682" t="s">
        <v>191</v>
      </c>
      <c r="V30" s="682" t="s">
        <v>191</v>
      </c>
      <c r="W30" s="683" t="s">
        <v>191</v>
      </c>
      <c r="Z30" s="681" t="s">
        <v>191</v>
      </c>
      <c r="AA30" s="682" t="s">
        <v>191</v>
      </c>
      <c r="AB30" s="682" t="s">
        <v>191</v>
      </c>
      <c r="AC30" s="682" t="s">
        <v>191</v>
      </c>
      <c r="AD30" s="682" t="s">
        <v>191</v>
      </c>
      <c r="AE30" s="682" t="s">
        <v>191</v>
      </c>
      <c r="AF30" s="683" t="s">
        <v>191</v>
      </c>
      <c r="AI30" s="681" t="s">
        <v>196</v>
      </c>
      <c r="AJ30" s="682" t="s">
        <v>196</v>
      </c>
      <c r="AK30" s="682" t="s">
        <v>196</v>
      </c>
      <c r="AL30" s="682" t="s">
        <v>196</v>
      </c>
      <c r="AM30" s="682" t="s">
        <v>196</v>
      </c>
      <c r="AN30" s="682" t="s">
        <v>196</v>
      </c>
      <c r="AO30" s="683" t="s">
        <v>196</v>
      </c>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680">
        <v>1165</v>
      </c>
      <c r="I31" s="689"/>
      <c r="J31" s="689"/>
      <c r="K31" s="689"/>
      <c r="L31" s="689"/>
      <c r="M31" s="689"/>
      <c r="N31" s="689"/>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689"/>
      <c r="J32" s="689"/>
      <c r="K32" s="689"/>
      <c r="L32" s="689"/>
      <c r="M32" s="689"/>
      <c r="N32" s="689"/>
      <c r="O32" s="113"/>
      <c r="P32" t="s">
        <v>210</v>
      </c>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689"/>
      <c r="J33" s="689"/>
      <c r="K33" s="689"/>
      <c r="L33" s="689"/>
      <c r="M33" s="689"/>
      <c r="N33" s="689"/>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689"/>
      <c r="J34" s="689"/>
      <c r="K34" s="689"/>
      <c r="L34" s="689"/>
      <c r="M34" s="689"/>
      <c r="N34" s="689"/>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689"/>
      <c r="J35" s="689"/>
      <c r="K35" s="689"/>
      <c r="L35" s="689"/>
      <c r="M35" s="689"/>
      <c r="N35" s="689"/>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689"/>
      <c r="J36" s="689"/>
      <c r="K36" s="689"/>
      <c r="L36" s="689"/>
      <c r="M36" s="689"/>
      <c r="N36" s="689"/>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689"/>
      <c r="J37" s="689"/>
      <c r="K37" s="689"/>
      <c r="L37" s="689"/>
      <c r="M37" s="689"/>
      <c r="N37" s="689"/>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689"/>
      <c r="J38" s="689"/>
      <c r="K38" s="689"/>
      <c r="L38" s="689"/>
      <c r="M38" s="689"/>
      <c r="N38" s="689"/>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689"/>
      <c r="J39" s="689"/>
      <c r="K39" s="689"/>
      <c r="L39" s="689"/>
      <c r="M39" s="689"/>
      <c r="N39" s="689"/>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689"/>
      <c r="J40" s="689"/>
      <c r="K40" s="689"/>
      <c r="L40" s="689"/>
      <c r="M40" s="689"/>
      <c r="N40" s="689"/>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689"/>
      <c r="J41" s="689"/>
      <c r="K41" s="689"/>
      <c r="L41" s="689"/>
      <c r="M41" s="689"/>
      <c r="N41" s="689"/>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689"/>
      <c r="J42" s="689"/>
      <c r="K42" s="689"/>
      <c r="L42" s="689"/>
      <c r="M42" s="689"/>
      <c r="N42" s="689"/>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689"/>
      <c r="J43" s="689"/>
      <c r="K43" s="689"/>
      <c r="L43" s="689"/>
      <c r="M43" s="689"/>
      <c r="N43" s="689"/>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689"/>
      <c r="J44" s="689"/>
      <c r="K44" s="689"/>
      <c r="L44" s="689"/>
      <c r="M44" s="689"/>
      <c r="N44" s="689"/>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689"/>
      <c r="J45" s="689"/>
      <c r="K45" s="689"/>
      <c r="L45" s="689"/>
      <c r="M45" s="689"/>
      <c r="N45" s="689"/>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689"/>
      <c r="J46" s="689"/>
      <c r="K46" s="689"/>
      <c r="L46" s="689"/>
      <c r="M46" s="689"/>
      <c r="N46" s="689"/>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689"/>
      <c r="J47" s="689"/>
      <c r="K47" s="689"/>
      <c r="L47" s="689"/>
      <c r="M47" s="689"/>
      <c r="N47" s="689"/>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689"/>
      <c r="J48" s="689"/>
      <c r="K48" s="689"/>
      <c r="L48" s="689"/>
      <c r="M48" s="689"/>
      <c r="N48" s="689"/>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689"/>
      <c r="J49" s="689"/>
      <c r="K49" s="689"/>
      <c r="L49" s="689"/>
      <c r="M49" s="689"/>
      <c r="N49" s="689"/>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689"/>
      <c r="J50" s="689"/>
      <c r="K50" s="689"/>
      <c r="L50" s="689"/>
      <c r="M50" s="689"/>
      <c r="N50" s="689"/>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689"/>
      <c r="J51" s="689"/>
      <c r="K51" s="689"/>
      <c r="L51" s="689"/>
      <c r="M51" s="689"/>
      <c r="N51" s="689"/>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689"/>
      <c r="J52" s="689"/>
      <c r="K52" s="689"/>
      <c r="L52" s="689"/>
      <c r="M52" s="689"/>
      <c r="N52" s="689"/>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689"/>
      <c r="J53" s="689"/>
      <c r="K53" s="689"/>
      <c r="L53" s="689"/>
      <c r="M53" s="689"/>
      <c r="N53" s="689"/>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689"/>
      <c r="J54" s="689"/>
      <c r="K54" s="689"/>
      <c r="L54" s="689"/>
      <c r="M54" s="689"/>
      <c r="N54" s="689"/>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689"/>
      <c r="J55" s="689"/>
      <c r="K55" s="689"/>
      <c r="L55" s="689"/>
      <c r="M55" s="689"/>
      <c r="N55" s="689"/>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689"/>
      <c r="J56" s="689"/>
      <c r="K56" s="689"/>
      <c r="L56" s="689"/>
      <c r="M56" s="689"/>
      <c r="N56" s="689"/>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689"/>
      <c r="J57" s="689"/>
      <c r="K57" s="689"/>
      <c r="L57" s="689"/>
      <c r="M57" s="689"/>
      <c r="N57" s="689"/>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689"/>
      <c r="J58" s="689"/>
      <c r="K58" s="689"/>
      <c r="L58" s="689"/>
      <c r="M58" s="689"/>
      <c r="N58" s="689"/>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689"/>
      <c r="J59" s="689"/>
      <c r="K59" s="689"/>
      <c r="L59" s="689"/>
      <c r="M59" s="689"/>
      <c r="N59" s="689"/>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689"/>
      <c r="J60" s="689"/>
      <c r="K60" s="689"/>
      <c r="L60" s="689"/>
      <c r="M60" s="689"/>
      <c r="N60" s="689"/>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689"/>
      <c r="J61" s="689"/>
      <c r="K61" s="689"/>
      <c r="L61" s="689"/>
      <c r="M61" s="689"/>
      <c r="N61" s="689"/>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689"/>
      <c r="J62" s="689"/>
      <c r="K62" s="689"/>
      <c r="L62" s="689"/>
      <c r="M62" s="689"/>
      <c r="N62" s="689"/>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689"/>
      <c r="J63" s="689"/>
      <c r="K63" s="689"/>
      <c r="L63" s="689"/>
      <c r="M63" s="689"/>
      <c r="N63" s="689"/>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689"/>
      <c r="J64" s="689"/>
      <c r="K64" s="689"/>
      <c r="L64" s="689"/>
      <c r="M64" s="689"/>
      <c r="N64" s="689"/>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689"/>
      <c r="J65" s="689"/>
      <c r="K65" s="689"/>
      <c r="L65" s="689"/>
      <c r="M65" s="689"/>
      <c r="N65" s="689"/>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689"/>
      <c r="J66" s="689"/>
      <c r="K66" s="689"/>
      <c r="L66" s="689"/>
      <c r="M66" s="689"/>
      <c r="N66" s="689"/>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689"/>
      <c r="J67" s="689"/>
      <c r="K67" s="689"/>
      <c r="L67" s="689"/>
      <c r="M67" s="689"/>
      <c r="N67" s="689"/>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689"/>
      <c r="J68" s="689"/>
      <c r="K68" s="689"/>
      <c r="L68" s="689"/>
      <c r="M68" s="689"/>
      <c r="N68" s="689"/>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689"/>
      <c r="J69" s="689"/>
      <c r="K69" s="689"/>
      <c r="L69" s="689"/>
      <c r="M69" s="689"/>
      <c r="N69" s="689"/>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689"/>
      <c r="J70" s="689"/>
      <c r="K70" s="689"/>
      <c r="L70" s="689"/>
      <c r="M70" s="689"/>
      <c r="N70" s="689"/>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689"/>
      <c r="J71" s="689"/>
      <c r="K71" s="689"/>
      <c r="L71" s="689"/>
      <c r="M71" s="689"/>
      <c r="N71" s="689"/>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689"/>
      <c r="J72" s="689"/>
      <c r="K72" s="689"/>
      <c r="L72" s="689"/>
      <c r="M72" s="689"/>
      <c r="N72" s="689"/>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689"/>
      <c r="J73" s="689"/>
      <c r="K73" s="689"/>
      <c r="L73" s="689"/>
      <c r="M73" s="689"/>
      <c r="N73" s="689"/>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689"/>
      <c r="J74" s="689"/>
      <c r="K74" s="689"/>
      <c r="L74" s="689"/>
      <c r="M74" s="689"/>
      <c r="N74" s="689"/>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689"/>
      <c r="J75" s="689"/>
      <c r="K75" s="689"/>
      <c r="L75" s="689"/>
      <c r="M75" s="689"/>
      <c r="N75" s="689"/>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689"/>
      <c r="J76" s="689"/>
      <c r="K76" s="689"/>
      <c r="L76" s="689"/>
      <c r="M76" s="689"/>
      <c r="N76" s="689"/>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689"/>
      <c r="J77" s="689"/>
      <c r="K77" s="689"/>
      <c r="L77" s="689"/>
      <c r="M77" s="689"/>
      <c r="N77" s="689"/>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689"/>
      <c r="J78" s="689"/>
      <c r="K78" s="689"/>
      <c r="L78" s="689"/>
      <c r="M78" s="689"/>
      <c r="N78" s="689"/>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689"/>
      <c r="J79" s="689"/>
      <c r="K79" s="689"/>
      <c r="L79" s="689"/>
      <c r="M79" s="689"/>
      <c r="N79" s="689"/>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689"/>
      <c r="J80" s="689"/>
      <c r="K80" s="689"/>
      <c r="L80" s="689"/>
      <c r="M80" s="689"/>
      <c r="N80" s="689"/>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689"/>
      <c r="J81" s="689"/>
      <c r="K81" s="689"/>
      <c r="L81" s="689"/>
      <c r="M81" s="689"/>
      <c r="N81" s="689"/>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689"/>
      <c r="J82" s="689"/>
      <c r="K82" s="689"/>
      <c r="L82" s="689"/>
      <c r="M82" s="689"/>
      <c r="N82" s="689"/>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689"/>
      <c r="J83" s="689"/>
      <c r="K83" s="689"/>
      <c r="L83" s="689"/>
      <c r="M83" s="689"/>
      <c r="N83" s="689"/>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689"/>
      <c r="J84" s="689"/>
      <c r="K84" s="689"/>
      <c r="L84" s="689"/>
      <c r="M84" s="689"/>
      <c r="N84" s="689"/>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689"/>
      <c r="J85" s="689"/>
      <c r="K85" s="689"/>
      <c r="L85" s="689"/>
      <c r="M85" s="689"/>
      <c r="N85" s="689"/>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689"/>
      <c r="J86" s="689"/>
      <c r="K86" s="689"/>
      <c r="L86" s="689"/>
      <c r="M86" s="689"/>
      <c r="N86" s="689"/>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689"/>
      <c r="J87" s="689"/>
      <c r="K87" s="689"/>
      <c r="L87" s="689"/>
      <c r="M87" s="689"/>
      <c r="N87" s="689"/>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689"/>
      <c r="J88" s="689"/>
      <c r="K88" s="689"/>
      <c r="L88" s="689"/>
      <c r="M88" s="689"/>
      <c r="N88" s="689"/>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689"/>
      <c r="J89" s="689"/>
      <c r="K89" s="689"/>
      <c r="L89" s="689"/>
      <c r="M89" s="689"/>
      <c r="N89" s="689"/>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689"/>
      <c r="J90" s="689"/>
      <c r="K90" s="689"/>
      <c r="L90" s="689"/>
      <c r="M90" s="689"/>
      <c r="N90" s="689"/>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689"/>
      <c r="J91" s="689"/>
      <c r="K91" s="689"/>
      <c r="L91" s="689"/>
      <c r="M91" s="689"/>
      <c r="N91" s="689"/>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689"/>
      <c r="J92" s="689"/>
      <c r="K92" s="689"/>
      <c r="L92" s="689"/>
      <c r="M92" s="689"/>
      <c r="N92" s="689"/>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689"/>
      <c r="J93" s="689"/>
      <c r="K93" s="689"/>
      <c r="L93" s="689"/>
      <c r="M93" s="689"/>
      <c r="N93" s="689"/>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689"/>
      <c r="J94" s="689"/>
      <c r="K94" s="689"/>
      <c r="L94" s="689"/>
      <c r="M94" s="689"/>
      <c r="N94" s="689"/>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689"/>
      <c r="J95" s="689"/>
      <c r="K95" s="689"/>
      <c r="L95" s="689"/>
      <c r="M95" s="689"/>
      <c r="N95" s="689"/>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689"/>
      <c r="J96" s="689"/>
      <c r="K96" s="689"/>
      <c r="L96" s="689"/>
      <c r="M96" s="689"/>
      <c r="N96" s="689"/>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689"/>
      <c r="J97" s="689"/>
      <c r="K97" s="689"/>
      <c r="L97" s="689"/>
      <c r="M97" s="689"/>
      <c r="N97" s="689"/>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689"/>
      <c r="J98" s="689"/>
      <c r="K98" s="689"/>
      <c r="L98" s="689"/>
      <c r="M98" s="689"/>
      <c r="N98" s="689"/>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689"/>
      <c r="J99" s="689"/>
      <c r="K99" s="689"/>
      <c r="L99" s="689"/>
      <c r="M99" s="689"/>
      <c r="N99" s="689"/>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689"/>
      <c r="J100" s="689"/>
      <c r="K100" s="689"/>
      <c r="L100" s="689"/>
      <c r="M100" s="689"/>
      <c r="N100" s="689"/>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690" t="s">
        <v>114</v>
      </c>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90"/>
      <c r="AD103" s="690"/>
      <c r="AE103" s="690"/>
      <c r="AF103" s="690"/>
      <c r="AG103" s="690"/>
      <c r="AH103" s="690"/>
      <c r="AI103" s="690"/>
      <c r="AJ103" s="690"/>
      <c r="AK103" s="690"/>
      <c r="AL103" s="690"/>
      <c r="AM103" s="690"/>
      <c r="AN103" s="690"/>
      <c r="AO103" s="690"/>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691"/>
      <c r="B105" s="691"/>
      <c r="C105" s="691"/>
      <c r="D105" s="691"/>
      <c r="E105" s="691"/>
      <c r="F105" s="691"/>
      <c r="G105" s="691"/>
      <c r="H105" s="691"/>
      <c r="I105" s="691"/>
      <c r="J105" s="691"/>
      <c r="K105" s="691"/>
      <c r="L105" s="691"/>
      <c r="M105" s="691"/>
      <c r="N105" s="691"/>
      <c r="O105" s="691"/>
      <c r="P105" s="691"/>
      <c r="Q105" s="691"/>
      <c r="R105" s="691"/>
      <c r="S105" s="691"/>
      <c r="T105" s="691"/>
      <c r="U105" s="691"/>
      <c r="V105" s="691"/>
      <c r="W105" s="691"/>
      <c r="X105" s="691"/>
      <c r="Y105" s="691"/>
      <c r="Z105" s="691"/>
      <c r="AA105" s="691"/>
      <c r="AB105" s="691"/>
      <c r="AC105" s="691"/>
      <c r="AD105" s="691"/>
      <c r="AE105" s="691"/>
      <c r="AF105" s="691"/>
      <c r="AG105" s="691"/>
      <c r="AH105" s="691"/>
      <c r="AI105" s="691"/>
      <c r="AJ105" s="691"/>
      <c r="AK105" s="691"/>
      <c r="AL105" s="691"/>
      <c r="AM105" s="691"/>
      <c r="AN105" s="691"/>
      <c r="AO105" s="691"/>
      <c r="AP105" s="691"/>
      <c r="AQ105" s="691"/>
      <c r="AR105" s="691"/>
      <c r="AS105" s="691"/>
      <c r="AT105" s="691"/>
      <c r="AU105" s="691"/>
      <c r="AV105" s="691"/>
      <c r="AW105" s="691"/>
      <c r="AX105" s="691"/>
      <c r="AY105" s="691"/>
      <c r="AZ105" s="691"/>
      <c r="BA105" s="691"/>
      <c r="BB105" s="691"/>
      <c r="BC105" s="691"/>
      <c r="BD105" s="691"/>
      <c r="BE105" s="691"/>
      <c r="BF105" s="691"/>
      <c r="BG105" s="691"/>
      <c r="BH105" s="691"/>
      <c r="BI105" s="691"/>
      <c r="BJ105" s="691"/>
      <c r="BK105" s="691"/>
      <c r="BL105" s="691"/>
      <c r="BM105" s="691"/>
      <c r="BN105" s="691"/>
      <c r="BO105" s="691"/>
      <c r="BP105" s="691"/>
      <c r="BQ105" s="691"/>
      <c r="BR105" s="244"/>
      <c r="BS105" s="244"/>
      <c r="BT105" s="244"/>
      <c r="BU105" s="244"/>
      <c r="BV105" s="244"/>
      <c r="BW105" s="244"/>
      <c r="BX105" s="244"/>
      <c r="BY105" s="244"/>
      <c r="BZ105" s="244"/>
      <c r="CA105" s="244"/>
      <c r="CB105" s="244"/>
      <c r="CC105" s="244"/>
      <c r="CD105" s="244"/>
      <c r="CE105" s="244"/>
      <c r="CF105" s="244"/>
    </row>
    <row r="106" ht="12.75" customHeight="1">
      <c r="A106" s="691"/>
      <c r="B106" s="691"/>
      <c r="C106" s="691"/>
      <c r="D106" s="691"/>
      <c r="E106" s="691"/>
      <c r="F106" s="691"/>
      <c r="G106" s="691"/>
      <c r="H106" s="691"/>
      <c r="I106" s="691"/>
      <c r="J106" s="691"/>
      <c r="K106" s="691"/>
      <c r="L106" s="691"/>
      <c r="M106" s="691"/>
      <c r="N106" s="691"/>
      <c r="O106" s="691"/>
      <c r="P106" s="691"/>
      <c r="Q106" s="691"/>
      <c r="R106" s="691"/>
      <c r="S106" s="691"/>
      <c r="T106" s="691"/>
      <c r="U106" s="691"/>
      <c r="V106" s="691"/>
      <c r="W106" s="691"/>
      <c r="X106" s="691"/>
      <c r="Y106" s="691"/>
      <c r="Z106" s="691"/>
      <c r="AA106" s="691"/>
      <c r="AB106" s="691"/>
      <c r="AC106" s="691"/>
      <c r="AD106" s="691"/>
      <c r="AE106" s="691"/>
      <c r="AF106" s="691"/>
      <c r="AG106" s="691"/>
      <c r="AH106" s="691"/>
      <c r="AI106" s="691"/>
      <c r="AJ106" s="691"/>
      <c r="AK106" s="691"/>
      <c r="AL106" s="691"/>
      <c r="AM106" s="691"/>
      <c r="AN106" s="691"/>
      <c r="AO106" s="691"/>
      <c r="AP106" s="691"/>
      <c r="AQ106" s="691"/>
      <c r="AR106" s="691"/>
      <c r="AS106" s="691"/>
      <c r="AT106" s="691"/>
      <c r="AU106" s="691"/>
      <c r="AV106" s="691"/>
      <c r="AW106" s="691"/>
      <c r="AX106" s="691"/>
      <c r="AY106" s="691"/>
      <c r="AZ106" s="691"/>
      <c r="BA106" s="691"/>
      <c r="BB106" s="691"/>
      <c r="BC106" s="691"/>
      <c r="BD106" s="691"/>
      <c r="BE106" s="691"/>
      <c r="BF106" s="691"/>
      <c r="BG106" s="691"/>
      <c r="BH106" s="691"/>
      <c r="BI106" s="691"/>
      <c r="BJ106" s="691"/>
      <c r="BK106" s="691"/>
      <c r="BL106" s="691"/>
      <c r="BM106" s="691"/>
      <c r="BN106" s="691"/>
      <c r="BO106" s="691"/>
      <c r="BP106" s="691"/>
      <c r="BQ106" s="691"/>
      <c r="BR106" s="244"/>
      <c r="BS106" s="244"/>
      <c r="BT106" s="244"/>
      <c r="BU106" s="244"/>
      <c r="BV106" s="244"/>
      <c r="BW106" s="244"/>
      <c r="BX106" s="244"/>
      <c r="BY106" s="244"/>
      <c r="BZ106" s="244"/>
      <c r="CA106" s="244"/>
      <c r="CB106" s="244"/>
      <c r="CC106" s="244"/>
      <c r="CD106" s="244"/>
      <c r="CE106" s="244"/>
      <c r="CF106" s="244"/>
    </row>
    <row r="107" ht="12.75" customHeight="1">
      <c r="A107" s="691"/>
      <c r="B107" s="691"/>
      <c r="C107" s="691"/>
      <c r="D107" s="691"/>
      <c r="E107" s="691"/>
      <c r="F107" s="691"/>
      <c r="G107" s="691"/>
      <c r="H107" s="691"/>
      <c r="I107" s="691"/>
      <c r="J107" s="691"/>
      <c r="K107" s="691"/>
      <c r="L107" s="691"/>
      <c r="M107" s="691"/>
      <c r="N107" s="691"/>
      <c r="O107" s="691"/>
      <c r="P107" s="691"/>
      <c r="Q107" s="691"/>
      <c r="R107" s="691"/>
      <c r="S107" s="691"/>
      <c r="T107" s="691"/>
      <c r="U107" s="691"/>
      <c r="V107" s="691"/>
      <c r="W107" s="691"/>
      <c r="X107" s="691"/>
      <c r="Y107" s="691"/>
      <c r="Z107" s="691"/>
      <c r="AA107" s="691"/>
      <c r="AB107" s="691"/>
      <c r="AC107" s="691"/>
      <c r="AD107" s="691"/>
      <c r="AE107" s="691"/>
      <c r="AF107" s="691"/>
      <c r="AG107" s="691"/>
      <c r="AH107" s="691"/>
      <c r="AI107" s="691"/>
      <c r="AJ107" s="691"/>
      <c r="AK107" s="691"/>
      <c r="AL107" s="691"/>
      <c r="AM107" s="691"/>
      <c r="AN107" s="691"/>
      <c r="AO107" s="691"/>
      <c r="AP107" s="691"/>
      <c r="AQ107" s="691"/>
      <c r="AR107" s="691"/>
      <c r="AS107" s="691"/>
      <c r="AT107" s="691"/>
      <c r="AU107" s="691"/>
      <c r="AV107" s="691"/>
      <c r="AW107" s="691"/>
      <c r="AX107" s="691"/>
      <c r="AY107" s="691"/>
      <c r="AZ107" s="691"/>
      <c r="BA107" s="691"/>
      <c r="BB107" s="691"/>
      <c r="BC107" s="691"/>
      <c r="BD107" s="691"/>
      <c r="BE107" s="691"/>
      <c r="BF107" s="691"/>
      <c r="BG107" s="691"/>
      <c r="BH107" s="691"/>
      <c r="BI107" s="691"/>
      <c r="BJ107" s="691"/>
      <c r="BK107" s="691"/>
      <c r="BL107" s="691"/>
      <c r="BM107" s="691"/>
      <c r="BN107" s="691"/>
      <c r="BO107" s="691"/>
      <c r="BP107" s="691"/>
      <c r="BQ107" s="691"/>
      <c r="BR107" s="244"/>
      <c r="BS107" s="244"/>
      <c r="BT107" s="244"/>
      <c r="BU107" s="244"/>
      <c r="BV107" s="244"/>
      <c r="BW107" s="244"/>
      <c r="BX107" s="244"/>
      <c r="BY107" s="244"/>
      <c r="BZ107" s="244"/>
      <c r="CA107" s="244"/>
      <c r="CB107" s="244"/>
      <c r="CC107" s="244"/>
      <c r="CD107" s="244"/>
      <c r="CE107" s="244"/>
      <c r="CF107" s="244"/>
    </row>
    <row r="108" ht="12.75" customHeight="1">
      <c r="A108" s="691"/>
      <c r="B108" s="691"/>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1"/>
      <c r="AD108" s="691"/>
      <c r="AE108" s="691"/>
      <c r="AF108" s="691"/>
      <c r="AG108" s="691"/>
      <c r="AH108" s="691"/>
      <c r="AI108" s="691"/>
      <c r="AJ108" s="691"/>
      <c r="AK108" s="691"/>
      <c r="AL108" s="691"/>
      <c r="AM108" s="691"/>
      <c r="AN108" s="691"/>
      <c r="AO108" s="691"/>
      <c r="AP108" s="691"/>
      <c r="AQ108" s="691"/>
      <c r="AR108" s="691"/>
      <c r="AS108" s="691"/>
      <c r="AT108" s="691"/>
      <c r="AU108" s="691"/>
      <c r="AV108" s="691"/>
      <c r="AW108" s="691"/>
      <c r="AX108" s="691"/>
      <c r="AY108" s="691"/>
      <c r="AZ108" s="691"/>
      <c r="BA108" s="691"/>
      <c r="BB108" s="691"/>
      <c r="BC108" s="691"/>
      <c r="BD108" s="691"/>
      <c r="BE108" s="691"/>
      <c r="BF108" s="691"/>
      <c r="BG108" s="691"/>
      <c r="BH108" s="691"/>
      <c r="BI108" s="691"/>
      <c r="BJ108" s="691"/>
      <c r="BK108" s="691"/>
      <c r="BL108" s="691"/>
      <c r="BM108" s="691"/>
      <c r="BN108" s="691"/>
      <c r="BO108" s="691"/>
      <c r="BP108" s="691"/>
      <c r="BQ108" s="691"/>
      <c r="BR108" s="244"/>
      <c r="BS108" s="244"/>
      <c r="BT108" s="244"/>
      <c r="BU108" s="244"/>
      <c r="BV108" s="244"/>
      <c r="BW108" s="244"/>
      <c r="BX108" s="244"/>
      <c r="BY108" s="244"/>
      <c r="BZ108" s="244"/>
      <c r="CA108" s="244"/>
      <c r="CB108" s="244"/>
      <c r="CC108" s="244"/>
      <c r="CD108" s="244"/>
      <c r="CE108" s="244"/>
      <c r="CF108" s="244"/>
    </row>
    <row r="109" ht="12.75" customHeight="1">
      <c r="A109" s="691"/>
      <c r="B109" s="691"/>
      <c r="C109" s="691"/>
      <c r="D109" s="691"/>
      <c r="E109" s="691"/>
      <c r="F109" s="691"/>
      <c r="G109" s="691"/>
      <c r="H109" s="691"/>
      <c r="I109" s="691"/>
      <c r="J109" s="691"/>
      <c r="K109" s="691"/>
      <c r="L109" s="691"/>
      <c r="M109" s="691"/>
      <c r="N109" s="691"/>
      <c r="O109" s="691"/>
      <c r="P109" s="691"/>
      <c r="Q109" s="691"/>
      <c r="R109" s="691"/>
      <c r="S109" s="691"/>
      <c r="T109" s="691"/>
      <c r="U109" s="691"/>
      <c r="V109" s="691"/>
      <c r="W109" s="691"/>
      <c r="X109" s="691"/>
      <c r="Y109" s="691"/>
      <c r="Z109" s="691"/>
      <c r="AA109" s="691"/>
      <c r="AB109" s="691"/>
      <c r="AC109" s="691"/>
      <c r="AD109" s="691"/>
      <c r="AE109" s="691"/>
      <c r="AF109" s="691"/>
      <c r="AG109" s="691"/>
      <c r="AH109" s="691"/>
      <c r="AI109" s="691"/>
      <c r="AJ109" s="691"/>
      <c r="AK109" s="691"/>
      <c r="AL109" s="691"/>
      <c r="AM109" s="691"/>
      <c r="AN109" s="691"/>
      <c r="AO109" s="691"/>
      <c r="AP109" s="691"/>
      <c r="AQ109" s="691"/>
      <c r="AR109" s="691"/>
      <c r="AS109" s="691"/>
      <c r="AT109" s="691"/>
      <c r="AU109" s="691"/>
      <c r="AV109" s="691"/>
      <c r="AW109" s="691"/>
      <c r="AX109" s="691"/>
      <c r="AY109" s="691"/>
      <c r="AZ109" s="691"/>
      <c r="BA109" s="691"/>
      <c r="BB109" s="691"/>
      <c r="BC109" s="691"/>
      <c r="BD109" s="691"/>
      <c r="BE109" s="691"/>
      <c r="BF109" s="691"/>
      <c r="BG109" s="691"/>
      <c r="BH109" s="691"/>
      <c r="BI109" s="691"/>
      <c r="BJ109" s="691"/>
      <c r="BK109" s="691"/>
      <c r="BL109" s="691"/>
      <c r="BM109" s="691"/>
      <c r="BN109" s="691"/>
      <c r="BO109" s="691"/>
      <c r="BP109" s="691"/>
      <c r="BQ109" s="691"/>
      <c r="BR109" s="244"/>
      <c r="BS109" s="244"/>
      <c r="BT109" s="244"/>
      <c r="BU109" s="244"/>
      <c r="BV109" s="244"/>
      <c r="BW109" s="244"/>
      <c r="BX109" s="244"/>
      <c r="BY109" s="244"/>
      <c r="BZ109" s="244"/>
      <c r="CA109" s="244"/>
      <c r="CB109" s="244"/>
      <c r="CC109" s="244"/>
      <c r="CD109" s="244"/>
      <c r="CE109" s="244"/>
      <c r="CF109" s="244"/>
    </row>
    <row r="110" ht="12.75" customHeight="1">
      <c r="A110" s="691"/>
      <c r="B110" s="691"/>
      <c r="C110" s="691"/>
      <c r="D110" s="691"/>
      <c r="E110" s="691"/>
      <c r="F110" s="691"/>
      <c r="G110" s="691"/>
      <c r="H110" s="691"/>
      <c r="I110" s="691"/>
      <c r="J110" s="691"/>
      <c r="K110" s="691"/>
      <c r="L110" s="691"/>
      <c r="M110" s="691"/>
      <c r="N110" s="691"/>
      <c r="O110" s="691"/>
      <c r="P110" s="691"/>
      <c r="Q110" s="691"/>
      <c r="R110" s="691"/>
      <c r="S110" s="691"/>
      <c r="T110" s="691"/>
      <c r="U110" s="691"/>
      <c r="V110" s="691"/>
      <c r="W110" s="691"/>
      <c r="X110" s="691"/>
      <c r="Y110" s="691"/>
      <c r="Z110" s="691"/>
      <c r="AA110" s="691"/>
      <c r="AB110" s="691"/>
      <c r="AC110" s="691"/>
      <c r="AD110" s="691"/>
      <c r="AE110" s="691"/>
      <c r="AF110" s="691"/>
      <c r="AG110" s="691"/>
      <c r="AH110" s="691"/>
      <c r="AI110" s="691"/>
      <c r="AJ110" s="691"/>
      <c r="AK110" s="691"/>
      <c r="AL110" s="691"/>
      <c r="AM110" s="691"/>
      <c r="AN110" s="691"/>
      <c r="AO110" s="691"/>
      <c r="AP110" s="691"/>
      <c r="AQ110" s="691"/>
      <c r="AR110" s="691"/>
      <c r="AS110" s="691"/>
      <c r="AT110" s="691"/>
      <c r="AU110" s="691"/>
      <c r="AV110" s="691"/>
      <c r="AW110" s="691"/>
      <c r="AX110" s="691"/>
      <c r="AY110" s="691"/>
      <c r="AZ110" s="691"/>
      <c r="BA110" s="691"/>
      <c r="BB110" s="691"/>
      <c r="BC110" s="691"/>
      <c r="BD110" s="691"/>
      <c r="BE110" s="691"/>
      <c r="BF110" s="691"/>
      <c r="BG110" s="691"/>
      <c r="BH110" s="691"/>
      <c r="BI110" s="691"/>
      <c r="BJ110" s="691"/>
      <c r="BK110" s="691"/>
      <c r="BL110" s="691"/>
      <c r="BM110" s="691"/>
      <c r="BN110" s="691"/>
      <c r="BO110" s="691"/>
      <c r="BP110" s="691"/>
      <c r="BQ110" s="691"/>
      <c r="BR110" s="244"/>
      <c r="BS110" s="244"/>
      <c r="BT110" s="244"/>
      <c r="BU110" s="244"/>
      <c r="BV110" s="244"/>
      <c r="BW110" s="244"/>
      <c r="BX110" s="244"/>
      <c r="BY110" s="244"/>
      <c r="BZ110" s="244"/>
      <c r="CA110" s="244"/>
      <c r="CB110" s="244"/>
      <c r="CC110" s="244"/>
      <c r="CD110" s="244"/>
      <c r="CE110" s="244"/>
      <c r="CF110" s="244"/>
    </row>
    <row r="111" ht="12.75" customHeight="1">
      <c r="A111" s="691"/>
      <c r="B111" s="691"/>
      <c r="C111" s="691"/>
      <c r="D111" s="691"/>
      <c r="E111" s="691"/>
      <c r="F111" s="691"/>
      <c r="G111" s="691"/>
      <c r="H111" s="691"/>
      <c r="I111" s="691"/>
      <c r="J111" s="691"/>
      <c r="K111" s="691"/>
      <c r="L111" s="691"/>
      <c r="M111" s="691"/>
      <c r="N111" s="691"/>
      <c r="O111" s="691"/>
      <c r="P111" s="691"/>
      <c r="Q111" s="691"/>
      <c r="R111" s="691"/>
      <c r="S111" s="691"/>
      <c r="T111" s="691"/>
      <c r="U111" s="691"/>
      <c r="V111" s="691"/>
      <c r="W111" s="691"/>
      <c r="X111" s="691"/>
      <c r="Y111" s="691"/>
      <c r="Z111" s="691"/>
      <c r="AA111" s="691"/>
      <c r="AB111" s="691"/>
      <c r="AC111" s="691"/>
      <c r="AD111" s="691"/>
      <c r="AE111" s="691"/>
      <c r="AF111" s="691"/>
      <c r="AG111" s="691"/>
      <c r="AH111" s="691"/>
      <c r="AI111" s="691"/>
      <c r="AJ111" s="691"/>
      <c r="AK111" s="691"/>
      <c r="AL111" s="691"/>
      <c r="AM111" s="691"/>
      <c r="AN111" s="691"/>
      <c r="AO111" s="691"/>
      <c r="AP111" s="691"/>
      <c r="AQ111" s="691"/>
      <c r="AR111" s="691"/>
      <c r="AS111" s="691"/>
      <c r="AT111" s="691"/>
      <c r="AU111" s="691"/>
      <c r="AV111" s="691"/>
      <c r="AW111" s="691"/>
      <c r="AX111" s="691"/>
      <c r="AY111" s="691"/>
      <c r="AZ111" s="691"/>
      <c r="BA111" s="691"/>
      <c r="BB111" s="691"/>
      <c r="BC111" s="691"/>
      <c r="BD111" s="691"/>
      <c r="BE111" s="691"/>
      <c r="BF111" s="691"/>
      <c r="BG111" s="691"/>
      <c r="BH111" s="691"/>
      <c r="BI111" s="691"/>
      <c r="BJ111" s="691"/>
      <c r="BK111" s="691"/>
      <c r="BL111" s="691"/>
      <c r="BM111" s="691"/>
      <c r="BN111" s="691"/>
      <c r="BO111" s="691"/>
      <c r="BP111" s="691"/>
      <c r="BQ111" s="691"/>
      <c r="BR111" s="244"/>
      <c r="BS111" s="244"/>
      <c r="BT111" s="244"/>
      <c r="BU111" s="244"/>
      <c r="BV111" s="244"/>
      <c r="BW111" s="244"/>
      <c r="BX111" s="244"/>
      <c r="BY111" s="244"/>
      <c r="BZ111" s="244"/>
      <c r="CA111" s="244"/>
      <c r="CB111" s="244"/>
      <c r="CC111" s="244"/>
      <c r="CD111" s="244"/>
      <c r="CE111" s="244"/>
      <c r="CF111" s="244"/>
    </row>
    <row r="112" ht="12.75" customHeight="1">
      <c r="A112" s="691"/>
      <c r="B112" s="691"/>
      <c r="C112" s="691"/>
      <c r="D112" s="691"/>
      <c r="E112" s="691"/>
      <c r="F112" s="691"/>
      <c r="G112" s="691"/>
      <c r="H112" s="691"/>
      <c r="I112" s="691"/>
      <c r="J112" s="691"/>
      <c r="K112" s="691"/>
      <c r="L112" s="691"/>
      <c r="M112" s="691"/>
      <c r="N112" s="691"/>
      <c r="O112" s="691"/>
      <c r="P112" s="691"/>
      <c r="Q112" s="691"/>
      <c r="R112" s="691"/>
      <c r="S112" s="691"/>
      <c r="T112" s="691"/>
      <c r="U112" s="691"/>
      <c r="V112" s="691"/>
      <c r="W112" s="691"/>
      <c r="X112" s="691"/>
      <c r="Y112" s="691"/>
      <c r="Z112" s="691"/>
      <c r="AA112" s="691"/>
      <c r="AB112" s="691"/>
      <c r="AC112" s="691"/>
      <c r="AD112" s="691"/>
      <c r="AE112" s="691"/>
      <c r="AF112" s="691"/>
      <c r="AG112" s="691"/>
      <c r="AH112" s="691"/>
      <c r="AI112" s="691"/>
      <c r="AJ112" s="691"/>
      <c r="AK112" s="691"/>
      <c r="AL112" s="691"/>
      <c r="AM112" s="691"/>
      <c r="AN112" s="691"/>
      <c r="AO112" s="691"/>
      <c r="AP112" s="691"/>
      <c r="AQ112" s="691"/>
      <c r="AR112" s="691"/>
      <c r="AS112" s="691"/>
      <c r="AT112" s="691"/>
      <c r="AU112" s="691"/>
      <c r="AV112" s="691"/>
      <c r="AW112" s="691"/>
      <c r="AX112" s="691"/>
      <c r="AY112" s="691"/>
      <c r="AZ112" s="691"/>
      <c r="BA112" s="691"/>
      <c r="BB112" s="691"/>
      <c r="BC112" s="691"/>
      <c r="BD112" s="691"/>
      <c r="BE112" s="691"/>
      <c r="BF112" s="691"/>
      <c r="BG112" s="691"/>
      <c r="BH112" s="691"/>
      <c r="BI112" s="691"/>
      <c r="BJ112" s="691"/>
      <c r="BK112" s="691"/>
      <c r="BL112" s="691"/>
      <c r="BM112" s="691"/>
      <c r="BN112" s="691"/>
      <c r="BO112" s="691"/>
      <c r="BP112" s="691"/>
      <c r="BQ112" s="691"/>
      <c r="BR112" s="244"/>
      <c r="BS112" s="244"/>
      <c r="BT112" s="244"/>
      <c r="BU112" s="244"/>
      <c r="BV112" s="244"/>
      <c r="BW112" s="244"/>
      <c r="BX112" s="244"/>
      <c r="BY112" s="244"/>
      <c r="BZ112" s="244"/>
      <c r="CA112" s="244"/>
      <c r="CB112" s="244"/>
      <c r="CC112" s="244"/>
      <c r="CD112" s="244"/>
      <c r="CE112" s="244"/>
      <c r="CF112" s="244"/>
    </row>
    <row r="113" ht="12.75" customHeight="1">
      <c r="A113" s="691"/>
      <c r="B113" s="691"/>
      <c r="C113" s="691"/>
      <c r="D113" s="691"/>
      <c r="E113" s="691"/>
      <c r="F113" s="691"/>
      <c r="G113" s="691"/>
      <c r="H113" s="691"/>
      <c r="I113" s="691"/>
      <c r="J113" s="691"/>
      <c r="K113" s="691"/>
      <c r="L113" s="691"/>
      <c r="M113" s="691"/>
      <c r="N113" s="691"/>
      <c r="O113" s="691"/>
      <c r="P113" s="691"/>
      <c r="Q113" s="691"/>
      <c r="R113" s="691"/>
      <c r="S113" s="691"/>
      <c r="T113" s="691"/>
      <c r="U113" s="691"/>
      <c r="V113" s="691"/>
      <c r="W113" s="691"/>
      <c r="X113" s="691"/>
      <c r="Y113" s="691"/>
      <c r="Z113" s="691"/>
      <c r="AA113" s="691"/>
      <c r="AB113" s="691"/>
      <c r="AC113" s="691"/>
      <c r="AD113" s="691"/>
      <c r="AE113" s="691"/>
      <c r="AF113" s="691"/>
      <c r="AG113" s="691"/>
      <c r="AH113" s="691"/>
      <c r="AI113" s="691"/>
      <c r="AJ113" s="691"/>
      <c r="AK113" s="691"/>
      <c r="AL113" s="691"/>
      <c r="AM113" s="691"/>
      <c r="AN113" s="691"/>
      <c r="AO113" s="691"/>
      <c r="AP113" s="691"/>
      <c r="AQ113" s="691"/>
      <c r="AR113" s="691"/>
      <c r="AS113" s="691"/>
      <c r="AT113" s="691"/>
      <c r="AU113" s="691"/>
      <c r="AV113" s="691"/>
      <c r="AW113" s="691"/>
      <c r="AX113" s="691"/>
      <c r="AY113" s="691"/>
      <c r="AZ113" s="691"/>
      <c r="BA113" s="691"/>
      <c r="BB113" s="691"/>
      <c r="BC113" s="691"/>
      <c r="BD113" s="691"/>
      <c r="BE113" s="691"/>
      <c r="BF113" s="691"/>
      <c r="BG113" s="691"/>
      <c r="BH113" s="691"/>
      <c r="BI113" s="691"/>
      <c r="BJ113" s="691"/>
      <c r="BK113" s="691"/>
      <c r="BL113" s="691"/>
      <c r="BM113" s="691"/>
      <c r="BN113" s="691"/>
      <c r="BO113" s="691"/>
      <c r="BP113" s="691"/>
      <c r="BQ113" s="691"/>
      <c r="BR113" s="244"/>
      <c r="BS113" s="244"/>
      <c r="BT113" s="244"/>
      <c r="BU113" s="244"/>
      <c r="BV113" s="244"/>
      <c r="BW113" s="244"/>
      <c r="BX113" s="244"/>
      <c r="BY113" s="244"/>
      <c r="BZ113" s="244"/>
      <c r="CA113" s="244"/>
      <c r="CB113" s="244"/>
      <c r="CC113" s="244"/>
      <c r="CD113" s="244"/>
      <c r="CE113" s="244"/>
      <c r="CF113" s="244"/>
    </row>
    <row r="114">
      <c r="A114" s="691"/>
      <c r="B114" s="691"/>
      <c r="C114" s="691"/>
      <c r="D114" s="691"/>
      <c r="E114" s="691"/>
      <c r="F114" s="691"/>
      <c r="G114" s="691"/>
      <c r="H114" s="691"/>
      <c r="I114" s="691"/>
      <c r="J114" s="691"/>
      <c r="K114" s="691"/>
      <c r="L114" s="691"/>
      <c r="M114" s="691"/>
      <c r="N114" s="691"/>
      <c r="O114" s="691"/>
      <c r="P114" s="691"/>
      <c r="Q114" s="691"/>
      <c r="R114" s="691"/>
      <c r="S114" s="691"/>
      <c r="T114" s="691"/>
      <c r="U114" s="691"/>
      <c r="V114" s="691"/>
      <c r="W114" s="691"/>
      <c r="X114" s="691"/>
      <c r="Y114" s="691"/>
      <c r="Z114" s="691"/>
      <c r="AA114" s="691"/>
      <c r="AB114" s="691"/>
      <c r="AC114" s="691"/>
      <c r="AD114" s="691"/>
      <c r="AE114" s="691"/>
      <c r="AF114" s="691"/>
      <c r="AG114" s="691"/>
      <c r="AH114" s="691"/>
      <c r="AI114" s="691"/>
      <c r="AJ114" s="691"/>
      <c r="AK114" s="691"/>
      <c r="AL114" s="691"/>
      <c r="AM114" s="691"/>
      <c r="AN114" s="691"/>
      <c r="AO114" s="691"/>
      <c r="AP114" s="691"/>
      <c r="AQ114" s="691"/>
      <c r="AR114" s="691"/>
      <c r="AS114" s="691"/>
      <c r="AT114" s="691"/>
      <c r="AU114" s="691"/>
      <c r="AV114" s="691"/>
      <c r="AW114" s="691"/>
      <c r="AX114" s="691"/>
      <c r="AY114" s="691"/>
      <c r="AZ114" s="691"/>
      <c r="BA114" s="691"/>
      <c r="BB114" s="691"/>
      <c r="BC114" s="691"/>
      <c r="BD114" s="691"/>
      <c r="BE114" s="691"/>
      <c r="BF114" s="691"/>
      <c r="BG114" s="691"/>
      <c r="BH114" s="691"/>
      <c r="BI114" s="691"/>
      <c r="BJ114" s="691"/>
      <c r="BK114" s="691"/>
      <c r="BL114" s="691"/>
      <c r="BM114" s="691"/>
      <c r="BN114" s="691"/>
      <c r="BO114" s="691"/>
      <c r="BP114" s="691"/>
      <c r="BQ114" s="691"/>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28643798</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859,634,677</cp:category>
  <dcterms:created xsi:type="dcterms:W3CDTF">2003-06-11T18:24:11Z</dcterms:created>
  <dc:creator>STR, Inc.</dc:creator>
  <cp:keywords>56387</cp:keywords>
  <cp:lastModifiedBy>Jim Hawkins</cp:lastModifiedBy>
  <cp:lastPrinted>2016-02-16T16:32:42Z</cp:lastPrinted>
  <dcterms:modified xsi:type="dcterms:W3CDTF">2023-04-05T19:50:13Z</dcterms:modified>
  <dc:subject>56387</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